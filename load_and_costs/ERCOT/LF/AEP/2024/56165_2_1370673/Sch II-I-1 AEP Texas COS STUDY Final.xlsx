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saveExternalLinkValues="0" codeName="ThisWorkbook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0" documentId="14_{73267BF8-FF16-480A-A662-E9F0D87979A1}" xr6:coauthVersionLast="47" xr6:coauthVersionMax="47" xr10:uidLastSave="{00000000-0000-0000-0000-000000000000}"/>
  <bookViews>
    <workbookView xWindow="30300" yWindow="0" windowWidth="28320" windowHeight="15240" tabRatio="711" activeTab="10" xr2:uid="{00000000-000D-0000-FFFF-FFFF00000000}"/>
  </bookViews>
  <sheets>
    <sheet name="II-I-1" sheetId="29" r:id="rId1"/>
    <sheet name="II-I-2" sheetId="30" r:id="rId2"/>
    <sheet name="II-I-2.c" sheetId="31" r:id="rId3"/>
    <sheet name="II-I-2.f" sheetId="33" r:id="rId4"/>
    <sheet name="II-I TOTAL COMPANY" sheetId="1" r:id="rId5"/>
    <sheet name="Juris Alloc Split" sheetId="28" r:id="rId6"/>
    <sheet name="Retail Summary Proposed" sheetId="24" r:id="rId7"/>
    <sheet name="Distribution" sheetId="25" r:id="rId8"/>
    <sheet name="Meter" sheetId="26" r:id="rId9"/>
    <sheet name="TDCustSvc" sheetId="27" r:id="rId10"/>
    <sheet name="DCRF" sheetId="34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7">Distribution!$A$1:$W$812</definedName>
    <definedName name="_xlnm.Print_Area" localSheetId="4">'II-I TOTAL COMPANY'!$A$1:$M$667</definedName>
    <definedName name="_xlnm.Print_Area" localSheetId="5">'Juris Alloc Split'!$A$1:$M$607</definedName>
    <definedName name="_xlnm.Print_Area" localSheetId="8">Meter!$A$1:$V$812</definedName>
    <definedName name="_xlnm.Print_Area" localSheetId="6">'Retail Summary Proposed'!$A$1:$R$102</definedName>
    <definedName name="_xlnm.Print_Area" localSheetId="9">TDCustSvc!$A$1:$V$812</definedName>
    <definedName name="_xlnm.Print_Titles" localSheetId="7">Distribution!$A:$C,Distribution!$3:$12</definedName>
    <definedName name="_xlnm.Print_Titles" localSheetId="4">'II-I TOTAL COMPANY'!$4:$8</definedName>
    <definedName name="_xlnm.Print_Titles" localSheetId="1">'II-I-2'!$1:$11</definedName>
    <definedName name="_xlnm.Print_Titles" localSheetId="2">'II-I-2.c'!$1:$11</definedName>
    <definedName name="_xlnm.Print_Titles" localSheetId="3">'II-I-2.f'!$2:$11</definedName>
    <definedName name="_xlnm.Print_Titles" localSheetId="5">'Juris Alloc Split'!$3:$12</definedName>
    <definedName name="_xlnm.Print_Titles" localSheetId="8">Meter!$A:$D,Meter!$3:$12</definedName>
    <definedName name="_xlnm.Print_Titles" localSheetId="6">'Retail Summary Proposed'!$2:$12</definedName>
    <definedName name="_xlnm.Print_Titles" localSheetId="9">TDCustSvc!$A:$D,TDCustSvc!$3:$12</definedName>
  </definedNames>
  <calcPr calcId="18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65" i="27" l="1"/>
  <c r="U565" i="27"/>
  <c r="T565" i="27"/>
  <c r="S565" i="27"/>
  <c r="R565" i="27"/>
  <c r="Q565" i="27"/>
  <c r="O565" i="27"/>
  <c r="N565" i="27"/>
  <c r="L565" i="27"/>
  <c r="K565" i="27"/>
  <c r="K564" i="27"/>
  <c r="L564" i="27"/>
  <c r="N564" i="27"/>
  <c r="M564" i="27" s="1"/>
  <c r="O564" i="27"/>
  <c r="Q564" i="27"/>
  <c r="R564" i="27"/>
  <c r="S564" i="27"/>
  <c r="T564" i="27"/>
  <c r="U564" i="27"/>
  <c r="V564" i="27"/>
  <c r="D565" i="27"/>
  <c r="D565" i="26"/>
  <c r="D565" i="25"/>
  <c r="L565" i="1"/>
  <c r="L563" i="1"/>
  <c r="L581" i="1"/>
  <c r="M581" i="1"/>
  <c r="K581" i="1"/>
  <c r="K572" i="1"/>
  <c r="L572" i="1"/>
  <c r="M572" i="1"/>
  <c r="K573" i="1"/>
  <c r="L573" i="1"/>
  <c r="M573" i="1"/>
  <c r="L571" i="1"/>
  <c r="M571" i="1"/>
  <c r="K571" i="1"/>
  <c r="M565" i="27" l="1"/>
  <c r="P565" i="27"/>
  <c r="J565" i="27" s="1"/>
  <c r="P564" i="27"/>
  <c r="J564" i="27"/>
  <c r="J13" i="31" l="1"/>
  <c r="J14" i="31"/>
  <c r="J15" i="31"/>
  <c r="J16" i="31"/>
  <c r="J17" i="31"/>
  <c r="J19" i="31"/>
  <c r="J22" i="31"/>
  <c r="J23" i="31"/>
  <c r="J24" i="31"/>
  <c r="J25" i="31"/>
  <c r="J26" i="31"/>
  <c r="J27" i="31"/>
  <c r="J28" i="31"/>
  <c r="J37" i="31"/>
  <c r="J40" i="31"/>
  <c r="J43" i="31"/>
  <c r="J46" i="31"/>
  <c r="J67" i="31"/>
  <c r="J78" i="31"/>
  <c r="J79" i="31"/>
  <c r="J82" i="31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30" i="30"/>
  <c r="J31" i="30"/>
  <c r="J32" i="30"/>
  <c r="J33" i="30"/>
  <c r="J34" i="30"/>
  <c r="J37" i="30"/>
  <c r="J40" i="30"/>
  <c r="J43" i="30"/>
  <c r="J46" i="30"/>
  <c r="J65" i="30"/>
  <c r="J66" i="30"/>
  <c r="J67" i="30"/>
  <c r="J77" i="30"/>
  <c r="J78" i="30"/>
  <c r="J79" i="30"/>
  <c r="J82" i="30"/>
  <c r="V675" i="25" l="1"/>
  <c r="U675" i="25"/>
  <c r="T675" i="25"/>
  <c r="S675" i="25"/>
  <c r="R675" i="25"/>
  <c r="Q675" i="25"/>
  <c r="O675" i="25"/>
  <c r="N675" i="25"/>
  <c r="L675" i="25"/>
  <c r="K675" i="25"/>
  <c r="V672" i="25"/>
  <c r="U672" i="25"/>
  <c r="S672" i="25"/>
  <c r="R672" i="25"/>
  <c r="Q672" i="25"/>
  <c r="O672" i="25"/>
  <c r="N672" i="25"/>
  <c r="L672" i="25"/>
  <c r="K672" i="25"/>
  <c r="T669" i="25"/>
  <c r="S669" i="25"/>
  <c r="R669" i="25"/>
  <c r="Q669" i="25"/>
  <c r="O669" i="25"/>
  <c r="N669" i="25"/>
  <c r="L669" i="25"/>
  <c r="K669" i="25"/>
  <c r="V682" i="25" l="1"/>
  <c r="V683" i="25"/>
  <c r="V679" i="25"/>
  <c r="V735" i="27" l="1"/>
  <c r="V721" i="27" l="1"/>
  <c r="V690" i="27"/>
  <c r="V735" i="26"/>
  <c r="V721" i="26"/>
  <c r="V690" i="26"/>
  <c r="V735" i="25" l="1"/>
  <c r="V722" i="25"/>
  <c r="J671" i="26" l="1"/>
  <c r="J680" i="26"/>
  <c r="J681" i="26"/>
  <c r="J684" i="26"/>
  <c r="J693" i="26"/>
  <c r="J696" i="26"/>
  <c r="J699" i="26"/>
  <c r="J702" i="26"/>
  <c r="J735" i="26"/>
  <c r="J736" i="26"/>
  <c r="J671" i="27"/>
  <c r="J680" i="27"/>
  <c r="J681" i="27"/>
  <c r="J684" i="27"/>
  <c r="J693" i="27"/>
  <c r="J696" i="27"/>
  <c r="J699" i="27"/>
  <c r="J702" i="27"/>
  <c r="J735" i="27"/>
  <c r="J736" i="27"/>
  <c r="J42" i="27" l="1"/>
  <c r="J41" i="27"/>
  <c r="J42" i="26"/>
  <c r="J41" i="26"/>
  <c r="J646" i="26"/>
  <c r="J646" i="27"/>
  <c r="J634" i="26"/>
  <c r="I623" i="25"/>
  <c r="J408" i="26"/>
  <c r="J408" i="27"/>
  <c r="J271" i="26"/>
  <c r="J271" i="27"/>
  <c r="J258" i="26"/>
  <c r="J258" i="27"/>
  <c r="J85" i="26"/>
  <c r="J85" i="27"/>
  <c r="J85" i="25"/>
  <c r="J79" i="26"/>
  <c r="J79" i="27"/>
  <c r="J79" i="25"/>
  <c r="J65" i="25"/>
  <c r="J42" i="25" l="1"/>
  <c r="J41" i="25"/>
  <c r="V721" i="25" l="1"/>
  <c r="V689" i="25"/>
  <c r="V688" i="25"/>
  <c r="V686" i="25"/>
  <c r="V677" i="25"/>
  <c r="V670" i="25" l="1"/>
  <c r="L588" i="1" l="1"/>
  <c r="K587" i="1"/>
  <c r="E15" i="34" l="1"/>
  <c r="F15" i="34"/>
  <c r="G15" i="34"/>
  <c r="H15" i="34"/>
  <c r="I15" i="34"/>
  <c r="J15" i="34"/>
  <c r="K15" i="34"/>
  <c r="L15" i="34"/>
  <c r="M15" i="34"/>
  <c r="D15" i="34"/>
  <c r="U671" i="25"/>
  <c r="K591" i="1" l="1"/>
  <c r="K564" i="1"/>
  <c r="L36" i="24" l="1"/>
  <c r="I36" i="24"/>
  <c r="Q100" i="24"/>
  <c r="H100" i="24"/>
  <c r="G100" i="24"/>
  <c r="H518" i="27" l="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B31" i="31"/>
  <c r="C31" i="31"/>
  <c r="B32" i="31"/>
  <c r="C32" i="31"/>
  <c r="B33" i="31"/>
  <c r="C33" i="31"/>
  <c r="B34" i="31"/>
  <c r="C34" i="31"/>
  <c r="B35" i="31"/>
  <c r="C35" i="31"/>
  <c r="B36" i="31"/>
  <c r="C36" i="31"/>
  <c r="B37" i="31"/>
  <c r="C37" i="31"/>
  <c r="B38" i="31"/>
  <c r="C38" i="31"/>
  <c r="B39" i="31"/>
  <c r="C39" i="31"/>
  <c r="B40" i="31"/>
  <c r="C40" i="31"/>
  <c r="B41" i="31"/>
  <c r="C41" i="31"/>
  <c r="B42" i="31"/>
  <c r="C42" i="31"/>
  <c r="B43" i="31"/>
  <c r="C43" i="31"/>
  <c r="B44" i="31"/>
  <c r="C44" i="31"/>
  <c r="B45" i="31"/>
  <c r="C45" i="31"/>
  <c r="B46" i="31"/>
  <c r="C46" i="31"/>
  <c r="B47" i="31"/>
  <c r="C47" i="31"/>
  <c r="B48" i="31"/>
  <c r="C48" i="31"/>
  <c r="B49" i="31"/>
  <c r="C49" i="31"/>
  <c r="B50" i="31"/>
  <c r="C50" i="31"/>
  <c r="B51" i="31"/>
  <c r="C51" i="31"/>
  <c r="B52" i="31"/>
  <c r="C52" i="31"/>
  <c r="B53" i="31"/>
  <c r="C53" i="31"/>
  <c r="B54" i="31"/>
  <c r="C54" i="31"/>
  <c r="B55" i="31"/>
  <c r="C55" i="31"/>
  <c r="B56" i="31"/>
  <c r="C56" i="31"/>
  <c r="B57" i="31"/>
  <c r="C57" i="31"/>
  <c r="B58" i="31"/>
  <c r="C58" i="31"/>
  <c r="B59" i="31"/>
  <c r="C59" i="31"/>
  <c r="B60" i="31"/>
  <c r="C60" i="31"/>
  <c r="B61" i="31"/>
  <c r="C61" i="31"/>
  <c r="B62" i="31"/>
  <c r="C62" i="31"/>
  <c r="B63" i="31"/>
  <c r="C63" i="31"/>
  <c r="B64" i="31"/>
  <c r="C64" i="31"/>
  <c r="B65" i="31"/>
  <c r="C65" i="31"/>
  <c r="B66" i="31"/>
  <c r="C66" i="31"/>
  <c r="B67" i="31"/>
  <c r="C67" i="31"/>
  <c r="B68" i="31"/>
  <c r="C68" i="31"/>
  <c r="B69" i="31"/>
  <c r="C69" i="31"/>
  <c r="B70" i="31"/>
  <c r="C70" i="31"/>
  <c r="B71" i="31"/>
  <c r="C71" i="31"/>
  <c r="B72" i="31"/>
  <c r="C72" i="31"/>
  <c r="B73" i="31"/>
  <c r="C73" i="31"/>
  <c r="B74" i="31"/>
  <c r="C74" i="31"/>
  <c r="B75" i="31"/>
  <c r="C75" i="31"/>
  <c r="B76" i="31"/>
  <c r="C76" i="31"/>
  <c r="B77" i="31"/>
  <c r="C77" i="31"/>
  <c r="B78" i="31"/>
  <c r="C78" i="31"/>
  <c r="B79" i="31"/>
  <c r="C79" i="31"/>
  <c r="B80" i="31"/>
  <c r="C80" i="31"/>
  <c r="B81" i="31"/>
  <c r="C81" i="31"/>
  <c r="B82" i="31"/>
  <c r="C82" i="31"/>
  <c r="B83" i="31"/>
  <c r="C83" i="31"/>
  <c r="C13" i="31"/>
  <c r="B14" i="30"/>
  <c r="C14" i="30"/>
  <c r="B15" i="30"/>
  <c r="C15" i="30"/>
  <c r="D15" i="30"/>
  <c r="E15" i="30"/>
  <c r="H15" i="30"/>
  <c r="I15" i="30"/>
  <c r="B16" i="30"/>
  <c r="C16" i="30"/>
  <c r="H16" i="30"/>
  <c r="B17" i="30"/>
  <c r="C17" i="30"/>
  <c r="H17" i="30"/>
  <c r="B18" i="30"/>
  <c r="C18" i="30"/>
  <c r="B19" i="30"/>
  <c r="C19" i="30"/>
  <c r="B20" i="30"/>
  <c r="C20" i="30"/>
  <c r="B21" i="30"/>
  <c r="C21" i="30"/>
  <c r="H21" i="30"/>
  <c r="I21" i="30"/>
  <c r="B22" i="30"/>
  <c r="C22" i="30"/>
  <c r="G22" i="30"/>
  <c r="H22" i="30"/>
  <c r="I22" i="30"/>
  <c r="B23" i="30"/>
  <c r="C23" i="30"/>
  <c r="I23" i="30"/>
  <c r="B24" i="30"/>
  <c r="C24" i="30"/>
  <c r="D24" i="30"/>
  <c r="E24" i="30"/>
  <c r="G24" i="30"/>
  <c r="H24" i="30"/>
  <c r="I24" i="30"/>
  <c r="B25" i="30"/>
  <c r="C25" i="30"/>
  <c r="D25" i="30"/>
  <c r="E25" i="30"/>
  <c r="G25" i="30"/>
  <c r="H25" i="30"/>
  <c r="I25" i="30"/>
  <c r="B26" i="30"/>
  <c r="C26" i="30"/>
  <c r="H26" i="30"/>
  <c r="I26" i="30"/>
  <c r="B27" i="30"/>
  <c r="C27" i="30"/>
  <c r="B28" i="30"/>
  <c r="C28" i="30"/>
  <c r="D28" i="30"/>
  <c r="E28" i="30"/>
  <c r="G28" i="30"/>
  <c r="H28" i="30"/>
  <c r="I28" i="30"/>
  <c r="B29" i="30"/>
  <c r="C29" i="30"/>
  <c r="B30" i="30"/>
  <c r="C30" i="30"/>
  <c r="D30" i="30"/>
  <c r="E30" i="30"/>
  <c r="I30" i="30"/>
  <c r="B31" i="30"/>
  <c r="C31" i="30"/>
  <c r="F31" i="30"/>
  <c r="G31" i="30"/>
  <c r="H31" i="30"/>
  <c r="B32" i="30"/>
  <c r="C32" i="30"/>
  <c r="B33" i="30"/>
  <c r="C33" i="30"/>
  <c r="B34" i="30"/>
  <c r="C34" i="30"/>
  <c r="B35" i="30"/>
  <c r="C35" i="30"/>
  <c r="B36" i="30"/>
  <c r="C36" i="30"/>
  <c r="B37" i="30"/>
  <c r="C37" i="30"/>
  <c r="D37" i="30"/>
  <c r="E37" i="30"/>
  <c r="G37" i="30"/>
  <c r="H37" i="30"/>
  <c r="I37" i="30"/>
  <c r="B38" i="30"/>
  <c r="C38" i="30"/>
  <c r="B39" i="30"/>
  <c r="C39" i="30"/>
  <c r="B40" i="30"/>
  <c r="C40" i="30"/>
  <c r="D40" i="30"/>
  <c r="E40" i="30"/>
  <c r="G40" i="30"/>
  <c r="H40" i="30"/>
  <c r="I40" i="30"/>
  <c r="B41" i="30"/>
  <c r="C41" i="30"/>
  <c r="B42" i="30"/>
  <c r="C42" i="30"/>
  <c r="B43" i="30"/>
  <c r="C43" i="30"/>
  <c r="G43" i="30"/>
  <c r="H43" i="30"/>
  <c r="I43" i="30"/>
  <c r="B44" i="30"/>
  <c r="C44" i="30"/>
  <c r="B45" i="30"/>
  <c r="C45" i="30"/>
  <c r="B46" i="30"/>
  <c r="C46" i="30"/>
  <c r="D46" i="30"/>
  <c r="E46" i="30"/>
  <c r="G46" i="30"/>
  <c r="H46" i="30"/>
  <c r="I46" i="30"/>
  <c r="B47" i="30"/>
  <c r="C47" i="30"/>
  <c r="B48" i="30"/>
  <c r="C48" i="30"/>
  <c r="B49" i="30"/>
  <c r="C49" i="30"/>
  <c r="B50" i="30"/>
  <c r="C50" i="30"/>
  <c r="B51" i="30"/>
  <c r="C51" i="30"/>
  <c r="B52" i="30"/>
  <c r="C52" i="30"/>
  <c r="B53" i="30"/>
  <c r="C53" i="30"/>
  <c r="B54" i="30"/>
  <c r="C54" i="30"/>
  <c r="B55" i="30"/>
  <c r="C55" i="30"/>
  <c r="B56" i="30"/>
  <c r="C56" i="30"/>
  <c r="B57" i="30"/>
  <c r="C57" i="30"/>
  <c r="B58" i="30"/>
  <c r="C58" i="30"/>
  <c r="B59" i="30"/>
  <c r="C59" i="30"/>
  <c r="B60" i="30"/>
  <c r="C60" i="30"/>
  <c r="B61" i="30"/>
  <c r="C61" i="30"/>
  <c r="B62" i="30"/>
  <c r="C62" i="30"/>
  <c r="B63" i="30"/>
  <c r="C63" i="30"/>
  <c r="B64" i="30"/>
  <c r="C64" i="30"/>
  <c r="B65" i="30"/>
  <c r="C65" i="30"/>
  <c r="B66" i="30"/>
  <c r="C66" i="30"/>
  <c r="B67" i="30"/>
  <c r="C67" i="30"/>
  <c r="D67" i="30"/>
  <c r="E67" i="30"/>
  <c r="G67" i="30"/>
  <c r="H67" i="30"/>
  <c r="I67" i="30"/>
  <c r="B68" i="30"/>
  <c r="C68" i="30"/>
  <c r="B69" i="30"/>
  <c r="C69" i="30"/>
  <c r="B70" i="30"/>
  <c r="C70" i="30"/>
  <c r="B71" i="30"/>
  <c r="C71" i="30"/>
  <c r="B72" i="30"/>
  <c r="C72" i="30"/>
  <c r="B73" i="30"/>
  <c r="C73" i="30"/>
  <c r="B74" i="30"/>
  <c r="C74" i="30"/>
  <c r="B75" i="30"/>
  <c r="C75" i="30"/>
  <c r="B76" i="30"/>
  <c r="C76" i="30"/>
  <c r="B77" i="30"/>
  <c r="C77" i="30"/>
  <c r="B78" i="30"/>
  <c r="C78" i="30"/>
  <c r="B79" i="30"/>
  <c r="C79" i="30"/>
  <c r="B80" i="30"/>
  <c r="C80" i="30"/>
  <c r="B81" i="30"/>
  <c r="C81" i="30"/>
  <c r="B82" i="30"/>
  <c r="C82" i="30"/>
  <c r="B83" i="30"/>
  <c r="C83" i="30"/>
  <c r="C13" i="30"/>
  <c r="B13" i="30"/>
  <c r="N687" i="27"/>
  <c r="O687" i="27"/>
  <c r="Q687" i="27"/>
  <c r="R687" i="27"/>
  <c r="S687" i="27"/>
  <c r="T687" i="27"/>
  <c r="V687" i="27"/>
  <c r="B759" i="27"/>
  <c r="E759" i="27"/>
  <c r="A759" i="27"/>
  <c r="A760" i="27" s="1"/>
  <c r="A761" i="27" s="1"/>
  <c r="A762" i="27" s="1"/>
  <c r="A763" i="27" s="1"/>
  <c r="A764" i="27" s="1"/>
  <c r="A765" i="27" s="1"/>
  <c r="A766" i="27" s="1"/>
  <c r="A767" i="27" s="1"/>
  <c r="A768" i="27" s="1"/>
  <c r="A769" i="27" s="1"/>
  <c r="A770" i="27" s="1"/>
  <c r="A771" i="27" s="1"/>
  <c r="A772" i="27" s="1"/>
  <c r="A773" i="27" s="1"/>
  <c r="A774" i="27" s="1"/>
  <c r="A775" i="27" s="1"/>
  <c r="A776" i="27" s="1"/>
  <c r="A777" i="27" s="1"/>
  <c r="A778" i="27" s="1"/>
  <c r="A779" i="27" s="1"/>
  <c r="A780" i="27" s="1"/>
  <c r="A781" i="27" s="1"/>
  <c r="A782" i="27" s="1"/>
  <c r="A783" i="27" s="1"/>
  <c r="A784" i="27" s="1"/>
  <c r="A785" i="27" s="1"/>
  <c r="A786" i="27" s="1"/>
  <c r="A787" i="27" s="1"/>
  <c r="A788" i="27" s="1"/>
  <c r="A789" i="27" s="1"/>
  <c r="A790" i="27" s="1"/>
  <c r="A791" i="27" s="1"/>
  <c r="A792" i="27" s="1"/>
  <c r="A793" i="27" s="1"/>
  <c r="A794" i="27" s="1"/>
  <c r="A795" i="27" s="1"/>
  <c r="A796" i="27" s="1"/>
  <c r="A797" i="27" s="1"/>
  <c r="A798" i="27" s="1"/>
  <c r="A799" i="27" s="1"/>
  <c r="A800" i="27" s="1"/>
  <c r="A801" i="27" s="1"/>
  <c r="A802" i="27" s="1"/>
  <c r="A803" i="27" s="1"/>
  <c r="A804" i="27" s="1"/>
  <c r="A805" i="27" s="1"/>
  <c r="A806" i="27" s="1"/>
  <c r="A807" i="27" s="1"/>
  <c r="A808" i="27" s="1"/>
  <c r="A809" i="27" s="1"/>
  <c r="A810" i="27" s="1"/>
  <c r="A811" i="27" s="1"/>
  <c r="A812" i="27" s="1"/>
  <c r="E759" i="26"/>
  <c r="N687" i="26"/>
  <c r="O687" i="26"/>
  <c r="Q687" i="26"/>
  <c r="P687" i="26" s="1"/>
  <c r="R687" i="26"/>
  <c r="S687" i="26"/>
  <c r="T687" i="26"/>
  <c r="V687" i="26"/>
  <c r="B759" i="26"/>
  <c r="A759" i="26"/>
  <c r="A760" i="26" s="1"/>
  <c r="A761" i="26" s="1"/>
  <c r="A762" i="26" s="1"/>
  <c r="A763" i="26" s="1"/>
  <c r="A764" i="26" s="1"/>
  <c r="A765" i="26" s="1"/>
  <c r="A766" i="26" s="1"/>
  <c r="A767" i="26" s="1"/>
  <c r="A768" i="26" s="1"/>
  <c r="A769" i="26" s="1"/>
  <c r="A770" i="26" s="1"/>
  <c r="A771" i="26" s="1"/>
  <c r="A772" i="26" s="1"/>
  <c r="A773" i="26" s="1"/>
  <c r="A774" i="26" s="1"/>
  <c r="A775" i="26" s="1"/>
  <c r="A776" i="26" s="1"/>
  <c r="A777" i="26" s="1"/>
  <c r="A778" i="26" s="1"/>
  <c r="A779" i="26" s="1"/>
  <c r="A780" i="26" s="1"/>
  <c r="A781" i="26" s="1"/>
  <c r="A782" i="26" s="1"/>
  <c r="A783" i="26" s="1"/>
  <c r="A784" i="26" s="1"/>
  <c r="A785" i="26" s="1"/>
  <c r="A786" i="26" s="1"/>
  <c r="A787" i="26" s="1"/>
  <c r="A788" i="26" s="1"/>
  <c r="A789" i="26" s="1"/>
  <c r="A790" i="26" s="1"/>
  <c r="A791" i="26" s="1"/>
  <c r="A792" i="26" s="1"/>
  <c r="A793" i="26" s="1"/>
  <c r="A794" i="26" s="1"/>
  <c r="A795" i="26" s="1"/>
  <c r="A796" i="26" s="1"/>
  <c r="A797" i="26" s="1"/>
  <c r="A798" i="26" s="1"/>
  <c r="A799" i="26" s="1"/>
  <c r="A800" i="26" s="1"/>
  <c r="A801" i="26" s="1"/>
  <c r="A802" i="26" s="1"/>
  <c r="A803" i="26" s="1"/>
  <c r="A804" i="26" s="1"/>
  <c r="A805" i="26" s="1"/>
  <c r="A806" i="26" s="1"/>
  <c r="A807" i="26" s="1"/>
  <c r="A808" i="26" s="1"/>
  <c r="A809" i="26" s="1"/>
  <c r="A810" i="26" s="1"/>
  <c r="A811" i="26" s="1"/>
  <c r="A812" i="26" s="1"/>
  <c r="A759" i="25"/>
  <c r="A760" i="25" s="1"/>
  <c r="A761" i="25" s="1"/>
  <c r="A762" i="25" s="1"/>
  <c r="A763" i="25" s="1"/>
  <c r="A764" i="25" s="1"/>
  <c r="A765" i="25" s="1"/>
  <c r="A766" i="25" s="1"/>
  <c r="A767" i="25" s="1"/>
  <c r="A768" i="25" s="1"/>
  <c r="A769" i="25" s="1"/>
  <c r="A770" i="25" s="1"/>
  <c r="A771" i="25" s="1"/>
  <c r="A772" i="25" s="1"/>
  <c r="A773" i="25" s="1"/>
  <c r="A774" i="25" s="1"/>
  <c r="A775" i="25" s="1"/>
  <c r="A776" i="25" s="1"/>
  <c r="A777" i="25" s="1"/>
  <c r="A778" i="25" s="1"/>
  <c r="A779" i="25" s="1"/>
  <c r="A780" i="25" s="1"/>
  <c r="A781" i="25" s="1"/>
  <c r="A782" i="25" s="1"/>
  <c r="A783" i="25" s="1"/>
  <c r="A784" i="25" s="1"/>
  <c r="A785" i="25" s="1"/>
  <c r="A786" i="25" s="1"/>
  <c r="A787" i="25" s="1"/>
  <c r="A788" i="25" s="1"/>
  <c r="A789" i="25" s="1"/>
  <c r="A790" i="25" s="1"/>
  <c r="A791" i="25" s="1"/>
  <c r="A792" i="25" s="1"/>
  <c r="A793" i="25" s="1"/>
  <c r="A794" i="25" s="1"/>
  <c r="A795" i="25" s="1"/>
  <c r="A796" i="25" s="1"/>
  <c r="A797" i="25" s="1"/>
  <c r="A798" i="25" s="1"/>
  <c r="A799" i="25" s="1"/>
  <c r="A800" i="25" s="1"/>
  <c r="A801" i="25" s="1"/>
  <c r="A802" i="25" s="1"/>
  <c r="A803" i="25" s="1"/>
  <c r="A804" i="25" s="1"/>
  <c r="A805" i="25" s="1"/>
  <c r="A806" i="25" s="1"/>
  <c r="A807" i="25" s="1"/>
  <c r="A808" i="25" s="1"/>
  <c r="A809" i="25" s="1"/>
  <c r="A810" i="25" s="1"/>
  <c r="A811" i="25" s="1"/>
  <c r="A812" i="25" s="1"/>
  <c r="H518" i="25"/>
  <c r="H522" i="1"/>
  <c r="L522" i="1"/>
  <c r="M522" i="1"/>
  <c r="K522" i="1"/>
  <c r="I522" i="1" l="1"/>
  <c r="P687" i="27"/>
  <c r="M687" i="27"/>
  <c r="M687" i="26"/>
  <c r="J522" i="1"/>
  <c r="S669" i="27" l="1"/>
  <c r="S734" i="27" s="1"/>
  <c r="S671" i="27"/>
  <c r="S735" i="27" s="1"/>
  <c r="S672" i="27"/>
  <c r="S675" i="27"/>
  <c r="S678" i="27"/>
  <c r="S680" i="27"/>
  <c r="S681" i="27"/>
  <c r="S684" i="27"/>
  <c r="S738" i="27"/>
  <c r="S669" i="26"/>
  <c r="S734" i="26" s="1"/>
  <c r="S671" i="26"/>
  <c r="S735" i="26" s="1"/>
  <c r="S672" i="26"/>
  <c r="S675" i="26"/>
  <c r="S678" i="26"/>
  <c r="S680" i="26"/>
  <c r="S681" i="26"/>
  <c r="S684" i="26"/>
  <c r="S738" i="26"/>
  <c r="S734" i="25"/>
  <c r="S735" i="25"/>
  <c r="S670" i="25"/>
  <c r="S670" i="27" s="1"/>
  <c r="S670" i="26" l="1"/>
  <c r="K588" i="1"/>
  <c r="L233" i="1"/>
  <c r="M233" i="1"/>
  <c r="K233" i="1"/>
  <c r="H225" i="27"/>
  <c r="D225" i="27"/>
  <c r="D225" i="26"/>
  <c r="H225" i="25"/>
  <c r="D225" i="25"/>
  <c r="D225" i="1"/>
  <c r="K146" i="1"/>
  <c r="M147" i="1"/>
  <c r="H146" i="27"/>
  <c r="O225" i="27" s="1"/>
  <c r="N225" i="27" l="1"/>
  <c r="M225" i="27" s="1"/>
  <c r="T225" i="27"/>
  <c r="V225" i="27"/>
  <c r="K225" i="27"/>
  <c r="S225" i="27"/>
  <c r="R225" i="27"/>
  <c r="Q225" i="27"/>
  <c r="L225" i="27"/>
  <c r="U225" i="27"/>
  <c r="H146" i="25"/>
  <c r="Y44" i="27"/>
  <c r="Y55" i="27"/>
  <c r="Y56" i="27"/>
  <c r="Y60" i="27"/>
  <c r="Y67" i="27"/>
  <c r="Y72" i="27"/>
  <c r="Y76" i="27"/>
  <c r="Y82" i="27"/>
  <c r="Y23" i="27"/>
  <c r="Y25" i="27"/>
  <c r="Y27" i="27"/>
  <c r="Y29" i="27"/>
  <c r="Y37" i="27"/>
  <c r="Y38" i="27"/>
  <c r="Y23" i="26"/>
  <c r="Y25" i="26"/>
  <c r="Y27" i="26"/>
  <c r="Y29" i="26"/>
  <c r="Y37" i="26"/>
  <c r="Y38" i="26"/>
  <c r="Y44" i="26"/>
  <c r="Y51" i="26"/>
  <c r="Y55" i="26"/>
  <c r="Y56" i="26"/>
  <c r="Y60" i="26"/>
  <c r="Y67" i="26"/>
  <c r="Y72" i="26"/>
  <c r="Y73" i="26"/>
  <c r="Y76" i="26"/>
  <c r="Y82" i="26"/>
  <c r="X82" i="25"/>
  <c r="X76" i="25"/>
  <c r="X73" i="25"/>
  <c r="X72" i="25"/>
  <c r="X67" i="25"/>
  <c r="X60" i="25"/>
  <c r="X56" i="25"/>
  <c r="X55" i="25"/>
  <c r="X51" i="25"/>
  <c r="X44" i="25"/>
  <c r="X23" i="25"/>
  <c r="X25" i="25"/>
  <c r="X27" i="25"/>
  <c r="X29" i="25"/>
  <c r="T225" i="25" l="1"/>
  <c r="S565" i="25"/>
  <c r="U565" i="25"/>
  <c r="R565" i="25"/>
  <c r="T565" i="25"/>
  <c r="Q565" i="25"/>
  <c r="O565" i="25"/>
  <c r="N565" i="25"/>
  <c r="V565" i="25"/>
  <c r="L565" i="25"/>
  <c r="K565" i="25"/>
  <c r="N225" i="25"/>
  <c r="Q225" i="25"/>
  <c r="P225" i="27"/>
  <c r="J225" i="27" s="1"/>
  <c r="S225" i="25"/>
  <c r="V225" i="25"/>
  <c r="R225" i="25"/>
  <c r="L225" i="25"/>
  <c r="O225" i="25"/>
  <c r="U225" i="25"/>
  <c r="K225" i="25"/>
  <c r="W82" i="27"/>
  <c r="W76" i="27"/>
  <c r="W72" i="27"/>
  <c r="W67" i="27"/>
  <c r="W60" i="27"/>
  <c r="W56" i="27"/>
  <c r="W55" i="27"/>
  <c r="W44" i="27"/>
  <c r="W38" i="27"/>
  <c r="W37" i="27"/>
  <c r="W29" i="27"/>
  <c r="W27" i="27"/>
  <c r="W25" i="27"/>
  <c r="W23" i="27"/>
  <c r="W82" i="25"/>
  <c r="W76" i="25"/>
  <c r="W73" i="25"/>
  <c r="W72" i="25"/>
  <c r="W67" i="25"/>
  <c r="W60" i="25"/>
  <c r="W56" i="25"/>
  <c r="W55" i="25"/>
  <c r="W44" i="25"/>
  <c r="W38" i="25"/>
  <c r="W37" i="25"/>
  <c r="W29" i="25"/>
  <c r="W27" i="25"/>
  <c r="W25" i="25"/>
  <c r="W23" i="25"/>
  <c r="M225" i="25" l="1"/>
  <c r="P225" i="25"/>
  <c r="J225" i="25" l="1"/>
  <c r="S41" i="27"/>
  <c r="S85" i="27" s="1"/>
  <c r="S51" i="27"/>
  <c r="S58" i="27"/>
  <c r="S41" i="26"/>
  <c r="S85" i="26" s="1"/>
  <c r="S58" i="26"/>
  <c r="S51" i="25"/>
  <c r="S41" i="25"/>
  <c r="S85" i="25" s="1"/>
  <c r="L35" i="26" l="1"/>
  <c r="M35" i="26"/>
  <c r="L35" i="27"/>
  <c r="M35" i="27"/>
  <c r="L35" i="1"/>
  <c r="M35" i="1"/>
  <c r="K35" i="26"/>
  <c r="K35" i="27"/>
  <c r="H35" i="26"/>
  <c r="Y35" i="26" s="1"/>
  <c r="H35" i="27"/>
  <c r="Y35" i="27" s="1"/>
  <c r="W35" i="27" l="1"/>
  <c r="F647" i="25"/>
  <c r="F647" i="26"/>
  <c r="F647" i="27"/>
  <c r="L634" i="1"/>
  <c r="M634" i="1"/>
  <c r="K634" i="1"/>
  <c r="H303" i="25" l="1"/>
  <c r="L607" i="1" l="1"/>
  <c r="L68" i="1" s="1"/>
  <c r="M607" i="1"/>
  <c r="M68" i="1" s="1"/>
  <c r="L629" i="1"/>
  <c r="L645" i="1" s="1"/>
  <c r="M629" i="1"/>
  <c r="M645" i="1" s="1"/>
  <c r="K629" i="1"/>
  <c r="L392" i="1"/>
  <c r="M392" i="1"/>
  <c r="K392" i="1"/>
  <c r="L396" i="1"/>
  <c r="L395" i="1"/>
  <c r="M395" i="1"/>
  <c r="K395" i="1"/>
  <c r="L394" i="1"/>
  <c r="L391" i="1"/>
  <c r="M383" i="1"/>
  <c r="L384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M372" i="1"/>
  <c r="L362" i="1"/>
  <c r="L361" i="1"/>
  <c r="M361" i="1"/>
  <c r="L359" i="1"/>
  <c r="M359" i="1"/>
  <c r="L352" i="1"/>
  <c r="M352" i="1"/>
  <c r="L353" i="1"/>
  <c r="M353" i="1"/>
  <c r="L354" i="1"/>
  <c r="M354" i="1"/>
  <c r="L355" i="1"/>
  <c r="M355" i="1"/>
  <c r="L356" i="1"/>
  <c r="M356" i="1"/>
  <c r="I335" i="1"/>
  <c r="I336" i="1" s="1"/>
  <c r="J335" i="1"/>
  <c r="J336" i="1" s="1"/>
  <c r="L340" i="1"/>
  <c r="M340" i="1"/>
  <c r="L341" i="1"/>
  <c r="M341" i="1"/>
  <c r="L342" i="1"/>
  <c r="M342" i="1"/>
  <c r="L343" i="1"/>
  <c r="M343" i="1"/>
  <c r="L339" i="1"/>
  <c r="M339" i="1"/>
  <c r="L334" i="1"/>
  <c r="M334" i="1"/>
  <c r="L333" i="1"/>
  <c r="M333" i="1"/>
  <c r="L331" i="1"/>
  <c r="M331" i="1"/>
  <c r="L330" i="1"/>
  <c r="M330" i="1"/>
  <c r="K645" i="1" l="1"/>
  <c r="L335" i="1"/>
  <c r="L336" i="1" s="1"/>
  <c r="M335" i="1"/>
  <c r="M336" i="1" s="1"/>
  <c r="L386" i="1"/>
  <c r="M386" i="1"/>
  <c r="L286" i="1" l="1"/>
  <c r="M286" i="1"/>
  <c r="K286" i="1"/>
  <c r="L285" i="1"/>
  <c r="M285" i="1"/>
  <c r="K285" i="1"/>
  <c r="L291" i="1"/>
  <c r="M291" i="1"/>
  <c r="K291" i="1"/>
  <c r="H82" i="30" l="1"/>
  <c r="E82" i="30"/>
  <c r="I82" i="30"/>
  <c r="D82" i="30"/>
  <c r="L591" i="1"/>
  <c r="M591" i="1"/>
  <c r="K554" i="1"/>
  <c r="L554" i="1"/>
  <c r="M554" i="1"/>
  <c r="K555" i="1"/>
  <c r="L555" i="1"/>
  <c r="M555" i="1"/>
  <c r="K556" i="1"/>
  <c r="L556" i="1"/>
  <c r="M556" i="1"/>
  <c r="K557" i="1"/>
  <c r="L557" i="1"/>
  <c r="M557" i="1"/>
  <c r="K558" i="1"/>
  <c r="L558" i="1"/>
  <c r="M558" i="1"/>
  <c r="K559" i="1"/>
  <c r="L559" i="1"/>
  <c r="M559" i="1"/>
  <c r="K560" i="1"/>
  <c r="L560" i="1"/>
  <c r="M560" i="1"/>
  <c r="K561" i="1"/>
  <c r="L561" i="1"/>
  <c r="M561" i="1"/>
  <c r="K562" i="1"/>
  <c r="L562" i="1"/>
  <c r="M562" i="1"/>
  <c r="K563" i="1"/>
  <c r="M563" i="1"/>
  <c r="M564" i="1"/>
  <c r="H565" i="25"/>
  <c r="H565" i="26"/>
  <c r="M565" i="1"/>
  <c r="H565" i="27" s="1"/>
  <c r="K566" i="1"/>
  <c r="L566" i="1"/>
  <c r="H566" i="26" s="1"/>
  <c r="M566" i="1"/>
  <c r="K567" i="1"/>
  <c r="L567" i="1"/>
  <c r="M567" i="1"/>
  <c r="L553" i="1"/>
  <c r="M553" i="1"/>
  <c r="K553" i="1"/>
  <c r="L533" i="1"/>
  <c r="M533" i="1"/>
  <c r="K533" i="1"/>
  <c r="J490" i="28" l="1"/>
  <c r="K402" i="1"/>
  <c r="L402" i="1"/>
  <c r="M402" i="1"/>
  <c r="L403" i="1"/>
  <c r="M403" i="1"/>
  <c r="L401" i="1"/>
  <c r="M401" i="1"/>
  <c r="K401" i="1"/>
  <c r="M357" i="1"/>
  <c r="K257" i="1" l="1"/>
  <c r="K271" i="1"/>
  <c r="K258" i="1"/>
  <c r="K214" i="1"/>
  <c r="K221" i="1"/>
  <c r="K211" i="1"/>
  <c r="K35" i="1" l="1"/>
  <c r="H35" i="1" s="1"/>
  <c r="F35" i="1" s="1"/>
  <c r="G35" i="1" s="1"/>
  <c r="P79" i="27" l="1"/>
  <c r="P736" i="27"/>
  <c r="P723" i="27"/>
  <c r="P702" i="27"/>
  <c r="P699" i="27"/>
  <c r="P696" i="27"/>
  <c r="P693" i="27"/>
  <c r="P673" i="27"/>
  <c r="P663" i="27"/>
  <c r="P653" i="27"/>
  <c r="P639" i="27"/>
  <c r="P635" i="27"/>
  <c r="P530" i="27"/>
  <c r="P438" i="27"/>
  <c r="P428" i="27"/>
  <c r="P345" i="27"/>
  <c r="P319" i="27"/>
  <c r="P307" i="27"/>
  <c r="P305" i="27"/>
  <c r="P255" i="27"/>
  <c r="P210" i="27"/>
  <c r="P169" i="27"/>
  <c r="P70" i="27"/>
  <c r="P736" i="26"/>
  <c r="P723" i="26"/>
  <c r="P702" i="26"/>
  <c r="P699" i="26"/>
  <c r="P696" i="26"/>
  <c r="P693" i="26"/>
  <c r="P673" i="26"/>
  <c r="P668" i="26"/>
  <c r="P667" i="26"/>
  <c r="P666" i="26"/>
  <c r="P665" i="26"/>
  <c r="P663" i="26"/>
  <c r="P658" i="26"/>
  <c r="P657" i="26"/>
  <c r="P656" i="26"/>
  <c r="P655" i="26"/>
  <c r="P653" i="26"/>
  <c r="P651" i="26"/>
  <c r="P650" i="26"/>
  <c r="P649" i="26"/>
  <c r="P648" i="26"/>
  <c r="P646" i="26"/>
  <c r="P642" i="26"/>
  <c r="P641" i="26"/>
  <c r="P639" i="26"/>
  <c r="P637" i="26"/>
  <c r="P635" i="26"/>
  <c r="P634" i="26"/>
  <c r="P631" i="26"/>
  <c r="P625" i="26"/>
  <c r="P624" i="26"/>
  <c r="P622" i="26"/>
  <c r="P621" i="26"/>
  <c r="P620" i="26"/>
  <c r="P619" i="26"/>
  <c r="P618" i="26"/>
  <c r="P617" i="26"/>
  <c r="P616" i="26"/>
  <c r="P615" i="26"/>
  <c r="P614" i="26"/>
  <c r="P613" i="26"/>
  <c r="P612" i="26"/>
  <c r="P610" i="26"/>
  <c r="P609" i="26"/>
  <c r="P604" i="26"/>
  <c r="P603" i="26"/>
  <c r="P602" i="26"/>
  <c r="P601" i="26"/>
  <c r="P600" i="26"/>
  <c r="P599" i="26"/>
  <c r="P598" i="26"/>
  <c r="P596" i="26"/>
  <c r="P595" i="26"/>
  <c r="P593" i="26"/>
  <c r="P592" i="26"/>
  <c r="P585" i="26"/>
  <c r="P584" i="26"/>
  <c r="P583" i="26"/>
  <c r="P570" i="26"/>
  <c r="P569" i="26"/>
  <c r="P552" i="26"/>
  <c r="P551" i="26"/>
  <c r="P550" i="26"/>
  <c r="P539" i="26"/>
  <c r="P538" i="26"/>
  <c r="P537" i="26"/>
  <c r="P532" i="26"/>
  <c r="P531" i="26"/>
  <c r="P530" i="26"/>
  <c r="P529" i="26"/>
  <c r="P528" i="26"/>
  <c r="P527" i="26"/>
  <c r="P526" i="26"/>
  <c r="P524" i="26"/>
  <c r="P516" i="26"/>
  <c r="P515" i="26"/>
  <c r="P508" i="26"/>
  <c r="P507" i="26"/>
  <c r="P499" i="26"/>
  <c r="P498" i="26"/>
  <c r="P497" i="26"/>
  <c r="P496" i="26"/>
  <c r="P494" i="26"/>
  <c r="P492" i="26"/>
  <c r="P481" i="26"/>
  <c r="P469" i="26"/>
  <c r="P468" i="26"/>
  <c r="P467" i="26"/>
  <c r="P466" i="26"/>
  <c r="P464" i="26"/>
  <c r="P456" i="26"/>
  <c r="P455" i="26"/>
  <c r="P445" i="26"/>
  <c r="P444" i="26"/>
  <c r="P443" i="26"/>
  <c r="P442" i="26"/>
  <c r="P441" i="26"/>
  <c r="P440" i="26"/>
  <c r="P438" i="26"/>
  <c r="P434" i="26"/>
  <c r="P433" i="26"/>
  <c r="P432" i="26"/>
  <c r="P431" i="26"/>
  <c r="P430" i="26"/>
  <c r="P428" i="26"/>
  <c r="P411" i="26"/>
  <c r="P410" i="26"/>
  <c r="P409" i="26"/>
  <c r="P408" i="26"/>
  <c r="P400" i="26"/>
  <c r="P399" i="26"/>
  <c r="P390" i="26"/>
  <c r="P389" i="26"/>
  <c r="P381" i="26"/>
  <c r="P380" i="26"/>
  <c r="P379" i="26"/>
  <c r="P378" i="26"/>
  <c r="P376" i="26"/>
  <c r="P364" i="26"/>
  <c r="P350" i="26"/>
  <c r="P349" i="26"/>
  <c r="P348" i="26"/>
  <c r="P347" i="26"/>
  <c r="P345" i="26"/>
  <c r="P337" i="26"/>
  <c r="P336" i="26"/>
  <c r="P325" i="26"/>
  <c r="P324" i="26"/>
  <c r="P323" i="26"/>
  <c r="P322" i="26"/>
  <c r="P321" i="26"/>
  <c r="P319" i="26"/>
  <c r="P315" i="26"/>
  <c r="P314" i="26"/>
  <c r="P313" i="26"/>
  <c r="P312" i="26"/>
  <c r="P311" i="26"/>
  <c r="P310" i="26"/>
  <c r="P309" i="26"/>
  <c r="P307" i="26"/>
  <c r="P305" i="26"/>
  <c r="P295" i="26"/>
  <c r="P294" i="26"/>
  <c r="P293" i="26"/>
  <c r="P281" i="26"/>
  <c r="P280" i="26"/>
  <c r="P279" i="26"/>
  <c r="P278" i="26"/>
  <c r="P277" i="26"/>
  <c r="P275" i="26"/>
  <c r="P274" i="26"/>
  <c r="P273" i="26"/>
  <c r="P272" i="26"/>
  <c r="P271" i="26"/>
  <c r="P269" i="26"/>
  <c r="P268" i="26"/>
  <c r="P267" i="26"/>
  <c r="P263" i="26"/>
  <c r="P262" i="26"/>
  <c r="P261" i="26"/>
  <c r="P260" i="26"/>
  <c r="P258" i="26"/>
  <c r="P255" i="26"/>
  <c r="P254" i="26"/>
  <c r="P252" i="26"/>
  <c r="P251" i="26"/>
  <c r="P250" i="26"/>
  <c r="P248" i="26"/>
  <c r="P246" i="26"/>
  <c r="P244" i="26"/>
  <c r="P232" i="26"/>
  <c r="P231" i="26"/>
  <c r="P230" i="26"/>
  <c r="P229" i="26"/>
  <c r="P228" i="26"/>
  <c r="P227" i="26"/>
  <c r="P210" i="26"/>
  <c r="P209" i="26"/>
  <c r="P207" i="26"/>
  <c r="P197" i="26"/>
  <c r="P196" i="26"/>
  <c r="P195" i="26"/>
  <c r="P194" i="26"/>
  <c r="P193" i="26"/>
  <c r="P192" i="26"/>
  <c r="P187" i="26"/>
  <c r="P186" i="26"/>
  <c r="P185" i="26"/>
  <c r="P184" i="26"/>
  <c r="P183" i="26"/>
  <c r="P182" i="26"/>
  <c r="P181" i="26"/>
  <c r="P180" i="26"/>
  <c r="P179" i="26"/>
  <c r="P178" i="26"/>
  <c r="P176" i="26"/>
  <c r="P175" i="26"/>
  <c r="P174" i="26"/>
  <c r="P173" i="26"/>
  <c r="P172" i="26"/>
  <c r="P170" i="26"/>
  <c r="P169" i="26"/>
  <c r="P167" i="26"/>
  <c r="P166" i="26"/>
  <c r="P165" i="26"/>
  <c r="P164" i="26"/>
  <c r="P163" i="26"/>
  <c r="P161" i="26"/>
  <c r="P150" i="26"/>
  <c r="P149" i="26"/>
  <c r="P148" i="26"/>
  <c r="P140" i="26"/>
  <c r="P136" i="26"/>
  <c r="P132" i="26"/>
  <c r="P131" i="26"/>
  <c r="P127" i="26"/>
  <c r="P126" i="26"/>
  <c r="P122" i="26"/>
  <c r="P118" i="26"/>
  <c r="P113" i="26"/>
  <c r="P112" i="26"/>
  <c r="P110" i="26"/>
  <c r="P100" i="26"/>
  <c r="P99" i="26"/>
  <c r="P98" i="26"/>
  <c r="P97" i="26"/>
  <c r="P92" i="26"/>
  <c r="P91" i="26"/>
  <c r="P90" i="26"/>
  <c r="P89" i="26"/>
  <c r="P88" i="26"/>
  <c r="P82" i="26"/>
  <c r="W82" i="26" s="1"/>
  <c r="P79" i="26"/>
  <c r="P76" i="26"/>
  <c r="W76" i="26" s="1"/>
  <c r="P73" i="26"/>
  <c r="W73" i="26" s="1"/>
  <c r="P72" i="26"/>
  <c r="W72" i="26" s="1"/>
  <c r="P67" i="26"/>
  <c r="W67" i="26" s="1"/>
  <c r="P60" i="26"/>
  <c r="W60" i="26" s="1"/>
  <c r="P56" i="26"/>
  <c r="W56" i="26" s="1"/>
  <c r="P55" i="26"/>
  <c r="W55" i="26" s="1"/>
  <c r="P51" i="26"/>
  <c r="W51" i="26" s="1"/>
  <c r="P44" i="26"/>
  <c r="W44" i="26" s="1"/>
  <c r="P42" i="26"/>
  <c r="P38" i="26"/>
  <c r="W38" i="26" s="1"/>
  <c r="P37" i="26"/>
  <c r="W37" i="26" s="1"/>
  <c r="P35" i="26"/>
  <c r="W35" i="26" s="1"/>
  <c r="P29" i="26"/>
  <c r="W29" i="26" s="1"/>
  <c r="P27" i="26"/>
  <c r="W27" i="26" s="1"/>
  <c r="P25" i="26"/>
  <c r="W25" i="26" s="1"/>
  <c r="P23" i="26"/>
  <c r="W23" i="26" s="1"/>
  <c r="P738" i="25"/>
  <c r="G82" i="30" s="1"/>
  <c r="P723" i="25"/>
  <c r="P702" i="25"/>
  <c r="P699" i="25"/>
  <c r="P696" i="25"/>
  <c r="P693" i="25"/>
  <c r="P684" i="25"/>
  <c r="P681" i="25"/>
  <c r="P680" i="25"/>
  <c r="P678" i="25"/>
  <c r="P673" i="25"/>
  <c r="G17" i="30" s="1"/>
  <c r="P671" i="25"/>
  <c r="G15" i="30" s="1"/>
  <c r="P364" i="25"/>
  <c r="P79" i="25"/>
  <c r="P65" i="25"/>
  <c r="P42" i="25"/>
  <c r="I19" i="30" l="1"/>
  <c r="H19" i="30"/>
  <c r="E19" i="30"/>
  <c r="D19" i="30"/>
  <c r="P675" i="25" l="1"/>
  <c r="G19" i="30" s="1"/>
  <c r="M70" i="27"/>
  <c r="P669" i="25" l="1"/>
  <c r="M669" i="25"/>
  <c r="J669" i="25" l="1"/>
  <c r="G556" i="28"/>
  <c r="R102" i="24"/>
  <c r="R101" i="24"/>
  <c r="R100" i="24"/>
  <c r="G272" i="28"/>
  <c r="H272" i="28"/>
  <c r="V673" i="27" l="1"/>
  <c r="V673" i="26"/>
  <c r="A14" i="31" l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14" i="30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I13" i="30"/>
  <c r="H13" i="30"/>
  <c r="E13" i="30"/>
  <c r="D13" i="30"/>
  <c r="U670" i="25"/>
  <c r="I14" i="30" s="1"/>
  <c r="T670" i="25"/>
  <c r="H14" i="30" s="1"/>
  <c r="R670" i="25"/>
  <c r="R670" i="27" s="1"/>
  <c r="Q670" i="25"/>
  <c r="O670" i="25"/>
  <c r="N670" i="25"/>
  <c r="L670" i="25"/>
  <c r="E14" i="30" s="1"/>
  <c r="K670" i="25"/>
  <c r="V738" i="27"/>
  <c r="U738" i="27"/>
  <c r="T738" i="27"/>
  <c r="R738" i="27"/>
  <c r="Q738" i="27"/>
  <c r="O738" i="27"/>
  <c r="N738" i="27"/>
  <c r="L738" i="27"/>
  <c r="K738" i="27"/>
  <c r="V688" i="27"/>
  <c r="V689" i="27" s="1"/>
  <c r="V686" i="27"/>
  <c r="U686" i="27"/>
  <c r="V684" i="27"/>
  <c r="U684" i="27"/>
  <c r="T684" i="27"/>
  <c r="R684" i="27"/>
  <c r="Q684" i="27"/>
  <c r="P684" i="27" s="1"/>
  <c r="V683" i="27"/>
  <c r="V682" i="27"/>
  <c r="U682" i="27"/>
  <c r="T682" i="27"/>
  <c r="V681" i="27"/>
  <c r="U681" i="27"/>
  <c r="T681" i="27"/>
  <c r="R681" i="27"/>
  <c r="Q681" i="27"/>
  <c r="P681" i="27" s="1"/>
  <c r="V680" i="27"/>
  <c r="U680" i="27"/>
  <c r="T680" i="27"/>
  <c r="R680" i="27"/>
  <c r="Q680" i="27"/>
  <c r="P680" i="27" s="1"/>
  <c r="V679" i="27"/>
  <c r="U679" i="27"/>
  <c r="V678" i="27"/>
  <c r="U678" i="27"/>
  <c r="T678" i="27"/>
  <c r="R678" i="27"/>
  <c r="Q678" i="27"/>
  <c r="V677" i="27"/>
  <c r="U677" i="27"/>
  <c r="V676" i="27"/>
  <c r="V733" i="27" s="1"/>
  <c r="V675" i="27"/>
  <c r="U675" i="27"/>
  <c r="T675" i="27"/>
  <c r="R675" i="27"/>
  <c r="Q675" i="27"/>
  <c r="V674" i="27"/>
  <c r="O684" i="27"/>
  <c r="N684" i="27"/>
  <c r="O681" i="27"/>
  <c r="N681" i="27"/>
  <c r="O680" i="27"/>
  <c r="N680" i="27"/>
  <c r="O675" i="27"/>
  <c r="N675" i="27"/>
  <c r="L675" i="27"/>
  <c r="L680" i="27"/>
  <c r="L681" i="27"/>
  <c r="L684" i="27"/>
  <c r="L686" i="27"/>
  <c r="K675" i="27"/>
  <c r="K680" i="27"/>
  <c r="K681" i="27"/>
  <c r="K684" i="27"/>
  <c r="K686" i="27"/>
  <c r="V672" i="27"/>
  <c r="T672" i="27"/>
  <c r="V671" i="27"/>
  <c r="U671" i="27"/>
  <c r="U735" i="27" s="1"/>
  <c r="T671" i="27"/>
  <c r="T735" i="27" s="1"/>
  <c r="R671" i="27"/>
  <c r="R735" i="27" s="1"/>
  <c r="Q671" i="27"/>
  <c r="V670" i="27"/>
  <c r="V669" i="27"/>
  <c r="U669" i="27"/>
  <c r="U734" i="27" s="1"/>
  <c r="T669" i="27"/>
  <c r="T734" i="27" s="1"/>
  <c r="R669" i="27"/>
  <c r="R734" i="27" s="1"/>
  <c r="Q669" i="27"/>
  <c r="O671" i="27"/>
  <c r="N671" i="27"/>
  <c r="N735" i="27" s="1"/>
  <c r="O669" i="27"/>
  <c r="N669" i="27"/>
  <c r="L669" i="27"/>
  <c r="L734" i="27" s="1"/>
  <c r="L671" i="27"/>
  <c r="L735" i="27" s="1"/>
  <c r="K671" i="27"/>
  <c r="K669" i="27"/>
  <c r="V738" i="26"/>
  <c r="U738" i="26"/>
  <c r="T738" i="26"/>
  <c r="R738" i="26"/>
  <c r="Q738" i="26"/>
  <c r="O738" i="26"/>
  <c r="N738" i="26"/>
  <c r="L738" i="26"/>
  <c r="K738" i="26"/>
  <c r="V688" i="26"/>
  <c r="V689" i="26" s="1"/>
  <c r="V686" i="26"/>
  <c r="U686" i="26"/>
  <c r="V684" i="26"/>
  <c r="U684" i="26"/>
  <c r="T684" i="26"/>
  <c r="R684" i="26"/>
  <c r="Q684" i="26"/>
  <c r="P684" i="26" s="1"/>
  <c r="V683" i="26"/>
  <c r="V682" i="26"/>
  <c r="U682" i="26"/>
  <c r="T682" i="26"/>
  <c r="V681" i="26"/>
  <c r="U681" i="26"/>
  <c r="T681" i="26"/>
  <c r="R681" i="26"/>
  <c r="Q681" i="26"/>
  <c r="P681" i="26" s="1"/>
  <c r="V680" i="26"/>
  <c r="U680" i="26"/>
  <c r="T680" i="26"/>
  <c r="R680" i="26"/>
  <c r="Q680" i="26"/>
  <c r="V679" i="26"/>
  <c r="U679" i="26"/>
  <c r="V678" i="26"/>
  <c r="U678" i="26"/>
  <c r="T678" i="26"/>
  <c r="R678" i="26"/>
  <c r="Q678" i="26"/>
  <c r="P678" i="26" s="1"/>
  <c r="V677" i="26"/>
  <c r="U677" i="26"/>
  <c r="T677" i="26"/>
  <c r="V676" i="26"/>
  <c r="V675" i="26"/>
  <c r="U675" i="26"/>
  <c r="T675" i="26"/>
  <c r="R675" i="26"/>
  <c r="Q675" i="26"/>
  <c r="V674" i="26"/>
  <c r="O684" i="26"/>
  <c r="N684" i="26"/>
  <c r="O681" i="26"/>
  <c r="N681" i="26"/>
  <c r="O680" i="26"/>
  <c r="N680" i="26"/>
  <c r="O675" i="26"/>
  <c r="N675" i="26"/>
  <c r="L675" i="26"/>
  <c r="L680" i="26"/>
  <c r="L681" i="26"/>
  <c r="L684" i="26"/>
  <c r="L686" i="26"/>
  <c r="K686" i="26"/>
  <c r="V672" i="26"/>
  <c r="T672" i="26"/>
  <c r="V671" i="26"/>
  <c r="U735" i="26"/>
  <c r="T671" i="26"/>
  <c r="T735" i="26" s="1"/>
  <c r="R671" i="26"/>
  <c r="Q671" i="26"/>
  <c r="V670" i="26"/>
  <c r="V669" i="26"/>
  <c r="V734" i="26" s="1"/>
  <c r="U669" i="26"/>
  <c r="U734" i="26" s="1"/>
  <c r="T669" i="26"/>
  <c r="T734" i="26" s="1"/>
  <c r="R669" i="26"/>
  <c r="R734" i="26" s="1"/>
  <c r="Q669" i="26"/>
  <c r="O671" i="26"/>
  <c r="O735" i="26" s="1"/>
  <c r="N671" i="26"/>
  <c r="O669" i="26"/>
  <c r="O734" i="26" s="1"/>
  <c r="N669" i="26"/>
  <c r="N734" i="26" s="1"/>
  <c r="L669" i="26"/>
  <c r="L734" i="26" s="1"/>
  <c r="L671" i="26"/>
  <c r="L735" i="26" s="1"/>
  <c r="K675" i="26"/>
  <c r="K680" i="26"/>
  <c r="K681" i="26"/>
  <c r="K684" i="26"/>
  <c r="K671" i="26"/>
  <c r="K669" i="26"/>
  <c r="H634" i="27"/>
  <c r="A15" i="29"/>
  <c r="A16" i="29" s="1"/>
  <c r="A17" i="29" s="1"/>
  <c r="A18" i="29" s="1"/>
  <c r="A19" i="29" s="1"/>
  <c r="H291" i="27"/>
  <c r="H291" i="26"/>
  <c r="D638" i="1"/>
  <c r="D638" i="27"/>
  <c r="S638" i="27" s="1"/>
  <c r="D638" i="25"/>
  <c r="D638" i="26"/>
  <c r="H634" i="25"/>
  <c r="H291" i="25"/>
  <c r="H258" i="25"/>
  <c r="H634" i="1"/>
  <c r="H258" i="1"/>
  <c r="H291" i="1"/>
  <c r="H271" i="25"/>
  <c r="H565" i="1"/>
  <c r="H589" i="1"/>
  <c r="P48" i="1"/>
  <c r="O48" i="1"/>
  <c r="K1" i="27"/>
  <c r="B3" i="27"/>
  <c r="B4" i="27"/>
  <c r="B5" i="27"/>
  <c r="B6" i="27"/>
  <c r="B12" i="27"/>
  <c r="C12" i="27" s="1"/>
  <c r="D12" i="27" s="1"/>
  <c r="E12" i="27" s="1"/>
  <c r="H12" i="27" s="1"/>
  <c r="I12" i="27" s="1"/>
  <c r="J12" i="27" s="1"/>
  <c r="K12" i="27" s="1"/>
  <c r="L12" i="27" s="1"/>
  <c r="M12" i="27" s="1"/>
  <c r="N12" i="27" s="1"/>
  <c r="A17" i="27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E31" i="24"/>
  <c r="K41" i="27"/>
  <c r="L41" i="27"/>
  <c r="L85" i="27" s="1"/>
  <c r="N41" i="27"/>
  <c r="O41" i="27"/>
  <c r="Q41" i="27"/>
  <c r="Q85" i="27" s="1"/>
  <c r="R41" i="27"/>
  <c r="T41" i="27"/>
  <c r="T85" i="27" s="1"/>
  <c r="U41" i="27"/>
  <c r="U85" i="27"/>
  <c r="V41" i="27"/>
  <c r="M42" i="27"/>
  <c r="K51" i="27"/>
  <c r="L51" i="27"/>
  <c r="N51" i="27"/>
  <c r="O51" i="27"/>
  <c r="Q51" i="27"/>
  <c r="R51" i="27"/>
  <c r="T51" i="27"/>
  <c r="U51" i="27"/>
  <c r="V51" i="27"/>
  <c r="I51" i="27" s="1"/>
  <c r="A58" i="27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M79" i="27"/>
  <c r="A93" i="27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A105" i="27" s="1"/>
  <c r="A106" i="27" s="1"/>
  <c r="A107" i="27" s="1"/>
  <c r="A108" i="27" s="1"/>
  <c r="A109" i="27" s="1"/>
  <c r="A110" i="27" s="1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A128" i="27" s="1"/>
  <c r="A129" i="27" s="1"/>
  <c r="A130" i="27" s="1"/>
  <c r="A131" i="27" s="1"/>
  <c r="A132" i="27" s="1"/>
  <c r="A133" i="27" s="1"/>
  <c r="A134" i="27" s="1"/>
  <c r="A135" i="27" s="1"/>
  <c r="A136" i="27" s="1"/>
  <c r="A137" i="27" s="1"/>
  <c r="A138" i="27" s="1"/>
  <c r="A139" i="27" s="1"/>
  <c r="A140" i="27" s="1"/>
  <c r="A141" i="27" s="1"/>
  <c r="A142" i="27" s="1"/>
  <c r="A143" i="27" s="1"/>
  <c r="A144" i="27" s="1"/>
  <c r="A145" i="27" s="1"/>
  <c r="A146" i="27" s="1"/>
  <c r="A147" i="27" s="1"/>
  <c r="W97" i="27"/>
  <c r="W98" i="27"/>
  <c r="W99" i="27"/>
  <c r="W100" i="27"/>
  <c r="H101" i="27"/>
  <c r="H102" i="27"/>
  <c r="H103" i="27"/>
  <c r="Q542" i="27" s="1"/>
  <c r="H104" i="27"/>
  <c r="K543" i="27" s="1"/>
  <c r="H105" i="27"/>
  <c r="V202" i="27" s="1"/>
  <c r="H106" i="27"/>
  <c r="H107" i="27"/>
  <c r="H108" i="27"/>
  <c r="H109" i="27"/>
  <c r="W110" i="27"/>
  <c r="W112" i="27"/>
  <c r="W113" i="27"/>
  <c r="H114" i="27"/>
  <c r="R553" i="27" s="1"/>
  <c r="H115" i="27"/>
  <c r="H116" i="27"/>
  <c r="H117" i="27"/>
  <c r="W118" i="27"/>
  <c r="H119" i="27"/>
  <c r="H120" i="27"/>
  <c r="H121" i="27" s="1"/>
  <c r="W122" i="27"/>
  <c r="H123" i="27"/>
  <c r="H125" i="27" s="1"/>
  <c r="H124" i="27"/>
  <c r="W126" i="27"/>
  <c r="H127" i="27"/>
  <c r="I127" i="27"/>
  <c r="J127" i="27"/>
  <c r="H128" i="27"/>
  <c r="H129" i="27"/>
  <c r="H130" i="27"/>
  <c r="W131" i="27"/>
  <c r="W132" i="27"/>
  <c r="H133" i="27"/>
  <c r="H134" i="27"/>
  <c r="H135" i="27" s="1"/>
  <c r="W136" i="27"/>
  <c r="H137" i="27"/>
  <c r="H138" i="27"/>
  <c r="H139" i="27" s="1"/>
  <c r="W140" i="27"/>
  <c r="H141" i="27"/>
  <c r="H142" i="27"/>
  <c r="H143" i="27"/>
  <c r="H144" i="27"/>
  <c r="H145" i="27"/>
  <c r="W148" i="27"/>
  <c r="W149" i="27"/>
  <c r="W150" i="27"/>
  <c r="A151" i="27"/>
  <c r="A152" i="27" s="1"/>
  <c r="A153" i="27" s="1"/>
  <c r="A154" i="27" s="1"/>
  <c r="A155" i="27" s="1"/>
  <c r="A156" i="27" s="1"/>
  <c r="A157" i="27" s="1"/>
  <c r="A158" i="27" s="1"/>
  <c r="A159" i="27" s="1"/>
  <c r="A160" i="27" s="1"/>
  <c r="A161" i="27" s="1"/>
  <c r="A162" i="27" s="1"/>
  <c r="A163" i="27" s="1"/>
  <c r="A164" i="27" s="1"/>
  <c r="A165" i="27" s="1"/>
  <c r="A166" i="27" s="1"/>
  <c r="A167" i="27" s="1"/>
  <c r="A168" i="27" s="1"/>
  <c r="A169" i="27" s="1"/>
  <c r="A170" i="27" s="1"/>
  <c r="A171" i="27" s="1"/>
  <c r="A172" i="27" s="1"/>
  <c r="A173" i="27" s="1"/>
  <c r="A174" i="27" s="1"/>
  <c r="A175" i="27" s="1"/>
  <c r="A176" i="27" s="1"/>
  <c r="A177" i="27" s="1"/>
  <c r="A178" i="27" s="1"/>
  <c r="A179" i="27" s="1"/>
  <c r="A180" i="27" s="1"/>
  <c r="A181" i="27" s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W161" i="27"/>
  <c r="W163" i="27"/>
  <c r="W164" i="27"/>
  <c r="W165" i="27"/>
  <c r="W166" i="27"/>
  <c r="W167" i="27"/>
  <c r="W169" i="27"/>
  <c r="W170" i="27"/>
  <c r="W172" i="27"/>
  <c r="W173" i="27"/>
  <c r="W174" i="27"/>
  <c r="W175" i="27"/>
  <c r="W176" i="27"/>
  <c r="H177" i="27"/>
  <c r="W178" i="27"/>
  <c r="W179" i="27"/>
  <c r="W180" i="27"/>
  <c r="W181" i="27"/>
  <c r="W182" i="27"/>
  <c r="W183" i="27"/>
  <c r="W184" i="27"/>
  <c r="W185" i="27"/>
  <c r="W186" i="27"/>
  <c r="W187" i="27"/>
  <c r="H188" i="27"/>
  <c r="H189" i="27"/>
  <c r="W192" i="27"/>
  <c r="W193" i="27"/>
  <c r="W194" i="27"/>
  <c r="W195" i="27"/>
  <c r="A196" i="27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W196" i="27"/>
  <c r="W197" i="27"/>
  <c r="D198" i="27"/>
  <c r="H198" i="27"/>
  <c r="D199" i="27"/>
  <c r="H199" i="27"/>
  <c r="D200" i="27"/>
  <c r="H200" i="27"/>
  <c r="D201" i="27"/>
  <c r="H201" i="27"/>
  <c r="D202" i="27"/>
  <c r="H202" i="27"/>
  <c r="D203" i="27"/>
  <c r="H203" i="27"/>
  <c r="D204" i="27"/>
  <c r="H204" i="27"/>
  <c r="D205" i="27"/>
  <c r="H205" i="27"/>
  <c r="D206" i="27"/>
  <c r="H206" i="27"/>
  <c r="W207" i="27"/>
  <c r="W209" i="27"/>
  <c r="W210" i="27"/>
  <c r="D211" i="27"/>
  <c r="H211" i="27"/>
  <c r="D212" i="27"/>
  <c r="H212" i="27"/>
  <c r="D213" i="27"/>
  <c r="H213" i="27"/>
  <c r="D214" i="27"/>
  <c r="H214" i="27"/>
  <c r="D215" i="27"/>
  <c r="H215" i="27"/>
  <c r="D216" i="27"/>
  <c r="H216" i="27"/>
  <c r="D217" i="27"/>
  <c r="H217" i="27"/>
  <c r="D218" i="27"/>
  <c r="H218" i="27"/>
  <c r="D219" i="27"/>
  <c r="H219" i="27"/>
  <c r="D220" i="27"/>
  <c r="H220" i="27"/>
  <c r="D221" i="27"/>
  <c r="H221" i="27"/>
  <c r="D222" i="27"/>
  <c r="H222" i="27"/>
  <c r="D223" i="27"/>
  <c r="H223" i="27"/>
  <c r="D224" i="27"/>
  <c r="H224" i="27"/>
  <c r="W225" i="27"/>
  <c r="W227" i="27"/>
  <c r="W228" i="27"/>
  <c r="W229" i="27"/>
  <c r="W230" i="27"/>
  <c r="W231" i="27"/>
  <c r="W232" i="27"/>
  <c r="D233" i="27"/>
  <c r="H233" i="27"/>
  <c r="D234" i="27"/>
  <c r="D235" i="27"/>
  <c r="D236" i="27"/>
  <c r="D237" i="27"/>
  <c r="D238" i="27"/>
  <c r="D239" i="27"/>
  <c r="D240" i="27"/>
  <c r="D241" i="27"/>
  <c r="D242" i="27"/>
  <c r="D243" i="27"/>
  <c r="W244" i="27"/>
  <c r="W246" i="27"/>
  <c r="W248" i="27"/>
  <c r="W250" i="27"/>
  <c r="W251" i="27"/>
  <c r="W252" i="27"/>
  <c r="A253" i="27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A276" i="27" s="1"/>
  <c r="A277" i="27" s="1"/>
  <c r="A278" i="27" s="1"/>
  <c r="A279" i="27" s="1"/>
  <c r="A280" i="27" s="1"/>
  <c r="A281" i="27" s="1"/>
  <c r="A282" i="27" s="1"/>
  <c r="A283" i="27" s="1"/>
  <c r="A284" i="27" s="1"/>
  <c r="A285" i="27" s="1"/>
  <c r="A286" i="27" s="1"/>
  <c r="A287" i="27" s="1"/>
  <c r="A288" i="27" s="1"/>
  <c r="A289" i="27" s="1"/>
  <c r="A290" i="27" s="1"/>
  <c r="A291" i="27" s="1"/>
  <c r="A292" i="27" s="1"/>
  <c r="A293" i="27" s="1"/>
  <c r="A294" i="27" s="1"/>
  <c r="A295" i="27" s="1"/>
  <c r="A296" i="27" s="1"/>
  <c r="A297" i="27" s="1"/>
  <c r="A298" i="27" s="1"/>
  <c r="A299" i="27" s="1"/>
  <c r="A300" i="27" s="1"/>
  <c r="A301" i="27" s="1"/>
  <c r="A302" i="27" s="1"/>
  <c r="A303" i="27" s="1"/>
  <c r="A304" i="27" s="1"/>
  <c r="A305" i="27" s="1"/>
  <c r="A306" i="27" s="1"/>
  <c r="A307" i="27" s="1"/>
  <c r="A308" i="27" s="1"/>
  <c r="W254" i="27"/>
  <c r="W255" i="27"/>
  <c r="H256" i="27"/>
  <c r="H257" i="27"/>
  <c r="W260" i="27"/>
  <c r="W261" i="27"/>
  <c r="W262" i="27"/>
  <c r="H265" i="27"/>
  <c r="W267" i="27"/>
  <c r="W268" i="27"/>
  <c r="W269" i="27"/>
  <c r="W271" i="27"/>
  <c r="W272" i="27"/>
  <c r="W273" i="27"/>
  <c r="W274" i="27"/>
  <c r="W275" i="27"/>
  <c r="W277" i="27"/>
  <c r="W278" i="27"/>
  <c r="W279" i="27"/>
  <c r="W280" i="27"/>
  <c r="W281" i="27"/>
  <c r="H285" i="27"/>
  <c r="W293" i="27"/>
  <c r="W294" i="27"/>
  <c r="W295" i="27"/>
  <c r="H296" i="27"/>
  <c r="H297" i="27"/>
  <c r="H300" i="27"/>
  <c r="H301" i="27"/>
  <c r="H303" i="27"/>
  <c r="H304" i="27"/>
  <c r="W305" i="27"/>
  <c r="W307" i="27"/>
  <c r="W309" i="27"/>
  <c r="W310" i="27"/>
  <c r="W311" i="27"/>
  <c r="W312" i="27"/>
  <c r="W313" i="27"/>
  <c r="W314" i="27"/>
  <c r="W315" i="27"/>
  <c r="H316" i="27"/>
  <c r="V435" i="27" s="1"/>
  <c r="A317" i="27"/>
  <c r="A318" i="27" s="1"/>
  <c r="A319" i="27" s="1"/>
  <c r="A320" i="27" s="1"/>
  <c r="A321" i="27" s="1"/>
  <c r="A322" i="27" s="1"/>
  <c r="A323" i="27" s="1"/>
  <c r="A324" i="27" s="1"/>
  <c r="A325" i="27" s="1"/>
  <c r="A326" i="27" s="1"/>
  <c r="A327" i="27" s="1"/>
  <c r="A328" i="27" s="1"/>
  <c r="A329" i="27" s="1"/>
  <c r="A330" i="27" s="1"/>
  <c r="A331" i="27" s="1"/>
  <c r="A332" i="27" s="1"/>
  <c r="A333" i="27" s="1"/>
  <c r="A334" i="27" s="1"/>
  <c r="A335" i="27" s="1"/>
  <c r="A336" i="27" s="1"/>
  <c r="A337" i="27" s="1"/>
  <c r="A338" i="27" s="1"/>
  <c r="A339" i="27" s="1"/>
  <c r="A340" i="27" s="1"/>
  <c r="A341" i="27" s="1"/>
  <c r="A342" i="27" s="1"/>
  <c r="A343" i="27" s="1"/>
  <c r="A344" i="27" s="1"/>
  <c r="A345" i="27" s="1"/>
  <c r="A346" i="27" s="1"/>
  <c r="A347" i="27" s="1"/>
  <c r="A348" i="27" s="1"/>
  <c r="A349" i="27" s="1"/>
  <c r="A350" i="27" s="1"/>
  <c r="A351" i="27" s="1"/>
  <c r="A352" i="27" s="1"/>
  <c r="A353" i="27" s="1"/>
  <c r="A354" i="27" s="1"/>
  <c r="A355" i="27" s="1"/>
  <c r="A356" i="27" s="1"/>
  <c r="A357" i="27" s="1"/>
  <c r="A358" i="27" s="1"/>
  <c r="H317" i="27"/>
  <c r="S436" i="27" s="1"/>
  <c r="W319" i="27"/>
  <c r="W321" i="27"/>
  <c r="W322" i="27"/>
  <c r="W323" i="27"/>
  <c r="W324" i="27"/>
  <c r="W325" i="27"/>
  <c r="H326" i="27"/>
  <c r="S446" i="27" s="1"/>
  <c r="H327" i="27"/>
  <c r="S447" i="27" s="1"/>
  <c r="H328" i="27"/>
  <c r="S448" i="27" s="1"/>
  <c r="H329" i="27"/>
  <c r="H330" i="27"/>
  <c r="H331" i="27"/>
  <c r="H332" i="27"/>
  <c r="H333" i="27"/>
  <c r="L452" i="27" s="1"/>
  <c r="H334" i="27"/>
  <c r="O453" i="27" s="1"/>
  <c r="W336" i="27"/>
  <c r="W337" i="27"/>
  <c r="H338" i="27"/>
  <c r="H339" i="27"/>
  <c r="H340" i="27"/>
  <c r="U459" i="27" s="1"/>
  <c r="H341" i="27"/>
  <c r="H342" i="27"/>
  <c r="L461" i="27" s="1"/>
  <c r="H343" i="27"/>
  <c r="W345" i="27"/>
  <c r="W347" i="27"/>
  <c r="W348" i="27"/>
  <c r="W349" i="27"/>
  <c r="W350" i="27"/>
  <c r="H353" i="27"/>
  <c r="H354" i="27"/>
  <c r="V473" i="27" s="1"/>
  <c r="H355" i="27"/>
  <c r="R474" i="27" s="1"/>
  <c r="H356" i="27"/>
  <c r="R475" i="27" s="1"/>
  <c r="H357" i="27"/>
  <c r="T476" i="27" s="1"/>
  <c r="H358" i="27"/>
  <c r="H359" i="27"/>
  <c r="H361" i="27"/>
  <c r="W364" i="27"/>
  <c r="H367" i="27"/>
  <c r="O484" i="27" s="1"/>
  <c r="H368" i="27"/>
  <c r="H369" i="27"/>
  <c r="T486" i="27" s="1"/>
  <c r="H370" i="27"/>
  <c r="H371" i="27"/>
  <c r="L488" i="27" s="1"/>
  <c r="H372" i="27"/>
  <c r="W376" i="27"/>
  <c r="W378" i="27"/>
  <c r="W379" i="27"/>
  <c r="W380" i="27"/>
  <c r="A381" i="27"/>
  <c r="A382" i="27" s="1"/>
  <c r="A383" i="27" s="1"/>
  <c r="A384" i="27" s="1"/>
  <c r="A385" i="27" s="1"/>
  <c r="A386" i="27" s="1"/>
  <c r="A387" i="27" s="1"/>
  <c r="A388" i="27" s="1"/>
  <c r="A389" i="27" s="1"/>
  <c r="A390" i="27" s="1"/>
  <c r="W381" i="27"/>
  <c r="H385" i="27"/>
  <c r="H386" i="27"/>
  <c r="W389" i="27"/>
  <c r="W390" i="27"/>
  <c r="H393" i="27"/>
  <c r="H397" i="27"/>
  <c r="W399" i="27"/>
  <c r="W400" i="27"/>
  <c r="H401" i="27"/>
  <c r="H402" i="27"/>
  <c r="O518" i="27" s="1"/>
  <c r="H403" i="27"/>
  <c r="U519" i="27" s="1"/>
  <c r="H404" i="27"/>
  <c r="S520" i="27" s="1"/>
  <c r="H405" i="27"/>
  <c r="S521" i="27" s="1"/>
  <c r="W408" i="27"/>
  <c r="W409" i="27"/>
  <c r="W410" i="27"/>
  <c r="W411" i="27"/>
  <c r="H413" i="27"/>
  <c r="H417" i="27"/>
  <c r="H421" i="27"/>
  <c r="H423" i="27"/>
  <c r="W428" i="27"/>
  <c r="W430" i="27"/>
  <c r="W431" i="27"/>
  <c r="W432" i="27"/>
  <c r="W433" i="27"/>
  <c r="W434" i="27"/>
  <c r="A435" i="27"/>
  <c r="A436" i="27" s="1"/>
  <c r="A437" i="27" s="1"/>
  <c r="A438" i="27" s="1"/>
  <c r="A439" i="27" s="1"/>
  <c r="A440" i="27" s="1"/>
  <c r="A441" i="27" s="1"/>
  <c r="A442" i="27" s="1"/>
  <c r="A443" i="27" s="1"/>
  <c r="A444" i="27" s="1"/>
  <c r="A445" i="27" s="1"/>
  <c r="A446" i="27" s="1"/>
  <c r="A447" i="27" s="1"/>
  <c r="A448" i="27" s="1"/>
  <c r="A449" i="27" s="1"/>
  <c r="A450" i="27" s="1"/>
  <c r="A451" i="27" s="1"/>
  <c r="A452" i="27" s="1"/>
  <c r="A453" i="27" s="1"/>
  <c r="A454" i="27" s="1"/>
  <c r="A455" i="27" s="1"/>
  <c r="A456" i="27" s="1"/>
  <c r="A457" i="27" s="1"/>
  <c r="A458" i="27" s="1"/>
  <c r="A459" i="27" s="1"/>
  <c r="A460" i="27" s="1"/>
  <c r="A461" i="27" s="1"/>
  <c r="A462" i="27" s="1"/>
  <c r="A463" i="27" s="1"/>
  <c r="A464" i="27" s="1"/>
  <c r="A465" i="27" s="1"/>
  <c r="A466" i="27" s="1"/>
  <c r="A467" i="27" s="1"/>
  <c r="A468" i="27" s="1"/>
  <c r="A469" i="27" s="1"/>
  <c r="A470" i="27" s="1"/>
  <c r="A471" i="27" s="1"/>
  <c r="A472" i="27" s="1"/>
  <c r="A473" i="27" s="1"/>
  <c r="A474" i="27" s="1"/>
  <c r="A475" i="27" s="1"/>
  <c r="A476" i="27" s="1"/>
  <c r="A477" i="27" s="1"/>
  <c r="A478" i="27" s="1"/>
  <c r="A479" i="27" s="1"/>
  <c r="A480" i="27" s="1"/>
  <c r="A481" i="27" s="1"/>
  <c r="A482" i="27" s="1"/>
  <c r="A483" i="27" s="1"/>
  <c r="A484" i="27" s="1"/>
  <c r="A485" i="27" s="1"/>
  <c r="A486" i="27" s="1"/>
  <c r="A487" i="27" s="1"/>
  <c r="A488" i="27" s="1"/>
  <c r="A489" i="27" s="1"/>
  <c r="A490" i="27" s="1"/>
  <c r="A491" i="27" s="1"/>
  <c r="A492" i="27" s="1"/>
  <c r="A493" i="27" s="1"/>
  <c r="A494" i="27" s="1"/>
  <c r="A495" i="27" s="1"/>
  <c r="D435" i="27"/>
  <c r="H435" i="27"/>
  <c r="D436" i="27"/>
  <c r="H436" i="27"/>
  <c r="W438" i="27"/>
  <c r="W440" i="27"/>
  <c r="W441" i="27"/>
  <c r="W442" i="27"/>
  <c r="W443" i="27"/>
  <c r="W444" i="27"/>
  <c r="W445" i="27"/>
  <c r="D446" i="27"/>
  <c r="H446" i="27"/>
  <c r="J371" i="28" s="1"/>
  <c r="D447" i="27"/>
  <c r="H447" i="27"/>
  <c r="D448" i="27"/>
  <c r="H448" i="27"/>
  <c r="D449" i="27"/>
  <c r="H449" i="27"/>
  <c r="D450" i="27"/>
  <c r="H450" i="27"/>
  <c r="D451" i="27"/>
  <c r="H451" i="27"/>
  <c r="D452" i="27"/>
  <c r="H452" i="27"/>
  <c r="D453" i="27"/>
  <c r="H453" i="27"/>
  <c r="W455" i="27"/>
  <c r="W456" i="27"/>
  <c r="D457" i="27"/>
  <c r="H457" i="27"/>
  <c r="D458" i="27"/>
  <c r="H458" i="27"/>
  <c r="D459" i="27"/>
  <c r="H459" i="27"/>
  <c r="D460" i="27"/>
  <c r="H460" i="27"/>
  <c r="D461" i="27"/>
  <c r="H461" i="27"/>
  <c r="D462" i="27"/>
  <c r="H462" i="27"/>
  <c r="W464" i="27"/>
  <c r="W466" i="27"/>
  <c r="W467" i="27"/>
  <c r="W468" i="27"/>
  <c r="W469" i="27"/>
  <c r="D470" i="27"/>
  <c r="D471" i="27"/>
  <c r="H471" i="27"/>
  <c r="D472" i="27"/>
  <c r="H472" i="27"/>
  <c r="D473" i="27"/>
  <c r="H473" i="27"/>
  <c r="D474" i="27"/>
  <c r="H474" i="27"/>
  <c r="D475" i="27"/>
  <c r="H475" i="27"/>
  <c r="D476" i="27"/>
  <c r="H476" i="27"/>
  <c r="D477" i="27"/>
  <c r="H477" i="27"/>
  <c r="D478" i="27"/>
  <c r="H478" i="27"/>
  <c r="D479" i="27"/>
  <c r="H479" i="27"/>
  <c r="W481" i="27"/>
  <c r="D482" i="27"/>
  <c r="H482" i="27"/>
  <c r="D483" i="27"/>
  <c r="H483" i="27"/>
  <c r="D484" i="27"/>
  <c r="H484" i="27"/>
  <c r="D485" i="27"/>
  <c r="H485" i="27"/>
  <c r="D486" i="27"/>
  <c r="H486" i="27"/>
  <c r="D487" i="27"/>
  <c r="H487" i="27"/>
  <c r="D488" i="27"/>
  <c r="H488" i="27"/>
  <c r="D489" i="27"/>
  <c r="H489" i="27"/>
  <c r="D490" i="27"/>
  <c r="H490" i="27"/>
  <c r="W492" i="27"/>
  <c r="W494" i="27"/>
  <c r="W496" i="27"/>
  <c r="W497" i="27"/>
  <c r="W498" i="27"/>
  <c r="A499" i="27"/>
  <c r="A500" i="27" s="1"/>
  <c r="A501" i="27" s="1"/>
  <c r="A502" i="27" s="1"/>
  <c r="A503" i="27" s="1"/>
  <c r="A504" i="27" s="1"/>
  <c r="A505" i="27" s="1"/>
  <c r="A506" i="27" s="1"/>
  <c r="A507" i="27" s="1"/>
  <c r="A508" i="27" s="1"/>
  <c r="A509" i="27" s="1"/>
  <c r="A510" i="27" s="1"/>
  <c r="A511" i="27" s="1"/>
  <c r="A512" i="27" s="1"/>
  <c r="A513" i="27" s="1"/>
  <c r="A514" i="27" s="1"/>
  <c r="A515" i="27" s="1"/>
  <c r="A516" i="27" s="1"/>
  <c r="A517" i="27" s="1"/>
  <c r="A518" i="27" s="1"/>
  <c r="A519" i="27" s="1"/>
  <c r="A520" i="27" s="1"/>
  <c r="A521" i="27" s="1"/>
  <c r="A522" i="27" s="1"/>
  <c r="A523" i="27" s="1"/>
  <c r="A524" i="27" s="1"/>
  <c r="A525" i="27" s="1"/>
  <c r="W499" i="27"/>
  <c r="D500" i="27"/>
  <c r="D501" i="27"/>
  <c r="D502" i="27"/>
  <c r="D503" i="27"/>
  <c r="H503" i="27"/>
  <c r="D504" i="27"/>
  <c r="D505" i="27"/>
  <c r="W507" i="27"/>
  <c r="W508" i="27"/>
  <c r="D509" i="27"/>
  <c r="H509" i="27"/>
  <c r="D511" i="27"/>
  <c r="D512" i="27"/>
  <c r="H512" i="27"/>
  <c r="D513" i="27"/>
  <c r="H513" i="27"/>
  <c r="W515" i="27"/>
  <c r="W516" i="27"/>
  <c r="D517" i="27"/>
  <c r="H517" i="27"/>
  <c r="D518" i="27"/>
  <c r="J443" i="28"/>
  <c r="D519" i="27"/>
  <c r="H519" i="27"/>
  <c r="D520" i="27"/>
  <c r="H520" i="27"/>
  <c r="D521" i="27"/>
  <c r="H521" i="27"/>
  <c r="W524" i="27"/>
  <c r="W526" i="27"/>
  <c r="W527" i="27"/>
  <c r="W528" i="27"/>
  <c r="W529" i="27"/>
  <c r="W530" i="27"/>
  <c r="A531" i="27"/>
  <c r="A532" i="27" s="1"/>
  <c r="A533" i="27" s="1"/>
  <c r="A534" i="27" s="1"/>
  <c r="A535" i="27" s="1"/>
  <c r="A536" i="27" s="1"/>
  <c r="A537" i="27" s="1"/>
  <c r="A538" i="27" s="1"/>
  <c r="A539" i="27" s="1"/>
  <c r="A540" i="27" s="1"/>
  <c r="A541" i="27" s="1"/>
  <c r="A542" i="27" s="1"/>
  <c r="A543" i="27" s="1"/>
  <c r="A544" i="27" s="1"/>
  <c r="A545" i="27" s="1"/>
  <c r="A546" i="27" s="1"/>
  <c r="A547" i="27" s="1"/>
  <c r="A548" i="27" s="1"/>
  <c r="A549" i="27" s="1"/>
  <c r="A550" i="27" s="1"/>
  <c r="A551" i="27" s="1"/>
  <c r="A552" i="27" s="1"/>
  <c r="A553" i="27" s="1"/>
  <c r="A554" i="27" s="1"/>
  <c r="A555" i="27" s="1"/>
  <c r="A556" i="27" s="1"/>
  <c r="A557" i="27" s="1"/>
  <c r="A558" i="27" s="1"/>
  <c r="A559" i="27" s="1"/>
  <c r="A560" i="27" s="1"/>
  <c r="A561" i="27" s="1"/>
  <c r="A562" i="27" s="1"/>
  <c r="A563" i="27" s="1"/>
  <c r="A564" i="27" s="1"/>
  <c r="A565" i="27" s="1"/>
  <c r="A566" i="27" s="1"/>
  <c r="A567" i="27" s="1"/>
  <c r="A568" i="27" s="1"/>
  <c r="A569" i="27" s="1"/>
  <c r="A570" i="27" s="1"/>
  <c r="A571" i="27" s="1"/>
  <c r="A572" i="27" s="1"/>
  <c r="A573" i="27" s="1"/>
  <c r="A574" i="27" s="1"/>
  <c r="A575" i="27" s="1"/>
  <c r="A576" i="27" s="1"/>
  <c r="A577" i="27" s="1"/>
  <c r="A578" i="27" s="1"/>
  <c r="A579" i="27" s="1"/>
  <c r="A580" i="27" s="1"/>
  <c r="A581" i="27" s="1"/>
  <c r="A582" i="27" s="1"/>
  <c r="W531" i="27"/>
  <c r="W532" i="27"/>
  <c r="D533" i="27"/>
  <c r="H533" i="27"/>
  <c r="D534" i="27"/>
  <c r="D535" i="27"/>
  <c r="W537" i="27"/>
  <c r="W538" i="27"/>
  <c r="W539" i="27"/>
  <c r="D540" i="27"/>
  <c r="H540" i="27"/>
  <c r="D541" i="27"/>
  <c r="H541" i="27"/>
  <c r="D542" i="27"/>
  <c r="H542" i="27"/>
  <c r="D543" i="27"/>
  <c r="H543" i="27"/>
  <c r="D544" i="27"/>
  <c r="H544" i="27"/>
  <c r="D545" i="27"/>
  <c r="H545" i="27"/>
  <c r="D546" i="27"/>
  <c r="H546" i="27"/>
  <c r="D547" i="27"/>
  <c r="H547" i="27"/>
  <c r="D548" i="27"/>
  <c r="W550" i="27"/>
  <c r="W551" i="27"/>
  <c r="W552" i="27"/>
  <c r="D553" i="27"/>
  <c r="H553" i="27"/>
  <c r="D554" i="27"/>
  <c r="H554" i="27"/>
  <c r="D555" i="27"/>
  <c r="H555" i="27"/>
  <c r="D556" i="27"/>
  <c r="H556" i="27"/>
  <c r="D557" i="27"/>
  <c r="H557" i="27"/>
  <c r="D558" i="27"/>
  <c r="H558" i="27"/>
  <c r="D559" i="27"/>
  <c r="H559" i="27"/>
  <c r="D560" i="27"/>
  <c r="H560" i="27"/>
  <c r="D561" i="27"/>
  <c r="H561" i="27"/>
  <c r="D562" i="27"/>
  <c r="H562" i="27"/>
  <c r="D563" i="27"/>
  <c r="H563" i="27"/>
  <c r="D564" i="27"/>
  <c r="H564" i="27"/>
  <c r="W565" i="27"/>
  <c r="D566" i="27"/>
  <c r="H566" i="27"/>
  <c r="D567" i="27"/>
  <c r="H567" i="27"/>
  <c r="W569" i="27"/>
  <c r="W570" i="27"/>
  <c r="D571" i="27"/>
  <c r="H571" i="27"/>
  <c r="D572" i="27"/>
  <c r="H572" i="27"/>
  <c r="D573" i="27"/>
  <c r="H573" i="27"/>
  <c r="D574" i="27"/>
  <c r="D575" i="27"/>
  <c r="D576" i="27"/>
  <c r="D577" i="27"/>
  <c r="D578" i="27"/>
  <c r="D579" i="27"/>
  <c r="D580" i="27"/>
  <c r="D581" i="27"/>
  <c r="W583" i="27"/>
  <c r="W584" i="27"/>
  <c r="A585" i="27"/>
  <c r="A586" i="27" s="1"/>
  <c r="A587" i="27" s="1"/>
  <c r="A588" i="27" s="1"/>
  <c r="A589" i="27" s="1"/>
  <c r="A590" i="27" s="1"/>
  <c r="A591" i="27" s="1"/>
  <c r="A592" i="27" s="1"/>
  <c r="A593" i="27" s="1"/>
  <c r="A594" i="27" s="1"/>
  <c r="A595" i="27" s="1"/>
  <c r="A596" i="27" s="1"/>
  <c r="A597" i="27" s="1"/>
  <c r="A598" i="27" s="1"/>
  <c r="A599" i="27" s="1"/>
  <c r="A600" i="27" s="1"/>
  <c r="A601" i="27" s="1"/>
  <c r="A602" i="27" s="1"/>
  <c r="A603" i="27" s="1"/>
  <c r="A604" i="27" s="1"/>
  <c r="A605" i="27" s="1"/>
  <c r="A606" i="27" s="1"/>
  <c r="A607" i="27" s="1"/>
  <c r="A608" i="27" s="1"/>
  <c r="A609" i="27" s="1"/>
  <c r="A610" i="27" s="1"/>
  <c r="A611" i="27" s="1"/>
  <c r="W585" i="27"/>
  <c r="H586" i="27"/>
  <c r="H587" i="27"/>
  <c r="H588" i="27"/>
  <c r="H589" i="27"/>
  <c r="H590" i="27"/>
  <c r="H591" i="27"/>
  <c r="W592" i="27"/>
  <c r="W593" i="27"/>
  <c r="W595" i="27"/>
  <c r="W596" i="27"/>
  <c r="W598" i="27"/>
  <c r="W599" i="27"/>
  <c r="W600" i="27"/>
  <c r="W601" i="27"/>
  <c r="W602" i="27"/>
  <c r="W603" i="27"/>
  <c r="W604" i="27"/>
  <c r="H607" i="27"/>
  <c r="W609" i="27"/>
  <c r="W610" i="27"/>
  <c r="W612" i="27"/>
  <c r="W613" i="27"/>
  <c r="W614" i="27"/>
  <c r="W615" i="27"/>
  <c r="W616" i="27"/>
  <c r="W617" i="27"/>
  <c r="W618" i="27"/>
  <c r="W619" i="27"/>
  <c r="W620" i="27"/>
  <c r="A621" i="27"/>
  <c r="A622" i="27" s="1"/>
  <c r="A623" i="27" s="1"/>
  <c r="A624" i="27" s="1"/>
  <c r="A625" i="27" s="1"/>
  <c r="A626" i="27" s="1"/>
  <c r="A627" i="27" s="1"/>
  <c r="A628" i="27" s="1"/>
  <c r="A629" i="27" s="1"/>
  <c r="A630" i="27" s="1"/>
  <c r="A631" i="27" s="1"/>
  <c r="A632" i="27" s="1"/>
  <c r="A633" i="27" s="1"/>
  <c r="A634" i="27" s="1"/>
  <c r="A635" i="27" s="1"/>
  <c r="A636" i="27" s="1"/>
  <c r="A637" i="27" s="1"/>
  <c r="A638" i="27" s="1"/>
  <c r="A639" i="27" s="1"/>
  <c r="A640" i="27" s="1"/>
  <c r="A641" i="27" s="1"/>
  <c r="A642" i="27" s="1"/>
  <c r="A643" i="27" s="1"/>
  <c r="A644" i="27" s="1"/>
  <c r="A645" i="27" s="1"/>
  <c r="A646" i="27" s="1"/>
  <c r="A647" i="27" s="1"/>
  <c r="W621" i="27"/>
  <c r="W622" i="27"/>
  <c r="W624" i="27"/>
  <c r="W625" i="27"/>
  <c r="H629" i="27"/>
  <c r="W631" i="27"/>
  <c r="W635" i="27"/>
  <c r="W637" i="27"/>
  <c r="W639" i="27"/>
  <c r="W641" i="27"/>
  <c r="W642" i="27"/>
  <c r="W648" i="27"/>
  <c r="W649" i="27"/>
  <c r="W650" i="27"/>
  <c r="W651" i="27"/>
  <c r="C652" i="27"/>
  <c r="H652" i="27"/>
  <c r="H654" i="27" s="1"/>
  <c r="A653" i="27"/>
  <c r="A654" i="27"/>
  <c r="A655" i="27" s="1"/>
  <c r="A656" i="27" s="1"/>
  <c r="A657" i="27" s="1"/>
  <c r="A658" i="27" s="1"/>
  <c r="A659" i="27" s="1"/>
  <c r="A660" i="27" s="1"/>
  <c r="A661" i="27" s="1"/>
  <c r="A662" i="27" s="1"/>
  <c r="A663" i="27" s="1"/>
  <c r="A664" i="27" s="1"/>
  <c r="W653" i="27"/>
  <c r="W655" i="27"/>
  <c r="W656" i="27"/>
  <c r="W657" i="27"/>
  <c r="W658" i="27"/>
  <c r="H659" i="27"/>
  <c r="H660" i="27"/>
  <c r="H661" i="27"/>
  <c r="H662" i="27"/>
  <c r="W663" i="27"/>
  <c r="W665" i="27"/>
  <c r="W666" i="27"/>
  <c r="W667" i="27"/>
  <c r="W668" i="27"/>
  <c r="A670" i="27"/>
  <c r="A671" i="27" s="1"/>
  <c r="A672" i="27" s="1"/>
  <c r="A673" i="27" s="1"/>
  <c r="A674" i="27" s="1"/>
  <c r="A675" i="27" s="1"/>
  <c r="A676" i="27" s="1"/>
  <c r="A677" i="27" s="1"/>
  <c r="A678" i="27" s="1"/>
  <c r="A679" i="27" s="1"/>
  <c r="A680" i="27" s="1"/>
  <c r="A681" i="27" s="1"/>
  <c r="A682" i="27" s="1"/>
  <c r="A683" i="27" s="1"/>
  <c r="A684" i="27" s="1"/>
  <c r="A685" i="27" s="1"/>
  <c r="A686" i="27" s="1"/>
  <c r="A687" i="27" s="1"/>
  <c r="A688" i="27" s="1"/>
  <c r="A689" i="27" s="1"/>
  <c r="A690" i="27" s="1"/>
  <c r="A691" i="27" s="1"/>
  <c r="A692" i="27" s="1"/>
  <c r="A693" i="27" s="1"/>
  <c r="A694" i="27" s="1"/>
  <c r="A695" i="27" s="1"/>
  <c r="A696" i="27" s="1"/>
  <c r="A697" i="27" s="1"/>
  <c r="A698" i="27" s="1"/>
  <c r="A699" i="27" s="1"/>
  <c r="A700" i="27" s="1"/>
  <c r="A701" i="27" s="1"/>
  <c r="A702" i="27" s="1"/>
  <c r="A703" i="27" s="1"/>
  <c r="A704" i="27" s="1"/>
  <c r="A705" i="27" s="1"/>
  <c r="A706" i="27" s="1"/>
  <c r="A707" i="27" s="1"/>
  <c r="A708" i="27" s="1"/>
  <c r="A709" i="27" s="1"/>
  <c r="A710" i="27" s="1"/>
  <c r="A711" i="27" s="1"/>
  <c r="A712" i="27" s="1"/>
  <c r="A713" i="27" s="1"/>
  <c r="A714" i="27" s="1"/>
  <c r="A715" i="27" s="1"/>
  <c r="A716" i="27" s="1"/>
  <c r="A717" i="27" s="1"/>
  <c r="A718" i="27" s="1"/>
  <c r="A719" i="27" s="1"/>
  <c r="A720" i="27" s="1"/>
  <c r="A721" i="27" s="1"/>
  <c r="A722" i="27" s="1"/>
  <c r="A723" i="27" s="1"/>
  <c r="A724" i="27" s="1"/>
  <c r="A725" i="27" s="1"/>
  <c r="A726" i="27" s="1"/>
  <c r="A727" i="27" s="1"/>
  <c r="A728" i="27" s="1"/>
  <c r="A729" i="27" s="1"/>
  <c r="A730" i="27" s="1"/>
  <c r="A731" i="27" s="1"/>
  <c r="A732" i="27" s="1"/>
  <c r="A733" i="27" s="1"/>
  <c r="A734" i="27" s="1"/>
  <c r="A735" i="27" s="1"/>
  <c r="A736" i="27" s="1"/>
  <c r="A737" i="27" s="1"/>
  <c r="A738" i="27" s="1"/>
  <c r="A739" i="27" s="1"/>
  <c r="K735" i="27"/>
  <c r="M693" i="27"/>
  <c r="M696" i="27"/>
  <c r="M699" i="27"/>
  <c r="M702" i="27"/>
  <c r="V722" i="27"/>
  <c r="M723" i="27"/>
  <c r="M736" i="27"/>
  <c r="W740" i="27"/>
  <c r="B741" i="27"/>
  <c r="E741" i="27"/>
  <c r="A742" i="27"/>
  <c r="A743" i="27" s="1"/>
  <c r="A744" i="27" s="1"/>
  <c r="A745" i="27" s="1"/>
  <c r="A746" i="27" s="1"/>
  <c r="A747" i="27" s="1"/>
  <c r="A748" i="27" s="1"/>
  <c r="A749" i="27" s="1"/>
  <c r="A750" i="27" s="1"/>
  <c r="A751" i="27" s="1"/>
  <c r="A752" i="27" s="1"/>
  <c r="A753" i="27" s="1"/>
  <c r="A754" i="27" s="1"/>
  <c r="A755" i="27" s="1"/>
  <c r="A756" i="27" s="1"/>
  <c r="A757" i="27" s="1"/>
  <c r="A758" i="27" s="1"/>
  <c r="B742" i="27"/>
  <c r="E742" i="27"/>
  <c r="B743" i="27"/>
  <c r="E743" i="27"/>
  <c r="B744" i="27"/>
  <c r="E744" i="27"/>
  <c r="B745" i="27"/>
  <c r="E745" i="27"/>
  <c r="B746" i="27"/>
  <c r="E746" i="27"/>
  <c r="B747" i="27"/>
  <c r="E747" i="27"/>
  <c r="B748" i="27"/>
  <c r="E748" i="27"/>
  <c r="B749" i="27"/>
  <c r="E749" i="27"/>
  <c r="B750" i="27"/>
  <c r="E750" i="27"/>
  <c r="B751" i="27"/>
  <c r="E751" i="27"/>
  <c r="B752" i="27"/>
  <c r="E752" i="27"/>
  <c r="B753" i="27"/>
  <c r="E753" i="27"/>
  <c r="B754" i="27"/>
  <c r="E754" i="27"/>
  <c r="B755" i="27"/>
  <c r="E755" i="27"/>
  <c r="B756" i="27"/>
  <c r="E756" i="27"/>
  <c r="B757" i="27"/>
  <c r="B758" i="27"/>
  <c r="E758" i="27"/>
  <c r="B760" i="27"/>
  <c r="E760" i="27"/>
  <c r="B761" i="27"/>
  <c r="E761" i="27"/>
  <c r="B762" i="27"/>
  <c r="E762" i="27"/>
  <c r="B763" i="27"/>
  <c r="E763" i="27"/>
  <c r="B764" i="27"/>
  <c r="E764" i="27"/>
  <c r="B765" i="27"/>
  <c r="E765" i="27"/>
  <c r="B766" i="27"/>
  <c r="E766" i="27"/>
  <c r="B767" i="27"/>
  <c r="E767" i="27"/>
  <c r="B768" i="27"/>
  <c r="E768" i="27"/>
  <c r="B769" i="27"/>
  <c r="E769" i="27"/>
  <c r="B770" i="27"/>
  <c r="E770" i="27"/>
  <c r="B771" i="27"/>
  <c r="E771" i="27"/>
  <c r="B772" i="27"/>
  <c r="E772" i="27"/>
  <c r="B773" i="27"/>
  <c r="E773" i="27"/>
  <c r="B774" i="27"/>
  <c r="E774" i="27"/>
  <c r="B775" i="27"/>
  <c r="E775" i="27"/>
  <c r="B776" i="27"/>
  <c r="E776" i="27"/>
  <c r="B777" i="27"/>
  <c r="E777" i="27"/>
  <c r="B778" i="27"/>
  <c r="E778" i="27"/>
  <c r="B779" i="27"/>
  <c r="E779" i="27"/>
  <c r="B780" i="27"/>
  <c r="E780" i="27"/>
  <c r="B781" i="27"/>
  <c r="E781" i="27"/>
  <c r="B782" i="27"/>
  <c r="E782" i="27"/>
  <c r="B783" i="27"/>
  <c r="E783" i="27"/>
  <c r="B784" i="27"/>
  <c r="E784" i="27"/>
  <c r="B785" i="27"/>
  <c r="E785" i="27"/>
  <c r="B786" i="27"/>
  <c r="E786" i="27"/>
  <c r="B787" i="27"/>
  <c r="E787" i="27"/>
  <c r="B788" i="27"/>
  <c r="E788" i="27"/>
  <c r="B789" i="27"/>
  <c r="E789" i="27"/>
  <c r="B790" i="27"/>
  <c r="E790" i="27"/>
  <c r="B791" i="27"/>
  <c r="E791" i="27"/>
  <c r="B792" i="27"/>
  <c r="B793" i="27"/>
  <c r="B794" i="27"/>
  <c r="B795" i="27"/>
  <c r="E795" i="27"/>
  <c r="B796" i="27"/>
  <c r="E796" i="27"/>
  <c r="B797" i="27"/>
  <c r="E797" i="27"/>
  <c r="B798" i="27"/>
  <c r="E798" i="27"/>
  <c r="B799" i="27"/>
  <c r="E799" i="27"/>
  <c r="B800" i="27"/>
  <c r="E800" i="27"/>
  <c r="B801" i="27"/>
  <c r="E801" i="27"/>
  <c r="B802" i="27"/>
  <c r="E802" i="27"/>
  <c r="B803" i="27"/>
  <c r="E803" i="27"/>
  <c r="B804" i="27"/>
  <c r="E804" i="27"/>
  <c r="B805" i="27"/>
  <c r="E805" i="27"/>
  <c r="B806" i="27"/>
  <c r="E806" i="27"/>
  <c r="B808" i="27"/>
  <c r="E808" i="27"/>
  <c r="B809" i="27"/>
  <c r="E809" i="27"/>
  <c r="B810" i="27"/>
  <c r="E810" i="27"/>
  <c r="B811" i="27"/>
  <c r="E811" i="27"/>
  <c r="K1" i="26"/>
  <c r="L1" i="26" s="1"/>
  <c r="B3" i="26"/>
  <c r="B4" i="26"/>
  <c r="B5" i="26"/>
  <c r="B6" i="26"/>
  <c r="B12" i="26"/>
  <c r="C12" i="26" s="1"/>
  <c r="D12" i="26" s="1"/>
  <c r="E12" i="26" s="1"/>
  <c r="H12" i="26" s="1"/>
  <c r="I12" i="26" s="1"/>
  <c r="J12" i="26" s="1"/>
  <c r="K12" i="26" s="1"/>
  <c r="L12" i="26" s="1"/>
  <c r="M12" i="26" s="1"/>
  <c r="N12" i="26" s="1"/>
  <c r="A17" i="26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C38" i="26"/>
  <c r="E26" i="24"/>
  <c r="K41" i="26"/>
  <c r="L41" i="26"/>
  <c r="L85" i="26" s="1"/>
  <c r="N41" i="26"/>
  <c r="O41" i="26"/>
  <c r="O85" i="26" s="1"/>
  <c r="Q41" i="26"/>
  <c r="R41" i="26"/>
  <c r="T41" i="26"/>
  <c r="T85" i="26" s="1"/>
  <c r="U41" i="26"/>
  <c r="U85" i="26" s="1"/>
  <c r="V41" i="26"/>
  <c r="V85" i="26" s="1"/>
  <c r="M42" i="26"/>
  <c r="A58" i="26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M79" i="26"/>
  <c r="A93" i="26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W97" i="26"/>
  <c r="W98" i="26"/>
  <c r="W99" i="26"/>
  <c r="W100" i="26"/>
  <c r="H101" i="26"/>
  <c r="L198" i="26" s="1"/>
  <c r="H102" i="26"/>
  <c r="H103" i="26"/>
  <c r="H104" i="26"/>
  <c r="V543" i="26" s="1"/>
  <c r="H105" i="26"/>
  <c r="T202" i="26" s="1"/>
  <c r="H106" i="26"/>
  <c r="N203" i="26" s="1"/>
  <c r="H107" i="26"/>
  <c r="H108" i="26"/>
  <c r="H109" i="26"/>
  <c r="W110" i="26"/>
  <c r="W112" i="26"/>
  <c r="W113" i="26"/>
  <c r="H114" i="26"/>
  <c r="L553" i="26" s="1"/>
  <c r="H115" i="26"/>
  <c r="O554" i="26" s="1"/>
  <c r="H116" i="26"/>
  <c r="H117" i="26"/>
  <c r="W118" i="26"/>
  <c r="H119" i="26"/>
  <c r="H120" i="26"/>
  <c r="W122" i="26"/>
  <c r="H123" i="26"/>
  <c r="H125" i="26" s="1"/>
  <c r="H124" i="26"/>
  <c r="W126" i="26"/>
  <c r="H127" i="26"/>
  <c r="I127" i="26"/>
  <c r="J127" i="26"/>
  <c r="H128" i="26"/>
  <c r="H129" i="26"/>
  <c r="H130" i="26"/>
  <c r="W131" i="26"/>
  <c r="W132" i="26"/>
  <c r="H133" i="26"/>
  <c r="H134" i="26"/>
  <c r="W136" i="26"/>
  <c r="H137" i="26"/>
  <c r="H138" i="26"/>
  <c r="W140" i="26"/>
  <c r="H141" i="26"/>
  <c r="K220" i="26" s="1"/>
  <c r="H143" i="26"/>
  <c r="H144" i="26"/>
  <c r="H145" i="26"/>
  <c r="N567" i="26" s="1"/>
  <c r="W148" i="26"/>
  <c r="W149" i="26"/>
  <c r="W150" i="26"/>
  <c r="A151" i="26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W161" i="26"/>
  <c r="W163" i="26"/>
  <c r="W164" i="26"/>
  <c r="W165" i="26"/>
  <c r="W166" i="26"/>
  <c r="W167" i="26"/>
  <c r="W169" i="26"/>
  <c r="W170" i="26"/>
  <c r="W172" i="26"/>
  <c r="W173" i="26"/>
  <c r="W174" i="26"/>
  <c r="W175" i="26"/>
  <c r="W176" i="26"/>
  <c r="H177" i="26"/>
  <c r="W178" i="26"/>
  <c r="W179" i="26"/>
  <c r="W180" i="26"/>
  <c r="W181" i="26"/>
  <c r="W182" i="26"/>
  <c r="W183" i="26"/>
  <c r="W184" i="26"/>
  <c r="W185" i="26"/>
  <c r="W186" i="26"/>
  <c r="W187" i="26"/>
  <c r="H188" i="26"/>
  <c r="H189" i="26"/>
  <c r="W192" i="26"/>
  <c r="W193" i="26"/>
  <c r="W194" i="26"/>
  <c r="W195" i="26"/>
  <c r="A196" i="26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W196" i="26"/>
  <c r="W197" i="26"/>
  <c r="D198" i="26"/>
  <c r="H198" i="26"/>
  <c r="D199" i="26"/>
  <c r="H199" i="26"/>
  <c r="D200" i="26"/>
  <c r="H200" i="26"/>
  <c r="D201" i="26"/>
  <c r="H201" i="26"/>
  <c r="D202" i="26"/>
  <c r="H202" i="26"/>
  <c r="D203" i="26"/>
  <c r="H203" i="26"/>
  <c r="D204" i="26"/>
  <c r="H204" i="26"/>
  <c r="D205" i="26"/>
  <c r="H205" i="26"/>
  <c r="D206" i="26"/>
  <c r="H206" i="26"/>
  <c r="W207" i="26"/>
  <c r="W209" i="26"/>
  <c r="W210" i="26"/>
  <c r="D211" i="26"/>
  <c r="H211" i="26"/>
  <c r="D212" i="26"/>
  <c r="H212" i="26"/>
  <c r="D213" i="26"/>
  <c r="H213" i="26"/>
  <c r="D214" i="26"/>
  <c r="H214" i="26"/>
  <c r="D215" i="26"/>
  <c r="H215" i="26"/>
  <c r="D216" i="26"/>
  <c r="H216" i="26"/>
  <c r="D217" i="26"/>
  <c r="H217" i="26"/>
  <c r="D218" i="26"/>
  <c r="H218" i="26"/>
  <c r="D219" i="26"/>
  <c r="H219" i="26"/>
  <c r="D220" i="26"/>
  <c r="H220" i="26"/>
  <c r="D221" i="26"/>
  <c r="D222" i="26"/>
  <c r="H222" i="26"/>
  <c r="D223" i="26"/>
  <c r="H223" i="26"/>
  <c r="D224" i="26"/>
  <c r="H224" i="26"/>
  <c r="W227" i="26"/>
  <c r="W228" i="26"/>
  <c r="W229" i="26"/>
  <c r="W230" i="26"/>
  <c r="W231" i="26"/>
  <c r="W232" i="26"/>
  <c r="D233" i="26"/>
  <c r="H233" i="26"/>
  <c r="D234" i="26"/>
  <c r="D235" i="26"/>
  <c r="D236" i="26"/>
  <c r="D237" i="26"/>
  <c r="D238" i="26"/>
  <c r="D239" i="26"/>
  <c r="D240" i="26"/>
  <c r="D241" i="26"/>
  <c r="D242" i="26"/>
  <c r="D243" i="26"/>
  <c r="W244" i="26"/>
  <c r="W246" i="26"/>
  <c r="W248" i="26"/>
  <c r="W250" i="26"/>
  <c r="W251" i="26"/>
  <c r="W252" i="26"/>
  <c r="A253" i="26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W254" i="26"/>
  <c r="W255" i="26"/>
  <c r="H256" i="26"/>
  <c r="H257" i="26"/>
  <c r="H259" i="26" s="1"/>
  <c r="W260" i="26"/>
  <c r="W261" i="26"/>
  <c r="W262" i="26"/>
  <c r="H265" i="26"/>
  <c r="W267" i="26"/>
  <c r="W268" i="26"/>
  <c r="W269" i="26"/>
  <c r="W271" i="26"/>
  <c r="W272" i="26"/>
  <c r="W273" i="26"/>
  <c r="W274" i="26"/>
  <c r="W275" i="26"/>
  <c r="W277" i="26"/>
  <c r="W278" i="26"/>
  <c r="W279" i="26"/>
  <c r="W280" i="26"/>
  <c r="W281" i="26"/>
  <c r="H285" i="26"/>
  <c r="W293" i="26"/>
  <c r="W294" i="26"/>
  <c r="W295" i="26"/>
  <c r="H296" i="26"/>
  <c r="H297" i="26"/>
  <c r="H300" i="26"/>
  <c r="H301" i="26"/>
  <c r="H303" i="26"/>
  <c r="H304" i="26"/>
  <c r="W305" i="26"/>
  <c r="W307" i="26"/>
  <c r="W309" i="26"/>
  <c r="W310" i="26"/>
  <c r="W311" i="26"/>
  <c r="W312" i="26"/>
  <c r="W313" i="26"/>
  <c r="W314" i="26"/>
  <c r="W315" i="26"/>
  <c r="H316" i="26"/>
  <c r="A317" i="26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H317" i="26"/>
  <c r="U436" i="26" s="1"/>
  <c r="W319" i="26"/>
  <c r="W321" i="26"/>
  <c r="W322" i="26"/>
  <c r="W323" i="26"/>
  <c r="W324" i="26"/>
  <c r="W325" i="26"/>
  <c r="H326" i="26"/>
  <c r="S446" i="26" s="1"/>
  <c r="H327" i="26"/>
  <c r="U447" i="26" s="1"/>
  <c r="H328" i="26"/>
  <c r="S448" i="26" s="1"/>
  <c r="H329" i="26"/>
  <c r="T449" i="26" s="1"/>
  <c r="H330" i="26"/>
  <c r="H331" i="26"/>
  <c r="H332" i="26"/>
  <c r="H333" i="26"/>
  <c r="T452" i="26" s="1"/>
  <c r="H334" i="26"/>
  <c r="L453" i="26" s="1"/>
  <c r="W336" i="26"/>
  <c r="W337" i="26"/>
  <c r="H338" i="26"/>
  <c r="S457" i="26" s="1"/>
  <c r="H339" i="26"/>
  <c r="H340" i="26"/>
  <c r="H341" i="26"/>
  <c r="R460" i="26" s="1"/>
  <c r="H342" i="26"/>
  <c r="H343" i="26"/>
  <c r="O462" i="26" s="1"/>
  <c r="W345" i="26"/>
  <c r="W347" i="26"/>
  <c r="W348" i="26"/>
  <c r="W349" i="26"/>
  <c r="W350" i="26"/>
  <c r="H353" i="26"/>
  <c r="O472" i="26" s="1"/>
  <c r="H354" i="26"/>
  <c r="H355" i="26"/>
  <c r="U474" i="26" s="1"/>
  <c r="H356" i="26"/>
  <c r="U475" i="26" s="1"/>
  <c r="H358" i="26"/>
  <c r="H361" i="26"/>
  <c r="W364" i="26"/>
  <c r="H367" i="26"/>
  <c r="H368" i="26"/>
  <c r="T485" i="26" s="1"/>
  <c r="H369" i="26"/>
  <c r="L486" i="26" s="1"/>
  <c r="H370" i="26"/>
  <c r="H371" i="26"/>
  <c r="W376" i="26"/>
  <c r="W378" i="26"/>
  <c r="W379" i="26"/>
  <c r="W380" i="26"/>
  <c r="A381" i="26"/>
  <c r="A382" i="26" s="1"/>
  <c r="A383" i="26" s="1"/>
  <c r="A384" i="26" s="1"/>
  <c r="A385" i="26" s="1"/>
  <c r="A386" i="26" s="1"/>
  <c r="A387" i="26" s="1"/>
  <c r="A388" i="26" s="1"/>
  <c r="A389" i="26" s="1"/>
  <c r="A390" i="26" s="1"/>
  <c r="W381" i="26"/>
  <c r="H385" i="26"/>
  <c r="H386" i="26"/>
  <c r="W389" i="26"/>
  <c r="W390" i="26"/>
  <c r="H391" i="26"/>
  <c r="H392" i="26"/>
  <c r="H393" i="26"/>
  <c r="K510" i="26" s="1"/>
  <c r="H394" i="26"/>
  <c r="H395" i="26"/>
  <c r="T512" i="26" s="1"/>
  <c r="H396" i="26"/>
  <c r="H397" i="26"/>
  <c r="W399" i="26"/>
  <c r="W400" i="26"/>
  <c r="H401" i="26"/>
  <c r="N517" i="26" s="1"/>
  <c r="H402" i="26"/>
  <c r="H403" i="26"/>
  <c r="H404" i="26"/>
  <c r="S520" i="26" s="1"/>
  <c r="H405" i="26"/>
  <c r="W408" i="26"/>
  <c r="W409" i="26"/>
  <c r="W410" i="26"/>
  <c r="W411" i="26"/>
  <c r="H413" i="26"/>
  <c r="H417" i="26"/>
  <c r="H421" i="26"/>
  <c r="H423" i="26"/>
  <c r="W428" i="26"/>
  <c r="W430" i="26"/>
  <c r="W431" i="26"/>
  <c r="W432" i="26"/>
  <c r="W433" i="26"/>
  <c r="W434" i="26"/>
  <c r="A435" i="26"/>
  <c r="A436" i="26" s="1"/>
  <c r="A437" i="26" s="1"/>
  <c r="A438" i="26" s="1"/>
  <c r="A439" i="26" s="1"/>
  <c r="A440" i="26" s="1"/>
  <c r="A441" i="26" s="1"/>
  <c r="A442" i="26" s="1"/>
  <c r="A443" i="26" s="1"/>
  <c r="A444" i="26" s="1"/>
  <c r="A445" i="26" s="1"/>
  <c r="A446" i="26" s="1"/>
  <c r="A447" i="26" s="1"/>
  <c r="A448" i="26" s="1"/>
  <c r="A449" i="26" s="1"/>
  <c r="A450" i="26" s="1"/>
  <c r="A451" i="26" s="1"/>
  <c r="A452" i="26" s="1"/>
  <c r="A453" i="26" s="1"/>
  <c r="A454" i="26" s="1"/>
  <c r="A455" i="26" s="1"/>
  <c r="A456" i="26" s="1"/>
  <c r="A457" i="26" s="1"/>
  <c r="A458" i="26" s="1"/>
  <c r="A459" i="26" s="1"/>
  <c r="A460" i="26" s="1"/>
  <c r="A461" i="26" s="1"/>
  <c r="A462" i="26" s="1"/>
  <c r="A463" i="26" s="1"/>
  <c r="A464" i="26" s="1"/>
  <c r="A465" i="26" s="1"/>
  <c r="A466" i="26" s="1"/>
  <c r="A467" i="26" s="1"/>
  <c r="A468" i="26" s="1"/>
  <c r="A469" i="26" s="1"/>
  <c r="A470" i="26" s="1"/>
  <c r="A471" i="26" s="1"/>
  <c r="A472" i="26" s="1"/>
  <c r="A473" i="26" s="1"/>
  <c r="A474" i="26" s="1"/>
  <c r="A475" i="26" s="1"/>
  <c r="A476" i="26" s="1"/>
  <c r="A477" i="26" s="1"/>
  <c r="A478" i="26" s="1"/>
  <c r="A479" i="26" s="1"/>
  <c r="A480" i="26" s="1"/>
  <c r="A481" i="26" s="1"/>
  <c r="A482" i="26" s="1"/>
  <c r="A483" i="26" s="1"/>
  <c r="A484" i="26" s="1"/>
  <c r="A485" i="26" s="1"/>
  <c r="A486" i="26" s="1"/>
  <c r="A487" i="26" s="1"/>
  <c r="A488" i="26" s="1"/>
  <c r="A489" i="26" s="1"/>
  <c r="A490" i="26" s="1"/>
  <c r="A491" i="26" s="1"/>
  <c r="A492" i="26" s="1"/>
  <c r="A493" i="26" s="1"/>
  <c r="A494" i="26" s="1"/>
  <c r="A495" i="26" s="1"/>
  <c r="D435" i="26"/>
  <c r="H435" i="26"/>
  <c r="D436" i="26"/>
  <c r="H436" i="26"/>
  <c r="W438" i="26"/>
  <c r="W440" i="26"/>
  <c r="W441" i="26"/>
  <c r="W442" i="26"/>
  <c r="W443" i="26"/>
  <c r="W444" i="26"/>
  <c r="W445" i="26"/>
  <c r="D446" i="26"/>
  <c r="H446" i="26"/>
  <c r="D447" i="26"/>
  <c r="H447" i="26"/>
  <c r="D448" i="26"/>
  <c r="H448" i="26"/>
  <c r="D449" i="26"/>
  <c r="H449" i="26"/>
  <c r="D450" i="26"/>
  <c r="H450" i="26"/>
  <c r="D451" i="26"/>
  <c r="H451" i="26"/>
  <c r="D452" i="26"/>
  <c r="H452" i="26"/>
  <c r="D453" i="26"/>
  <c r="H453" i="26"/>
  <c r="W455" i="26"/>
  <c r="W456" i="26"/>
  <c r="D457" i="26"/>
  <c r="H457" i="26"/>
  <c r="J382" i="28" s="1"/>
  <c r="D458" i="26"/>
  <c r="H458" i="26"/>
  <c r="D459" i="26"/>
  <c r="H459" i="26"/>
  <c r="D460" i="26"/>
  <c r="H460" i="26"/>
  <c r="D461" i="26"/>
  <c r="H461" i="26"/>
  <c r="D462" i="26"/>
  <c r="H462" i="26"/>
  <c r="W464" i="26"/>
  <c r="W466" i="26"/>
  <c r="W467" i="26"/>
  <c r="W468" i="26"/>
  <c r="W469" i="26"/>
  <c r="D470" i="26"/>
  <c r="D471" i="26"/>
  <c r="D472" i="26"/>
  <c r="D473" i="26"/>
  <c r="D474" i="26"/>
  <c r="D475" i="26"/>
  <c r="D476" i="26"/>
  <c r="D477" i="26"/>
  <c r="D478" i="26"/>
  <c r="D479" i="26"/>
  <c r="H479" i="26"/>
  <c r="W481" i="26"/>
  <c r="D482" i="26"/>
  <c r="D483" i="26"/>
  <c r="H483" i="26"/>
  <c r="D484" i="26"/>
  <c r="D485" i="26"/>
  <c r="D486" i="26"/>
  <c r="D487" i="26"/>
  <c r="D488" i="26"/>
  <c r="D489" i="26"/>
  <c r="W492" i="26"/>
  <c r="W494" i="26"/>
  <c r="W496" i="26"/>
  <c r="W497" i="26"/>
  <c r="W498" i="26"/>
  <c r="A499" i="26"/>
  <c r="A500" i="26"/>
  <c r="A501" i="26" s="1"/>
  <c r="A502" i="26" s="1"/>
  <c r="A503" i="26" s="1"/>
  <c r="A504" i="26" s="1"/>
  <c r="A505" i="26" s="1"/>
  <c r="A506" i="26" s="1"/>
  <c r="A507" i="26" s="1"/>
  <c r="A508" i="26" s="1"/>
  <c r="A509" i="26" s="1"/>
  <c r="A510" i="26" s="1"/>
  <c r="A511" i="26" s="1"/>
  <c r="A512" i="26" s="1"/>
  <c r="A513" i="26" s="1"/>
  <c r="A514" i="26" s="1"/>
  <c r="A515" i="26" s="1"/>
  <c r="A516" i="26" s="1"/>
  <c r="A517" i="26" s="1"/>
  <c r="A518" i="26" s="1"/>
  <c r="A519" i="26" s="1"/>
  <c r="A520" i="26" s="1"/>
  <c r="A521" i="26" s="1"/>
  <c r="A522" i="26" s="1"/>
  <c r="A523" i="26" s="1"/>
  <c r="A524" i="26" s="1"/>
  <c r="A525" i="26" s="1"/>
  <c r="W499" i="26"/>
  <c r="D500" i="26"/>
  <c r="D501" i="26"/>
  <c r="D502" i="26"/>
  <c r="D503" i="26"/>
  <c r="H503" i="26"/>
  <c r="D504" i="26"/>
  <c r="D505" i="26"/>
  <c r="W507" i="26"/>
  <c r="W508" i="26"/>
  <c r="D509" i="26"/>
  <c r="H509" i="26"/>
  <c r="D510" i="26"/>
  <c r="H510" i="26"/>
  <c r="D511" i="26"/>
  <c r="H511" i="26"/>
  <c r="D512" i="26"/>
  <c r="H512" i="26"/>
  <c r="D513" i="26"/>
  <c r="H513" i="26"/>
  <c r="W515" i="26"/>
  <c r="W516" i="26"/>
  <c r="D517" i="26"/>
  <c r="H517" i="26"/>
  <c r="D518" i="26"/>
  <c r="H518" i="26"/>
  <c r="D519" i="26"/>
  <c r="H519" i="26"/>
  <c r="D520" i="26"/>
  <c r="H520" i="26"/>
  <c r="D521" i="26"/>
  <c r="H521" i="26"/>
  <c r="W524" i="26"/>
  <c r="W526" i="26"/>
  <c r="W527" i="26"/>
  <c r="W528" i="26"/>
  <c r="W529" i="26"/>
  <c r="W530" i="26"/>
  <c r="A531" i="26"/>
  <c r="A532" i="26" s="1"/>
  <c r="A533" i="26" s="1"/>
  <c r="A534" i="26" s="1"/>
  <c r="A535" i="26" s="1"/>
  <c r="A536" i="26" s="1"/>
  <c r="A537" i="26" s="1"/>
  <c r="A538" i="26" s="1"/>
  <c r="A539" i="26" s="1"/>
  <c r="A540" i="26" s="1"/>
  <c r="A541" i="26" s="1"/>
  <c r="A542" i="26" s="1"/>
  <c r="A543" i="26" s="1"/>
  <c r="A544" i="26" s="1"/>
  <c r="A545" i="26" s="1"/>
  <c r="A546" i="26" s="1"/>
  <c r="A547" i="26" s="1"/>
  <c r="A548" i="26" s="1"/>
  <c r="A549" i="26" s="1"/>
  <c r="A550" i="26" s="1"/>
  <c r="A551" i="26" s="1"/>
  <c r="A552" i="26" s="1"/>
  <c r="A553" i="26" s="1"/>
  <c r="A554" i="26" s="1"/>
  <c r="A555" i="26" s="1"/>
  <c r="A556" i="26" s="1"/>
  <c r="A557" i="26" s="1"/>
  <c r="A558" i="26" s="1"/>
  <c r="A559" i="26" s="1"/>
  <c r="A560" i="26" s="1"/>
  <c r="A561" i="26" s="1"/>
  <c r="A562" i="26" s="1"/>
  <c r="A563" i="26" s="1"/>
  <c r="A564" i="26" s="1"/>
  <c r="A565" i="26" s="1"/>
  <c r="A566" i="26" s="1"/>
  <c r="A567" i="26" s="1"/>
  <c r="A568" i="26" s="1"/>
  <c r="A569" i="26" s="1"/>
  <c r="A570" i="26" s="1"/>
  <c r="A571" i="26" s="1"/>
  <c r="A572" i="26" s="1"/>
  <c r="A573" i="26" s="1"/>
  <c r="A574" i="26" s="1"/>
  <c r="A575" i="26" s="1"/>
  <c r="A576" i="26" s="1"/>
  <c r="A577" i="26" s="1"/>
  <c r="A578" i="26" s="1"/>
  <c r="A579" i="26" s="1"/>
  <c r="A580" i="26" s="1"/>
  <c r="A581" i="26" s="1"/>
  <c r="A582" i="26" s="1"/>
  <c r="W531" i="26"/>
  <c r="W532" i="26"/>
  <c r="D533" i="26"/>
  <c r="H533" i="26"/>
  <c r="D534" i="26"/>
  <c r="D535" i="26"/>
  <c r="W537" i="26"/>
  <c r="W538" i="26"/>
  <c r="W539" i="26"/>
  <c r="D540" i="26"/>
  <c r="H540" i="26"/>
  <c r="D541" i="26"/>
  <c r="H541" i="26"/>
  <c r="D542" i="26"/>
  <c r="H542" i="26"/>
  <c r="D543" i="26"/>
  <c r="H543" i="26"/>
  <c r="D544" i="26"/>
  <c r="H544" i="26"/>
  <c r="D545" i="26"/>
  <c r="H545" i="26"/>
  <c r="D546" i="26"/>
  <c r="H546" i="26"/>
  <c r="D547" i="26"/>
  <c r="H547" i="26"/>
  <c r="D548" i="26"/>
  <c r="W550" i="26"/>
  <c r="W551" i="26"/>
  <c r="W552" i="26"/>
  <c r="D553" i="26"/>
  <c r="H553" i="26"/>
  <c r="D554" i="26"/>
  <c r="H554" i="26"/>
  <c r="D555" i="26"/>
  <c r="H555" i="26"/>
  <c r="D556" i="26"/>
  <c r="H556" i="26"/>
  <c r="D557" i="26"/>
  <c r="H557" i="26"/>
  <c r="D558" i="26"/>
  <c r="H558" i="26"/>
  <c r="D559" i="26"/>
  <c r="H559" i="26"/>
  <c r="D560" i="26"/>
  <c r="H560" i="26"/>
  <c r="D561" i="26"/>
  <c r="H561" i="26"/>
  <c r="D562" i="26"/>
  <c r="H562" i="26"/>
  <c r="D563" i="26"/>
  <c r="H563" i="26"/>
  <c r="D564" i="26"/>
  <c r="H564" i="26"/>
  <c r="D566" i="26"/>
  <c r="D567" i="26"/>
  <c r="H567" i="26"/>
  <c r="W569" i="26"/>
  <c r="W570" i="26"/>
  <c r="D571" i="26"/>
  <c r="H571" i="26"/>
  <c r="D572" i="26"/>
  <c r="H572" i="26"/>
  <c r="D573" i="26"/>
  <c r="H573" i="26"/>
  <c r="D574" i="26"/>
  <c r="D575" i="26"/>
  <c r="D576" i="26"/>
  <c r="D577" i="26"/>
  <c r="D578" i="26"/>
  <c r="D579" i="26"/>
  <c r="D580" i="26"/>
  <c r="D581" i="26"/>
  <c r="W583" i="26"/>
  <c r="W584" i="26"/>
  <c r="A585" i="26"/>
  <c r="A586" i="26" s="1"/>
  <c r="A587" i="26" s="1"/>
  <c r="A588" i="26" s="1"/>
  <c r="A589" i="26" s="1"/>
  <c r="A590" i="26" s="1"/>
  <c r="A591" i="26" s="1"/>
  <c r="A592" i="26" s="1"/>
  <c r="A593" i="26" s="1"/>
  <c r="A594" i="26" s="1"/>
  <c r="A595" i="26" s="1"/>
  <c r="A596" i="26" s="1"/>
  <c r="A597" i="26" s="1"/>
  <c r="A598" i="26" s="1"/>
  <c r="A599" i="26" s="1"/>
  <c r="A600" i="26" s="1"/>
  <c r="A601" i="26" s="1"/>
  <c r="A602" i="26" s="1"/>
  <c r="A603" i="26" s="1"/>
  <c r="A604" i="26" s="1"/>
  <c r="A605" i="26" s="1"/>
  <c r="A606" i="26" s="1"/>
  <c r="A607" i="26" s="1"/>
  <c r="A608" i="26" s="1"/>
  <c r="A609" i="26" s="1"/>
  <c r="A610" i="26" s="1"/>
  <c r="A611" i="26" s="1"/>
  <c r="W585" i="26"/>
  <c r="H586" i="26"/>
  <c r="H587" i="26"/>
  <c r="H588" i="26"/>
  <c r="H589" i="26"/>
  <c r="H590" i="26"/>
  <c r="H591" i="26"/>
  <c r="W592" i="26"/>
  <c r="W593" i="26"/>
  <c r="W595" i="26"/>
  <c r="W596" i="26"/>
  <c r="W598" i="26"/>
  <c r="W599" i="26"/>
  <c r="W600" i="26"/>
  <c r="W601" i="26"/>
  <c r="W602" i="26"/>
  <c r="W603" i="26"/>
  <c r="W604" i="26"/>
  <c r="H607" i="26"/>
  <c r="W609" i="26"/>
  <c r="W610" i="26"/>
  <c r="W612" i="26"/>
  <c r="W613" i="26"/>
  <c r="W614" i="26"/>
  <c r="W615" i="26"/>
  <c r="W616" i="26"/>
  <c r="W617" i="26"/>
  <c r="W618" i="26"/>
  <c r="W619" i="26"/>
  <c r="W620" i="26"/>
  <c r="W621" i="26"/>
  <c r="A622" i="26"/>
  <c r="A623" i="26" s="1"/>
  <c r="A624" i="26" s="1"/>
  <c r="A625" i="26" s="1"/>
  <c r="A626" i="26" s="1"/>
  <c r="A627" i="26" s="1"/>
  <c r="A628" i="26" s="1"/>
  <c r="A629" i="26" s="1"/>
  <c r="A630" i="26" s="1"/>
  <c r="A631" i="26" s="1"/>
  <c r="A632" i="26" s="1"/>
  <c r="A633" i="26" s="1"/>
  <c r="A634" i="26" s="1"/>
  <c r="A635" i="26" s="1"/>
  <c r="A636" i="26" s="1"/>
  <c r="A637" i="26" s="1"/>
  <c r="A638" i="26" s="1"/>
  <c r="A639" i="26" s="1"/>
  <c r="A640" i="26" s="1"/>
  <c r="A641" i="26" s="1"/>
  <c r="A642" i="26" s="1"/>
  <c r="A643" i="26" s="1"/>
  <c r="A644" i="26" s="1"/>
  <c r="A645" i="26" s="1"/>
  <c r="A646" i="26" s="1"/>
  <c r="A647" i="26" s="1"/>
  <c r="W622" i="26"/>
  <c r="W624" i="26"/>
  <c r="W625" i="26"/>
  <c r="H629" i="26"/>
  <c r="W631" i="26"/>
  <c r="W634" i="26"/>
  <c r="W635" i="26"/>
  <c r="W637" i="26"/>
  <c r="W639" i="26"/>
  <c r="W641" i="26"/>
  <c r="W642" i="26"/>
  <c r="W648" i="26"/>
  <c r="W649" i="26"/>
  <c r="W650" i="26"/>
  <c r="W651" i="26"/>
  <c r="C652" i="26"/>
  <c r="H652" i="26"/>
  <c r="A653" i="26"/>
  <c r="A654" i="26" s="1"/>
  <c r="A655" i="26" s="1"/>
  <c r="A656" i="26" s="1"/>
  <c r="A657" i="26" s="1"/>
  <c r="A658" i="26" s="1"/>
  <c r="A659" i="26" s="1"/>
  <c r="A660" i="26" s="1"/>
  <c r="A661" i="26" s="1"/>
  <c r="A662" i="26" s="1"/>
  <c r="A663" i="26" s="1"/>
  <c r="A664" i="26" s="1"/>
  <c r="W653" i="26"/>
  <c r="W655" i="26"/>
  <c r="W656" i="26"/>
  <c r="W657" i="26"/>
  <c r="W658" i="26"/>
  <c r="H659" i="26"/>
  <c r="H661" i="26"/>
  <c r="W663" i="26"/>
  <c r="W665" i="26"/>
  <c r="W666" i="26"/>
  <c r="W667" i="26"/>
  <c r="W668" i="26"/>
  <c r="A670" i="26"/>
  <c r="A671" i="26" s="1"/>
  <c r="A672" i="26" s="1"/>
  <c r="A673" i="26" s="1"/>
  <c r="A674" i="26" s="1"/>
  <c r="A675" i="26" s="1"/>
  <c r="A676" i="26" s="1"/>
  <c r="A677" i="26" s="1"/>
  <c r="A678" i="26" s="1"/>
  <c r="A679" i="26" s="1"/>
  <c r="A680" i="26" s="1"/>
  <c r="A681" i="26" s="1"/>
  <c r="A682" i="26" s="1"/>
  <c r="A683" i="26" s="1"/>
  <c r="A684" i="26" s="1"/>
  <c r="A685" i="26" s="1"/>
  <c r="A686" i="26" s="1"/>
  <c r="A687" i="26" s="1"/>
  <c r="A688" i="26" s="1"/>
  <c r="A689" i="26" s="1"/>
  <c r="A690" i="26" s="1"/>
  <c r="A691" i="26" s="1"/>
  <c r="A692" i="26" s="1"/>
  <c r="A693" i="26" s="1"/>
  <c r="A694" i="26" s="1"/>
  <c r="A695" i="26" s="1"/>
  <c r="A696" i="26" s="1"/>
  <c r="A697" i="26" s="1"/>
  <c r="A698" i="26" s="1"/>
  <c r="A699" i="26" s="1"/>
  <c r="A700" i="26" s="1"/>
  <c r="A701" i="26" s="1"/>
  <c r="A702" i="26" s="1"/>
  <c r="A703" i="26" s="1"/>
  <c r="A704" i="26" s="1"/>
  <c r="A705" i="26" s="1"/>
  <c r="A706" i="26" s="1"/>
  <c r="A707" i="26" s="1"/>
  <c r="A708" i="26" s="1"/>
  <c r="A709" i="26" s="1"/>
  <c r="A710" i="26" s="1"/>
  <c r="A711" i="26" s="1"/>
  <c r="A712" i="26" s="1"/>
  <c r="A713" i="26" s="1"/>
  <c r="A714" i="26" s="1"/>
  <c r="A715" i="26" s="1"/>
  <c r="A716" i="26" s="1"/>
  <c r="A717" i="26" s="1"/>
  <c r="A718" i="26" s="1"/>
  <c r="A719" i="26" s="1"/>
  <c r="A720" i="26" s="1"/>
  <c r="A721" i="26" s="1"/>
  <c r="A722" i="26" s="1"/>
  <c r="A723" i="26" s="1"/>
  <c r="A724" i="26" s="1"/>
  <c r="A725" i="26" s="1"/>
  <c r="A726" i="26" s="1"/>
  <c r="A727" i="26" s="1"/>
  <c r="A728" i="26" s="1"/>
  <c r="A729" i="26" s="1"/>
  <c r="A730" i="26" s="1"/>
  <c r="A731" i="26" s="1"/>
  <c r="A732" i="26" s="1"/>
  <c r="A733" i="26" s="1"/>
  <c r="A734" i="26" s="1"/>
  <c r="A735" i="26" s="1"/>
  <c r="A736" i="26" s="1"/>
  <c r="A737" i="26" s="1"/>
  <c r="A738" i="26" s="1"/>
  <c r="A739" i="26" s="1"/>
  <c r="M693" i="26"/>
  <c r="M696" i="26"/>
  <c r="M699" i="26"/>
  <c r="M702" i="26"/>
  <c r="V722" i="26"/>
  <c r="M723" i="26"/>
  <c r="M736" i="26"/>
  <c r="H736" i="26" s="1"/>
  <c r="W740" i="26"/>
  <c r="B741" i="26"/>
  <c r="E741" i="26"/>
  <c r="A742" i="26"/>
  <c r="A743" i="26" s="1"/>
  <c r="A744" i="26" s="1"/>
  <c r="A745" i="26" s="1"/>
  <c r="A746" i="26" s="1"/>
  <c r="A747" i="26" s="1"/>
  <c r="A748" i="26" s="1"/>
  <c r="A749" i="26" s="1"/>
  <c r="A750" i="26" s="1"/>
  <c r="A751" i="26" s="1"/>
  <c r="A752" i="26" s="1"/>
  <c r="A753" i="26" s="1"/>
  <c r="A754" i="26" s="1"/>
  <c r="A755" i="26" s="1"/>
  <c r="A756" i="26" s="1"/>
  <c r="A757" i="26" s="1"/>
  <c r="A758" i="26" s="1"/>
  <c r="B742" i="26"/>
  <c r="E742" i="26"/>
  <c r="B743" i="26"/>
  <c r="E743" i="26"/>
  <c r="B744" i="26"/>
  <c r="E744" i="26"/>
  <c r="B745" i="26"/>
  <c r="E745" i="26"/>
  <c r="B746" i="26"/>
  <c r="E746" i="26"/>
  <c r="B747" i="26"/>
  <c r="E747" i="26"/>
  <c r="B748" i="26"/>
  <c r="E748" i="26"/>
  <c r="B749" i="26"/>
  <c r="E749" i="26"/>
  <c r="B750" i="26"/>
  <c r="E750" i="26"/>
  <c r="B751" i="26"/>
  <c r="E751" i="26"/>
  <c r="B752" i="26"/>
  <c r="E752" i="26"/>
  <c r="B753" i="26"/>
  <c r="E753" i="26"/>
  <c r="B754" i="26"/>
  <c r="E754" i="26"/>
  <c r="B755" i="26"/>
  <c r="E755" i="26"/>
  <c r="B756" i="26"/>
  <c r="E756" i="26"/>
  <c r="B757" i="26"/>
  <c r="B758" i="26"/>
  <c r="E758" i="26"/>
  <c r="B760" i="26"/>
  <c r="E760" i="26"/>
  <c r="B761" i="26"/>
  <c r="E761" i="26"/>
  <c r="B762" i="26"/>
  <c r="E762" i="26"/>
  <c r="B763" i="26"/>
  <c r="E763" i="26"/>
  <c r="B764" i="26"/>
  <c r="E764" i="26"/>
  <c r="B765" i="26"/>
  <c r="E765" i="26"/>
  <c r="B766" i="26"/>
  <c r="E766" i="26"/>
  <c r="B767" i="26"/>
  <c r="E767" i="26"/>
  <c r="B768" i="26"/>
  <c r="E768" i="26"/>
  <c r="B769" i="26"/>
  <c r="E769" i="26"/>
  <c r="B770" i="26"/>
  <c r="E770" i="26"/>
  <c r="B771" i="26"/>
  <c r="E771" i="26"/>
  <c r="B772" i="26"/>
  <c r="E772" i="26"/>
  <c r="B773" i="26"/>
  <c r="E773" i="26"/>
  <c r="B774" i="26"/>
  <c r="E774" i="26"/>
  <c r="B775" i="26"/>
  <c r="E775" i="26"/>
  <c r="B776" i="26"/>
  <c r="E776" i="26"/>
  <c r="B777" i="26"/>
  <c r="E777" i="26"/>
  <c r="B778" i="26"/>
  <c r="E778" i="26"/>
  <c r="B779" i="26"/>
  <c r="E779" i="26"/>
  <c r="B780" i="26"/>
  <c r="E780" i="26"/>
  <c r="B781" i="26"/>
  <c r="E781" i="26"/>
  <c r="B782" i="26"/>
  <c r="E782" i="26"/>
  <c r="B783" i="26"/>
  <c r="E783" i="26"/>
  <c r="B784" i="26"/>
  <c r="E784" i="26"/>
  <c r="B785" i="26"/>
  <c r="E785" i="26"/>
  <c r="B786" i="26"/>
  <c r="E786" i="26"/>
  <c r="B787" i="26"/>
  <c r="E787" i="26"/>
  <c r="B788" i="26"/>
  <c r="E788" i="26"/>
  <c r="B789" i="26"/>
  <c r="E789" i="26"/>
  <c r="B790" i="26"/>
  <c r="E790" i="26"/>
  <c r="B791" i="26"/>
  <c r="E791" i="26"/>
  <c r="B792" i="26"/>
  <c r="B793" i="26"/>
  <c r="B794" i="26"/>
  <c r="B795" i="26"/>
  <c r="E795" i="26"/>
  <c r="B796" i="26"/>
  <c r="E796" i="26"/>
  <c r="B797" i="26"/>
  <c r="E797" i="26"/>
  <c r="B798" i="26"/>
  <c r="E798" i="26"/>
  <c r="B799" i="26"/>
  <c r="E799" i="26"/>
  <c r="B800" i="26"/>
  <c r="E800" i="26"/>
  <c r="B801" i="26"/>
  <c r="E801" i="26"/>
  <c r="B802" i="26"/>
  <c r="E802" i="26"/>
  <c r="B803" i="26"/>
  <c r="E803" i="26"/>
  <c r="B804" i="26"/>
  <c r="E804" i="26"/>
  <c r="B805" i="26"/>
  <c r="E805" i="26"/>
  <c r="B806" i="26"/>
  <c r="E806" i="26"/>
  <c r="B808" i="26"/>
  <c r="E808" i="26"/>
  <c r="B809" i="26"/>
  <c r="E809" i="26"/>
  <c r="B810" i="26"/>
  <c r="E810" i="26"/>
  <c r="B811" i="26"/>
  <c r="E811" i="26"/>
  <c r="K1" i="25"/>
  <c r="L1" i="25" s="1"/>
  <c r="M1" i="25" s="1"/>
  <c r="N1" i="25" s="1"/>
  <c r="O1" i="25" s="1"/>
  <c r="P1" i="25" s="1"/>
  <c r="Q1" i="25" s="1"/>
  <c r="B3" i="25"/>
  <c r="B4" i="25"/>
  <c r="B5" i="25"/>
  <c r="B6" i="25"/>
  <c r="B12" i="25"/>
  <c r="C12" i="25" s="1"/>
  <c r="D12" i="25" s="1"/>
  <c r="E12" i="25" s="1"/>
  <c r="H12" i="25" s="1"/>
  <c r="I12" i="25" s="1"/>
  <c r="J12" i="25" s="1"/>
  <c r="K12" i="25" s="1"/>
  <c r="L12" i="25" s="1"/>
  <c r="M12" i="25" s="1"/>
  <c r="N12" i="25" s="1"/>
  <c r="A17" i="25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E21" i="24"/>
  <c r="K41" i="25"/>
  <c r="L41" i="25"/>
  <c r="N41" i="25"/>
  <c r="O41" i="25"/>
  <c r="O85" i="25" s="1"/>
  <c r="Q41" i="25"/>
  <c r="P41" i="25" s="1"/>
  <c r="R41" i="25"/>
  <c r="T41" i="25"/>
  <c r="T85" i="25" s="1"/>
  <c r="U41" i="25"/>
  <c r="U85" i="25" s="1"/>
  <c r="V41" i="25"/>
  <c r="M42" i="25"/>
  <c r="K51" i="25"/>
  <c r="L51" i="25"/>
  <c r="N51" i="25"/>
  <c r="O51" i="25"/>
  <c r="Q51" i="25"/>
  <c r="P51" i="25" s="1"/>
  <c r="R51" i="25"/>
  <c r="T51" i="25"/>
  <c r="U51" i="25"/>
  <c r="V51" i="25"/>
  <c r="A58" i="25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M65" i="25"/>
  <c r="M79" i="25"/>
  <c r="A93" i="25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W97" i="25"/>
  <c r="W98" i="25"/>
  <c r="W99" i="25"/>
  <c r="W100" i="25"/>
  <c r="H101" i="25"/>
  <c r="R198" i="25" s="1"/>
  <c r="H102" i="25"/>
  <c r="V541" i="25" s="1"/>
  <c r="H103" i="25"/>
  <c r="H104" i="25"/>
  <c r="H105" i="25"/>
  <c r="H106" i="25"/>
  <c r="H107" i="25"/>
  <c r="H108" i="25"/>
  <c r="H109" i="25"/>
  <c r="R206" i="25" s="1"/>
  <c r="W110" i="25"/>
  <c r="W112" i="25"/>
  <c r="W113" i="25"/>
  <c r="H117" i="25"/>
  <c r="W118" i="25"/>
  <c r="W122" i="25"/>
  <c r="W126" i="25"/>
  <c r="W127" i="25"/>
  <c r="W131" i="25"/>
  <c r="W132" i="25"/>
  <c r="W136" i="25"/>
  <c r="W140" i="25"/>
  <c r="H142" i="25"/>
  <c r="W148" i="25"/>
  <c r="W149" i="25"/>
  <c r="W150" i="25"/>
  <c r="A151" i="25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W161" i="25"/>
  <c r="W163" i="25"/>
  <c r="W164" i="25"/>
  <c r="W165" i="25"/>
  <c r="W166" i="25"/>
  <c r="W167" i="25"/>
  <c r="W169" i="25"/>
  <c r="W170" i="25"/>
  <c r="W172" i="25"/>
  <c r="W174" i="25"/>
  <c r="W175" i="25"/>
  <c r="W176" i="25"/>
  <c r="H177" i="25"/>
  <c r="W178" i="25"/>
  <c r="W179" i="25"/>
  <c r="W180" i="25"/>
  <c r="W181" i="25"/>
  <c r="W182" i="25"/>
  <c r="W183" i="25"/>
  <c r="W184" i="25"/>
  <c r="W185" i="25"/>
  <c r="W186" i="25"/>
  <c r="W187" i="25"/>
  <c r="H188" i="25"/>
  <c r="H189" i="25"/>
  <c r="W192" i="25"/>
  <c r="W193" i="25"/>
  <c r="W194" i="25"/>
  <c r="W195" i="25"/>
  <c r="A196" i="25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W196" i="25"/>
  <c r="W197" i="25"/>
  <c r="D198" i="25"/>
  <c r="H198" i="25"/>
  <c r="D199" i="25"/>
  <c r="H199" i="25"/>
  <c r="D200" i="25"/>
  <c r="H200" i="25"/>
  <c r="D201" i="25"/>
  <c r="H201" i="25"/>
  <c r="D202" i="25"/>
  <c r="H202" i="25"/>
  <c r="D203" i="25"/>
  <c r="H203" i="25"/>
  <c r="D204" i="25"/>
  <c r="H204" i="25"/>
  <c r="D205" i="25"/>
  <c r="H205" i="25"/>
  <c r="D206" i="25"/>
  <c r="H206" i="25"/>
  <c r="W207" i="25"/>
  <c r="W209" i="25"/>
  <c r="W210" i="25"/>
  <c r="D211" i="25"/>
  <c r="H211" i="25"/>
  <c r="D212" i="25"/>
  <c r="D213" i="25"/>
  <c r="D214" i="25"/>
  <c r="H214" i="25"/>
  <c r="D215" i="25"/>
  <c r="D216" i="25"/>
  <c r="D217" i="25"/>
  <c r="D218" i="25"/>
  <c r="D219" i="25"/>
  <c r="D220" i="25"/>
  <c r="D221" i="25"/>
  <c r="H221" i="25"/>
  <c r="D222" i="25"/>
  <c r="D223" i="25"/>
  <c r="D224" i="25"/>
  <c r="W225" i="25"/>
  <c r="W227" i="25"/>
  <c r="W228" i="25"/>
  <c r="W229" i="25"/>
  <c r="W230" i="25"/>
  <c r="W231" i="25"/>
  <c r="W232" i="25"/>
  <c r="D233" i="25"/>
  <c r="H233" i="25"/>
  <c r="D234" i="25"/>
  <c r="D235" i="25"/>
  <c r="D236" i="25"/>
  <c r="D237" i="25"/>
  <c r="D238" i="25"/>
  <c r="D239" i="25"/>
  <c r="D240" i="25"/>
  <c r="D241" i="25"/>
  <c r="D242" i="25"/>
  <c r="D243" i="25"/>
  <c r="W244" i="25"/>
  <c r="W246" i="25"/>
  <c r="W248" i="25"/>
  <c r="W250" i="25"/>
  <c r="W251" i="25"/>
  <c r="W252" i="25"/>
  <c r="A253" i="25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A268" i="25" s="1"/>
  <c r="A269" i="25" s="1"/>
  <c r="A270" i="25" s="1"/>
  <c r="A271" i="25" s="1"/>
  <c r="A272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6" i="25" s="1"/>
  <c r="A287" i="25" s="1"/>
  <c r="A288" i="25" s="1"/>
  <c r="A289" i="25" s="1"/>
  <c r="A290" i="25" s="1"/>
  <c r="A291" i="25" s="1"/>
  <c r="A292" i="25" s="1"/>
  <c r="A293" i="25" s="1"/>
  <c r="A294" i="25" s="1"/>
  <c r="A295" i="25" s="1"/>
  <c r="A296" i="25" s="1"/>
  <c r="A297" i="25" s="1"/>
  <c r="A298" i="25" s="1"/>
  <c r="A299" i="25" s="1"/>
  <c r="A300" i="25" s="1"/>
  <c r="A301" i="25" s="1"/>
  <c r="A302" i="25" s="1"/>
  <c r="A303" i="25" s="1"/>
  <c r="A304" i="25" s="1"/>
  <c r="A305" i="25" s="1"/>
  <c r="A306" i="25" s="1"/>
  <c r="A307" i="25" s="1"/>
  <c r="A308" i="25" s="1"/>
  <c r="W254" i="25"/>
  <c r="W255" i="25"/>
  <c r="H256" i="25"/>
  <c r="H257" i="25"/>
  <c r="W260" i="25"/>
  <c r="W261" i="25"/>
  <c r="W262" i="25"/>
  <c r="H265" i="25"/>
  <c r="W267" i="25"/>
  <c r="W268" i="25"/>
  <c r="W269" i="25"/>
  <c r="W272" i="25"/>
  <c r="W273" i="25"/>
  <c r="W274" i="25"/>
  <c r="W275" i="25"/>
  <c r="W277" i="25"/>
  <c r="W278" i="25"/>
  <c r="W279" i="25"/>
  <c r="W280" i="25"/>
  <c r="W281" i="25"/>
  <c r="H285" i="25"/>
  <c r="W293" i="25"/>
  <c r="W294" i="25"/>
  <c r="W295" i="25"/>
  <c r="H296" i="25"/>
  <c r="H300" i="25"/>
  <c r="H301" i="25"/>
  <c r="H304" i="25"/>
  <c r="W305" i="25"/>
  <c r="W307" i="25"/>
  <c r="W309" i="25"/>
  <c r="W311" i="25"/>
  <c r="W312" i="25"/>
  <c r="W313" i="25"/>
  <c r="W314" i="25"/>
  <c r="W315" i="25"/>
  <c r="H316" i="25"/>
  <c r="A317" i="25"/>
  <c r="A318" i="25" s="1"/>
  <c r="A319" i="25" s="1"/>
  <c r="A320" i="25" s="1"/>
  <c r="A321" i="25" s="1"/>
  <c r="A322" i="25" s="1"/>
  <c r="A323" i="25" s="1"/>
  <c r="A324" i="25" s="1"/>
  <c r="A325" i="25" s="1"/>
  <c r="A326" i="25" s="1"/>
  <c r="A327" i="25" s="1"/>
  <c r="A328" i="25" s="1"/>
  <c r="A329" i="25" s="1"/>
  <c r="A330" i="25" s="1"/>
  <c r="A331" i="25" s="1"/>
  <c r="A332" i="25" s="1"/>
  <c r="A333" i="25" s="1"/>
  <c r="A334" i="25" s="1"/>
  <c r="A335" i="25" s="1"/>
  <c r="A336" i="25" s="1"/>
  <c r="A337" i="25" s="1"/>
  <c r="A338" i="25" s="1"/>
  <c r="A339" i="25" s="1"/>
  <c r="A340" i="25" s="1"/>
  <c r="A341" i="25" s="1"/>
  <c r="A342" i="25" s="1"/>
  <c r="A343" i="25" s="1"/>
  <c r="A344" i="25" s="1"/>
  <c r="A345" i="25" s="1"/>
  <c r="A346" i="25" s="1"/>
  <c r="A347" i="25" s="1"/>
  <c r="A348" i="25" s="1"/>
  <c r="A349" i="25" s="1"/>
  <c r="A350" i="25" s="1"/>
  <c r="A351" i="25" s="1"/>
  <c r="A352" i="25" s="1"/>
  <c r="A353" i="25" s="1"/>
  <c r="A354" i="25" s="1"/>
  <c r="A355" i="25" s="1"/>
  <c r="A356" i="25" s="1"/>
  <c r="A357" i="25" s="1"/>
  <c r="A359" i="25" s="1"/>
  <c r="A360" i="25" s="1"/>
  <c r="H317" i="25"/>
  <c r="T436" i="25" s="1"/>
  <c r="W319" i="25"/>
  <c r="W321" i="25"/>
  <c r="W322" i="25"/>
  <c r="W323" i="25"/>
  <c r="W324" i="25"/>
  <c r="W325" i="25"/>
  <c r="H326" i="25"/>
  <c r="S446" i="25" s="1"/>
  <c r="H327" i="25"/>
  <c r="K447" i="25" s="1"/>
  <c r="H329" i="25"/>
  <c r="S449" i="25" s="1"/>
  <c r="H332" i="25"/>
  <c r="W336" i="25"/>
  <c r="W337" i="25"/>
  <c r="H338" i="25"/>
  <c r="S457" i="25" s="1"/>
  <c r="W345" i="25"/>
  <c r="W347" i="25"/>
  <c r="W348" i="25"/>
  <c r="W349" i="25"/>
  <c r="W350" i="25"/>
  <c r="H358" i="25"/>
  <c r="H361" i="25"/>
  <c r="W364" i="25"/>
  <c r="W376" i="25"/>
  <c r="W378" i="25"/>
  <c r="W379" i="25"/>
  <c r="W380" i="25"/>
  <c r="A381" i="25"/>
  <c r="A382" i="25" s="1"/>
  <c r="A383" i="25" s="1"/>
  <c r="A384" i="25" s="1"/>
  <c r="A385" i="25" s="1"/>
  <c r="A386" i="25" s="1"/>
  <c r="A387" i="25" s="1"/>
  <c r="A388" i="25" s="1"/>
  <c r="A389" i="25" s="1"/>
  <c r="A390" i="25" s="1"/>
  <c r="W381" i="25"/>
  <c r="W389" i="25"/>
  <c r="W390" i="25"/>
  <c r="H393" i="25"/>
  <c r="O510" i="25" s="1"/>
  <c r="H397" i="25"/>
  <c r="W399" i="25"/>
  <c r="W400" i="25"/>
  <c r="H401" i="25"/>
  <c r="H402" i="25"/>
  <c r="H404" i="25"/>
  <c r="S520" i="25" s="1"/>
  <c r="H405" i="25"/>
  <c r="W409" i="25"/>
  <c r="W410" i="25"/>
  <c r="W411" i="25"/>
  <c r="H413" i="25"/>
  <c r="H417" i="25"/>
  <c r="H421" i="25"/>
  <c r="H423" i="25"/>
  <c r="W428" i="25"/>
  <c r="W430" i="25"/>
  <c r="W431" i="25"/>
  <c r="W432" i="25"/>
  <c r="W433" i="25"/>
  <c r="W434" i="25"/>
  <c r="A435" i="25"/>
  <c r="A436" i="25" s="1"/>
  <c r="A437" i="25" s="1"/>
  <c r="A438" i="25" s="1"/>
  <c r="A439" i="25" s="1"/>
  <c r="A440" i="25" s="1"/>
  <c r="A441" i="25" s="1"/>
  <c r="A442" i="25" s="1"/>
  <c r="A443" i="25" s="1"/>
  <c r="A444" i="25" s="1"/>
  <c r="A445" i="25" s="1"/>
  <c r="A446" i="25" s="1"/>
  <c r="A447" i="25" s="1"/>
  <c r="A448" i="25" s="1"/>
  <c r="A449" i="25" s="1"/>
  <c r="A450" i="25" s="1"/>
  <c r="A451" i="25" s="1"/>
  <c r="A452" i="25" s="1"/>
  <c r="A453" i="25" s="1"/>
  <c r="A454" i="25" s="1"/>
  <c r="A455" i="25" s="1"/>
  <c r="A456" i="25" s="1"/>
  <c r="A457" i="25" s="1"/>
  <c r="A458" i="25" s="1"/>
  <c r="A459" i="25" s="1"/>
  <c r="A460" i="25" s="1"/>
  <c r="A461" i="25" s="1"/>
  <c r="A462" i="25" s="1"/>
  <c r="A463" i="25" s="1"/>
  <c r="A464" i="25" s="1"/>
  <c r="A465" i="25" s="1"/>
  <c r="A466" i="25" s="1"/>
  <c r="A467" i="25" s="1"/>
  <c r="A468" i="25" s="1"/>
  <c r="A469" i="25" s="1"/>
  <c r="A470" i="25" s="1"/>
  <c r="A471" i="25" s="1"/>
  <c r="A472" i="25" s="1"/>
  <c r="A473" i="25" s="1"/>
  <c r="A474" i="25" s="1"/>
  <c r="A475" i="25" s="1"/>
  <c r="A476" i="25" s="1"/>
  <c r="A477" i="25" s="1"/>
  <c r="A478" i="25" s="1"/>
  <c r="A479" i="25" s="1"/>
  <c r="A480" i="25" s="1"/>
  <c r="A481" i="25" s="1"/>
  <c r="A482" i="25" s="1"/>
  <c r="A483" i="25" s="1"/>
  <c r="A484" i="25" s="1"/>
  <c r="A485" i="25" s="1"/>
  <c r="A486" i="25" s="1"/>
  <c r="A487" i="25" s="1"/>
  <c r="A488" i="25" s="1"/>
  <c r="A489" i="25" s="1"/>
  <c r="A490" i="25" s="1"/>
  <c r="A491" i="25" s="1"/>
  <c r="A492" i="25" s="1"/>
  <c r="A493" i="25" s="1"/>
  <c r="A494" i="25" s="1"/>
  <c r="A495" i="25" s="1"/>
  <c r="D435" i="25"/>
  <c r="H435" i="25"/>
  <c r="H437" i="25" s="1"/>
  <c r="H439" i="25" s="1"/>
  <c r="D436" i="25"/>
  <c r="H436" i="25"/>
  <c r="W438" i="25"/>
  <c r="W440" i="25"/>
  <c r="W441" i="25"/>
  <c r="W442" i="25"/>
  <c r="W443" i="25"/>
  <c r="W444" i="25"/>
  <c r="W445" i="25"/>
  <c r="D446" i="25"/>
  <c r="H446" i="25"/>
  <c r="D447" i="25"/>
  <c r="H447" i="25"/>
  <c r="D448" i="25"/>
  <c r="H448" i="25"/>
  <c r="D449" i="25"/>
  <c r="H449" i="25"/>
  <c r="D450" i="25"/>
  <c r="H450" i="25"/>
  <c r="D451" i="25"/>
  <c r="H451" i="25"/>
  <c r="D452" i="25"/>
  <c r="H452" i="25"/>
  <c r="D453" i="25"/>
  <c r="H453" i="25"/>
  <c r="W455" i="25"/>
  <c r="W456" i="25"/>
  <c r="D457" i="25"/>
  <c r="H457" i="25"/>
  <c r="D458" i="25"/>
  <c r="H458" i="25"/>
  <c r="D459" i="25"/>
  <c r="H459" i="25"/>
  <c r="D460" i="25"/>
  <c r="H460" i="25"/>
  <c r="D461" i="25"/>
  <c r="H461" i="25"/>
  <c r="D462" i="25"/>
  <c r="H462" i="25"/>
  <c r="W464" i="25"/>
  <c r="W466" i="25"/>
  <c r="W467" i="25"/>
  <c r="W468" i="25"/>
  <c r="W469" i="25"/>
  <c r="D470" i="25"/>
  <c r="D471" i="25"/>
  <c r="D472" i="25"/>
  <c r="D473" i="25"/>
  <c r="D474" i="25"/>
  <c r="D475" i="25"/>
  <c r="D476" i="25"/>
  <c r="D477" i="25"/>
  <c r="D478" i="25"/>
  <c r="D479" i="25"/>
  <c r="H479" i="25"/>
  <c r="W481" i="25"/>
  <c r="D482" i="25"/>
  <c r="D483" i="25"/>
  <c r="H483" i="25"/>
  <c r="D484" i="25"/>
  <c r="D485" i="25"/>
  <c r="D486" i="25"/>
  <c r="D487" i="25"/>
  <c r="D488" i="25"/>
  <c r="D489" i="25"/>
  <c r="D490" i="25"/>
  <c r="W492" i="25"/>
  <c r="W494" i="25"/>
  <c r="W496" i="25"/>
  <c r="W497" i="25"/>
  <c r="W498" i="25"/>
  <c r="A499" i="25"/>
  <c r="A500" i="25" s="1"/>
  <c r="A501" i="25" s="1"/>
  <c r="A502" i="25" s="1"/>
  <c r="A503" i="25" s="1"/>
  <c r="A504" i="25" s="1"/>
  <c r="A505" i="25" s="1"/>
  <c r="A506" i="25" s="1"/>
  <c r="A507" i="25" s="1"/>
  <c r="A508" i="25" s="1"/>
  <c r="A509" i="25" s="1"/>
  <c r="A510" i="25" s="1"/>
  <c r="A511" i="25" s="1"/>
  <c r="A512" i="25" s="1"/>
  <c r="A513" i="25" s="1"/>
  <c r="A514" i="25" s="1"/>
  <c r="A515" i="25" s="1"/>
  <c r="A516" i="25" s="1"/>
  <c r="A517" i="25" s="1"/>
  <c r="A518" i="25" s="1"/>
  <c r="A519" i="25" s="1"/>
  <c r="A520" i="25" s="1"/>
  <c r="A521" i="25" s="1"/>
  <c r="A522" i="25" s="1"/>
  <c r="A523" i="25" s="1"/>
  <c r="A524" i="25" s="1"/>
  <c r="A525" i="25" s="1"/>
  <c r="W499" i="25"/>
  <c r="D500" i="25"/>
  <c r="D501" i="25"/>
  <c r="D502" i="25"/>
  <c r="D503" i="25"/>
  <c r="H503" i="25"/>
  <c r="D504" i="25"/>
  <c r="D505" i="25"/>
  <c r="W507" i="25"/>
  <c r="W508" i="25"/>
  <c r="D509" i="25"/>
  <c r="H509" i="25"/>
  <c r="D510" i="25"/>
  <c r="H510" i="25"/>
  <c r="D511" i="25"/>
  <c r="H511" i="25"/>
  <c r="D512" i="25"/>
  <c r="H512" i="25"/>
  <c r="D513" i="25"/>
  <c r="H513" i="25"/>
  <c r="W515" i="25"/>
  <c r="W516" i="25"/>
  <c r="D517" i="25"/>
  <c r="H517" i="25"/>
  <c r="D518" i="25"/>
  <c r="D519" i="25"/>
  <c r="H519" i="25"/>
  <c r="D520" i="25"/>
  <c r="H520" i="25"/>
  <c r="D521" i="25"/>
  <c r="H521" i="25"/>
  <c r="W524" i="25"/>
  <c r="W526" i="25"/>
  <c r="W527" i="25"/>
  <c r="W528" i="25"/>
  <c r="W529" i="25"/>
  <c r="W530" i="25"/>
  <c r="A531" i="25"/>
  <c r="A532" i="25" s="1"/>
  <c r="A533" i="25" s="1"/>
  <c r="A534" i="25" s="1"/>
  <c r="A535" i="25" s="1"/>
  <c r="A536" i="25" s="1"/>
  <c r="A537" i="25" s="1"/>
  <c r="A538" i="25" s="1"/>
  <c r="A539" i="25" s="1"/>
  <c r="A540" i="25" s="1"/>
  <c r="A541" i="25" s="1"/>
  <c r="A542" i="25" s="1"/>
  <c r="A543" i="25" s="1"/>
  <c r="A544" i="25" s="1"/>
  <c r="A545" i="25" s="1"/>
  <c r="A546" i="25" s="1"/>
  <c r="A547" i="25" s="1"/>
  <c r="A548" i="25" s="1"/>
  <c r="A549" i="25" s="1"/>
  <c r="A550" i="25" s="1"/>
  <c r="A551" i="25" s="1"/>
  <c r="A552" i="25" s="1"/>
  <c r="A553" i="25" s="1"/>
  <c r="A554" i="25" s="1"/>
  <c r="A555" i="25" s="1"/>
  <c r="A556" i="25" s="1"/>
  <c r="A557" i="25" s="1"/>
  <c r="A558" i="25" s="1"/>
  <c r="A559" i="25" s="1"/>
  <c r="A560" i="25" s="1"/>
  <c r="A561" i="25" s="1"/>
  <c r="A562" i="25" s="1"/>
  <c r="A563" i="25" s="1"/>
  <c r="A564" i="25" s="1"/>
  <c r="A565" i="25" s="1"/>
  <c r="A566" i="25" s="1"/>
  <c r="A567" i="25" s="1"/>
  <c r="A568" i="25" s="1"/>
  <c r="A569" i="25" s="1"/>
  <c r="A570" i="25" s="1"/>
  <c r="A571" i="25" s="1"/>
  <c r="A572" i="25" s="1"/>
  <c r="A573" i="25" s="1"/>
  <c r="A574" i="25" s="1"/>
  <c r="A575" i="25" s="1"/>
  <c r="A576" i="25" s="1"/>
  <c r="A577" i="25" s="1"/>
  <c r="A578" i="25" s="1"/>
  <c r="A579" i="25" s="1"/>
  <c r="A580" i="25" s="1"/>
  <c r="A581" i="25" s="1"/>
  <c r="A582" i="25" s="1"/>
  <c r="W531" i="25"/>
  <c r="W532" i="25"/>
  <c r="H533" i="25"/>
  <c r="W537" i="25"/>
  <c r="W538" i="25"/>
  <c r="W539" i="25"/>
  <c r="D540" i="25"/>
  <c r="H540" i="25"/>
  <c r="D541" i="25"/>
  <c r="H541" i="25"/>
  <c r="D542" i="25"/>
  <c r="H542" i="25"/>
  <c r="D543" i="25"/>
  <c r="H543" i="25"/>
  <c r="D544" i="25"/>
  <c r="H544" i="25"/>
  <c r="D545" i="25"/>
  <c r="H545" i="25"/>
  <c r="D546" i="25"/>
  <c r="H546" i="25"/>
  <c r="D547" i="25"/>
  <c r="H547" i="25"/>
  <c r="D548" i="25"/>
  <c r="H548" i="25"/>
  <c r="W550" i="25"/>
  <c r="W551" i="25"/>
  <c r="W552" i="25"/>
  <c r="D553" i="25"/>
  <c r="H553" i="25"/>
  <c r="D554" i="25"/>
  <c r="H554" i="25"/>
  <c r="D555" i="25"/>
  <c r="H555" i="25"/>
  <c r="D556" i="25"/>
  <c r="H556" i="25"/>
  <c r="D557" i="25"/>
  <c r="H557" i="25"/>
  <c r="D558" i="25"/>
  <c r="H558" i="25"/>
  <c r="D559" i="25"/>
  <c r="H559" i="25"/>
  <c r="D560" i="25"/>
  <c r="H560" i="25"/>
  <c r="D561" i="25"/>
  <c r="H561" i="25"/>
  <c r="D562" i="25"/>
  <c r="H562" i="25"/>
  <c r="D563" i="25"/>
  <c r="H563" i="25"/>
  <c r="D564" i="25"/>
  <c r="H564" i="25"/>
  <c r="D566" i="25"/>
  <c r="H566" i="25"/>
  <c r="D567" i="25"/>
  <c r="H567" i="25"/>
  <c r="W569" i="25"/>
  <c r="W570" i="25"/>
  <c r="D571" i="25"/>
  <c r="H571" i="25"/>
  <c r="D572" i="25"/>
  <c r="H572" i="25"/>
  <c r="D573" i="25"/>
  <c r="H573" i="25"/>
  <c r="D574" i="25"/>
  <c r="D575" i="25"/>
  <c r="D576" i="25"/>
  <c r="D577" i="25"/>
  <c r="D578" i="25"/>
  <c r="D579" i="25"/>
  <c r="D580" i="25"/>
  <c r="D581" i="25"/>
  <c r="W583" i="25"/>
  <c r="W584" i="25"/>
  <c r="A585" i="25"/>
  <c r="A586" i="25" s="1"/>
  <c r="A587" i="25" s="1"/>
  <c r="A588" i="25" s="1"/>
  <c r="A589" i="25" s="1"/>
  <c r="A590" i="25" s="1"/>
  <c r="A591" i="25" s="1"/>
  <c r="A592" i="25" s="1"/>
  <c r="A593" i="25" s="1"/>
  <c r="A594" i="25" s="1"/>
  <c r="A595" i="25" s="1"/>
  <c r="A596" i="25" s="1"/>
  <c r="A597" i="25" s="1"/>
  <c r="A598" i="25" s="1"/>
  <c r="A599" i="25" s="1"/>
  <c r="A600" i="25" s="1"/>
  <c r="A601" i="25" s="1"/>
  <c r="A602" i="25" s="1"/>
  <c r="A603" i="25" s="1"/>
  <c r="A604" i="25" s="1"/>
  <c r="A605" i="25" s="1"/>
  <c r="A606" i="25" s="1"/>
  <c r="A607" i="25" s="1"/>
  <c r="A608" i="25" s="1"/>
  <c r="A609" i="25" s="1"/>
  <c r="A610" i="25" s="1"/>
  <c r="A611" i="25" s="1"/>
  <c r="W585" i="25"/>
  <c r="H587" i="25"/>
  <c r="H589" i="25"/>
  <c r="H590" i="25"/>
  <c r="H591" i="25"/>
  <c r="W592" i="25"/>
  <c r="W593" i="25"/>
  <c r="W595" i="25"/>
  <c r="W596" i="25"/>
  <c r="W598" i="25"/>
  <c r="W599" i="25"/>
  <c r="W600" i="25"/>
  <c r="W601" i="25"/>
  <c r="W602" i="25"/>
  <c r="W603" i="25"/>
  <c r="W604" i="25"/>
  <c r="W609" i="25"/>
  <c r="W610" i="25"/>
  <c r="W612" i="25"/>
  <c r="W613" i="25"/>
  <c r="W614" i="25"/>
  <c r="W615" i="25"/>
  <c r="W616" i="25"/>
  <c r="W617" i="25"/>
  <c r="W618" i="25"/>
  <c r="W619" i="25"/>
  <c r="W620" i="25"/>
  <c r="W622" i="25"/>
  <c r="A624" i="25"/>
  <c r="A625" i="25" s="1"/>
  <c r="A626" i="25" s="1"/>
  <c r="A627" i="25" s="1"/>
  <c r="A628" i="25" s="1"/>
  <c r="A629" i="25" s="1"/>
  <c r="A630" i="25" s="1"/>
  <c r="A631" i="25" s="1"/>
  <c r="A632" i="25" s="1"/>
  <c r="A633" i="25" s="1"/>
  <c r="A634" i="25" s="1"/>
  <c r="A635" i="25" s="1"/>
  <c r="A636" i="25" s="1"/>
  <c r="A637" i="25" s="1"/>
  <c r="A638" i="25" s="1"/>
  <c r="A639" i="25" s="1"/>
  <c r="A640" i="25" s="1"/>
  <c r="A641" i="25" s="1"/>
  <c r="A642" i="25" s="1"/>
  <c r="A643" i="25" s="1"/>
  <c r="A644" i="25" s="1"/>
  <c r="A645" i="25" s="1"/>
  <c r="A646" i="25" s="1"/>
  <c r="A647" i="25" s="1"/>
  <c r="W624" i="25"/>
  <c r="W625" i="25"/>
  <c r="H629" i="25"/>
  <c r="W631" i="25"/>
  <c r="W635" i="25"/>
  <c r="W637" i="25"/>
  <c r="W639" i="25"/>
  <c r="W641" i="25"/>
  <c r="W642" i="25"/>
  <c r="W648" i="25"/>
  <c r="W649" i="25"/>
  <c r="W650" i="25"/>
  <c r="W651" i="25"/>
  <c r="C652" i="25"/>
  <c r="H652" i="25"/>
  <c r="A653" i="25"/>
  <c r="A654" i="25" s="1"/>
  <c r="A655" i="25" s="1"/>
  <c r="A656" i="25" s="1"/>
  <c r="A657" i="25" s="1"/>
  <c r="A658" i="25" s="1"/>
  <c r="A659" i="25" s="1"/>
  <c r="A660" i="25" s="1"/>
  <c r="A661" i="25" s="1"/>
  <c r="A662" i="25" s="1"/>
  <c r="A663" i="25" s="1"/>
  <c r="A664" i="25" s="1"/>
  <c r="W653" i="25"/>
  <c r="W655" i="25"/>
  <c r="W656" i="25"/>
  <c r="W657" i="25"/>
  <c r="W658" i="25"/>
  <c r="W663" i="25"/>
  <c r="W665" i="25"/>
  <c r="W666" i="25"/>
  <c r="W667" i="25"/>
  <c r="W668" i="25"/>
  <c r="L734" i="25"/>
  <c r="E78" i="30" s="1"/>
  <c r="N734" i="25"/>
  <c r="Q734" i="25"/>
  <c r="R734" i="25"/>
  <c r="T734" i="25"/>
  <c r="H78" i="30" s="1"/>
  <c r="U734" i="25"/>
  <c r="I78" i="30" s="1"/>
  <c r="A670" i="25"/>
  <c r="A671" i="25" s="1"/>
  <c r="A672" i="25" s="1"/>
  <c r="A673" i="25" s="1"/>
  <c r="A674" i="25" s="1"/>
  <c r="A675" i="25" s="1"/>
  <c r="A676" i="25" s="1"/>
  <c r="A677" i="25" s="1"/>
  <c r="A678" i="25" s="1"/>
  <c r="A679" i="25" s="1"/>
  <c r="A680" i="25" s="1"/>
  <c r="A681" i="25" s="1"/>
  <c r="A682" i="25" s="1"/>
  <c r="A683" i="25" s="1"/>
  <c r="A684" i="25" s="1"/>
  <c r="A685" i="25" s="1"/>
  <c r="A686" i="25" s="1"/>
  <c r="A687" i="25" s="1"/>
  <c r="A688" i="25" s="1"/>
  <c r="A689" i="25" s="1"/>
  <c r="A690" i="25" s="1"/>
  <c r="A691" i="25" s="1"/>
  <c r="A692" i="25" s="1"/>
  <c r="A693" i="25" s="1"/>
  <c r="A694" i="25" s="1"/>
  <c r="A695" i="25" s="1"/>
  <c r="A696" i="25" s="1"/>
  <c r="A697" i="25" s="1"/>
  <c r="A698" i="25" s="1"/>
  <c r="A699" i="25" s="1"/>
  <c r="A700" i="25" s="1"/>
  <c r="A701" i="25" s="1"/>
  <c r="A702" i="25" s="1"/>
  <c r="A703" i="25" s="1"/>
  <c r="A704" i="25" s="1"/>
  <c r="A705" i="25" s="1"/>
  <c r="A706" i="25" s="1"/>
  <c r="A707" i="25" s="1"/>
  <c r="A708" i="25" s="1"/>
  <c r="A709" i="25" s="1"/>
  <c r="A710" i="25" s="1"/>
  <c r="A711" i="25" s="1"/>
  <c r="A712" i="25" s="1"/>
  <c r="A713" i="25" s="1"/>
  <c r="A714" i="25" s="1"/>
  <c r="A715" i="25" s="1"/>
  <c r="A716" i="25" s="1"/>
  <c r="A717" i="25" s="1"/>
  <c r="A718" i="25" s="1"/>
  <c r="A719" i="25" s="1"/>
  <c r="A720" i="25" s="1"/>
  <c r="A721" i="25" s="1"/>
  <c r="A722" i="25" s="1"/>
  <c r="A723" i="25" s="1"/>
  <c r="A724" i="25" s="1"/>
  <c r="A725" i="25" s="1"/>
  <c r="A726" i="25" s="1"/>
  <c r="A727" i="25" s="1"/>
  <c r="A728" i="25" s="1"/>
  <c r="A729" i="25" s="1"/>
  <c r="A730" i="25" s="1"/>
  <c r="A731" i="25" s="1"/>
  <c r="A732" i="25" s="1"/>
  <c r="A733" i="25" s="1"/>
  <c r="A734" i="25" s="1"/>
  <c r="A735" i="25" s="1"/>
  <c r="A736" i="25" s="1"/>
  <c r="A737" i="25" s="1"/>
  <c r="A738" i="25" s="1"/>
  <c r="A739" i="25" s="1"/>
  <c r="K735" i="25"/>
  <c r="L735" i="25"/>
  <c r="E79" i="30" s="1"/>
  <c r="N735" i="25"/>
  <c r="O735" i="25"/>
  <c r="R735" i="25"/>
  <c r="T735" i="25"/>
  <c r="H79" i="30" s="1"/>
  <c r="U735" i="25"/>
  <c r="I79" i="30" s="1"/>
  <c r="E100" i="24"/>
  <c r="E102" i="24"/>
  <c r="E101" i="24"/>
  <c r="M693" i="25"/>
  <c r="M696" i="25"/>
  <c r="M699" i="25"/>
  <c r="F43" i="30" s="1"/>
  <c r="M702" i="25"/>
  <c r="F46" i="30" s="1"/>
  <c r="K46" i="30" s="1"/>
  <c r="M723" i="25"/>
  <c r="W740" i="25"/>
  <c r="B741" i="25"/>
  <c r="B13" i="31" s="1"/>
  <c r="E741" i="25"/>
  <c r="A742" i="25"/>
  <c r="A743" i="25" s="1"/>
  <c r="A744" i="25" s="1"/>
  <c r="A745" i="25" s="1"/>
  <c r="A746" i="25" s="1"/>
  <c r="A747" i="25" s="1"/>
  <c r="A748" i="25" s="1"/>
  <c r="A749" i="25" s="1"/>
  <c r="A750" i="25" s="1"/>
  <c r="A751" i="25" s="1"/>
  <c r="A752" i="25" s="1"/>
  <c r="A753" i="25" s="1"/>
  <c r="A754" i="25" s="1"/>
  <c r="A755" i="25" s="1"/>
  <c r="A756" i="25" s="1"/>
  <c r="A757" i="25" s="1"/>
  <c r="A758" i="25" s="1"/>
  <c r="B742" i="25"/>
  <c r="B14" i="31" s="1"/>
  <c r="E742" i="25"/>
  <c r="B743" i="25"/>
  <c r="B15" i="31" s="1"/>
  <c r="E743" i="25"/>
  <c r="B744" i="25"/>
  <c r="B16" i="31" s="1"/>
  <c r="E744" i="25"/>
  <c r="B745" i="25"/>
  <c r="B17" i="31" s="1"/>
  <c r="E745" i="25"/>
  <c r="B746" i="25"/>
  <c r="B18" i="31" s="1"/>
  <c r="E746" i="25"/>
  <c r="B747" i="25"/>
  <c r="B19" i="31" s="1"/>
  <c r="E747" i="25"/>
  <c r="B748" i="25"/>
  <c r="B20" i="31" s="1"/>
  <c r="E748" i="25"/>
  <c r="B749" i="25"/>
  <c r="B21" i="31" s="1"/>
  <c r="E749" i="25"/>
  <c r="B750" i="25"/>
  <c r="B22" i="31" s="1"/>
  <c r="E750" i="25"/>
  <c r="B751" i="25"/>
  <c r="B23" i="31" s="1"/>
  <c r="E751" i="25"/>
  <c r="B752" i="25"/>
  <c r="B24" i="31" s="1"/>
  <c r="E752" i="25"/>
  <c r="B753" i="25"/>
  <c r="B25" i="31" s="1"/>
  <c r="E753" i="25"/>
  <c r="B754" i="25"/>
  <c r="B26" i="31" s="1"/>
  <c r="E754" i="25"/>
  <c r="B755" i="25"/>
  <c r="B27" i="31" s="1"/>
  <c r="E755" i="25"/>
  <c r="B756" i="25"/>
  <c r="B28" i="31" s="1"/>
  <c r="E756" i="25"/>
  <c r="B757" i="25"/>
  <c r="B29" i="31" s="1"/>
  <c r="B758" i="25"/>
  <c r="B30" i="31" s="1"/>
  <c r="E758" i="25"/>
  <c r="B760" i="25"/>
  <c r="E760" i="25"/>
  <c r="B761" i="25"/>
  <c r="E761" i="25"/>
  <c r="B762" i="25"/>
  <c r="E762" i="25"/>
  <c r="B763" i="25"/>
  <c r="E763" i="25"/>
  <c r="B764" i="25"/>
  <c r="E764" i="25"/>
  <c r="B765" i="25"/>
  <c r="E765" i="25"/>
  <c r="B766" i="25"/>
  <c r="E766" i="25"/>
  <c r="B767" i="25"/>
  <c r="E767" i="25"/>
  <c r="B768" i="25"/>
  <c r="E768" i="25"/>
  <c r="B769" i="25"/>
  <c r="E769" i="25"/>
  <c r="B770" i="25"/>
  <c r="E770" i="25"/>
  <c r="B771" i="25"/>
  <c r="E771" i="25"/>
  <c r="B772" i="25"/>
  <c r="E772" i="25"/>
  <c r="B773" i="25"/>
  <c r="E773" i="25"/>
  <c r="B774" i="25"/>
  <c r="E774" i="25"/>
  <c r="B775" i="25"/>
  <c r="E775" i="25"/>
  <c r="B776" i="25"/>
  <c r="E776" i="25"/>
  <c r="B777" i="25"/>
  <c r="E777" i="25"/>
  <c r="B778" i="25"/>
  <c r="E778" i="25"/>
  <c r="B779" i="25"/>
  <c r="E779" i="25"/>
  <c r="B780" i="25"/>
  <c r="E780" i="25"/>
  <c r="B781" i="25"/>
  <c r="E781" i="25"/>
  <c r="B782" i="25"/>
  <c r="E782" i="25"/>
  <c r="B783" i="25"/>
  <c r="E783" i="25"/>
  <c r="B784" i="25"/>
  <c r="E784" i="25"/>
  <c r="B785" i="25"/>
  <c r="E785" i="25"/>
  <c r="B786" i="25"/>
  <c r="E786" i="25"/>
  <c r="B787" i="25"/>
  <c r="E787" i="25"/>
  <c r="B788" i="25"/>
  <c r="E788" i="25"/>
  <c r="B789" i="25"/>
  <c r="E789" i="25"/>
  <c r="B790" i="25"/>
  <c r="E790" i="25"/>
  <c r="B791" i="25"/>
  <c r="E791" i="25"/>
  <c r="B792" i="25"/>
  <c r="B793" i="25"/>
  <c r="B794" i="25"/>
  <c r="B795" i="25"/>
  <c r="E795" i="25"/>
  <c r="B796" i="25"/>
  <c r="E796" i="25"/>
  <c r="B797" i="25"/>
  <c r="E797" i="25"/>
  <c r="B798" i="25"/>
  <c r="E798" i="25"/>
  <c r="B799" i="25"/>
  <c r="E799" i="25"/>
  <c r="B800" i="25"/>
  <c r="E800" i="25"/>
  <c r="B801" i="25"/>
  <c r="E801" i="25"/>
  <c r="B802" i="25"/>
  <c r="E802" i="25"/>
  <c r="B803" i="25"/>
  <c r="E803" i="25"/>
  <c r="B804" i="25"/>
  <c r="E804" i="25"/>
  <c r="B805" i="25"/>
  <c r="E805" i="25"/>
  <c r="B806" i="25"/>
  <c r="E806" i="25"/>
  <c r="B808" i="25"/>
  <c r="E808" i="25"/>
  <c r="B809" i="25"/>
  <c r="E809" i="25"/>
  <c r="B810" i="25"/>
  <c r="E810" i="25"/>
  <c r="B811" i="25"/>
  <c r="E811" i="25"/>
  <c r="B3" i="28"/>
  <c r="B4" i="28"/>
  <c r="B5" i="28"/>
  <c r="B6" i="28"/>
  <c r="B12" i="28"/>
  <c r="C12" i="28"/>
  <c r="D12" i="28" s="1"/>
  <c r="E12" i="28" s="1"/>
  <c r="F12" i="28" s="1"/>
  <c r="G12" i="28" s="1"/>
  <c r="H12" i="28" s="1"/>
  <c r="A18" i="28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N22" i="28"/>
  <c r="N23" i="28"/>
  <c r="N24" i="28"/>
  <c r="N25" i="28"/>
  <c r="N35" i="28"/>
  <c r="N37" i="28"/>
  <c r="N38" i="28"/>
  <c r="N43" i="28"/>
  <c r="J47" i="28"/>
  <c r="K47" i="28"/>
  <c r="L47" i="28"/>
  <c r="N47" i="28"/>
  <c r="N51" i="28"/>
  <c r="N52" i="28"/>
  <c r="N56" i="28"/>
  <c r="N57" i="28"/>
  <c r="N61" i="28"/>
  <c r="N65" i="28"/>
  <c r="N73" i="28"/>
  <c r="N74" i="28"/>
  <c r="N75" i="28"/>
  <c r="A76" i="28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A104" i="28" s="1"/>
  <c r="A105" i="28" s="1"/>
  <c r="A106" i="28" s="1"/>
  <c r="A107" i="28" s="1"/>
  <c r="A108" i="28" s="1"/>
  <c r="A109" i="28" s="1"/>
  <c r="A110" i="28" s="1"/>
  <c r="A111" i="28" s="1"/>
  <c r="A112" i="28" s="1"/>
  <c r="A113" i="28" s="1"/>
  <c r="A114" i="28" s="1"/>
  <c r="A115" i="28" s="1"/>
  <c r="A116" i="28" s="1"/>
  <c r="N86" i="28"/>
  <c r="N88" i="28"/>
  <c r="N89" i="28"/>
  <c r="N90" i="28"/>
  <c r="N91" i="28"/>
  <c r="N92" i="28"/>
  <c r="N94" i="28"/>
  <c r="N95" i="28"/>
  <c r="N97" i="28"/>
  <c r="N98" i="28"/>
  <c r="N99" i="28"/>
  <c r="N100" i="28"/>
  <c r="N101" i="28"/>
  <c r="N103" i="28"/>
  <c r="N104" i="28"/>
  <c r="N105" i="28"/>
  <c r="N106" i="28"/>
  <c r="N107" i="28"/>
  <c r="N108" i="28"/>
  <c r="N109" i="28"/>
  <c r="N110" i="28"/>
  <c r="N111" i="28"/>
  <c r="N112" i="28"/>
  <c r="N117" i="28"/>
  <c r="N118" i="28"/>
  <c r="N119" i="28"/>
  <c r="N120" i="28"/>
  <c r="A121" i="28"/>
  <c r="A122" i="28"/>
  <c r="A123" i="28"/>
  <c r="A124" i="28" s="1"/>
  <c r="A125" i="28" s="1"/>
  <c r="A126" i="28" s="1"/>
  <c r="A127" i="28" s="1"/>
  <c r="A128" i="28" s="1"/>
  <c r="A129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A145" i="28" s="1"/>
  <c r="A146" i="28" s="1"/>
  <c r="A147" i="28" s="1"/>
  <c r="A148" i="28" s="1"/>
  <c r="A149" i="28" s="1"/>
  <c r="A150" i="28" s="1"/>
  <c r="A151" i="28" s="1"/>
  <c r="A152" i="28" s="1"/>
  <c r="A153" i="28" s="1"/>
  <c r="A154" i="28" s="1"/>
  <c r="A155" i="28" s="1"/>
  <c r="A156" i="28" s="1"/>
  <c r="A157" i="28" s="1"/>
  <c r="A158" i="28" s="1"/>
  <c r="A159" i="28" s="1"/>
  <c r="A160" i="28" s="1"/>
  <c r="A161" i="28" s="1"/>
  <c r="A162" i="28" s="1"/>
  <c r="A163" i="28" s="1"/>
  <c r="A164" i="28" s="1"/>
  <c r="A165" i="28" s="1"/>
  <c r="A166" i="28" s="1"/>
  <c r="A167" i="28" s="1"/>
  <c r="A168" i="28" s="1"/>
  <c r="A169" i="28" s="1"/>
  <c r="A170" i="28" s="1"/>
  <c r="A171" i="28" s="1"/>
  <c r="A172" i="28" s="1"/>
  <c r="A173" i="28" s="1"/>
  <c r="A174" i="28" s="1"/>
  <c r="N121" i="28"/>
  <c r="N122" i="28"/>
  <c r="N132" i="28"/>
  <c r="N134" i="28"/>
  <c r="N135" i="28"/>
  <c r="N152" i="28"/>
  <c r="N153" i="28"/>
  <c r="N154" i="28"/>
  <c r="N155" i="28"/>
  <c r="N156" i="28"/>
  <c r="N157" i="28"/>
  <c r="N169" i="28"/>
  <c r="N171" i="28"/>
  <c r="N173" i="28"/>
  <c r="N175" i="28"/>
  <c r="N176" i="28"/>
  <c r="N177" i="28"/>
  <c r="A178" i="28"/>
  <c r="A179" i="28" s="1"/>
  <c r="A180" i="28" s="1"/>
  <c r="A181" i="28" s="1"/>
  <c r="A182" i="28" s="1"/>
  <c r="A183" i="28" s="1"/>
  <c r="A184" i="28" s="1"/>
  <c r="A185" i="28" s="1"/>
  <c r="A186" i="28" s="1"/>
  <c r="A187" i="28" s="1"/>
  <c r="A188" i="28" s="1"/>
  <c r="A189" i="28" s="1"/>
  <c r="A190" i="28" s="1"/>
  <c r="A191" i="28" s="1"/>
  <c r="A192" i="28" s="1"/>
  <c r="A193" i="28"/>
  <c r="A194" i="28" s="1"/>
  <c r="A195" i="28" s="1"/>
  <c r="A196" i="28" s="1"/>
  <c r="A197" i="28" s="1"/>
  <c r="A198" i="28" s="1"/>
  <c r="A199" i="28" s="1"/>
  <c r="A200" i="28" s="1"/>
  <c r="A201" i="28" s="1"/>
  <c r="A202" i="28" s="1"/>
  <c r="A203" i="28" s="1"/>
  <c r="A204" i="28" s="1"/>
  <c r="A205" i="28" s="1"/>
  <c r="A206" i="28" s="1"/>
  <c r="A207" i="28" s="1"/>
  <c r="A208" i="28" s="1"/>
  <c r="A209" i="28" s="1"/>
  <c r="A210" i="28" s="1"/>
  <c r="A211" i="28" s="1"/>
  <c r="A212" i="28" s="1"/>
  <c r="A213" i="28" s="1"/>
  <c r="A214" i="28" s="1"/>
  <c r="A215" i="28" s="1"/>
  <c r="A216" i="28" s="1"/>
  <c r="A217" i="28" s="1"/>
  <c r="A218" i="28" s="1"/>
  <c r="A219" i="28" s="1"/>
  <c r="A220" i="28" s="1"/>
  <c r="A221" i="28" s="1"/>
  <c r="A222" i="28" s="1"/>
  <c r="A223" i="28" s="1"/>
  <c r="A224" i="28" s="1"/>
  <c r="A225" i="28" s="1"/>
  <c r="A226" i="28" s="1"/>
  <c r="A227" i="28" s="1"/>
  <c r="A228" i="28" s="1"/>
  <c r="A229" i="28" s="1"/>
  <c r="A230" i="28" s="1"/>
  <c r="A231" i="28" s="1"/>
  <c r="A232" i="28" s="1"/>
  <c r="A233" i="28" s="1"/>
  <c r="N179" i="28"/>
  <c r="N180" i="28"/>
  <c r="N185" i="28"/>
  <c r="N186" i="28"/>
  <c r="N187" i="28"/>
  <c r="N188" i="28"/>
  <c r="N192" i="28"/>
  <c r="N193" i="28"/>
  <c r="N194" i="28"/>
  <c r="N197" i="28"/>
  <c r="N198" i="28"/>
  <c r="N199" i="28"/>
  <c r="N200" i="28"/>
  <c r="N202" i="28"/>
  <c r="N203" i="28"/>
  <c r="N204" i="28"/>
  <c r="N205" i="28"/>
  <c r="N206" i="28"/>
  <c r="N218" i="28"/>
  <c r="N219" i="28"/>
  <c r="N220" i="28"/>
  <c r="N230" i="28"/>
  <c r="N232" i="28"/>
  <c r="N234" i="28"/>
  <c r="N235" i="28"/>
  <c r="N236" i="28"/>
  <c r="N237" i="28"/>
  <c r="N238" i="28"/>
  <c r="N239" i="28"/>
  <c r="N240" i="28"/>
  <c r="A242" i="28"/>
  <c r="A243" i="28" s="1"/>
  <c r="A244" i="28" s="1"/>
  <c r="A245" i="28" s="1"/>
  <c r="A246" i="28" s="1"/>
  <c r="A247" i="28" s="1"/>
  <c r="A248" i="28" s="1"/>
  <c r="A249" i="28" s="1"/>
  <c r="A250" i="28" s="1"/>
  <c r="A251" i="28" s="1"/>
  <c r="A252" i="28" s="1"/>
  <c r="A253" i="28" s="1"/>
  <c r="A254" i="28" s="1"/>
  <c r="A255" i="28" s="1"/>
  <c r="A256" i="28" s="1"/>
  <c r="A257" i="28" s="1"/>
  <c r="A258" i="28" s="1"/>
  <c r="A259" i="28" s="1"/>
  <c r="A260" i="28" s="1"/>
  <c r="A261" i="28" s="1"/>
  <c r="A262" i="28" s="1"/>
  <c r="A263" i="28" s="1"/>
  <c r="A264" i="28" s="1"/>
  <c r="A265" i="28" s="1"/>
  <c r="A266" i="28" s="1"/>
  <c r="A267" i="28" s="1"/>
  <c r="A268" i="28" s="1"/>
  <c r="A269" i="28" s="1"/>
  <c r="A270" i="28" s="1"/>
  <c r="A271" i="28" s="1"/>
  <c r="A272" i="28" s="1"/>
  <c r="A273" i="28" s="1"/>
  <c r="A274" i="28" s="1"/>
  <c r="A275" i="28" s="1"/>
  <c r="A276" i="28" s="1"/>
  <c r="A277" i="28" s="1"/>
  <c r="A278" i="28" s="1"/>
  <c r="A279" i="28" s="1"/>
  <c r="A280" i="28" s="1"/>
  <c r="A281" i="28" s="1"/>
  <c r="A282" i="28" s="1"/>
  <c r="A284" i="28" s="1"/>
  <c r="A285" i="28" s="1"/>
  <c r="N244" i="28"/>
  <c r="N246" i="28"/>
  <c r="N247" i="28"/>
  <c r="N248" i="28"/>
  <c r="N249" i="28"/>
  <c r="N250" i="28"/>
  <c r="N261" i="28"/>
  <c r="N262" i="28"/>
  <c r="N270" i="28"/>
  <c r="J272" i="28"/>
  <c r="K272" i="28"/>
  <c r="L272" i="28"/>
  <c r="N273" i="28"/>
  <c r="N274" i="28"/>
  <c r="N275" i="28"/>
  <c r="N289" i="28"/>
  <c r="N301" i="28"/>
  <c r="N303" i="28"/>
  <c r="N304" i="28"/>
  <c r="N305" i="28"/>
  <c r="A306" i="28"/>
  <c r="A307" i="28" s="1"/>
  <c r="A308" i="28" s="1"/>
  <c r="A309" i="28" s="1"/>
  <c r="A310" i="28" s="1"/>
  <c r="A311" i="28" s="1"/>
  <c r="A312" i="28" s="1"/>
  <c r="A313" i="28" s="1"/>
  <c r="A314" i="28" s="1"/>
  <c r="A315" i="28" s="1"/>
  <c r="N306" i="28"/>
  <c r="N314" i="28"/>
  <c r="N315" i="28"/>
  <c r="N316" i="28"/>
  <c r="N324" i="28"/>
  <c r="N325" i="28"/>
  <c r="N334" i="28"/>
  <c r="N335" i="28"/>
  <c r="N336" i="28"/>
  <c r="N353" i="28"/>
  <c r="N355" i="28"/>
  <c r="N356" i="28"/>
  <c r="N357" i="28"/>
  <c r="N358" i="28"/>
  <c r="J359" i="28"/>
  <c r="K359" i="28"/>
  <c r="L359" i="28"/>
  <c r="N359" i="28"/>
  <c r="A360" i="28"/>
  <c r="A361" i="28" s="1"/>
  <c r="A362" i="28" s="1"/>
  <c r="A363" i="28" s="1"/>
  <c r="A364" i="28" s="1"/>
  <c r="A365" i="28" s="1"/>
  <c r="A366" i="28" s="1"/>
  <c r="A367" i="28" s="1"/>
  <c r="A368" i="28" s="1"/>
  <c r="A369" i="28" s="1"/>
  <c r="A370" i="28" s="1"/>
  <c r="A371" i="28" s="1"/>
  <c r="A372" i="28" s="1"/>
  <c r="A373" i="28" s="1"/>
  <c r="A374" i="28" s="1"/>
  <c r="A375" i="28" s="1"/>
  <c r="A376" i="28" s="1"/>
  <c r="A377" i="28" s="1"/>
  <c r="A378" i="28" s="1"/>
  <c r="A379" i="28" s="1"/>
  <c r="A380" i="28" s="1"/>
  <c r="A381" i="28" s="1"/>
  <c r="A382" i="28" s="1"/>
  <c r="A383" i="28" s="1"/>
  <c r="A384" i="28" s="1"/>
  <c r="A385" i="28" s="1"/>
  <c r="A386" i="28" s="1"/>
  <c r="A387" i="28" s="1"/>
  <c r="A388" i="28" s="1"/>
  <c r="A389" i="28" s="1"/>
  <c r="A390" i="28" s="1"/>
  <c r="A391" i="28" s="1"/>
  <c r="A392" i="28" s="1"/>
  <c r="A393" i="28" s="1"/>
  <c r="A394" i="28" s="1"/>
  <c r="A395" i="28" s="1"/>
  <c r="A396" i="28" s="1"/>
  <c r="A397" i="28" s="1"/>
  <c r="A398" i="28" s="1"/>
  <c r="A399" i="28" s="1"/>
  <c r="A400" i="28" s="1"/>
  <c r="A401" i="28" s="1"/>
  <c r="A402" i="28" s="1"/>
  <c r="A403" i="28" s="1"/>
  <c r="A404" i="28" s="1"/>
  <c r="A405" i="28" s="1"/>
  <c r="A406" i="28" s="1"/>
  <c r="A407" i="28" s="1"/>
  <c r="A408" i="28" s="1"/>
  <c r="A409" i="28" s="1"/>
  <c r="A410" i="28" s="1"/>
  <c r="A411" i="28" s="1"/>
  <c r="A412" i="28" s="1"/>
  <c r="A413" i="28" s="1"/>
  <c r="A414" i="28" s="1"/>
  <c r="A415" i="28" s="1"/>
  <c r="A416" i="28" s="1"/>
  <c r="A417" i="28" s="1"/>
  <c r="A418" i="28" s="1"/>
  <c r="A419" i="28" s="1"/>
  <c r="A420" i="28" s="1"/>
  <c r="N362" i="28"/>
  <c r="N363" i="28"/>
  <c r="N364" i="28"/>
  <c r="N365" i="28"/>
  <c r="N366" i="28"/>
  <c r="N367" i="28"/>
  <c r="N368" i="28"/>
  <c r="N369" i="28"/>
  <c r="N370" i="28"/>
  <c r="N380" i="28"/>
  <c r="N381" i="28"/>
  <c r="N389" i="28"/>
  <c r="N391" i="28"/>
  <c r="N392" i="28"/>
  <c r="N393" i="28"/>
  <c r="N394" i="28"/>
  <c r="N406" i="28"/>
  <c r="N417" i="28"/>
  <c r="N419" i="28"/>
  <c r="N421" i="28"/>
  <c r="N422" i="28"/>
  <c r="N423" i="28"/>
  <c r="A424" i="28"/>
  <c r="A425" i="28" s="1"/>
  <c r="A426" i="28" s="1"/>
  <c r="A427" i="28" s="1"/>
  <c r="A428" i="28" s="1"/>
  <c r="A429" i="28" s="1"/>
  <c r="A430" i="28" s="1"/>
  <c r="A431" i="28" s="1"/>
  <c r="A432" i="28" s="1"/>
  <c r="A433" i="28" s="1"/>
  <c r="A434" i="28" s="1"/>
  <c r="A435" i="28" s="1"/>
  <c r="A436" i="28" s="1"/>
  <c r="A437" i="28" s="1"/>
  <c r="A438" i="28" s="1"/>
  <c r="A439" i="28" s="1"/>
  <c r="A440" i="28" s="1"/>
  <c r="A441" i="28" s="1"/>
  <c r="A442" i="28" s="1"/>
  <c r="A443" i="28" s="1"/>
  <c r="A444" i="28" s="1"/>
  <c r="A445" i="28" s="1"/>
  <c r="A446" i="28" s="1"/>
  <c r="A447" i="28" s="1"/>
  <c r="A448" i="28" s="1"/>
  <c r="A449" i="28" s="1"/>
  <c r="A450" i="28" s="1"/>
  <c r="N424" i="28"/>
  <c r="N432" i="28"/>
  <c r="J433" i="28"/>
  <c r="K433" i="28"/>
  <c r="L433" i="28"/>
  <c r="N433" i="28"/>
  <c r="N440" i="28"/>
  <c r="N441" i="28"/>
  <c r="N449" i="28"/>
  <c r="N451" i="28"/>
  <c r="N452" i="28"/>
  <c r="N453" i="28"/>
  <c r="N454" i="28"/>
  <c r="N455" i="28"/>
  <c r="A456" i="28"/>
  <c r="A457" i="28" s="1"/>
  <c r="A458" i="28" s="1"/>
  <c r="A459" i="28"/>
  <c r="A460" i="28" s="1"/>
  <c r="A461" i="28" s="1"/>
  <c r="A462" i="28" s="1"/>
  <c r="A463" i="28" s="1"/>
  <c r="A464" i="28" s="1"/>
  <c r="A465" i="28" s="1"/>
  <c r="A466" i="28" s="1"/>
  <c r="A467" i="28" s="1"/>
  <c r="A468" i="28" s="1"/>
  <c r="A469" i="28" s="1"/>
  <c r="A470" i="28" s="1"/>
  <c r="A471" i="28" s="1"/>
  <c r="A472" i="28" s="1"/>
  <c r="A473" i="28" s="1"/>
  <c r="A474" i="28" s="1"/>
  <c r="A475" i="28" s="1"/>
  <c r="A476" i="28" s="1"/>
  <c r="A477" i="28" s="1"/>
  <c r="A478" i="28" s="1"/>
  <c r="A479" i="28" s="1"/>
  <c r="A480" i="28" s="1"/>
  <c r="A481" i="28" s="1"/>
  <c r="A482" i="28" s="1"/>
  <c r="A483" i="28" s="1"/>
  <c r="A484" i="28" s="1"/>
  <c r="A485" i="28" s="1"/>
  <c r="A486" i="28" s="1"/>
  <c r="A487" i="28" s="1"/>
  <c r="A488" i="28" s="1"/>
  <c r="A489" i="28" s="1"/>
  <c r="A490" i="28" s="1"/>
  <c r="A491" i="28" s="1"/>
  <c r="A492" i="28" s="1"/>
  <c r="A493" i="28" s="1"/>
  <c r="A494" i="28" s="1"/>
  <c r="A495" i="28" s="1"/>
  <c r="A496" i="28" s="1"/>
  <c r="A497" i="28" s="1"/>
  <c r="A498" i="28" s="1"/>
  <c r="A499" i="28" s="1"/>
  <c r="A500" i="28" s="1"/>
  <c r="A501" i="28" s="1"/>
  <c r="A502" i="28" s="1"/>
  <c r="A503" i="28" s="1"/>
  <c r="A504" i="28" s="1"/>
  <c r="A505" i="28" s="1"/>
  <c r="A506" i="28" s="1"/>
  <c r="A507" i="28" s="1"/>
  <c r="N456" i="28"/>
  <c r="J457" i="28"/>
  <c r="K457" i="28"/>
  <c r="L457" i="28"/>
  <c r="N457" i="28"/>
  <c r="N462" i="28"/>
  <c r="N463" i="28"/>
  <c r="N464" i="28"/>
  <c r="N475" i="28"/>
  <c r="N476" i="28"/>
  <c r="N477" i="28"/>
  <c r="N494" i="28"/>
  <c r="N495" i="28"/>
  <c r="N496" i="28"/>
  <c r="N508" i="28"/>
  <c r="N509" i="28"/>
  <c r="A510" i="28"/>
  <c r="A511" i="28" s="1"/>
  <c r="A512" i="28" s="1"/>
  <c r="A513" i="28" s="1"/>
  <c r="N510" i="28"/>
  <c r="N517" i="28"/>
  <c r="N518" i="28"/>
  <c r="N520" i="28"/>
  <c r="N521" i="28"/>
  <c r="N523" i="28"/>
  <c r="N524" i="28"/>
  <c r="N525" i="28"/>
  <c r="N526" i="28"/>
  <c r="N527" i="28"/>
  <c r="N528" i="28"/>
  <c r="N529" i="28"/>
  <c r="N534" i="28"/>
  <c r="N535" i="28"/>
  <c r="N537" i="28"/>
  <c r="N538" i="28"/>
  <c r="N539" i="28"/>
  <c r="N540" i="28"/>
  <c r="N541" i="28"/>
  <c r="N542" i="28"/>
  <c r="N543" i="28"/>
  <c r="N544" i="28"/>
  <c r="N545" i="28"/>
  <c r="N546" i="28"/>
  <c r="N547" i="28"/>
  <c r="N549" i="28"/>
  <c r="N550" i="28"/>
  <c r="N556" i="28"/>
  <c r="N560" i="28"/>
  <c r="N561" i="28"/>
  <c r="N562" i="28"/>
  <c r="N563" i="28"/>
  <c r="N566" i="28"/>
  <c r="N568" i="28"/>
  <c r="N570" i="28"/>
  <c r="J571" i="28"/>
  <c r="K571" i="28"/>
  <c r="L571" i="28"/>
  <c r="N571" i="28"/>
  <c r="N577" i="28"/>
  <c r="N578" i="28"/>
  <c r="N579" i="28"/>
  <c r="N580" i="28"/>
  <c r="C581" i="28"/>
  <c r="A582" i="28"/>
  <c r="A583" i="28" s="1"/>
  <c r="A584" i="28" s="1"/>
  <c r="A585" i="28" s="1"/>
  <c r="A586" i="28" s="1"/>
  <c r="A587" i="28" s="1"/>
  <c r="A588" i="28" s="1"/>
  <c r="A589" i="28" s="1"/>
  <c r="A590" i="28" s="1"/>
  <c r="A591" i="28" s="1"/>
  <c r="A592" i="28" s="1"/>
  <c r="A593" i="28" s="1"/>
  <c r="A594" i="28" s="1"/>
  <c r="A595" i="28" s="1"/>
  <c r="A596" i="28" s="1"/>
  <c r="A597" i="28" s="1"/>
  <c r="A598" i="28" s="1"/>
  <c r="A599" i="28" s="1"/>
  <c r="A600" i="28" s="1"/>
  <c r="A601" i="28" s="1"/>
  <c r="A602" i="28" s="1"/>
  <c r="A603" i="28" s="1"/>
  <c r="A604" i="28" s="1"/>
  <c r="A605" i="28" s="1"/>
  <c r="N582" i="28"/>
  <c r="N583" i="28"/>
  <c r="N584" i="28"/>
  <c r="N585" i="28"/>
  <c r="N586" i="28"/>
  <c r="N587" i="28"/>
  <c r="N588" i="28"/>
  <c r="N590" i="28"/>
  <c r="N591" i="28"/>
  <c r="N592" i="28"/>
  <c r="N593" i="28"/>
  <c r="N598" i="28"/>
  <c r="N599" i="28"/>
  <c r="N600" i="28"/>
  <c r="N601" i="28"/>
  <c r="N602" i="28"/>
  <c r="N603" i="28"/>
  <c r="N604" i="28"/>
  <c r="N606" i="28"/>
  <c r="N607" i="28"/>
  <c r="W2" i="24"/>
  <c r="B3" i="24"/>
  <c r="B4" i="24"/>
  <c r="B5" i="24"/>
  <c r="B6" i="24"/>
  <c r="B12" i="24"/>
  <c r="C12" i="24" s="1"/>
  <c r="D12" i="24" s="1"/>
  <c r="E12" i="24" s="1"/>
  <c r="F12" i="24" s="1"/>
  <c r="G12" i="24" s="1"/>
  <c r="H12" i="24" s="1"/>
  <c r="I12" i="24" s="1"/>
  <c r="J12" i="24" s="1"/>
  <c r="K12" i="24" s="1"/>
  <c r="L12" i="24" s="1"/>
  <c r="M12" i="24" s="1"/>
  <c r="N12" i="24" s="1"/>
  <c r="O12" i="24" s="1"/>
  <c r="P12" i="24" s="1"/>
  <c r="Q12" i="24" s="1"/>
  <c r="R12" i="24" s="1"/>
  <c r="R21" i="24"/>
  <c r="R26" i="24"/>
  <c r="R31" i="24"/>
  <c r="D41" i="24"/>
  <c r="K1" i="1"/>
  <c r="L1" i="1" s="1"/>
  <c r="M1" i="1" s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J31" i="1"/>
  <c r="J32" i="1"/>
  <c r="J41" i="1"/>
  <c r="J85" i="1" s="1"/>
  <c r="L41" i="1"/>
  <c r="L85" i="1" s="1"/>
  <c r="M41" i="1"/>
  <c r="M85" i="1" s="1"/>
  <c r="H42" i="1"/>
  <c r="A58" i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J68" i="1"/>
  <c r="J69" i="1"/>
  <c r="L69" i="1"/>
  <c r="M69" i="1"/>
  <c r="J70" i="1"/>
  <c r="H70" i="1" s="1"/>
  <c r="L70" i="1"/>
  <c r="L71" i="1"/>
  <c r="M71" i="1"/>
  <c r="I74" i="1"/>
  <c r="H79" i="1"/>
  <c r="I81" i="1"/>
  <c r="K85" i="1"/>
  <c r="A93" i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H101" i="1"/>
  <c r="H102" i="1"/>
  <c r="H103" i="1"/>
  <c r="F103" i="1" s="1"/>
  <c r="H104" i="1"/>
  <c r="H105" i="1"/>
  <c r="H106" i="1"/>
  <c r="F31" i="28" s="1"/>
  <c r="H107" i="1"/>
  <c r="H108" i="1"/>
  <c r="F33" i="28" s="1"/>
  <c r="H109" i="1"/>
  <c r="F109" i="1" s="1"/>
  <c r="J111" i="1"/>
  <c r="J20" i="1"/>
  <c r="K111" i="1"/>
  <c r="K20" i="1" s="1"/>
  <c r="L111" i="1"/>
  <c r="L20" i="1"/>
  <c r="M111" i="1"/>
  <c r="M20" i="1" s="1"/>
  <c r="H117" i="1"/>
  <c r="J147" i="1"/>
  <c r="J21" i="1" s="1"/>
  <c r="M21" i="1"/>
  <c r="A151" i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J162" i="1"/>
  <c r="J22" i="1" s="1"/>
  <c r="H177" i="1"/>
  <c r="D188" i="1"/>
  <c r="H188" i="1"/>
  <c r="D189" i="1"/>
  <c r="H189" i="1"/>
  <c r="D190" i="1"/>
  <c r="J191" i="1"/>
  <c r="A196" i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H198" i="1"/>
  <c r="H199" i="1"/>
  <c r="H200" i="1"/>
  <c r="D201" i="1"/>
  <c r="H201" i="1"/>
  <c r="D202" i="1"/>
  <c r="H202" i="1"/>
  <c r="D203" i="1"/>
  <c r="H203" i="1"/>
  <c r="D204" i="1"/>
  <c r="H204" i="1"/>
  <c r="F204" i="1" s="1"/>
  <c r="D205" i="1"/>
  <c r="H205" i="1"/>
  <c r="H206" i="1"/>
  <c r="F206" i="1" s="1"/>
  <c r="J208" i="1"/>
  <c r="K208" i="1"/>
  <c r="L208" i="1"/>
  <c r="M208" i="1"/>
  <c r="H211" i="1"/>
  <c r="F211" i="1" s="1"/>
  <c r="D214" i="1"/>
  <c r="H214" i="1"/>
  <c r="F139" i="28" s="1"/>
  <c r="D215" i="1"/>
  <c r="D216" i="1"/>
  <c r="D217" i="1"/>
  <c r="D218" i="1"/>
  <c r="D219" i="1"/>
  <c r="D220" i="1"/>
  <c r="D221" i="1"/>
  <c r="D222" i="1"/>
  <c r="D223" i="1"/>
  <c r="D224" i="1"/>
  <c r="H233" i="1"/>
  <c r="F233" i="1" s="1"/>
  <c r="J245" i="1"/>
  <c r="A254" i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H256" i="1"/>
  <c r="H257" i="1"/>
  <c r="I259" i="1"/>
  <c r="J259" i="1"/>
  <c r="J33" i="1" s="1"/>
  <c r="K259" i="1"/>
  <c r="L259" i="1"/>
  <c r="M259" i="1"/>
  <c r="H265" i="1"/>
  <c r="F265" i="1" s="1"/>
  <c r="G265" i="1" s="1"/>
  <c r="J266" i="1"/>
  <c r="J30" i="1" s="1"/>
  <c r="H285" i="1"/>
  <c r="H296" i="1"/>
  <c r="F221" i="28" s="1"/>
  <c r="H300" i="1"/>
  <c r="H301" i="1"/>
  <c r="F226" i="28" s="1"/>
  <c r="H304" i="1"/>
  <c r="J306" i="1"/>
  <c r="J34" i="1" s="1"/>
  <c r="A316" i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9" i="1" s="1"/>
  <c r="A360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H316" i="1"/>
  <c r="H317" i="1"/>
  <c r="F317" i="1" s="1"/>
  <c r="K318" i="1"/>
  <c r="K320" i="1" s="1"/>
  <c r="L318" i="1"/>
  <c r="L320" i="1" s="1"/>
  <c r="M318" i="1"/>
  <c r="M320" i="1" s="1"/>
  <c r="J320" i="1"/>
  <c r="H326" i="1"/>
  <c r="H327" i="1"/>
  <c r="F327" i="1" s="1"/>
  <c r="G327" i="1" s="1"/>
  <c r="H329" i="1"/>
  <c r="H332" i="1"/>
  <c r="H338" i="1"/>
  <c r="F338" i="1" s="1"/>
  <c r="J344" i="1"/>
  <c r="J347" i="1" s="1"/>
  <c r="L344" i="1"/>
  <c r="L347" i="1" s="1"/>
  <c r="M344" i="1"/>
  <c r="M347" i="1" s="1"/>
  <c r="H358" i="1"/>
  <c r="F358" i="1" s="1"/>
  <c r="H361" i="1"/>
  <c r="F286" i="28" s="1"/>
  <c r="J363" i="1"/>
  <c r="J374" i="1"/>
  <c r="A381" i="1"/>
  <c r="A382" i="1" s="1"/>
  <c r="A383" i="1" s="1"/>
  <c r="A384" i="1" s="1"/>
  <c r="A385" i="1" s="1"/>
  <c r="A386" i="1" s="1"/>
  <c r="A387" i="1" s="1"/>
  <c r="A388" i="1" s="1"/>
  <c r="A389" i="1" s="1"/>
  <c r="A390" i="1" s="1"/>
  <c r="J388" i="1"/>
  <c r="H393" i="1"/>
  <c r="F393" i="1" s="1"/>
  <c r="G393" i="1" s="1"/>
  <c r="H397" i="1"/>
  <c r="F397" i="1" s="1"/>
  <c r="G397" i="1" s="1"/>
  <c r="L398" i="1"/>
  <c r="H401" i="1"/>
  <c r="F326" i="28" s="1"/>
  <c r="H402" i="1"/>
  <c r="F402" i="1" s="1"/>
  <c r="G402" i="1" s="1"/>
  <c r="H404" i="1"/>
  <c r="H405" i="1"/>
  <c r="F330" i="28" s="1"/>
  <c r="J406" i="1"/>
  <c r="L406" i="1"/>
  <c r="M406" i="1"/>
  <c r="I408" i="1"/>
  <c r="H413" i="1"/>
  <c r="H417" i="1"/>
  <c r="F342" i="28" s="1"/>
  <c r="H421" i="1"/>
  <c r="F346" i="28" s="1"/>
  <c r="H423" i="1"/>
  <c r="J427" i="1"/>
  <c r="A435" i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H435" i="1"/>
  <c r="H436" i="1"/>
  <c r="F361" i="28" s="1"/>
  <c r="J437" i="1"/>
  <c r="J439" i="1" s="1"/>
  <c r="K437" i="1"/>
  <c r="K439" i="1" s="1"/>
  <c r="L437" i="1"/>
  <c r="L439" i="1" s="1"/>
  <c r="M437" i="1"/>
  <c r="M439" i="1" s="1"/>
  <c r="D446" i="1"/>
  <c r="D447" i="1"/>
  <c r="H447" i="1"/>
  <c r="D448" i="1"/>
  <c r="D449" i="1"/>
  <c r="D450" i="1"/>
  <c r="H450" i="1"/>
  <c r="F375" i="28" s="1"/>
  <c r="D451" i="1"/>
  <c r="H451" i="1"/>
  <c r="D452" i="1"/>
  <c r="D453" i="1"/>
  <c r="H453" i="1"/>
  <c r="K454" i="1"/>
  <c r="L454" i="1"/>
  <c r="M454" i="1"/>
  <c r="D457" i="1"/>
  <c r="H457" i="1"/>
  <c r="D458" i="1"/>
  <c r="H458" i="1"/>
  <c r="F458" i="1" s="1"/>
  <c r="G458" i="1" s="1"/>
  <c r="D459" i="1"/>
  <c r="D460" i="1"/>
  <c r="H460" i="1"/>
  <c r="F385" i="28" s="1"/>
  <c r="D461" i="1"/>
  <c r="H461" i="1"/>
  <c r="F461" i="1" s="1"/>
  <c r="G461" i="1" s="1"/>
  <c r="D462" i="1"/>
  <c r="H462" i="1"/>
  <c r="F462" i="1" s="1"/>
  <c r="K463" i="1"/>
  <c r="L463" i="1"/>
  <c r="M463" i="1"/>
  <c r="D470" i="1"/>
  <c r="D471" i="1"/>
  <c r="D472" i="1"/>
  <c r="D473" i="1"/>
  <c r="D474" i="1"/>
  <c r="D475" i="1"/>
  <c r="D476" i="1"/>
  <c r="D477" i="1"/>
  <c r="D478" i="1"/>
  <c r="D479" i="1"/>
  <c r="H479" i="1"/>
  <c r="F404" i="28" s="1"/>
  <c r="J480" i="1"/>
  <c r="D482" i="1"/>
  <c r="D483" i="1"/>
  <c r="H483" i="1"/>
  <c r="F408" i="28" s="1"/>
  <c r="D484" i="1"/>
  <c r="D485" i="1"/>
  <c r="D486" i="1"/>
  <c r="D487" i="1"/>
  <c r="D488" i="1"/>
  <c r="D489" i="1"/>
  <c r="D490" i="1"/>
  <c r="J491" i="1"/>
  <c r="M491" i="1"/>
  <c r="M493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H503" i="1"/>
  <c r="J506" i="1"/>
  <c r="H509" i="1"/>
  <c r="F509" i="1" s="1"/>
  <c r="H512" i="1"/>
  <c r="F512" i="1" s="1"/>
  <c r="G512" i="1" s="1"/>
  <c r="H513" i="1"/>
  <c r="J514" i="1"/>
  <c r="K514" i="1"/>
  <c r="L514" i="1"/>
  <c r="H517" i="1"/>
  <c r="F442" i="28" s="1"/>
  <c r="H519" i="1"/>
  <c r="F519" i="1" s="1"/>
  <c r="G519" i="1" s="1"/>
  <c r="H520" i="1"/>
  <c r="F520" i="1" s="1"/>
  <c r="G520" i="1" s="1"/>
  <c r="H521" i="1"/>
  <c r="F447" i="28"/>
  <c r="A531" i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H533" i="1"/>
  <c r="J536" i="1"/>
  <c r="H540" i="1"/>
  <c r="H541" i="1"/>
  <c r="F466" i="28" s="1"/>
  <c r="H542" i="1"/>
  <c r="H543" i="1"/>
  <c r="H544" i="1"/>
  <c r="H545" i="1"/>
  <c r="F545" i="1" s="1"/>
  <c r="H546" i="1"/>
  <c r="F546" i="1" s="1"/>
  <c r="F471" i="28"/>
  <c r="H547" i="1"/>
  <c r="F547" i="1" s="1"/>
  <c r="J549" i="1"/>
  <c r="K549" i="1"/>
  <c r="H553" i="1"/>
  <c r="H554" i="1"/>
  <c r="H555" i="1"/>
  <c r="H556" i="1"/>
  <c r="F556" i="1" s="1"/>
  <c r="H557" i="1"/>
  <c r="F482" i="28" s="1"/>
  <c r="H558" i="1"/>
  <c r="F483" i="28" s="1"/>
  <c r="H559" i="1"/>
  <c r="F484" i="28" s="1"/>
  <c r="H560" i="1"/>
  <c r="F485" i="28" s="1"/>
  <c r="H561" i="1"/>
  <c r="F561" i="1" s="1"/>
  <c r="H562" i="1"/>
  <c r="F562" i="1" s="1"/>
  <c r="H563" i="1"/>
  <c r="F563" i="1" s="1"/>
  <c r="G563" i="1" s="1"/>
  <c r="H564" i="1"/>
  <c r="F564" i="1" s="1"/>
  <c r="G564" i="1" s="1"/>
  <c r="H566" i="1"/>
  <c r="F491" i="28" s="1"/>
  <c r="H567" i="1"/>
  <c r="F492" i="28" s="1"/>
  <c r="J568" i="1"/>
  <c r="K568" i="1"/>
  <c r="L568" i="1"/>
  <c r="M568" i="1"/>
  <c r="H571" i="1"/>
  <c r="F571" i="1" s="1"/>
  <c r="H572" i="1"/>
  <c r="F572" i="1" s="1"/>
  <c r="H573" i="1"/>
  <c r="F498" i="28" s="1"/>
  <c r="J582" i="1"/>
  <c r="A585" i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H587" i="1"/>
  <c r="H590" i="1"/>
  <c r="H591" i="1"/>
  <c r="I594" i="1"/>
  <c r="J594" i="1"/>
  <c r="L594" i="1"/>
  <c r="M594" i="1"/>
  <c r="H609" i="1"/>
  <c r="H610" i="1"/>
  <c r="J611" i="1"/>
  <c r="J47" i="1" s="1"/>
  <c r="A621" i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H629" i="1"/>
  <c r="F629" i="1" s="1"/>
  <c r="G629" i="1" s="1"/>
  <c r="I636" i="1"/>
  <c r="N636" i="1"/>
  <c r="J643" i="1"/>
  <c r="J644" i="1"/>
  <c r="J645" i="1"/>
  <c r="H645" i="25"/>
  <c r="H645" i="26"/>
  <c r="H645" i="27"/>
  <c r="H652" i="1"/>
  <c r="A653" i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K653" i="1"/>
  <c r="J49" i="1"/>
  <c r="L654" i="1"/>
  <c r="L49" i="1" s="1"/>
  <c r="M654" i="1"/>
  <c r="H663" i="1"/>
  <c r="J664" i="1"/>
  <c r="M664" i="1"/>
  <c r="H588" i="25"/>
  <c r="H588" i="1"/>
  <c r="F513" i="28" s="1"/>
  <c r="H328" i="25"/>
  <c r="S448" i="25" s="1"/>
  <c r="H328" i="1"/>
  <c r="F328" i="1" s="1"/>
  <c r="G328" i="1" s="1"/>
  <c r="F252" i="28"/>
  <c r="O545" i="25"/>
  <c r="R521" i="26"/>
  <c r="Q521" i="26"/>
  <c r="F34" i="28"/>
  <c r="H548" i="26"/>
  <c r="L549" i="1"/>
  <c r="H548" i="27"/>
  <c r="F383" i="28"/>
  <c r="F29" i="28"/>
  <c r="V556" i="25"/>
  <c r="V204" i="26"/>
  <c r="N204" i="26"/>
  <c r="N546" i="26"/>
  <c r="O546" i="26"/>
  <c r="L214" i="27"/>
  <c r="M549" i="1"/>
  <c r="H548" i="1"/>
  <c r="F473" i="28" s="1"/>
  <c r="Q206" i="25"/>
  <c r="H446" i="1"/>
  <c r="F446" i="1" s="1"/>
  <c r="G446" i="1" s="1"/>
  <c r="H448" i="1"/>
  <c r="F448" i="1" s="1"/>
  <c r="G448" i="1" s="1"/>
  <c r="H449" i="1"/>
  <c r="H452" i="1"/>
  <c r="J454" i="1"/>
  <c r="F26" i="28"/>
  <c r="F28" i="28"/>
  <c r="F386" i="28"/>
  <c r="J65" i="1"/>
  <c r="F241" i="28"/>
  <c r="V733" i="25"/>
  <c r="H271" i="1"/>
  <c r="F225" i="28"/>
  <c r="F373" i="28"/>
  <c r="F387" i="28"/>
  <c r="M58" i="1"/>
  <c r="M226" i="1"/>
  <c r="J463" i="1"/>
  <c r="V58" i="27"/>
  <c r="F444" i="28"/>
  <c r="H459" i="1"/>
  <c r="H58" i="1"/>
  <c r="F257" i="28"/>
  <c r="F102" i="28"/>
  <c r="K58" i="1"/>
  <c r="H58" i="25" s="1"/>
  <c r="V58" i="25" s="1"/>
  <c r="J58" i="1"/>
  <c r="L58" i="1"/>
  <c r="F470" i="28"/>
  <c r="J376" i="28"/>
  <c r="Q556" i="25"/>
  <c r="F472" i="28"/>
  <c r="F114" i="28"/>
  <c r="F101" i="1"/>
  <c r="J96" i="1"/>
  <c r="J19" i="1" s="1"/>
  <c r="L65" i="1"/>
  <c r="F514" i="28"/>
  <c r="T205" i="27"/>
  <c r="F465" i="28"/>
  <c r="N520" i="27"/>
  <c r="F300" i="1"/>
  <c r="G300" i="1" s="1"/>
  <c r="F229" i="28"/>
  <c r="F374" i="28"/>
  <c r="J226" i="1"/>
  <c r="W173" i="25"/>
  <c r="W310" i="25"/>
  <c r="Q449" i="27"/>
  <c r="W621" i="25"/>
  <c r="O206" i="25"/>
  <c r="V548" i="25"/>
  <c r="U220" i="27"/>
  <c r="R562" i="27"/>
  <c r="R520" i="27"/>
  <c r="L214" i="25"/>
  <c r="N556" i="25"/>
  <c r="T556" i="25"/>
  <c r="L465" i="1"/>
  <c r="T559" i="26"/>
  <c r="W127" i="26"/>
  <c r="U559" i="26"/>
  <c r="N217" i="26"/>
  <c r="L521" i="26"/>
  <c r="Q556" i="26"/>
  <c r="O559" i="26"/>
  <c r="L559" i="26"/>
  <c r="L217" i="26"/>
  <c r="R217" i="26"/>
  <c r="L556" i="26"/>
  <c r="Q559" i="26"/>
  <c r="V217" i="26"/>
  <c r="K559" i="26"/>
  <c r="U217" i="26"/>
  <c r="N559" i="26"/>
  <c r="R556" i="26"/>
  <c r="L436" i="26"/>
  <c r="K217" i="26"/>
  <c r="Q217" i="26"/>
  <c r="T217" i="26"/>
  <c r="V559" i="26"/>
  <c r="O217" i="26"/>
  <c r="V214" i="26"/>
  <c r="V547" i="26"/>
  <c r="V205" i="26"/>
  <c r="U547" i="26"/>
  <c r="K547" i="26"/>
  <c r="N205" i="26"/>
  <c r="Q201" i="26"/>
  <c r="U201" i="26"/>
  <c r="K546" i="26"/>
  <c r="Q546" i="26"/>
  <c r="K204" i="26"/>
  <c r="L546" i="26"/>
  <c r="R546" i="26"/>
  <c r="T546" i="26"/>
  <c r="O204" i="26"/>
  <c r="U546" i="26"/>
  <c r="U204" i="26"/>
  <c r="L204" i="26"/>
  <c r="Q204" i="26"/>
  <c r="T204" i="26"/>
  <c r="R204" i="26"/>
  <c r="V546" i="26"/>
  <c r="T543" i="26"/>
  <c r="R735" i="26"/>
  <c r="O203" i="25"/>
  <c r="N203" i="25"/>
  <c r="U203" i="25"/>
  <c r="U200" i="25"/>
  <c r="T542" i="25"/>
  <c r="M675" i="25"/>
  <c r="F177" i="1"/>
  <c r="G177" i="1" s="1"/>
  <c r="F304" i="1"/>
  <c r="G204" i="1"/>
  <c r="H41" i="1"/>
  <c r="K654" i="1"/>
  <c r="H653" i="1"/>
  <c r="F189" i="1"/>
  <c r="F106" i="1"/>
  <c r="F460" i="1"/>
  <c r="G460" i="1" s="1"/>
  <c r="F450" i="1"/>
  <c r="G450" i="1" s="1"/>
  <c r="F541" i="1"/>
  <c r="G541" i="1" s="1"/>
  <c r="F301" i="1"/>
  <c r="G301" i="1" s="1"/>
  <c r="O548" i="25"/>
  <c r="Q548" i="25"/>
  <c r="R548" i="25"/>
  <c r="N206" i="25"/>
  <c r="T201" i="25"/>
  <c r="U543" i="25"/>
  <c r="L543" i="25"/>
  <c r="N543" i="25"/>
  <c r="V449" i="25"/>
  <c r="R201" i="25"/>
  <c r="Q543" i="25"/>
  <c r="K200" i="25"/>
  <c r="Q203" i="25"/>
  <c r="L203" i="25"/>
  <c r="Q545" i="25"/>
  <c r="M680" i="25"/>
  <c r="R545" i="25"/>
  <c r="V203" i="25"/>
  <c r="K545" i="25"/>
  <c r="V200" i="25"/>
  <c r="K203" i="25"/>
  <c r="L545" i="25"/>
  <c r="T203" i="25"/>
  <c r="Q221" i="25"/>
  <c r="M671" i="25"/>
  <c r="J671" i="25" s="1"/>
  <c r="U563" i="25"/>
  <c r="M684" i="25"/>
  <c r="G13" i="30"/>
  <c r="R563" i="25"/>
  <c r="O563" i="25"/>
  <c r="K734" i="25"/>
  <c r="O457" i="25"/>
  <c r="O734" i="25"/>
  <c r="F13" i="30"/>
  <c r="M681" i="25"/>
  <c r="M738" i="25"/>
  <c r="V734" i="25"/>
  <c r="Q735" i="25"/>
  <c r="V85" i="25"/>
  <c r="G189" i="1"/>
  <c r="L547" i="27"/>
  <c r="O222" i="27"/>
  <c r="O214" i="27"/>
  <c r="K547" i="27"/>
  <c r="R449" i="27"/>
  <c r="O520" i="27"/>
  <c r="L436" i="27"/>
  <c r="N205" i="27"/>
  <c r="U547" i="27"/>
  <c r="K222" i="27"/>
  <c r="K214" i="27"/>
  <c r="Q205" i="27"/>
  <c r="O547" i="27"/>
  <c r="U214" i="27"/>
  <c r="R547" i="27"/>
  <c r="Q547" i="27"/>
  <c r="T547" i="27"/>
  <c r="R205" i="27"/>
  <c r="R214" i="27"/>
  <c r="R199" i="27"/>
  <c r="K205" i="27"/>
  <c r="U205" i="27"/>
  <c r="V547" i="27"/>
  <c r="N547" i="27"/>
  <c r="N222" i="27"/>
  <c r="V205" i="27"/>
  <c r="L205" i="27"/>
  <c r="Q214" i="27"/>
  <c r="T566" i="27"/>
  <c r="Q521" i="27"/>
  <c r="O541" i="27"/>
  <c r="O213" i="27"/>
  <c r="U213" i="27"/>
  <c r="U555" i="27"/>
  <c r="V555" i="27"/>
  <c r="O85" i="27"/>
  <c r="O448" i="27"/>
  <c r="K212" i="26"/>
  <c r="R85" i="26"/>
  <c r="K554" i="26"/>
  <c r="O446" i="26"/>
  <c r="L214" i="26"/>
  <c r="K556" i="26"/>
  <c r="O556" i="26"/>
  <c r="Q214" i="26"/>
  <c r="T435" i="26"/>
  <c r="Q446" i="26"/>
  <c r="T556" i="26"/>
  <c r="N556" i="26"/>
  <c r="K214" i="26"/>
  <c r="V556" i="26"/>
  <c r="U556" i="26"/>
  <c r="T214" i="26"/>
  <c r="N214" i="26"/>
  <c r="R553" i="26"/>
  <c r="K435" i="26"/>
  <c r="U214" i="26"/>
  <c r="O214" i="26"/>
  <c r="V202" i="26"/>
  <c r="T205" i="26"/>
  <c r="L547" i="26"/>
  <c r="K205" i="26"/>
  <c r="U205" i="26"/>
  <c r="Q205" i="26"/>
  <c r="R547" i="26"/>
  <c r="R205" i="26"/>
  <c r="N547" i="26"/>
  <c r="T547" i="26"/>
  <c r="L205" i="26"/>
  <c r="O547" i="26"/>
  <c r="Q547" i="26"/>
  <c r="O205" i="26"/>
  <c r="Q510" i="26"/>
  <c r="R540" i="26"/>
  <c r="T540" i="26"/>
  <c r="U198" i="26"/>
  <c r="K198" i="26"/>
  <c r="K562" i="26"/>
  <c r="V562" i="26"/>
  <c r="N85" i="26"/>
  <c r="H42" i="26"/>
  <c r="Y42" i="26" s="1"/>
  <c r="U446" i="26"/>
  <c r="L545" i="26"/>
  <c r="U435" i="26"/>
  <c r="G462" i="1"/>
  <c r="F129" i="28"/>
  <c r="F589" i="1"/>
  <c r="G589" i="1" s="1"/>
  <c r="K554" i="27"/>
  <c r="V212" i="27"/>
  <c r="T222" i="27"/>
  <c r="R222" i="27"/>
  <c r="Q222" i="27"/>
  <c r="V222" i="27"/>
  <c r="U222" i="27"/>
  <c r="L222" i="27"/>
  <c r="Q85" i="26"/>
  <c r="P85" i="26" s="1"/>
  <c r="L542" i="25"/>
  <c r="O200" i="25"/>
  <c r="U542" i="25"/>
  <c r="R85" i="25"/>
  <c r="T198" i="25"/>
  <c r="L436" i="25"/>
  <c r="F449" i="1"/>
  <c r="G449" i="1"/>
  <c r="J78" i="1"/>
  <c r="J40" i="1"/>
  <c r="J43" i="1" s="1"/>
  <c r="J465" i="1"/>
  <c r="F417" i="1"/>
  <c r="G417" i="1" s="1"/>
  <c r="F332" i="1"/>
  <c r="G332" i="1" s="1"/>
  <c r="F548" i="1"/>
  <c r="G548" i="1" s="1"/>
  <c r="M78" i="1"/>
  <c r="M40" i="1"/>
  <c r="F316" i="1"/>
  <c r="G316" i="1" s="1"/>
  <c r="F296" i="1"/>
  <c r="G296" i="1" s="1"/>
  <c r="L80" i="1"/>
  <c r="O554" i="27"/>
  <c r="Q212" i="27"/>
  <c r="R638" i="25"/>
  <c r="P638" i="25"/>
  <c r="H638" i="25"/>
  <c r="L638" i="25"/>
  <c r="K638" i="25"/>
  <c r="T638" i="25"/>
  <c r="Q520" i="25"/>
  <c r="G109" i="1"/>
  <c r="M684" i="26"/>
  <c r="H79" i="26"/>
  <c r="Y79" i="26" s="1"/>
  <c r="Q447" i="26"/>
  <c r="U213" i="26"/>
  <c r="K542" i="26"/>
  <c r="N200" i="26"/>
  <c r="O542" i="26"/>
  <c r="L200" i="26"/>
  <c r="O545" i="26"/>
  <c r="V733" i="26"/>
  <c r="V204" i="25"/>
  <c r="L546" i="25"/>
  <c r="O546" i="25"/>
  <c r="O204" i="25"/>
  <c r="Q85" i="25"/>
  <c r="L85" i="25"/>
  <c r="Q223" i="27"/>
  <c r="U223" i="27"/>
  <c r="U449" i="27"/>
  <c r="K449" i="27"/>
  <c r="V446" i="27"/>
  <c r="T449" i="27"/>
  <c r="T446" i="27"/>
  <c r="V566" i="27"/>
  <c r="L223" i="27"/>
  <c r="Q566" i="27"/>
  <c r="O449" i="27"/>
  <c r="U436" i="27"/>
  <c r="U198" i="27"/>
  <c r="N449" i="27"/>
  <c r="N566" i="27"/>
  <c r="K566" i="27"/>
  <c r="Q204" i="27"/>
  <c r="T555" i="27"/>
  <c r="L555" i="27"/>
  <c r="Q555" i="27"/>
  <c r="T220" i="27"/>
  <c r="N457" i="27"/>
  <c r="V204" i="27"/>
  <c r="N213" i="27"/>
  <c r="K555" i="27"/>
  <c r="N555" i="27"/>
  <c r="R213" i="27"/>
  <c r="L213" i="27"/>
  <c r="T562" i="27"/>
  <c r="N220" i="27"/>
  <c r="U546" i="27"/>
  <c r="T213" i="27"/>
  <c r="L204" i="27"/>
  <c r="K204" i="27"/>
  <c r="N546" i="27"/>
  <c r="Q213" i="27"/>
  <c r="O555" i="27"/>
  <c r="K213" i="27"/>
  <c r="V213" i="27"/>
  <c r="K220" i="27"/>
  <c r="L220" i="27"/>
  <c r="K562" i="27"/>
  <c r="O457" i="27"/>
  <c r="M51" i="27"/>
  <c r="J51" i="27" s="1"/>
  <c r="H51" i="27" s="1"/>
  <c r="Y51" i="27" s="1"/>
  <c r="H42" i="27"/>
  <c r="Y42" i="27" s="1"/>
  <c r="N221" i="27"/>
  <c r="O563" i="27"/>
  <c r="L548" i="27"/>
  <c r="K448" i="27"/>
  <c r="N448" i="27"/>
  <c r="V448" i="27"/>
  <c r="T448" i="27"/>
  <c r="Q448" i="27"/>
  <c r="R448" i="27"/>
  <c r="T563" i="27"/>
  <c r="V563" i="27"/>
  <c r="Q563" i="27"/>
  <c r="U221" i="27"/>
  <c r="O221" i="27"/>
  <c r="V221" i="27"/>
  <c r="R563" i="27"/>
  <c r="N563" i="27"/>
  <c r="R221" i="27"/>
  <c r="L563" i="27"/>
  <c r="K221" i="27"/>
  <c r="Q221" i="27"/>
  <c r="U563" i="27"/>
  <c r="K559" i="27"/>
  <c r="U217" i="27"/>
  <c r="N559" i="27"/>
  <c r="V559" i="27"/>
  <c r="R217" i="27"/>
  <c r="R638" i="27"/>
  <c r="L221" i="27"/>
  <c r="T217" i="27"/>
  <c r="T221" i="27"/>
  <c r="M738" i="27"/>
  <c r="R85" i="27"/>
  <c r="H736" i="27"/>
  <c r="S808" i="27" s="1"/>
  <c r="V734" i="27"/>
  <c r="O198" i="27"/>
  <c r="T540" i="27"/>
  <c r="K540" i="27"/>
  <c r="L540" i="27"/>
  <c r="N198" i="27"/>
  <c r="O734" i="27"/>
  <c r="T559" i="27"/>
  <c r="W127" i="27"/>
  <c r="O559" i="27"/>
  <c r="L217" i="27"/>
  <c r="L559" i="27"/>
  <c r="U559" i="27"/>
  <c r="Q559" i="27"/>
  <c r="Q217" i="27"/>
  <c r="V217" i="27"/>
  <c r="N217" i="27"/>
  <c r="R559" i="27"/>
  <c r="K217" i="27"/>
  <c r="O217" i="27"/>
  <c r="K548" i="27"/>
  <c r="T206" i="27"/>
  <c r="O206" i="27"/>
  <c r="V206" i="27"/>
  <c r="O548" i="27"/>
  <c r="N85" i="27"/>
  <c r="M41" i="27"/>
  <c r="H42" i="24"/>
  <c r="R447" i="27"/>
  <c r="K447" i="27"/>
  <c r="U447" i="27"/>
  <c r="G545" i="1"/>
  <c r="G103" i="1"/>
  <c r="O638" i="26"/>
  <c r="K638" i="26"/>
  <c r="L638" i="26"/>
  <c r="M638" i="26"/>
  <c r="N638" i="26"/>
  <c r="Q638" i="26"/>
  <c r="U638" i="26"/>
  <c r="H638" i="26"/>
  <c r="R638" i="26"/>
  <c r="V638" i="26"/>
  <c r="I638" i="26"/>
  <c r="T638" i="26"/>
  <c r="O58" i="26"/>
  <c r="J58" i="26"/>
  <c r="U58" i="26"/>
  <c r="I58" i="26"/>
  <c r="V58" i="26"/>
  <c r="N58" i="26"/>
  <c r="H58" i="26"/>
  <c r="Y58" i="26" s="1"/>
  <c r="M58" i="26"/>
  <c r="L58" i="26"/>
  <c r="P58" i="26"/>
  <c r="T58" i="26"/>
  <c r="Q58" i="26"/>
  <c r="R58" i="26"/>
  <c r="K58" i="26"/>
  <c r="K542" i="27"/>
  <c r="M638" i="1"/>
  <c r="K638" i="1"/>
  <c r="L638" i="1"/>
  <c r="J638" i="1"/>
  <c r="H638" i="1"/>
  <c r="F567" i="28" s="1"/>
  <c r="F58" i="1"/>
  <c r="G547" i="1"/>
  <c r="F517" i="1"/>
  <c r="G517" i="1" s="1"/>
  <c r="F104" i="1"/>
  <c r="F42" i="1"/>
  <c r="G42" i="1" s="1"/>
  <c r="G206" i="1"/>
  <c r="H693" i="27"/>
  <c r="S765" i="27" s="1"/>
  <c r="M51" i="25"/>
  <c r="H42" i="25"/>
  <c r="X42" i="25" s="1"/>
  <c r="H696" i="27"/>
  <c r="Q768" i="27" s="1"/>
  <c r="M680" i="26"/>
  <c r="N446" i="27"/>
  <c r="R446" i="27"/>
  <c r="H259" i="27"/>
  <c r="K735" i="26"/>
  <c r="R224" i="26"/>
  <c r="U448" i="26"/>
  <c r="V448" i="25"/>
  <c r="K448" i="25"/>
  <c r="Q449" i="25"/>
  <c r="R449" i="25"/>
  <c r="L540" i="25"/>
  <c r="N540" i="25"/>
  <c r="L198" i="25"/>
  <c r="Q540" i="25"/>
  <c r="V446" i="25"/>
  <c r="K446" i="25"/>
  <c r="N85" i="25"/>
  <c r="M85" i="25" s="1"/>
  <c r="M41" i="25"/>
  <c r="G42" i="24"/>
  <c r="G104" i="1"/>
  <c r="O556" i="27"/>
  <c r="N556" i="27"/>
  <c r="N214" i="27"/>
  <c r="V214" i="27"/>
  <c r="K556" i="27"/>
  <c r="L556" i="27"/>
  <c r="V556" i="27"/>
  <c r="Q556" i="27"/>
  <c r="R556" i="27"/>
  <c r="T556" i="27"/>
  <c r="U556" i="27"/>
  <c r="T214" i="27"/>
  <c r="A391" i="27"/>
  <c r="A393" i="27" s="1"/>
  <c r="A394" i="27" s="1"/>
  <c r="A395" i="27" s="1"/>
  <c r="A397" i="27" s="1"/>
  <c r="A398" i="27" s="1"/>
  <c r="A399" i="27" s="1"/>
  <c r="A400" i="27" s="1"/>
  <c r="A401" i="27" s="1"/>
  <c r="A402" i="27" s="1"/>
  <c r="A403" i="27" s="1"/>
  <c r="A404" i="27" s="1"/>
  <c r="A405" i="27" s="1"/>
  <c r="A406" i="27" s="1"/>
  <c r="A407" i="27" s="1"/>
  <c r="A408" i="27" s="1"/>
  <c r="A409" i="27" s="1"/>
  <c r="A410" i="27" s="1"/>
  <c r="A411" i="27" s="1"/>
  <c r="A412" i="27" s="1"/>
  <c r="A392" i="27"/>
  <c r="L448" i="27"/>
  <c r="U448" i="27"/>
  <c r="M681" i="27"/>
  <c r="K457" i="26"/>
  <c r="K447" i="26"/>
  <c r="T447" i="26"/>
  <c r="W693" i="27"/>
  <c r="N448" i="25"/>
  <c r="R448" i="25"/>
  <c r="Q448" i="25"/>
  <c r="O448" i="25"/>
  <c r="U448" i="25"/>
  <c r="L448" i="25"/>
  <c r="T448" i="25"/>
  <c r="Q446" i="25"/>
  <c r="I638" i="25"/>
  <c r="O638" i="25"/>
  <c r="N638" i="25"/>
  <c r="M638" i="25"/>
  <c r="Q638" i="25"/>
  <c r="U638" i="25"/>
  <c r="V638" i="25"/>
  <c r="A283" i="28"/>
  <c r="A316" i="28"/>
  <c r="A318" i="28" s="1"/>
  <c r="A319" i="28" s="1"/>
  <c r="A321" i="28" s="1"/>
  <c r="A317" i="28"/>
  <c r="T567" i="27"/>
  <c r="Q224" i="27"/>
  <c r="O567" i="27"/>
  <c r="U224" i="27"/>
  <c r="R224" i="27"/>
  <c r="O224" i="27"/>
  <c r="N224" i="27"/>
  <c r="F42" i="28"/>
  <c r="F117" i="1"/>
  <c r="G117" i="1" s="1"/>
  <c r="A358" i="1"/>
  <c r="R205" i="25"/>
  <c r="T544" i="25"/>
  <c r="O544" i="25"/>
  <c r="R213" i="26"/>
  <c r="V213" i="26"/>
  <c r="Q555" i="26"/>
  <c r="V555" i="26"/>
  <c r="O555" i="26"/>
  <c r="Q213" i="26"/>
  <c r="K555" i="26"/>
  <c r="L555" i="26"/>
  <c r="N213" i="26"/>
  <c r="O213" i="26"/>
  <c r="N555" i="26"/>
  <c r="L213" i="26"/>
  <c r="T213" i="26"/>
  <c r="T555" i="26"/>
  <c r="R555" i="26"/>
  <c r="U555" i="26"/>
  <c r="K213" i="26"/>
  <c r="V199" i="27"/>
  <c r="N199" i="27"/>
  <c r="K199" i="27"/>
  <c r="K541" i="27"/>
  <c r="Q541" i="27"/>
  <c r="T541" i="27"/>
  <c r="R541" i="27"/>
  <c r="O199" i="27"/>
  <c r="U199" i="27"/>
  <c r="N541" i="27"/>
  <c r="T199" i="27"/>
  <c r="U541" i="27"/>
  <c r="V541" i="27"/>
  <c r="L199" i="27"/>
  <c r="L541" i="27"/>
  <c r="Q199" i="27"/>
  <c r="H58" i="27"/>
  <c r="Y58" i="27" s="1"/>
  <c r="I58" i="27"/>
  <c r="T58" i="27"/>
  <c r="J58" i="27"/>
  <c r="U58" i="27"/>
  <c r="N58" i="27"/>
  <c r="L58" i="27"/>
  <c r="O58" i="27"/>
  <c r="M58" i="27"/>
  <c r="R58" i="27"/>
  <c r="Q58" i="27"/>
  <c r="K58" i="27"/>
  <c r="P58" i="27"/>
  <c r="F41" i="1"/>
  <c r="F515" i="28"/>
  <c r="F590" i="1"/>
  <c r="G590" i="1" s="1"/>
  <c r="F384" i="28"/>
  <c r="F459" i="1"/>
  <c r="G459" i="1" s="1"/>
  <c r="H463" i="1"/>
  <c r="F388" i="28"/>
  <c r="F435" i="1"/>
  <c r="G435" i="1" s="1"/>
  <c r="F360" i="28"/>
  <c r="F421" i="1"/>
  <c r="G421" i="1" s="1"/>
  <c r="F652" i="1"/>
  <c r="G652" i="1" s="1"/>
  <c r="F581" i="28"/>
  <c r="M1" i="26"/>
  <c r="N1" i="26" s="1"/>
  <c r="L1" i="27"/>
  <c r="M1" i="27" s="1"/>
  <c r="N1" i="27" s="1"/>
  <c r="A320" i="28"/>
  <c r="A322" i="28" s="1"/>
  <c r="A323" i="28"/>
  <c r="A324" i="28" s="1"/>
  <c r="A325" i="28" s="1"/>
  <c r="A326" i="28" s="1"/>
  <c r="A327" i="28"/>
  <c r="A328" i="28" s="1"/>
  <c r="A329" i="28" s="1"/>
  <c r="A330" i="28" s="1"/>
  <c r="A331" i="28" s="1"/>
  <c r="A332" i="28" s="1"/>
  <c r="A333" i="28" s="1"/>
  <c r="A334" i="28" s="1"/>
  <c r="A335" i="28" s="1"/>
  <c r="A336" i="28" s="1"/>
  <c r="A337" i="28" s="1"/>
  <c r="A287" i="28"/>
  <c r="A288" i="28" s="1"/>
  <c r="A289" i="28" s="1"/>
  <c r="A290" i="28" s="1"/>
  <c r="A291" i="28" s="1"/>
  <c r="A292" i="28" s="1"/>
  <c r="A293" i="28" s="1"/>
  <c r="A294" i="28" s="1"/>
  <c r="A295" i="28" s="1"/>
  <c r="A296" i="28" s="1"/>
  <c r="A297" i="28" s="1"/>
  <c r="A298" i="28" s="1"/>
  <c r="A299" i="28" s="1"/>
  <c r="A300" i="28" s="1"/>
  <c r="A301" i="28" s="1"/>
  <c r="A302" i="28" s="1"/>
  <c r="A286" i="28"/>
  <c r="G41" i="1"/>
  <c r="A361" i="1"/>
  <c r="F654" i="1"/>
  <c r="N564" i="28"/>
  <c r="K13" i="30" l="1"/>
  <c r="J723" i="25"/>
  <c r="F67" i="30"/>
  <c r="K67" i="30" s="1"/>
  <c r="J702" i="25"/>
  <c r="H702" i="25" s="1"/>
  <c r="J437" i="28"/>
  <c r="F82" i="30"/>
  <c r="K82" i="30" s="1"/>
  <c r="J738" i="25"/>
  <c r="K734" i="26"/>
  <c r="K734" i="27"/>
  <c r="K765" i="27"/>
  <c r="T765" i="27"/>
  <c r="M765" i="27"/>
  <c r="J680" i="25"/>
  <c r="F24" i="30"/>
  <c r="K24" i="30" s="1"/>
  <c r="J696" i="25"/>
  <c r="F40" i="30"/>
  <c r="K40" i="30" s="1"/>
  <c r="J681" i="25"/>
  <c r="F25" i="30"/>
  <c r="K25" i="30" s="1"/>
  <c r="J684" i="25"/>
  <c r="F28" i="30"/>
  <c r="K28" i="30" s="1"/>
  <c r="J693" i="25"/>
  <c r="F37" i="30"/>
  <c r="K37" i="30" s="1"/>
  <c r="F19" i="30"/>
  <c r="K19" i="30" s="1"/>
  <c r="J675" i="25"/>
  <c r="D78" i="30"/>
  <c r="D79" i="30"/>
  <c r="F15" i="30"/>
  <c r="K15" i="30" s="1"/>
  <c r="F190" i="28"/>
  <c r="L670" i="26"/>
  <c r="L670" i="27"/>
  <c r="K670" i="27"/>
  <c r="D14" i="30"/>
  <c r="H696" i="25"/>
  <c r="T768" i="25" s="1"/>
  <c r="H40" i="31" s="1"/>
  <c r="O558" i="27"/>
  <c r="Q216" i="27"/>
  <c r="R558" i="27"/>
  <c r="Q544" i="27"/>
  <c r="U202" i="27"/>
  <c r="V85" i="27"/>
  <c r="N202" i="27"/>
  <c r="N765" i="27"/>
  <c r="Q211" i="27"/>
  <c r="R202" i="27"/>
  <c r="V544" i="27"/>
  <c r="N435" i="27"/>
  <c r="R435" i="27"/>
  <c r="L211" i="27"/>
  <c r="O435" i="27"/>
  <c r="L553" i="27"/>
  <c r="L202" i="27"/>
  <c r="Q202" i="27"/>
  <c r="O202" i="27"/>
  <c r="K202" i="27"/>
  <c r="L435" i="27"/>
  <c r="L437" i="27" s="1"/>
  <c r="L439" i="27" s="1"/>
  <c r="K461" i="27"/>
  <c r="R808" i="27"/>
  <c r="N211" i="27"/>
  <c r="Q473" i="27"/>
  <c r="T202" i="27"/>
  <c r="T435" i="27"/>
  <c r="R544" i="27"/>
  <c r="K435" i="27"/>
  <c r="T211" i="27"/>
  <c r="R461" i="27"/>
  <c r="H318" i="27"/>
  <c r="H320" i="27" s="1"/>
  <c r="U553" i="27"/>
  <c r="L473" i="27"/>
  <c r="O544" i="27"/>
  <c r="T484" i="27"/>
  <c r="U435" i="27"/>
  <c r="U437" i="27" s="1"/>
  <c r="U439" i="27" s="1"/>
  <c r="N544" i="27"/>
  <c r="J469" i="28"/>
  <c r="J465" i="28"/>
  <c r="R211" i="27"/>
  <c r="L544" i="27"/>
  <c r="N201" i="27"/>
  <c r="N638" i="27"/>
  <c r="T638" i="27"/>
  <c r="T544" i="27"/>
  <c r="U544" i="27"/>
  <c r="U484" i="27"/>
  <c r="A413" i="27"/>
  <c r="A414" i="27"/>
  <c r="A415" i="27" s="1"/>
  <c r="A417" i="27" s="1"/>
  <c r="A418" i="27" s="1"/>
  <c r="A419" i="27" s="1"/>
  <c r="A420" i="27" s="1"/>
  <c r="A421" i="27" s="1"/>
  <c r="A422" i="27" s="1"/>
  <c r="A423" i="27" s="1"/>
  <c r="A424" i="27" s="1"/>
  <c r="A425" i="27" s="1"/>
  <c r="A426" i="27" s="1"/>
  <c r="A427" i="27" s="1"/>
  <c r="A428" i="27" s="1"/>
  <c r="A429" i="27" s="1"/>
  <c r="V638" i="27"/>
  <c r="W58" i="27"/>
  <c r="O446" i="27"/>
  <c r="M446" i="27" s="1"/>
  <c r="H699" i="27"/>
  <c r="S771" i="27" s="1"/>
  <c r="O543" i="27"/>
  <c r="Q638" i="27"/>
  <c r="P638" i="27" s="1"/>
  <c r="P671" i="27"/>
  <c r="A396" i="27"/>
  <c r="O808" i="27"/>
  <c r="N518" i="27"/>
  <c r="M518" i="27" s="1"/>
  <c r="M638" i="27"/>
  <c r="H437" i="27"/>
  <c r="H439" i="27" s="1"/>
  <c r="I638" i="27"/>
  <c r="Q808" i="27"/>
  <c r="A359" i="27"/>
  <c r="A360" i="27" s="1"/>
  <c r="H41" i="27"/>
  <c r="Y41" i="27" s="1"/>
  <c r="U638" i="27"/>
  <c r="H79" i="27"/>
  <c r="Y79" i="27" s="1"/>
  <c r="K85" i="27"/>
  <c r="H638" i="27"/>
  <c r="V808" i="27"/>
  <c r="K638" i="27"/>
  <c r="K446" i="27"/>
  <c r="W51" i="27"/>
  <c r="P85" i="27"/>
  <c r="L808" i="27"/>
  <c r="L638" i="27"/>
  <c r="J257" i="28"/>
  <c r="W42" i="27"/>
  <c r="S808" i="26"/>
  <c r="M808" i="26"/>
  <c r="L808" i="26"/>
  <c r="R808" i="26"/>
  <c r="K808" i="26"/>
  <c r="K544" i="26"/>
  <c r="Q436" i="26"/>
  <c r="R436" i="26"/>
  <c r="L211" i="26"/>
  <c r="U543" i="26"/>
  <c r="V447" i="26"/>
  <c r="R475" i="26"/>
  <c r="T510" i="26"/>
  <c r="Q544" i="26"/>
  <c r="K543" i="26"/>
  <c r="H681" i="26"/>
  <c r="S753" i="26" s="1"/>
  <c r="N447" i="26"/>
  <c r="M41" i="26"/>
  <c r="H41" i="26" s="1"/>
  <c r="Y41" i="26" s="1"/>
  <c r="R446" i="26"/>
  <c r="P446" i="26" s="1"/>
  <c r="K201" i="26"/>
  <c r="P41" i="26"/>
  <c r="R447" i="26"/>
  <c r="U202" i="26"/>
  <c r="M85" i="26"/>
  <c r="U553" i="26"/>
  <c r="V448" i="26"/>
  <c r="K373" i="28" s="1"/>
  <c r="K553" i="26"/>
  <c r="T475" i="26"/>
  <c r="V436" i="26"/>
  <c r="V201" i="26"/>
  <c r="O543" i="26"/>
  <c r="R201" i="26"/>
  <c r="K211" i="26"/>
  <c r="R543" i="26"/>
  <c r="J428" i="28"/>
  <c r="J385" i="28"/>
  <c r="J375" i="28"/>
  <c r="M681" i="26"/>
  <c r="T553" i="26"/>
  <c r="Q543" i="26"/>
  <c r="T201" i="26"/>
  <c r="O447" i="26"/>
  <c r="L544" i="26"/>
  <c r="L446" i="26"/>
  <c r="J444" i="28"/>
  <c r="J221" i="28"/>
  <c r="U216" i="26"/>
  <c r="L558" i="26"/>
  <c r="V216" i="26"/>
  <c r="L216" i="26"/>
  <c r="T457" i="26"/>
  <c r="T448" i="26"/>
  <c r="Q520" i="26"/>
  <c r="U545" i="26"/>
  <c r="T203" i="26"/>
  <c r="K545" i="26"/>
  <c r="U220" i="26"/>
  <c r="U562" i="26"/>
  <c r="N544" i="26"/>
  <c r="O553" i="26"/>
  <c r="R211" i="26"/>
  <c r="Q211" i="26"/>
  <c r="U449" i="26"/>
  <c r="K449" i="26"/>
  <c r="O212" i="26"/>
  <c r="Q212" i="26"/>
  <c r="L203" i="26"/>
  <c r="R562" i="26"/>
  <c r="V554" i="26"/>
  <c r="L457" i="26"/>
  <c r="R448" i="26"/>
  <c r="T520" i="26"/>
  <c r="N545" i="26"/>
  <c r="M545" i="26" s="1"/>
  <c r="T220" i="26"/>
  <c r="O220" i="26"/>
  <c r="R202" i="26"/>
  <c r="V544" i="26"/>
  <c r="N211" i="26"/>
  <c r="Q449" i="26"/>
  <c r="U211" i="26"/>
  <c r="L449" i="26"/>
  <c r="Q545" i="26"/>
  <c r="N448" i="26"/>
  <c r="N554" i="26"/>
  <c r="M554" i="26" s="1"/>
  <c r="O520" i="26"/>
  <c r="W79" i="26"/>
  <c r="O203" i="26"/>
  <c r="M203" i="26" s="1"/>
  <c r="R203" i="26"/>
  <c r="U554" i="26"/>
  <c r="O457" i="26"/>
  <c r="K448" i="26"/>
  <c r="R520" i="26"/>
  <c r="V545" i="26"/>
  <c r="K203" i="26"/>
  <c r="T562" i="26"/>
  <c r="Q562" i="26"/>
  <c r="N202" i="26"/>
  <c r="Q202" i="26"/>
  <c r="V211" i="26"/>
  <c r="O211" i="26"/>
  <c r="O449" i="26"/>
  <c r="T211" i="26"/>
  <c r="U212" i="26"/>
  <c r="L448" i="26"/>
  <c r="N220" i="26"/>
  <c r="Q448" i="26"/>
  <c r="K520" i="26"/>
  <c r="Q457" i="26"/>
  <c r="T545" i="26"/>
  <c r="Q203" i="26"/>
  <c r="R220" i="26"/>
  <c r="N562" i="26"/>
  <c r="O544" i="26"/>
  <c r="L202" i="26"/>
  <c r="V553" i="26"/>
  <c r="N553" i="26"/>
  <c r="M553" i="26" s="1"/>
  <c r="V449" i="26"/>
  <c r="N449" i="26"/>
  <c r="Q554" i="26"/>
  <c r="L554" i="26"/>
  <c r="J226" i="28"/>
  <c r="V457" i="26"/>
  <c r="O562" i="26"/>
  <c r="N457" i="26"/>
  <c r="O448" i="26"/>
  <c r="N520" i="26"/>
  <c r="R457" i="26"/>
  <c r="R545" i="26"/>
  <c r="V203" i="26"/>
  <c r="V220" i="26"/>
  <c r="L220" i="26"/>
  <c r="L562" i="26"/>
  <c r="U544" i="26"/>
  <c r="T544" i="26"/>
  <c r="K202" i="26"/>
  <c r="U520" i="26"/>
  <c r="R554" i="26"/>
  <c r="T212" i="26"/>
  <c r="L212" i="26"/>
  <c r="N212" i="26"/>
  <c r="W42" i="26"/>
  <c r="J638" i="26"/>
  <c r="S638" i="26"/>
  <c r="P638" i="26" s="1"/>
  <c r="K85" i="26"/>
  <c r="H85" i="26" s="1"/>
  <c r="Y85" i="26" s="1"/>
  <c r="J253" i="28"/>
  <c r="U457" i="26"/>
  <c r="L520" i="26"/>
  <c r="U203" i="26"/>
  <c r="Q220" i="26"/>
  <c r="O202" i="26"/>
  <c r="R544" i="26"/>
  <c r="V520" i="26"/>
  <c r="V212" i="26"/>
  <c r="R212" i="26"/>
  <c r="W681" i="26"/>
  <c r="U510" i="25"/>
  <c r="N446" i="25"/>
  <c r="T446" i="25"/>
  <c r="K198" i="25"/>
  <c r="K540" i="25"/>
  <c r="Q735" i="27"/>
  <c r="P735" i="27" s="1"/>
  <c r="Q447" i="25"/>
  <c r="V520" i="25"/>
  <c r="U436" i="25"/>
  <c r="N447" i="25"/>
  <c r="R510" i="25"/>
  <c r="T457" i="25"/>
  <c r="L457" i="25"/>
  <c r="R436" i="25"/>
  <c r="T548" i="25"/>
  <c r="M738" i="26"/>
  <c r="U58" i="25"/>
  <c r="U446" i="25"/>
  <c r="U198" i="25"/>
  <c r="V198" i="25"/>
  <c r="T540" i="25"/>
  <c r="L447" i="25"/>
  <c r="L520" i="25"/>
  <c r="Q436" i="25"/>
  <c r="T447" i="25"/>
  <c r="Q510" i="25"/>
  <c r="U457" i="25"/>
  <c r="K206" i="25"/>
  <c r="U206" i="25"/>
  <c r="M272" i="28"/>
  <c r="Q735" i="26"/>
  <c r="P735" i="26" s="1"/>
  <c r="P671" i="26"/>
  <c r="O447" i="25"/>
  <c r="N457" i="25"/>
  <c r="M457" i="25" s="1"/>
  <c r="T58" i="25"/>
  <c r="R446" i="25"/>
  <c r="P446" i="25" s="1"/>
  <c r="N198" i="25"/>
  <c r="V540" i="25"/>
  <c r="U520" i="25"/>
  <c r="V436" i="25"/>
  <c r="V447" i="25"/>
  <c r="N510" i="25"/>
  <c r="M510" i="25" s="1"/>
  <c r="N520" i="25"/>
  <c r="N548" i="25"/>
  <c r="M548" i="25" s="1"/>
  <c r="K541" i="25"/>
  <c r="W51" i="25"/>
  <c r="P680" i="26"/>
  <c r="R447" i="25"/>
  <c r="P735" i="25"/>
  <c r="G79" i="30" s="1"/>
  <c r="I58" i="25"/>
  <c r="J251" i="28"/>
  <c r="O540" i="25"/>
  <c r="M540" i="25" s="1"/>
  <c r="R540" i="25"/>
  <c r="T520" i="25"/>
  <c r="K436" i="25"/>
  <c r="K510" i="25"/>
  <c r="R520" i="25"/>
  <c r="P520" i="25" s="1"/>
  <c r="K457" i="25"/>
  <c r="T206" i="25"/>
  <c r="R541" i="25"/>
  <c r="W42" i="25"/>
  <c r="O58" i="25"/>
  <c r="L446" i="25"/>
  <c r="A358" i="25"/>
  <c r="O198" i="25"/>
  <c r="Q198" i="25"/>
  <c r="P85" i="25"/>
  <c r="H684" i="26"/>
  <c r="K520" i="25"/>
  <c r="N436" i="25"/>
  <c r="T510" i="25"/>
  <c r="L510" i="25"/>
  <c r="O520" i="25"/>
  <c r="V457" i="25"/>
  <c r="U548" i="25"/>
  <c r="L548" i="25"/>
  <c r="H65" i="25"/>
  <c r="X65" i="25" s="1"/>
  <c r="O446" i="25"/>
  <c r="U540" i="25"/>
  <c r="O436" i="25"/>
  <c r="V510" i="25"/>
  <c r="Q457" i="25"/>
  <c r="L206" i="25"/>
  <c r="V206" i="25"/>
  <c r="K85" i="25"/>
  <c r="J638" i="25"/>
  <c r="S638" i="25"/>
  <c r="P678" i="27"/>
  <c r="R670" i="26"/>
  <c r="P675" i="26"/>
  <c r="J472" i="28"/>
  <c r="S563" i="25"/>
  <c r="S221" i="25"/>
  <c r="S545" i="25"/>
  <c r="P545" i="25" s="1"/>
  <c r="S203" i="25"/>
  <c r="S510" i="26"/>
  <c r="L447" i="26"/>
  <c r="S447" i="26"/>
  <c r="S436" i="26"/>
  <c r="S543" i="26"/>
  <c r="S201" i="26"/>
  <c r="N567" i="27"/>
  <c r="M567" i="27" s="1"/>
  <c r="S224" i="27"/>
  <c r="P224" i="27" s="1"/>
  <c r="S567" i="27"/>
  <c r="S199" i="27"/>
  <c r="P199" i="27" s="1"/>
  <c r="S541" i="27"/>
  <c r="P541" i="27" s="1"/>
  <c r="K58" i="25"/>
  <c r="X58" i="25"/>
  <c r="S58" i="25"/>
  <c r="H454" i="25"/>
  <c r="O214" i="25"/>
  <c r="S214" i="25"/>
  <c r="S556" i="25"/>
  <c r="N202" i="25"/>
  <c r="S202" i="25"/>
  <c r="S544" i="25"/>
  <c r="H139" i="26"/>
  <c r="L561" i="26" s="1"/>
  <c r="N542" i="26"/>
  <c r="M542" i="26" s="1"/>
  <c r="S542" i="26"/>
  <c r="S200" i="26"/>
  <c r="R457" i="27"/>
  <c r="S457" i="27"/>
  <c r="L449" i="27"/>
  <c r="S449" i="27"/>
  <c r="P449" i="27" s="1"/>
  <c r="T223" i="27"/>
  <c r="S223" i="27"/>
  <c r="S566" i="27"/>
  <c r="S218" i="27"/>
  <c r="S560" i="27"/>
  <c r="U206" i="27"/>
  <c r="S206" i="27"/>
  <c r="S548" i="27"/>
  <c r="K198" i="27"/>
  <c r="S198" i="27"/>
  <c r="S540" i="27"/>
  <c r="S201" i="25"/>
  <c r="S543" i="25"/>
  <c r="O435" i="26"/>
  <c r="S435" i="26"/>
  <c r="N199" i="26"/>
  <c r="S541" i="26"/>
  <c r="S199" i="26"/>
  <c r="S222" i="27"/>
  <c r="P222" i="27" s="1"/>
  <c r="S217" i="27"/>
  <c r="P217" i="27" s="1"/>
  <c r="S559" i="27"/>
  <c r="P559" i="27" s="1"/>
  <c r="S556" i="27"/>
  <c r="P556" i="27" s="1"/>
  <c r="S214" i="27"/>
  <c r="P214" i="27" s="1"/>
  <c r="O205" i="27"/>
  <c r="M205" i="27" s="1"/>
  <c r="S205" i="27"/>
  <c r="P205" i="27" s="1"/>
  <c r="S547" i="27"/>
  <c r="P547" i="27" s="1"/>
  <c r="W58" i="26"/>
  <c r="S542" i="25"/>
  <c r="S200" i="25"/>
  <c r="Q567" i="26"/>
  <c r="S567" i="26"/>
  <c r="S224" i="26"/>
  <c r="H135" i="26"/>
  <c r="L218" i="26" s="1"/>
  <c r="R548" i="26"/>
  <c r="S548" i="26"/>
  <c r="S206" i="26"/>
  <c r="N198" i="26"/>
  <c r="S540" i="26"/>
  <c r="S198" i="26"/>
  <c r="K563" i="27"/>
  <c r="S221" i="27"/>
  <c r="P221" i="27" s="1"/>
  <c r="S563" i="27"/>
  <c r="P563" i="27" s="1"/>
  <c r="R555" i="27"/>
  <c r="S213" i="27"/>
  <c r="P213" i="27" s="1"/>
  <c r="S555" i="27"/>
  <c r="S204" i="27"/>
  <c r="S546" i="27"/>
  <c r="S216" i="26"/>
  <c r="S558" i="26"/>
  <c r="N521" i="25"/>
  <c r="S521" i="25"/>
  <c r="S510" i="25"/>
  <c r="U447" i="25"/>
  <c r="S447" i="25"/>
  <c r="S436" i="25"/>
  <c r="T541" i="25"/>
  <c r="S199" i="25"/>
  <c r="S541" i="25"/>
  <c r="S223" i="26"/>
  <c r="S566" i="26"/>
  <c r="R559" i="26"/>
  <c r="S559" i="26"/>
  <c r="S217" i="26"/>
  <c r="P217" i="26" s="1"/>
  <c r="R214" i="26"/>
  <c r="S556" i="26"/>
  <c r="P556" i="26" s="1"/>
  <c r="S214" i="26"/>
  <c r="S547" i="26"/>
  <c r="P547" i="26" s="1"/>
  <c r="S205" i="26"/>
  <c r="P205" i="26" s="1"/>
  <c r="H226" i="27"/>
  <c r="S220" i="27"/>
  <c r="S562" i="27"/>
  <c r="S554" i="27"/>
  <c r="S212" i="27"/>
  <c r="S203" i="27"/>
  <c r="S545" i="27"/>
  <c r="K548" i="25"/>
  <c r="S548" i="25"/>
  <c r="P548" i="25" s="1"/>
  <c r="S206" i="25"/>
  <c r="P206" i="25" s="1"/>
  <c r="S540" i="25"/>
  <c r="S198" i="25"/>
  <c r="H654" i="26"/>
  <c r="H454" i="26"/>
  <c r="N521" i="26"/>
  <c r="S521" i="26"/>
  <c r="P521" i="26" s="1"/>
  <c r="S555" i="26"/>
  <c r="P555" i="26" s="1"/>
  <c r="S213" i="26"/>
  <c r="P213" i="26" s="1"/>
  <c r="S204" i="26"/>
  <c r="P204" i="26" s="1"/>
  <c r="S546" i="26"/>
  <c r="P546" i="26" s="1"/>
  <c r="Q435" i="27"/>
  <c r="S435" i="27"/>
  <c r="S437" i="27" s="1"/>
  <c r="S439" i="27" s="1"/>
  <c r="S211" i="27"/>
  <c r="S553" i="27"/>
  <c r="K544" i="27"/>
  <c r="S544" i="27"/>
  <c r="S202" i="27"/>
  <c r="O557" i="27"/>
  <c r="S215" i="27"/>
  <c r="S557" i="27"/>
  <c r="K435" i="25"/>
  <c r="S435" i="25"/>
  <c r="T205" i="25"/>
  <c r="S205" i="25"/>
  <c r="S547" i="25"/>
  <c r="S503" i="26"/>
  <c r="R449" i="26"/>
  <c r="S449" i="26"/>
  <c r="S562" i="26"/>
  <c r="S220" i="26"/>
  <c r="T554" i="26"/>
  <c r="S554" i="26"/>
  <c r="S212" i="26"/>
  <c r="S203" i="26"/>
  <c r="S545" i="26"/>
  <c r="O219" i="27"/>
  <c r="S219" i="27"/>
  <c r="S561" i="27"/>
  <c r="L201" i="27"/>
  <c r="S201" i="27"/>
  <c r="S543" i="27"/>
  <c r="O216" i="27"/>
  <c r="S216" i="27"/>
  <c r="S558" i="27"/>
  <c r="U204" i="25"/>
  <c r="S204" i="25"/>
  <c r="S546" i="25"/>
  <c r="Q553" i="26"/>
  <c r="S553" i="26"/>
  <c r="S211" i="26"/>
  <c r="S544" i="26"/>
  <c r="S202" i="26"/>
  <c r="J374" i="28"/>
  <c r="K503" i="27"/>
  <c r="S503" i="27"/>
  <c r="L200" i="27"/>
  <c r="S542" i="27"/>
  <c r="S200" i="27"/>
  <c r="F588" i="1"/>
  <c r="G588" i="1" s="1"/>
  <c r="Q474" i="27"/>
  <c r="R453" i="27"/>
  <c r="U486" i="26"/>
  <c r="N484" i="27"/>
  <c r="M484" i="27" s="1"/>
  <c r="N462" i="26"/>
  <c r="M462" i="26" s="1"/>
  <c r="Q453" i="26"/>
  <c r="R484" i="27"/>
  <c r="K474" i="26"/>
  <c r="W696" i="27"/>
  <c r="S768" i="27"/>
  <c r="K486" i="26"/>
  <c r="R486" i="26"/>
  <c r="N474" i="26"/>
  <c r="O474" i="26"/>
  <c r="U453" i="26"/>
  <c r="R453" i="26"/>
  <c r="Q486" i="26"/>
  <c r="O486" i="26"/>
  <c r="T474" i="26"/>
  <c r="R462" i="26"/>
  <c r="R474" i="26"/>
  <c r="K453" i="26"/>
  <c r="N486" i="26"/>
  <c r="R517" i="26"/>
  <c r="V474" i="26"/>
  <c r="U462" i="26"/>
  <c r="F567" i="1"/>
  <c r="G567" i="1" s="1"/>
  <c r="O453" i="26"/>
  <c r="T486" i="26"/>
  <c r="U517" i="26"/>
  <c r="L474" i="26"/>
  <c r="Q462" i="26"/>
  <c r="J498" i="28"/>
  <c r="V462" i="26"/>
  <c r="L453" i="27"/>
  <c r="V518" i="27"/>
  <c r="R518" i="27"/>
  <c r="U453" i="27"/>
  <c r="F437" i="28"/>
  <c r="J445" i="28"/>
  <c r="F445" i="28"/>
  <c r="H522" i="27"/>
  <c r="F634" i="1"/>
  <c r="G634" i="1" s="1"/>
  <c r="F559" i="28"/>
  <c r="L86" i="1"/>
  <c r="J216" i="28"/>
  <c r="F565" i="1"/>
  <c r="G565" i="1" s="1"/>
  <c r="F490" i="28"/>
  <c r="J559" i="28"/>
  <c r="J196" i="28"/>
  <c r="F271" i="1"/>
  <c r="G271" i="1" s="1"/>
  <c r="F196" i="28"/>
  <c r="F291" i="1"/>
  <c r="G291" i="1" s="1"/>
  <c r="F216" i="28"/>
  <c r="F285" i="1"/>
  <c r="G285" i="1" s="1"/>
  <c r="F210" i="28"/>
  <c r="F258" i="1"/>
  <c r="G258" i="1" s="1"/>
  <c r="F183" i="28"/>
  <c r="A519" i="28"/>
  <c r="A520" i="28" s="1"/>
  <c r="A521" i="28" s="1"/>
  <c r="A522" i="28" s="1"/>
  <c r="A523" i="28" s="1"/>
  <c r="A524" i="28" s="1"/>
  <c r="A525" i="28" s="1"/>
  <c r="A526" i="28" s="1"/>
  <c r="A527" i="28" s="1"/>
  <c r="A528" i="28" s="1"/>
  <c r="A529" i="28" s="1"/>
  <c r="A530" i="28" s="1"/>
  <c r="A531" i="28" s="1"/>
  <c r="A532" i="28" s="1"/>
  <c r="A533" i="28" s="1"/>
  <c r="A534" i="28" s="1"/>
  <c r="A535" i="28" s="1"/>
  <c r="A536" i="28" s="1"/>
  <c r="A537" i="28" s="1"/>
  <c r="A538" i="28" s="1"/>
  <c r="A539" i="28" s="1"/>
  <c r="A540" i="28" s="1"/>
  <c r="A541" i="28" s="1"/>
  <c r="A542" i="28" s="1"/>
  <c r="A543" i="28" s="1"/>
  <c r="A544" i="28" s="1"/>
  <c r="A545" i="28" s="1"/>
  <c r="A546" i="28" s="1"/>
  <c r="A547" i="28" s="1"/>
  <c r="A548" i="28" s="1"/>
  <c r="A549" i="28" s="1"/>
  <c r="A550" i="28" s="1"/>
  <c r="A551" i="28" s="1"/>
  <c r="A552" i="28" s="1"/>
  <c r="A553" i="28" s="1"/>
  <c r="A554" i="28" s="1"/>
  <c r="A555" i="28" s="1"/>
  <c r="A556" i="28" s="1"/>
  <c r="A557" i="28" s="1"/>
  <c r="A558" i="28" s="1"/>
  <c r="A559" i="28" s="1"/>
  <c r="A560" i="28" s="1"/>
  <c r="A561" i="28" s="1"/>
  <c r="A562" i="28" s="1"/>
  <c r="A563" i="28" s="1"/>
  <c r="A564" i="28" s="1"/>
  <c r="A565" i="28" s="1"/>
  <c r="A566" i="28" s="1"/>
  <c r="A567" i="28" s="1"/>
  <c r="A568" i="28" s="1"/>
  <c r="A569" i="28" s="1"/>
  <c r="A570" i="28" s="1"/>
  <c r="A571" i="28" s="1"/>
  <c r="A572" i="28" s="1"/>
  <c r="A573" i="28" s="1"/>
  <c r="A574" i="28" s="1"/>
  <c r="A575" i="28" s="1"/>
  <c r="A576" i="28" s="1"/>
  <c r="A577" i="28" s="1"/>
  <c r="A578" i="28" s="1"/>
  <c r="A514" i="28"/>
  <c r="A515" i="28" s="1"/>
  <c r="A516" i="28" s="1"/>
  <c r="A517" i="28" s="1"/>
  <c r="A518" i="28" s="1"/>
  <c r="F479" i="1"/>
  <c r="G479" i="1" s="1"/>
  <c r="T518" i="27"/>
  <c r="K518" i="27"/>
  <c r="F434" i="28"/>
  <c r="U518" i="27"/>
  <c r="Q518" i="27"/>
  <c r="F327" i="28"/>
  <c r="L518" i="27"/>
  <c r="N476" i="27"/>
  <c r="F559" i="1"/>
  <c r="G559" i="1" s="1"/>
  <c r="N461" i="27"/>
  <c r="T473" i="27"/>
  <c r="K484" i="27"/>
  <c r="T461" i="27"/>
  <c r="K473" i="27"/>
  <c r="O452" i="27"/>
  <c r="L484" i="27"/>
  <c r="Q484" i="27"/>
  <c r="J438" i="28"/>
  <c r="O461" i="27"/>
  <c r="Q461" i="27"/>
  <c r="V475" i="26"/>
  <c r="N452" i="27"/>
  <c r="F554" i="28"/>
  <c r="U461" i="27"/>
  <c r="R476" i="27"/>
  <c r="N473" i="27"/>
  <c r="U473" i="27"/>
  <c r="V461" i="27"/>
  <c r="O476" i="27"/>
  <c r="O473" i="27"/>
  <c r="R473" i="27"/>
  <c r="R452" i="27"/>
  <c r="N486" i="27"/>
  <c r="U486" i="27"/>
  <c r="N519" i="27"/>
  <c r="T475" i="27"/>
  <c r="O519" i="27"/>
  <c r="Q475" i="27"/>
  <c r="V486" i="27"/>
  <c r="Q486" i="27"/>
  <c r="L486" i="27"/>
  <c r="L519" i="27"/>
  <c r="R519" i="27"/>
  <c r="K475" i="27"/>
  <c r="R486" i="27"/>
  <c r="T519" i="27"/>
  <c r="U475" i="27"/>
  <c r="O486" i="27"/>
  <c r="L475" i="27"/>
  <c r="K486" i="27"/>
  <c r="K519" i="27"/>
  <c r="N475" i="27"/>
  <c r="V475" i="27"/>
  <c r="Q519" i="27"/>
  <c r="O517" i="25"/>
  <c r="S517" i="25"/>
  <c r="L513" i="26"/>
  <c r="S513" i="26"/>
  <c r="K504" i="26"/>
  <c r="S504" i="26"/>
  <c r="T458" i="26"/>
  <c r="S458" i="26"/>
  <c r="T450" i="26"/>
  <c r="S450" i="26"/>
  <c r="T487" i="27"/>
  <c r="S487" i="27"/>
  <c r="K476" i="27"/>
  <c r="S476" i="27"/>
  <c r="J183" i="28"/>
  <c r="Q512" i="26"/>
  <c r="S512" i="26"/>
  <c r="V519" i="27"/>
  <c r="S519" i="27"/>
  <c r="S486" i="27"/>
  <c r="O475" i="27"/>
  <c r="S475" i="27"/>
  <c r="V519" i="26"/>
  <c r="S519" i="26"/>
  <c r="R511" i="26"/>
  <c r="S511" i="26"/>
  <c r="U488" i="26"/>
  <c r="S488" i="26"/>
  <c r="S518" i="27"/>
  <c r="K485" i="27"/>
  <c r="S485" i="27"/>
  <c r="U474" i="27"/>
  <c r="S474" i="27"/>
  <c r="N462" i="27"/>
  <c r="S462" i="27"/>
  <c r="S453" i="27"/>
  <c r="Q518" i="26"/>
  <c r="S518" i="26"/>
  <c r="V487" i="26"/>
  <c r="S487" i="26"/>
  <c r="N475" i="26"/>
  <c r="S475" i="26"/>
  <c r="L517" i="27"/>
  <c r="S517" i="27"/>
  <c r="V484" i="27"/>
  <c r="S484" i="27"/>
  <c r="S473" i="27"/>
  <c r="S461" i="27"/>
  <c r="U452" i="27"/>
  <c r="S452" i="27"/>
  <c r="V517" i="26"/>
  <c r="S517" i="26"/>
  <c r="V486" i="26"/>
  <c r="S486" i="26"/>
  <c r="Q474" i="26"/>
  <c r="S474" i="26"/>
  <c r="S462" i="26"/>
  <c r="S453" i="26"/>
  <c r="V472" i="27"/>
  <c r="S472" i="27"/>
  <c r="K460" i="27"/>
  <c r="S460" i="27"/>
  <c r="J516" i="28"/>
  <c r="T509" i="26"/>
  <c r="S509" i="26"/>
  <c r="N485" i="26"/>
  <c r="S485" i="26"/>
  <c r="L473" i="26"/>
  <c r="S473" i="26"/>
  <c r="Q461" i="26"/>
  <c r="S461" i="26"/>
  <c r="R452" i="26"/>
  <c r="S452" i="26"/>
  <c r="O459" i="27"/>
  <c r="S459" i="27"/>
  <c r="N451" i="27"/>
  <c r="S451" i="27"/>
  <c r="K484" i="26"/>
  <c r="S484" i="26"/>
  <c r="Q472" i="26"/>
  <c r="S472" i="26"/>
  <c r="T460" i="26"/>
  <c r="S460" i="26"/>
  <c r="R489" i="27"/>
  <c r="S489" i="27"/>
  <c r="N477" i="27"/>
  <c r="S477" i="27"/>
  <c r="T458" i="27"/>
  <c r="S458" i="27"/>
  <c r="N450" i="27"/>
  <c r="S450" i="27"/>
  <c r="S518" i="25"/>
  <c r="T459" i="26"/>
  <c r="S459" i="26"/>
  <c r="N451" i="26"/>
  <c r="S451" i="26"/>
  <c r="T488" i="27"/>
  <c r="S488" i="27"/>
  <c r="L460" i="27"/>
  <c r="U460" i="27"/>
  <c r="Q460" i="26"/>
  <c r="L472" i="27"/>
  <c r="L460" i="26"/>
  <c r="N460" i="26"/>
  <c r="U460" i="26"/>
  <c r="O460" i="26"/>
  <c r="T460" i="27"/>
  <c r="N472" i="26"/>
  <c r="M472" i="26" s="1"/>
  <c r="K460" i="26"/>
  <c r="V460" i="26"/>
  <c r="V460" i="27"/>
  <c r="H491" i="27"/>
  <c r="H514" i="25"/>
  <c r="L557" i="27"/>
  <c r="V543" i="27"/>
  <c r="L503" i="27"/>
  <c r="U503" i="27"/>
  <c r="T204" i="25"/>
  <c r="L540" i="26"/>
  <c r="K546" i="25"/>
  <c r="O215" i="27"/>
  <c r="V547" i="25"/>
  <c r="G472" i="28" s="1"/>
  <c r="V567" i="26"/>
  <c r="V542" i="27"/>
  <c r="V201" i="27"/>
  <c r="Q543" i="27"/>
  <c r="Q503" i="27"/>
  <c r="R546" i="25"/>
  <c r="U546" i="25"/>
  <c r="O540" i="26"/>
  <c r="N513" i="26"/>
  <c r="O521" i="26"/>
  <c r="U543" i="27"/>
  <c r="J128" i="28"/>
  <c r="N504" i="26"/>
  <c r="O542" i="27"/>
  <c r="R201" i="27"/>
  <c r="T201" i="27"/>
  <c r="O503" i="27"/>
  <c r="K204" i="25"/>
  <c r="N204" i="25"/>
  <c r="M204" i="25" s="1"/>
  <c r="T224" i="26"/>
  <c r="V198" i="26"/>
  <c r="T198" i="26"/>
  <c r="T521" i="26"/>
  <c r="J26" i="28"/>
  <c r="U521" i="26"/>
  <c r="J471" i="28"/>
  <c r="J467" i="28"/>
  <c r="O201" i="27"/>
  <c r="J27" i="28"/>
  <c r="Q504" i="26"/>
  <c r="O200" i="27"/>
  <c r="T543" i="27"/>
  <c r="R543" i="27"/>
  <c r="T503" i="27"/>
  <c r="Q546" i="25"/>
  <c r="L204" i="25"/>
  <c r="V224" i="26"/>
  <c r="K540" i="26"/>
  <c r="N540" i="26"/>
  <c r="K513" i="26"/>
  <c r="V521" i="26"/>
  <c r="J113" i="28"/>
  <c r="J124" i="28"/>
  <c r="O547" i="25"/>
  <c r="L504" i="26"/>
  <c r="N542" i="27"/>
  <c r="U201" i="27"/>
  <c r="N543" i="27"/>
  <c r="N503" i="27"/>
  <c r="V546" i="25"/>
  <c r="R204" i="25"/>
  <c r="R567" i="26"/>
  <c r="V206" i="26"/>
  <c r="O198" i="26"/>
  <c r="U540" i="26"/>
  <c r="T546" i="25"/>
  <c r="U557" i="27"/>
  <c r="V205" i="25"/>
  <c r="H522" i="25"/>
  <c r="L450" i="26"/>
  <c r="U542" i="27"/>
  <c r="L543" i="27"/>
  <c r="K201" i="27"/>
  <c r="R503" i="27"/>
  <c r="N546" i="25"/>
  <c r="M546" i="25" s="1"/>
  <c r="Q204" i="25"/>
  <c r="R198" i="26"/>
  <c r="Q198" i="26"/>
  <c r="V540" i="26"/>
  <c r="Q540" i="26"/>
  <c r="J387" i="28"/>
  <c r="J377" i="28"/>
  <c r="J373" i="28"/>
  <c r="J33" i="28"/>
  <c r="V503" i="27"/>
  <c r="T547" i="25"/>
  <c r="Q201" i="27"/>
  <c r="K521" i="26"/>
  <c r="J484" i="28"/>
  <c r="J361" i="28"/>
  <c r="N450" i="26"/>
  <c r="T504" i="26"/>
  <c r="Q459" i="27"/>
  <c r="K450" i="26"/>
  <c r="U517" i="25"/>
  <c r="N517" i="25"/>
  <c r="O450" i="26"/>
  <c r="R504" i="26"/>
  <c r="L451" i="27"/>
  <c r="T513" i="26"/>
  <c r="O513" i="26"/>
  <c r="R450" i="26"/>
  <c r="O504" i="26"/>
  <c r="R513" i="26"/>
  <c r="Q513" i="26"/>
  <c r="U504" i="26"/>
  <c r="L458" i="27"/>
  <c r="V450" i="26"/>
  <c r="V513" i="26"/>
  <c r="K517" i="25"/>
  <c r="U513" i="26"/>
  <c r="V504" i="26"/>
  <c r="U451" i="26"/>
  <c r="K459" i="27"/>
  <c r="T461" i="26"/>
  <c r="G561" i="1"/>
  <c r="O450" i="27"/>
  <c r="M346" i="1"/>
  <c r="F214" i="1"/>
  <c r="G214" i="1" s="1"/>
  <c r="J488" i="28"/>
  <c r="J480" i="28"/>
  <c r="K475" i="26"/>
  <c r="L476" i="27"/>
  <c r="O460" i="27"/>
  <c r="Q517" i="25"/>
  <c r="H259" i="25"/>
  <c r="J184" i="28" s="1"/>
  <c r="F489" i="28"/>
  <c r="O475" i="26"/>
  <c r="T472" i="27"/>
  <c r="Q476" i="27"/>
  <c r="K452" i="27"/>
  <c r="V517" i="25"/>
  <c r="R517" i="25"/>
  <c r="F263" i="28"/>
  <c r="Q475" i="26"/>
  <c r="V476" i="27"/>
  <c r="L517" i="25"/>
  <c r="T517" i="25"/>
  <c r="F322" i="28"/>
  <c r="L475" i="26"/>
  <c r="U476" i="27"/>
  <c r="V452" i="27"/>
  <c r="T452" i="27"/>
  <c r="R460" i="27"/>
  <c r="Q452" i="27"/>
  <c r="Q460" i="27"/>
  <c r="N460" i="27"/>
  <c r="F486" i="28"/>
  <c r="U458" i="27"/>
  <c r="O458" i="27"/>
  <c r="L489" i="27"/>
  <c r="Q451" i="27"/>
  <c r="F557" i="1"/>
  <c r="G557" i="1" s="1"/>
  <c r="U512" i="26"/>
  <c r="J434" i="28"/>
  <c r="R458" i="27"/>
  <c r="F401" i="1"/>
  <c r="G401" i="1" s="1"/>
  <c r="K451" i="27"/>
  <c r="O512" i="26"/>
  <c r="L512" i="26"/>
  <c r="N458" i="27"/>
  <c r="U451" i="27"/>
  <c r="V458" i="27"/>
  <c r="V451" i="27"/>
  <c r="L450" i="27"/>
  <c r="R512" i="26"/>
  <c r="V512" i="26"/>
  <c r="N512" i="26"/>
  <c r="J407" i="1"/>
  <c r="K512" i="26"/>
  <c r="K458" i="27"/>
  <c r="R451" i="27"/>
  <c r="R450" i="27"/>
  <c r="J346" i="1"/>
  <c r="Q458" i="27"/>
  <c r="O451" i="27"/>
  <c r="F638" i="1"/>
  <c r="G638" i="1" s="1"/>
  <c r="T451" i="27"/>
  <c r="R488" i="26"/>
  <c r="J136" i="28"/>
  <c r="J512" i="28"/>
  <c r="F371" i="28"/>
  <c r="M465" i="1"/>
  <c r="R509" i="26"/>
  <c r="N509" i="26"/>
  <c r="O509" i="26"/>
  <c r="V509" i="26"/>
  <c r="K509" i="26"/>
  <c r="U509" i="26"/>
  <c r="Q509" i="26"/>
  <c r="L509" i="26"/>
  <c r="Q485" i="27"/>
  <c r="L488" i="26"/>
  <c r="O488" i="26"/>
  <c r="T485" i="27"/>
  <c r="Q488" i="26"/>
  <c r="K488" i="26"/>
  <c r="U485" i="27"/>
  <c r="N488" i="26"/>
  <c r="T488" i="26"/>
  <c r="V485" i="27"/>
  <c r="L485" i="27"/>
  <c r="O485" i="27"/>
  <c r="R485" i="27"/>
  <c r="N485" i="27"/>
  <c r="V488" i="26"/>
  <c r="J286" i="28"/>
  <c r="H344" i="27"/>
  <c r="R219" i="26"/>
  <c r="V560" i="27"/>
  <c r="O218" i="27"/>
  <c r="L218" i="27"/>
  <c r="L560" i="27"/>
  <c r="R218" i="27"/>
  <c r="Q218" i="27"/>
  <c r="N560" i="27"/>
  <c r="U218" i="27"/>
  <c r="Q560" i="27"/>
  <c r="H147" i="27"/>
  <c r="R557" i="27"/>
  <c r="P58" i="25"/>
  <c r="L205" i="25"/>
  <c r="N547" i="25"/>
  <c r="N216" i="27"/>
  <c r="T224" i="27"/>
  <c r="L567" i="27"/>
  <c r="H335" i="27"/>
  <c r="O517" i="26"/>
  <c r="M517" i="26" s="1"/>
  <c r="K200" i="27"/>
  <c r="N200" i="27"/>
  <c r="V459" i="27"/>
  <c r="V548" i="27"/>
  <c r="R206" i="27"/>
  <c r="U540" i="27"/>
  <c r="K206" i="27"/>
  <c r="L457" i="27"/>
  <c r="L198" i="27"/>
  <c r="N223" i="27"/>
  <c r="V223" i="27"/>
  <c r="R223" i="27"/>
  <c r="U200" i="26"/>
  <c r="R200" i="26"/>
  <c r="K206" i="26"/>
  <c r="Q435" i="26"/>
  <c r="K487" i="27"/>
  <c r="K556" i="25"/>
  <c r="O556" i="25"/>
  <c r="M556" i="25" s="1"/>
  <c r="K214" i="25"/>
  <c r="K199" i="25"/>
  <c r="J473" i="28"/>
  <c r="H121" i="26"/>
  <c r="R215" i="26" s="1"/>
  <c r="V541" i="26"/>
  <c r="G466" i="28" s="1"/>
  <c r="H568" i="27"/>
  <c r="O223" i="27"/>
  <c r="K215" i="27"/>
  <c r="T215" i="27"/>
  <c r="N58" i="25"/>
  <c r="R58" i="25"/>
  <c r="R547" i="25"/>
  <c r="O205" i="25"/>
  <c r="V558" i="27"/>
  <c r="K567" i="27"/>
  <c r="Q567" i="27"/>
  <c r="V473" i="26"/>
  <c r="J42" i="28"/>
  <c r="L517" i="26"/>
  <c r="R200" i="27"/>
  <c r="V200" i="27"/>
  <c r="J28" i="28"/>
  <c r="N459" i="27"/>
  <c r="T548" i="27"/>
  <c r="V540" i="27"/>
  <c r="L206" i="27"/>
  <c r="Q457" i="27"/>
  <c r="V457" i="27"/>
  <c r="K457" i="27"/>
  <c r="K223" i="27"/>
  <c r="L461" i="26"/>
  <c r="Q200" i="26"/>
  <c r="V542" i="26"/>
  <c r="U450" i="27"/>
  <c r="Q199" i="25"/>
  <c r="R556" i="25"/>
  <c r="N199" i="25"/>
  <c r="N214" i="25"/>
  <c r="J247" i="1"/>
  <c r="J26" i="1" s="1"/>
  <c r="J466" i="28"/>
  <c r="J378" i="28"/>
  <c r="R215" i="27"/>
  <c r="M58" i="25"/>
  <c r="Q58" i="25"/>
  <c r="U547" i="25"/>
  <c r="Q205" i="25"/>
  <c r="T558" i="27"/>
  <c r="V567" i="27"/>
  <c r="K224" i="27"/>
  <c r="N519" i="26"/>
  <c r="H594" i="27"/>
  <c r="K517" i="26"/>
  <c r="R542" i="27"/>
  <c r="T542" i="27"/>
  <c r="Q200" i="27"/>
  <c r="L215" i="27"/>
  <c r="R459" i="27"/>
  <c r="T459" i="27"/>
  <c r="N206" i="27"/>
  <c r="M206" i="27" s="1"/>
  <c r="O540" i="27"/>
  <c r="N540" i="27"/>
  <c r="R548" i="27"/>
  <c r="U457" i="27"/>
  <c r="O566" i="27"/>
  <c r="M566" i="27" s="1"/>
  <c r="Q542" i="26"/>
  <c r="T200" i="26"/>
  <c r="T541" i="26"/>
  <c r="V198" i="27"/>
  <c r="T450" i="27"/>
  <c r="R566" i="27"/>
  <c r="K450" i="27"/>
  <c r="Q541" i="25"/>
  <c r="U214" i="25"/>
  <c r="T521" i="25"/>
  <c r="L541" i="25"/>
  <c r="V214" i="25"/>
  <c r="G139" i="28" s="1"/>
  <c r="F481" i="28"/>
  <c r="J515" i="28"/>
  <c r="J283" i="28"/>
  <c r="J408" i="28"/>
  <c r="U205" i="25"/>
  <c r="K200" i="26"/>
  <c r="T517" i="26"/>
  <c r="Q517" i="27"/>
  <c r="L487" i="27"/>
  <c r="V199" i="25"/>
  <c r="J34" i="28"/>
  <c r="Q215" i="27"/>
  <c r="L58" i="25"/>
  <c r="K547" i="25"/>
  <c r="L547" i="25"/>
  <c r="K205" i="25"/>
  <c r="K558" i="27"/>
  <c r="R567" i="27"/>
  <c r="U567" i="27"/>
  <c r="Q547" i="25"/>
  <c r="T200" i="27"/>
  <c r="L542" i="27"/>
  <c r="Q557" i="27"/>
  <c r="L459" i="27"/>
  <c r="Q548" i="27"/>
  <c r="U548" i="27"/>
  <c r="Q540" i="27"/>
  <c r="R198" i="27"/>
  <c r="T457" i="27"/>
  <c r="U566" i="27"/>
  <c r="L566" i="27"/>
  <c r="R540" i="27"/>
  <c r="T542" i="26"/>
  <c r="L542" i="26"/>
  <c r="R435" i="26"/>
  <c r="K548" i="26"/>
  <c r="Q517" i="26"/>
  <c r="L459" i="26"/>
  <c r="V450" i="27"/>
  <c r="K521" i="25"/>
  <c r="N541" i="25"/>
  <c r="R199" i="25"/>
  <c r="T214" i="25"/>
  <c r="L556" i="25"/>
  <c r="K557" i="27"/>
  <c r="N215" i="27"/>
  <c r="O200" i="26"/>
  <c r="M200" i="26" s="1"/>
  <c r="O199" i="25"/>
  <c r="Q214" i="25"/>
  <c r="L199" i="25"/>
  <c r="J58" i="25"/>
  <c r="H111" i="27"/>
  <c r="N205" i="25"/>
  <c r="V224" i="27"/>
  <c r="L224" i="27"/>
  <c r="U200" i="27"/>
  <c r="N548" i="27"/>
  <c r="M548" i="27" s="1"/>
  <c r="Q206" i="27"/>
  <c r="Q198" i="27"/>
  <c r="T198" i="27"/>
  <c r="R542" i="26"/>
  <c r="Q450" i="27"/>
  <c r="U541" i="25"/>
  <c r="O541" i="25"/>
  <c r="R214" i="25"/>
  <c r="U556" i="25"/>
  <c r="V487" i="27"/>
  <c r="T199" i="25"/>
  <c r="J139" i="28"/>
  <c r="J102" i="28"/>
  <c r="L519" i="26"/>
  <c r="N489" i="27"/>
  <c r="U519" i="26"/>
  <c r="U473" i="26"/>
  <c r="U472" i="26"/>
  <c r="T517" i="27"/>
  <c r="Q473" i="26"/>
  <c r="V489" i="27"/>
  <c r="Q519" i="26"/>
  <c r="T473" i="26"/>
  <c r="K472" i="26"/>
  <c r="K517" i="27"/>
  <c r="K473" i="26"/>
  <c r="O489" i="27"/>
  <c r="U517" i="27"/>
  <c r="T489" i="27"/>
  <c r="O519" i="26"/>
  <c r="N473" i="26"/>
  <c r="O517" i="27"/>
  <c r="U489" i="27"/>
  <c r="R473" i="26"/>
  <c r="R517" i="27"/>
  <c r="O473" i="26"/>
  <c r="K489" i="27"/>
  <c r="Q489" i="27"/>
  <c r="K519" i="26"/>
  <c r="G572" i="1"/>
  <c r="V517" i="27"/>
  <c r="T511" i="26"/>
  <c r="F497" i="28"/>
  <c r="R472" i="26"/>
  <c r="F573" i="1"/>
  <c r="G573" i="1" s="1"/>
  <c r="J497" i="28"/>
  <c r="J491" i="28"/>
  <c r="G233" i="1"/>
  <c r="R477" i="27"/>
  <c r="V477" i="27"/>
  <c r="U487" i="27"/>
  <c r="N487" i="27"/>
  <c r="R487" i="26"/>
  <c r="O477" i="27"/>
  <c r="K477" i="27"/>
  <c r="L487" i="26"/>
  <c r="U477" i="27"/>
  <c r="T477" i="27"/>
  <c r="R487" i="27"/>
  <c r="K487" i="26"/>
  <c r="L477" i="27"/>
  <c r="T487" i="26"/>
  <c r="Q477" i="27"/>
  <c r="U487" i="26"/>
  <c r="N487" i="26"/>
  <c r="O487" i="27"/>
  <c r="O487" i="26"/>
  <c r="F488" i="28"/>
  <c r="Q487" i="27"/>
  <c r="Q487" i="26"/>
  <c r="F566" i="1"/>
  <c r="G566" i="1" s="1"/>
  <c r="P675" i="27"/>
  <c r="Q734" i="27"/>
  <c r="P734" i="27" s="1"/>
  <c r="P669" i="27"/>
  <c r="P669" i="26"/>
  <c r="P734" i="25"/>
  <c r="G78" i="30" s="1"/>
  <c r="M670" i="25"/>
  <c r="F14" i="30" s="1"/>
  <c r="P670" i="25"/>
  <c r="G14" i="30" s="1"/>
  <c r="T677" i="27"/>
  <c r="P738" i="26"/>
  <c r="P738" i="27"/>
  <c r="J738" i="27" s="1"/>
  <c r="J487" i="28"/>
  <c r="Q488" i="27"/>
  <c r="R488" i="27"/>
  <c r="L474" i="27"/>
  <c r="U488" i="27"/>
  <c r="K474" i="27"/>
  <c r="N488" i="27"/>
  <c r="L484" i="26"/>
  <c r="T474" i="27"/>
  <c r="V488" i="27"/>
  <c r="K488" i="27"/>
  <c r="N474" i="27"/>
  <c r="V474" i="27"/>
  <c r="O488" i="27"/>
  <c r="O474" i="27"/>
  <c r="J210" i="28"/>
  <c r="G211" i="1"/>
  <c r="F553" i="1"/>
  <c r="G553" i="1" s="1"/>
  <c r="F478" i="28"/>
  <c r="F256" i="1"/>
  <c r="G256" i="1" s="1"/>
  <c r="H259" i="1"/>
  <c r="F184" i="28" s="1"/>
  <c r="F181" i="28"/>
  <c r="N558" i="26"/>
  <c r="O558" i="26"/>
  <c r="Q216" i="26"/>
  <c r="R558" i="26"/>
  <c r="U558" i="26"/>
  <c r="T216" i="26"/>
  <c r="H654" i="25"/>
  <c r="J589" i="28" s="1"/>
  <c r="J581" i="28"/>
  <c r="F126" i="28"/>
  <c r="F201" i="1"/>
  <c r="F591" i="1"/>
  <c r="G591" i="1" s="1"/>
  <c r="F516" i="28"/>
  <c r="F560" i="1"/>
  <c r="G560" i="1" s="1"/>
  <c r="F542" i="1"/>
  <c r="G542" i="1" s="1"/>
  <c r="F467" i="28"/>
  <c r="F428" i="28"/>
  <c r="F503" i="1"/>
  <c r="G503" i="1" s="1"/>
  <c r="F453" i="1"/>
  <c r="G453" i="1" s="1"/>
  <c r="F378" i="28"/>
  <c r="F423" i="1"/>
  <c r="G423" i="1" s="1"/>
  <c r="F348" i="28"/>
  <c r="G304" i="1"/>
  <c r="T204" i="27"/>
  <c r="T546" i="27"/>
  <c r="O546" i="27"/>
  <c r="M546" i="27" s="1"/>
  <c r="Q546" i="27"/>
  <c r="V546" i="27"/>
  <c r="O204" i="27"/>
  <c r="N204" i="27"/>
  <c r="R204" i="27"/>
  <c r="U204" i="27"/>
  <c r="L546" i="27"/>
  <c r="R546" i="27"/>
  <c r="K546" i="27"/>
  <c r="P448" i="25"/>
  <c r="H463" i="27"/>
  <c r="H454" i="27"/>
  <c r="K521" i="27"/>
  <c r="N521" i="27"/>
  <c r="U521" i="27"/>
  <c r="L521" i="27"/>
  <c r="O521" i="27"/>
  <c r="T521" i="27"/>
  <c r="V521" i="27"/>
  <c r="R521" i="27"/>
  <c r="P521" i="27" s="1"/>
  <c r="R472" i="27"/>
  <c r="O472" i="27"/>
  <c r="N472" i="27"/>
  <c r="Q472" i="27"/>
  <c r="K472" i="27"/>
  <c r="U472" i="27"/>
  <c r="L462" i="27"/>
  <c r="R462" i="27"/>
  <c r="T462" i="27"/>
  <c r="K462" i="27"/>
  <c r="Q462" i="27"/>
  <c r="T453" i="27"/>
  <c r="Q453" i="27"/>
  <c r="V453" i="27"/>
  <c r="N453" i="27"/>
  <c r="M453" i="27" s="1"/>
  <c r="K453" i="27"/>
  <c r="T447" i="27"/>
  <c r="N447" i="27"/>
  <c r="V447" i="27"/>
  <c r="O447" i="27"/>
  <c r="L447" i="27"/>
  <c r="J252" i="28"/>
  <c r="Q447" i="27"/>
  <c r="P447" i="27" s="1"/>
  <c r="N436" i="27"/>
  <c r="K436" i="27"/>
  <c r="R436" i="27"/>
  <c r="T436" i="27"/>
  <c r="J242" i="28"/>
  <c r="V436" i="27"/>
  <c r="Q436" i="27"/>
  <c r="O436" i="27"/>
  <c r="O562" i="27"/>
  <c r="Q220" i="27"/>
  <c r="R220" i="27"/>
  <c r="U562" i="27"/>
  <c r="L562" i="27"/>
  <c r="V562" i="27"/>
  <c r="O220" i="27"/>
  <c r="M220" i="27" s="1"/>
  <c r="Q562" i="27"/>
  <c r="N562" i="27"/>
  <c r="V220" i="27"/>
  <c r="L212" i="27"/>
  <c r="R554" i="27"/>
  <c r="N212" i="27"/>
  <c r="N554" i="27"/>
  <c r="M554" i="27" s="1"/>
  <c r="O212" i="27"/>
  <c r="T212" i="27"/>
  <c r="R212" i="27"/>
  <c r="U212" i="27"/>
  <c r="Q554" i="27"/>
  <c r="V554" i="27"/>
  <c r="T554" i="27"/>
  <c r="L554" i="27"/>
  <c r="U554" i="27"/>
  <c r="K212" i="27"/>
  <c r="O203" i="27"/>
  <c r="J31" i="28"/>
  <c r="R203" i="27"/>
  <c r="U203" i="27"/>
  <c r="N203" i="27"/>
  <c r="V203" i="27"/>
  <c r="L545" i="27"/>
  <c r="K545" i="27"/>
  <c r="U545" i="27"/>
  <c r="O545" i="27"/>
  <c r="T545" i="27"/>
  <c r="N545" i="27"/>
  <c r="K203" i="27"/>
  <c r="T519" i="26"/>
  <c r="R519" i="26"/>
  <c r="V484" i="26"/>
  <c r="T484" i="26"/>
  <c r="R484" i="26"/>
  <c r="U484" i="26"/>
  <c r="N484" i="26"/>
  <c r="O484" i="26"/>
  <c r="Q484" i="26"/>
  <c r="O459" i="26"/>
  <c r="N459" i="26"/>
  <c r="V459" i="26"/>
  <c r="K459" i="26"/>
  <c r="U459" i="26"/>
  <c r="Q459" i="26"/>
  <c r="R459" i="26"/>
  <c r="R451" i="26"/>
  <c r="K451" i="26"/>
  <c r="L451" i="26"/>
  <c r="Q451" i="26"/>
  <c r="O451" i="26"/>
  <c r="V451" i="26"/>
  <c r="T451" i="26"/>
  <c r="O567" i="26"/>
  <c r="M567" i="26" s="1"/>
  <c r="L567" i="26"/>
  <c r="K567" i="26"/>
  <c r="L224" i="26"/>
  <c r="N224" i="26"/>
  <c r="U224" i="26"/>
  <c r="T567" i="26"/>
  <c r="Q224" i="26"/>
  <c r="K224" i="26"/>
  <c r="U567" i="26"/>
  <c r="O224" i="26"/>
  <c r="K215" i="26"/>
  <c r="Q215" i="26"/>
  <c r="V557" i="26"/>
  <c r="U557" i="26"/>
  <c r="H664" i="27"/>
  <c r="K520" i="27"/>
  <c r="L520" i="27"/>
  <c r="U520" i="27"/>
  <c r="H406" i="27"/>
  <c r="J329" i="28"/>
  <c r="Q520" i="27"/>
  <c r="P520" i="27" s="1"/>
  <c r="T520" i="27"/>
  <c r="V520" i="27"/>
  <c r="U446" i="27"/>
  <c r="Q446" i="27"/>
  <c r="P446" i="27" s="1"/>
  <c r="L446" i="27"/>
  <c r="H208" i="27"/>
  <c r="O553" i="27"/>
  <c r="O211" i="27"/>
  <c r="U211" i="27"/>
  <c r="V211" i="27"/>
  <c r="N553" i="27"/>
  <c r="Q553" i="27"/>
  <c r="T553" i="27"/>
  <c r="K211" i="27"/>
  <c r="V553" i="27"/>
  <c r="K553" i="27"/>
  <c r="J383" i="28"/>
  <c r="H463" i="25"/>
  <c r="V543" i="25"/>
  <c r="T543" i="25"/>
  <c r="O201" i="25"/>
  <c r="N201" i="25"/>
  <c r="K201" i="25"/>
  <c r="K543" i="25"/>
  <c r="L201" i="25"/>
  <c r="R543" i="25"/>
  <c r="U201" i="25"/>
  <c r="Q201" i="25"/>
  <c r="O543" i="25"/>
  <c r="M543" i="25" s="1"/>
  <c r="V201" i="25"/>
  <c r="U518" i="26"/>
  <c r="O518" i="26"/>
  <c r="V510" i="26"/>
  <c r="N510" i="26"/>
  <c r="L510" i="26"/>
  <c r="O510" i="26"/>
  <c r="U510" i="26"/>
  <c r="R510" i="26"/>
  <c r="V458" i="26"/>
  <c r="L458" i="26"/>
  <c r="U458" i="26"/>
  <c r="N458" i="26"/>
  <c r="R458" i="26"/>
  <c r="Q458" i="26"/>
  <c r="O458" i="26"/>
  <c r="K458" i="26"/>
  <c r="Q450" i="26"/>
  <c r="U450" i="26"/>
  <c r="U206" i="26"/>
  <c r="U548" i="26"/>
  <c r="O548" i="26"/>
  <c r="O206" i="26"/>
  <c r="Q206" i="26"/>
  <c r="N206" i="26"/>
  <c r="T548" i="26"/>
  <c r="Q548" i="26"/>
  <c r="T206" i="26"/>
  <c r="N548" i="26"/>
  <c r="L206" i="26"/>
  <c r="V548" i="26"/>
  <c r="R206" i="26"/>
  <c r="L548" i="26"/>
  <c r="L199" i="26"/>
  <c r="Q199" i="26"/>
  <c r="R199" i="26"/>
  <c r="U541" i="26"/>
  <c r="K541" i="26"/>
  <c r="L541" i="26"/>
  <c r="O199" i="26"/>
  <c r="U199" i="26"/>
  <c r="V199" i="26"/>
  <c r="T199" i="26"/>
  <c r="R541" i="26"/>
  <c r="K199" i="26"/>
  <c r="H111" i="26"/>
  <c r="Q541" i="26"/>
  <c r="N541" i="26"/>
  <c r="O541" i="26"/>
  <c r="F483" i="1"/>
  <c r="G483" i="1" s="1"/>
  <c r="J322" i="28"/>
  <c r="J229" i="28"/>
  <c r="Q563" i="25"/>
  <c r="U221" i="25"/>
  <c r="O221" i="25"/>
  <c r="T563" i="25"/>
  <c r="R221" i="25"/>
  <c r="V563" i="25"/>
  <c r="L563" i="25"/>
  <c r="N221" i="25"/>
  <c r="K563" i="25"/>
  <c r="N563" i="25"/>
  <c r="M563" i="25" s="1"/>
  <c r="T221" i="25"/>
  <c r="L221" i="25"/>
  <c r="V221" i="25"/>
  <c r="K221" i="25"/>
  <c r="Q200" i="25"/>
  <c r="O542" i="25"/>
  <c r="N542" i="25"/>
  <c r="R542" i="25"/>
  <c r="N200" i="25"/>
  <c r="M200" i="25" s="1"/>
  <c r="V542" i="25"/>
  <c r="L200" i="25"/>
  <c r="R200" i="25"/>
  <c r="T200" i="25"/>
  <c r="K542" i="25"/>
  <c r="Q542" i="25"/>
  <c r="H463" i="26"/>
  <c r="J384" i="28"/>
  <c r="H654" i="1"/>
  <c r="F589" i="28" s="1"/>
  <c r="J190" i="28"/>
  <c r="J129" i="28"/>
  <c r="J125" i="28"/>
  <c r="J489" i="28"/>
  <c r="J485" i="28"/>
  <c r="J348" i="28"/>
  <c r="F136" i="28"/>
  <c r="J492" i="28"/>
  <c r="J225" i="28"/>
  <c r="J181" i="28"/>
  <c r="F283" i="28"/>
  <c r="J514" i="28"/>
  <c r="J346" i="28"/>
  <c r="J338" i="28"/>
  <c r="J130" i="28"/>
  <c r="J126" i="28"/>
  <c r="J114" i="28"/>
  <c r="F158" i="28"/>
  <c r="J228" i="28"/>
  <c r="J513" i="28"/>
  <c r="J523" i="1"/>
  <c r="J486" i="28"/>
  <c r="H568" i="26"/>
  <c r="J446" i="28"/>
  <c r="J442" i="28"/>
  <c r="J24" i="1"/>
  <c r="G106" i="1"/>
  <c r="F318" i="1"/>
  <c r="G317" i="1"/>
  <c r="G318" i="1" s="1"/>
  <c r="J63" i="1"/>
  <c r="G556" i="1"/>
  <c r="H454" i="1"/>
  <c r="H71" i="1"/>
  <c r="G509" i="1"/>
  <c r="J171" i="1"/>
  <c r="G338" i="1"/>
  <c r="M84" i="1"/>
  <c r="G546" i="1"/>
  <c r="J597" i="1"/>
  <c r="J46" i="1" s="1"/>
  <c r="G654" i="1"/>
  <c r="F522" i="1"/>
  <c r="H549" i="1"/>
  <c r="F474" i="28" s="1"/>
  <c r="P449" i="25"/>
  <c r="P448" i="27"/>
  <c r="U753" i="26"/>
  <c r="N753" i="26"/>
  <c r="N145" i="26" s="1"/>
  <c r="N719" i="26" s="1"/>
  <c r="Q753" i="26"/>
  <c r="M753" i="26"/>
  <c r="O753" i="26"/>
  <c r="R753" i="26"/>
  <c r="K753" i="26"/>
  <c r="K145" i="26" s="1"/>
  <c r="K719" i="26" s="1"/>
  <c r="L753" i="26"/>
  <c r="L145" i="26" s="1"/>
  <c r="L719" i="26" s="1"/>
  <c r="P756" i="26"/>
  <c r="K202" i="25"/>
  <c r="V544" i="25"/>
  <c r="H568" i="25"/>
  <c r="H318" i="25"/>
  <c r="N435" i="25"/>
  <c r="L756" i="26"/>
  <c r="L385" i="26" s="1"/>
  <c r="R202" i="25"/>
  <c r="N544" i="25"/>
  <c r="V202" i="25"/>
  <c r="G127" i="28" s="1"/>
  <c r="R435" i="25"/>
  <c r="A416" i="27"/>
  <c r="Q756" i="26"/>
  <c r="H111" i="25"/>
  <c r="K544" i="25"/>
  <c r="U544" i="25"/>
  <c r="H681" i="25"/>
  <c r="K753" i="25" s="1"/>
  <c r="J478" i="28"/>
  <c r="M680" i="27"/>
  <c r="H680" i="27" s="1"/>
  <c r="V752" i="27" s="1"/>
  <c r="U756" i="26"/>
  <c r="T202" i="25"/>
  <c r="R544" i="25"/>
  <c r="J30" i="28"/>
  <c r="H684" i="25"/>
  <c r="U202" i="25"/>
  <c r="Q544" i="25"/>
  <c r="H723" i="25"/>
  <c r="Q795" i="25" s="1"/>
  <c r="Q435" i="25"/>
  <c r="U435" i="25"/>
  <c r="L544" i="25"/>
  <c r="L202" i="25"/>
  <c r="H41" i="25"/>
  <c r="X41" i="25" s="1"/>
  <c r="L435" i="25"/>
  <c r="L437" i="25" s="1"/>
  <c r="L439" i="25" s="1"/>
  <c r="V435" i="25"/>
  <c r="Q202" i="25"/>
  <c r="O202" i="25"/>
  <c r="H208" i="25"/>
  <c r="T435" i="25"/>
  <c r="T437" i="25" s="1"/>
  <c r="T439" i="25" s="1"/>
  <c r="J482" i="28"/>
  <c r="U199" i="25"/>
  <c r="H79" i="25"/>
  <c r="X79" i="25" s="1"/>
  <c r="O12" i="27"/>
  <c r="P12" i="27" s="1"/>
  <c r="Q12" i="27" s="1"/>
  <c r="R12" i="27" s="1"/>
  <c r="S12" i="27" s="1"/>
  <c r="T12" i="27" s="1"/>
  <c r="U12" i="27" s="1"/>
  <c r="V12" i="27" s="1"/>
  <c r="A392" i="25"/>
  <c r="A391" i="25"/>
  <c r="A393" i="25" s="1"/>
  <c r="A394" i="25" s="1"/>
  <c r="A396" i="25" s="1"/>
  <c r="A392" i="26"/>
  <c r="A391" i="26"/>
  <c r="A393" i="26" s="1"/>
  <c r="A394" i="26" s="1"/>
  <c r="A395" i="26" s="1"/>
  <c r="A397" i="26" s="1"/>
  <c r="A398" i="26" s="1"/>
  <c r="A399" i="26" s="1"/>
  <c r="A400" i="26" s="1"/>
  <c r="A401" i="26" s="1"/>
  <c r="A402" i="26" s="1"/>
  <c r="A403" i="26" s="1"/>
  <c r="A404" i="26" s="1"/>
  <c r="A405" i="26" s="1"/>
  <c r="A406" i="26" s="1"/>
  <c r="A407" i="26" s="1"/>
  <c r="A408" i="26" s="1"/>
  <c r="A409" i="26" s="1"/>
  <c r="A410" i="26" s="1"/>
  <c r="A411" i="26" s="1"/>
  <c r="A412" i="26" s="1"/>
  <c r="A358" i="26"/>
  <c r="A359" i="26"/>
  <c r="A360" i="26" s="1"/>
  <c r="A361" i="26" s="1"/>
  <c r="O12" i="25"/>
  <c r="P12" i="25" s="1"/>
  <c r="Q12" i="25" s="1"/>
  <c r="R12" i="25" s="1"/>
  <c r="S12" i="25" s="1"/>
  <c r="T12" i="25" s="1"/>
  <c r="U12" i="25" s="1"/>
  <c r="V12" i="25" s="1"/>
  <c r="J372" i="28"/>
  <c r="H514" i="26"/>
  <c r="O12" i="26"/>
  <c r="P12" i="26" s="1"/>
  <c r="Q12" i="26" s="1"/>
  <c r="R12" i="26" s="1"/>
  <c r="S12" i="26" s="1"/>
  <c r="T12" i="26" s="1"/>
  <c r="U12" i="26" s="1"/>
  <c r="V12" i="26" s="1"/>
  <c r="J131" i="28"/>
  <c r="J127" i="28"/>
  <c r="J32" i="28"/>
  <c r="J554" i="28"/>
  <c r="J404" i="28"/>
  <c r="A395" i="25"/>
  <c r="A397" i="25" s="1"/>
  <c r="A398" i="25" s="1"/>
  <c r="A399" i="25" s="1"/>
  <c r="A400" i="25" s="1"/>
  <c r="A401" i="25" s="1"/>
  <c r="A402" i="25" s="1"/>
  <c r="A403" i="25" s="1"/>
  <c r="A404" i="25" s="1"/>
  <c r="A405" i="25" s="1"/>
  <c r="A406" i="25" s="1"/>
  <c r="A407" i="25" s="1"/>
  <c r="A408" i="25" s="1"/>
  <c r="A409" i="25" s="1"/>
  <c r="A410" i="25" s="1"/>
  <c r="A411" i="25" s="1"/>
  <c r="A412" i="25" s="1"/>
  <c r="U771" i="27"/>
  <c r="P771" i="27"/>
  <c r="O771" i="27"/>
  <c r="R771" i="27"/>
  <c r="A361" i="25"/>
  <c r="A362" i="25"/>
  <c r="A363" i="25" s="1"/>
  <c r="A364" i="25" s="1"/>
  <c r="A365" i="25" s="1"/>
  <c r="A366" i="25" s="1"/>
  <c r="A367" i="25" s="1"/>
  <c r="A368" i="25" s="1"/>
  <c r="A369" i="25" s="1"/>
  <c r="A370" i="25" s="1"/>
  <c r="A371" i="25" s="1"/>
  <c r="A372" i="25" s="1"/>
  <c r="A373" i="25" s="1"/>
  <c r="A374" i="25" s="1"/>
  <c r="A375" i="25" s="1"/>
  <c r="A376" i="25" s="1"/>
  <c r="A377" i="25" s="1"/>
  <c r="U670" i="26"/>
  <c r="U670" i="27"/>
  <c r="R768" i="27"/>
  <c r="N768" i="27"/>
  <c r="P768" i="27"/>
  <c r="O768" i="27"/>
  <c r="V768" i="27"/>
  <c r="U768" i="27"/>
  <c r="K768" i="27"/>
  <c r="L768" i="27"/>
  <c r="M768" i="27"/>
  <c r="T768" i="27"/>
  <c r="M222" i="27"/>
  <c r="J222" i="27" s="1"/>
  <c r="K756" i="26"/>
  <c r="M756" i="26"/>
  <c r="R756" i="26"/>
  <c r="J84" i="1"/>
  <c r="O566" i="26"/>
  <c r="Q223" i="26"/>
  <c r="V223" i="26"/>
  <c r="U566" i="26"/>
  <c r="K223" i="26"/>
  <c r="U223" i="26"/>
  <c r="V566" i="26"/>
  <c r="O223" i="26"/>
  <c r="L566" i="26"/>
  <c r="L223" i="26"/>
  <c r="Q566" i="26"/>
  <c r="K566" i="26"/>
  <c r="N223" i="26"/>
  <c r="R566" i="26"/>
  <c r="R223" i="26"/>
  <c r="T566" i="26"/>
  <c r="O1" i="27"/>
  <c r="F447" i="1"/>
  <c r="G447" i="1" s="1"/>
  <c r="F372" i="28"/>
  <c r="F436" i="1"/>
  <c r="H437" i="1"/>
  <c r="H439" i="1" s="1"/>
  <c r="F124" i="28"/>
  <c r="F199" i="1"/>
  <c r="G199" i="1" s="1"/>
  <c r="H208" i="1"/>
  <c r="J158" i="28"/>
  <c r="J123" i="28"/>
  <c r="H208" i="26"/>
  <c r="R1" i="25"/>
  <c r="S1" i="25" s="1"/>
  <c r="T1" i="25" s="1"/>
  <c r="U1" i="25" s="1"/>
  <c r="V1" i="25" s="1"/>
  <c r="Q561" i="27"/>
  <c r="L219" i="27"/>
  <c r="K219" i="27"/>
  <c r="Q219" i="27"/>
  <c r="T219" i="27"/>
  <c r="T561" i="27"/>
  <c r="T223" i="26"/>
  <c r="F479" i="28"/>
  <c r="F554" i="1"/>
  <c r="G554" i="1" s="1"/>
  <c r="H568" i="1"/>
  <c r="F493" i="28" s="1"/>
  <c r="F469" i="28"/>
  <c r="F544" i="1"/>
  <c r="G544" i="1" s="1"/>
  <c r="F128" i="28"/>
  <c r="F203" i="1"/>
  <c r="G203" i="1" s="1"/>
  <c r="J470" i="28"/>
  <c r="H549" i="25"/>
  <c r="J254" i="28"/>
  <c r="K449" i="25"/>
  <c r="N449" i="25"/>
  <c r="T449" i="25"/>
  <c r="O449" i="25"/>
  <c r="L449" i="25"/>
  <c r="U449" i="25"/>
  <c r="V461" i="26"/>
  <c r="R461" i="26"/>
  <c r="U461" i="26"/>
  <c r="O461" i="26"/>
  <c r="H344" i="26"/>
  <c r="K461" i="26"/>
  <c r="N461" i="26"/>
  <c r="H335" i="26"/>
  <c r="U452" i="26"/>
  <c r="K452" i="26"/>
  <c r="L452" i="26"/>
  <c r="O452" i="26"/>
  <c r="V452" i="26"/>
  <c r="Q452" i="26"/>
  <c r="N452" i="26"/>
  <c r="U218" i="26"/>
  <c r="K218" i="26"/>
  <c r="H465" i="25"/>
  <c r="F468" i="28"/>
  <c r="F543" i="1"/>
  <c r="G543" i="1" s="1"/>
  <c r="F533" i="1"/>
  <c r="F458" i="28"/>
  <c r="R521" i="25"/>
  <c r="U521" i="25"/>
  <c r="Q521" i="25"/>
  <c r="V521" i="25"/>
  <c r="J330" i="28"/>
  <c r="L521" i="25"/>
  <c r="O521" i="25"/>
  <c r="T518" i="26"/>
  <c r="N518" i="26"/>
  <c r="L518" i="26"/>
  <c r="R518" i="26"/>
  <c r="K518" i="26"/>
  <c r="J327" i="28"/>
  <c r="H406" i="26"/>
  <c r="V518" i="26"/>
  <c r="Q511" i="26"/>
  <c r="O511" i="26"/>
  <c r="U511" i="26"/>
  <c r="N511" i="26"/>
  <c r="L511" i="26"/>
  <c r="K511" i="26"/>
  <c r="H398" i="26"/>
  <c r="V511" i="26"/>
  <c r="U503" i="26"/>
  <c r="Q503" i="26"/>
  <c r="R503" i="26"/>
  <c r="N503" i="26"/>
  <c r="K503" i="26"/>
  <c r="L503" i="26"/>
  <c r="V503" i="26"/>
  <c r="O503" i="26"/>
  <c r="T503" i="26"/>
  <c r="U485" i="26"/>
  <c r="L485" i="26"/>
  <c r="Q485" i="26"/>
  <c r="O485" i="26"/>
  <c r="K485" i="26"/>
  <c r="V485" i="26"/>
  <c r="R485" i="26"/>
  <c r="A361" i="27"/>
  <c r="A362" i="27"/>
  <c r="A363" i="27" s="1"/>
  <c r="A364" i="27" s="1"/>
  <c r="A365" i="27" s="1"/>
  <c r="A366" i="27" s="1"/>
  <c r="A367" i="27" s="1"/>
  <c r="A368" i="27" s="1"/>
  <c r="A369" i="27" s="1"/>
  <c r="A370" i="27" s="1"/>
  <c r="A371" i="27" s="1"/>
  <c r="A372" i="27" s="1"/>
  <c r="A373" i="27" s="1"/>
  <c r="A374" i="27" s="1"/>
  <c r="A375" i="27" s="1"/>
  <c r="A376" i="27" s="1"/>
  <c r="A377" i="27" s="1"/>
  <c r="H437" i="26"/>
  <c r="H439" i="26" s="1"/>
  <c r="J360" i="28"/>
  <c r="H671" i="25"/>
  <c r="U743" i="25" s="1"/>
  <c r="I15" i="31" s="1"/>
  <c r="N566" i="26"/>
  <c r="H680" i="26"/>
  <c r="S752" i="26" s="1"/>
  <c r="F451" i="1"/>
  <c r="G451" i="1" s="1"/>
  <c r="F376" i="28"/>
  <c r="F413" i="1"/>
  <c r="G413" i="1" s="1"/>
  <c r="F338" i="28"/>
  <c r="J468" i="28"/>
  <c r="H549" i="26"/>
  <c r="O462" i="27"/>
  <c r="V462" i="27"/>
  <c r="U462" i="27"/>
  <c r="M65" i="1"/>
  <c r="M49" i="1"/>
  <c r="F512" i="28"/>
  <c r="M495" i="1"/>
  <c r="F182" i="28"/>
  <c r="F257" i="1"/>
  <c r="F113" i="28"/>
  <c r="F188" i="1"/>
  <c r="G188" i="1" s="1"/>
  <c r="H645" i="1"/>
  <c r="F540" i="1"/>
  <c r="F549" i="1" s="1"/>
  <c r="N517" i="27"/>
  <c r="J326" i="28"/>
  <c r="H567" i="28"/>
  <c r="J567" i="28"/>
  <c r="L567" i="28"/>
  <c r="G567" i="28"/>
  <c r="K567" i="28"/>
  <c r="M556" i="26"/>
  <c r="J556" i="26" s="1"/>
  <c r="F253" i="28"/>
  <c r="F513" i="1"/>
  <c r="G513" i="1" s="1"/>
  <c r="F438" i="28"/>
  <c r="G201" i="1"/>
  <c r="H680" i="25"/>
  <c r="S752" i="25" s="1"/>
  <c r="N545" i="25"/>
  <c r="M545" i="25" s="1"/>
  <c r="V545" i="25"/>
  <c r="R203" i="25"/>
  <c r="T545" i="25"/>
  <c r="U545" i="25"/>
  <c r="T472" i="26"/>
  <c r="L472" i="26"/>
  <c r="V472" i="26"/>
  <c r="O436" i="26"/>
  <c r="H318" i="26"/>
  <c r="H320" i="26" s="1"/>
  <c r="T436" i="26"/>
  <c r="T437" i="26" s="1"/>
  <c r="T439" i="26" s="1"/>
  <c r="K436" i="26"/>
  <c r="K437" i="26" s="1"/>
  <c r="K439" i="26" s="1"/>
  <c r="N436" i="26"/>
  <c r="J29" i="28"/>
  <c r="L201" i="26"/>
  <c r="N201" i="26"/>
  <c r="O201" i="26"/>
  <c r="N543" i="26"/>
  <c r="L543" i="26"/>
  <c r="F480" i="28"/>
  <c r="F555" i="1"/>
  <c r="G555" i="1" s="1"/>
  <c r="F125" i="28"/>
  <c r="F200" i="1"/>
  <c r="G200" i="1" s="1"/>
  <c r="F102" i="1"/>
  <c r="G102" i="1" s="1"/>
  <c r="H111" i="1"/>
  <c r="F36" i="28" s="1"/>
  <c r="F27" i="28"/>
  <c r="J182" i="28"/>
  <c r="T462" i="26"/>
  <c r="L462" i="26"/>
  <c r="K462" i="26"/>
  <c r="N453" i="26"/>
  <c r="V453" i="26"/>
  <c r="T453" i="26"/>
  <c r="V446" i="26"/>
  <c r="G371" i="28" s="1"/>
  <c r="N446" i="26"/>
  <c r="M446" i="26" s="1"/>
  <c r="K446" i="26"/>
  <c r="T446" i="26"/>
  <c r="V200" i="26"/>
  <c r="U542" i="26"/>
  <c r="R545" i="27"/>
  <c r="T203" i="27"/>
  <c r="F405" i="1"/>
  <c r="G405" i="1" s="1"/>
  <c r="F131" i="28"/>
  <c r="J574" i="28"/>
  <c r="F108" i="1"/>
  <c r="G108" i="1" s="1"/>
  <c r="H85" i="1"/>
  <c r="R457" i="25"/>
  <c r="J263" i="28"/>
  <c r="J493" i="1"/>
  <c r="N435" i="26"/>
  <c r="L435" i="26"/>
  <c r="L437" i="26" s="1"/>
  <c r="L439" i="26" s="1"/>
  <c r="V435" i="26"/>
  <c r="Q203" i="27"/>
  <c r="V545" i="27"/>
  <c r="G562" i="1"/>
  <c r="F487" i="28"/>
  <c r="K465" i="1"/>
  <c r="O435" i="25"/>
  <c r="J241" i="28"/>
  <c r="Q670" i="27"/>
  <c r="P670" i="27" s="1"/>
  <c r="Q670" i="26"/>
  <c r="V449" i="27"/>
  <c r="Q545" i="27"/>
  <c r="L203" i="27"/>
  <c r="J479" i="28"/>
  <c r="J458" i="28"/>
  <c r="H549" i="27"/>
  <c r="J80" i="1"/>
  <c r="J86" i="1" s="1"/>
  <c r="J481" i="28"/>
  <c r="J386" i="28"/>
  <c r="H699" i="26"/>
  <c r="S771" i="26" s="1"/>
  <c r="H522" i="26"/>
  <c r="O638" i="27"/>
  <c r="J638" i="27"/>
  <c r="H20" i="1"/>
  <c r="F20" i="1" s="1"/>
  <c r="G20" i="1" s="1"/>
  <c r="H69" i="1"/>
  <c r="J342" i="28"/>
  <c r="H696" i="26"/>
  <c r="S768" i="26" s="1"/>
  <c r="J375" i="1"/>
  <c r="J377" i="1" s="1"/>
  <c r="J483" i="28"/>
  <c r="M669" i="26"/>
  <c r="J669" i="26" s="1"/>
  <c r="F587" i="1"/>
  <c r="M675" i="26"/>
  <c r="J675" i="26" s="1"/>
  <c r="M675" i="27"/>
  <c r="J675" i="27" s="1"/>
  <c r="M448" i="25"/>
  <c r="H669" i="25"/>
  <c r="M741" i="25" s="1"/>
  <c r="F13" i="31" s="1"/>
  <c r="M547" i="27"/>
  <c r="F70" i="1"/>
  <c r="G70" i="1" s="1"/>
  <c r="M80" i="1"/>
  <c r="M217" i="26"/>
  <c r="K481" i="28"/>
  <c r="M547" i="26"/>
  <c r="K670" i="26"/>
  <c r="M555" i="26"/>
  <c r="M559" i="27"/>
  <c r="M449" i="27"/>
  <c r="M546" i="26"/>
  <c r="M671" i="26"/>
  <c r="H671" i="26" s="1"/>
  <c r="N670" i="27"/>
  <c r="N670" i="26"/>
  <c r="N735" i="26"/>
  <c r="M735" i="26" s="1"/>
  <c r="M734" i="26"/>
  <c r="M214" i="26"/>
  <c r="M205" i="26"/>
  <c r="U437" i="26"/>
  <c r="U439" i="26" s="1"/>
  <c r="M206" i="25"/>
  <c r="M734" i="25"/>
  <c r="F78" i="30" s="1"/>
  <c r="M735" i="25"/>
  <c r="F79" i="30" s="1"/>
  <c r="M669" i="27"/>
  <c r="J669" i="27" s="1"/>
  <c r="N734" i="27"/>
  <c r="M734" i="27" s="1"/>
  <c r="M671" i="27"/>
  <c r="O735" i="27"/>
  <c r="M735" i="27" s="1"/>
  <c r="M217" i="27"/>
  <c r="J217" i="27" s="1"/>
  <c r="M448" i="27"/>
  <c r="M221" i="27"/>
  <c r="Q734" i="26"/>
  <c r="P734" i="26" s="1"/>
  <c r="M203" i="25"/>
  <c r="G481" i="28"/>
  <c r="M214" i="27"/>
  <c r="M204" i="26"/>
  <c r="M199" i="27"/>
  <c r="M556" i="27"/>
  <c r="J556" i="27" s="1"/>
  <c r="M520" i="27"/>
  <c r="M541" i="27"/>
  <c r="M198" i="27"/>
  <c r="M457" i="27"/>
  <c r="E37" i="24"/>
  <c r="E32" i="24"/>
  <c r="E27" i="24"/>
  <c r="E42" i="24"/>
  <c r="E22" i="24"/>
  <c r="Q42" i="24"/>
  <c r="M213" i="26"/>
  <c r="M213" i="27"/>
  <c r="R38" i="24"/>
  <c r="R43" i="24"/>
  <c r="R23" i="24"/>
  <c r="R28" i="24"/>
  <c r="R33" i="24"/>
  <c r="M555" i="27"/>
  <c r="E43" i="24"/>
  <c r="E23" i="24"/>
  <c r="E38" i="24"/>
  <c r="E28" i="24"/>
  <c r="E33" i="24"/>
  <c r="R44" i="24"/>
  <c r="R24" i="24"/>
  <c r="R29" i="24"/>
  <c r="R34" i="24"/>
  <c r="R39" i="24"/>
  <c r="E29" i="24"/>
  <c r="E44" i="24"/>
  <c r="E34" i="24"/>
  <c r="E24" i="24"/>
  <c r="E39" i="24"/>
  <c r="M559" i="26"/>
  <c r="R32" i="24"/>
  <c r="R37" i="24"/>
  <c r="R22" i="24"/>
  <c r="R42" i="24"/>
  <c r="R27" i="24"/>
  <c r="A339" i="28"/>
  <c r="A338" i="28"/>
  <c r="W681" i="25"/>
  <c r="T753" i="25"/>
  <c r="H25" i="31" s="1"/>
  <c r="O1" i="26"/>
  <c r="O560" i="27"/>
  <c r="T560" i="27"/>
  <c r="T218" i="27"/>
  <c r="K218" i="27"/>
  <c r="N218" i="27"/>
  <c r="K560" i="27"/>
  <c r="U560" i="27"/>
  <c r="R560" i="27"/>
  <c r="V218" i="27"/>
  <c r="T752" i="27"/>
  <c r="N752" i="27"/>
  <c r="H681" i="27"/>
  <c r="S753" i="27" s="1"/>
  <c r="K771" i="27"/>
  <c r="M771" i="27"/>
  <c r="V771" i="27"/>
  <c r="T771" i="27"/>
  <c r="L771" i="27"/>
  <c r="Q771" i="27"/>
  <c r="W699" i="27"/>
  <c r="N771" i="27"/>
  <c r="T756" i="26"/>
  <c r="W684" i="26"/>
  <c r="V756" i="26"/>
  <c r="A413" i="25"/>
  <c r="A414" i="25"/>
  <c r="T216" i="27"/>
  <c r="Q558" i="27"/>
  <c r="N558" i="27"/>
  <c r="R216" i="27"/>
  <c r="K216" i="27"/>
  <c r="U216" i="27"/>
  <c r="U558" i="27"/>
  <c r="V216" i="27"/>
  <c r="L216" i="27"/>
  <c r="L558" i="27"/>
  <c r="L765" i="27"/>
  <c r="V765" i="27"/>
  <c r="U765" i="27"/>
  <c r="R765" i="27"/>
  <c r="Q765" i="27"/>
  <c r="P765" i="27"/>
  <c r="O765" i="27"/>
  <c r="V561" i="27"/>
  <c r="R219" i="27"/>
  <c r="L561" i="27"/>
  <c r="U561" i="27"/>
  <c r="K561" i="27"/>
  <c r="O561" i="27"/>
  <c r="N219" i="27"/>
  <c r="N561" i="27"/>
  <c r="R561" i="27"/>
  <c r="V219" i="27"/>
  <c r="U219" i="27"/>
  <c r="T219" i="26"/>
  <c r="R561" i="26"/>
  <c r="J495" i="1"/>
  <c r="H738" i="25"/>
  <c r="S810" i="25" s="1"/>
  <c r="F404" i="1"/>
  <c r="G404" i="1" s="1"/>
  <c r="F329" i="28"/>
  <c r="F85" i="1"/>
  <c r="G85" i="1" s="1"/>
  <c r="M808" i="27"/>
  <c r="N808" i="27"/>
  <c r="T808" i="27"/>
  <c r="W736" i="27"/>
  <c r="U808" i="27"/>
  <c r="P808" i="27"/>
  <c r="K808" i="27"/>
  <c r="N808" i="26"/>
  <c r="W736" i="26"/>
  <c r="T808" i="26"/>
  <c r="Q808" i="26"/>
  <c r="O808" i="26"/>
  <c r="P808" i="26"/>
  <c r="U808" i="26"/>
  <c r="V808" i="26"/>
  <c r="K65" i="1"/>
  <c r="K49" i="1"/>
  <c r="G101" i="1"/>
  <c r="F518" i="1"/>
  <c r="G518" i="1" s="1"/>
  <c r="F443" i="28"/>
  <c r="A392" i="1"/>
  <c r="A391" i="1"/>
  <c r="A393" i="1" s="1"/>
  <c r="A394" i="1" s="1"/>
  <c r="M85" i="27"/>
  <c r="H85" i="27" s="1"/>
  <c r="Y85" i="27" s="1"/>
  <c r="M563" i="27"/>
  <c r="V557" i="27"/>
  <c r="N557" i="27"/>
  <c r="U215" i="27"/>
  <c r="V215" i="27"/>
  <c r="T557" i="27"/>
  <c r="F521" i="1"/>
  <c r="G521" i="1" s="1"/>
  <c r="F446" i="28"/>
  <c r="F361" i="1"/>
  <c r="G361" i="1" s="1"/>
  <c r="O216" i="26"/>
  <c r="K558" i="26"/>
  <c r="V558" i="26"/>
  <c r="K216" i="26"/>
  <c r="Q558" i="26"/>
  <c r="T558" i="26"/>
  <c r="N216" i="26"/>
  <c r="R216" i="26"/>
  <c r="G571" i="1"/>
  <c r="F377" i="28"/>
  <c r="F452" i="1"/>
  <c r="F326" i="1"/>
  <c r="F251" i="28"/>
  <c r="F205" i="1"/>
  <c r="G205" i="1" s="1"/>
  <c r="F130" i="28"/>
  <c r="F107" i="1"/>
  <c r="G107" i="1" s="1"/>
  <c r="F32" i="28"/>
  <c r="F198" i="1"/>
  <c r="F123" i="28"/>
  <c r="H693" i="25"/>
  <c r="S765" i="25" s="1"/>
  <c r="F558" i="1"/>
  <c r="F382" i="28"/>
  <c r="F457" i="1"/>
  <c r="L346" i="1"/>
  <c r="F254" i="28"/>
  <c r="F329" i="1"/>
  <c r="G329" i="1" s="1"/>
  <c r="F242" i="28"/>
  <c r="H318" i="1"/>
  <c r="F202" i="1"/>
  <c r="G202" i="1" s="1"/>
  <c r="F127" i="28"/>
  <c r="F105" i="1"/>
  <c r="G105" i="1" s="1"/>
  <c r="F30" i="28"/>
  <c r="F79" i="1"/>
  <c r="G79" i="1" s="1"/>
  <c r="G358" i="1"/>
  <c r="H693" i="26"/>
  <c r="S765" i="26" s="1"/>
  <c r="H702" i="26"/>
  <c r="S774" i="26" s="1"/>
  <c r="H594" i="26"/>
  <c r="H702" i="27"/>
  <c r="S774" i="27" s="1"/>
  <c r="T670" i="26"/>
  <c r="T670" i="27"/>
  <c r="O670" i="27"/>
  <c r="O670" i="26"/>
  <c r="M684" i="27"/>
  <c r="H684" i="27" s="1"/>
  <c r="S756" i="27" s="1"/>
  <c r="M224" i="27"/>
  <c r="K14" i="30" l="1"/>
  <c r="K79" i="30"/>
  <c r="K78" i="30"/>
  <c r="T774" i="25"/>
  <c r="H46" i="31" s="1"/>
  <c r="M774" i="25"/>
  <c r="F46" i="31" s="1"/>
  <c r="U774" i="25"/>
  <c r="I46" i="31" s="1"/>
  <c r="V774" i="25"/>
  <c r="R774" i="25"/>
  <c r="N774" i="25"/>
  <c r="Q774" i="25"/>
  <c r="O774" i="25"/>
  <c r="S774" i="25"/>
  <c r="L774" i="25"/>
  <c r="E46" i="31" s="1"/>
  <c r="W702" i="25"/>
  <c r="K774" i="25"/>
  <c r="P774" i="25"/>
  <c r="G46" i="31" s="1"/>
  <c r="J448" i="25"/>
  <c r="J221" i="27"/>
  <c r="J546" i="26"/>
  <c r="J204" i="26"/>
  <c r="J738" i="26"/>
  <c r="H738" i="26" s="1"/>
  <c r="J217" i="26"/>
  <c r="J547" i="27"/>
  <c r="J734" i="27"/>
  <c r="J734" i="26"/>
  <c r="H734" i="26" s="1"/>
  <c r="O752" i="27"/>
  <c r="J771" i="27"/>
  <c r="W680" i="27"/>
  <c r="R752" i="27"/>
  <c r="Q752" i="27"/>
  <c r="J768" i="27"/>
  <c r="J808" i="27"/>
  <c r="J765" i="27"/>
  <c r="J808" i="26"/>
  <c r="K385" i="26"/>
  <c r="J756" i="26"/>
  <c r="J205" i="26"/>
  <c r="J205" i="27"/>
  <c r="J520" i="27"/>
  <c r="J547" i="26"/>
  <c r="J199" i="27"/>
  <c r="J448" i="27"/>
  <c r="J213" i="27"/>
  <c r="J559" i="27"/>
  <c r="J541" i="27"/>
  <c r="J446" i="27"/>
  <c r="J446" i="26"/>
  <c r="J224" i="27"/>
  <c r="J214" i="27"/>
  <c r="J449" i="27"/>
  <c r="J545" i="25"/>
  <c r="J206" i="25"/>
  <c r="J548" i="25"/>
  <c r="J563" i="27"/>
  <c r="J213" i="26"/>
  <c r="J555" i="26"/>
  <c r="M795" i="25"/>
  <c r="F67" i="31" s="1"/>
  <c r="R752" i="25"/>
  <c r="O768" i="25"/>
  <c r="Q768" i="25"/>
  <c r="K768" i="25"/>
  <c r="D40" i="31" s="1"/>
  <c r="W696" i="25"/>
  <c r="V768" i="25"/>
  <c r="N768" i="25"/>
  <c r="L768" i="25"/>
  <c r="E40" i="31" s="1"/>
  <c r="P768" i="25"/>
  <c r="G40" i="31" s="1"/>
  <c r="R768" i="25"/>
  <c r="M768" i="25"/>
  <c r="F40" i="31" s="1"/>
  <c r="D46" i="31"/>
  <c r="D25" i="31"/>
  <c r="J735" i="25"/>
  <c r="J670" i="25"/>
  <c r="H670" i="25" s="1"/>
  <c r="J734" i="25"/>
  <c r="H734" i="25" s="1"/>
  <c r="Q743" i="25"/>
  <c r="W41" i="27"/>
  <c r="H735" i="26"/>
  <c r="H669" i="26"/>
  <c r="M521" i="25"/>
  <c r="M557" i="27"/>
  <c r="P203" i="25"/>
  <c r="W203" i="25" s="1"/>
  <c r="S437" i="26"/>
  <c r="S439" i="26" s="1"/>
  <c r="G373" i="28"/>
  <c r="M219" i="27"/>
  <c r="M212" i="26"/>
  <c r="M447" i="26"/>
  <c r="P447" i="26"/>
  <c r="R437" i="26"/>
  <c r="R439" i="26" s="1"/>
  <c r="P542" i="27"/>
  <c r="P520" i="26"/>
  <c r="P563" i="25"/>
  <c r="J563" i="25" s="1"/>
  <c r="P201" i="25"/>
  <c r="M558" i="27"/>
  <c r="W680" i="25"/>
  <c r="Q752" i="25"/>
  <c r="R753" i="25"/>
  <c r="L753" i="25"/>
  <c r="E25" i="31" s="1"/>
  <c r="V753" i="26"/>
  <c r="P753" i="26"/>
  <c r="T753" i="26"/>
  <c r="Q752" i="26"/>
  <c r="M752" i="26"/>
  <c r="M216" i="27"/>
  <c r="P203" i="26"/>
  <c r="J203" i="26" s="1"/>
  <c r="P214" i="26"/>
  <c r="W214" i="26" s="1"/>
  <c r="P457" i="27"/>
  <c r="J457" i="27" s="1"/>
  <c r="M201" i="27"/>
  <c r="P555" i="27"/>
  <c r="W555" i="27" s="1"/>
  <c r="M446" i="25"/>
  <c r="J446" i="25" s="1"/>
  <c r="M436" i="25"/>
  <c r="M435" i="26"/>
  <c r="V743" i="25"/>
  <c r="M743" i="25"/>
  <c r="F15" i="31" s="1"/>
  <c r="P558" i="27"/>
  <c r="N743" i="25"/>
  <c r="N177" i="25" s="1"/>
  <c r="I437" i="25"/>
  <c r="G361" i="28"/>
  <c r="N732" i="27"/>
  <c r="P202" i="27"/>
  <c r="M448" i="26"/>
  <c r="M202" i="25"/>
  <c r="N437" i="27"/>
  <c r="N439" i="27" s="1"/>
  <c r="T743" i="25"/>
  <c r="H15" i="31" s="1"/>
  <c r="M543" i="26"/>
  <c r="N437" i="25"/>
  <c r="N439" i="25" s="1"/>
  <c r="M198" i="26"/>
  <c r="P544" i="27"/>
  <c r="P201" i="26"/>
  <c r="P448" i="26"/>
  <c r="M202" i="27"/>
  <c r="S768" i="25"/>
  <c r="U768" i="25"/>
  <c r="I40" i="31" s="1"/>
  <c r="W671" i="25"/>
  <c r="R743" i="25"/>
  <c r="R177" i="25" s="1"/>
  <c r="M453" i="26"/>
  <c r="O437" i="26"/>
  <c r="O439" i="26" s="1"/>
  <c r="T437" i="27"/>
  <c r="T439" i="27" s="1"/>
  <c r="K131" i="28"/>
  <c r="P220" i="26"/>
  <c r="M220" i="26"/>
  <c r="P553" i="26"/>
  <c r="J553" i="26" s="1"/>
  <c r="M544" i="26"/>
  <c r="M447" i="25"/>
  <c r="P198" i="25"/>
  <c r="M562" i="26"/>
  <c r="R437" i="27"/>
  <c r="R439" i="27" s="1"/>
  <c r="M435" i="27"/>
  <c r="P436" i="26"/>
  <c r="M521" i="26"/>
  <c r="J521" i="26" s="1"/>
  <c r="K437" i="27"/>
  <c r="K439" i="27" s="1"/>
  <c r="M544" i="27"/>
  <c r="J544" i="27" s="1"/>
  <c r="P435" i="27"/>
  <c r="M211" i="26"/>
  <c r="Q437" i="27"/>
  <c r="Q439" i="27" s="1"/>
  <c r="P216" i="27"/>
  <c r="P457" i="26"/>
  <c r="P510" i="25"/>
  <c r="J510" i="25" s="1"/>
  <c r="P543" i="25"/>
  <c r="W543" i="25" s="1"/>
  <c r="U437" i="25"/>
  <c r="U439" i="25" s="1"/>
  <c r="P554" i="26"/>
  <c r="W554" i="26" s="1"/>
  <c r="O437" i="27"/>
  <c r="O439" i="27" s="1"/>
  <c r="P447" i="25"/>
  <c r="P224" i="26"/>
  <c r="K128" i="28"/>
  <c r="P211" i="27"/>
  <c r="P540" i="25"/>
  <c r="W540" i="25" s="1"/>
  <c r="H735" i="27"/>
  <c r="P562" i="27"/>
  <c r="H346" i="27"/>
  <c r="W85" i="27"/>
  <c r="J379" i="28"/>
  <c r="M670" i="27"/>
  <c r="H675" i="27"/>
  <c r="V747" i="27" s="1"/>
  <c r="M543" i="27"/>
  <c r="W79" i="27"/>
  <c r="K445" i="28"/>
  <c r="P562" i="26"/>
  <c r="R560" i="26"/>
  <c r="Q218" i="26"/>
  <c r="T560" i="26"/>
  <c r="R218" i="26"/>
  <c r="O218" i="26"/>
  <c r="P567" i="26"/>
  <c r="J567" i="26" s="1"/>
  <c r="P543" i="26"/>
  <c r="P202" i="26"/>
  <c r="P545" i="26"/>
  <c r="W545" i="26" s="1"/>
  <c r="O560" i="26"/>
  <c r="T218" i="26"/>
  <c r="V218" i="26"/>
  <c r="U560" i="26"/>
  <c r="M202" i="26"/>
  <c r="L560" i="26"/>
  <c r="Q560" i="26"/>
  <c r="N218" i="26"/>
  <c r="N560" i="26"/>
  <c r="A362" i="26"/>
  <c r="A363" i="26" s="1"/>
  <c r="A364" i="26" s="1"/>
  <c r="A365" i="26" s="1"/>
  <c r="A366" i="26" s="1"/>
  <c r="A367" i="26" s="1"/>
  <c r="A368" i="26" s="1"/>
  <c r="A369" i="26" s="1"/>
  <c r="A370" i="26" s="1"/>
  <c r="A371" i="26" s="1"/>
  <c r="A372" i="26" s="1"/>
  <c r="A373" i="26" s="1"/>
  <c r="A374" i="26" s="1"/>
  <c r="A375" i="26" s="1"/>
  <c r="A376" i="26" s="1"/>
  <c r="A377" i="26" s="1"/>
  <c r="P544" i="26"/>
  <c r="I437" i="26"/>
  <c r="K560" i="26"/>
  <c r="M457" i="26"/>
  <c r="M449" i="26"/>
  <c r="M520" i="26"/>
  <c r="P211" i="26"/>
  <c r="L219" i="26"/>
  <c r="K469" i="28"/>
  <c r="K561" i="26"/>
  <c r="Q561" i="26"/>
  <c r="U219" i="26"/>
  <c r="O752" i="26"/>
  <c r="R557" i="26"/>
  <c r="O557" i="26"/>
  <c r="O219" i="26"/>
  <c r="W41" i="26"/>
  <c r="N557" i="26"/>
  <c r="K219" i="26"/>
  <c r="O561" i="26"/>
  <c r="V219" i="26"/>
  <c r="A396" i="26"/>
  <c r="H465" i="26"/>
  <c r="N215" i="26"/>
  <c r="P540" i="26"/>
  <c r="N219" i="26"/>
  <c r="W85" i="26"/>
  <c r="T561" i="26"/>
  <c r="U561" i="26"/>
  <c r="Q219" i="26"/>
  <c r="U752" i="26"/>
  <c r="K374" i="28"/>
  <c r="Q557" i="26"/>
  <c r="P212" i="26"/>
  <c r="V561" i="26"/>
  <c r="N561" i="26"/>
  <c r="P752" i="26"/>
  <c r="P670" i="26"/>
  <c r="P559" i="26"/>
  <c r="W559" i="26" s="1"/>
  <c r="P221" i="25"/>
  <c r="K437" i="25"/>
  <c r="K439" i="25" s="1"/>
  <c r="M520" i="25"/>
  <c r="P457" i="25"/>
  <c r="W457" i="25" s="1"/>
  <c r="G382" i="28"/>
  <c r="P541" i="25"/>
  <c r="P436" i="25"/>
  <c r="M198" i="25"/>
  <c r="R437" i="25"/>
  <c r="R439" i="25" s="1"/>
  <c r="W79" i="25"/>
  <c r="W65" i="25"/>
  <c r="H85" i="25"/>
  <c r="X85" i="25" s="1"/>
  <c r="P566" i="27"/>
  <c r="J566" i="27" s="1"/>
  <c r="P205" i="25"/>
  <c r="P449" i="26"/>
  <c r="O756" i="26"/>
  <c r="S756" i="26"/>
  <c r="N756" i="26"/>
  <c r="N385" i="26" s="1"/>
  <c r="K743" i="26"/>
  <c r="S743" i="26"/>
  <c r="M214" i="25"/>
  <c r="P510" i="26"/>
  <c r="R795" i="25"/>
  <c r="S795" i="25"/>
  <c r="W41" i="25"/>
  <c r="P556" i="25"/>
  <c r="W556" i="25" s="1"/>
  <c r="O756" i="25"/>
  <c r="S756" i="25"/>
  <c r="N753" i="25"/>
  <c r="S753" i="25"/>
  <c r="U741" i="25"/>
  <c r="I13" i="31" s="1"/>
  <c r="P548" i="26"/>
  <c r="P553" i="27"/>
  <c r="L743" i="25"/>
  <c r="S743" i="25"/>
  <c r="T741" i="25"/>
  <c r="H13" i="31" s="1"/>
  <c r="S741" i="25"/>
  <c r="P212" i="27"/>
  <c r="P223" i="27"/>
  <c r="S437" i="25"/>
  <c r="S439" i="25" s="1"/>
  <c r="S568" i="27"/>
  <c r="S549" i="25"/>
  <c r="S208" i="27"/>
  <c r="S226" i="27"/>
  <c r="W58" i="25"/>
  <c r="S215" i="26"/>
  <c r="P215" i="26" s="1"/>
  <c r="S557" i="26"/>
  <c r="S208" i="26"/>
  <c r="V560" i="26"/>
  <c r="S218" i="26"/>
  <c r="S560" i="26"/>
  <c r="S561" i="26"/>
  <c r="S219" i="26"/>
  <c r="S549" i="26"/>
  <c r="S208" i="25"/>
  <c r="S549" i="27"/>
  <c r="M474" i="26"/>
  <c r="P474" i="27"/>
  <c r="P473" i="27"/>
  <c r="P486" i="26"/>
  <c r="M451" i="27"/>
  <c r="M486" i="26"/>
  <c r="R732" i="27"/>
  <c r="S732" i="27"/>
  <c r="P475" i="27"/>
  <c r="S727" i="27"/>
  <c r="N226" i="27"/>
  <c r="L226" i="27"/>
  <c r="Q226" i="27"/>
  <c r="K752" i="27"/>
  <c r="S752" i="27"/>
  <c r="T226" i="27"/>
  <c r="M451" i="26"/>
  <c r="S731" i="26"/>
  <c r="P453" i="26"/>
  <c r="Q743" i="26"/>
  <c r="O743" i="26"/>
  <c r="S222" i="26"/>
  <c r="S732" i="26"/>
  <c r="S727" i="26"/>
  <c r="N756" i="25"/>
  <c r="O753" i="25"/>
  <c r="V753" i="25"/>
  <c r="P462" i="26"/>
  <c r="W462" i="26" s="1"/>
  <c r="J62" i="1"/>
  <c r="K226" i="27"/>
  <c r="M211" i="27"/>
  <c r="O226" i="27"/>
  <c r="R226" i="27"/>
  <c r="V226" i="27"/>
  <c r="U226" i="27"/>
  <c r="S564" i="26"/>
  <c r="M450" i="26"/>
  <c r="F259" i="1"/>
  <c r="M475" i="27"/>
  <c r="M461" i="27"/>
  <c r="P518" i="27"/>
  <c r="W518" i="27" s="1"/>
  <c r="M476" i="27"/>
  <c r="P475" i="26"/>
  <c r="P204" i="25"/>
  <c r="J204" i="25" s="1"/>
  <c r="U732" i="27"/>
  <c r="M452" i="27"/>
  <c r="P484" i="27"/>
  <c r="J484" i="27" s="1"/>
  <c r="M473" i="27"/>
  <c r="G130" i="28"/>
  <c r="M486" i="27"/>
  <c r="M504" i="26"/>
  <c r="P452" i="26"/>
  <c r="K732" i="27"/>
  <c r="M485" i="26"/>
  <c r="T732" i="27"/>
  <c r="P486" i="27"/>
  <c r="V732" i="26"/>
  <c r="M475" i="26"/>
  <c r="R454" i="26"/>
  <c r="M517" i="25"/>
  <c r="S514" i="26"/>
  <c r="M450" i="27"/>
  <c r="P489" i="27"/>
  <c r="P461" i="27"/>
  <c r="Q732" i="26"/>
  <c r="K472" i="28"/>
  <c r="P511" i="26"/>
  <c r="M519" i="27"/>
  <c r="K471" i="28"/>
  <c r="P450" i="26"/>
  <c r="O732" i="27"/>
  <c r="P452" i="27"/>
  <c r="P503" i="27"/>
  <c r="P476" i="27"/>
  <c r="P474" i="26"/>
  <c r="P460" i="26"/>
  <c r="L731" i="26"/>
  <c r="P453" i="27"/>
  <c r="W453" i="27" s="1"/>
  <c r="P519" i="27"/>
  <c r="P461" i="26"/>
  <c r="G126" i="28"/>
  <c r="S454" i="27"/>
  <c r="M477" i="27"/>
  <c r="P472" i="26"/>
  <c r="J472" i="26" s="1"/>
  <c r="S522" i="26"/>
  <c r="G131" i="28"/>
  <c r="P512" i="26"/>
  <c r="S522" i="27"/>
  <c r="P518" i="26"/>
  <c r="P201" i="27"/>
  <c r="S463" i="26"/>
  <c r="S463" i="27"/>
  <c r="S454" i="26"/>
  <c r="P543" i="27"/>
  <c r="M503" i="27"/>
  <c r="M460" i="26"/>
  <c r="M540" i="26"/>
  <c r="R731" i="26"/>
  <c r="M513" i="26"/>
  <c r="T463" i="26"/>
  <c r="K465" i="28"/>
  <c r="T514" i="26"/>
  <c r="M200" i="27"/>
  <c r="P504" i="26"/>
  <c r="P198" i="26"/>
  <c r="R454" i="27"/>
  <c r="M458" i="27"/>
  <c r="M460" i="27"/>
  <c r="M542" i="27"/>
  <c r="P546" i="25"/>
  <c r="W546" i="25" s="1"/>
  <c r="H465" i="27"/>
  <c r="J390" i="28" s="1"/>
  <c r="G123" i="28"/>
  <c r="J447" i="28"/>
  <c r="M215" i="27"/>
  <c r="M547" i="25"/>
  <c r="P451" i="27"/>
  <c r="P517" i="25"/>
  <c r="N567" i="28"/>
  <c r="P459" i="27"/>
  <c r="P513" i="26"/>
  <c r="P488" i="26"/>
  <c r="M512" i="26"/>
  <c r="U727" i="27"/>
  <c r="P485" i="27"/>
  <c r="P460" i="27"/>
  <c r="M560" i="27"/>
  <c r="O731" i="26"/>
  <c r="N463" i="27"/>
  <c r="P509" i="26"/>
  <c r="K442" i="28"/>
  <c r="O454" i="27"/>
  <c r="K727" i="27"/>
  <c r="O732" i="26"/>
  <c r="M519" i="26"/>
  <c r="R463" i="27"/>
  <c r="K466" i="28"/>
  <c r="U454" i="27"/>
  <c r="N732" i="26"/>
  <c r="O463" i="27"/>
  <c r="P450" i="27"/>
  <c r="P458" i="27"/>
  <c r="N731" i="26"/>
  <c r="K731" i="26"/>
  <c r="J28" i="1"/>
  <c r="J36" i="1" s="1"/>
  <c r="J57" i="1" s="1"/>
  <c r="J59" i="1" s="1"/>
  <c r="J623" i="1" s="1"/>
  <c r="J636" i="1" s="1"/>
  <c r="J640" i="1" s="1"/>
  <c r="J647" i="1" s="1"/>
  <c r="J64" i="1" s="1"/>
  <c r="J525" i="1"/>
  <c r="J249" i="1"/>
  <c r="J308" i="1" s="1"/>
  <c r="M509" i="26"/>
  <c r="U549" i="27"/>
  <c r="K454" i="27"/>
  <c r="M541" i="25"/>
  <c r="M199" i="25"/>
  <c r="K732" i="26"/>
  <c r="M205" i="25"/>
  <c r="P200" i="26"/>
  <c r="J200" i="26" s="1"/>
  <c r="M485" i="27"/>
  <c r="M488" i="26"/>
  <c r="G465" i="28"/>
  <c r="M562" i="27"/>
  <c r="K467" i="28"/>
  <c r="L522" i="26"/>
  <c r="T549" i="26"/>
  <c r="Q522" i="26"/>
  <c r="M459" i="27"/>
  <c r="P200" i="27"/>
  <c r="P517" i="26"/>
  <c r="J517" i="26" s="1"/>
  <c r="R522" i="27"/>
  <c r="O522" i="26"/>
  <c r="P214" i="25"/>
  <c r="R727" i="27"/>
  <c r="K382" i="28"/>
  <c r="T731" i="26"/>
  <c r="T463" i="27"/>
  <c r="P517" i="27"/>
  <c r="M473" i="26"/>
  <c r="P206" i="27"/>
  <c r="W206" i="27" s="1"/>
  <c r="M204" i="27"/>
  <c r="U522" i="26"/>
  <c r="K549" i="26"/>
  <c r="W214" i="27"/>
  <c r="G467" i="28"/>
  <c r="G128" i="28"/>
  <c r="P519" i="26"/>
  <c r="K549" i="27"/>
  <c r="L549" i="27"/>
  <c r="P198" i="27"/>
  <c r="J198" i="27" s="1"/>
  <c r="M540" i="27"/>
  <c r="P546" i="27"/>
  <c r="W546" i="27" s="1"/>
  <c r="P215" i="27"/>
  <c r="P548" i="27"/>
  <c r="W548" i="27" s="1"/>
  <c r="G124" i="28"/>
  <c r="P218" i="27"/>
  <c r="P557" i="27"/>
  <c r="P199" i="25"/>
  <c r="P547" i="25"/>
  <c r="P567" i="27"/>
  <c r="J567" i="27" s="1"/>
  <c r="G125" i="28"/>
  <c r="K124" i="28"/>
  <c r="L454" i="27"/>
  <c r="P560" i="27"/>
  <c r="K522" i="26"/>
  <c r="M487" i="26"/>
  <c r="P473" i="26"/>
  <c r="O522" i="27"/>
  <c r="M489" i="27"/>
  <c r="P542" i="26"/>
  <c r="W542" i="26" s="1"/>
  <c r="M223" i="27"/>
  <c r="M487" i="27"/>
  <c r="P487" i="26"/>
  <c r="P540" i="27"/>
  <c r="P435" i="26"/>
  <c r="K139" i="28"/>
  <c r="Q437" i="26"/>
  <c r="M517" i="27"/>
  <c r="J517" i="27" s="1"/>
  <c r="K208" i="27"/>
  <c r="V208" i="27"/>
  <c r="K361" i="28"/>
  <c r="I522" i="26"/>
  <c r="V437" i="27"/>
  <c r="V439" i="27" s="1"/>
  <c r="U463" i="27"/>
  <c r="N727" i="27"/>
  <c r="L208" i="27"/>
  <c r="J243" i="28"/>
  <c r="Q549" i="27"/>
  <c r="L549" i="25"/>
  <c r="K208" i="26"/>
  <c r="P487" i="27"/>
  <c r="P477" i="27"/>
  <c r="G469" i="28"/>
  <c r="R549" i="26"/>
  <c r="T215" i="26"/>
  <c r="V215" i="26"/>
  <c r="T557" i="26"/>
  <c r="O215" i="26"/>
  <c r="L557" i="26"/>
  <c r="K557" i="26"/>
  <c r="U215" i="26"/>
  <c r="L215" i="26"/>
  <c r="L463" i="27"/>
  <c r="M488" i="27"/>
  <c r="Q549" i="26"/>
  <c r="V463" i="27"/>
  <c r="V727" i="27"/>
  <c r="R549" i="27"/>
  <c r="M436" i="27"/>
  <c r="M474" i="27"/>
  <c r="V549" i="26"/>
  <c r="Q522" i="27"/>
  <c r="I549" i="26"/>
  <c r="Q732" i="27"/>
  <c r="M206" i="26"/>
  <c r="M566" i="26"/>
  <c r="M484" i="26"/>
  <c r="J493" i="28"/>
  <c r="L522" i="27"/>
  <c r="T522" i="27"/>
  <c r="O727" i="27"/>
  <c r="M462" i="27"/>
  <c r="T454" i="27"/>
  <c r="N208" i="26"/>
  <c r="U208" i="27"/>
  <c r="T549" i="27"/>
  <c r="M521" i="27"/>
  <c r="J521" i="27" s="1"/>
  <c r="O208" i="27"/>
  <c r="O549" i="27"/>
  <c r="V437" i="26"/>
  <c r="V439" i="26" s="1"/>
  <c r="M461" i="26"/>
  <c r="O454" i="26"/>
  <c r="U208" i="26"/>
  <c r="U732" i="26"/>
  <c r="M452" i="26"/>
  <c r="U514" i="26"/>
  <c r="V522" i="26"/>
  <c r="M224" i="26"/>
  <c r="J224" i="26" s="1"/>
  <c r="M558" i="26"/>
  <c r="V731" i="26"/>
  <c r="L727" i="26"/>
  <c r="T208" i="26"/>
  <c r="N514" i="26"/>
  <c r="U731" i="26"/>
  <c r="U463" i="26"/>
  <c r="M541" i="26"/>
  <c r="L549" i="26"/>
  <c r="K514" i="26"/>
  <c r="N727" i="26"/>
  <c r="L454" i="26"/>
  <c r="M459" i="26"/>
  <c r="K741" i="25"/>
  <c r="U208" i="25"/>
  <c r="M511" i="26"/>
  <c r="M518" i="26"/>
  <c r="M435" i="25"/>
  <c r="N522" i="26"/>
  <c r="K463" i="27"/>
  <c r="N463" i="26"/>
  <c r="P203" i="27"/>
  <c r="R549" i="25"/>
  <c r="P436" i="27"/>
  <c r="M458" i="26"/>
  <c r="P220" i="27"/>
  <c r="W220" i="27" s="1"/>
  <c r="U549" i="26"/>
  <c r="Q549" i="25"/>
  <c r="K522" i="27"/>
  <c r="U454" i="26"/>
  <c r="L463" i="26"/>
  <c r="T732" i="26"/>
  <c r="M201" i="26"/>
  <c r="R208" i="26"/>
  <c r="M553" i="27"/>
  <c r="M203" i="27"/>
  <c r="M212" i="27"/>
  <c r="M447" i="27"/>
  <c r="J447" i="27" s="1"/>
  <c r="P472" i="27"/>
  <c r="R208" i="27"/>
  <c r="Q454" i="26"/>
  <c r="K208" i="25"/>
  <c r="P200" i="25"/>
  <c r="W200" i="25" s="1"/>
  <c r="M221" i="25"/>
  <c r="U549" i="25"/>
  <c r="P216" i="26"/>
  <c r="L732" i="27"/>
  <c r="T727" i="27"/>
  <c r="K371" i="28"/>
  <c r="N208" i="27"/>
  <c r="V514" i="26"/>
  <c r="T522" i="26"/>
  <c r="Q208" i="26"/>
  <c r="P204" i="27"/>
  <c r="O437" i="25"/>
  <c r="O439" i="25" s="1"/>
  <c r="R732" i="26"/>
  <c r="R522" i="26"/>
  <c r="L208" i="25"/>
  <c r="M449" i="25"/>
  <c r="J449" i="25" s="1"/>
  <c r="T208" i="25"/>
  <c r="M201" i="25"/>
  <c r="O549" i="26"/>
  <c r="O208" i="26"/>
  <c r="Q727" i="26"/>
  <c r="K446" i="28"/>
  <c r="L514" i="26"/>
  <c r="O463" i="26"/>
  <c r="K126" i="28"/>
  <c r="G446" i="28"/>
  <c r="P541" i="26"/>
  <c r="N208" i="25"/>
  <c r="O727" i="26"/>
  <c r="R514" i="26"/>
  <c r="L727" i="27"/>
  <c r="V437" i="25"/>
  <c r="V439" i="25" s="1"/>
  <c r="M510" i="26"/>
  <c r="P558" i="26"/>
  <c r="Q463" i="26"/>
  <c r="N454" i="27"/>
  <c r="M199" i="26"/>
  <c r="Q454" i="27"/>
  <c r="G360" i="28"/>
  <c r="G471" i="28"/>
  <c r="V549" i="27"/>
  <c r="G445" i="28"/>
  <c r="R727" i="26"/>
  <c r="O549" i="25"/>
  <c r="T454" i="26"/>
  <c r="N437" i="26"/>
  <c r="N439" i="26" s="1"/>
  <c r="P451" i="26"/>
  <c r="P484" i="26"/>
  <c r="P488" i="27"/>
  <c r="P459" i="26"/>
  <c r="G257" i="1"/>
  <c r="G259" i="1" s="1"/>
  <c r="T549" i="25"/>
  <c r="T208" i="27"/>
  <c r="M545" i="27"/>
  <c r="P462" i="27"/>
  <c r="U522" i="27"/>
  <c r="P542" i="25"/>
  <c r="K125" i="28"/>
  <c r="I208" i="25"/>
  <c r="Q731" i="26"/>
  <c r="M542" i="25"/>
  <c r="P458" i="26"/>
  <c r="H465" i="1"/>
  <c r="F390" i="28" s="1"/>
  <c r="F379" i="28"/>
  <c r="H320" i="25"/>
  <c r="Q463" i="27"/>
  <c r="V208" i="26"/>
  <c r="Q514" i="26"/>
  <c r="R463" i="26"/>
  <c r="V454" i="27"/>
  <c r="P566" i="26"/>
  <c r="P554" i="27"/>
  <c r="W554" i="27" s="1"/>
  <c r="N549" i="27"/>
  <c r="M436" i="26"/>
  <c r="M472" i="27"/>
  <c r="K549" i="25"/>
  <c r="J388" i="28"/>
  <c r="U727" i="26"/>
  <c r="K127" i="28"/>
  <c r="N454" i="26"/>
  <c r="K454" i="26"/>
  <c r="J133" i="28"/>
  <c r="J36" i="28"/>
  <c r="P199" i="26"/>
  <c r="M548" i="26"/>
  <c r="O514" i="26"/>
  <c r="V522" i="27"/>
  <c r="Q208" i="25"/>
  <c r="Q727" i="27"/>
  <c r="V208" i="25"/>
  <c r="V732" i="27"/>
  <c r="L208" i="26"/>
  <c r="P206" i="26"/>
  <c r="G540" i="1"/>
  <c r="G549" i="1" s="1"/>
  <c r="H49" i="1"/>
  <c r="H65" i="1"/>
  <c r="G533" i="1"/>
  <c r="F71" i="1"/>
  <c r="G71" i="1" s="1"/>
  <c r="F568" i="1"/>
  <c r="J408" i="1"/>
  <c r="J429" i="1"/>
  <c r="J61" i="1" s="1"/>
  <c r="G522" i="1"/>
  <c r="P545" i="27"/>
  <c r="I463" i="26"/>
  <c r="M223" i="26"/>
  <c r="P435" i="25"/>
  <c r="Q208" i="27"/>
  <c r="V463" i="26"/>
  <c r="G470" i="28"/>
  <c r="P752" i="27"/>
  <c r="N522" i="27"/>
  <c r="U752" i="27"/>
  <c r="L752" i="27"/>
  <c r="M752" i="27"/>
  <c r="P561" i="27"/>
  <c r="P219" i="27"/>
  <c r="P503" i="26"/>
  <c r="K727" i="26"/>
  <c r="P753" i="25"/>
  <c r="G25" i="31" s="1"/>
  <c r="N549" i="25"/>
  <c r="R756" i="25"/>
  <c r="P544" i="25"/>
  <c r="L732" i="26"/>
  <c r="T727" i="26"/>
  <c r="K463" i="26"/>
  <c r="V454" i="26"/>
  <c r="N549" i="26"/>
  <c r="P485" i="26"/>
  <c r="P223" i="26"/>
  <c r="W723" i="25"/>
  <c r="O741" i="25"/>
  <c r="O316" i="25" s="1"/>
  <c r="P741" i="25"/>
  <c r="G13" i="31" s="1"/>
  <c r="P521" i="25"/>
  <c r="P795" i="25"/>
  <c r="G67" i="31" s="1"/>
  <c r="R741" i="25"/>
  <c r="R317" i="25" s="1"/>
  <c r="M544" i="25"/>
  <c r="P756" i="25"/>
  <c r="G28" i="31" s="1"/>
  <c r="L795" i="25"/>
  <c r="E67" i="31" s="1"/>
  <c r="U795" i="25"/>
  <c r="I67" i="31" s="1"/>
  <c r="V741" i="25"/>
  <c r="V756" i="25"/>
  <c r="N795" i="25"/>
  <c r="N741" i="25"/>
  <c r="N317" i="25" s="1"/>
  <c r="K795" i="25"/>
  <c r="W669" i="25"/>
  <c r="R208" i="25"/>
  <c r="Q741" i="25"/>
  <c r="Q316" i="25" s="1"/>
  <c r="L741" i="25"/>
  <c r="Q437" i="25"/>
  <c r="M756" i="25"/>
  <c r="F28" i="31" s="1"/>
  <c r="P202" i="25"/>
  <c r="K470" i="28"/>
  <c r="V549" i="25"/>
  <c r="I549" i="25"/>
  <c r="O208" i="25"/>
  <c r="W684" i="25"/>
  <c r="U756" i="25"/>
  <c r="I28" i="31" s="1"/>
  <c r="Q756" i="25"/>
  <c r="K756" i="25"/>
  <c r="D28" i="31" s="1"/>
  <c r="U753" i="25"/>
  <c r="I25" i="31" s="1"/>
  <c r="L756" i="25"/>
  <c r="E28" i="31" s="1"/>
  <c r="T756" i="25"/>
  <c r="H28" i="31" s="1"/>
  <c r="O795" i="25"/>
  <c r="V795" i="25"/>
  <c r="T795" i="25"/>
  <c r="H67" i="31" s="1"/>
  <c r="M503" i="26"/>
  <c r="M753" i="25"/>
  <c r="F25" i="31" s="1"/>
  <c r="Q753" i="25"/>
  <c r="H346" i="26"/>
  <c r="M771" i="26"/>
  <c r="W699" i="26"/>
  <c r="O771" i="26"/>
  <c r="U771" i="26"/>
  <c r="R771" i="26"/>
  <c r="P771" i="26"/>
  <c r="N771" i="26"/>
  <c r="L771" i="26"/>
  <c r="K771" i="26"/>
  <c r="Q771" i="26"/>
  <c r="T771" i="26"/>
  <c r="V771" i="26"/>
  <c r="G558" i="1"/>
  <c r="G568" i="1" s="1"/>
  <c r="P1" i="27"/>
  <c r="Q1" i="27" s="1"/>
  <c r="K743" i="25"/>
  <c r="O743" i="25"/>
  <c r="O332" i="25" s="1"/>
  <c r="V727" i="26"/>
  <c r="L752" i="26"/>
  <c r="L143" i="26" s="1"/>
  <c r="V752" i="26"/>
  <c r="W680" i="26"/>
  <c r="R752" i="26"/>
  <c r="N752" i="26"/>
  <c r="N143" i="26" s="1"/>
  <c r="K752" i="26"/>
  <c r="T752" i="26"/>
  <c r="G436" i="1"/>
  <c r="G437" i="1" s="1"/>
  <c r="G439" i="1" s="1"/>
  <c r="F437" i="1"/>
  <c r="F439" i="1" s="1"/>
  <c r="P743" i="25"/>
  <c r="G15" i="31" s="1"/>
  <c r="M752" i="25"/>
  <c r="F24" i="31" s="1"/>
  <c r="K752" i="25"/>
  <c r="P752" i="25"/>
  <c r="G24" i="31" s="1"/>
  <c r="V752" i="25"/>
  <c r="N752" i="25"/>
  <c r="T752" i="25"/>
  <c r="H24" i="31" s="1"/>
  <c r="U752" i="25"/>
  <c r="I24" i="31" s="1"/>
  <c r="O752" i="25"/>
  <c r="L752" i="25"/>
  <c r="E24" i="31" s="1"/>
  <c r="F111" i="1"/>
  <c r="F69" i="1"/>
  <c r="G69" i="1" s="1"/>
  <c r="G645" i="1"/>
  <c r="F574" i="28"/>
  <c r="J474" i="28"/>
  <c r="F133" i="28"/>
  <c r="H768" i="27"/>
  <c r="W768" i="27" s="1"/>
  <c r="W448" i="25"/>
  <c r="H675" i="26"/>
  <c r="H734" i="27"/>
  <c r="P806" i="27" s="1"/>
  <c r="G587" i="1"/>
  <c r="H675" i="25"/>
  <c r="F100" i="24"/>
  <c r="G442" i="28"/>
  <c r="H669" i="27"/>
  <c r="V741" i="27" s="1"/>
  <c r="W548" i="25"/>
  <c r="K129" i="28"/>
  <c r="W449" i="27"/>
  <c r="K123" i="28"/>
  <c r="T568" i="27"/>
  <c r="K473" i="28"/>
  <c r="W547" i="26"/>
  <c r="W205" i="26"/>
  <c r="W547" i="27"/>
  <c r="W559" i="27"/>
  <c r="W222" i="27"/>
  <c r="W448" i="27"/>
  <c r="W446" i="27"/>
  <c r="W541" i="27"/>
  <c r="W564" i="27"/>
  <c r="W520" i="27"/>
  <c r="W199" i="27"/>
  <c r="W556" i="27"/>
  <c r="M86" i="1"/>
  <c r="W217" i="26"/>
  <c r="W204" i="26"/>
  <c r="W446" i="26"/>
  <c r="L743" i="26"/>
  <c r="T743" i="26"/>
  <c r="M670" i="26"/>
  <c r="J670" i="26" s="1"/>
  <c r="N568" i="27"/>
  <c r="V743" i="26"/>
  <c r="W671" i="26"/>
  <c r="I437" i="27"/>
  <c r="W556" i="26"/>
  <c r="G473" i="28"/>
  <c r="M743" i="26"/>
  <c r="P743" i="26"/>
  <c r="H735" i="25"/>
  <c r="K360" i="28"/>
  <c r="U743" i="26"/>
  <c r="N743" i="26"/>
  <c r="N177" i="26" s="1"/>
  <c r="I454" i="27"/>
  <c r="R743" i="26"/>
  <c r="G129" i="28"/>
  <c r="I208" i="27"/>
  <c r="W217" i="27"/>
  <c r="R568" i="27"/>
  <c r="W221" i="27"/>
  <c r="W206" i="25"/>
  <c r="O568" i="27"/>
  <c r="U807" i="27"/>
  <c r="K807" i="27"/>
  <c r="Q807" i="27"/>
  <c r="M807" i="27"/>
  <c r="L807" i="27"/>
  <c r="O807" i="27"/>
  <c r="T807" i="27"/>
  <c r="N807" i="27"/>
  <c r="R807" i="27"/>
  <c r="V807" i="27"/>
  <c r="P807" i="27"/>
  <c r="H671" i="27"/>
  <c r="W546" i="26"/>
  <c r="W555" i="26"/>
  <c r="P807" i="26"/>
  <c r="V807" i="26"/>
  <c r="I208" i="26"/>
  <c r="W545" i="25"/>
  <c r="I514" i="26"/>
  <c r="G372" i="28"/>
  <c r="I454" i="26"/>
  <c r="K372" i="28"/>
  <c r="G374" i="28"/>
  <c r="G468" i="28"/>
  <c r="I522" i="27"/>
  <c r="W205" i="27"/>
  <c r="K130" i="28"/>
  <c r="M561" i="27"/>
  <c r="W213" i="27"/>
  <c r="K468" i="28"/>
  <c r="I549" i="27"/>
  <c r="H738" i="27"/>
  <c r="W696" i="26"/>
  <c r="K768" i="26"/>
  <c r="L768" i="26"/>
  <c r="N768" i="26"/>
  <c r="U768" i="26"/>
  <c r="T768" i="26"/>
  <c r="P768" i="26"/>
  <c r="O768" i="26"/>
  <c r="M768" i="26"/>
  <c r="V768" i="26"/>
  <c r="Q768" i="26"/>
  <c r="R768" i="26"/>
  <c r="L765" i="25"/>
  <c r="E37" i="31" s="1"/>
  <c r="U765" i="25"/>
  <c r="I37" i="31" s="1"/>
  <c r="V765" i="25"/>
  <c r="O765" i="25"/>
  <c r="Q765" i="25"/>
  <c r="R765" i="25"/>
  <c r="P765" i="25"/>
  <c r="G37" i="31" s="1"/>
  <c r="K765" i="25"/>
  <c r="D37" i="31" s="1"/>
  <c r="W693" i="25"/>
  <c r="T765" i="25"/>
  <c r="H37" i="31" s="1"/>
  <c r="N765" i="25"/>
  <c r="M765" i="25"/>
  <c r="F37" i="31" s="1"/>
  <c r="L568" i="27"/>
  <c r="Q568" i="27"/>
  <c r="H756" i="26"/>
  <c r="W756" i="26" s="1"/>
  <c r="H771" i="27"/>
  <c r="W771" i="27" s="1"/>
  <c r="M218" i="27"/>
  <c r="P756" i="27"/>
  <c r="M756" i="27"/>
  <c r="K756" i="27"/>
  <c r="V756" i="27"/>
  <c r="Q756" i="27"/>
  <c r="O756" i="27"/>
  <c r="O385" i="27" s="1"/>
  <c r="R756" i="27"/>
  <c r="N756" i="27"/>
  <c r="N385" i="27" s="1"/>
  <c r="T756" i="27"/>
  <c r="U756" i="27"/>
  <c r="L756" i="27"/>
  <c r="L385" i="27" s="1"/>
  <c r="R774" i="27"/>
  <c r="N774" i="27"/>
  <c r="L774" i="27"/>
  <c r="U774" i="27"/>
  <c r="O774" i="27"/>
  <c r="P774" i="27"/>
  <c r="T774" i="27"/>
  <c r="Q774" i="27"/>
  <c r="M774" i="27"/>
  <c r="W702" i="27"/>
  <c r="V774" i="27"/>
  <c r="K774" i="27"/>
  <c r="R774" i="26"/>
  <c r="V774" i="26"/>
  <c r="M774" i="26"/>
  <c r="T774" i="26"/>
  <c r="K774" i="26"/>
  <c r="O774" i="26"/>
  <c r="P774" i="26"/>
  <c r="Q774" i="26"/>
  <c r="W702" i="26"/>
  <c r="L774" i="26"/>
  <c r="N774" i="26"/>
  <c r="U774" i="26"/>
  <c r="G452" i="1"/>
  <c r="G454" i="1" s="1"/>
  <c r="F454" i="1"/>
  <c r="F49" i="1"/>
  <c r="G49" i="1" s="1"/>
  <c r="H765" i="27"/>
  <c r="W765" i="27" s="1"/>
  <c r="A413" i="26"/>
  <c r="A414" i="26"/>
  <c r="A415" i="25"/>
  <c r="A417" i="25" s="1"/>
  <c r="A418" i="25" s="1"/>
  <c r="A419" i="25" s="1"/>
  <c r="A420" i="25" s="1"/>
  <c r="A421" i="25" s="1"/>
  <c r="A422" i="25" s="1"/>
  <c r="A423" i="25" s="1"/>
  <c r="A424" i="25" s="1"/>
  <c r="A425" i="25" s="1"/>
  <c r="A426" i="25" s="1"/>
  <c r="A427" i="25" s="1"/>
  <c r="A428" i="25" s="1"/>
  <c r="A429" i="25" s="1"/>
  <c r="A416" i="25"/>
  <c r="T753" i="27"/>
  <c r="M753" i="27"/>
  <c r="Q753" i="27"/>
  <c r="U753" i="27"/>
  <c r="L753" i="27"/>
  <c r="L145" i="27" s="1"/>
  <c r="L719" i="27" s="1"/>
  <c r="V753" i="27"/>
  <c r="O753" i="27"/>
  <c r="O145" i="27" s="1"/>
  <c r="O719" i="27" s="1"/>
  <c r="N753" i="27"/>
  <c r="N145" i="27" s="1"/>
  <c r="R753" i="27"/>
  <c r="K753" i="27"/>
  <c r="P753" i="27"/>
  <c r="Q177" i="25"/>
  <c r="Q332" i="25"/>
  <c r="M765" i="26"/>
  <c r="V765" i="26"/>
  <c r="W693" i="26"/>
  <c r="U765" i="26"/>
  <c r="L765" i="26"/>
  <c r="O765" i="26"/>
  <c r="P765" i="26"/>
  <c r="N765" i="26"/>
  <c r="Q765" i="26"/>
  <c r="K765" i="26"/>
  <c r="R765" i="26"/>
  <c r="T765" i="26"/>
  <c r="M216" i="26"/>
  <c r="W563" i="27"/>
  <c r="A396" i="1"/>
  <c r="A395" i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G111" i="1"/>
  <c r="F65" i="1"/>
  <c r="G65" i="1" s="1"/>
  <c r="H808" i="26"/>
  <c r="W808" i="26" s="1"/>
  <c r="H808" i="27"/>
  <c r="W808" i="27" s="1"/>
  <c r="O810" i="25"/>
  <c r="V810" i="25"/>
  <c r="N810" i="25"/>
  <c r="M810" i="25"/>
  <c r="F82" i="31" s="1"/>
  <c r="L810" i="25"/>
  <c r="E82" i="31" s="1"/>
  <c r="T810" i="25"/>
  <c r="H82" i="31" s="1"/>
  <c r="P810" i="25"/>
  <c r="G82" i="31" s="1"/>
  <c r="K810" i="25"/>
  <c r="U810" i="25"/>
  <c r="I82" i="31" s="1"/>
  <c r="Q810" i="25"/>
  <c r="W738" i="25"/>
  <c r="R810" i="25"/>
  <c r="W213" i="26"/>
  <c r="W681" i="27"/>
  <c r="O177" i="26"/>
  <c r="O143" i="26"/>
  <c r="P1" i="26"/>
  <c r="Q1" i="26" s="1"/>
  <c r="O385" i="26"/>
  <c r="O145" i="26"/>
  <c r="W684" i="27"/>
  <c r="F243" i="28"/>
  <c r="H320" i="1"/>
  <c r="G457" i="1"/>
  <c r="G463" i="1" s="1"/>
  <c r="F463" i="1"/>
  <c r="G198" i="1"/>
  <c r="G208" i="1" s="1"/>
  <c r="F208" i="1"/>
  <c r="G326" i="1"/>
  <c r="V568" i="27"/>
  <c r="J245" i="28"/>
  <c r="U568" i="27"/>
  <c r="K568" i="27"/>
  <c r="A341" i="28"/>
  <c r="A340" i="28"/>
  <c r="A342" i="28" s="1"/>
  <c r="A343" i="28" s="1"/>
  <c r="A344" i="28" s="1"/>
  <c r="A345" i="28" s="1"/>
  <c r="A346" i="28" s="1"/>
  <c r="A347" i="28" s="1"/>
  <c r="A348" i="28" s="1"/>
  <c r="A349" i="28" s="1"/>
  <c r="A350" i="28" s="1"/>
  <c r="A351" i="28" s="1"/>
  <c r="A352" i="28" s="1"/>
  <c r="A353" i="28" s="1"/>
  <c r="A354" i="28" s="1"/>
  <c r="W224" i="27"/>
  <c r="I463" i="27"/>
  <c r="K28" i="31" l="1"/>
  <c r="K40" i="31"/>
  <c r="K37" i="31"/>
  <c r="K25" i="31"/>
  <c r="K46" i="31"/>
  <c r="J211" i="27"/>
  <c r="J774" i="25"/>
  <c r="H774" i="25" s="1"/>
  <c r="W774" i="25" s="1"/>
  <c r="J198" i="25"/>
  <c r="J518" i="26"/>
  <c r="S807" i="27"/>
  <c r="W735" i="27"/>
  <c r="J218" i="27"/>
  <c r="J562" i="27"/>
  <c r="J474" i="27"/>
  <c r="J436" i="26"/>
  <c r="S807" i="26"/>
  <c r="W735" i="26"/>
  <c r="S810" i="26"/>
  <c r="K810" i="26"/>
  <c r="K607" i="26" s="1"/>
  <c r="K68" i="26" s="1"/>
  <c r="L810" i="26"/>
  <c r="L607" i="26" s="1"/>
  <c r="L68" i="26" s="1"/>
  <c r="R810" i="26"/>
  <c r="Q810" i="26"/>
  <c r="T810" i="26"/>
  <c r="V810" i="26"/>
  <c r="N810" i="26"/>
  <c r="N607" i="26" s="1"/>
  <c r="N68" i="26" s="1"/>
  <c r="J512" i="26"/>
  <c r="W738" i="26"/>
  <c r="U810" i="26"/>
  <c r="M810" i="26"/>
  <c r="J520" i="26"/>
  <c r="J540" i="26"/>
  <c r="P810" i="26"/>
  <c r="O810" i="26"/>
  <c r="O607" i="26" s="1"/>
  <c r="O68" i="26" s="1"/>
  <c r="M807" i="25"/>
  <c r="F79" i="31" s="1"/>
  <c r="W735" i="25"/>
  <c r="J541" i="25"/>
  <c r="J221" i="25"/>
  <c r="J670" i="27"/>
  <c r="H670" i="27" s="1"/>
  <c r="J771" i="26"/>
  <c r="J435" i="27"/>
  <c r="J753" i="26"/>
  <c r="H753" i="26"/>
  <c r="W753" i="26" s="1"/>
  <c r="R807" i="26"/>
  <c r="K143" i="26"/>
  <c r="K718" i="26" s="1"/>
  <c r="J752" i="26"/>
  <c r="J774" i="26"/>
  <c r="U807" i="26"/>
  <c r="K807" i="26"/>
  <c r="J201" i="26"/>
  <c r="J765" i="26"/>
  <c r="H765" i="26" s="1"/>
  <c r="W765" i="26" s="1"/>
  <c r="Q807" i="26"/>
  <c r="L807" i="26"/>
  <c r="K177" i="26"/>
  <c r="J743" i="26"/>
  <c r="J768" i="26"/>
  <c r="T807" i="26"/>
  <c r="N807" i="26"/>
  <c r="M807" i="26"/>
  <c r="O807" i="26"/>
  <c r="J452" i="26"/>
  <c r="J461" i="26"/>
  <c r="J756" i="27"/>
  <c r="J807" i="27"/>
  <c r="J752" i="27"/>
  <c r="J774" i="27"/>
  <c r="J753" i="27"/>
  <c r="J472" i="27"/>
  <c r="J212" i="27"/>
  <c r="J553" i="27"/>
  <c r="J458" i="27"/>
  <c r="J436" i="27"/>
  <c r="J540" i="27"/>
  <c r="J544" i="25"/>
  <c r="J561" i="27"/>
  <c r="J223" i="26"/>
  <c r="J488" i="27"/>
  <c r="J199" i="25"/>
  <c r="J449" i="26"/>
  <c r="H374" i="28" s="1"/>
  <c r="I374" i="28" s="1"/>
  <c r="J202" i="27"/>
  <c r="J201" i="27"/>
  <c r="J447" i="26"/>
  <c r="J557" i="27"/>
  <c r="J476" i="27"/>
  <c r="J457" i="26"/>
  <c r="J211" i="26"/>
  <c r="J459" i="27"/>
  <c r="J503" i="26"/>
  <c r="J223" i="27"/>
  <c r="J473" i="26"/>
  <c r="J542" i="27"/>
  <c r="J486" i="27"/>
  <c r="J212" i="26"/>
  <c r="J521" i="25"/>
  <c r="L446" i="28" s="1"/>
  <c r="J214" i="26"/>
  <c r="J487" i="27"/>
  <c r="J489" i="27"/>
  <c r="J488" i="26"/>
  <c r="J547" i="25"/>
  <c r="J513" i="26"/>
  <c r="J477" i="27"/>
  <c r="J451" i="26"/>
  <c r="J474" i="26"/>
  <c r="J219" i="27"/>
  <c r="J543" i="25"/>
  <c r="J559" i="26"/>
  <c r="J459" i="26"/>
  <c r="J562" i="26"/>
  <c r="J202" i="25"/>
  <c r="J546" i="25"/>
  <c r="J200" i="25"/>
  <c r="J510" i="26"/>
  <c r="J203" i="27"/>
  <c r="J460" i="27"/>
  <c r="W520" i="25"/>
  <c r="J520" i="25"/>
  <c r="J202" i="26"/>
  <c r="J448" i="26"/>
  <c r="L373" i="28" s="1"/>
  <c r="M373" i="28" s="1"/>
  <c r="J457" i="25"/>
  <c r="J546" i="27"/>
  <c r="J203" i="25"/>
  <c r="J216" i="26"/>
  <c r="J473" i="27"/>
  <c r="J447" i="25"/>
  <c r="J453" i="26"/>
  <c r="J435" i="25"/>
  <c r="J566" i="26"/>
  <c r="J485" i="27"/>
  <c r="J215" i="27"/>
  <c r="J461" i="27"/>
  <c r="J214" i="25"/>
  <c r="J543" i="27"/>
  <c r="J544" i="26"/>
  <c r="J198" i="26"/>
  <c r="J435" i="26"/>
  <c r="J216" i="27"/>
  <c r="J220" i="27"/>
  <c r="J201" i="25"/>
  <c r="J548" i="26"/>
  <c r="J545" i="27"/>
  <c r="J458" i="26"/>
  <c r="J558" i="26"/>
  <c r="J206" i="26"/>
  <c r="J450" i="27"/>
  <c r="J485" i="26"/>
  <c r="J452" i="27"/>
  <c r="J475" i="27"/>
  <c r="J436" i="25"/>
  <c r="J542" i="26"/>
  <c r="J206" i="27"/>
  <c r="J542" i="25"/>
  <c r="J199" i="26"/>
  <c r="J511" i="26"/>
  <c r="J541" i="26"/>
  <c r="J462" i="27"/>
  <c r="J487" i="26"/>
  <c r="J205" i="25"/>
  <c r="H130" i="28" s="1"/>
  <c r="I130" i="28" s="1"/>
  <c r="J509" i="26"/>
  <c r="J519" i="26"/>
  <c r="J460" i="26"/>
  <c r="J486" i="26"/>
  <c r="J220" i="26"/>
  <c r="J543" i="26"/>
  <c r="J545" i="26"/>
  <c r="J540" i="25"/>
  <c r="J548" i="27"/>
  <c r="J518" i="27"/>
  <c r="J462" i="26"/>
  <c r="J554" i="27"/>
  <c r="J475" i="26"/>
  <c r="J484" i="26"/>
  <c r="J204" i="27"/>
  <c r="H129" i="28" s="1"/>
  <c r="I129" i="28" s="1"/>
  <c r="J560" i="27"/>
  <c r="J200" i="27"/>
  <c r="J503" i="27"/>
  <c r="J519" i="27"/>
  <c r="J517" i="25"/>
  <c r="J450" i="26"/>
  <c r="J451" i="27"/>
  <c r="J558" i="27"/>
  <c r="J556" i="25"/>
  <c r="L481" i="28" s="1"/>
  <c r="J555" i="27"/>
  <c r="J554" i="26"/>
  <c r="J453" i="27"/>
  <c r="J504" i="26"/>
  <c r="S741" i="26"/>
  <c r="V741" i="26"/>
  <c r="U741" i="26"/>
  <c r="M741" i="26"/>
  <c r="K741" i="26"/>
  <c r="P741" i="26"/>
  <c r="W669" i="26"/>
  <c r="Q741" i="26"/>
  <c r="Q316" i="26" s="1"/>
  <c r="T741" i="26"/>
  <c r="O741" i="26"/>
  <c r="O316" i="26" s="1"/>
  <c r="N741" i="26"/>
  <c r="N317" i="26" s="1"/>
  <c r="R741" i="26"/>
  <c r="L741" i="26"/>
  <c r="L316" i="26" s="1"/>
  <c r="R332" i="25"/>
  <c r="N52" i="24" s="1"/>
  <c r="N332" i="25"/>
  <c r="M332" i="25" s="1"/>
  <c r="J756" i="25"/>
  <c r="J768" i="25"/>
  <c r="H768" i="25" s="1"/>
  <c r="W768" i="25" s="1"/>
  <c r="J765" i="25"/>
  <c r="D67" i="31"/>
  <c r="K67" i="31" s="1"/>
  <c r="J795" i="25"/>
  <c r="H795" i="25" s="1"/>
  <c r="W795" i="25" s="1"/>
  <c r="J753" i="25"/>
  <c r="H753" i="25" s="1"/>
  <c r="W753" i="25" s="1"/>
  <c r="D15" i="31"/>
  <c r="K15" i="31" s="1"/>
  <c r="J743" i="25"/>
  <c r="H743" i="25" s="1"/>
  <c r="W743" i="25" s="1"/>
  <c r="D82" i="31"/>
  <c r="K82" i="31" s="1"/>
  <c r="J810" i="25"/>
  <c r="D24" i="31"/>
  <c r="K24" i="31" s="1"/>
  <c r="J752" i="25"/>
  <c r="H752" i="25" s="1"/>
  <c r="W752" i="25" s="1"/>
  <c r="J741" i="25"/>
  <c r="H741" i="25" s="1"/>
  <c r="W741" i="25" s="1"/>
  <c r="R316" i="25"/>
  <c r="R318" i="25" s="1"/>
  <c r="R320" i="25" s="1"/>
  <c r="W219" i="27"/>
  <c r="M561" i="26"/>
  <c r="W521" i="25"/>
  <c r="L332" i="25"/>
  <c r="H16" i="24" s="1"/>
  <c r="H17" i="24" s="1"/>
  <c r="E15" i="31"/>
  <c r="O177" i="25"/>
  <c r="M177" i="25" s="1"/>
  <c r="K317" i="25"/>
  <c r="W542" i="27"/>
  <c r="M560" i="26"/>
  <c r="W447" i="26"/>
  <c r="P437" i="27"/>
  <c r="W446" i="25"/>
  <c r="W201" i="25"/>
  <c r="W544" i="27"/>
  <c r="M732" i="27"/>
  <c r="P437" i="26"/>
  <c r="W203" i="26"/>
  <c r="W198" i="26"/>
  <c r="W520" i="26"/>
  <c r="M439" i="25"/>
  <c r="W563" i="25"/>
  <c r="W553" i="26"/>
  <c r="W562" i="26"/>
  <c r="W448" i="26"/>
  <c r="W202" i="25"/>
  <c r="W457" i="27"/>
  <c r="W216" i="27"/>
  <c r="M439" i="27"/>
  <c r="W201" i="27"/>
  <c r="W198" i="25"/>
  <c r="W544" i="26"/>
  <c r="W202" i="27"/>
  <c r="W447" i="25"/>
  <c r="W220" i="26"/>
  <c r="S747" i="27"/>
  <c r="U747" i="27"/>
  <c r="L747" i="27"/>
  <c r="N747" i="27"/>
  <c r="L316" i="25"/>
  <c r="H670" i="26"/>
  <c r="O742" i="26" s="1"/>
  <c r="O652" i="26" s="1"/>
  <c r="O69" i="26" s="1"/>
  <c r="Q747" i="27"/>
  <c r="T177" i="25"/>
  <c r="W543" i="26"/>
  <c r="R747" i="27"/>
  <c r="W435" i="27"/>
  <c r="T332" i="25"/>
  <c r="P16" i="24" s="1"/>
  <c r="E13" i="31"/>
  <c r="T747" i="27"/>
  <c r="P560" i="26"/>
  <c r="W449" i="26"/>
  <c r="W436" i="26"/>
  <c r="W211" i="26"/>
  <c r="W510" i="25"/>
  <c r="W457" i="26"/>
  <c r="W521" i="26"/>
  <c r="M218" i="26"/>
  <c r="M437" i="27"/>
  <c r="P557" i="26"/>
  <c r="W211" i="27"/>
  <c r="P219" i="26"/>
  <c r="M219" i="26"/>
  <c r="M557" i="26"/>
  <c r="W475" i="27"/>
  <c r="W214" i="25"/>
  <c r="W566" i="27"/>
  <c r="M747" i="27"/>
  <c r="W543" i="27"/>
  <c r="P747" i="27"/>
  <c r="W675" i="27"/>
  <c r="K747" i="27"/>
  <c r="O747" i="27"/>
  <c r="P218" i="26"/>
  <c r="W540" i="26"/>
  <c r="W202" i="26"/>
  <c r="P561" i="26"/>
  <c r="W212" i="26"/>
  <c r="W567" i="26"/>
  <c r="M385" i="26"/>
  <c r="W436" i="25"/>
  <c r="W541" i="25"/>
  <c r="H752" i="27"/>
  <c r="W752" i="27" s="1"/>
  <c r="L317" i="25"/>
  <c r="K316" i="25"/>
  <c r="D13" i="31"/>
  <c r="K807" i="25"/>
  <c r="S807" i="25"/>
  <c r="N741" i="27"/>
  <c r="N316" i="27" s="1"/>
  <c r="W85" i="25"/>
  <c r="M806" i="26"/>
  <c r="S806" i="26"/>
  <c r="P747" i="26"/>
  <c r="S747" i="26"/>
  <c r="L177" i="25"/>
  <c r="S316" i="25"/>
  <c r="S317" i="25"/>
  <c r="K332" i="25"/>
  <c r="G16" i="24" s="1"/>
  <c r="T742" i="25"/>
  <c r="H14" i="31" s="1"/>
  <c r="S742" i="25"/>
  <c r="S652" i="25" s="1"/>
  <c r="D100" i="24"/>
  <c r="S747" i="25"/>
  <c r="K177" i="25"/>
  <c r="W734" i="25"/>
  <c r="S806" i="25"/>
  <c r="S332" i="25"/>
  <c r="S177" i="25"/>
  <c r="P177" i="25" s="1"/>
  <c r="W474" i="27"/>
  <c r="P732" i="27"/>
  <c r="W453" i="26"/>
  <c r="Q806" i="27"/>
  <c r="S806" i="27"/>
  <c r="W669" i="27"/>
  <c r="S741" i="27"/>
  <c r="P226" i="27"/>
  <c r="I226" i="27"/>
  <c r="W738" i="27"/>
  <c r="S810" i="27"/>
  <c r="W671" i="27"/>
  <c r="S743" i="27"/>
  <c r="W450" i="26"/>
  <c r="N807" i="25"/>
  <c r="R807" i="25"/>
  <c r="L807" i="25"/>
  <c r="E79" i="31" s="1"/>
  <c r="T807" i="25"/>
  <c r="H79" i="31" s="1"/>
  <c r="Q807" i="25"/>
  <c r="W518" i="26"/>
  <c r="W477" i="27"/>
  <c r="M226" i="27"/>
  <c r="M215" i="26"/>
  <c r="W461" i="27"/>
  <c r="T465" i="26"/>
  <c r="O222" i="26"/>
  <c r="O564" i="26"/>
  <c r="L718" i="26"/>
  <c r="L222" i="26"/>
  <c r="L564" i="26"/>
  <c r="N718" i="26"/>
  <c r="N222" i="26"/>
  <c r="N564" i="26"/>
  <c r="K564" i="26"/>
  <c r="K222" i="26"/>
  <c r="R465" i="26"/>
  <c r="W452" i="27"/>
  <c r="W484" i="27"/>
  <c r="W473" i="27"/>
  <c r="W562" i="27"/>
  <c r="P732" i="26"/>
  <c r="W204" i="25"/>
  <c r="W486" i="27"/>
  <c r="P454" i="26"/>
  <c r="L472" i="28"/>
  <c r="M472" i="28" s="1"/>
  <c r="W517" i="25"/>
  <c r="W461" i="26"/>
  <c r="W450" i="27"/>
  <c r="W489" i="27"/>
  <c r="W511" i="26"/>
  <c r="W513" i="26"/>
  <c r="W198" i="27"/>
  <c r="W503" i="27"/>
  <c r="W458" i="27"/>
  <c r="W460" i="26"/>
  <c r="Q439" i="26"/>
  <c r="P439" i="26" s="1"/>
  <c r="W476" i="27"/>
  <c r="S465" i="26"/>
  <c r="M522" i="26"/>
  <c r="W519" i="27"/>
  <c r="W201" i="26"/>
  <c r="S465" i="27"/>
  <c r="P731" i="26"/>
  <c r="W560" i="27"/>
  <c r="W512" i="26"/>
  <c r="W521" i="27"/>
  <c r="P454" i="27"/>
  <c r="W215" i="27"/>
  <c r="M463" i="27"/>
  <c r="R465" i="27"/>
  <c r="W460" i="27"/>
  <c r="W517" i="26"/>
  <c r="W567" i="27"/>
  <c r="O465" i="27"/>
  <c r="K465" i="27"/>
  <c r="T465" i="27"/>
  <c r="W200" i="27"/>
  <c r="W451" i="27"/>
  <c r="W517" i="27"/>
  <c r="W509" i="26"/>
  <c r="M731" i="26"/>
  <c r="W447" i="27"/>
  <c r="W485" i="27"/>
  <c r="N465" i="27"/>
  <c r="P463" i="27"/>
  <c r="W487" i="27"/>
  <c r="U465" i="27"/>
  <c r="M732" i="26"/>
  <c r="J45" i="1"/>
  <c r="W519" i="26"/>
  <c r="M522" i="27"/>
  <c r="W224" i="26"/>
  <c r="M208" i="26"/>
  <c r="W200" i="26"/>
  <c r="W435" i="26"/>
  <c r="W488" i="27"/>
  <c r="P522" i="27"/>
  <c r="W199" i="25"/>
  <c r="W205" i="25"/>
  <c r="W540" i="27"/>
  <c r="P522" i="26"/>
  <c r="W212" i="27"/>
  <c r="W459" i="27"/>
  <c r="W557" i="27"/>
  <c r="P727" i="27"/>
  <c r="V465" i="27"/>
  <c r="W547" i="25"/>
  <c r="P549" i="27"/>
  <c r="W206" i="26"/>
  <c r="L465" i="27"/>
  <c r="M437" i="26"/>
  <c r="M439" i="26"/>
  <c r="W223" i="27"/>
  <c r="M454" i="26"/>
  <c r="M208" i="27"/>
  <c r="P549" i="26"/>
  <c r="M727" i="27"/>
  <c r="W561" i="27"/>
  <c r="W566" i="26"/>
  <c r="W436" i="27"/>
  <c r="Q465" i="26"/>
  <c r="M549" i="27"/>
  <c r="M463" i="26"/>
  <c r="H128" i="28"/>
  <c r="I128" i="28" s="1"/>
  <c r="W545" i="27"/>
  <c r="P208" i="26"/>
  <c r="M454" i="27"/>
  <c r="W203" i="27"/>
  <c r="V465" i="26"/>
  <c r="W553" i="27"/>
  <c r="W734" i="27"/>
  <c r="W204" i="27"/>
  <c r="W472" i="27"/>
  <c r="L806" i="27"/>
  <c r="P208" i="27"/>
  <c r="L465" i="26"/>
  <c r="W216" i="26"/>
  <c r="O465" i="26"/>
  <c r="P463" i="26"/>
  <c r="W458" i="26"/>
  <c r="W452" i="26"/>
  <c r="M514" i="26"/>
  <c r="W541" i="26"/>
  <c r="U465" i="26"/>
  <c r="O317" i="26"/>
  <c r="W459" i="26"/>
  <c r="W675" i="26"/>
  <c r="P514" i="26"/>
  <c r="M727" i="26"/>
  <c r="W510" i="26"/>
  <c r="N742" i="25"/>
  <c r="N652" i="25" s="1"/>
  <c r="N654" i="25" s="1"/>
  <c r="N49" i="25" s="1"/>
  <c r="O742" i="25"/>
  <c r="O652" i="25" s="1"/>
  <c r="R742" i="25"/>
  <c r="R652" i="25" s="1"/>
  <c r="P742" i="25"/>
  <c r="G14" i="31" s="1"/>
  <c r="M742" i="25"/>
  <c r="F14" i="31" s="1"/>
  <c r="K742" i="25"/>
  <c r="L742" i="25"/>
  <c r="E14" i="31" s="1"/>
  <c r="V742" i="25"/>
  <c r="Q742" i="25"/>
  <c r="Q652" i="25" s="1"/>
  <c r="Q654" i="25" s="1"/>
  <c r="M208" i="25"/>
  <c r="U742" i="25"/>
  <c r="I14" i="31" s="1"/>
  <c r="R806" i="25"/>
  <c r="N316" i="25"/>
  <c r="M316" i="25" s="1"/>
  <c r="Q317" i="25"/>
  <c r="Q318" i="25" s="1"/>
  <c r="W449" i="25"/>
  <c r="P549" i="25"/>
  <c r="O317" i="25"/>
  <c r="M317" i="25" s="1"/>
  <c r="W221" i="25"/>
  <c r="N465" i="26"/>
  <c r="W548" i="26"/>
  <c r="W199" i="26"/>
  <c r="P568" i="27"/>
  <c r="W435" i="25"/>
  <c r="K465" i="26"/>
  <c r="W503" i="26"/>
  <c r="W451" i="26"/>
  <c r="G133" i="28"/>
  <c r="M437" i="25"/>
  <c r="W462" i="27"/>
  <c r="W544" i="25"/>
  <c r="M549" i="26"/>
  <c r="P727" i="26"/>
  <c r="M549" i="25"/>
  <c r="Q465" i="27"/>
  <c r="P208" i="25"/>
  <c r="W223" i="26"/>
  <c r="W542" i="25"/>
  <c r="K474" i="28"/>
  <c r="G465" i="1"/>
  <c r="F465" i="1"/>
  <c r="P439" i="27"/>
  <c r="Q747" i="25"/>
  <c r="K747" i="25"/>
  <c r="K747" i="26"/>
  <c r="Q747" i="26"/>
  <c r="N747" i="26"/>
  <c r="U747" i="26"/>
  <c r="V747" i="26"/>
  <c r="L747" i="26"/>
  <c r="T747" i="26"/>
  <c r="O747" i="26"/>
  <c r="M747" i="26"/>
  <c r="R747" i="26"/>
  <c r="Q439" i="25"/>
  <c r="P439" i="25" s="1"/>
  <c r="P437" i="25"/>
  <c r="H756" i="25"/>
  <c r="W756" i="25" s="1"/>
  <c r="W675" i="25"/>
  <c r="U747" i="25"/>
  <c r="I19" i="31" s="1"/>
  <c r="Q385" i="27"/>
  <c r="O747" i="25"/>
  <c r="R747" i="25"/>
  <c r="Q145" i="27"/>
  <c r="Q719" i="27" s="1"/>
  <c r="H771" i="26"/>
  <c r="W771" i="26" s="1"/>
  <c r="H752" i="26"/>
  <c r="W752" i="26" s="1"/>
  <c r="R1" i="27"/>
  <c r="S1" i="27" s="1"/>
  <c r="T317" i="25"/>
  <c r="T316" i="25"/>
  <c r="R145" i="27"/>
  <c r="R719" i="27" s="1"/>
  <c r="T806" i="27"/>
  <c r="U806" i="27"/>
  <c r="V806" i="27"/>
  <c r="N806" i="27"/>
  <c r="R806" i="27"/>
  <c r="K806" i="27"/>
  <c r="O806" i="27"/>
  <c r="M806" i="27"/>
  <c r="P806" i="26"/>
  <c r="N747" i="25"/>
  <c r="P747" i="25"/>
  <c r="G19" i="31" s="1"/>
  <c r="V747" i="25"/>
  <c r="T747" i="25"/>
  <c r="H19" i="31" s="1"/>
  <c r="M747" i="25"/>
  <c r="F19" i="31" s="1"/>
  <c r="L747" i="25"/>
  <c r="E19" i="31" s="1"/>
  <c r="L741" i="27"/>
  <c r="L316" i="27" s="1"/>
  <c r="U741" i="27"/>
  <c r="R741" i="27"/>
  <c r="Q741" i="27"/>
  <c r="Q316" i="27" s="1"/>
  <c r="T741" i="27"/>
  <c r="O741" i="27"/>
  <c r="O316" i="27" s="1"/>
  <c r="L806" i="25"/>
  <c r="E78" i="31" s="1"/>
  <c r="P741" i="27"/>
  <c r="M741" i="27"/>
  <c r="K741" i="27"/>
  <c r="K806" i="25"/>
  <c r="M806" i="25"/>
  <c r="F78" i="31" s="1"/>
  <c r="P806" i="25"/>
  <c r="G78" i="31" s="1"/>
  <c r="U806" i="25"/>
  <c r="I78" i="31" s="1"/>
  <c r="N806" i="25"/>
  <c r="V806" i="25"/>
  <c r="Q806" i="25"/>
  <c r="T806" i="25"/>
  <c r="H78" i="31" s="1"/>
  <c r="O806" i="25"/>
  <c r="K133" i="28"/>
  <c r="M568" i="27"/>
  <c r="H371" i="28"/>
  <c r="I371" i="28" s="1"/>
  <c r="L371" i="28"/>
  <c r="M371" i="28" s="1"/>
  <c r="N806" i="26"/>
  <c r="L806" i="26"/>
  <c r="U806" i="26"/>
  <c r="W734" i="26"/>
  <c r="O806" i="26"/>
  <c r="V806" i="26"/>
  <c r="K806" i="26"/>
  <c r="T806" i="26"/>
  <c r="H743" i="26"/>
  <c r="W743" i="26" s="1"/>
  <c r="L177" i="26"/>
  <c r="K16" i="24"/>
  <c r="K52" i="24"/>
  <c r="R806" i="26"/>
  <c r="Q806" i="26"/>
  <c r="M177" i="26"/>
  <c r="P807" i="25"/>
  <c r="G79" i="31" s="1"/>
  <c r="V807" i="25"/>
  <c r="U807" i="25"/>
  <c r="I79" i="31" s="1"/>
  <c r="O807" i="25"/>
  <c r="W218" i="27"/>
  <c r="K743" i="27"/>
  <c r="T743" i="27"/>
  <c r="R743" i="27"/>
  <c r="O743" i="27"/>
  <c r="P743" i="27"/>
  <c r="U743" i="27"/>
  <c r="L743" i="27"/>
  <c r="M743" i="27"/>
  <c r="Q743" i="27"/>
  <c r="V743" i="27"/>
  <c r="N743" i="27"/>
  <c r="G474" i="28"/>
  <c r="I568" i="27"/>
  <c r="F42" i="24"/>
  <c r="J66" i="1"/>
  <c r="F245" i="28"/>
  <c r="H765" i="25"/>
  <c r="W765" i="25" s="1"/>
  <c r="H768" i="26"/>
  <c r="W768" i="26" s="1"/>
  <c r="A413" i="1"/>
  <c r="A414" i="1"/>
  <c r="K145" i="27"/>
  <c r="K719" i="27" s="1"/>
  <c r="W558" i="26"/>
  <c r="Q385" i="26"/>
  <c r="Q143" i="26"/>
  <c r="Q607" i="26"/>
  <c r="R1" i="26"/>
  <c r="S1" i="26" s="1"/>
  <c r="Q145" i="26"/>
  <c r="Q177" i="26"/>
  <c r="M16" i="24"/>
  <c r="M52" i="24"/>
  <c r="A415" i="26"/>
  <c r="A417" i="26" s="1"/>
  <c r="A418" i="26" s="1"/>
  <c r="A419" i="26" s="1"/>
  <c r="A420" i="26" s="1"/>
  <c r="A421" i="26" s="1"/>
  <c r="A422" i="26" s="1"/>
  <c r="A423" i="26" s="1"/>
  <c r="A424" i="26" s="1"/>
  <c r="A425" i="26" s="1"/>
  <c r="A426" i="26" s="1"/>
  <c r="A427" i="26" s="1"/>
  <c r="A428" i="26" s="1"/>
  <c r="A429" i="26" s="1"/>
  <c r="A416" i="26"/>
  <c r="H774" i="26"/>
  <c r="W774" i="26" s="1"/>
  <c r="M385" i="27"/>
  <c r="O719" i="26"/>
  <c r="M719" i="26" s="1"/>
  <c r="M145" i="26"/>
  <c r="O718" i="26"/>
  <c r="M143" i="26"/>
  <c r="N719" i="27"/>
  <c r="M719" i="27" s="1"/>
  <c r="M145" i="27"/>
  <c r="H774" i="27"/>
  <c r="W774" i="27" s="1"/>
  <c r="K385" i="27"/>
  <c r="W558" i="27"/>
  <c r="R810" i="27"/>
  <c r="M810" i="27"/>
  <c r="K810" i="27"/>
  <c r="Q810" i="27"/>
  <c r="Q607" i="27" s="1"/>
  <c r="L810" i="27"/>
  <c r="L607" i="27" s="1"/>
  <c r="L68" i="27" s="1"/>
  <c r="P810" i="27"/>
  <c r="N810" i="27"/>
  <c r="N607" i="27" s="1"/>
  <c r="O810" i="27"/>
  <c r="O607" i="27" s="1"/>
  <c r="O68" i="27" s="1"/>
  <c r="V810" i="27"/>
  <c r="U810" i="27"/>
  <c r="T810" i="27"/>
  <c r="K13" i="31" l="1"/>
  <c r="N316" i="26"/>
  <c r="N16" i="24"/>
  <c r="O318" i="26"/>
  <c r="O320" i="26" s="1"/>
  <c r="J568" i="27"/>
  <c r="J437" i="27"/>
  <c r="J810" i="26"/>
  <c r="H810" i="26" s="1"/>
  <c r="W810" i="26" s="1"/>
  <c r="M607" i="26"/>
  <c r="M68" i="26" s="1"/>
  <c r="S742" i="27"/>
  <c r="S652" i="27" s="1"/>
  <c r="S654" i="27" s="1"/>
  <c r="S49" i="27" s="1"/>
  <c r="V742" i="27"/>
  <c r="U742" i="27"/>
  <c r="R742" i="27"/>
  <c r="N742" i="27"/>
  <c r="N652" i="27" s="1"/>
  <c r="N69" i="27" s="1"/>
  <c r="K742" i="27"/>
  <c r="L742" i="27"/>
  <c r="L652" i="27" s="1"/>
  <c r="L69" i="27" s="1"/>
  <c r="O742" i="27"/>
  <c r="O652" i="27" s="1"/>
  <c r="O69" i="27" s="1"/>
  <c r="Q742" i="27"/>
  <c r="Q652" i="27" s="1"/>
  <c r="Q69" i="27" s="1"/>
  <c r="T742" i="27"/>
  <c r="T652" i="27" s="1"/>
  <c r="P742" i="27"/>
  <c r="M742" i="27"/>
  <c r="J732" i="27"/>
  <c r="H732" i="27" s="1"/>
  <c r="S804" i="27" s="1"/>
  <c r="S401" i="27" s="1"/>
  <c r="Q317" i="26"/>
  <c r="Q318" i="26" s="1"/>
  <c r="J731" i="26"/>
  <c r="H731" i="26" s="1"/>
  <c r="K316" i="26"/>
  <c r="J741" i="26"/>
  <c r="H741" i="26" s="1"/>
  <c r="W741" i="26" s="1"/>
  <c r="J439" i="26"/>
  <c r="J732" i="26"/>
  <c r="H732" i="26" s="1"/>
  <c r="L804" i="26" s="1"/>
  <c r="L401" i="26" s="1"/>
  <c r="J549" i="26"/>
  <c r="J806" i="26"/>
  <c r="H806" i="26" s="1"/>
  <c r="W806" i="26" s="1"/>
  <c r="J747" i="26"/>
  <c r="J807" i="26"/>
  <c r="H807" i="26" s="1"/>
  <c r="W807" i="26" s="1"/>
  <c r="L317" i="26"/>
  <c r="L318" i="26" s="1"/>
  <c r="L320" i="26" s="1"/>
  <c r="J727" i="26"/>
  <c r="H727" i="26" s="1"/>
  <c r="K317" i="26"/>
  <c r="J743" i="27"/>
  <c r="J747" i="27"/>
  <c r="K316" i="27"/>
  <c r="J741" i="27"/>
  <c r="J810" i="27"/>
  <c r="J806" i="27"/>
  <c r="H806" i="27" s="1"/>
  <c r="W806" i="27" s="1"/>
  <c r="J454" i="27"/>
  <c r="J727" i="27"/>
  <c r="H727" i="27" s="1"/>
  <c r="J549" i="27"/>
  <c r="J522" i="27"/>
  <c r="J549" i="25"/>
  <c r="J514" i="26"/>
  <c r="J522" i="26"/>
  <c r="J463" i="27"/>
  <c r="J208" i="27"/>
  <c r="J557" i="26"/>
  <c r="J560" i="26"/>
  <c r="J454" i="26"/>
  <c r="J219" i="26"/>
  <c r="J208" i="25"/>
  <c r="J437" i="26"/>
  <c r="W215" i="26"/>
  <c r="J215" i="26"/>
  <c r="J439" i="27"/>
  <c r="J439" i="25"/>
  <c r="J561" i="26"/>
  <c r="J208" i="26"/>
  <c r="J52" i="24"/>
  <c r="I52" i="24" s="1"/>
  <c r="J218" i="26"/>
  <c r="J16" i="24"/>
  <c r="J437" i="25"/>
  <c r="J463" i="26"/>
  <c r="P332" i="25"/>
  <c r="L16" i="24" s="1"/>
  <c r="D78" i="31"/>
  <c r="K78" i="31" s="1"/>
  <c r="J806" i="25"/>
  <c r="H806" i="25" s="1"/>
  <c r="W806" i="25" s="1"/>
  <c r="D14" i="31"/>
  <c r="K14" i="31" s="1"/>
  <c r="J742" i="25"/>
  <c r="H742" i="25" s="1"/>
  <c r="W742" i="25" s="1"/>
  <c r="D79" i="31"/>
  <c r="K79" i="31" s="1"/>
  <c r="J807" i="25"/>
  <c r="D19" i="31"/>
  <c r="K19" i="31" s="1"/>
  <c r="J747" i="25"/>
  <c r="H747" i="25" s="1"/>
  <c r="W747" i="25" s="1"/>
  <c r="W561" i="26"/>
  <c r="H52" i="24"/>
  <c r="K318" i="25"/>
  <c r="K320" i="25" s="1"/>
  <c r="G17" i="24"/>
  <c r="W560" i="26"/>
  <c r="S742" i="26"/>
  <c r="S652" i="26" s="1"/>
  <c r="S654" i="26" s="1"/>
  <c r="W437" i="27"/>
  <c r="P52" i="24"/>
  <c r="H372" i="28"/>
  <c r="N372" i="28" s="1"/>
  <c r="H373" i="28"/>
  <c r="I373" i="28" s="1"/>
  <c r="W439" i="25"/>
  <c r="L468" i="28"/>
  <c r="M468" i="28" s="1"/>
  <c r="L382" i="28"/>
  <c r="M382" i="28" s="1"/>
  <c r="L372" i="28"/>
  <c r="M372" i="28" s="1"/>
  <c r="L318" i="25"/>
  <c r="L320" i="25" s="1"/>
  <c r="L139" i="28"/>
  <c r="W557" i="26"/>
  <c r="L374" i="28"/>
  <c r="M374" i="28" s="1"/>
  <c r="H382" i="28"/>
  <c r="I382" i="28" s="1"/>
  <c r="H469" i="28"/>
  <c r="I469" i="28" s="1"/>
  <c r="L360" i="28"/>
  <c r="L445" i="28"/>
  <c r="L742" i="26"/>
  <c r="L652" i="26" s="1"/>
  <c r="L654" i="26" s="1"/>
  <c r="L49" i="26" s="1"/>
  <c r="H445" i="28"/>
  <c r="N445" i="28" s="1"/>
  <c r="U742" i="26"/>
  <c r="V742" i="26"/>
  <c r="N317" i="27"/>
  <c r="N318" i="27" s="1"/>
  <c r="P742" i="26"/>
  <c r="Q742" i="26"/>
  <c r="Q652" i="26" s="1"/>
  <c r="Q654" i="26" s="1"/>
  <c r="M742" i="26"/>
  <c r="R742" i="26"/>
  <c r="R652" i="26" s="1"/>
  <c r="T742" i="26"/>
  <c r="N742" i="26"/>
  <c r="N652" i="26" s="1"/>
  <c r="N69" i="26" s="1"/>
  <c r="M69" i="26" s="1"/>
  <c r="K742" i="26"/>
  <c r="L470" i="28"/>
  <c r="M470" i="28" s="1"/>
  <c r="H473" i="28"/>
  <c r="I473" i="28" s="1"/>
  <c r="W218" i="26"/>
  <c r="L123" i="28"/>
  <c r="M123" i="28" s="1"/>
  <c r="L130" i="28"/>
  <c r="M130" i="28" s="1"/>
  <c r="W219" i="26"/>
  <c r="H481" i="28"/>
  <c r="N481" i="28" s="1"/>
  <c r="G52" i="24"/>
  <c r="G53" i="24" s="1"/>
  <c r="H747" i="27"/>
  <c r="W747" i="27" s="1"/>
  <c r="S607" i="27"/>
  <c r="S68" i="27" s="1"/>
  <c r="T1" i="27"/>
  <c r="U1" i="27" s="1"/>
  <c r="V1" i="27" s="1"/>
  <c r="S145" i="27"/>
  <c r="S719" i="27" s="1"/>
  <c r="P719" i="27" s="1"/>
  <c r="S385" i="27"/>
  <c r="H127" i="28"/>
  <c r="I127" i="28" s="1"/>
  <c r="T1" i="26"/>
  <c r="U1" i="26" s="1"/>
  <c r="V1" i="26" s="1"/>
  <c r="S145" i="26"/>
  <c r="S719" i="26" s="1"/>
  <c r="S317" i="26"/>
  <c r="S316" i="26"/>
  <c r="S607" i="26"/>
  <c r="S68" i="26" s="1"/>
  <c r="S143" i="26"/>
  <c r="S718" i="26" s="1"/>
  <c r="S385" i="26"/>
  <c r="S177" i="26"/>
  <c r="S318" i="25"/>
  <c r="S320" i="25" s="1"/>
  <c r="T652" i="25"/>
  <c r="S654" i="25"/>
  <c r="S49" i="25" s="1"/>
  <c r="S69" i="25"/>
  <c r="O77" i="24" s="1"/>
  <c r="O16" i="24"/>
  <c r="O52" i="24"/>
  <c r="L52" i="24" s="1"/>
  <c r="P316" i="25"/>
  <c r="W463" i="26"/>
  <c r="L465" i="28"/>
  <c r="M465" i="28" s="1"/>
  <c r="H126" i="28"/>
  <c r="I126" i="28" s="1"/>
  <c r="S662" i="27"/>
  <c r="S177" i="27"/>
  <c r="S316" i="27"/>
  <c r="S317" i="27"/>
  <c r="J226" i="27"/>
  <c r="H123" i="28"/>
  <c r="I123" i="28" s="1"/>
  <c r="M564" i="26"/>
  <c r="M222" i="26"/>
  <c r="M718" i="26"/>
  <c r="Q222" i="26"/>
  <c r="Q564" i="26"/>
  <c r="L471" i="28"/>
  <c r="M471" i="28" s="1"/>
  <c r="H472" i="28"/>
  <c r="I472" i="28" s="1"/>
  <c r="L125" i="28"/>
  <c r="M125" i="28" s="1"/>
  <c r="H471" i="28"/>
  <c r="I471" i="28" s="1"/>
  <c r="H468" i="28"/>
  <c r="I468" i="28" s="1"/>
  <c r="P465" i="26"/>
  <c r="L466" i="28"/>
  <c r="M466" i="28" s="1"/>
  <c r="W463" i="27"/>
  <c r="L473" i="28"/>
  <c r="M473" i="28" s="1"/>
  <c r="P465" i="27"/>
  <c r="M465" i="27"/>
  <c r="W454" i="26"/>
  <c r="H139" i="28"/>
  <c r="N139" i="28" s="1"/>
  <c r="H442" i="28"/>
  <c r="N442" i="28" s="1"/>
  <c r="W549" i="26"/>
  <c r="L131" i="28"/>
  <c r="M131" i="28" s="1"/>
  <c r="L442" i="28"/>
  <c r="W226" i="27"/>
  <c r="H467" i="28"/>
  <c r="N467" i="28" s="1"/>
  <c r="W208" i="27"/>
  <c r="W522" i="26"/>
  <c r="L124" i="28"/>
  <c r="M124" i="28" s="1"/>
  <c r="H470" i="28"/>
  <c r="N470" i="28" s="1"/>
  <c r="L467" i="28"/>
  <c r="M467" i="28" s="1"/>
  <c r="W454" i="27"/>
  <c r="H131" i="28"/>
  <c r="I131" i="28" s="1"/>
  <c r="W439" i="26"/>
  <c r="H465" i="28"/>
  <c r="I465" i="28" s="1"/>
  <c r="H124" i="28"/>
  <c r="I124" i="28" s="1"/>
  <c r="W522" i="27"/>
  <c r="L129" i="28"/>
  <c r="M129" i="28" s="1"/>
  <c r="W437" i="26"/>
  <c r="L126" i="28"/>
  <c r="M126" i="28" s="1"/>
  <c r="L361" i="28"/>
  <c r="H446" i="28"/>
  <c r="N446" i="28" s="1"/>
  <c r="L128" i="28"/>
  <c r="M128" i="28" s="1"/>
  <c r="L127" i="28"/>
  <c r="M127" i="28" s="1"/>
  <c r="H360" i="28"/>
  <c r="N360" i="28" s="1"/>
  <c r="W549" i="27"/>
  <c r="H361" i="28"/>
  <c r="N361" i="28" s="1"/>
  <c r="H466" i="28"/>
  <c r="I466" i="28" s="1"/>
  <c r="N318" i="25"/>
  <c r="N320" i="25" s="1"/>
  <c r="Q69" i="25"/>
  <c r="M77" i="24" s="1"/>
  <c r="M465" i="26"/>
  <c r="M317" i="26"/>
  <c r="L652" i="25"/>
  <c r="W514" i="26"/>
  <c r="W208" i="26"/>
  <c r="K652" i="25"/>
  <c r="K69" i="25" s="1"/>
  <c r="L317" i="27"/>
  <c r="L318" i="27" s="1"/>
  <c r="L320" i="27" s="1"/>
  <c r="H747" i="26"/>
  <c r="W747" i="26" s="1"/>
  <c r="W208" i="25"/>
  <c r="N69" i="25"/>
  <c r="J77" i="24" s="1"/>
  <c r="P317" i="25"/>
  <c r="O654" i="25"/>
  <c r="O49" i="25" s="1"/>
  <c r="M49" i="25" s="1"/>
  <c r="M652" i="25"/>
  <c r="O69" i="25"/>
  <c r="P652" i="25"/>
  <c r="R69" i="25"/>
  <c r="N77" i="24" s="1"/>
  <c r="R654" i="25"/>
  <c r="R49" i="25" s="1"/>
  <c r="W549" i="25"/>
  <c r="Q49" i="25"/>
  <c r="O318" i="25"/>
  <c r="O320" i="25" s="1"/>
  <c r="L469" i="28"/>
  <c r="M469" i="28" s="1"/>
  <c r="H125" i="28"/>
  <c r="I125" i="28" s="1"/>
  <c r="W439" i="27"/>
  <c r="O518" i="25"/>
  <c r="W437" i="25"/>
  <c r="T318" i="25"/>
  <c r="T320" i="25" s="1"/>
  <c r="H753" i="27"/>
  <c r="W753" i="27" s="1"/>
  <c r="H807" i="27"/>
  <c r="T607" i="27"/>
  <c r="T68" i="27" s="1"/>
  <c r="R607" i="27"/>
  <c r="R68" i="27" s="1"/>
  <c r="K317" i="27"/>
  <c r="Q317" i="27"/>
  <c r="Q318" i="27" s="1"/>
  <c r="R652" i="27"/>
  <c r="R385" i="27"/>
  <c r="R316" i="27"/>
  <c r="R317" i="27"/>
  <c r="T317" i="27"/>
  <c r="U177" i="25"/>
  <c r="U317" i="25"/>
  <c r="U652" i="25"/>
  <c r="U332" i="25"/>
  <c r="U316" i="25"/>
  <c r="O317" i="27"/>
  <c r="O318" i="27" s="1"/>
  <c r="O320" i="27" s="1"/>
  <c r="N371" i="28"/>
  <c r="H741" i="27"/>
  <c r="W741" i="27" s="1"/>
  <c r="N129" i="28"/>
  <c r="N128" i="28"/>
  <c r="N130" i="28"/>
  <c r="O654" i="26"/>
  <c r="O49" i="26" s="1"/>
  <c r="N374" i="28"/>
  <c r="W568" i="27"/>
  <c r="N662" i="27"/>
  <c r="N177" i="27"/>
  <c r="L662" i="27"/>
  <c r="L177" i="27"/>
  <c r="R177" i="27"/>
  <c r="R662" i="27"/>
  <c r="T177" i="27"/>
  <c r="T662" i="27"/>
  <c r="O177" i="27"/>
  <c r="O662" i="27"/>
  <c r="Q177" i="27"/>
  <c r="Q662" i="27"/>
  <c r="K177" i="27"/>
  <c r="K662" i="27"/>
  <c r="N318" i="26"/>
  <c r="M318" i="26" s="1"/>
  <c r="D42" i="24"/>
  <c r="M316" i="27"/>
  <c r="H756" i="27"/>
  <c r="W756" i="27" s="1"/>
  <c r="R143" i="26"/>
  <c r="R145" i="26"/>
  <c r="R719" i="26" s="1"/>
  <c r="R607" i="26"/>
  <c r="R68" i="26" s="1"/>
  <c r="R316" i="26"/>
  <c r="R177" i="26"/>
  <c r="R385" i="26"/>
  <c r="R317" i="26"/>
  <c r="J74" i="1"/>
  <c r="Q68" i="26"/>
  <c r="Q320" i="25"/>
  <c r="I16" i="24"/>
  <c r="M316" i="26"/>
  <c r="K652" i="27"/>
  <c r="Q68" i="27"/>
  <c r="H810" i="25"/>
  <c r="W810" i="25" s="1"/>
  <c r="N68" i="27"/>
  <c r="M607" i="27"/>
  <c r="K607" i="27"/>
  <c r="Q719" i="26"/>
  <c r="Q718" i="26"/>
  <c r="A416" i="1"/>
  <c r="A415" i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J465" i="26" l="1"/>
  <c r="Q654" i="27"/>
  <c r="O654" i="27"/>
  <c r="O49" i="27" s="1"/>
  <c r="J742" i="27"/>
  <c r="K318" i="27"/>
  <c r="S69" i="27"/>
  <c r="S65" i="27" s="1"/>
  <c r="L654" i="27"/>
  <c r="L49" i="27" s="1"/>
  <c r="N654" i="27"/>
  <c r="N65" i="27" s="1"/>
  <c r="M652" i="27"/>
  <c r="M654" i="27" s="1"/>
  <c r="P652" i="27"/>
  <c r="J465" i="27"/>
  <c r="K318" i="26"/>
  <c r="K320" i="26" s="1"/>
  <c r="K652" i="26"/>
  <c r="K654" i="26" s="1"/>
  <c r="J742" i="26"/>
  <c r="H742" i="26" s="1"/>
  <c r="W742" i="26" s="1"/>
  <c r="I372" i="28"/>
  <c r="M654" i="25"/>
  <c r="H53" i="24"/>
  <c r="H807" i="25"/>
  <c r="W807" i="25" s="1"/>
  <c r="N373" i="28"/>
  <c r="L804" i="27"/>
  <c r="L401" i="27" s="1"/>
  <c r="Q37" i="24"/>
  <c r="G37" i="24"/>
  <c r="H37" i="24"/>
  <c r="M652" i="26"/>
  <c r="M804" i="27"/>
  <c r="K804" i="27"/>
  <c r="N804" i="27"/>
  <c r="N401" i="27" s="1"/>
  <c r="P804" i="27"/>
  <c r="O804" i="27"/>
  <c r="O401" i="27" s="1"/>
  <c r="U804" i="27"/>
  <c r="U401" i="27" s="1"/>
  <c r="V804" i="27"/>
  <c r="R804" i="27"/>
  <c r="R401" i="27" s="1"/>
  <c r="T804" i="27"/>
  <c r="T401" i="27" s="1"/>
  <c r="Q804" i="27"/>
  <c r="Q401" i="27" s="1"/>
  <c r="W732" i="27"/>
  <c r="N654" i="26"/>
  <c r="N49" i="26" s="1"/>
  <c r="M49" i="26" s="1"/>
  <c r="L69" i="26"/>
  <c r="L65" i="26" s="1"/>
  <c r="N473" i="28"/>
  <c r="N382" i="28"/>
  <c r="N469" i="28"/>
  <c r="N127" i="28"/>
  <c r="O804" i="26"/>
  <c r="O401" i="26" s="1"/>
  <c r="P385" i="27"/>
  <c r="P145" i="27"/>
  <c r="S318" i="26"/>
  <c r="S320" i="26" s="1"/>
  <c r="S69" i="26"/>
  <c r="P317" i="26"/>
  <c r="P316" i="26"/>
  <c r="P385" i="26"/>
  <c r="P177" i="26"/>
  <c r="P320" i="25"/>
  <c r="P318" i="25"/>
  <c r="P316" i="27"/>
  <c r="S49" i="26"/>
  <c r="K804" i="26"/>
  <c r="N804" i="26"/>
  <c r="N401" i="26" s="1"/>
  <c r="R804" i="26"/>
  <c r="R401" i="26" s="1"/>
  <c r="U804" i="26"/>
  <c r="M804" i="26"/>
  <c r="V804" i="26"/>
  <c r="P804" i="26"/>
  <c r="Q804" i="26"/>
  <c r="Q401" i="26" s="1"/>
  <c r="T654" i="25"/>
  <c r="T49" i="25" s="1"/>
  <c r="T69" i="25"/>
  <c r="P77" i="24" s="1"/>
  <c r="T804" i="26"/>
  <c r="T401" i="26" s="1"/>
  <c r="N126" i="28"/>
  <c r="S318" i="27"/>
  <c r="S320" i="27" s="1"/>
  <c r="K799" i="27"/>
  <c r="S799" i="27"/>
  <c r="S338" i="27" s="1"/>
  <c r="W727" i="26"/>
  <c r="S799" i="26"/>
  <c r="S338" i="26" s="1"/>
  <c r="K803" i="26"/>
  <c r="S803" i="26"/>
  <c r="S392" i="26" s="1"/>
  <c r="W732" i="26"/>
  <c r="S804" i="26"/>
  <c r="S401" i="26" s="1"/>
  <c r="N472" i="28"/>
  <c r="N123" i="28"/>
  <c r="R718" i="26"/>
  <c r="P718" i="26" s="1"/>
  <c r="R564" i="26"/>
  <c r="P564" i="26" s="1"/>
  <c r="R222" i="26"/>
  <c r="P222" i="26" s="1"/>
  <c r="P803" i="26"/>
  <c r="G77" i="24"/>
  <c r="W465" i="27"/>
  <c r="N124" i="28"/>
  <c r="N471" i="28"/>
  <c r="N468" i="28"/>
  <c r="L803" i="26"/>
  <c r="L392" i="26" s="1"/>
  <c r="Q803" i="26"/>
  <c r="Q392" i="26" s="1"/>
  <c r="N803" i="26"/>
  <c r="N392" i="26" s="1"/>
  <c r="W731" i="26"/>
  <c r="M803" i="26"/>
  <c r="U803" i="26"/>
  <c r="O803" i="26"/>
  <c r="O392" i="26" s="1"/>
  <c r="V803" i="26"/>
  <c r="R803" i="26"/>
  <c r="R392" i="26" s="1"/>
  <c r="T803" i="26"/>
  <c r="T392" i="26" s="1"/>
  <c r="I470" i="28"/>
  <c r="N465" i="28"/>
  <c r="V799" i="27"/>
  <c r="I467" i="28"/>
  <c r="H133" i="28"/>
  <c r="I133" i="28" s="1"/>
  <c r="W465" i="26"/>
  <c r="N131" i="28"/>
  <c r="L799" i="27"/>
  <c r="L338" i="27" s="1"/>
  <c r="Q799" i="27"/>
  <c r="Q338" i="27" s="1"/>
  <c r="P799" i="27"/>
  <c r="T799" i="27"/>
  <c r="T338" i="27" s="1"/>
  <c r="N799" i="27"/>
  <c r="N338" i="27" s="1"/>
  <c r="O799" i="27"/>
  <c r="O338" i="27" s="1"/>
  <c r="W727" i="27"/>
  <c r="M799" i="27"/>
  <c r="U799" i="27"/>
  <c r="U338" i="27" s="1"/>
  <c r="R799" i="27"/>
  <c r="R338" i="27" s="1"/>
  <c r="L474" i="28"/>
  <c r="M474" i="28" s="1"/>
  <c r="H474" i="28"/>
  <c r="I474" i="28" s="1"/>
  <c r="P49" i="25"/>
  <c r="L133" i="28"/>
  <c r="M133" i="28" s="1"/>
  <c r="M320" i="25"/>
  <c r="N125" i="28"/>
  <c r="N466" i="28"/>
  <c r="K654" i="25"/>
  <c r="K49" i="25" s="1"/>
  <c r="L69" i="25"/>
  <c r="H77" i="24" s="1"/>
  <c r="L654" i="25"/>
  <c r="L49" i="25" s="1"/>
  <c r="M69" i="25"/>
  <c r="I77" i="24" s="1"/>
  <c r="K77" i="24"/>
  <c r="Q69" i="26"/>
  <c r="M799" i="26"/>
  <c r="P799" i="26"/>
  <c r="P719" i="26"/>
  <c r="L799" i="26"/>
  <c r="L338" i="26" s="1"/>
  <c r="U799" i="26"/>
  <c r="R799" i="26"/>
  <c r="R338" i="26" s="1"/>
  <c r="K799" i="26"/>
  <c r="V799" i="26"/>
  <c r="Q799" i="26"/>
  <c r="Q338" i="26" s="1"/>
  <c r="O799" i="26"/>
  <c r="O338" i="26" s="1"/>
  <c r="T799" i="26"/>
  <c r="T338" i="26" s="1"/>
  <c r="N799" i="26"/>
  <c r="N338" i="26" s="1"/>
  <c r="M318" i="25"/>
  <c r="P654" i="25"/>
  <c r="P69" i="25"/>
  <c r="L77" i="24" s="1"/>
  <c r="R69" i="27"/>
  <c r="R654" i="27"/>
  <c r="P654" i="27" s="1"/>
  <c r="U518" i="25"/>
  <c r="P68" i="27"/>
  <c r="P662" i="27"/>
  <c r="M317" i="27"/>
  <c r="R318" i="27"/>
  <c r="R320" i="27" s="1"/>
  <c r="P68" i="26"/>
  <c r="P317" i="27"/>
  <c r="H742" i="27"/>
  <c r="W742" i="27" s="1"/>
  <c r="P177" i="27"/>
  <c r="P607" i="27"/>
  <c r="P143" i="26"/>
  <c r="P607" i="26"/>
  <c r="P145" i="26"/>
  <c r="P652" i="26"/>
  <c r="T69" i="27"/>
  <c r="T654" i="27"/>
  <c r="T49" i="27" s="1"/>
  <c r="U318" i="25"/>
  <c r="U320" i="25" s="1"/>
  <c r="Q52" i="24"/>
  <c r="Q16" i="24"/>
  <c r="V317" i="25"/>
  <c r="J317" i="25" s="1"/>
  <c r="V316" i="25"/>
  <c r="J316" i="25" s="1"/>
  <c r="V652" i="25"/>
  <c r="W652" i="25" s="1"/>
  <c r="V177" i="25"/>
  <c r="J177" i="25" s="1"/>
  <c r="V332" i="25"/>
  <c r="J332" i="25" s="1"/>
  <c r="U654" i="25"/>
  <c r="U69" i="25"/>
  <c r="T385" i="27"/>
  <c r="T145" i="27"/>
  <c r="T316" i="27"/>
  <c r="T318" i="27" s="1"/>
  <c r="T320" i="27" s="1"/>
  <c r="O65" i="26"/>
  <c r="N320" i="26"/>
  <c r="M320" i="26" s="1"/>
  <c r="M177" i="27"/>
  <c r="H743" i="27"/>
  <c r="W743" i="27" s="1"/>
  <c r="M662" i="27"/>
  <c r="Q49" i="26"/>
  <c r="R69" i="26"/>
  <c r="R654" i="26"/>
  <c r="P654" i="26" s="1"/>
  <c r="Q320" i="26"/>
  <c r="M69" i="27"/>
  <c r="K49" i="26"/>
  <c r="H810" i="27"/>
  <c r="W810" i="27" s="1"/>
  <c r="J75" i="1"/>
  <c r="J77" i="1"/>
  <c r="T385" i="26"/>
  <c r="T145" i="26"/>
  <c r="T719" i="26" s="1"/>
  <c r="T317" i="26"/>
  <c r="T316" i="26"/>
  <c r="T177" i="26"/>
  <c r="T143" i="26"/>
  <c r="T607" i="26"/>
  <c r="T652" i="26"/>
  <c r="O65" i="27"/>
  <c r="M68" i="27"/>
  <c r="K69" i="27"/>
  <c r="K654" i="27"/>
  <c r="N320" i="27"/>
  <c r="M320" i="27" s="1"/>
  <c r="M318" i="27"/>
  <c r="Q320" i="27"/>
  <c r="K68" i="27"/>
  <c r="K320" i="27"/>
  <c r="Q49" i="27"/>
  <c r="Q65" i="27"/>
  <c r="R318" i="26"/>
  <c r="R320" i="26" s="1"/>
  <c r="L65" i="27" l="1"/>
  <c r="K69" i="26"/>
  <c r="N49" i="27"/>
  <c r="M49" i="27" s="1"/>
  <c r="P69" i="27"/>
  <c r="K338" i="26"/>
  <c r="J799" i="26"/>
  <c r="H799" i="26" s="1"/>
  <c r="W799" i="26" s="1"/>
  <c r="K401" i="26"/>
  <c r="J804" i="26"/>
  <c r="H804" i="26" s="1"/>
  <c r="W804" i="26" s="1"/>
  <c r="K392" i="26"/>
  <c r="J803" i="26"/>
  <c r="H803" i="26" s="1"/>
  <c r="W803" i="26" s="1"/>
  <c r="K401" i="27"/>
  <c r="J804" i="27"/>
  <c r="H804" i="27" s="1"/>
  <c r="W804" i="27" s="1"/>
  <c r="K338" i="27"/>
  <c r="J799" i="27"/>
  <c r="H799" i="27" s="1"/>
  <c r="W799" i="27" s="1"/>
  <c r="M654" i="26"/>
  <c r="J652" i="25"/>
  <c r="M401" i="27"/>
  <c r="N65" i="26"/>
  <c r="M65" i="26" s="1"/>
  <c r="K65" i="26"/>
  <c r="S65" i="26"/>
  <c r="M401" i="26"/>
  <c r="T718" i="26"/>
  <c r="T222" i="26"/>
  <c r="T564" i="26"/>
  <c r="G78" i="24"/>
  <c r="P392" i="26"/>
  <c r="M392" i="26"/>
  <c r="N133" i="28"/>
  <c r="P338" i="27"/>
  <c r="M338" i="27"/>
  <c r="N474" i="28"/>
  <c r="P320" i="27"/>
  <c r="P69" i="26"/>
  <c r="Q65" i="26"/>
  <c r="R49" i="27"/>
  <c r="H78" i="24"/>
  <c r="P318" i="27"/>
  <c r="P338" i="26"/>
  <c r="M338" i="26"/>
  <c r="P401" i="26"/>
  <c r="R65" i="27"/>
  <c r="T65" i="27"/>
  <c r="P401" i="27"/>
  <c r="P320" i="26"/>
  <c r="P318" i="26"/>
  <c r="T719" i="27"/>
  <c r="Q77" i="24"/>
  <c r="R52" i="24"/>
  <c r="F52" i="24" s="1"/>
  <c r="F53" i="24" s="1"/>
  <c r="R16" i="24"/>
  <c r="F16" i="24" s="1"/>
  <c r="F17" i="24" s="1"/>
  <c r="W332" i="25"/>
  <c r="V318" i="25"/>
  <c r="J318" i="25" s="1"/>
  <c r="W316" i="25"/>
  <c r="U49" i="25"/>
  <c r="Q17" i="24"/>
  <c r="Q53" i="24"/>
  <c r="W177" i="25"/>
  <c r="U316" i="27"/>
  <c r="U385" i="27"/>
  <c r="U145" i="27"/>
  <c r="U719" i="27" s="1"/>
  <c r="U662" i="27"/>
  <c r="U317" i="27"/>
  <c r="U177" i="27"/>
  <c r="U652" i="27"/>
  <c r="U607" i="27"/>
  <c r="W317" i="25"/>
  <c r="V69" i="25"/>
  <c r="J69" i="25" s="1"/>
  <c r="F77" i="24" s="1"/>
  <c r="V654" i="25"/>
  <c r="V49" i="25" s="1"/>
  <c r="I654" i="25"/>
  <c r="M65" i="27"/>
  <c r="T318" i="26"/>
  <c r="T320" i="26" s="1"/>
  <c r="U317" i="26"/>
  <c r="U145" i="26"/>
  <c r="U719" i="26" s="1"/>
  <c r="U652" i="26"/>
  <c r="U385" i="26"/>
  <c r="U143" i="26"/>
  <c r="U177" i="26"/>
  <c r="U316" i="26"/>
  <c r="U607" i="26"/>
  <c r="U392" i="26"/>
  <c r="U338" i="26"/>
  <c r="U401" i="26"/>
  <c r="T68" i="26"/>
  <c r="K49" i="27"/>
  <c r="K65" i="27"/>
  <c r="R49" i="26"/>
  <c r="P49" i="26" s="1"/>
  <c r="R65" i="26"/>
  <c r="T654" i="26"/>
  <c r="T69" i="26"/>
  <c r="J83" i="1"/>
  <c r="J81" i="1"/>
  <c r="J654" i="25" l="1"/>
  <c r="J49" i="25"/>
  <c r="H49" i="25" s="1"/>
  <c r="D36" i="24"/>
  <c r="F37" i="24"/>
  <c r="U718" i="26"/>
  <c r="U564" i="26"/>
  <c r="U222" i="26"/>
  <c r="P65" i="26"/>
  <c r="R18" i="24"/>
  <c r="R17" i="24"/>
  <c r="R19" i="24"/>
  <c r="R46" i="24"/>
  <c r="R53" i="24"/>
  <c r="R55" i="24"/>
  <c r="R54" i="24"/>
  <c r="R77" i="24"/>
  <c r="U69" i="27"/>
  <c r="U654" i="27"/>
  <c r="U318" i="27"/>
  <c r="F78" i="24"/>
  <c r="V316" i="27"/>
  <c r="W316" i="27" s="1"/>
  <c r="V385" i="27"/>
  <c r="J385" i="27" s="1"/>
  <c r="V317" i="27"/>
  <c r="J317" i="27" s="1"/>
  <c r="V145" i="27"/>
  <c r="W145" i="27" s="1"/>
  <c r="V662" i="27"/>
  <c r="J662" i="27" s="1"/>
  <c r="V607" i="27"/>
  <c r="W607" i="27" s="1"/>
  <c r="V652" i="27"/>
  <c r="J652" i="27" s="1"/>
  <c r="V177" i="27"/>
  <c r="J177" i="27" s="1"/>
  <c r="V338" i="27"/>
  <c r="J338" i="27" s="1"/>
  <c r="V401" i="27"/>
  <c r="J401" i="27" s="1"/>
  <c r="Q78" i="24"/>
  <c r="U68" i="27"/>
  <c r="V320" i="25"/>
  <c r="W318" i="25"/>
  <c r="W654" i="25"/>
  <c r="J87" i="1"/>
  <c r="V316" i="26"/>
  <c r="W316" i="26" s="1"/>
  <c r="V317" i="26"/>
  <c r="J317" i="26" s="1"/>
  <c r="V177" i="26"/>
  <c r="J177" i="26" s="1"/>
  <c r="V385" i="26"/>
  <c r="J385" i="26" s="1"/>
  <c r="V143" i="26"/>
  <c r="J143" i="26" s="1"/>
  <c r="V607" i="26"/>
  <c r="V145" i="26"/>
  <c r="J145" i="26" s="1"/>
  <c r="V652" i="26"/>
  <c r="J652" i="26" s="1"/>
  <c r="V338" i="26"/>
  <c r="J338" i="26" s="1"/>
  <c r="V392" i="26"/>
  <c r="J392" i="26" s="1"/>
  <c r="V401" i="26"/>
  <c r="J401" i="26" s="1"/>
  <c r="U68" i="26"/>
  <c r="U318" i="26"/>
  <c r="U320" i="26" s="1"/>
  <c r="T65" i="26"/>
  <c r="T49" i="26"/>
  <c r="U69" i="26"/>
  <c r="U654" i="26"/>
  <c r="H242" i="28" l="1"/>
  <c r="J607" i="27"/>
  <c r="L581" i="28"/>
  <c r="M581" i="28" s="1"/>
  <c r="H581" i="28"/>
  <c r="I581" i="28" s="1"/>
  <c r="H102" i="28"/>
  <c r="L102" i="28"/>
  <c r="J316" i="27"/>
  <c r="L241" i="28" s="1"/>
  <c r="M241" i="28" s="1"/>
  <c r="W320" i="25"/>
  <c r="J320" i="25"/>
  <c r="J316" i="26"/>
  <c r="W607" i="26"/>
  <c r="J607" i="26"/>
  <c r="J145" i="27"/>
  <c r="D37" i="24"/>
  <c r="V564" i="26"/>
  <c r="J564" i="26" s="1"/>
  <c r="V222" i="26"/>
  <c r="J222" i="26" s="1"/>
  <c r="W49" i="25"/>
  <c r="X49" i="25"/>
  <c r="G242" i="28"/>
  <c r="I654" i="27"/>
  <c r="V69" i="27"/>
  <c r="J69" i="27" s="1"/>
  <c r="V654" i="27"/>
  <c r="W654" i="27" s="1"/>
  <c r="R80" i="24"/>
  <c r="R79" i="24"/>
  <c r="R78" i="24"/>
  <c r="E77" i="24"/>
  <c r="H69" i="25"/>
  <c r="W662" i="27"/>
  <c r="V318" i="27"/>
  <c r="V320" i="27" s="1"/>
  <c r="U320" i="27"/>
  <c r="E17" i="24"/>
  <c r="E19" i="24"/>
  <c r="E18" i="24"/>
  <c r="D16" i="24"/>
  <c r="W317" i="27"/>
  <c r="W401" i="27"/>
  <c r="V68" i="27"/>
  <c r="W338" i="27"/>
  <c r="E55" i="24"/>
  <c r="E53" i="24"/>
  <c r="E54" i="24"/>
  <c r="D52" i="24"/>
  <c r="W385" i="27"/>
  <c r="K102" i="28"/>
  <c r="W177" i="27"/>
  <c r="V719" i="27"/>
  <c r="W652" i="27"/>
  <c r="U49" i="27"/>
  <c r="U65" i="27"/>
  <c r="R48" i="24"/>
  <c r="R47" i="24"/>
  <c r="R49" i="24"/>
  <c r="W392" i="26"/>
  <c r="W385" i="26"/>
  <c r="L242" i="28"/>
  <c r="V68" i="26"/>
  <c r="W401" i="26"/>
  <c r="V69" i="26"/>
  <c r="J69" i="26" s="1"/>
  <c r="V654" i="26"/>
  <c r="J654" i="26" s="1"/>
  <c r="W652" i="26"/>
  <c r="W317" i="26"/>
  <c r="U49" i="26"/>
  <c r="U65" i="26"/>
  <c r="W338" i="26"/>
  <c r="V718" i="26"/>
  <c r="J718" i="26" s="1"/>
  <c r="W143" i="26"/>
  <c r="K242" i="28"/>
  <c r="W177" i="26"/>
  <c r="V719" i="26"/>
  <c r="W145" i="26"/>
  <c r="V318" i="26"/>
  <c r="V320" i="26" s="1"/>
  <c r="W320" i="26" s="1"/>
  <c r="N242" i="28" l="1"/>
  <c r="J320" i="27"/>
  <c r="J719" i="26"/>
  <c r="J719" i="27"/>
  <c r="J318" i="26"/>
  <c r="H241" i="28"/>
  <c r="I241" i="28" s="1"/>
  <c r="J654" i="27"/>
  <c r="L589" i="28" s="1"/>
  <c r="M589" i="28" s="1"/>
  <c r="J320" i="26"/>
  <c r="J318" i="27"/>
  <c r="J68" i="26"/>
  <c r="H68" i="26" s="1"/>
  <c r="J68" i="27"/>
  <c r="H68" i="27" s="1"/>
  <c r="W564" i="26"/>
  <c r="W222" i="26"/>
  <c r="W69" i="25"/>
  <c r="X69" i="25"/>
  <c r="G241" i="28"/>
  <c r="G581" i="28"/>
  <c r="N581" i="28" s="1"/>
  <c r="G102" i="28"/>
  <c r="N102" i="28" s="1"/>
  <c r="D17" i="24"/>
  <c r="E79" i="24"/>
  <c r="E80" i="24"/>
  <c r="D77" i="24"/>
  <c r="E78" i="24"/>
  <c r="V49" i="27"/>
  <c r="J49" i="27" s="1"/>
  <c r="V65" i="27"/>
  <c r="J65" i="27" s="1"/>
  <c r="H69" i="27"/>
  <c r="E49" i="24"/>
  <c r="E47" i="24"/>
  <c r="E48" i="24"/>
  <c r="D53" i="24"/>
  <c r="W318" i="27"/>
  <c r="W320" i="27"/>
  <c r="G243" i="28"/>
  <c r="K241" i="28"/>
  <c r="V65" i="26"/>
  <c r="J65" i="26" s="1"/>
  <c r="V49" i="26"/>
  <c r="J49" i="26" s="1"/>
  <c r="W318" i="26"/>
  <c r="H718" i="26"/>
  <c r="I654" i="26"/>
  <c r="G589" i="28" s="1"/>
  <c r="K581" i="28"/>
  <c r="H69" i="26"/>
  <c r="Y69" i="26" s="1"/>
  <c r="W654" i="26"/>
  <c r="H589" i="28" l="1"/>
  <c r="I589" i="28" s="1"/>
  <c r="H245" i="28"/>
  <c r="I245" i="28" s="1"/>
  <c r="L243" i="28"/>
  <c r="M243" i="28" s="1"/>
  <c r="L245" i="28"/>
  <c r="M245" i="28" s="1"/>
  <c r="N241" i="28"/>
  <c r="H719" i="26"/>
  <c r="H719" i="27"/>
  <c r="H243" i="28"/>
  <c r="I243" i="28" s="1"/>
  <c r="Y68" i="26"/>
  <c r="W68" i="26"/>
  <c r="H65" i="26"/>
  <c r="H65" i="27"/>
  <c r="W718" i="26"/>
  <c r="S790" i="26"/>
  <c r="W69" i="26"/>
  <c r="W69" i="27"/>
  <c r="Y69" i="27"/>
  <c r="W68" i="27"/>
  <c r="Y68" i="27"/>
  <c r="H49" i="27"/>
  <c r="H49" i="26"/>
  <c r="D78" i="24"/>
  <c r="K589" i="28"/>
  <c r="G245" i="28"/>
  <c r="K243" i="28"/>
  <c r="T790" i="26"/>
  <c r="U790" i="26"/>
  <c r="Q790" i="26"/>
  <c r="N790" i="26"/>
  <c r="R790" i="26"/>
  <c r="O790" i="26"/>
  <c r="L790" i="26"/>
  <c r="M790" i="26"/>
  <c r="P790" i="26"/>
  <c r="V790" i="26"/>
  <c r="K790" i="26"/>
  <c r="N589" i="28" l="1"/>
  <c r="J790" i="26"/>
  <c r="H790" i="26" s="1"/>
  <c r="W790" i="26" s="1"/>
  <c r="S791" i="26"/>
  <c r="L791" i="26"/>
  <c r="O791" i="26"/>
  <c r="T791" i="26"/>
  <c r="K791" i="26"/>
  <c r="W719" i="26"/>
  <c r="R791" i="26"/>
  <c r="P791" i="26"/>
  <c r="V791" i="26"/>
  <c r="M791" i="26"/>
  <c r="N791" i="26"/>
  <c r="Q791" i="26"/>
  <c r="U791" i="26"/>
  <c r="S791" i="27"/>
  <c r="K791" i="27"/>
  <c r="W719" i="27"/>
  <c r="O791" i="27"/>
  <c r="U791" i="27"/>
  <c r="Q791" i="27"/>
  <c r="R791" i="27"/>
  <c r="P791" i="27"/>
  <c r="M791" i="27"/>
  <c r="T791" i="27"/>
  <c r="L791" i="27"/>
  <c r="V791" i="27"/>
  <c r="N791" i="27"/>
  <c r="N243" i="28"/>
  <c r="Y65" i="26"/>
  <c r="W65" i="26"/>
  <c r="W49" i="27"/>
  <c r="Y49" i="27"/>
  <c r="W65" i="27"/>
  <c r="Y65" i="27"/>
  <c r="W49" i="26"/>
  <c r="Y49" i="26"/>
  <c r="K245" i="28"/>
  <c r="N245" i="28"/>
  <c r="J791" i="26" l="1"/>
  <c r="R356" i="26"/>
  <c r="R371" i="26"/>
  <c r="U371" i="26"/>
  <c r="U356" i="26"/>
  <c r="Q371" i="26"/>
  <c r="Q356" i="26"/>
  <c r="T371" i="26"/>
  <c r="T356" i="26"/>
  <c r="N356" i="26"/>
  <c r="N371" i="26"/>
  <c r="L371" i="26"/>
  <c r="L356" i="26"/>
  <c r="K356" i="26"/>
  <c r="K371" i="26"/>
  <c r="O356" i="26"/>
  <c r="O371" i="26"/>
  <c r="V356" i="26"/>
  <c r="V371" i="26"/>
  <c r="S371" i="26"/>
  <c r="S356" i="26"/>
  <c r="J791" i="27"/>
  <c r="U371" i="27"/>
  <c r="U356" i="27"/>
  <c r="Q371" i="27"/>
  <c r="Q356" i="27"/>
  <c r="N371" i="27"/>
  <c r="N356" i="27"/>
  <c r="V356" i="27"/>
  <c r="V371" i="27"/>
  <c r="L356" i="27"/>
  <c r="L371" i="27"/>
  <c r="R371" i="27"/>
  <c r="R356" i="27"/>
  <c r="O356" i="27"/>
  <c r="O371" i="27"/>
  <c r="T356" i="27"/>
  <c r="T371" i="27"/>
  <c r="K356" i="27"/>
  <c r="K371" i="27"/>
  <c r="S356" i="27"/>
  <c r="S371" i="27"/>
  <c r="M371" i="26" l="1"/>
  <c r="P356" i="26"/>
  <c r="P371" i="26"/>
  <c r="H791" i="26"/>
  <c r="W791" i="26" s="1"/>
  <c r="M356" i="26"/>
  <c r="H791" i="27"/>
  <c r="W791" i="27" s="1"/>
  <c r="M356" i="27"/>
  <c r="M371" i="27"/>
  <c r="P356" i="27"/>
  <c r="P371" i="27"/>
  <c r="D16" i="30"/>
  <c r="I16" i="30"/>
  <c r="E16" i="30"/>
  <c r="J356" i="26" l="1"/>
  <c r="J371" i="26"/>
  <c r="W371" i="26"/>
  <c r="W356" i="26"/>
  <c r="J371" i="27"/>
  <c r="J356" i="27"/>
  <c r="W356" i="27"/>
  <c r="W371" i="27"/>
  <c r="P672" i="25"/>
  <c r="G16" i="30" s="1"/>
  <c r="N673" i="25"/>
  <c r="M672" i="25"/>
  <c r="N672" i="27"/>
  <c r="N672" i="26"/>
  <c r="U672" i="27"/>
  <c r="U673" i="27" s="1"/>
  <c r="U673" i="25"/>
  <c r="I17" i="30" s="1"/>
  <c r="U672" i="26"/>
  <c r="U673" i="26" s="1"/>
  <c r="L673" i="25"/>
  <c r="E17" i="30" s="1"/>
  <c r="L672" i="26"/>
  <c r="L673" i="26" s="1"/>
  <c r="L672" i="27"/>
  <c r="L673" i="27" s="1"/>
  <c r="O673" i="25"/>
  <c r="O672" i="27"/>
  <c r="O673" i="27" s="1"/>
  <c r="O672" i="26"/>
  <c r="O673" i="26" s="1"/>
  <c r="R672" i="27"/>
  <c r="R672" i="26"/>
  <c r="K672" i="26"/>
  <c r="K673" i="25"/>
  <c r="K672" i="27"/>
  <c r="Q672" i="26"/>
  <c r="Q672" i="27"/>
  <c r="J672" i="25" l="1"/>
  <c r="H672" i="25" s="1"/>
  <c r="D17" i="30"/>
  <c r="F16" i="30"/>
  <c r="K16" i="30" s="1"/>
  <c r="P672" i="26"/>
  <c r="P672" i="27"/>
  <c r="N673" i="26"/>
  <c r="M673" i="26" s="1"/>
  <c r="M672" i="26"/>
  <c r="K673" i="26"/>
  <c r="N673" i="27"/>
  <c r="M673" i="27" s="1"/>
  <c r="M672" i="27"/>
  <c r="K673" i="27"/>
  <c r="J673" i="27" s="1"/>
  <c r="M673" i="25"/>
  <c r="F17" i="30" s="1"/>
  <c r="K17" i="30" l="1"/>
  <c r="J672" i="27"/>
  <c r="J673" i="26"/>
  <c r="H673" i="26" s="1"/>
  <c r="S745" i="26" s="1"/>
  <c r="J672" i="26"/>
  <c r="H672" i="26" s="1"/>
  <c r="J673" i="25"/>
  <c r="H672" i="27"/>
  <c r="S744" i="27" s="1"/>
  <c r="S106" i="27" s="1"/>
  <c r="N744" i="25"/>
  <c r="N109" i="25" s="1"/>
  <c r="S744" i="25"/>
  <c r="S115" i="27"/>
  <c r="S712" i="27" s="1"/>
  <c r="M744" i="25"/>
  <c r="F16" i="31" s="1"/>
  <c r="U744" i="25"/>
  <c r="I16" i="31" s="1"/>
  <c r="V744" i="25"/>
  <c r="L744" i="25"/>
  <c r="E16" i="31" s="1"/>
  <c r="P744" i="25"/>
  <c r="G16" i="31" s="1"/>
  <c r="K744" i="25"/>
  <c r="R744" i="25"/>
  <c r="T744" i="25"/>
  <c r="H16" i="31" s="1"/>
  <c r="O744" i="25"/>
  <c r="W672" i="25"/>
  <c r="Q744" i="25"/>
  <c r="N744" i="27"/>
  <c r="L744" i="27"/>
  <c r="U744" i="27"/>
  <c r="Q744" i="27"/>
  <c r="K744" i="27"/>
  <c r="R744" i="27"/>
  <c r="M744" i="27"/>
  <c r="P744" i="27"/>
  <c r="V744" i="27"/>
  <c r="T744" i="27"/>
  <c r="O744" i="27"/>
  <c r="W672" i="27"/>
  <c r="H673" i="27"/>
  <c r="H673" i="25"/>
  <c r="S117" i="27" l="1"/>
  <c r="S104" i="27"/>
  <c r="S144" i="27"/>
  <c r="S119" i="27"/>
  <c r="S143" i="27"/>
  <c r="S718" i="27" s="1"/>
  <c r="S128" i="27"/>
  <c r="S133" i="27"/>
  <c r="S114" i="27"/>
  <c r="S105" i="27"/>
  <c r="S101" i="27"/>
  <c r="S123" i="27"/>
  <c r="S103" i="27"/>
  <c r="S708" i="27" s="1"/>
  <c r="S108" i="27"/>
  <c r="S116" i="27"/>
  <c r="S713" i="27" s="1"/>
  <c r="S107" i="27"/>
  <c r="S744" i="26"/>
  <c r="Q744" i="26"/>
  <c r="Q116" i="26" s="1"/>
  <c r="N744" i="26"/>
  <c r="V744" i="26"/>
  <c r="L744" i="26"/>
  <c r="P744" i="26"/>
  <c r="T744" i="26"/>
  <c r="T105" i="26" s="1"/>
  <c r="R744" i="26"/>
  <c r="R102" i="26" s="1"/>
  <c r="U744" i="26"/>
  <c r="W672" i="26"/>
  <c r="M744" i="26"/>
  <c r="K744" i="26"/>
  <c r="O744" i="26"/>
  <c r="S137" i="27"/>
  <c r="S102" i="27"/>
  <c r="S707" i="27" s="1"/>
  <c r="J744" i="27"/>
  <c r="S109" i="27"/>
  <c r="D16" i="31"/>
  <c r="K16" i="31" s="1"/>
  <c r="J744" i="25"/>
  <c r="N105" i="25"/>
  <c r="N102" i="25"/>
  <c r="N707" i="25" s="1"/>
  <c r="T104" i="25"/>
  <c r="N108" i="25"/>
  <c r="N107" i="25"/>
  <c r="N117" i="25"/>
  <c r="N104" i="25"/>
  <c r="N103" i="25"/>
  <c r="N106" i="25"/>
  <c r="N101" i="25"/>
  <c r="V103" i="25"/>
  <c r="V101" i="25"/>
  <c r="S102" i="25"/>
  <c r="S107" i="25"/>
  <c r="S108" i="25"/>
  <c r="S105" i="25"/>
  <c r="S104" i="25"/>
  <c r="S109" i="25"/>
  <c r="S101" i="25"/>
  <c r="S117" i="25"/>
  <c r="S103" i="25"/>
  <c r="S708" i="25" s="1"/>
  <c r="S106" i="25"/>
  <c r="V106" i="25"/>
  <c r="W673" i="25"/>
  <c r="S745" i="25"/>
  <c r="S138" i="26"/>
  <c r="S120" i="26"/>
  <c r="S129" i="26"/>
  <c r="S124" i="26"/>
  <c r="S134" i="26"/>
  <c r="S710" i="27"/>
  <c r="W673" i="27"/>
  <c r="S745" i="27"/>
  <c r="V109" i="25"/>
  <c r="V105" i="25"/>
  <c r="V102" i="25"/>
  <c r="V707" i="25" s="1"/>
  <c r="J51" i="30" s="1"/>
  <c r="V107" i="25"/>
  <c r="V104" i="25"/>
  <c r="L107" i="25"/>
  <c r="L104" i="25"/>
  <c r="L101" i="25"/>
  <c r="L105" i="25"/>
  <c r="U101" i="25"/>
  <c r="U105" i="25"/>
  <c r="U102" i="25"/>
  <c r="U707" i="25" s="1"/>
  <c r="I51" i="30" s="1"/>
  <c r="U107" i="25"/>
  <c r="U106" i="25"/>
  <c r="L103" i="25"/>
  <c r="L708" i="25" s="1"/>
  <c r="E52" i="30" s="1"/>
  <c r="U109" i="25"/>
  <c r="U108" i="25"/>
  <c r="O104" i="25"/>
  <c r="L106" i="25"/>
  <c r="O108" i="25"/>
  <c r="U103" i="25"/>
  <c r="U708" i="25" s="1"/>
  <c r="I52" i="30" s="1"/>
  <c r="U117" i="25"/>
  <c r="L109" i="25"/>
  <c r="V108" i="25"/>
  <c r="V117" i="25"/>
  <c r="U104" i="25"/>
  <c r="O106" i="25"/>
  <c r="L117" i="25"/>
  <c r="L102" i="25"/>
  <c r="L707" i="25" s="1"/>
  <c r="E51" i="30" s="1"/>
  <c r="L108" i="25"/>
  <c r="R101" i="25"/>
  <c r="R105" i="25"/>
  <c r="R102" i="25"/>
  <c r="R707" i="25" s="1"/>
  <c r="O105" i="25"/>
  <c r="O107" i="25"/>
  <c r="O117" i="25"/>
  <c r="R109" i="25"/>
  <c r="O101" i="25"/>
  <c r="O103" i="25"/>
  <c r="O708" i="25" s="1"/>
  <c r="R104" i="25"/>
  <c r="O102" i="25"/>
  <c r="O109" i="25"/>
  <c r="M109" i="25" s="1"/>
  <c r="K104" i="25"/>
  <c r="K105" i="25"/>
  <c r="K101" i="25"/>
  <c r="K109" i="25"/>
  <c r="K106" i="25"/>
  <c r="K117" i="25"/>
  <c r="K103" i="25"/>
  <c r="K708" i="25" s="1"/>
  <c r="K107" i="25"/>
  <c r="K108" i="25"/>
  <c r="K102" i="25"/>
  <c r="K707" i="25" s="1"/>
  <c r="R117" i="25"/>
  <c r="Q109" i="25"/>
  <c r="Q108" i="25"/>
  <c r="R103" i="25"/>
  <c r="R708" i="25" s="1"/>
  <c r="R108" i="25"/>
  <c r="R106" i="25"/>
  <c r="R107" i="25"/>
  <c r="Q107" i="25"/>
  <c r="Q105" i="25"/>
  <c r="Q102" i="25"/>
  <c r="Q106" i="25"/>
  <c r="Q101" i="25"/>
  <c r="T109" i="25"/>
  <c r="H744" i="25"/>
  <c r="W744" i="25" s="1"/>
  <c r="T107" i="25"/>
  <c r="T101" i="25"/>
  <c r="T105" i="25"/>
  <c r="T103" i="25"/>
  <c r="T708" i="25" s="1"/>
  <c r="H52" i="30" s="1"/>
  <c r="T102" i="25"/>
  <c r="T707" i="25" s="1"/>
  <c r="H51" i="30" s="1"/>
  <c r="T117" i="25"/>
  <c r="T106" i="25"/>
  <c r="T108" i="25"/>
  <c r="Q117" i="25"/>
  <c r="Q103" i="25"/>
  <c r="Q104" i="25"/>
  <c r="V102" i="26"/>
  <c r="V144" i="26"/>
  <c r="V117" i="26"/>
  <c r="V137" i="26"/>
  <c r="V106" i="26"/>
  <c r="V108" i="26"/>
  <c r="V133" i="26"/>
  <c r="V105" i="26"/>
  <c r="V114" i="26"/>
  <c r="V101" i="26"/>
  <c r="V119" i="26"/>
  <c r="V103" i="26"/>
  <c r="V123" i="26"/>
  <c r="V115" i="26"/>
  <c r="V116" i="26"/>
  <c r="V104" i="26"/>
  <c r="V109" i="26"/>
  <c r="V128" i="26"/>
  <c r="V107" i="26"/>
  <c r="Q133" i="27"/>
  <c r="Q143" i="27"/>
  <c r="Q128" i="27"/>
  <c r="Q102" i="27"/>
  <c r="Q109" i="27"/>
  <c r="Q105" i="27"/>
  <c r="Q114" i="27"/>
  <c r="Q103" i="27"/>
  <c r="Q117" i="27"/>
  <c r="Q104" i="27"/>
  <c r="Q108" i="27"/>
  <c r="Q115" i="27"/>
  <c r="Q116" i="27"/>
  <c r="Q119" i="27"/>
  <c r="Q123" i="27"/>
  <c r="Q107" i="27"/>
  <c r="Q106" i="27"/>
  <c r="Q101" i="27"/>
  <c r="Q144" i="27"/>
  <c r="Q137" i="27"/>
  <c r="N119" i="26"/>
  <c r="N115" i="26"/>
  <c r="N101" i="26"/>
  <c r="N105" i="26"/>
  <c r="N117" i="26"/>
  <c r="N133" i="26"/>
  <c r="N107" i="26"/>
  <c r="N116" i="26"/>
  <c r="N128" i="26"/>
  <c r="N123" i="26"/>
  <c r="N104" i="26"/>
  <c r="N144" i="26"/>
  <c r="N137" i="26"/>
  <c r="N102" i="26"/>
  <c r="N114" i="26"/>
  <c r="N106" i="26"/>
  <c r="N108" i="26"/>
  <c r="N103" i="26"/>
  <c r="N109" i="26"/>
  <c r="T103" i="26"/>
  <c r="T708" i="26" s="1"/>
  <c r="T109" i="26"/>
  <c r="T108" i="26"/>
  <c r="T144" i="26"/>
  <c r="Q103" i="26"/>
  <c r="Q105" i="26"/>
  <c r="K745" i="26"/>
  <c r="T745" i="26"/>
  <c r="O745" i="26"/>
  <c r="L745" i="26"/>
  <c r="P745" i="26"/>
  <c r="V745" i="26"/>
  <c r="R745" i="26"/>
  <c r="Q745" i="26"/>
  <c r="U745" i="26"/>
  <c r="M745" i="26"/>
  <c r="N745" i="26"/>
  <c r="K745" i="27"/>
  <c r="L745" i="27"/>
  <c r="O745" i="27"/>
  <c r="R745" i="27"/>
  <c r="Q745" i="27"/>
  <c r="P745" i="27"/>
  <c r="V745" i="27"/>
  <c r="M745" i="27"/>
  <c r="T745" i="27"/>
  <c r="U745" i="27"/>
  <c r="N745" i="27"/>
  <c r="O102" i="27"/>
  <c r="O144" i="27"/>
  <c r="O103" i="27"/>
  <c r="O708" i="27" s="1"/>
  <c r="O101" i="27"/>
  <c r="O128" i="27"/>
  <c r="O116" i="27"/>
  <c r="O713" i="27" s="1"/>
  <c r="O109" i="27"/>
  <c r="O106" i="27"/>
  <c r="O105" i="27"/>
  <c r="O119" i="27"/>
  <c r="O115" i="27"/>
  <c r="O712" i="27" s="1"/>
  <c r="O137" i="27"/>
  <c r="O133" i="27"/>
  <c r="O123" i="27"/>
  <c r="O143" i="27"/>
  <c r="O107" i="27"/>
  <c r="O104" i="27"/>
  <c r="O108" i="27"/>
  <c r="O117" i="27"/>
  <c r="O114" i="27"/>
  <c r="U128" i="27"/>
  <c r="U116" i="27"/>
  <c r="U713" i="27" s="1"/>
  <c r="U114" i="27"/>
  <c r="U109" i="27"/>
  <c r="U106" i="27"/>
  <c r="U133" i="27"/>
  <c r="U103" i="27"/>
  <c r="U708" i="27" s="1"/>
  <c r="U123" i="27"/>
  <c r="U117" i="27"/>
  <c r="U137" i="27"/>
  <c r="U102" i="27"/>
  <c r="U101" i="27"/>
  <c r="U115" i="27"/>
  <c r="U712" i="27" s="1"/>
  <c r="U104" i="27"/>
  <c r="U108" i="27"/>
  <c r="U119" i="27"/>
  <c r="U107" i="27"/>
  <c r="U144" i="27"/>
  <c r="U143" i="27"/>
  <c r="U105" i="27"/>
  <c r="O117" i="26"/>
  <c r="O105" i="26"/>
  <c r="O104" i="26"/>
  <c r="O116" i="26"/>
  <c r="O713" i="26" s="1"/>
  <c r="O101" i="26"/>
  <c r="O107" i="26"/>
  <c r="O109" i="26"/>
  <c r="O102" i="26"/>
  <c r="O106" i="26"/>
  <c r="O114" i="26"/>
  <c r="O115" i="26"/>
  <c r="O712" i="26" s="1"/>
  <c r="O133" i="26"/>
  <c r="O123" i="26"/>
  <c r="O137" i="26"/>
  <c r="O103" i="26"/>
  <c r="O708" i="26" s="1"/>
  <c r="O128" i="26"/>
  <c r="O108" i="26"/>
  <c r="O119" i="26"/>
  <c r="O144" i="26"/>
  <c r="K108" i="26"/>
  <c r="K103" i="26"/>
  <c r="K708" i="26" s="1"/>
  <c r="K106" i="26"/>
  <c r="K137" i="26"/>
  <c r="K114" i="26"/>
  <c r="K115" i="26"/>
  <c r="K117" i="26"/>
  <c r="K123" i="26"/>
  <c r="K144" i="26"/>
  <c r="K104" i="26"/>
  <c r="K116" i="26"/>
  <c r="K102" i="26"/>
  <c r="K109" i="26"/>
  <c r="K107" i="26"/>
  <c r="K133" i="26"/>
  <c r="K119" i="26"/>
  <c r="K101" i="26"/>
  <c r="K128" i="26"/>
  <c r="K105" i="26"/>
  <c r="W673" i="26"/>
  <c r="T117" i="27"/>
  <c r="T115" i="27"/>
  <c r="T712" i="27" s="1"/>
  <c r="T103" i="27"/>
  <c r="T708" i="27" s="1"/>
  <c r="T128" i="27"/>
  <c r="T116" i="27"/>
  <c r="T713" i="27" s="1"/>
  <c r="T106" i="27"/>
  <c r="T137" i="27"/>
  <c r="T105" i="27"/>
  <c r="T119" i="27"/>
  <c r="T143" i="27"/>
  <c r="T144" i="27"/>
  <c r="T123" i="27"/>
  <c r="T109" i="27"/>
  <c r="T101" i="27"/>
  <c r="T114" i="27"/>
  <c r="T102" i="27"/>
  <c r="T108" i="27"/>
  <c r="T107" i="27"/>
  <c r="T133" i="27"/>
  <c r="T104" i="27"/>
  <c r="R102" i="27"/>
  <c r="R143" i="27"/>
  <c r="R104" i="27"/>
  <c r="R137" i="27"/>
  <c r="R133" i="27"/>
  <c r="R108" i="27"/>
  <c r="R115" i="27"/>
  <c r="R712" i="27" s="1"/>
  <c r="R106" i="27"/>
  <c r="R117" i="27"/>
  <c r="R144" i="27"/>
  <c r="R107" i="27"/>
  <c r="R128" i="27"/>
  <c r="R119" i="27"/>
  <c r="R114" i="27"/>
  <c r="R109" i="27"/>
  <c r="R101" i="27"/>
  <c r="R123" i="27"/>
  <c r="R116" i="27"/>
  <c r="R713" i="27" s="1"/>
  <c r="R103" i="27"/>
  <c r="R708" i="27" s="1"/>
  <c r="R105" i="27"/>
  <c r="L144" i="27"/>
  <c r="L108" i="27"/>
  <c r="L133" i="27"/>
  <c r="L105" i="27"/>
  <c r="L128" i="27"/>
  <c r="L107" i="27"/>
  <c r="L103" i="27"/>
  <c r="L708" i="27" s="1"/>
  <c r="L137" i="27"/>
  <c r="L116" i="27"/>
  <c r="L713" i="27" s="1"/>
  <c r="L115" i="27"/>
  <c r="L712" i="27" s="1"/>
  <c r="L123" i="27"/>
  <c r="L119" i="27"/>
  <c r="L106" i="27"/>
  <c r="L143" i="27"/>
  <c r="L109" i="27"/>
  <c r="L114" i="27"/>
  <c r="L117" i="27"/>
  <c r="L101" i="27"/>
  <c r="L104" i="27"/>
  <c r="L102" i="27"/>
  <c r="U105" i="26"/>
  <c r="U137" i="26"/>
  <c r="U144" i="26"/>
  <c r="U104" i="26"/>
  <c r="U101" i="26"/>
  <c r="U128" i="26"/>
  <c r="U123" i="26"/>
  <c r="U133" i="26"/>
  <c r="U116" i="26"/>
  <c r="U713" i="26" s="1"/>
  <c r="U102" i="26"/>
  <c r="U109" i="26"/>
  <c r="U117" i="26"/>
  <c r="U114" i="26"/>
  <c r="U119" i="26"/>
  <c r="U108" i="26"/>
  <c r="U115" i="26"/>
  <c r="U712" i="26" s="1"/>
  <c r="U106" i="26"/>
  <c r="U103" i="26"/>
  <c r="U107" i="26"/>
  <c r="L102" i="26"/>
  <c r="L101" i="26"/>
  <c r="L116" i="26"/>
  <c r="L713" i="26" s="1"/>
  <c r="L133" i="26"/>
  <c r="L144" i="26"/>
  <c r="L123" i="26"/>
  <c r="L115" i="26"/>
  <c r="L712" i="26" s="1"/>
  <c r="L137" i="26"/>
  <c r="L117" i="26"/>
  <c r="L128" i="26"/>
  <c r="L114" i="26"/>
  <c r="L104" i="26"/>
  <c r="L108" i="26"/>
  <c r="L103" i="26"/>
  <c r="L708" i="26" s="1"/>
  <c r="L106" i="26"/>
  <c r="L105" i="26"/>
  <c r="L109" i="26"/>
  <c r="L107" i="26"/>
  <c r="L119" i="26"/>
  <c r="R745" i="25"/>
  <c r="U745" i="25"/>
  <c r="I17" i="31" s="1"/>
  <c r="V745" i="25"/>
  <c r="L745" i="25"/>
  <c r="E17" i="31" s="1"/>
  <c r="Q745" i="25"/>
  <c r="K745" i="25"/>
  <c r="N745" i="25"/>
  <c r="P745" i="25"/>
  <c r="G17" i="31" s="1"/>
  <c r="T745" i="25"/>
  <c r="H17" i="31" s="1"/>
  <c r="M745" i="25"/>
  <c r="F17" i="31" s="1"/>
  <c r="O745" i="25"/>
  <c r="V102" i="27"/>
  <c r="V116" i="27"/>
  <c r="V137" i="27"/>
  <c r="V105" i="27"/>
  <c r="V108" i="27"/>
  <c r="V119" i="27"/>
  <c r="V123" i="27"/>
  <c r="V107" i="27"/>
  <c r="V143" i="27"/>
  <c r="V133" i="27"/>
  <c r="V109" i="27"/>
  <c r="V115" i="27"/>
  <c r="V106" i="27"/>
  <c r="V104" i="27"/>
  <c r="V128" i="27"/>
  <c r="V101" i="27"/>
  <c r="V117" i="27"/>
  <c r="V144" i="27"/>
  <c r="V114" i="27"/>
  <c r="V103" i="27"/>
  <c r="K108" i="27"/>
  <c r="K106" i="27"/>
  <c r="K116" i="27"/>
  <c r="K105" i="27"/>
  <c r="K115" i="27"/>
  <c r="K101" i="27"/>
  <c r="K123" i="27"/>
  <c r="K109" i="27"/>
  <c r="K144" i="27"/>
  <c r="K128" i="27"/>
  <c r="K114" i="27"/>
  <c r="K143" i="27"/>
  <c r="K107" i="27"/>
  <c r="K102" i="27"/>
  <c r="K119" i="27"/>
  <c r="K104" i="27"/>
  <c r="K117" i="27"/>
  <c r="K133" i="27"/>
  <c r="K137" i="27"/>
  <c r="K103" i="27"/>
  <c r="N101" i="27"/>
  <c r="N104" i="27"/>
  <c r="N128" i="27"/>
  <c r="N143" i="27"/>
  <c r="N103" i="27"/>
  <c r="N133" i="27"/>
  <c r="N102" i="27"/>
  <c r="N116" i="27"/>
  <c r="N115" i="27"/>
  <c r="N108" i="27"/>
  <c r="N144" i="27"/>
  <c r="N109" i="27"/>
  <c r="N117" i="27"/>
  <c r="N123" i="27"/>
  <c r="N137" i="27"/>
  <c r="N107" i="27"/>
  <c r="N119" i="27"/>
  <c r="N114" i="27"/>
  <c r="N105" i="27"/>
  <c r="N106" i="27"/>
  <c r="R106" i="26" l="1"/>
  <c r="R109" i="26"/>
  <c r="Q117" i="26"/>
  <c r="Q137" i="26"/>
  <c r="Q108" i="26"/>
  <c r="Q102" i="26"/>
  <c r="Q107" i="26"/>
  <c r="Q144" i="26"/>
  <c r="Q109" i="26"/>
  <c r="Q101" i="26"/>
  <c r="Q104" i="26"/>
  <c r="Q133" i="26"/>
  <c r="Q115" i="26"/>
  <c r="Q123" i="26"/>
  <c r="Q128" i="26"/>
  <c r="Q119" i="26"/>
  <c r="Q106" i="26"/>
  <c r="Q114" i="26"/>
  <c r="R107" i="26"/>
  <c r="T104" i="26"/>
  <c r="T133" i="26"/>
  <c r="R119" i="26"/>
  <c r="R133" i="26"/>
  <c r="T106" i="26"/>
  <c r="T710" i="26" s="1"/>
  <c r="T107" i="26"/>
  <c r="T711" i="26" s="1"/>
  <c r="R115" i="26"/>
  <c r="R712" i="26" s="1"/>
  <c r="R116" i="26"/>
  <c r="R713" i="26" s="1"/>
  <c r="R101" i="26"/>
  <c r="T119" i="26"/>
  <c r="T128" i="26"/>
  <c r="R123" i="26"/>
  <c r="R108" i="26"/>
  <c r="R711" i="26" s="1"/>
  <c r="R103" i="26"/>
  <c r="R708" i="26" s="1"/>
  <c r="R114" i="26"/>
  <c r="T137" i="26"/>
  <c r="T101" i="26"/>
  <c r="T115" i="26"/>
  <c r="T712" i="26" s="1"/>
  <c r="R128" i="26"/>
  <c r="R117" i="26"/>
  <c r="R105" i="26"/>
  <c r="P105" i="26" s="1"/>
  <c r="T102" i="26"/>
  <c r="T709" i="26" s="1"/>
  <c r="T117" i="26"/>
  <c r="T114" i="26"/>
  <c r="R104" i="26"/>
  <c r="R137" i="26"/>
  <c r="T116" i="26"/>
  <c r="T713" i="26" s="1"/>
  <c r="T123" i="26"/>
  <c r="R144" i="26"/>
  <c r="S711" i="27"/>
  <c r="J744" i="26"/>
  <c r="H744" i="26" s="1"/>
  <c r="W744" i="26" s="1"/>
  <c r="S709" i="27"/>
  <c r="S111" i="27"/>
  <c r="S108" i="26"/>
  <c r="S137" i="26"/>
  <c r="S139" i="26" s="1"/>
  <c r="S716" i="26" s="1"/>
  <c r="S107" i="26"/>
  <c r="S101" i="26"/>
  <c r="P101" i="26" s="1"/>
  <c r="S106" i="26"/>
  <c r="S103" i="26"/>
  <c r="S708" i="26" s="1"/>
  <c r="S123" i="26"/>
  <c r="S125" i="26" s="1"/>
  <c r="S105" i="26"/>
  <c r="S133" i="26"/>
  <c r="S135" i="26" s="1"/>
  <c r="S117" i="26"/>
  <c r="S104" i="26"/>
  <c r="S109" i="26"/>
  <c r="S119" i="26"/>
  <c r="S121" i="26" s="1"/>
  <c r="S144" i="26"/>
  <c r="S128" i="26"/>
  <c r="S130" i="26" s="1"/>
  <c r="S114" i="26"/>
  <c r="S115" i="26"/>
  <c r="S712" i="26" s="1"/>
  <c r="S102" i="26"/>
  <c r="P102" i="26" s="1"/>
  <c r="S116" i="26"/>
  <c r="S713" i="26" s="1"/>
  <c r="J745" i="26"/>
  <c r="J745" i="27"/>
  <c r="D17" i="31"/>
  <c r="K17" i="31" s="1"/>
  <c r="J745" i="25"/>
  <c r="D51" i="30"/>
  <c r="D52" i="30"/>
  <c r="M107" i="25"/>
  <c r="N709" i="25"/>
  <c r="M105" i="25"/>
  <c r="V708" i="25"/>
  <c r="J52" i="30" s="1"/>
  <c r="M117" i="25"/>
  <c r="N711" i="25"/>
  <c r="M108" i="25"/>
  <c r="N708" i="25"/>
  <c r="M708" i="25" s="1"/>
  <c r="F52" i="30" s="1"/>
  <c r="M101" i="25"/>
  <c r="N710" i="25"/>
  <c r="M104" i="25"/>
  <c r="M106" i="25"/>
  <c r="N111" i="25"/>
  <c r="N691" i="25" s="1"/>
  <c r="S711" i="25"/>
  <c r="S707" i="25"/>
  <c r="S709" i="25"/>
  <c r="S111" i="25"/>
  <c r="S710" i="25"/>
  <c r="S120" i="27"/>
  <c r="S121" i="27" s="1"/>
  <c r="S138" i="27"/>
  <c r="S139" i="27" s="1"/>
  <c r="S124" i="27"/>
  <c r="S125" i="27" s="1"/>
  <c r="S129" i="27"/>
  <c r="S130" i="27" s="1"/>
  <c r="S134" i="27"/>
  <c r="S135" i="27" s="1"/>
  <c r="S20" i="27"/>
  <c r="S691" i="27"/>
  <c r="S692" i="27"/>
  <c r="V710" i="25"/>
  <c r="J54" i="30" s="1"/>
  <c r="P102" i="25"/>
  <c r="L711" i="25"/>
  <c r="E55" i="30" s="1"/>
  <c r="V709" i="25"/>
  <c r="J53" i="30" s="1"/>
  <c r="L710" i="25"/>
  <c r="E54" i="30" s="1"/>
  <c r="M103" i="25"/>
  <c r="V711" i="25"/>
  <c r="J55" i="30" s="1"/>
  <c r="U709" i="25"/>
  <c r="I53" i="30" s="1"/>
  <c r="U710" i="25"/>
  <c r="I54" i="30" s="1"/>
  <c r="P101" i="25"/>
  <c r="V111" i="25"/>
  <c r="V691" i="25" s="1"/>
  <c r="J35" i="30" s="1"/>
  <c r="L709" i="25"/>
  <c r="E53" i="30" s="1"/>
  <c r="U711" i="25"/>
  <c r="I55" i="30" s="1"/>
  <c r="L111" i="25"/>
  <c r="L691" i="25" s="1"/>
  <c r="E35" i="30" s="1"/>
  <c r="O710" i="25"/>
  <c r="Q707" i="25"/>
  <c r="U111" i="25"/>
  <c r="U20" i="25" s="1"/>
  <c r="P104" i="25"/>
  <c r="P105" i="25"/>
  <c r="R710" i="25"/>
  <c r="P109" i="25"/>
  <c r="J109" i="25" s="1"/>
  <c r="K111" i="25"/>
  <c r="K691" i="25" s="1"/>
  <c r="O709" i="25"/>
  <c r="O707" i="25"/>
  <c r="M707" i="25" s="1"/>
  <c r="F51" i="30" s="1"/>
  <c r="O711" i="25"/>
  <c r="M102" i="25"/>
  <c r="K711" i="25"/>
  <c r="K710" i="25"/>
  <c r="K709" i="25"/>
  <c r="O111" i="25"/>
  <c r="O691" i="25" s="1"/>
  <c r="R709" i="25"/>
  <c r="P106" i="25"/>
  <c r="P117" i="25"/>
  <c r="R111" i="25"/>
  <c r="R691" i="25" s="1"/>
  <c r="M114" i="27"/>
  <c r="K33" i="28"/>
  <c r="M128" i="27"/>
  <c r="P106" i="27"/>
  <c r="P104" i="27"/>
  <c r="P143" i="27"/>
  <c r="P107" i="27"/>
  <c r="P117" i="27"/>
  <c r="P133" i="27"/>
  <c r="P123" i="27"/>
  <c r="P103" i="27"/>
  <c r="P119" i="27"/>
  <c r="P114" i="27"/>
  <c r="P105" i="27"/>
  <c r="P137" i="27"/>
  <c r="P116" i="27"/>
  <c r="P109" i="27"/>
  <c r="P144" i="27"/>
  <c r="P115" i="27"/>
  <c r="P102" i="27"/>
  <c r="P101" i="27"/>
  <c r="P108" i="27"/>
  <c r="P128" i="27"/>
  <c r="P107" i="25"/>
  <c r="R711" i="25"/>
  <c r="Q711" i="25"/>
  <c r="P108" i="25"/>
  <c r="Q708" i="25"/>
  <c r="P103" i="25"/>
  <c r="L711" i="27"/>
  <c r="Q710" i="25"/>
  <c r="T711" i="25"/>
  <c r="H55" i="30" s="1"/>
  <c r="T111" i="25"/>
  <c r="T20" i="25" s="1"/>
  <c r="T710" i="25"/>
  <c r="H54" i="30" s="1"/>
  <c r="T709" i="25"/>
  <c r="H53" i="30" s="1"/>
  <c r="M105" i="27"/>
  <c r="U711" i="26"/>
  <c r="K30" i="28"/>
  <c r="Q709" i="25"/>
  <c r="Q111" i="25"/>
  <c r="M144" i="27"/>
  <c r="M109" i="27"/>
  <c r="M108" i="27"/>
  <c r="K31" i="28"/>
  <c r="H744" i="27"/>
  <c r="W744" i="27" s="1"/>
  <c r="U711" i="27"/>
  <c r="M106" i="27"/>
  <c r="K42" i="28"/>
  <c r="T710" i="27"/>
  <c r="U710" i="27"/>
  <c r="L111" i="27"/>
  <c r="L691" i="27" s="1"/>
  <c r="R111" i="27"/>
  <c r="R20" i="27" s="1"/>
  <c r="M117" i="27"/>
  <c r="R711" i="27"/>
  <c r="V711" i="27"/>
  <c r="T707" i="27"/>
  <c r="T709" i="27"/>
  <c r="K111" i="26"/>
  <c r="O111" i="26"/>
  <c r="O718" i="27"/>
  <c r="O111" i="27"/>
  <c r="G33" i="28"/>
  <c r="N124" i="27"/>
  <c r="N125" i="27" s="1"/>
  <c r="N138" i="27"/>
  <c r="N139" i="27" s="1"/>
  <c r="N129" i="27"/>
  <c r="N134" i="27"/>
  <c r="N135" i="27" s="1"/>
  <c r="N120" i="27"/>
  <c r="N121" i="27" s="1"/>
  <c r="V138" i="27"/>
  <c r="V120" i="27"/>
  <c r="V129" i="27"/>
  <c r="V124" i="27"/>
  <c r="I124" i="27" s="1"/>
  <c r="V134" i="27"/>
  <c r="O138" i="27"/>
  <c r="O139" i="27" s="1"/>
  <c r="O129" i="27"/>
  <c r="O130" i="27" s="1"/>
  <c r="O120" i="27"/>
  <c r="O121" i="27" s="1"/>
  <c r="O124" i="27"/>
  <c r="O125" i="27" s="1"/>
  <c r="O134" i="27"/>
  <c r="O135" i="27" s="1"/>
  <c r="V120" i="26"/>
  <c r="V129" i="26"/>
  <c r="V124" i="26"/>
  <c r="I124" i="26" s="1"/>
  <c r="V138" i="26"/>
  <c r="V134" i="26"/>
  <c r="T129" i="26"/>
  <c r="T130" i="26" s="1"/>
  <c r="T134" i="26"/>
  <c r="T135" i="26" s="1"/>
  <c r="T138" i="26"/>
  <c r="T139" i="26" s="1"/>
  <c r="T716" i="26" s="1"/>
  <c r="T124" i="26"/>
  <c r="T125" i="26" s="1"/>
  <c r="T120" i="26"/>
  <c r="T121" i="26" s="1"/>
  <c r="Q707" i="26"/>
  <c r="Q709" i="26"/>
  <c r="M103" i="26"/>
  <c r="N708" i="26"/>
  <c r="M708" i="26" s="1"/>
  <c r="N709" i="26"/>
  <c r="M102" i="26"/>
  <c r="N707" i="26"/>
  <c r="M123" i="26"/>
  <c r="M133" i="26"/>
  <c r="N111" i="26"/>
  <c r="M101" i="26"/>
  <c r="R707" i="26"/>
  <c r="Q712" i="27"/>
  <c r="P712" i="27" s="1"/>
  <c r="Q708" i="27"/>
  <c r="P708" i="27" s="1"/>
  <c r="Q707" i="27"/>
  <c r="Q709" i="27"/>
  <c r="V712" i="26"/>
  <c r="G42" i="28"/>
  <c r="M107" i="27"/>
  <c r="N711" i="27"/>
  <c r="M101" i="27"/>
  <c r="N111" i="27"/>
  <c r="L111" i="26"/>
  <c r="K710" i="27"/>
  <c r="R710" i="27"/>
  <c r="K709" i="26"/>
  <c r="K707" i="26"/>
  <c r="O709" i="26"/>
  <c r="O707" i="26"/>
  <c r="U124" i="27"/>
  <c r="U125" i="27" s="1"/>
  <c r="U120" i="27"/>
  <c r="U121" i="27" s="1"/>
  <c r="U138" i="27"/>
  <c r="U139" i="27" s="1"/>
  <c r="U129" i="27"/>
  <c r="U130" i="27" s="1"/>
  <c r="U134" i="27"/>
  <c r="U135" i="27" s="1"/>
  <c r="L120" i="27"/>
  <c r="L121" i="27" s="1"/>
  <c r="L124" i="27"/>
  <c r="L125" i="27" s="1"/>
  <c r="L138" i="27"/>
  <c r="L139" i="27" s="1"/>
  <c r="L716" i="27" s="1"/>
  <c r="L134" i="27"/>
  <c r="L135" i="27" s="1"/>
  <c r="L129" i="27"/>
  <c r="L130" i="27" s="1"/>
  <c r="U120" i="26"/>
  <c r="U121" i="26" s="1"/>
  <c r="U129" i="26"/>
  <c r="U130" i="26" s="1"/>
  <c r="U124" i="26"/>
  <c r="U125" i="26" s="1"/>
  <c r="U138" i="26"/>
  <c r="U139" i="26" s="1"/>
  <c r="U134" i="26"/>
  <c r="U135" i="26" s="1"/>
  <c r="K120" i="26"/>
  <c r="K134" i="26"/>
  <c r="K135" i="26" s="1"/>
  <c r="K124" i="26"/>
  <c r="K125" i="26" s="1"/>
  <c r="K138" i="26"/>
  <c r="K129" i="26"/>
  <c r="K130" i="26" s="1"/>
  <c r="Q713" i="26"/>
  <c r="M108" i="26"/>
  <c r="M137" i="26"/>
  <c r="M128" i="26"/>
  <c r="M117" i="26"/>
  <c r="N712" i="26"/>
  <c r="M712" i="26" s="1"/>
  <c r="M115" i="26"/>
  <c r="Q111" i="27"/>
  <c r="G34" i="28"/>
  <c r="V111" i="26"/>
  <c r="N708" i="27"/>
  <c r="M708" i="27" s="1"/>
  <c r="M103" i="27"/>
  <c r="K707" i="27"/>
  <c r="K709" i="27"/>
  <c r="L718" i="27"/>
  <c r="N713" i="27"/>
  <c r="M713" i="27" s="1"/>
  <c r="M116" i="27"/>
  <c r="K708" i="27"/>
  <c r="L707" i="26"/>
  <c r="L709" i="26"/>
  <c r="M123" i="27"/>
  <c r="N707" i="27"/>
  <c r="M102" i="27"/>
  <c r="N709" i="27"/>
  <c r="K712" i="27"/>
  <c r="V713" i="27"/>
  <c r="U710" i="26"/>
  <c r="L707" i="27"/>
  <c r="L709" i="27"/>
  <c r="R718" i="27"/>
  <c r="T711" i="27"/>
  <c r="T111" i="27"/>
  <c r="K713" i="26"/>
  <c r="U111" i="27"/>
  <c r="O710" i="27"/>
  <c r="T134" i="27"/>
  <c r="T135" i="27" s="1"/>
  <c r="T129" i="27"/>
  <c r="T130" i="27" s="1"/>
  <c r="T124" i="27"/>
  <c r="T125" i="27" s="1"/>
  <c r="T120" i="27"/>
  <c r="T121" i="27" s="1"/>
  <c r="T138" i="27"/>
  <c r="T139" i="27" s="1"/>
  <c r="T716" i="27" s="1"/>
  <c r="Q124" i="27"/>
  <c r="Q138" i="27"/>
  <c r="Q134" i="27"/>
  <c r="Q129" i="27"/>
  <c r="Q120" i="27"/>
  <c r="K129" i="27"/>
  <c r="K124" i="27"/>
  <c r="K134" i="27"/>
  <c r="K135" i="27" s="1"/>
  <c r="K138" i="27"/>
  <c r="K120" i="27"/>
  <c r="K121" i="27" s="1"/>
  <c r="Q120" i="26"/>
  <c r="Q129" i="26"/>
  <c r="Q124" i="26"/>
  <c r="Q134" i="26"/>
  <c r="Q138" i="26"/>
  <c r="L138" i="26"/>
  <c r="L139" i="26" s="1"/>
  <c r="L120" i="26"/>
  <c r="L121" i="26" s="1"/>
  <c r="L134" i="26"/>
  <c r="L135" i="26" s="1"/>
  <c r="L129" i="26"/>
  <c r="L130" i="26" s="1"/>
  <c r="L124" i="26"/>
  <c r="L125" i="26" s="1"/>
  <c r="M106" i="26"/>
  <c r="M144" i="26"/>
  <c r="N713" i="26"/>
  <c r="M713" i="26" s="1"/>
  <c r="M116" i="26"/>
  <c r="M105" i="26"/>
  <c r="M119" i="26"/>
  <c r="Q710" i="27"/>
  <c r="Q718" i="27"/>
  <c r="V710" i="26"/>
  <c r="G31" i="28"/>
  <c r="V707" i="26"/>
  <c r="V709" i="26"/>
  <c r="K713" i="27"/>
  <c r="M137" i="27"/>
  <c r="N718" i="27"/>
  <c r="M143" i="27"/>
  <c r="K711" i="27"/>
  <c r="K111" i="27"/>
  <c r="V710" i="27"/>
  <c r="L710" i="26"/>
  <c r="U111" i="26"/>
  <c r="M119" i="27"/>
  <c r="N712" i="27"/>
  <c r="M712" i="27" s="1"/>
  <c r="M115" i="27"/>
  <c r="M133" i="27"/>
  <c r="M104" i="27"/>
  <c r="N710" i="27"/>
  <c r="K718" i="27"/>
  <c r="V708" i="27"/>
  <c r="V111" i="27"/>
  <c r="V712" i="27"/>
  <c r="V718" i="27"/>
  <c r="V707" i="27"/>
  <c r="V709" i="27"/>
  <c r="L711" i="26"/>
  <c r="U708" i="26"/>
  <c r="U707" i="26"/>
  <c r="U709" i="26"/>
  <c r="L710" i="27"/>
  <c r="R709" i="27"/>
  <c r="R707" i="27"/>
  <c r="T718" i="27"/>
  <c r="K711" i="26"/>
  <c r="K710" i="26"/>
  <c r="K712" i="26"/>
  <c r="O711" i="26"/>
  <c r="O710" i="26"/>
  <c r="U718" i="27"/>
  <c r="U707" i="27"/>
  <c r="U709" i="27"/>
  <c r="O711" i="27"/>
  <c r="O709" i="27"/>
  <c r="O707" i="27"/>
  <c r="R138" i="27"/>
  <c r="R139" i="27" s="1"/>
  <c r="R129" i="27"/>
  <c r="R130" i="27" s="1"/>
  <c r="R134" i="27"/>
  <c r="R135" i="27" s="1"/>
  <c r="R124" i="27"/>
  <c r="R125" i="27" s="1"/>
  <c r="R120" i="27"/>
  <c r="R121" i="27" s="1"/>
  <c r="N129" i="26"/>
  <c r="N138" i="26"/>
  <c r="N120" i="26"/>
  <c r="N124" i="26"/>
  <c r="N125" i="26" s="1"/>
  <c r="N134" i="26"/>
  <c r="R138" i="26"/>
  <c r="R129" i="26"/>
  <c r="R130" i="26" s="1"/>
  <c r="R124" i="26"/>
  <c r="R134" i="26"/>
  <c r="R120" i="26"/>
  <c r="R121" i="26" s="1"/>
  <c r="O129" i="26"/>
  <c r="O130" i="26" s="1"/>
  <c r="O120" i="26"/>
  <c r="O121" i="26" s="1"/>
  <c r="O124" i="26"/>
  <c r="O125" i="26" s="1"/>
  <c r="O134" i="26"/>
  <c r="O135" i="26" s="1"/>
  <c r="O138" i="26"/>
  <c r="O139" i="26" s="1"/>
  <c r="Q708" i="26"/>
  <c r="Q712" i="26"/>
  <c r="M109" i="26"/>
  <c r="M114" i="26"/>
  <c r="M104" i="26"/>
  <c r="N710" i="26"/>
  <c r="M107" i="26"/>
  <c r="N711" i="26"/>
  <c r="Q711" i="27"/>
  <c r="Q713" i="27"/>
  <c r="P713" i="27" s="1"/>
  <c r="K34" i="28"/>
  <c r="V711" i="26"/>
  <c r="V713" i="26"/>
  <c r="V708" i="26"/>
  <c r="G30" i="28"/>
  <c r="Q711" i="26" l="1"/>
  <c r="R710" i="26"/>
  <c r="R135" i="26"/>
  <c r="Q710" i="26"/>
  <c r="P106" i="26"/>
  <c r="W106" i="26" s="1"/>
  <c r="P144" i="26"/>
  <c r="P114" i="26"/>
  <c r="P109" i="26"/>
  <c r="J109" i="26" s="1"/>
  <c r="Q111" i="26"/>
  <c r="Q20" i="26" s="1"/>
  <c r="T111" i="26"/>
  <c r="T707" i="26"/>
  <c r="R111" i="26"/>
  <c r="R692" i="26" s="1"/>
  <c r="R709" i="26"/>
  <c r="P108" i="26"/>
  <c r="J108" i="26" s="1"/>
  <c r="P117" i="26"/>
  <c r="P712" i="26"/>
  <c r="J712" i="26" s="1"/>
  <c r="H712" i="26" s="1"/>
  <c r="S784" i="26" s="1"/>
  <c r="J144" i="27"/>
  <c r="P137" i="26"/>
  <c r="P128" i="26"/>
  <c r="W128" i="26" s="1"/>
  <c r="S710" i="26"/>
  <c r="P710" i="26" s="1"/>
  <c r="P119" i="26"/>
  <c r="J119" i="26" s="1"/>
  <c r="P123" i="26"/>
  <c r="W123" i="26" s="1"/>
  <c r="S714" i="26"/>
  <c r="J114" i="26"/>
  <c r="P115" i="26"/>
  <c r="J115" i="26" s="1"/>
  <c r="P708" i="26"/>
  <c r="J708" i="26" s="1"/>
  <c r="H708" i="26" s="1"/>
  <c r="S780" i="26" s="1"/>
  <c r="S340" i="26" s="1"/>
  <c r="P133" i="26"/>
  <c r="J133" i="26" s="1"/>
  <c r="P713" i="26"/>
  <c r="J713" i="26" s="1"/>
  <c r="H713" i="26" s="1"/>
  <c r="S785" i="26" s="1"/>
  <c r="P103" i="26"/>
  <c r="W103" i="26" s="1"/>
  <c r="S711" i="26"/>
  <c r="P711" i="26" s="1"/>
  <c r="P116" i="26"/>
  <c r="J116" i="26" s="1"/>
  <c r="S715" i="26"/>
  <c r="P104" i="26"/>
  <c r="J104" i="26" s="1"/>
  <c r="S111" i="26"/>
  <c r="S709" i="26"/>
  <c r="S707" i="26"/>
  <c r="P707" i="26" s="1"/>
  <c r="P107" i="26"/>
  <c r="J107" i="26" s="1"/>
  <c r="J133" i="27"/>
  <c r="J713" i="27"/>
  <c r="H713" i="27" s="1"/>
  <c r="S785" i="27" s="1"/>
  <c r="J708" i="27"/>
  <c r="H708" i="27" s="1"/>
  <c r="J712" i="27"/>
  <c r="J123" i="27"/>
  <c r="J128" i="27"/>
  <c r="J143" i="27"/>
  <c r="J144" i="26"/>
  <c r="J137" i="27"/>
  <c r="J137" i="26"/>
  <c r="J102" i="27"/>
  <c r="J102" i="26"/>
  <c r="J106" i="27"/>
  <c r="J119" i="27"/>
  <c r="J101" i="27"/>
  <c r="J117" i="26"/>
  <c r="J105" i="26"/>
  <c r="J101" i="26"/>
  <c r="J103" i="27"/>
  <c r="J115" i="27"/>
  <c r="J102" i="25"/>
  <c r="J105" i="27"/>
  <c r="J114" i="27"/>
  <c r="J108" i="27"/>
  <c r="J109" i="27"/>
  <c r="J105" i="25"/>
  <c r="J117" i="25"/>
  <c r="J116" i="27"/>
  <c r="J117" i="27"/>
  <c r="J104" i="27"/>
  <c r="J107" i="27"/>
  <c r="J106" i="25"/>
  <c r="J104" i="25"/>
  <c r="J103" i="25"/>
  <c r="J101" i="25"/>
  <c r="J107" i="25"/>
  <c r="J108" i="25"/>
  <c r="D53" i="30"/>
  <c r="D54" i="30"/>
  <c r="D55" i="30"/>
  <c r="D35" i="30"/>
  <c r="M711" i="25"/>
  <c r="F55" i="30" s="1"/>
  <c r="M709" i="25"/>
  <c r="F53" i="30" s="1"/>
  <c r="W105" i="25"/>
  <c r="W117" i="25"/>
  <c r="M710" i="25"/>
  <c r="F54" i="30" s="1"/>
  <c r="W104" i="25"/>
  <c r="N692" i="25"/>
  <c r="N20" i="25"/>
  <c r="P707" i="25"/>
  <c r="G51" i="30" s="1"/>
  <c r="K51" i="30" s="1"/>
  <c r="S20" i="25"/>
  <c r="S692" i="25"/>
  <c r="S691" i="25"/>
  <c r="S715" i="27"/>
  <c r="S716" i="27"/>
  <c r="S714" i="27"/>
  <c r="W102" i="25"/>
  <c r="I111" i="25"/>
  <c r="L692" i="25"/>
  <c r="E36" i="30" s="1"/>
  <c r="W107" i="25"/>
  <c r="V139" i="26"/>
  <c r="V716" i="26" s="1"/>
  <c r="P111" i="27"/>
  <c r="L692" i="27"/>
  <c r="W103" i="25"/>
  <c r="W105" i="27"/>
  <c r="W114" i="27"/>
  <c r="K692" i="25"/>
  <c r="K20" i="25"/>
  <c r="V20" i="25"/>
  <c r="V692" i="25"/>
  <c r="J36" i="30" s="1"/>
  <c r="W109" i="25"/>
  <c r="M111" i="25"/>
  <c r="R20" i="25"/>
  <c r="R692" i="25"/>
  <c r="W106" i="25"/>
  <c r="M691" i="25"/>
  <c r="F35" i="30" s="1"/>
  <c r="L20" i="25"/>
  <c r="U691" i="25"/>
  <c r="I35" i="30" s="1"/>
  <c r="U692" i="25"/>
  <c r="I36" i="30" s="1"/>
  <c r="W101" i="25"/>
  <c r="O692" i="25"/>
  <c r="O20" i="25"/>
  <c r="H745" i="25"/>
  <c r="W745" i="25" s="1"/>
  <c r="P711" i="27"/>
  <c r="P710" i="27"/>
  <c r="P711" i="25"/>
  <c r="G55" i="30" s="1"/>
  <c r="P124" i="27"/>
  <c r="Q135" i="27"/>
  <c r="P135" i="27" s="1"/>
  <c r="P134" i="27"/>
  <c r="P709" i="27"/>
  <c r="P707" i="27"/>
  <c r="Q139" i="27"/>
  <c r="P139" i="27" s="1"/>
  <c r="P138" i="27"/>
  <c r="P120" i="27"/>
  <c r="P718" i="27"/>
  <c r="P129" i="27"/>
  <c r="W108" i="25"/>
  <c r="Q135" i="26"/>
  <c r="P135" i="26" s="1"/>
  <c r="P134" i="26"/>
  <c r="Q139" i="26"/>
  <c r="Q716" i="26" s="1"/>
  <c r="P138" i="26"/>
  <c r="Q125" i="26"/>
  <c r="P124" i="26"/>
  <c r="P129" i="26"/>
  <c r="Q121" i="26"/>
  <c r="P121" i="26" s="1"/>
  <c r="P120" i="26"/>
  <c r="P709" i="25"/>
  <c r="G53" i="30" s="1"/>
  <c r="P708" i="25"/>
  <c r="J708" i="25" s="1"/>
  <c r="P710" i="25"/>
  <c r="G54" i="30" s="1"/>
  <c r="Q691" i="25"/>
  <c r="P111" i="25"/>
  <c r="T691" i="25"/>
  <c r="H35" i="30" s="1"/>
  <c r="Q692" i="25"/>
  <c r="T692" i="25"/>
  <c r="H36" i="30" s="1"/>
  <c r="W123" i="27"/>
  <c r="M707" i="27"/>
  <c r="W128" i="27"/>
  <c r="M710" i="26"/>
  <c r="M121" i="27"/>
  <c r="W144" i="27"/>
  <c r="V125" i="27"/>
  <c r="V135" i="26"/>
  <c r="Q20" i="25"/>
  <c r="L20" i="27"/>
  <c r="M710" i="27"/>
  <c r="W117" i="26"/>
  <c r="W144" i="26"/>
  <c r="H745" i="26"/>
  <c r="W745" i="26" s="1"/>
  <c r="V121" i="26"/>
  <c r="G32" i="28"/>
  <c r="R692" i="27"/>
  <c r="W108" i="26"/>
  <c r="W102" i="26"/>
  <c r="G28" i="28"/>
  <c r="V125" i="26"/>
  <c r="U715" i="26"/>
  <c r="U714" i="26"/>
  <c r="K29" i="28"/>
  <c r="W108" i="27"/>
  <c r="M120" i="26"/>
  <c r="M711" i="26"/>
  <c r="T714" i="26"/>
  <c r="W101" i="27"/>
  <c r="L714" i="27"/>
  <c r="W143" i="27"/>
  <c r="W103" i="27"/>
  <c r="T715" i="27"/>
  <c r="W102" i="27"/>
  <c r="V139" i="27"/>
  <c r="V716" i="27" s="1"/>
  <c r="R691" i="27"/>
  <c r="M135" i="27"/>
  <c r="V121" i="27"/>
  <c r="W137" i="27"/>
  <c r="R714" i="27"/>
  <c r="W119" i="27"/>
  <c r="M718" i="27"/>
  <c r="V135" i="27"/>
  <c r="I139" i="27"/>
  <c r="L714" i="26"/>
  <c r="T715" i="26"/>
  <c r="W101" i="26"/>
  <c r="U716" i="27"/>
  <c r="O714" i="26"/>
  <c r="M125" i="26"/>
  <c r="U716" i="26"/>
  <c r="O716" i="27"/>
  <c r="R716" i="27"/>
  <c r="O716" i="26"/>
  <c r="L716" i="26"/>
  <c r="T691" i="26"/>
  <c r="T692" i="26"/>
  <c r="T20" i="26"/>
  <c r="O715" i="26"/>
  <c r="R715" i="26"/>
  <c r="K692" i="27"/>
  <c r="K20" i="27"/>
  <c r="K691" i="27"/>
  <c r="G27" i="28"/>
  <c r="T714" i="27"/>
  <c r="U20" i="27"/>
  <c r="U691" i="27"/>
  <c r="U692" i="27"/>
  <c r="M709" i="27"/>
  <c r="U714" i="27"/>
  <c r="W105" i="26"/>
  <c r="K32" i="28"/>
  <c r="N691" i="27"/>
  <c r="N20" i="27"/>
  <c r="M111" i="27"/>
  <c r="N692" i="27"/>
  <c r="M134" i="27"/>
  <c r="W114" i="26"/>
  <c r="M138" i="26"/>
  <c r="R715" i="27"/>
  <c r="W104" i="26"/>
  <c r="L715" i="26"/>
  <c r="U20" i="26"/>
  <c r="U692" i="26"/>
  <c r="U691" i="26"/>
  <c r="W107" i="27"/>
  <c r="W117" i="27"/>
  <c r="N121" i="26"/>
  <c r="K130" i="27"/>
  <c r="K27" i="28"/>
  <c r="Q20" i="27"/>
  <c r="P20" i="27" s="1"/>
  <c r="Q692" i="27"/>
  <c r="Q691" i="27"/>
  <c r="N139" i="26"/>
  <c r="U715" i="27"/>
  <c r="W137" i="26"/>
  <c r="W106" i="27"/>
  <c r="I135" i="26"/>
  <c r="W115" i="27"/>
  <c r="M709" i="26"/>
  <c r="V130" i="26"/>
  <c r="I135" i="27"/>
  <c r="M129" i="27"/>
  <c r="N130" i="27"/>
  <c r="O20" i="26"/>
  <c r="O692" i="26"/>
  <c r="O691" i="26"/>
  <c r="K692" i="26"/>
  <c r="K20" i="26"/>
  <c r="K691" i="26"/>
  <c r="K28" i="28"/>
  <c r="R139" i="26"/>
  <c r="M134" i="26"/>
  <c r="M129" i="26"/>
  <c r="N130" i="26"/>
  <c r="I111" i="27"/>
  <c r="W133" i="27"/>
  <c r="W116" i="27"/>
  <c r="Q130" i="26"/>
  <c r="K715" i="26"/>
  <c r="T691" i="27"/>
  <c r="T692" i="27"/>
  <c r="T20" i="27"/>
  <c r="V20" i="26"/>
  <c r="V692" i="26"/>
  <c r="V691" i="26"/>
  <c r="Q121" i="27"/>
  <c r="P121" i="27" s="1"/>
  <c r="K139" i="26"/>
  <c r="W104" i="27"/>
  <c r="L692" i="26"/>
  <c r="L20" i="26"/>
  <c r="L691" i="26"/>
  <c r="M711" i="27"/>
  <c r="M111" i="26"/>
  <c r="N691" i="26"/>
  <c r="N20" i="26"/>
  <c r="N692" i="26"/>
  <c r="O714" i="27"/>
  <c r="H745" i="27"/>
  <c r="W745" i="27" s="1"/>
  <c r="M138" i="27"/>
  <c r="I139" i="26"/>
  <c r="M124" i="26"/>
  <c r="V691" i="27"/>
  <c r="V692" i="27"/>
  <c r="V20" i="27"/>
  <c r="W109" i="27"/>
  <c r="N716" i="27"/>
  <c r="M139" i="27"/>
  <c r="G29" i="28"/>
  <c r="K26" i="28"/>
  <c r="Q130" i="27"/>
  <c r="P130" i="27" s="1"/>
  <c r="H712" i="27"/>
  <c r="S784" i="27" s="1"/>
  <c r="K139" i="27"/>
  <c r="N714" i="27"/>
  <c r="M125" i="27"/>
  <c r="G26" i="28"/>
  <c r="I111" i="26"/>
  <c r="L715" i="27"/>
  <c r="K121" i="26"/>
  <c r="K125" i="27"/>
  <c r="K714" i="27" s="1"/>
  <c r="Q125" i="27"/>
  <c r="P125" i="27" s="1"/>
  <c r="R125" i="26"/>
  <c r="N135" i="26"/>
  <c r="M135" i="26" s="1"/>
  <c r="M707" i="26"/>
  <c r="O715" i="27"/>
  <c r="V130" i="27"/>
  <c r="M120" i="27"/>
  <c r="M124" i="27"/>
  <c r="O691" i="27"/>
  <c r="O692" i="27"/>
  <c r="O20" i="27"/>
  <c r="J106" i="26" l="1"/>
  <c r="H31" i="28" s="1"/>
  <c r="I31" i="28" s="1"/>
  <c r="K53" i="30"/>
  <c r="P709" i="26"/>
  <c r="K54" i="30"/>
  <c r="K55" i="30"/>
  <c r="W109" i="26"/>
  <c r="Q692" i="26"/>
  <c r="Q691" i="26"/>
  <c r="R691" i="26"/>
  <c r="R20" i="26"/>
  <c r="P111" i="26"/>
  <c r="J111" i="26" s="1"/>
  <c r="W133" i="26"/>
  <c r="J128" i="26"/>
  <c r="J111" i="27"/>
  <c r="W119" i="26"/>
  <c r="J103" i="26"/>
  <c r="L28" i="28" s="1"/>
  <c r="M28" i="28" s="1"/>
  <c r="J123" i="26"/>
  <c r="J138" i="26"/>
  <c r="W115" i="26"/>
  <c r="J707" i="26"/>
  <c r="H707" i="26" s="1"/>
  <c r="W107" i="26"/>
  <c r="W116" i="26"/>
  <c r="S692" i="26"/>
  <c r="S20" i="26"/>
  <c r="S691" i="26"/>
  <c r="J709" i="26"/>
  <c r="H709" i="26" s="1"/>
  <c r="J710" i="26"/>
  <c r="H710" i="26" s="1"/>
  <c r="J129" i="26"/>
  <c r="J711" i="26"/>
  <c r="H711" i="26" s="1"/>
  <c r="J709" i="27"/>
  <c r="H709" i="27" s="1"/>
  <c r="J707" i="27"/>
  <c r="H707" i="27" s="1"/>
  <c r="J710" i="27"/>
  <c r="H710" i="27" s="1"/>
  <c r="J718" i="27"/>
  <c r="H718" i="27" s="1"/>
  <c r="J711" i="27"/>
  <c r="H711" i="27" s="1"/>
  <c r="J135" i="27"/>
  <c r="J124" i="27"/>
  <c r="J125" i="27"/>
  <c r="J139" i="27"/>
  <c r="J138" i="27"/>
  <c r="J129" i="27"/>
  <c r="J135" i="26"/>
  <c r="J134" i="27"/>
  <c r="J134" i="26"/>
  <c r="J124" i="26"/>
  <c r="J120" i="27"/>
  <c r="J120" i="26"/>
  <c r="J121" i="27"/>
  <c r="J111" i="25"/>
  <c r="J707" i="25"/>
  <c r="H707" i="25" s="1"/>
  <c r="O779" i="25" s="1"/>
  <c r="J711" i="25"/>
  <c r="H711" i="25" s="1"/>
  <c r="D36" i="30"/>
  <c r="J710" i="25"/>
  <c r="H710" i="25" s="1"/>
  <c r="J709" i="25"/>
  <c r="H709" i="25" s="1"/>
  <c r="M20" i="25"/>
  <c r="M692" i="25"/>
  <c r="F36" i="30" s="1"/>
  <c r="H32" i="28"/>
  <c r="I32" i="28" s="1"/>
  <c r="H708" i="25"/>
  <c r="V780" i="25" s="1"/>
  <c r="J52" i="31" s="1"/>
  <c r="G52" i="30"/>
  <c r="K52" i="30" s="1"/>
  <c r="P691" i="25"/>
  <c r="G35" i="30" s="1"/>
  <c r="K35" i="30" s="1"/>
  <c r="S367" i="27"/>
  <c r="S353" i="27"/>
  <c r="W708" i="27"/>
  <c r="S780" i="27"/>
  <c r="S340" i="27" s="1"/>
  <c r="S367" i="26"/>
  <c r="S353" i="26"/>
  <c r="P692" i="25"/>
  <c r="G36" i="30" s="1"/>
  <c r="Q714" i="26"/>
  <c r="P691" i="27"/>
  <c r="P692" i="27"/>
  <c r="L30" i="28"/>
  <c r="M30" i="28" s="1"/>
  <c r="Q716" i="27"/>
  <c r="P716" i="27" s="1"/>
  <c r="W135" i="26"/>
  <c r="W120" i="27"/>
  <c r="P125" i="26"/>
  <c r="W125" i="26" s="1"/>
  <c r="P139" i="26"/>
  <c r="P130" i="26"/>
  <c r="P20" i="25"/>
  <c r="H42" i="28"/>
  <c r="N42" i="28" s="1"/>
  <c r="H33" i="28"/>
  <c r="I33" i="28" s="1"/>
  <c r="W111" i="25"/>
  <c r="M714" i="27"/>
  <c r="L32" i="28"/>
  <c r="M32" i="28" s="1"/>
  <c r="L33" i="28"/>
  <c r="M33" i="28" s="1"/>
  <c r="H26" i="28"/>
  <c r="I26" i="28" s="1"/>
  <c r="H30" i="28"/>
  <c r="I30" i="28" s="1"/>
  <c r="H29" i="28"/>
  <c r="I29" i="28" s="1"/>
  <c r="V714" i="26"/>
  <c r="W120" i="26"/>
  <c r="M20" i="26"/>
  <c r="M716" i="27"/>
  <c r="M692" i="26"/>
  <c r="L27" i="28"/>
  <c r="M27" i="28" s="1"/>
  <c r="L26" i="28"/>
  <c r="M26" i="28" s="1"/>
  <c r="V714" i="27"/>
  <c r="W138" i="26"/>
  <c r="L42" i="28"/>
  <c r="L29" i="28"/>
  <c r="M29" i="28" s="1"/>
  <c r="G36" i="28"/>
  <c r="W135" i="27"/>
  <c r="H27" i="28"/>
  <c r="I27" i="28" s="1"/>
  <c r="W134" i="27"/>
  <c r="W138" i="27"/>
  <c r="W129" i="27"/>
  <c r="W134" i="26"/>
  <c r="M691" i="26"/>
  <c r="W124" i="26"/>
  <c r="W129" i="26"/>
  <c r="W713" i="26"/>
  <c r="N785" i="26"/>
  <c r="P785" i="26"/>
  <c r="V785" i="26"/>
  <c r="R785" i="26"/>
  <c r="U785" i="26"/>
  <c r="L785" i="26"/>
  <c r="K785" i="26"/>
  <c r="T785" i="26"/>
  <c r="M785" i="26"/>
  <c r="Q785" i="26"/>
  <c r="O785" i="26"/>
  <c r="T784" i="27"/>
  <c r="K784" i="27"/>
  <c r="O784" i="27"/>
  <c r="Q784" i="27"/>
  <c r="N784" i="27"/>
  <c r="U784" i="27"/>
  <c r="M784" i="27"/>
  <c r="P784" i="27"/>
  <c r="L784" i="27"/>
  <c r="V784" i="27"/>
  <c r="R784" i="27"/>
  <c r="W712" i="27"/>
  <c r="W713" i="27"/>
  <c r="P785" i="27"/>
  <c r="V785" i="27"/>
  <c r="O785" i="27"/>
  <c r="R785" i="27"/>
  <c r="Q785" i="27"/>
  <c r="N785" i="27"/>
  <c r="M785" i="27"/>
  <c r="T785" i="27"/>
  <c r="L785" i="27"/>
  <c r="K785" i="27"/>
  <c r="U785" i="27"/>
  <c r="K714" i="26"/>
  <c r="H34" i="28"/>
  <c r="L34" i="28"/>
  <c r="M34" i="28" s="1"/>
  <c r="K716" i="26"/>
  <c r="Q714" i="27"/>
  <c r="P714" i="27" s="1"/>
  <c r="W111" i="26"/>
  <c r="V715" i="26"/>
  <c r="N716" i="26"/>
  <c r="M716" i="26" s="1"/>
  <c r="M139" i="26"/>
  <c r="K715" i="27"/>
  <c r="M121" i="26"/>
  <c r="J121" i="26" s="1"/>
  <c r="N714" i="26"/>
  <c r="M714" i="26" s="1"/>
  <c r="M692" i="27"/>
  <c r="R714" i="26"/>
  <c r="I147" i="27"/>
  <c r="V715" i="27"/>
  <c r="Q715" i="26"/>
  <c r="P715" i="26" s="1"/>
  <c r="W708" i="26"/>
  <c r="O780" i="26"/>
  <c r="O340" i="26" s="1"/>
  <c r="L780" i="26"/>
  <c r="L340" i="26" s="1"/>
  <c r="T780" i="26"/>
  <c r="N780" i="26"/>
  <c r="N340" i="26" s="1"/>
  <c r="V780" i="26"/>
  <c r="U780" i="26"/>
  <c r="R780" i="26"/>
  <c r="R340" i="26" s="1"/>
  <c r="P780" i="26"/>
  <c r="M780" i="26"/>
  <c r="K780" i="26"/>
  <c r="Q780" i="26"/>
  <c r="Q340" i="26" s="1"/>
  <c r="M130" i="27"/>
  <c r="J130" i="27" s="1"/>
  <c r="N715" i="27"/>
  <c r="M715" i="27" s="1"/>
  <c r="W111" i="27"/>
  <c r="M20" i="27"/>
  <c r="W124" i="27"/>
  <c r="R716" i="26"/>
  <c r="P716" i="26" s="1"/>
  <c r="W125" i="27"/>
  <c r="U780" i="27"/>
  <c r="V780" i="27"/>
  <c r="M780" i="27"/>
  <c r="Q780" i="27"/>
  <c r="T780" i="27"/>
  <c r="T340" i="27" s="1"/>
  <c r="N780" i="27"/>
  <c r="N340" i="27" s="1"/>
  <c r="O780" i="27"/>
  <c r="O340" i="27" s="1"/>
  <c r="L780" i="27"/>
  <c r="L340" i="27" s="1"/>
  <c r="P780" i="27"/>
  <c r="K780" i="27"/>
  <c r="R780" i="27"/>
  <c r="R340" i="27" s="1"/>
  <c r="K716" i="27"/>
  <c r="W139" i="27"/>
  <c r="Q715" i="27"/>
  <c r="P715" i="27" s="1"/>
  <c r="W712" i="26"/>
  <c r="Q784" i="26"/>
  <c r="U784" i="26"/>
  <c r="N784" i="26"/>
  <c r="L784" i="26"/>
  <c r="P784" i="26"/>
  <c r="O784" i="26"/>
  <c r="M784" i="26"/>
  <c r="T784" i="26"/>
  <c r="R784" i="26"/>
  <c r="V784" i="26"/>
  <c r="K784" i="26"/>
  <c r="M130" i="26"/>
  <c r="N715" i="26"/>
  <c r="M715" i="26" s="1"/>
  <c r="M691" i="27"/>
  <c r="K36" i="28"/>
  <c r="L31" i="28" l="1"/>
  <c r="M31" i="28" s="1"/>
  <c r="P692" i="26"/>
  <c r="H28" i="28"/>
  <c r="I28" i="28" s="1"/>
  <c r="K36" i="30"/>
  <c r="P20" i="26"/>
  <c r="J20" i="26" s="1"/>
  <c r="H20" i="26" s="1"/>
  <c r="P691" i="26"/>
  <c r="J691" i="27"/>
  <c r="J691" i="26"/>
  <c r="H691" i="26" s="1"/>
  <c r="J784" i="26"/>
  <c r="J780" i="26"/>
  <c r="J785" i="26"/>
  <c r="J130" i="26"/>
  <c r="J692" i="26"/>
  <c r="H692" i="26" s="1"/>
  <c r="J715" i="26"/>
  <c r="H715" i="26" s="1"/>
  <c r="S787" i="26" s="1"/>
  <c r="J716" i="26"/>
  <c r="H716" i="26" s="1"/>
  <c r="S788" i="26" s="1"/>
  <c r="S370" i="26" s="1"/>
  <c r="J784" i="27"/>
  <c r="J780" i="27"/>
  <c r="J785" i="27"/>
  <c r="J692" i="27"/>
  <c r="H692" i="27" s="1"/>
  <c r="J714" i="27"/>
  <c r="H714" i="27" s="1"/>
  <c r="J715" i="27"/>
  <c r="H715" i="27" s="1"/>
  <c r="S787" i="27" s="1"/>
  <c r="J716" i="27"/>
  <c r="H716" i="27" s="1"/>
  <c r="J20" i="27"/>
  <c r="H20" i="27" s="1"/>
  <c r="J139" i="26"/>
  <c r="J125" i="26"/>
  <c r="J20" i="25"/>
  <c r="H20" i="25" s="1"/>
  <c r="X20" i="25" s="1"/>
  <c r="N32" i="28"/>
  <c r="J691" i="25"/>
  <c r="H691" i="25" s="1"/>
  <c r="R763" i="25" s="1"/>
  <c r="R327" i="25" s="1"/>
  <c r="J692" i="25"/>
  <c r="H692" i="25" s="1"/>
  <c r="O780" i="25"/>
  <c r="R779" i="25"/>
  <c r="K779" i="25"/>
  <c r="W708" i="25"/>
  <c r="P780" i="25"/>
  <c r="G52" i="31" s="1"/>
  <c r="K780" i="25"/>
  <c r="Q780" i="25"/>
  <c r="T780" i="25"/>
  <c r="H52" i="31" s="1"/>
  <c r="R780" i="25"/>
  <c r="W707" i="25"/>
  <c r="L779" i="25"/>
  <c r="E51" i="31" s="1"/>
  <c r="S779" i="25"/>
  <c r="P779" i="25"/>
  <c r="G51" i="31" s="1"/>
  <c r="U779" i="25"/>
  <c r="I51" i="31" s="1"/>
  <c r="Q779" i="25"/>
  <c r="V779" i="25"/>
  <c r="J51" i="31" s="1"/>
  <c r="T779" i="25"/>
  <c r="H51" i="31" s="1"/>
  <c r="N779" i="25"/>
  <c r="M779" i="25"/>
  <c r="F51" i="31" s="1"/>
  <c r="N780" i="25"/>
  <c r="S780" i="25"/>
  <c r="L780" i="25"/>
  <c r="E52" i="31" s="1"/>
  <c r="M780" i="25"/>
  <c r="F52" i="31" s="1"/>
  <c r="U780" i="25"/>
  <c r="I52" i="31" s="1"/>
  <c r="V779" i="27"/>
  <c r="S779" i="27"/>
  <c r="S339" i="27" s="1"/>
  <c r="Q781" i="27"/>
  <c r="S781" i="27"/>
  <c r="S328" i="27" s="1"/>
  <c r="W718" i="27"/>
  <c r="S790" i="27"/>
  <c r="W711" i="27"/>
  <c r="S783" i="27"/>
  <c r="W710" i="27"/>
  <c r="S782" i="27"/>
  <c r="W707" i="26"/>
  <c r="S779" i="26"/>
  <c r="S339" i="26" s="1"/>
  <c r="U783" i="26"/>
  <c r="S783" i="26"/>
  <c r="L781" i="26"/>
  <c r="L328" i="26" s="1"/>
  <c r="S781" i="26"/>
  <c r="S328" i="26" s="1"/>
  <c r="O782" i="26"/>
  <c r="S782" i="26"/>
  <c r="O781" i="25"/>
  <c r="O328" i="25" s="1"/>
  <c r="S781" i="25"/>
  <c r="S328" i="25" s="1"/>
  <c r="K782" i="25"/>
  <c r="S782" i="25"/>
  <c r="L783" i="25"/>
  <c r="E55" i="31" s="1"/>
  <c r="S783" i="25"/>
  <c r="Q782" i="27"/>
  <c r="H36" i="28"/>
  <c r="N36" i="28" s="1"/>
  <c r="T782" i="27"/>
  <c r="U782" i="27"/>
  <c r="P782" i="27"/>
  <c r="P714" i="26"/>
  <c r="N33" i="28"/>
  <c r="R782" i="27"/>
  <c r="L782" i="27"/>
  <c r="O782" i="27"/>
  <c r="M782" i="27"/>
  <c r="V782" i="27"/>
  <c r="K782" i="27"/>
  <c r="N782" i="27"/>
  <c r="W710" i="25"/>
  <c r="R782" i="25"/>
  <c r="V782" i="25"/>
  <c r="J54" i="31" s="1"/>
  <c r="L782" i="25"/>
  <c r="E54" i="31" s="1"/>
  <c r="Q782" i="25"/>
  <c r="T782" i="25"/>
  <c r="H54" i="31" s="1"/>
  <c r="O782" i="25"/>
  <c r="P782" i="25"/>
  <c r="G54" i="31" s="1"/>
  <c r="N782" i="25"/>
  <c r="U782" i="25"/>
  <c r="I54" i="31" s="1"/>
  <c r="M782" i="25"/>
  <c r="F54" i="31" s="1"/>
  <c r="O783" i="25"/>
  <c r="U783" i="25"/>
  <c r="I55" i="31" s="1"/>
  <c r="V783" i="25"/>
  <c r="J55" i="31" s="1"/>
  <c r="M783" i="25"/>
  <c r="F55" i="31" s="1"/>
  <c r="R783" i="25"/>
  <c r="K783" i="25"/>
  <c r="T783" i="25"/>
  <c r="H55" i="31" s="1"/>
  <c r="W711" i="25"/>
  <c r="M781" i="25"/>
  <c r="F53" i="31" s="1"/>
  <c r="P783" i="25"/>
  <c r="G55" i="31" s="1"/>
  <c r="Q783" i="25"/>
  <c r="N783" i="25"/>
  <c r="L781" i="25"/>
  <c r="W709" i="25"/>
  <c r="N783" i="27"/>
  <c r="H691" i="27"/>
  <c r="P783" i="27"/>
  <c r="N781" i="25"/>
  <c r="N328" i="25" s="1"/>
  <c r="M783" i="27"/>
  <c r="T783" i="27"/>
  <c r="K783" i="27"/>
  <c r="R783" i="27"/>
  <c r="L783" i="27"/>
  <c r="V783" i="27"/>
  <c r="U783" i="27"/>
  <c r="Q783" i="27"/>
  <c r="O783" i="27"/>
  <c r="K781" i="25"/>
  <c r="T781" i="25"/>
  <c r="P340" i="26"/>
  <c r="V781" i="25"/>
  <c r="J53" i="31" s="1"/>
  <c r="Q781" i="25"/>
  <c r="Q328" i="25" s="1"/>
  <c r="R781" i="25"/>
  <c r="R328" i="25" s="1"/>
  <c r="P781" i="25"/>
  <c r="G53" i="31" s="1"/>
  <c r="U781" i="25"/>
  <c r="I53" i="31" s="1"/>
  <c r="U340" i="26"/>
  <c r="W710" i="26"/>
  <c r="Q340" i="27"/>
  <c r="P340" i="27" s="1"/>
  <c r="T340" i="26"/>
  <c r="U340" i="27"/>
  <c r="R779" i="27"/>
  <c r="R339" i="27" s="1"/>
  <c r="O779" i="27"/>
  <c r="O339" i="27" s="1"/>
  <c r="W707" i="27"/>
  <c r="U779" i="27"/>
  <c r="K779" i="27"/>
  <c r="L779" i="27"/>
  <c r="L339" i="27" s="1"/>
  <c r="P779" i="27"/>
  <c r="T779" i="27"/>
  <c r="Q779" i="27"/>
  <c r="N779" i="27"/>
  <c r="N339" i="27" s="1"/>
  <c r="M779" i="27"/>
  <c r="N26" i="28"/>
  <c r="R782" i="26"/>
  <c r="T782" i="26"/>
  <c r="N29" i="28"/>
  <c r="N781" i="27"/>
  <c r="N328" i="27" s="1"/>
  <c r="V782" i="26"/>
  <c r="K782" i="26"/>
  <c r="N782" i="26"/>
  <c r="U782" i="26"/>
  <c r="M782" i="26"/>
  <c r="Q782" i="26"/>
  <c r="P782" i="26"/>
  <c r="L782" i="26"/>
  <c r="U779" i="26"/>
  <c r="M779" i="26"/>
  <c r="K781" i="26"/>
  <c r="M781" i="26"/>
  <c r="L779" i="26"/>
  <c r="L339" i="26" s="1"/>
  <c r="N30" i="28"/>
  <c r="N27" i="28"/>
  <c r="Q779" i="26"/>
  <c r="T779" i="26"/>
  <c r="N779" i="26"/>
  <c r="N339" i="26" s="1"/>
  <c r="O783" i="26"/>
  <c r="O779" i="26"/>
  <c r="O339" i="26" s="1"/>
  <c r="R779" i="26"/>
  <c r="R339" i="26" s="1"/>
  <c r="K779" i="26"/>
  <c r="M783" i="26"/>
  <c r="P779" i="26"/>
  <c r="V779" i="26"/>
  <c r="V783" i="26"/>
  <c r="T781" i="27"/>
  <c r="W709" i="27"/>
  <c r="N783" i="26"/>
  <c r="L783" i="26"/>
  <c r="Q783" i="26"/>
  <c r="V781" i="27"/>
  <c r="K781" i="27"/>
  <c r="T790" i="27"/>
  <c r="M790" i="27"/>
  <c r="U790" i="27"/>
  <c r="K790" i="27"/>
  <c r="P790" i="27"/>
  <c r="V790" i="27"/>
  <c r="Q790" i="27"/>
  <c r="N790" i="27"/>
  <c r="L790" i="27"/>
  <c r="P783" i="26"/>
  <c r="R783" i="26"/>
  <c r="K783" i="26"/>
  <c r="O781" i="27"/>
  <c r="O328" i="27" s="1"/>
  <c r="M781" i="27"/>
  <c r="O790" i="27"/>
  <c r="R790" i="27"/>
  <c r="W711" i="26"/>
  <c r="T783" i="26"/>
  <c r="L781" i="27"/>
  <c r="L328" i="27" s="1"/>
  <c r="R781" i="27"/>
  <c r="R328" i="27" s="1"/>
  <c r="N31" i="28"/>
  <c r="U781" i="26"/>
  <c r="T781" i="26"/>
  <c r="T328" i="26" s="1"/>
  <c r="N781" i="26"/>
  <c r="N328" i="26" s="1"/>
  <c r="W709" i="26"/>
  <c r="V781" i="26"/>
  <c r="Q781" i="26"/>
  <c r="Q328" i="26" s="1"/>
  <c r="P781" i="26"/>
  <c r="R781" i="26"/>
  <c r="O781" i="26"/>
  <c r="O328" i="26" s="1"/>
  <c r="M340" i="26"/>
  <c r="P781" i="27"/>
  <c r="U781" i="27"/>
  <c r="M340" i="27"/>
  <c r="K340" i="26"/>
  <c r="W130" i="27"/>
  <c r="U367" i="27"/>
  <c r="U353" i="27"/>
  <c r="O353" i="27"/>
  <c r="O367" i="27"/>
  <c r="T353" i="26"/>
  <c r="T367" i="26"/>
  <c r="R353" i="26"/>
  <c r="R367" i="26"/>
  <c r="L36" i="28"/>
  <c r="M36" i="28" s="1"/>
  <c r="T353" i="27"/>
  <c r="T367" i="27"/>
  <c r="U353" i="26"/>
  <c r="U367" i="26"/>
  <c r="N367" i="26"/>
  <c r="N353" i="26"/>
  <c r="W121" i="26"/>
  <c r="V340" i="26"/>
  <c r="W139" i="26"/>
  <c r="I34" i="28"/>
  <c r="N34" i="28"/>
  <c r="K367" i="27"/>
  <c r="K353" i="27"/>
  <c r="N353" i="27"/>
  <c r="N367" i="27"/>
  <c r="V367" i="27"/>
  <c r="V353" i="27"/>
  <c r="O367" i="26"/>
  <c r="O353" i="26"/>
  <c r="K353" i="26"/>
  <c r="K367" i="26"/>
  <c r="V367" i="26"/>
  <c r="V353" i="26"/>
  <c r="W121" i="27"/>
  <c r="R367" i="27"/>
  <c r="R353" i="27"/>
  <c r="W130" i="26"/>
  <c r="K340" i="27"/>
  <c r="V340" i="27"/>
  <c r="L353" i="27"/>
  <c r="L367" i="27"/>
  <c r="Q353" i="27"/>
  <c r="Q367" i="27"/>
  <c r="Q353" i="26"/>
  <c r="Q367" i="26"/>
  <c r="L353" i="26"/>
  <c r="L367" i="26"/>
  <c r="N28" i="28" l="1"/>
  <c r="J782" i="27"/>
  <c r="H782" i="27" s="1"/>
  <c r="W782" i="27" s="1"/>
  <c r="K328" i="26"/>
  <c r="J781" i="26"/>
  <c r="J782" i="26"/>
  <c r="K339" i="26"/>
  <c r="J779" i="26"/>
  <c r="J783" i="26"/>
  <c r="H783" i="26" s="1"/>
  <c r="W783" i="26" s="1"/>
  <c r="J714" i="26"/>
  <c r="H714" i="26" s="1"/>
  <c r="J790" i="27"/>
  <c r="H790" i="27" s="1"/>
  <c r="W790" i="27" s="1"/>
  <c r="K328" i="27"/>
  <c r="J781" i="27"/>
  <c r="K339" i="27"/>
  <c r="J779" i="27"/>
  <c r="H779" i="27" s="1"/>
  <c r="W779" i="27" s="1"/>
  <c r="J783" i="27"/>
  <c r="H783" i="27" s="1"/>
  <c r="W783" i="27" s="1"/>
  <c r="Y20" i="27"/>
  <c r="W20" i="27"/>
  <c r="J340" i="27"/>
  <c r="J340" i="26"/>
  <c r="W20" i="25"/>
  <c r="D51" i="31"/>
  <c r="K51" i="31" s="1"/>
  <c r="J779" i="25"/>
  <c r="D55" i="31"/>
  <c r="K55" i="31" s="1"/>
  <c r="J783" i="25"/>
  <c r="H783" i="25" s="1"/>
  <c r="W783" i="25" s="1"/>
  <c r="D54" i="31"/>
  <c r="K54" i="31" s="1"/>
  <c r="J782" i="25"/>
  <c r="H782" i="25" s="1"/>
  <c r="W782" i="25" s="1"/>
  <c r="D53" i="31"/>
  <c r="J781" i="25"/>
  <c r="H781" i="25" s="1"/>
  <c r="W781" i="25" s="1"/>
  <c r="J780" i="25"/>
  <c r="H780" i="25" s="1"/>
  <c r="W780" i="25" s="1"/>
  <c r="D52" i="31"/>
  <c r="K52" i="31" s="1"/>
  <c r="P763" i="25"/>
  <c r="G35" i="31" s="1"/>
  <c r="W691" i="25"/>
  <c r="O763" i="25"/>
  <c r="K763" i="25"/>
  <c r="T763" i="25"/>
  <c r="N763" i="25"/>
  <c r="N329" i="25" s="1"/>
  <c r="Q763" i="25"/>
  <c r="S763" i="25"/>
  <c r="L763" i="25"/>
  <c r="E35" i="31" s="1"/>
  <c r="U763" i="25"/>
  <c r="M763" i="25"/>
  <c r="F35" i="31" s="1"/>
  <c r="V763" i="25"/>
  <c r="J35" i="31" s="1"/>
  <c r="M339" i="27"/>
  <c r="Q328" i="27"/>
  <c r="P328" i="27" s="1"/>
  <c r="T328" i="25"/>
  <c r="H53" i="31"/>
  <c r="L328" i="25"/>
  <c r="E53" i="31"/>
  <c r="M328" i="25"/>
  <c r="V339" i="27"/>
  <c r="M788" i="27"/>
  <c r="S788" i="27"/>
  <c r="S370" i="27" s="1"/>
  <c r="T763" i="27"/>
  <c r="T330" i="27" s="1"/>
  <c r="S763" i="27"/>
  <c r="L764" i="27"/>
  <c r="S764" i="27"/>
  <c r="S369" i="27"/>
  <c r="S355" i="27"/>
  <c r="P786" i="27"/>
  <c r="S786" i="27"/>
  <c r="W692" i="26"/>
  <c r="S764" i="26"/>
  <c r="W691" i="26"/>
  <c r="S763" i="26"/>
  <c r="S369" i="26"/>
  <c r="S355" i="26"/>
  <c r="W692" i="25"/>
  <c r="S764" i="25"/>
  <c r="N764" i="25"/>
  <c r="O764" i="25"/>
  <c r="V764" i="25"/>
  <c r="J36" i="31" s="1"/>
  <c r="L764" i="25"/>
  <c r="E36" i="31" s="1"/>
  <c r="M764" i="25"/>
  <c r="F36" i="31" s="1"/>
  <c r="Q764" i="25"/>
  <c r="R764" i="25"/>
  <c r="T764" i="25"/>
  <c r="H36" i="31" s="1"/>
  <c r="U764" i="25"/>
  <c r="I36" i="31" s="1"/>
  <c r="P764" i="25"/>
  <c r="G36" i="31" s="1"/>
  <c r="K764" i="25"/>
  <c r="P764" i="27"/>
  <c r="W692" i="27"/>
  <c r="W20" i="26"/>
  <c r="Y20" i="26"/>
  <c r="I36" i="28"/>
  <c r="V328" i="26"/>
  <c r="U328" i="25"/>
  <c r="U764" i="27"/>
  <c r="O764" i="27"/>
  <c r="K763" i="27"/>
  <c r="V763" i="27"/>
  <c r="U763" i="27"/>
  <c r="U329" i="27" s="1"/>
  <c r="V764" i="27"/>
  <c r="Q764" i="27"/>
  <c r="M764" i="26"/>
  <c r="M764" i="27"/>
  <c r="T764" i="27"/>
  <c r="R764" i="26"/>
  <c r="N764" i="27"/>
  <c r="R764" i="27"/>
  <c r="K764" i="26"/>
  <c r="K764" i="27"/>
  <c r="P764" i="26"/>
  <c r="L763" i="27"/>
  <c r="L327" i="27" s="1"/>
  <c r="W691" i="27"/>
  <c r="Q764" i="26"/>
  <c r="P763" i="27"/>
  <c r="T764" i="26"/>
  <c r="Q763" i="27"/>
  <c r="Q333" i="27" s="1"/>
  <c r="U764" i="26"/>
  <c r="M763" i="27"/>
  <c r="V764" i="26"/>
  <c r="N764" i="26"/>
  <c r="N763" i="27"/>
  <c r="N334" i="27" s="1"/>
  <c r="O763" i="27"/>
  <c r="O330" i="27" s="1"/>
  <c r="L764" i="26"/>
  <c r="O764" i="26"/>
  <c r="R763" i="27"/>
  <c r="R330" i="27" s="1"/>
  <c r="P367" i="27"/>
  <c r="K328" i="25"/>
  <c r="R329" i="25"/>
  <c r="V328" i="25"/>
  <c r="P328" i="25"/>
  <c r="V339" i="26"/>
  <c r="P353" i="26"/>
  <c r="P353" i="27"/>
  <c r="M786" i="27"/>
  <c r="V786" i="27"/>
  <c r="P367" i="26"/>
  <c r="P763" i="26"/>
  <c r="M328" i="27"/>
  <c r="U328" i="27"/>
  <c r="H782" i="26"/>
  <c r="W782" i="26" s="1"/>
  <c r="U339" i="26"/>
  <c r="U339" i="27"/>
  <c r="T328" i="27"/>
  <c r="T339" i="26"/>
  <c r="Q339" i="27"/>
  <c r="P339" i="27" s="1"/>
  <c r="R328" i="26"/>
  <c r="P328" i="26" s="1"/>
  <c r="U328" i="26"/>
  <c r="Q339" i="26"/>
  <c r="P339" i="26" s="1"/>
  <c r="T339" i="27"/>
  <c r="T786" i="27"/>
  <c r="T368" i="27" s="1"/>
  <c r="R786" i="27"/>
  <c r="R661" i="27" s="1"/>
  <c r="O786" i="27"/>
  <c r="O661" i="27" s="1"/>
  <c r="K786" i="27"/>
  <c r="U786" i="27"/>
  <c r="W714" i="27"/>
  <c r="N786" i="27"/>
  <c r="N368" i="27" s="1"/>
  <c r="V328" i="27"/>
  <c r="L786" i="27"/>
  <c r="L661" i="27" s="1"/>
  <c r="Q786" i="27"/>
  <c r="Q661" i="27" s="1"/>
  <c r="R763" i="26"/>
  <c r="R327" i="26" s="1"/>
  <c r="M339" i="26"/>
  <c r="L763" i="26"/>
  <c r="L333" i="26" s="1"/>
  <c r="O788" i="27"/>
  <c r="O370" i="27" s="1"/>
  <c r="K788" i="27"/>
  <c r="L788" i="27"/>
  <c r="L370" i="27" s="1"/>
  <c r="N788" i="27"/>
  <c r="N370" i="27" s="1"/>
  <c r="R788" i="27"/>
  <c r="R370" i="27" s="1"/>
  <c r="W716" i="27"/>
  <c r="T763" i="26"/>
  <c r="T342" i="26" s="1"/>
  <c r="U763" i="26"/>
  <c r="M763" i="26"/>
  <c r="N763" i="26"/>
  <c r="N331" i="26" s="1"/>
  <c r="K763" i="26"/>
  <c r="O763" i="26"/>
  <c r="O333" i="26" s="1"/>
  <c r="H781" i="26"/>
  <c r="W781" i="26" s="1"/>
  <c r="V763" i="26"/>
  <c r="Q763" i="26"/>
  <c r="Q330" i="26" s="1"/>
  <c r="T788" i="27"/>
  <c r="T370" i="27" s="1"/>
  <c r="Q788" i="27"/>
  <c r="V788" i="27"/>
  <c r="M328" i="26"/>
  <c r="U788" i="27"/>
  <c r="P788" i="27"/>
  <c r="H781" i="27"/>
  <c r="W781" i="27" s="1"/>
  <c r="H780" i="26"/>
  <c r="W780" i="26" s="1"/>
  <c r="M353" i="27"/>
  <c r="H784" i="27"/>
  <c r="W784" i="27" s="1"/>
  <c r="H784" i="26"/>
  <c r="W784" i="26" s="1"/>
  <c r="H785" i="26"/>
  <c r="W785" i="26" s="1"/>
  <c r="W715" i="27"/>
  <c r="Q787" i="27"/>
  <c r="O787" i="27"/>
  <c r="M787" i="27"/>
  <c r="T787" i="27"/>
  <c r="N787" i="27"/>
  <c r="P787" i="27"/>
  <c r="L787" i="27"/>
  <c r="K787" i="27"/>
  <c r="R787" i="27"/>
  <c r="V787" i="27"/>
  <c r="U787" i="27"/>
  <c r="W340" i="27"/>
  <c r="M367" i="27"/>
  <c r="W715" i="26"/>
  <c r="T787" i="26"/>
  <c r="U787" i="26"/>
  <c r="K787" i="26"/>
  <c r="L787" i="26"/>
  <c r="R787" i="26"/>
  <c r="P787" i="26"/>
  <c r="O787" i="26"/>
  <c r="N787" i="26"/>
  <c r="M787" i="26"/>
  <c r="Q787" i="26"/>
  <c r="V787" i="26"/>
  <c r="M353" i="26"/>
  <c r="M367" i="26"/>
  <c r="H780" i="27"/>
  <c r="W780" i="27" s="1"/>
  <c r="H785" i="27"/>
  <c r="W785" i="27" s="1"/>
  <c r="W716" i="26"/>
  <c r="O788" i="26"/>
  <c r="O370" i="26" s="1"/>
  <c r="M788" i="26"/>
  <c r="T788" i="26"/>
  <c r="T370" i="26" s="1"/>
  <c r="R788" i="26"/>
  <c r="U788" i="26"/>
  <c r="L788" i="26"/>
  <c r="L370" i="26" s="1"/>
  <c r="P788" i="26"/>
  <c r="K788" i="26"/>
  <c r="V788" i="26"/>
  <c r="Q788" i="26"/>
  <c r="Q370" i="26" s="1"/>
  <c r="N788" i="26"/>
  <c r="N370" i="26" s="1"/>
  <c r="W340" i="26"/>
  <c r="K53" i="31" l="1"/>
  <c r="J367" i="26"/>
  <c r="J353" i="26"/>
  <c r="J788" i="26"/>
  <c r="J764" i="26"/>
  <c r="J787" i="26"/>
  <c r="K329" i="26"/>
  <c r="J763" i="26"/>
  <c r="V786" i="26"/>
  <c r="V661" i="26" s="1"/>
  <c r="Q786" i="26"/>
  <c r="Q354" i="26" s="1"/>
  <c r="R786" i="26"/>
  <c r="R661" i="26" s="1"/>
  <c r="K786" i="26"/>
  <c r="M786" i="26"/>
  <c r="P786" i="26"/>
  <c r="N786" i="26"/>
  <c r="N368" i="26" s="1"/>
  <c r="S786" i="26"/>
  <c r="S368" i="26" s="1"/>
  <c r="W714" i="26"/>
  <c r="U786" i="26"/>
  <c r="U354" i="26" s="1"/>
  <c r="L786" i="26"/>
  <c r="L354" i="26" s="1"/>
  <c r="O786" i="26"/>
  <c r="O354" i="26" s="1"/>
  <c r="T786" i="26"/>
  <c r="T354" i="26" s="1"/>
  <c r="J328" i="26"/>
  <c r="J764" i="27"/>
  <c r="H764" i="27" s="1"/>
  <c r="W764" i="27" s="1"/>
  <c r="K370" i="27"/>
  <c r="J788" i="27"/>
  <c r="H788" i="27" s="1"/>
  <c r="W788" i="27" s="1"/>
  <c r="K331" i="27"/>
  <c r="J763" i="27"/>
  <c r="H763" i="27" s="1"/>
  <c r="W763" i="27" s="1"/>
  <c r="K368" i="27"/>
  <c r="J786" i="27"/>
  <c r="J787" i="27"/>
  <c r="J328" i="25"/>
  <c r="J339" i="27"/>
  <c r="J367" i="27"/>
  <c r="J328" i="27"/>
  <c r="J353" i="27"/>
  <c r="J339" i="26"/>
  <c r="J763" i="25"/>
  <c r="H763" i="25" s="1"/>
  <c r="W763" i="25" s="1"/>
  <c r="D36" i="31"/>
  <c r="K36" i="31" s="1"/>
  <c r="J764" i="25"/>
  <c r="H764" i="25" s="1"/>
  <c r="W764" i="25" s="1"/>
  <c r="H779" i="25"/>
  <c r="W779" i="25" s="1"/>
  <c r="O327" i="25"/>
  <c r="O329" i="25"/>
  <c r="M329" i="25" s="1"/>
  <c r="K327" i="25"/>
  <c r="K329" i="25"/>
  <c r="T329" i="25"/>
  <c r="T327" i="25"/>
  <c r="D35" i="31"/>
  <c r="Q329" i="25"/>
  <c r="Q327" i="25"/>
  <c r="N327" i="25"/>
  <c r="H35" i="31"/>
  <c r="L329" i="25"/>
  <c r="U327" i="25"/>
  <c r="L327" i="25"/>
  <c r="I35" i="31"/>
  <c r="U329" i="25"/>
  <c r="S327" i="25"/>
  <c r="S329" i="25"/>
  <c r="V329" i="25"/>
  <c r="V327" i="25"/>
  <c r="T332" i="27"/>
  <c r="R334" i="27"/>
  <c r="T327" i="27"/>
  <c r="T341" i="27"/>
  <c r="T329" i="27"/>
  <c r="R331" i="27"/>
  <c r="T343" i="27"/>
  <c r="K342" i="27"/>
  <c r="T331" i="27"/>
  <c r="T342" i="27"/>
  <c r="T333" i="27"/>
  <c r="T334" i="27"/>
  <c r="S329" i="27"/>
  <c r="S332" i="27"/>
  <c r="S327" i="27"/>
  <c r="S343" i="27"/>
  <c r="S341" i="27"/>
  <c r="S334" i="27"/>
  <c r="S330" i="27"/>
  <c r="S342" i="27"/>
  <c r="S331" i="27"/>
  <c r="S333" i="27"/>
  <c r="S661" i="27"/>
  <c r="S368" i="27"/>
  <c r="S327" i="26"/>
  <c r="S329" i="26"/>
  <c r="S332" i="26"/>
  <c r="S341" i="26"/>
  <c r="S331" i="26"/>
  <c r="S342" i="26"/>
  <c r="S343" i="26"/>
  <c r="S330" i="26"/>
  <c r="S334" i="26"/>
  <c r="S333" i="26"/>
  <c r="R333" i="27"/>
  <c r="R329" i="27"/>
  <c r="K343" i="27"/>
  <c r="K341" i="27"/>
  <c r="K329" i="27"/>
  <c r="R332" i="27"/>
  <c r="K333" i="27"/>
  <c r="R343" i="27"/>
  <c r="R342" i="27"/>
  <c r="K334" i="27"/>
  <c r="K327" i="27"/>
  <c r="R341" i="27"/>
  <c r="K330" i="27"/>
  <c r="K332" i="27"/>
  <c r="R327" i="27"/>
  <c r="T343" i="26"/>
  <c r="U334" i="27"/>
  <c r="U332" i="27"/>
  <c r="U331" i="27"/>
  <c r="V343" i="27"/>
  <c r="T661" i="27"/>
  <c r="L341" i="27"/>
  <c r="U343" i="27"/>
  <c r="V327" i="27"/>
  <c r="U342" i="27"/>
  <c r="U330" i="27"/>
  <c r="R332" i="26"/>
  <c r="U341" i="27"/>
  <c r="U327" i="27"/>
  <c r="U333" i="27"/>
  <c r="T661" i="26"/>
  <c r="U661" i="27"/>
  <c r="T334" i="26"/>
  <c r="V333" i="26"/>
  <c r="V661" i="27"/>
  <c r="O368" i="27"/>
  <c r="M368" i="27" s="1"/>
  <c r="V329" i="27"/>
  <c r="V333" i="27"/>
  <c r="V334" i="27"/>
  <c r="R330" i="26"/>
  <c r="V330" i="27"/>
  <c r="V341" i="27"/>
  <c r="V342" i="27"/>
  <c r="V332" i="27"/>
  <c r="V331" i="27"/>
  <c r="O341" i="27"/>
  <c r="O329" i="27"/>
  <c r="L331" i="26"/>
  <c r="O331" i="27"/>
  <c r="Q329" i="27"/>
  <c r="N329" i="27"/>
  <c r="N341" i="27"/>
  <c r="L329" i="27"/>
  <c r="L334" i="27"/>
  <c r="L342" i="27"/>
  <c r="L330" i="27"/>
  <c r="L343" i="27"/>
  <c r="L333" i="27"/>
  <c r="L331" i="27"/>
  <c r="L332" i="27"/>
  <c r="H764" i="26"/>
  <c r="W764" i="26" s="1"/>
  <c r="R331" i="26"/>
  <c r="O343" i="27"/>
  <c r="O327" i="27"/>
  <c r="O334" i="27"/>
  <c r="M334" i="27" s="1"/>
  <c r="O342" i="27"/>
  <c r="N327" i="26"/>
  <c r="O333" i="27"/>
  <c r="O332" i="27"/>
  <c r="Q341" i="27"/>
  <c r="N331" i="27"/>
  <c r="Q331" i="27"/>
  <c r="L327" i="26"/>
  <c r="Q368" i="27"/>
  <c r="N327" i="27"/>
  <c r="Q327" i="27"/>
  <c r="R368" i="27"/>
  <c r="L330" i="26"/>
  <c r="N343" i="27"/>
  <c r="N342" i="27"/>
  <c r="Q330" i="27"/>
  <c r="L341" i="26"/>
  <c r="N333" i="27"/>
  <c r="N332" i="27"/>
  <c r="Q342" i="27"/>
  <c r="N330" i="27"/>
  <c r="M330" i="27" s="1"/>
  <c r="Q334" i="27"/>
  <c r="Q332" i="27"/>
  <c r="Q343" i="27"/>
  <c r="W328" i="27"/>
  <c r="U368" i="27"/>
  <c r="L368" i="27"/>
  <c r="O327" i="26"/>
  <c r="U370" i="26"/>
  <c r="K342" i="26"/>
  <c r="K661" i="27"/>
  <c r="K332" i="26"/>
  <c r="K253" i="28"/>
  <c r="O341" i="26"/>
  <c r="W328" i="25"/>
  <c r="Q333" i="26"/>
  <c r="Q329" i="26"/>
  <c r="G253" i="28"/>
  <c r="N332" i="26"/>
  <c r="N661" i="27"/>
  <c r="M661" i="27" s="1"/>
  <c r="W339" i="27"/>
  <c r="R343" i="26"/>
  <c r="N334" i="26"/>
  <c r="H786" i="27"/>
  <c r="W786" i="27" s="1"/>
  <c r="U370" i="27"/>
  <c r="V370" i="27"/>
  <c r="W339" i="26"/>
  <c r="U333" i="26"/>
  <c r="U329" i="26"/>
  <c r="V368" i="27"/>
  <c r="U332" i="26"/>
  <c r="R370" i="26"/>
  <c r="P370" i="26" s="1"/>
  <c r="Q370" i="27"/>
  <c r="P370" i="27" s="1"/>
  <c r="V343" i="26"/>
  <c r="R342" i="26"/>
  <c r="T332" i="26"/>
  <c r="L343" i="26"/>
  <c r="T341" i="26"/>
  <c r="T333" i="26"/>
  <c r="T330" i="26"/>
  <c r="L342" i="26"/>
  <c r="L334" i="26"/>
  <c r="T331" i="26"/>
  <c r="L332" i="26"/>
  <c r="L329" i="26"/>
  <c r="T327" i="26"/>
  <c r="T329" i="26"/>
  <c r="H779" i="26"/>
  <c r="W779" i="26" s="1"/>
  <c r="M370" i="27"/>
  <c r="R333" i="26"/>
  <c r="R329" i="26"/>
  <c r="R341" i="26"/>
  <c r="R334" i="26"/>
  <c r="U342" i="26"/>
  <c r="U343" i="26"/>
  <c r="W328" i="26"/>
  <c r="O329" i="26"/>
  <c r="O343" i="26"/>
  <c r="O330" i="26"/>
  <c r="U330" i="26"/>
  <c r="U331" i="26"/>
  <c r="U334" i="26"/>
  <c r="O331" i="26"/>
  <c r="M331" i="26" s="1"/>
  <c r="O342" i="26"/>
  <c r="O334" i="26"/>
  <c r="U341" i="26"/>
  <c r="U327" i="26"/>
  <c r="O332" i="26"/>
  <c r="N330" i="26"/>
  <c r="V329" i="26"/>
  <c r="N343" i="26"/>
  <c r="N329" i="26"/>
  <c r="N341" i="26"/>
  <c r="N333" i="26"/>
  <c r="M333" i="26" s="1"/>
  <c r="N342" i="26"/>
  <c r="V341" i="26"/>
  <c r="K330" i="26"/>
  <c r="K327" i="26"/>
  <c r="K333" i="26"/>
  <c r="Q342" i="26"/>
  <c r="Q334" i="26"/>
  <c r="K343" i="26"/>
  <c r="Q331" i="26"/>
  <c r="Q327" i="26"/>
  <c r="Q341" i="26"/>
  <c r="K331" i="26"/>
  <c r="K341" i="26"/>
  <c r="K334" i="26"/>
  <c r="Q343" i="26"/>
  <c r="Q332" i="26"/>
  <c r="V327" i="26"/>
  <c r="V332" i="26"/>
  <c r="V331" i="26"/>
  <c r="V330" i="26"/>
  <c r="V334" i="26"/>
  <c r="V342" i="26"/>
  <c r="O661" i="26"/>
  <c r="K354" i="26"/>
  <c r="Q661" i="26"/>
  <c r="T368" i="26"/>
  <c r="K368" i="26"/>
  <c r="W353" i="27"/>
  <c r="U661" i="26"/>
  <c r="U368" i="26"/>
  <c r="O368" i="26"/>
  <c r="W353" i="26"/>
  <c r="W367" i="27"/>
  <c r="W367" i="26"/>
  <c r="V370" i="26"/>
  <c r="Q369" i="26"/>
  <c r="Q355" i="26"/>
  <c r="U355" i="26"/>
  <c r="U369" i="26"/>
  <c r="R355" i="27"/>
  <c r="R369" i="27"/>
  <c r="N369" i="27"/>
  <c r="N355" i="27"/>
  <c r="Q369" i="27"/>
  <c r="Q355" i="27"/>
  <c r="K370" i="26"/>
  <c r="R369" i="26"/>
  <c r="R355" i="26"/>
  <c r="T355" i="26"/>
  <c r="T369" i="26"/>
  <c r="K355" i="27"/>
  <c r="K369" i="27"/>
  <c r="T355" i="27"/>
  <c r="T369" i="27"/>
  <c r="M370" i="26"/>
  <c r="N355" i="26"/>
  <c r="N369" i="26"/>
  <c r="L355" i="26"/>
  <c r="L369" i="26"/>
  <c r="U369" i="27"/>
  <c r="U355" i="27"/>
  <c r="L369" i="27"/>
  <c r="L355" i="27"/>
  <c r="V369" i="26"/>
  <c r="V355" i="26"/>
  <c r="O355" i="26"/>
  <c r="O369" i="26"/>
  <c r="K369" i="26"/>
  <c r="K355" i="26"/>
  <c r="V369" i="27"/>
  <c r="V355" i="27"/>
  <c r="O355" i="27"/>
  <c r="O369" i="27"/>
  <c r="K35" i="31" l="1"/>
  <c r="V354" i="26"/>
  <c r="S354" i="26"/>
  <c r="V368" i="26"/>
  <c r="S661" i="26"/>
  <c r="P661" i="26" s="1"/>
  <c r="Q368" i="26"/>
  <c r="L368" i="26"/>
  <c r="R354" i="26"/>
  <c r="R368" i="26"/>
  <c r="L661" i="26"/>
  <c r="K661" i="26"/>
  <c r="J786" i="26"/>
  <c r="H786" i="26" s="1"/>
  <c r="W786" i="26" s="1"/>
  <c r="N661" i="26"/>
  <c r="M661" i="26" s="1"/>
  <c r="M368" i="26"/>
  <c r="N354" i="26"/>
  <c r="M354" i="26" s="1"/>
  <c r="J370" i="26"/>
  <c r="J370" i="27"/>
  <c r="P327" i="25"/>
  <c r="M327" i="25"/>
  <c r="P329" i="25"/>
  <c r="W329" i="25" s="1"/>
  <c r="P327" i="26"/>
  <c r="M342" i="27"/>
  <c r="T726" i="27"/>
  <c r="P330" i="26"/>
  <c r="T344" i="27"/>
  <c r="P331" i="27"/>
  <c r="P661" i="27"/>
  <c r="J661" i="27" s="1"/>
  <c r="P333" i="27"/>
  <c r="P332" i="27"/>
  <c r="P334" i="27"/>
  <c r="J334" i="27" s="1"/>
  <c r="S344" i="26"/>
  <c r="P342" i="27"/>
  <c r="P329" i="27"/>
  <c r="P343" i="27"/>
  <c r="P330" i="27"/>
  <c r="J330" i="27" s="1"/>
  <c r="K344" i="27"/>
  <c r="S344" i="27"/>
  <c r="P341" i="27"/>
  <c r="S726" i="27"/>
  <c r="S726" i="26"/>
  <c r="T344" i="26"/>
  <c r="K726" i="27"/>
  <c r="R726" i="27"/>
  <c r="R344" i="27"/>
  <c r="P327" i="27"/>
  <c r="U344" i="27"/>
  <c r="M331" i="27"/>
  <c r="U726" i="27"/>
  <c r="P332" i="26"/>
  <c r="K254" i="28"/>
  <c r="M333" i="27"/>
  <c r="K257" i="28"/>
  <c r="V726" i="27"/>
  <c r="G254" i="28"/>
  <c r="V344" i="27"/>
  <c r="L344" i="27"/>
  <c r="M341" i="27"/>
  <c r="M329" i="27"/>
  <c r="O726" i="27"/>
  <c r="P331" i="26"/>
  <c r="W331" i="26" s="1"/>
  <c r="G257" i="28"/>
  <c r="M343" i="27"/>
  <c r="M327" i="27"/>
  <c r="O344" i="27"/>
  <c r="P333" i="26"/>
  <c r="W333" i="26" s="1"/>
  <c r="L726" i="27"/>
  <c r="N344" i="27"/>
  <c r="P341" i="26"/>
  <c r="M327" i="26"/>
  <c r="M334" i="26"/>
  <c r="Q344" i="27"/>
  <c r="M332" i="27"/>
  <c r="P342" i="26"/>
  <c r="L253" i="28"/>
  <c r="M253" i="28" s="1"/>
  <c r="L726" i="26"/>
  <c r="N726" i="27"/>
  <c r="Q726" i="27"/>
  <c r="H253" i="28"/>
  <c r="N253" i="28" s="1"/>
  <c r="P368" i="27"/>
  <c r="W368" i="27" s="1"/>
  <c r="P334" i="26"/>
  <c r="M330" i="26"/>
  <c r="M343" i="26"/>
  <c r="M332" i="26"/>
  <c r="M341" i="26"/>
  <c r="T726" i="26"/>
  <c r="R344" i="26"/>
  <c r="P343" i="26"/>
  <c r="M329" i="26"/>
  <c r="P369" i="27"/>
  <c r="R726" i="26"/>
  <c r="P355" i="27"/>
  <c r="L344" i="26"/>
  <c r="P369" i="26"/>
  <c r="P329" i="26"/>
  <c r="P355" i="26"/>
  <c r="U344" i="26"/>
  <c r="O344" i="26"/>
  <c r="W370" i="27"/>
  <c r="N344" i="26"/>
  <c r="K726" i="26"/>
  <c r="N726" i="26"/>
  <c r="M342" i="26"/>
  <c r="U726" i="26"/>
  <c r="Q344" i="26"/>
  <c r="O726" i="26"/>
  <c r="H763" i="26"/>
  <c r="W763" i="26" s="1"/>
  <c r="K344" i="26"/>
  <c r="Q726" i="26"/>
  <c r="V344" i="26"/>
  <c r="V726" i="26"/>
  <c r="H787" i="27"/>
  <c r="W787" i="27" s="1"/>
  <c r="H787" i="26"/>
  <c r="W787" i="26" s="1"/>
  <c r="G252" i="28"/>
  <c r="K252" i="28"/>
  <c r="M369" i="26"/>
  <c r="M355" i="27"/>
  <c r="M355" i="26"/>
  <c r="M369" i="27"/>
  <c r="W370" i="26"/>
  <c r="H788" i="26"/>
  <c r="W788" i="26" s="1"/>
  <c r="P354" i="26" l="1"/>
  <c r="P368" i="26"/>
  <c r="W368" i="26" s="1"/>
  <c r="J327" i="25"/>
  <c r="J341" i="27"/>
  <c r="J332" i="26"/>
  <c r="W354" i="26"/>
  <c r="J330" i="26"/>
  <c r="J333" i="27"/>
  <c r="J327" i="27"/>
  <c r="J369" i="27"/>
  <c r="J661" i="26"/>
  <c r="J368" i="27"/>
  <c r="J342" i="27"/>
  <c r="J343" i="26"/>
  <c r="J354" i="26"/>
  <c r="J329" i="26"/>
  <c r="J329" i="27"/>
  <c r="J332" i="27"/>
  <c r="J368" i="26"/>
  <c r="J355" i="26"/>
  <c r="J331" i="27"/>
  <c r="J329" i="25"/>
  <c r="J342" i="26"/>
  <c r="J334" i="26"/>
  <c r="J343" i="27"/>
  <c r="J333" i="26"/>
  <c r="J355" i="27"/>
  <c r="J369" i="26"/>
  <c r="J341" i="26"/>
  <c r="J327" i="26"/>
  <c r="J331" i="26"/>
  <c r="W327" i="25"/>
  <c r="W330" i="26"/>
  <c r="W334" i="27"/>
  <c r="W661" i="26"/>
  <c r="W661" i="27"/>
  <c r="W331" i="27"/>
  <c r="W343" i="27"/>
  <c r="W330" i="27"/>
  <c r="W342" i="27"/>
  <c r="W329" i="27"/>
  <c r="P726" i="27"/>
  <c r="W341" i="27"/>
  <c r="P344" i="27"/>
  <c r="W333" i="27"/>
  <c r="W332" i="26"/>
  <c r="I253" i="28"/>
  <c r="M726" i="27"/>
  <c r="M344" i="27"/>
  <c r="W327" i="27"/>
  <c r="W332" i="27"/>
  <c r="W327" i="26"/>
  <c r="W334" i="26"/>
  <c r="W343" i="26"/>
  <c r="W342" i="26"/>
  <c r="P726" i="26"/>
  <c r="P344" i="26"/>
  <c r="W341" i="26"/>
  <c r="W329" i="26"/>
  <c r="M344" i="26"/>
  <c r="M726" i="26"/>
  <c r="W369" i="27"/>
  <c r="W369" i="26"/>
  <c r="W355" i="27"/>
  <c r="W355" i="26"/>
  <c r="J726" i="26" l="1"/>
  <c r="H726" i="26" s="1"/>
  <c r="J726" i="27"/>
  <c r="H726" i="27" s="1"/>
  <c r="N798" i="27" s="1"/>
  <c r="N326" i="27" s="1"/>
  <c r="J344" i="26"/>
  <c r="J344" i="27"/>
  <c r="L257" i="28"/>
  <c r="M257" i="28" s="1"/>
  <c r="H252" i="28"/>
  <c r="I252" i="28" s="1"/>
  <c r="L252" i="28"/>
  <c r="M252" i="28" s="1"/>
  <c r="W344" i="27"/>
  <c r="H254" i="28"/>
  <c r="I254" i="28" s="1"/>
  <c r="H257" i="28"/>
  <c r="I257" i="28" s="1"/>
  <c r="L254" i="28"/>
  <c r="M254" i="28" s="1"/>
  <c r="W344" i="26"/>
  <c r="N252" i="28" l="1"/>
  <c r="O798" i="27"/>
  <c r="O326" i="27" s="1"/>
  <c r="O335" i="27" s="1"/>
  <c r="O346" i="27" s="1"/>
  <c r="L798" i="27"/>
  <c r="L326" i="27" s="1"/>
  <c r="L335" i="27" s="1"/>
  <c r="L346" i="27" s="1"/>
  <c r="U798" i="27"/>
  <c r="U326" i="27" s="1"/>
  <c r="U335" i="27" s="1"/>
  <c r="U346" i="27" s="1"/>
  <c r="T798" i="27"/>
  <c r="T326" i="27" s="1"/>
  <c r="T335" i="27" s="1"/>
  <c r="T346" i="27" s="1"/>
  <c r="P798" i="27"/>
  <c r="M798" i="27"/>
  <c r="R798" i="27"/>
  <c r="R326" i="27" s="1"/>
  <c r="R335" i="27" s="1"/>
  <c r="R346" i="27" s="1"/>
  <c r="K798" i="27"/>
  <c r="V798" i="27"/>
  <c r="Q798" i="27"/>
  <c r="Q326" i="27" s="1"/>
  <c r="S798" i="27"/>
  <c r="S326" i="27" s="1"/>
  <c r="S335" i="27" s="1"/>
  <c r="S346" i="27" s="1"/>
  <c r="W726" i="27"/>
  <c r="R798" i="26"/>
  <c r="R326" i="26" s="1"/>
  <c r="R335" i="26" s="1"/>
  <c r="R346" i="26" s="1"/>
  <c r="S798" i="26"/>
  <c r="S326" i="26" s="1"/>
  <c r="S335" i="26" s="1"/>
  <c r="S346" i="26" s="1"/>
  <c r="N254" i="28"/>
  <c r="N257" i="28"/>
  <c r="M798" i="26"/>
  <c r="V798" i="26"/>
  <c r="W726" i="26"/>
  <c r="P798" i="26"/>
  <c r="N798" i="26"/>
  <c r="N326" i="26" s="1"/>
  <c r="N335" i="26" s="1"/>
  <c r="N346" i="26" s="1"/>
  <c r="T798" i="26"/>
  <c r="T326" i="26" s="1"/>
  <c r="T335" i="26" s="1"/>
  <c r="T346" i="26" s="1"/>
  <c r="L798" i="26"/>
  <c r="L326" i="26" s="1"/>
  <c r="L335" i="26" s="1"/>
  <c r="L346" i="26" s="1"/>
  <c r="K798" i="26"/>
  <c r="O798" i="26"/>
  <c r="O326" i="26" s="1"/>
  <c r="O335" i="26" s="1"/>
  <c r="O346" i="26" s="1"/>
  <c r="Q798" i="26"/>
  <c r="Q326" i="26" s="1"/>
  <c r="Q335" i="26" s="1"/>
  <c r="Q346" i="26" s="1"/>
  <c r="U798" i="26"/>
  <c r="N335" i="27"/>
  <c r="N346" i="27" s="1"/>
  <c r="K326" i="26" l="1"/>
  <c r="K335" i="26" s="1"/>
  <c r="K346" i="26" s="1"/>
  <c r="J798" i="26"/>
  <c r="H798" i="26" s="1"/>
  <c r="W798" i="26" s="1"/>
  <c r="K326" i="27"/>
  <c r="K335" i="27" s="1"/>
  <c r="K346" i="27" s="1"/>
  <c r="J798" i="27"/>
  <c r="V326" i="27"/>
  <c r="V335" i="27" s="1"/>
  <c r="V346" i="27" s="1"/>
  <c r="M326" i="27"/>
  <c r="H798" i="27"/>
  <c r="W798" i="27" s="1"/>
  <c r="P346" i="26"/>
  <c r="V326" i="26"/>
  <c r="V335" i="26" s="1"/>
  <c r="V346" i="26" s="1"/>
  <c r="P335" i="26"/>
  <c r="P326" i="26"/>
  <c r="M335" i="26"/>
  <c r="M326" i="26"/>
  <c r="U326" i="26"/>
  <c r="U335" i="26" s="1"/>
  <c r="U346" i="26" s="1"/>
  <c r="M335" i="27"/>
  <c r="Q335" i="27"/>
  <c r="P326" i="27"/>
  <c r="M346" i="27"/>
  <c r="M346" i="26"/>
  <c r="J335" i="26" l="1"/>
  <c r="J326" i="27"/>
  <c r="J346" i="26"/>
  <c r="J326" i="26"/>
  <c r="W326" i="27"/>
  <c r="I335" i="27"/>
  <c r="I346" i="27" s="1"/>
  <c r="I335" i="26"/>
  <c r="I346" i="26" s="1"/>
  <c r="W326" i="26"/>
  <c r="W335" i="26"/>
  <c r="P335" i="27"/>
  <c r="J335" i="27" s="1"/>
  <c r="Q346" i="27"/>
  <c r="P346" i="27" s="1"/>
  <c r="W346" i="27" s="1"/>
  <c r="W346" i="26"/>
  <c r="J346" i="27" l="1"/>
  <c r="W335" i="27"/>
  <c r="H286" i="25" l="1"/>
  <c r="H286" i="26"/>
  <c r="H286" i="27"/>
  <c r="J211" i="28" l="1"/>
  <c r="H286" i="1"/>
  <c r="F211" i="28" s="1"/>
  <c r="F286" i="1" l="1"/>
  <c r="G286" i="1" s="1"/>
  <c r="H395" i="27" l="1"/>
  <c r="H359" i="26"/>
  <c r="S477" i="26" l="1"/>
  <c r="S512" i="27"/>
  <c r="H384" i="26"/>
  <c r="S502" i="26" l="1"/>
  <c r="V477" i="26"/>
  <c r="N477" i="26"/>
  <c r="H395" i="25"/>
  <c r="H395" i="1"/>
  <c r="U502" i="26"/>
  <c r="N512" i="27"/>
  <c r="Q477" i="26"/>
  <c r="V512" i="27"/>
  <c r="Q512" i="27"/>
  <c r="K477" i="26"/>
  <c r="S512" i="25" l="1"/>
  <c r="K512" i="25"/>
  <c r="N512" i="25"/>
  <c r="R512" i="25"/>
  <c r="U512" i="25"/>
  <c r="O512" i="25"/>
  <c r="T512" i="25"/>
  <c r="L512" i="25"/>
  <c r="V512" i="25"/>
  <c r="J320" i="28"/>
  <c r="Q512" i="25"/>
  <c r="K502" i="26"/>
  <c r="V502" i="26"/>
  <c r="N502" i="26"/>
  <c r="Q502" i="26"/>
  <c r="F320" i="28"/>
  <c r="F395" i="1"/>
  <c r="G395" i="1" s="1"/>
  <c r="P512" i="25" l="1"/>
  <c r="K437" i="28"/>
  <c r="G437" i="28"/>
  <c r="M512" i="25"/>
  <c r="J512" i="25" l="1"/>
  <c r="W512" i="25"/>
  <c r="H392" i="27"/>
  <c r="H383" i="27" l="1"/>
  <c r="H392" i="25"/>
  <c r="H392" i="1"/>
  <c r="S501" i="27" l="1"/>
  <c r="F317" i="28"/>
  <c r="F392" i="1"/>
  <c r="J317" i="28"/>
  <c r="T501" i="27" l="1"/>
  <c r="G392" i="1"/>
  <c r="Q501" i="27"/>
  <c r="V501" i="27"/>
  <c r="N501" i="27"/>
  <c r="K501" i="27"/>
  <c r="H352" i="26" l="1"/>
  <c r="H352" i="27"/>
  <c r="R352" i="27" l="1"/>
  <c r="S471" i="27"/>
  <c r="S352" i="27"/>
  <c r="Q352" i="26"/>
  <c r="S352" i="26"/>
  <c r="S471" i="26"/>
  <c r="K352" i="26"/>
  <c r="Q471" i="27"/>
  <c r="V352" i="27"/>
  <c r="Q352" i="27"/>
  <c r="Q471" i="26"/>
  <c r="N471" i="26"/>
  <c r="O471" i="26"/>
  <c r="R471" i="27"/>
  <c r="L471" i="26"/>
  <c r="N352" i="27"/>
  <c r="R352" i="26"/>
  <c r="O352" i="26"/>
  <c r="U471" i="27"/>
  <c r="V471" i="26"/>
  <c r="N352" i="26"/>
  <c r="T471" i="27"/>
  <c r="U471" i="26"/>
  <c r="L352" i="26"/>
  <c r="K471" i="26"/>
  <c r="V352" i="26"/>
  <c r="O471" i="27"/>
  <c r="L471" i="27"/>
  <c r="T471" i="26"/>
  <c r="U352" i="26"/>
  <c r="N471" i="27"/>
  <c r="V471" i="27"/>
  <c r="K471" i="27"/>
  <c r="R471" i="26"/>
  <c r="T352" i="26"/>
  <c r="O352" i="27"/>
  <c r="U352" i="27"/>
  <c r="L352" i="27"/>
  <c r="T352" i="27"/>
  <c r="K352" i="27"/>
  <c r="P352" i="27" l="1"/>
  <c r="P352" i="26"/>
  <c r="P471" i="26"/>
  <c r="P471" i="27"/>
  <c r="M471" i="26"/>
  <c r="J471" i="26" s="1"/>
  <c r="M352" i="27"/>
  <c r="M352" i="26"/>
  <c r="J352" i="26" s="1"/>
  <c r="M471" i="27"/>
  <c r="J471" i="27" s="1"/>
  <c r="J352" i="27" l="1"/>
  <c r="W352" i="26"/>
  <c r="W352" i="27"/>
  <c r="W471" i="27"/>
  <c r="H362" i="26" l="1"/>
  <c r="S479" i="26" l="1"/>
  <c r="K479" i="26"/>
  <c r="V479" i="26"/>
  <c r="U479" i="26"/>
  <c r="T479" i="26"/>
  <c r="R479" i="26"/>
  <c r="N479" i="26"/>
  <c r="Q479" i="26"/>
  <c r="O479" i="26"/>
  <c r="L479" i="26"/>
  <c r="H366" i="26"/>
  <c r="H366" i="27"/>
  <c r="Q366" i="27" l="1"/>
  <c r="S366" i="27"/>
  <c r="S483" i="27"/>
  <c r="L366" i="26"/>
  <c r="S366" i="26"/>
  <c r="S483" i="26"/>
  <c r="U483" i="27"/>
  <c r="M479" i="26"/>
  <c r="T366" i="27"/>
  <c r="P479" i="26"/>
  <c r="N483" i="26"/>
  <c r="K366" i="26"/>
  <c r="T483" i="27"/>
  <c r="V483" i="26"/>
  <c r="U483" i="26"/>
  <c r="T483" i="26"/>
  <c r="N483" i="27"/>
  <c r="R483" i="26"/>
  <c r="R366" i="26"/>
  <c r="Q483" i="27"/>
  <c r="U366" i="26"/>
  <c r="Q483" i="26"/>
  <c r="Q366" i="26"/>
  <c r="L483" i="26"/>
  <c r="R483" i="27"/>
  <c r="K483" i="26"/>
  <c r="O483" i="27"/>
  <c r="T366" i="26"/>
  <c r="L483" i="27"/>
  <c r="V483" i="27"/>
  <c r="K483" i="27"/>
  <c r="O483" i="26"/>
  <c r="O366" i="27"/>
  <c r="N366" i="27"/>
  <c r="V366" i="27"/>
  <c r="U366" i="27"/>
  <c r="L366" i="27"/>
  <c r="K366" i="27"/>
  <c r="R366" i="27"/>
  <c r="O366" i="26"/>
  <c r="N366" i="26"/>
  <c r="V366" i="26"/>
  <c r="J479" i="26" l="1"/>
  <c r="W479" i="26"/>
  <c r="P366" i="27"/>
  <c r="M366" i="26"/>
  <c r="M483" i="27"/>
  <c r="P483" i="27"/>
  <c r="M483" i="26"/>
  <c r="P366" i="26"/>
  <c r="P483" i="26"/>
  <c r="M366" i="27"/>
  <c r="J483" i="26" l="1"/>
  <c r="J483" i="27"/>
  <c r="J366" i="26"/>
  <c r="J366" i="27"/>
  <c r="W366" i="27"/>
  <c r="W483" i="27"/>
  <c r="W366" i="26"/>
  <c r="W483" i="26"/>
  <c r="K504" i="27" l="1"/>
  <c r="L504" i="27"/>
  <c r="V504" i="27"/>
  <c r="N504" i="27" l="1"/>
  <c r="U504" i="27"/>
  <c r="T504" i="27"/>
  <c r="R504" i="27"/>
  <c r="O504" i="27"/>
  <c r="M504" i="27" l="1"/>
  <c r="W73" i="27" l="1"/>
  <c r="Y73" i="27"/>
  <c r="H490" i="25" l="1"/>
  <c r="H490" i="26"/>
  <c r="J415" i="28" s="1"/>
  <c r="H490" i="1" l="1"/>
  <c r="F490" i="1"/>
  <c r="G490" i="1" l="1"/>
  <c r="F415" i="28"/>
  <c r="T477" i="26" l="1"/>
  <c r="U477" i="26"/>
  <c r="L477" i="26"/>
  <c r="O477" i="26"/>
  <c r="M477" i="26" s="1"/>
  <c r="R477" i="26"/>
  <c r="P477" i="26" s="1"/>
  <c r="J477" i="26" l="1"/>
  <c r="I259" i="27" l="1"/>
  <c r="H470" i="27" l="1"/>
  <c r="H480" i="27" s="1"/>
  <c r="H493" i="27" s="1"/>
  <c r="H495" i="27" s="1"/>
  <c r="Q504" i="27" l="1"/>
  <c r="S504" i="27"/>
  <c r="P504" i="27" l="1"/>
  <c r="J504" i="27" l="1"/>
  <c r="K14" i="29"/>
  <c r="X54" i="25" l="1"/>
  <c r="Y54" i="26"/>
  <c r="Y54" i="27"/>
  <c r="K386" i="27" l="1"/>
  <c r="L386" i="27"/>
  <c r="N386" i="27"/>
  <c r="O386" i="27"/>
  <c r="Q386" i="27"/>
  <c r="R386" i="27"/>
  <c r="S386" i="27"/>
  <c r="T386" i="27"/>
  <c r="U386" i="27"/>
  <c r="V386" i="27"/>
  <c r="M386" i="27" l="1"/>
  <c r="P386" i="27"/>
  <c r="J386" i="27" l="1"/>
  <c r="W386" i="27"/>
  <c r="Q518" i="25" l="1"/>
  <c r="V518" i="25"/>
  <c r="K518" i="25"/>
  <c r="K512" i="27"/>
  <c r="N518" i="25"/>
  <c r="M518" i="25" l="1"/>
  <c r="K443" i="28" l="1"/>
  <c r="G443" i="28"/>
  <c r="I406" i="26" l="1"/>
  <c r="I406" i="27" l="1"/>
  <c r="G330" i="28"/>
  <c r="K330" i="28"/>
  <c r="K327" i="28"/>
  <c r="G327" i="28"/>
  <c r="K329" i="28"/>
  <c r="G329" i="28"/>
  <c r="J70" i="27" l="1"/>
  <c r="G196" i="28"/>
  <c r="K196" i="28"/>
  <c r="H70" i="27" l="1"/>
  <c r="Y70" i="27" s="1"/>
  <c r="W70" i="27" l="1"/>
  <c r="E82" i="24"/>
  <c r="E83" i="24" l="1"/>
  <c r="E84" i="24"/>
  <c r="E85" i="24"/>
  <c r="I594" i="27" l="1"/>
  <c r="W54" i="26" l="1"/>
  <c r="W54" i="27" l="1"/>
  <c r="D43" i="30"/>
  <c r="E43" i="30"/>
  <c r="K43" i="30" l="1"/>
  <c r="J699" i="25"/>
  <c r="H699" i="25" s="1"/>
  <c r="Q771" i="25" l="1"/>
  <c r="T771" i="25"/>
  <c r="H43" i="31" s="1"/>
  <c r="M771" i="25"/>
  <c r="F43" i="31" s="1"/>
  <c r="R771" i="25"/>
  <c r="S771" i="25"/>
  <c r="U771" i="25"/>
  <c r="I43" i="31" s="1"/>
  <c r="N771" i="25"/>
  <c r="K771" i="25"/>
  <c r="D43" i="31" s="1"/>
  <c r="L771" i="25"/>
  <c r="E43" i="31" s="1"/>
  <c r="O771" i="25"/>
  <c r="W699" i="25"/>
  <c r="P771" i="25"/>
  <c r="G43" i="31" s="1"/>
  <c r="V771" i="25"/>
  <c r="K43" i="31" l="1"/>
  <c r="J771" i="25"/>
  <c r="H771" i="25" s="1"/>
  <c r="W771" i="25"/>
  <c r="K661" i="1" l="1"/>
  <c r="L662" i="1"/>
  <c r="H662" i="26" s="1"/>
  <c r="H661" i="25" l="1"/>
  <c r="J596" i="28" s="1"/>
  <c r="H661" i="1"/>
  <c r="K660" i="1"/>
  <c r="H660" i="25" l="1"/>
  <c r="F596" i="28"/>
  <c r="F661" i="1"/>
  <c r="G661" i="1" s="1"/>
  <c r="L660" i="1"/>
  <c r="K662" i="1"/>
  <c r="L664" i="1" l="1"/>
  <c r="H660" i="26"/>
  <c r="H664" i="26" s="1"/>
  <c r="H662" i="25"/>
  <c r="J597" i="28" s="1"/>
  <c r="H662" i="1"/>
  <c r="H660" i="1"/>
  <c r="J595" i="28"/>
  <c r="F595" i="28" l="1"/>
  <c r="F660" i="1"/>
  <c r="G660" i="1"/>
  <c r="F662" i="1"/>
  <c r="G662" i="1" s="1"/>
  <c r="F597" i="28"/>
  <c r="L78" i="1"/>
  <c r="L40" i="1"/>
  <c r="K659" i="1"/>
  <c r="H659" i="25" l="1"/>
  <c r="K664" i="1"/>
  <c r="H659" i="1"/>
  <c r="L84" i="1"/>
  <c r="H664" i="25" l="1"/>
  <c r="J605" i="28" s="1"/>
  <c r="J594" i="28"/>
  <c r="F594" i="28"/>
  <c r="F659" i="1"/>
  <c r="K40" i="1"/>
  <c r="H664" i="1"/>
  <c r="F605" i="28" s="1"/>
  <c r="K78" i="1"/>
  <c r="H40" i="1" l="1"/>
  <c r="G659" i="1"/>
  <c r="F664" i="1"/>
  <c r="G664" i="1" s="1"/>
  <c r="K84" i="1"/>
  <c r="H84" i="1" s="1"/>
  <c r="F84" i="1" s="1"/>
  <c r="G84" i="1" s="1"/>
  <c r="H78" i="1"/>
  <c r="F78" i="1" s="1"/>
  <c r="G78" i="1" s="1"/>
  <c r="K594" i="28" l="1"/>
  <c r="G594" i="28"/>
  <c r="F40" i="1"/>
  <c r="G40" i="1"/>
  <c r="K114" i="1" l="1"/>
  <c r="L253" i="1"/>
  <c r="H253" i="26" s="1"/>
  <c r="S253" i="26" l="1"/>
  <c r="T253" i="26"/>
  <c r="V253" i="26"/>
  <c r="O253" i="26"/>
  <c r="K253" i="26"/>
  <c r="R253" i="26"/>
  <c r="N253" i="26"/>
  <c r="Q253" i="26"/>
  <c r="U253" i="26"/>
  <c r="L253" i="26"/>
  <c r="H114" i="25"/>
  <c r="H114" i="1"/>
  <c r="L151" i="1"/>
  <c r="H151" i="26" s="1"/>
  <c r="M253" i="26" l="1"/>
  <c r="P253" i="26"/>
  <c r="F39" i="28"/>
  <c r="F114" i="1"/>
  <c r="N114" i="25"/>
  <c r="N211" i="25" s="1"/>
  <c r="U114" i="25"/>
  <c r="U211" i="25" s="1"/>
  <c r="L114" i="25"/>
  <c r="K114" i="25"/>
  <c r="K211" i="25" s="1"/>
  <c r="V114" i="25"/>
  <c r="V211" i="25" s="1"/>
  <c r="T114" i="25"/>
  <c r="T553" i="25" s="1"/>
  <c r="Q114" i="25"/>
  <c r="R114" i="25"/>
  <c r="R211" i="25" s="1"/>
  <c r="S114" i="25"/>
  <c r="S553" i="25" s="1"/>
  <c r="J39" i="28"/>
  <c r="O114" i="25"/>
  <c r="O211" i="25" s="1"/>
  <c r="M253" i="1"/>
  <c r="H253" i="27" s="1"/>
  <c r="M151" i="1"/>
  <c r="H151" i="27" s="1"/>
  <c r="M396" i="1"/>
  <c r="H396" i="27" s="1"/>
  <c r="J253" i="26" l="1"/>
  <c r="W253" i="26"/>
  <c r="T211" i="25"/>
  <c r="R553" i="25"/>
  <c r="K553" i="25"/>
  <c r="U553" i="25"/>
  <c r="M114" i="25"/>
  <c r="L553" i="25"/>
  <c r="Q211" i="25"/>
  <c r="P114" i="25"/>
  <c r="S253" i="27"/>
  <c r="O253" i="27"/>
  <c r="L253" i="27"/>
  <c r="N253" i="27"/>
  <c r="T253" i="27"/>
  <c r="K253" i="27"/>
  <c r="U253" i="27"/>
  <c r="R253" i="27"/>
  <c r="V253" i="27"/>
  <c r="Q253" i="27"/>
  <c r="M211" i="25"/>
  <c r="S211" i="25"/>
  <c r="G114" i="1"/>
  <c r="L211" i="25"/>
  <c r="Q553" i="25"/>
  <c r="G39" i="28"/>
  <c r="K39" i="28"/>
  <c r="N553" i="25"/>
  <c r="O553" i="25"/>
  <c r="V553" i="25"/>
  <c r="K151" i="1"/>
  <c r="K396" i="1"/>
  <c r="G435" i="28" l="1"/>
  <c r="K435" i="28"/>
  <c r="H396" i="1"/>
  <c r="H396" i="25"/>
  <c r="J114" i="25"/>
  <c r="H39" i="28" s="1"/>
  <c r="P253" i="27"/>
  <c r="W114" i="25"/>
  <c r="M253" i="27"/>
  <c r="K136" i="28"/>
  <c r="G136" i="28"/>
  <c r="P553" i="25"/>
  <c r="P211" i="25"/>
  <c r="J211" i="25" s="1"/>
  <c r="H151" i="25"/>
  <c r="J76" i="28" s="1"/>
  <c r="H151" i="1"/>
  <c r="M553" i="25"/>
  <c r="J553" i="25" l="1"/>
  <c r="J253" i="27"/>
  <c r="I39" i="28"/>
  <c r="N39" i="28"/>
  <c r="L39" i="28"/>
  <c r="M39" i="28" s="1"/>
  <c r="L513" i="25"/>
  <c r="U513" i="25"/>
  <c r="K513" i="25"/>
  <c r="O513" i="25"/>
  <c r="T513" i="25"/>
  <c r="Q513" i="25"/>
  <c r="V513" i="25"/>
  <c r="S513" i="25"/>
  <c r="N513" i="25"/>
  <c r="J321" i="28"/>
  <c r="R513" i="25"/>
  <c r="W253" i="27"/>
  <c r="F396" i="1"/>
  <c r="G396" i="1" s="1"/>
  <c r="F321" i="28"/>
  <c r="W211" i="25"/>
  <c r="G478" i="28"/>
  <c r="K478" i="28"/>
  <c r="F151" i="1"/>
  <c r="G151" i="1" s="1"/>
  <c r="F76" i="28"/>
  <c r="H136" i="28"/>
  <c r="I136" i="28" s="1"/>
  <c r="L136" i="28"/>
  <c r="M136" i="28" s="1"/>
  <c r="W553" i="25"/>
  <c r="G438" i="28" l="1"/>
  <c r="K438" i="28"/>
  <c r="P513" i="25"/>
  <c r="M513" i="25"/>
  <c r="H478" i="28"/>
  <c r="I478" i="28" s="1"/>
  <c r="L478" i="28"/>
  <c r="M478" i="28" s="1"/>
  <c r="N136" i="28"/>
  <c r="W513" i="25" l="1"/>
  <c r="J513" i="25"/>
  <c r="N478" i="28"/>
  <c r="K607" i="1" l="1"/>
  <c r="K68" i="1" l="1"/>
  <c r="H607" i="1"/>
  <c r="H607" i="25"/>
  <c r="J532" i="28" l="1"/>
  <c r="S607" i="25"/>
  <c r="S68" i="25" s="1"/>
  <c r="Q607" i="25"/>
  <c r="K607" i="25"/>
  <c r="R607" i="25"/>
  <c r="R68" i="25" s="1"/>
  <c r="O607" i="25"/>
  <c r="O68" i="25" s="1"/>
  <c r="N607" i="25"/>
  <c r="U607" i="25"/>
  <c r="U68" i="25" s="1"/>
  <c r="T607" i="25"/>
  <c r="T68" i="25" s="1"/>
  <c r="L607" i="25"/>
  <c r="L68" i="25" s="1"/>
  <c r="V607" i="25"/>
  <c r="F532" i="28"/>
  <c r="F607" i="1"/>
  <c r="G607" i="1" s="1"/>
  <c r="K80" i="1"/>
  <c r="H68" i="1"/>
  <c r="F68" i="1" s="1"/>
  <c r="G68" i="1" s="1"/>
  <c r="Q72" i="24" l="1"/>
  <c r="K86" i="1"/>
  <c r="H86" i="1" s="1"/>
  <c r="F86" i="1" s="1"/>
  <c r="G86" i="1" s="1"/>
  <c r="H80" i="1"/>
  <c r="F80" i="1" s="1"/>
  <c r="G80" i="1" s="1"/>
  <c r="N68" i="25"/>
  <c r="M607" i="25"/>
  <c r="K72" i="24"/>
  <c r="N72" i="24"/>
  <c r="K68" i="25"/>
  <c r="V68" i="25"/>
  <c r="P607" i="25"/>
  <c r="Q68" i="25"/>
  <c r="H72" i="24"/>
  <c r="O72" i="24"/>
  <c r="P72" i="24"/>
  <c r="L142" i="1"/>
  <c r="M68" i="25" l="1"/>
  <c r="I72" i="24" s="1"/>
  <c r="J607" i="25"/>
  <c r="H532" i="28" s="1"/>
  <c r="I532" i="28" s="1"/>
  <c r="K121" i="1"/>
  <c r="K130" i="1"/>
  <c r="K144" i="1"/>
  <c r="K139" i="1"/>
  <c r="R72" i="24"/>
  <c r="K532" i="28"/>
  <c r="G532" i="28"/>
  <c r="K125" i="1"/>
  <c r="W607" i="25"/>
  <c r="J72" i="24"/>
  <c r="H142" i="1"/>
  <c r="H142" i="26"/>
  <c r="K143" i="1"/>
  <c r="G72" i="24"/>
  <c r="K141" i="1"/>
  <c r="L146" i="1"/>
  <c r="L147" i="1" s="1"/>
  <c r="L21" i="1" s="1"/>
  <c r="H73" i="24"/>
  <c r="K135" i="1"/>
  <c r="K145" i="1"/>
  <c r="K116" i="1"/>
  <c r="M72" i="24"/>
  <c r="P68" i="25"/>
  <c r="L72" i="24" s="1"/>
  <c r="Q73" i="24"/>
  <c r="L532" i="28" l="1"/>
  <c r="M532" i="28" s="1"/>
  <c r="J68" i="25"/>
  <c r="F72" i="24" s="1"/>
  <c r="H143" i="1"/>
  <c r="H143" i="25"/>
  <c r="K124" i="1"/>
  <c r="K123" i="1"/>
  <c r="K138" i="1"/>
  <c r="K137" i="1"/>
  <c r="H116" i="25"/>
  <c r="H116" i="1"/>
  <c r="J67" i="28"/>
  <c r="H144" i="1"/>
  <c r="H144" i="25"/>
  <c r="H146" i="26"/>
  <c r="H146" i="1"/>
  <c r="F142" i="1"/>
  <c r="G142" i="1" s="1"/>
  <c r="F67" i="28"/>
  <c r="K129" i="1"/>
  <c r="K128" i="1"/>
  <c r="H130" i="25"/>
  <c r="H141" i="25"/>
  <c r="H141" i="1"/>
  <c r="N532" i="28"/>
  <c r="H145" i="1"/>
  <c r="H145" i="25"/>
  <c r="K134" i="1"/>
  <c r="K133" i="1"/>
  <c r="R74" i="24"/>
  <c r="R75" i="24"/>
  <c r="R73" i="24"/>
  <c r="K120" i="1"/>
  <c r="K119" i="1"/>
  <c r="G73" i="24"/>
  <c r="E72" i="24"/>
  <c r="H147" i="26" l="1"/>
  <c r="H119" i="25"/>
  <c r="H119" i="1"/>
  <c r="H133" i="25"/>
  <c r="H133" i="1"/>
  <c r="H128" i="1"/>
  <c r="H128" i="25"/>
  <c r="E75" i="24"/>
  <c r="E74" i="24"/>
  <c r="D72" i="24"/>
  <c r="E73" i="24"/>
  <c r="H120" i="25"/>
  <c r="H120" i="1"/>
  <c r="H134" i="25"/>
  <c r="H134" i="1"/>
  <c r="H129" i="25"/>
  <c r="H129" i="1"/>
  <c r="S144" i="25"/>
  <c r="S566" i="25" s="1"/>
  <c r="Q144" i="25"/>
  <c r="N144" i="25"/>
  <c r="N566" i="25" s="1"/>
  <c r="U144" i="25"/>
  <c r="U566" i="25" s="1"/>
  <c r="O144" i="25"/>
  <c r="O566" i="25" s="1"/>
  <c r="L144" i="25"/>
  <c r="L566" i="25" s="1"/>
  <c r="T144" i="25"/>
  <c r="R144" i="25"/>
  <c r="R566" i="25" s="1"/>
  <c r="V144" i="25"/>
  <c r="K144" i="25"/>
  <c r="H137" i="1"/>
  <c r="H137" i="25"/>
  <c r="N145" i="25"/>
  <c r="N567" i="25" s="1"/>
  <c r="J70" i="28"/>
  <c r="Q145" i="25"/>
  <c r="U145" i="25"/>
  <c r="U719" i="25" s="1"/>
  <c r="I63" i="30" s="1"/>
  <c r="T145" i="25"/>
  <c r="T719" i="25" s="1"/>
  <c r="H63" i="30" s="1"/>
  <c r="L145" i="25"/>
  <c r="L719" i="25" s="1"/>
  <c r="E63" i="30" s="1"/>
  <c r="O145" i="25"/>
  <c r="O719" i="25" s="1"/>
  <c r="V145" i="25"/>
  <c r="R145" i="25"/>
  <c r="R719" i="25" s="1"/>
  <c r="S145" i="25"/>
  <c r="S719" i="25" s="1"/>
  <c r="K145" i="25"/>
  <c r="H68" i="25"/>
  <c r="F70" i="28"/>
  <c r="F145" i="1"/>
  <c r="G145" i="1" s="1"/>
  <c r="F144" i="1"/>
  <c r="G144" i="1" s="1"/>
  <c r="F69" i="28"/>
  <c r="H138" i="25"/>
  <c r="H138" i="1"/>
  <c r="F73" i="24"/>
  <c r="H123" i="25"/>
  <c r="H123" i="1"/>
  <c r="F141" i="1"/>
  <c r="G141" i="1" s="1"/>
  <c r="F66" i="28"/>
  <c r="F146" i="1"/>
  <c r="F71" i="28"/>
  <c r="F41" i="28"/>
  <c r="F116" i="1"/>
  <c r="G116" i="1" s="1"/>
  <c r="H124" i="25"/>
  <c r="H124" i="1"/>
  <c r="J66" i="28"/>
  <c r="J71" i="28"/>
  <c r="N116" i="25"/>
  <c r="N555" i="25" s="1"/>
  <c r="Q116" i="25"/>
  <c r="V116" i="25"/>
  <c r="S116" i="25"/>
  <c r="S713" i="25" s="1"/>
  <c r="R116" i="25"/>
  <c r="R713" i="25" s="1"/>
  <c r="K116" i="25"/>
  <c r="T116" i="25"/>
  <c r="T713" i="25" s="1"/>
  <c r="H57" i="30" s="1"/>
  <c r="U116" i="25"/>
  <c r="U713" i="25" s="1"/>
  <c r="I57" i="30" s="1"/>
  <c r="L116" i="25"/>
  <c r="J41" i="28"/>
  <c r="O116" i="25"/>
  <c r="T143" i="25"/>
  <c r="T718" i="25" s="1"/>
  <c r="H62" i="30" s="1"/>
  <c r="L143" i="25"/>
  <c r="L718" i="25" s="1"/>
  <c r="E62" i="30" s="1"/>
  <c r="O143" i="25"/>
  <c r="O718" i="25" s="1"/>
  <c r="U143" i="25"/>
  <c r="U718" i="25" s="1"/>
  <c r="I62" i="30" s="1"/>
  <c r="R143" i="25"/>
  <c r="R718" i="25" s="1"/>
  <c r="V143" i="25"/>
  <c r="Q143" i="25"/>
  <c r="J68" i="28"/>
  <c r="K143" i="25"/>
  <c r="S143" i="25"/>
  <c r="S718" i="25" s="1"/>
  <c r="N143" i="25"/>
  <c r="J55" i="28"/>
  <c r="F143" i="1"/>
  <c r="G143" i="1" s="1"/>
  <c r="F68" i="28"/>
  <c r="U555" i="25" l="1"/>
  <c r="T555" i="25"/>
  <c r="O564" i="25"/>
  <c r="T567" i="25"/>
  <c r="L564" i="25"/>
  <c r="U567" i="25"/>
  <c r="S555" i="25"/>
  <c r="R555" i="25"/>
  <c r="U564" i="25"/>
  <c r="S564" i="25"/>
  <c r="T566" i="25"/>
  <c r="R567" i="25"/>
  <c r="M566" i="25"/>
  <c r="R564" i="25"/>
  <c r="V718" i="25"/>
  <c r="J62" i="30" s="1"/>
  <c r="I147" i="26"/>
  <c r="K71" i="28"/>
  <c r="G71" i="28"/>
  <c r="S124" i="25"/>
  <c r="U124" i="25"/>
  <c r="N124" i="25"/>
  <c r="V124" i="25"/>
  <c r="I124" i="25" s="1"/>
  <c r="J49" i="28"/>
  <c r="K124" i="25"/>
  <c r="Q124" i="25"/>
  <c r="R124" i="25"/>
  <c r="L124" i="25"/>
  <c r="T124" i="25"/>
  <c r="O124" i="25"/>
  <c r="K719" i="25"/>
  <c r="P145" i="25"/>
  <c r="Q719" i="25"/>
  <c r="P719" i="25" s="1"/>
  <c r="G63" i="30" s="1"/>
  <c r="F45" i="28"/>
  <c r="F120" i="1"/>
  <c r="G120" i="1" s="1"/>
  <c r="N120" i="1"/>
  <c r="K555" i="25"/>
  <c r="K713" i="25"/>
  <c r="K67" i="28"/>
  <c r="G67" i="28"/>
  <c r="S120" i="25"/>
  <c r="V120" i="25"/>
  <c r="J45" i="28"/>
  <c r="O120" i="25"/>
  <c r="R120" i="25"/>
  <c r="Q120" i="25"/>
  <c r="U120" i="25"/>
  <c r="K120" i="25"/>
  <c r="L120" i="25"/>
  <c r="T120" i="25"/>
  <c r="N120" i="25"/>
  <c r="K718" i="25"/>
  <c r="K564" i="25"/>
  <c r="L567" i="25"/>
  <c r="N719" i="25"/>
  <c r="M719" i="25" s="1"/>
  <c r="F63" i="30" s="1"/>
  <c r="M145" i="25"/>
  <c r="K566" i="25"/>
  <c r="M144" i="25"/>
  <c r="S128" i="25"/>
  <c r="N128" i="25"/>
  <c r="T128" i="25"/>
  <c r="U128" i="25"/>
  <c r="L128" i="25"/>
  <c r="Q128" i="25"/>
  <c r="V128" i="25"/>
  <c r="J53" i="28"/>
  <c r="R128" i="25"/>
  <c r="O128" i="25"/>
  <c r="K128" i="25"/>
  <c r="N564" i="25"/>
  <c r="N718" i="25"/>
  <c r="M718" i="25" s="1"/>
  <c r="F62" i="30" s="1"/>
  <c r="M143" i="25"/>
  <c r="F123" i="1"/>
  <c r="H125" i="1"/>
  <c r="F50" i="28" s="1"/>
  <c r="F48" i="28"/>
  <c r="X68" i="25"/>
  <c r="W68" i="25"/>
  <c r="S567" i="25"/>
  <c r="V719" i="25"/>
  <c r="J63" i="30" s="1"/>
  <c r="S137" i="25"/>
  <c r="K137" i="25"/>
  <c r="H139" i="25"/>
  <c r="U137" i="25"/>
  <c r="V137" i="25"/>
  <c r="L137" i="25"/>
  <c r="Q137" i="25"/>
  <c r="J62" i="28"/>
  <c r="T137" i="25"/>
  <c r="N137" i="25"/>
  <c r="O137" i="25"/>
  <c r="R137" i="25"/>
  <c r="P144" i="25"/>
  <c r="D73" i="24"/>
  <c r="F128" i="1"/>
  <c r="F53" i="28"/>
  <c r="Q555" i="25"/>
  <c r="P116" i="25"/>
  <c r="Q713" i="25"/>
  <c r="P713" i="25" s="1"/>
  <c r="G57" i="30" s="1"/>
  <c r="T564" i="25"/>
  <c r="O555" i="25"/>
  <c r="M555" i="25" s="1"/>
  <c r="O713" i="25"/>
  <c r="V555" i="25"/>
  <c r="V713" i="25"/>
  <c r="J57" i="30" s="1"/>
  <c r="S123" i="25"/>
  <c r="N123" i="25"/>
  <c r="R123" i="25"/>
  <c r="L123" i="25"/>
  <c r="K123" i="25"/>
  <c r="T123" i="25"/>
  <c r="J48" i="28"/>
  <c r="V123" i="25"/>
  <c r="U123" i="25"/>
  <c r="Q123" i="25"/>
  <c r="H125" i="25"/>
  <c r="O123" i="25"/>
  <c r="F137" i="1"/>
  <c r="G137" i="1" s="1"/>
  <c r="F62" i="28"/>
  <c r="H139" i="1"/>
  <c r="F64" i="28" s="1"/>
  <c r="G488" i="28"/>
  <c r="K488" i="28"/>
  <c r="I568" i="26"/>
  <c r="V566" i="25"/>
  <c r="G69" i="28"/>
  <c r="F129" i="1"/>
  <c r="G129" i="1" s="1"/>
  <c r="F54" i="28"/>
  <c r="H130" i="1"/>
  <c r="F55" i="28" s="1"/>
  <c r="H135" i="1"/>
  <c r="F60" i="28" s="1"/>
  <c r="F133" i="1"/>
  <c r="F58" i="28"/>
  <c r="S129" i="25"/>
  <c r="K129" i="25"/>
  <c r="V129" i="25"/>
  <c r="N129" i="25"/>
  <c r="R129" i="25"/>
  <c r="O129" i="25"/>
  <c r="Q129" i="25"/>
  <c r="T129" i="25"/>
  <c r="J54" i="28"/>
  <c r="U129" i="25"/>
  <c r="L129" i="25"/>
  <c r="S133" i="25"/>
  <c r="H135" i="25"/>
  <c r="T133" i="25"/>
  <c r="J58" i="28"/>
  <c r="L133" i="25"/>
  <c r="N133" i="25"/>
  <c r="K133" i="25"/>
  <c r="Q133" i="25"/>
  <c r="R133" i="25"/>
  <c r="V133" i="25"/>
  <c r="O133" i="25"/>
  <c r="U133" i="25"/>
  <c r="F138" i="1"/>
  <c r="G138" i="1" s="1"/>
  <c r="F63" i="28"/>
  <c r="L555" i="25"/>
  <c r="L713" i="25"/>
  <c r="E57" i="30" s="1"/>
  <c r="N713" i="25"/>
  <c r="M116" i="25"/>
  <c r="S138" i="25"/>
  <c r="L138" i="25"/>
  <c r="O138" i="25"/>
  <c r="K138" i="25"/>
  <c r="J63" i="28"/>
  <c r="R138" i="25"/>
  <c r="N138" i="25"/>
  <c r="Q138" i="25"/>
  <c r="V138" i="25"/>
  <c r="U138" i="25"/>
  <c r="T138" i="25"/>
  <c r="V567" i="25"/>
  <c r="Q567" i="25"/>
  <c r="Q566" i="25"/>
  <c r="P566" i="25" s="1"/>
  <c r="F59" i="28"/>
  <c r="F134" i="1"/>
  <c r="G134" i="1" s="1"/>
  <c r="N119" i="1"/>
  <c r="F119" i="1"/>
  <c r="F121" i="1" s="1"/>
  <c r="F44" i="28"/>
  <c r="H121" i="1"/>
  <c r="F46" i="28" s="1"/>
  <c r="V564" i="25"/>
  <c r="Q564" i="25"/>
  <c r="Q718" i="25"/>
  <c r="P718" i="25" s="1"/>
  <c r="G62" i="30" s="1"/>
  <c r="P143" i="25"/>
  <c r="F49" i="28"/>
  <c r="F124" i="1"/>
  <c r="G124" i="1" s="1"/>
  <c r="K567" i="25"/>
  <c r="O567" i="25"/>
  <c r="M567" i="25" s="1"/>
  <c r="S134" i="25"/>
  <c r="U134" i="25"/>
  <c r="N134" i="25"/>
  <c r="Q134" i="25"/>
  <c r="K134" i="25"/>
  <c r="O134" i="25"/>
  <c r="L134" i="25"/>
  <c r="T134" i="25"/>
  <c r="R134" i="25"/>
  <c r="J59" i="28"/>
  <c r="V134" i="25"/>
  <c r="S119" i="25"/>
  <c r="Q119" i="25"/>
  <c r="T119" i="25"/>
  <c r="U119" i="25"/>
  <c r="J44" i="28"/>
  <c r="L119" i="25"/>
  <c r="N119" i="25"/>
  <c r="H121" i="25"/>
  <c r="K119" i="25"/>
  <c r="O119" i="25"/>
  <c r="R119" i="25"/>
  <c r="V119" i="25"/>
  <c r="L125" i="25" l="1"/>
  <c r="L736" i="25" s="1"/>
  <c r="E80" i="30" s="1"/>
  <c r="G119" i="1"/>
  <c r="G121" i="1" s="1"/>
  <c r="R130" i="25"/>
  <c r="J145" i="25"/>
  <c r="J144" i="25"/>
  <c r="H69" i="28" s="1"/>
  <c r="N69" i="28" s="1"/>
  <c r="J566" i="25"/>
  <c r="L491" i="28" s="1"/>
  <c r="M491" i="28" s="1"/>
  <c r="J143" i="25"/>
  <c r="T121" i="25"/>
  <c r="T557" i="25" s="1"/>
  <c r="W116" i="25"/>
  <c r="J116" i="25"/>
  <c r="M565" i="25"/>
  <c r="O125" i="25"/>
  <c r="O558" i="25" s="1"/>
  <c r="M564" i="25"/>
  <c r="R125" i="25"/>
  <c r="R736" i="25" s="1"/>
  <c r="S125" i="25"/>
  <c r="S736" i="25" s="1"/>
  <c r="S121" i="25"/>
  <c r="S557" i="25" s="1"/>
  <c r="L121" i="25"/>
  <c r="L714" i="25" s="1"/>
  <c r="E58" i="30" s="1"/>
  <c r="P555" i="25"/>
  <c r="J555" i="25" s="1"/>
  <c r="S130" i="25"/>
  <c r="S559" i="25" s="1"/>
  <c r="H70" i="28"/>
  <c r="I70" i="28" s="1"/>
  <c r="R121" i="25"/>
  <c r="P564" i="25"/>
  <c r="L130" i="25"/>
  <c r="L559" i="25" s="1"/>
  <c r="W144" i="25"/>
  <c r="U121" i="25"/>
  <c r="U557" i="25" s="1"/>
  <c r="M713" i="25"/>
  <c r="F57" i="30" s="1"/>
  <c r="P567" i="25"/>
  <c r="W567" i="25" s="1"/>
  <c r="M138" i="25"/>
  <c r="M120" i="25"/>
  <c r="W143" i="25"/>
  <c r="U130" i="25"/>
  <c r="U559" i="25" s="1"/>
  <c r="U125" i="25"/>
  <c r="U736" i="25" s="1"/>
  <c r="I80" i="30" s="1"/>
  <c r="M134" i="25"/>
  <c r="L135" i="25"/>
  <c r="L560" i="25" s="1"/>
  <c r="T130" i="25"/>
  <c r="O121" i="25"/>
  <c r="O557" i="25" s="1"/>
  <c r="P138" i="25"/>
  <c r="O130" i="25"/>
  <c r="O559" i="25" s="1"/>
  <c r="T125" i="25"/>
  <c r="T736" i="25" s="1"/>
  <c r="H80" i="30" s="1"/>
  <c r="T139" i="25"/>
  <c r="T716" i="25" s="1"/>
  <c r="H60" i="30" s="1"/>
  <c r="L70" i="28"/>
  <c r="M70" i="28" s="1"/>
  <c r="Q121" i="25"/>
  <c r="Q557" i="25" s="1"/>
  <c r="P119" i="25"/>
  <c r="N121" i="1"/>
  <c r="O120" i="1" s="1"/>
  <c r="V135" i="25"/>
  <c r="V560" i="25" s="1"/>
  <c r="J60" i="28"/>
  <c r="R559" i="25"/>
  <c r="G491" i="28"/>
  <c r="K491" i="28"/>
  <c r="F139" i="1"/>
  <c r="L139" i="25"/>
  <c r="L716" i="25" s="1"/>
  <c r="E60" i="30" s="1"/>
  <c r="G66" i="28"/>
  <c r="K66" i="28"/>
  <c r="P128" i="25"/>
  <c r="M124" i="25"/>
  <c r="K121" i="25"/>
  <c r="K557" i="25" s="1"/>
  <c r="P134" i="25"/>
  <c r="R135" i="25"/>
  <c r="S135" i="25"/>
  <c r="M129" i="25"/>
  <c r="N130" i="25"/>
  <c r="G133" i="1"/>
  <c r="G135" i="1" s="1"/>
  <c r="F135" i="1"/>
  <c r="G128" i="1"/>
  <c r="G130" i="1" s="1"/>
  <c r="F130" i="1"/>
  <c r="V139" i="25"/>
  <c r="G487" i="28"/>
  <c r="K487" i="28"/>
  <c r="W566" i="25"/>
  <c r="D62" i="30"/>
  <c r="K62" i="30" s="1"/>
  <c r="J718" i="25"/>
  <c r="H718" i="25" s="1"/>
  <c r="W718" i="25" s="1"/>
  <c r="J46" i="28"/>
  <c r="G59" i="28"/>
  <c r="K59" i="28"/>
  <c r="G63" i="28"/>
  <c r="K63" i="28"/>
  <c r="P133" i="25"/>
  <c r="Q135" i="25"/>
  <c r="V130" i="25"/>
  <c r="K125" i="25"/>
  <c r="R139" i="25"/>
  <c r="U139" i="25"/>
  <c r="U561" i="25" s="1"/>
  <c r="K68" i="28"/>
  <c r="G68" i="28"/>
  <c r="N121" i="25"/>
  <c r="M119" i="25"/>
  <c r="K135" i="25"/>
  <c r="K560" i="25" s="1"/>
  <c r="K130" i="25"/>
  <c r="O139" i="25"/>
  <c r="O561" i="25" s="1"/>
  <c r="J64" i="28"/>
  <c r="K45" i="28"/>
  <c r="G45" i="28"/>
  <c r="K139" i="25"/>
  <c r="K561" i="25" s="1"/>
  <c r="M128" i="25"/>
  <c r="D57" i="30"/>
  <c r="K57" i="30" s="1"/>
  <c r="W145" i="25"/>
  <c r="P124" i="25"/>
  <c r="M137" i="25"/>
  <c r="N139" i="25"/>
  <c r="N561" i="25" s="1"/>
  <c r="G139" i="1"/>
  <c r="P123" i="25"/>
  <c r="Q125" i="25"/>
  <c r="Q558" i="25" s="1"/>
  <c r="N125" i="25"/>
  <c r="N558" i="25" s="1"/>
  <c r="M123" i="25"/>
  <c r="S139" i="25"/>
  <c r="S561" i="25" s="1"/>
  <c r="J50" i="28"/>
  <c r="K489" i="28"/>
  <c r="G489" i="28"/>
  <c r="V121" i="25"/>
  <c r="V557" i="25" s="1"/>
  <c r="K492" i="28"/>
  <c r="G492" i="28"/>
  <c r="U135" i="25"/>
  <c r="U560" i="25" s="1"/>
  <c r="Q130" i="25"/>
  <c r="P129" i="25"/>
  <c r="K490" i="28"/>
  <c r="G490" i="28"/>
  <c r="K41" i="28"/>
  <c r="G41" i="28"/>
  <c r="G123" i="1"/>
  <c r="G125" i="1" s="1"/>
  <c r="F125" i="1"/>
  <c r="D63" i="30"/>
  <c r="K63" i="30" s="1"/>
  <c r="J719" i="25"/>
  <c r="H719" i="25" s="1"/>
  <c r="M133" i="25"/>
  <c r="N135" i="25"/>
  <c r="O135" i="25"/>
  <c r="O560" i="25" s="1"/>
  <c r="T135" i="25"/>
  <c r="V125" i="25"/>
  <c r="V736" i="25" s="1"/>
  <c r="J80" i="30" s="1"/>
  <c r="G480" i="28"/>
  <c r="K480" i="28"/>
  <c r="P565" i="25"/>
  <c r="P137" i="25"/>
  <c r="Q139" i="25"/>
  <c r="K70" i="28"/>
  <c r="G70" i="28"/>
  <c r="K53" i="28"/>
  <c r="G53" i="28"/>
  <c r="P120" i="25"/>
  <c r="G49" i="28"/>
  <c r="K49" i="28"/>
  <c r="K115" i="1"/>
  <c r="H491" i="28" l="1"/>
  <c r="I491" i="28" s="1"/>
  <c r="R558" i="25"/>
  <c r="W564" i="25"/>
  <c r="L558" i="25"/>
  <c r="J133" i="25"/>
  <c r="L58" i="28" s="1"/>
  <c r="M58" i="28" s="1"/>
  <c r="J128" i="25"/>
  <c r="H53" i="28" s="1"/>
  <c r="I53" i="28" s="1"/>
  <c r="R714" i="25"/>
  <c r="L557" i="25"/>
  <c r="W555" i="25"/>
  <c r="W565" i="25"/>
  <c r="O736" i="25"/>
  <c r="J119" i="25"/>
  <c r="J565" i="25"/>
  <c r="J137" i="25"/>
  <c r="J124" i="25"/>
  <c r="L49" i="28" s="1"/>
  <c r="M49" i="28" s="1"/>
  <c r="J567" i="25"/>
  <c r="H492" i="28" s="1"/>
  <c r="N492" i="28" s="1"/>
  <c r="J123" i="25"/>
  <c r="J564" i="25"/>
  <c r="J129" i="25"/>
  <c r="J134" i="25"/>
  <c r="N70" i="28"/>
  <c r="J138" i="25"/>
  <c r="H63" i="28" s="1"/>
  <c r="I63" i="28" s="1"/>
  <c r="J120" i="25"/>
  <c r="L45" i="28" s="1"/>
  <c r="M45" i="28" s="1"/>
  <c r="J713" i="25"/>
  <c r="H713" i="25" s="1"/>
  <c r="R785" i="25" s="1"/>
  <c r="S558" i="25"/>
  <c r="P558" i="25" s="1"/>
  <c r="W138" i="25"/>
  <c r="S714" i="25"/>
  <c r="S715" i="25"/>
  <c r="T561" i="25"/>
  <c r="L715" i="25"/>
  <c r="E59" i="30" s="1"/>
  <c r="R557" i="25"/>
  <c r="P557" i="25" s="1"/>
  <c r="T558" i="25"/>
  <c r="W124" i="25"/>
  <c r="W123" i="25"/>
  <c r="W119" i="25"/>
  <c r="W129" i="25"/>
  <c r="U558" i="25"/>
  <c r="M558" i="25"/>
  <c r="O714" i="25"/>
  <c r="W137" i="25"/>
  <c r="M561" i="25"/>
  <c r="T715" i="25"/>
  <c r="H59" i="30" s="1"/>
  <c r="W134" i="25"/>
  <c r="W128" i="25"/>
  <c r="U714" i="25"/>
  <c r="I58" i="30" s="1"/>
  <c r="T559" i="25"/>
  <c r="T714" i="25"/>
  <c r="H58" i="30" s="1"/>
  <c r="L561" i="25"/>
  <c r="G482" i="28"/>
  <c r="K482" i="28"/>
  <c r="P130" i="25"/>
  <c r="Q715" i="25"/>
  <c r="Q559" i="25"/>
  <c r="P559" i="25" s="1"/>
  <c r="W120" i="25"/>
  <c r="K715" i="25"/>
  <c r="K559" i="25"/>
  <c r="R561" i="25"/>
  <c r="R716" i="25"/>
  <c r="R560" i="25"/>
  <c r="V558" i="25"/>
  <c r="T790" i="25"/>
  <c r="H62" i="31" s="1"/>
  <c r="K790" i="25"/>
  <c r="N790" i="25"/>
  <c r="M790" i="25"/>
  <c r="F62" i="31" s="1"/>
  <c r="O790" i="25"/>
  <c r="U790" i="25"/>
  <c r="I62" i="31" s="1"/>
  <c r="V790" i="25"/>
  <c r="J62" i="31" s="1"/>
  <c r="S790" i="25"/>
  <c r="L790" i="25"/>
  <c r="E62" i="31" s="1"/>
  <c r="P790" i="25"/>
  <c r="G62" i="31" s="1"/>
  <c r="Q790" i="25"/>
  <c r="R790" i="25"/>
  <c r="H115" i="25"/>
  <c r="H115" i="1"/>
  <c r="K147" i="1"/>
  <c r="S716" i="25"/>
  <c r="O716" i="25"/>
  <c r="Q560" i="25"/>
  <c r="P135" i="25"/>
  <c r="H68" i="28"/>
  <c r="I68" i="28" s="1"/>
  <c r="L68" i="28"/>
  <c r="M68" i="28" s="1"/>
  <c r="N491" i="28"/>
  <c r="S791" i="25"/>
  <c r="U791" i="25"/>
  <c r="V791" i="25"/>
  <c r="J63" i="31" s="1"/>
  <c r="P791" i="25"/>
  <c r="G63" i="31" s="1"/>
  <c r="N791" i="25"/>
  <c r="Q791" i="25"/>
  <c r="K791" i="25"/>
  <c r="O791" i="25"/>
  <c r="L791" i="25"/>
  <c r="M791" i="25"/>
  <c r="F63" i="31" s="1"/>
  <c r="T791" i="25"/>
  <c r="R791" i="25"/>
  <c r="N560" i="25"/>
  <c r="M560" i="25" s="1"/>
  <c r="M135" i="25"/>
  <c r="L480" i="28"/>
  <c r="M480" i="28" s="1"/>
  <c r="H480" i="28"/>
  <c r="I480" i="28" s="1"/>
  <c r="K48" i="28"/>
  <c r="G48" i="28"/>
  <c r="O715" i="25"/>
  <c r="U715" i="25"/>
  <c r="I59" i="30" s="1"/>
  <c r="N557" i="25"/>
  <c r="M557" i="25" s="1"/>
  <c r="N714" i="25"/>
  <c r="M121" i="25"/>
  <c r="K558" i="25"/>
  <c r="K736" i="25"/>
  <c r="S560" i="25"/>
  <c r="P121" i="25"/>
  <c r="Q714" i="25"/>
  <c r="T560" i="25"/>
  <c r="W719" i="25"/>
  <c r="V714" i="25"/>
  <c r="J58" i="30" s="1"/>
  <c r="W133" i="25"/>
  <c r="K714" i="25"/>
  <c r="K485" i="28"/>
  <c r="G485" i="28"/>
  <c r="V715" i="25"/>
  <c r="J59" i="30" s="1"/>
  <c r="V559" i="25"/>
  <c r="M130" i="25"/>
  <c r="N715" i="25"/>
  <c r="N559" i="25"/>
  <c r="M559" i="25" s="1"/>
  <c r="R715" i="25"/>
  <c r="I135" i="25"/>
  <c r="G58" i="28"/>
  <c r="K58" i="28"/>
  <c r="G44" i="28"/>
  <c r="K44" i="28"/>
  <c r="K253" i="1"/>
  <c r="P139" i="25"/>
  <c r="Q716" i="25"/>
  <c r="N736" i="25"/>
  <c r="M125" i="25"/>
  <c r="N716" i="25"/>
  <c r="M139" i="25"/>
  <c r="K716" i="25"/>
  <c r="Q561" i="25"/>
  <c r="H41" i="28"/>
  <c r="I41" i="28" s="1"/>
  <c r="L41" i="28"/>
  <c r="M41" i="28" s="1"/>
  <c r="G54" i="28"/>
  <c r="K54" i="28"/>
  <c r="K62" i="28"/>
  <c r="G62" i="28"/>
  <c r="I139" i="25"/>
  <c r="O119" i="1"/>
  <c r="Q736" i="25"/>
  <c r="P736" i="25" s="1"/>
  <c r="G80" i="30" s="1"/>
  <c r="P125" i="25"/>
  <c r="U716" i="25"/>
  <c r="I60" i="30" s="1"/>
  <c r="V561" i="25"/>
  <c r="V716" i="25"/>
  <c r="J60" i="30" s="1"/>
  <c r="H58" i="28" l="1"/>
  <c r="I58" i="28" s="1"/>
  <c r="L53" i="28"/>
  <c r="M53" i="28" s="1"/>
  <c r="W713" i="25"/>
  <c r="H45" i="28"/>
  <c r="I45" i="28" s="1"/>
  <c r="Q785" i="25"/>
  <c r="M785" i="25"/>
  <c r="F57" i="31" s="1"/>
  <c r="K785" i="25"/>
  <c r="T785" i="25"/>
  <c r="H57" i="31" s="1"/>
  <c r="V785" i="25"/>
  <c r="J57" i="31" s="1"/>
  <c r="S785" i="25"/>
  <c r="H49" i="28"/>
  <c r="I49" i="28" s="1"/>
  <c r="N785" i="25"/>
  <c r="N58" i="28"/>
  <c r="P785" i="25"/>
  <c r="G57" i="31" s="1"/>
  <c r="L785" i="25"/>
  <c r="E57" i="31" s="1"/>
  <c r="M736" i="25"/>
  <c r="F80" i="30" s="1"/>
  <c r="L492" i="28"/>
  <c r="L63" i="28"/>
  <c r="M63" i="28" s="1"/>
  <c r="J130" i="25"/>
  <c r="U785" i="25"/>
  <c r="J557" i="25"/>
  <c r="J559" i="25"/>
  <c r="J558" i="25"/>
  <c r="O785" i="25"/>
  <c r="J135" i="25"/>
  <c r="H60" i="28" s="1"/>
  <c r="I60" i="28" s="1"/>
  <c r="J139" i="25"/>
  <c r="H64" i="28" s="1"/>
  <c r="I64" i="28" s="1"/>
  <c r="J125" i="25"/>
  <c r="L50" i="28" s="1"/>
  <c r="M50" i="28" s="1"/>
  <c r="L489" i="28"/>
  <c r="M489" i="28" s="1"/>
  <c r="H489" i="28"/>
  <c r="J121" i="25"/>
  <c r="P714" i="25"/>
  <c r="G58" i="30" s="1"/>
  <c r="W130" i="25"/>
  <c r="P561" i="25"/>
  <c r="W561" i="25" s="1"/>
  <c r="M714" i="25"/>
  <c r="F58" i="30" s="1"/>
  <c r="M716" i="25"/>
  <c r="F60" i="30" s="1"/>
  <c r="P716" i="25"/>
  <c r="G60" i="30" s="1"/>
  <c r="W558" i="25"/>
  <c r="W121" i="25"/>
  <c r="W139" i="25"/>
  <c r="W135" i="25"/>
  <c r="M715" i="25"/>
  <c r="F59" i="30" s="1"/>
  <c r="W557" i="25"/>
  <c r="W125" i="25"/>
  <c r="G484" i="28"/>
  <c r="K484" i="28"/>
  <c r="H62" i="28"/>
  <c r="I62" i="28" s="1"/>
  <c r="L62" i="28"/>
  <c r="M62" i="28" s="1"/>
  <c r="D80" i="30"/>
  <c r="N41" i="28"/>
  <c r="K483" i="28"/>
  <c r="G483" i="28"/>
  <c r="P715" i="25"/>
  <c r="G59" i="30" s="1"/>
  <c r="D60" i="30"/>
  <c r="K55" i="28"/>
  <c r="G55" i="28"/>
  <c r="D58" i="30"/>
  <c r="K58" i="30" s="1"/>
  <c r="W559" i="25"/>
  <c r="G50" i="28"/>
  <c r="K50" i="28"/>
  <c r="N53" i="28"/>
  <c r="J790" i="25"/>
  <c r="H790" i="25" s="1"/>
  <c r="W790" i="25" s="1"/>
  <c r="D62" i="31"/>
  <c r="K62" i="31" s="1"/>
  <c r="D57" i="31"/>
  <c r="K64" i="28"/>
  <c r="G64" i="28"/>
  <c r="G46" i="28"/>
  <c r="K46" i="28"/>
  <c r="H63" i="31"/>
  <c r="K21" i="1"/>
  <c r="H21" i="1" s="1"/>
  <c r="F21" i="1" s="1"/>
  <c r="G21" i="1" s="1"/>
  <c r="H147" i="1"/>
  <c r="F72" i="28" s="1"/>
  <c r="L59" i="28"/>
  <c r="M59" i="28" s="1"/>
  <c r="H59" i="28"/>
  <c r="I63" i="31"/>
  <c r="H44" i="28"/>
  <c r="I44" i="28" s="1"/>
  <c r="L44" i="28"/>
  <c r="M44" i="28" s="1"/>
  <c r="F115" i="1"/>
  <c r="F40" i="28"/>
  <c r="P560" i="25"/>
  <c r="W560" i="25" s="1"/>
  <c r="D59" i="30"/>
  <c r="H253" i="1"/>
  <c r="H253" i="25"/>
  <c r="E63" i="31"/>
  <c r="N115" i="25"/>
  <c r="K115" i="25"/>
  <c r="K554" i="25" s="1"/>
  <c r="S115" i="25"/>
  <c r="S554" i="25" s="1"/>
  <c r="V115" i="25"/>
  <c r="V554" i="25" s="1"/>
  <c r="Q115" i="25"/>
  <c r="Q554" i="25" s="1"/>
  <c r="U115" i="25"/>
  <c r="U554" i="25" s="1"/>
  <c r="R115" i="25"/>
  <c r="R554" i="25" s="1"/>
  <c r="T115" i="25"/>
  <c r="O115" i="25"/>
  <c r="O554" i="25" s="1"/>
  <c r="J40" i="28"/>
  <c r="L115" i="25"/>
  <c r="H147" i="25"/>
  <c r="J72" i="28" s="1"/>
  <c r="L48" i="28"/>
  <c r="M48" i="28" s="1"/>
  <c r="H48" i="28"/>
  <c r="I48" i="28" s="1"/>
  <c r="K486" i="28"/>
  <c r="G486" i="28"/>
  <c r="L54" i="28"/>
  <c r="M54" i="28" s="1"/>
  <c r="H54" i="28"/>
  <c r="I54" i="28" s="1"/>
  <c r="N63" i="28"/>
  <c r="N68" i="28"/>
  <c r="I57" i="31"/>
  <c r="K60" i="28"/>
  <c r="G60" i="28"/>
  <c r="N480" i="28"/>
  <c r="D63" i="31"/>
  <c r="J791" i="25"/>
  <c r="H791" i="25" s="1"/>
  <c r="W791" i="25" s="1"/>
  <c r="K60" i="30" l="1"/>
  <c r="K80" i="30"/>
  <c r="K57" i="31"/>
  <c r="K63" i="31"/>
  <c r="K59" i="30"/>
  <c r="N45" i="28"/>
  <c r="H50" i="28"/>
  <c r="I50" i="28" s="1"/>
  <c r="N49" i="28"/>
  <c r="J785" i="25"/>
  <c r="H785" i="25" s="1"/>
  <c r="W785" i="25" s="1"/>
  <c r="J736" i="25"/>
  <c r="H736" i="25" s="1"/>
  <c r="W736" i="25" s="1"/>
  <c r="L64" i="28"/>
  <c r="M64" i="28" s="1"/>
  <c r="N60" i="28"/>
  <c r="J561" i="25"/>
  <c r="L60" i="28"/>
  <c r="M60" i="28" s="1"/>
  <c r="J560" i="25"/>
  <c r="L485" i="28" s="1"/>
  <c r="M485" i="28" s="1"/>
  <c r="I489" i="28"/>
  <c r="N489" i="28"/>
  <c r="N64" i="28"/>
  <c r="J714" i="25"/>
  <c r="H714" i="25" s="1"/>
  <c r="W714" i="25" s="1"/>
  <c r="J716" i="25"/>
  <c r="H716" i="25" s="1"/>
  <c r="W716" i="25" s="1"/>
  <c r="J715" i="25"/>
  <c r="H715" i="25" s="1"/>
  <c r="W715" i="25" s="1"/>
  <c r="P115" i="25"/>
  <c r="Q712" i="25"/>
  <c r="N62" i="28"/>
  <c r="V712" i="25"/>
  <c r="J56" i="30" s="1"/>
  <c r="L554" i="25"/>
  <c r="L712" i="25"/>
  <c r="E56" i="30" s="1"/>
  <c r="S712" i="25"/>
  <c r="H46" i="28"/>
  <c r="I46" i="28" s="1"/>
  <c r="L46" i="28"/>
  <c r="M46" i="28" s="1"/>
  <c r="P554" i="25"/>
  <c r="K712" i="25"/>
  <c r="G115" i="1"/>
  <c r="G147" i="1" s="1"/>
  <c r="F147" i="1"/>
  <c r="L484" i="28"/>
  <c r="M484" i="28" s="1"/>
  <c r="H484" i="28"/>
  <c r="I484" i="28" s="1"/>
  <c r="O712" i="25"/>
  <c r="M115" i="25"/>
  <c r="N712" i="25"/>
  <c r="L55" i="28"/>
  <c r="M55" i="28" s="1"/>
  <c r="H55" i="28"/>
  <c r="I55" i="28" s="1"/>
  <c r="H482" i="28"/>
  <c r="L482" i="28"/>
  <c r="M482" i="28" s="1"/>
  <c r="T712" i="25"/>
  <c r="H56" i="30" s="1"/>
  <c r="I59" i="28"/>
  <c r="N59" i="28"/>
  <c r="L483" i="28"/>
  <c r="M483" i="28" s="1"/>
  <c r="H483" i="28"/>
  <c r="I483" i="28" s="1"/>
  <c r="N44" i="28"/>
  <c r="T554" i="25"/>
  <c r="R712" i="25"/>
  <c r="S253" i="25"/>
  <c r="J178" i="28"/>
  <c r="Q253" i="25"/>
  <c r="U253" i="25"/>
  <c r="N253" i="25"/>
  <c r="V253" i="25"/>
  <c r="R253" i="25"/>
  <c r="K253" i="25"/>
  <c r="T253" i="25"/>
  <c r="O253" i="25"/>
  <c r="L253" i="25"/>
  <c r="N48" i="28"/>
  <c r="N554" i="25"/>
  <c r="U712" i="25"/>
  <c r="I56" i="30" s="1"/>
  <c r="F178" i="28"/>
  <c r="F253" i="1"/>
  <c r="G253" i="1" s="1"/>
  <c r="N54" i="28"/>
  <c r="V808" i="25" l="1"/>
  <c r="J80" i="31" s="1"/>
  <c r="P808" i="25"/>
  <c r="G80" i="31" s="1"/>
  <c r="N50" i="28"/>
  <c r="S808" i="25"/>
  <c r="O808" i="25"/>
  <c r="N808" i="25"/>
  <c r="Q808" i="25"/>
  <c r="T808" i="25"/>
  <c r="H80" i="31" s="1"/>
  <c r="R808" i="25"/>
  <c r="K808" i="25"/>
  <c r="D80" i="31" s="1"/>
  <c r="L808" i="25"/>
  <c r="U808" i="25"/>
  <c r="M808" i="25"/>
  <c r="F80" i="31" s="1"/>
  <c r="H485" i="28"/>
  <c r="N485" i="28" s="1"/>
  <c r="K787" i="25"/>
  <c r="D59" i="31" s="1"/>
  <c r="L787" i="25"/>
  <c r="E59" i="31" s="1"/>
  <c r="R787" i="25"/>
  <c r="Q787" i="25"/>
  <c r="S787" i="25"/>
  <c r="M787" i="25"/>
  <c r="F59" i="31" s="1"/>
  <c r="S788" i="25"/>
  <c r="R788" i="25"/>
  <c r="K788" i="25"/>
  <c r="D60" i="31" s="1"/>
  <c r="L788" i="25"/>
  <c r="E60" i="31" s="1"/>
  <c r="Q788" i="25"/>
  <c r="P787" i="25"/>
  <c r="G59" i="31" s="1"/>
  <c r="U787" i="25"/>
  <c r="V787" i="25"/>
  <c r="J59" i="31" s="1"/>
  <c r="T787" i="25"/>
  <c r="N484" i="28"/>
  <c r="N787" i="25"/>
  <c r="O787" i="25"/>
  <c r="L486" i="28"/>
  <c r="M486" i="28" s="1"/>
  <c r="H486" i="28"/>
  <c r="N55" i="28"/>
  <c r="V788" i="25"/>
  <c r="J60" i="31" s="1"/>
  <c r="P788" i="25"/>
  <c r="G60" i="31" s="1"/>
  <c r="N788" i="25"/>
  <c r="T788" i="25"/>
  <c r="H60" i="31" s="1"/>
  <c r="U788" i="25"/>
  <c r="I60" i="31" s="1"/>
  <c r="S786" i="25"/>
  <c r="S661" i="25" s="1"/>
  <c r="K786" i="25"/>
  <c r="D58" i="31" s="1"/>
  <c r="Q786" i="25"/>
  <c r="Q661" i="25" s="1"/>
  <c r="V786" i="25"/>
  <c r="T786" i="25"/>
  <c r="H58" i="31" s="1"/>
  <c r="N786" i="25"/>
  <c r="N661" i="25" s="1"/>
  <c r="R786" i="25"/>
  <c r="R661" i="25" s="1"/>
  <c r="L786" i="25"/>
  <c r="L661" i="25" s="1"/>
  <c r="M786" i="25"/>
  <c r="F58" i="31" s="1"/>
  <c r="P786" i="25"/>
  <c r="G58" i="31" s="1"/>
  <c r="M788" i="25"/>
  <c r="F60" i="31" s="1"/>
  <c r="O786" i="25"/>
  <c r="O661" i="25" s="1"/>
  <c r="O788" i="25"/>
  <c r="U786" i="25"/>
  <c r="I58" i="31" s="1"/>
  <c r="J115" i="25"/>
  <c r="M712" i="25"/>
  <c r="F56" i="30" s="1"/>
  <c r="P253" i="25"/>
  <c r="M253" i="25"/>
  <c r="D56" i="30"/>
  <c r="N483" i="28"/>
  <c r="N46" i="28"/>
  <c r="I59" i="31"/>
  <c r="H59" i="31"/>
  <c r="M554" i="25"/>
  <c r="J554" i="25" s="1"/>
  <c r="K40" i="28"/>
  <c r="G40" i="28"/>
  <c r="I147" i="25"/>
  <c r="G321" i="28"/>
  <c r="K321" i="28"/>
  <c r="I482" i="28"/>
  <c r="N482" i="28"/>
  <c r="P712" i="25"/>
  <c r="G56" i="30" s="1"/>
  <c r="I259" i="26"/>
  <c r="I80" i="31"/>
  <c r="K479" i="28"/>
  <c r="G479" i="28"/>
  <c r="I568" i="25"/>
  <c r="K322" i="28"/>
  <c r="G322" i="28"/>
  <c r="G178" i="28"/>
  <c r="K178" i="28"/>
  <c r="W115" i="25"/>
  <c r="M153" i="1"/>
  <c r="H153" i="27" s="1"/>
  <c r="L153" i="1"/>
  <c r="H153" i="26" s="1"/>
  <c r="V661" i="25" l="1"/>
  <c r="J58" i="31"/>
  <c r="K59" i="31"/>
  <c r="K60" i="31"/>
  <c r="K56" i="30"/>
  <c r="T661" i="25"/>
  <c r="I485" i="28"/>
  <c r="K661" i="25"/>
  <c r="J808" i="25"/>
  <c r="H808" i="25" s="1"/>
  <c r="W808" i="25" s="1"/>
  <c r="E80" i="31"/>
  <c r="K80" i="31" s="1"/>
  <c r="E58" i="31"/>
  <c r="K58" i="31" s="1"/>
  <c r="U661" i="25"/>
  <c r="J787" i="25"/>
  <c r="H787" i="25" s="1"/>
  <c r="W787" i="25" s="1"/>
  <c r="J788" i="25"/>
  <c r="H788" i="25" s="1"/>
  <c r="W788" i="25" s="1"/>
  <c r="J253" i="25"/>
  <c r="H178" i="28" s="1"/>
  <c r="N178" i="28" s="1"/>
  <c r="I486" i="28"/>
  <c r="N486" i="28"/>
  <c r="J786" i="25"/>
  <c r="H786" i="25" s="1"/>
  <c r="W786" i="25" s="1"/>
  <c r="P661" i="25"/>
  <c r="W253" i="25"/>
  <c r="W554" i="25"/>
  <c r="G493" i="28"/>
  <c r="K493" i="28"/>
  <c r="K596" i="28"/>
  <c r="G596" i="28"/>
  <c r="H479" i="28"/>
  <c r="I479" i="28" s="1"/>
  <c r="L479" i="28"/>
  <c r="M479" i="28" s="1"/>
  <c r="K320" i="28"/>
  <c r="G320" i="28"/>
  <c r="I398" i="26"/>
  <c r="J712" i="25"/>
  <c r="H712" i="25" s="1"/>
  <c r="M661" i="25"/>
  <c r="L40" i="28"/>
  <c r="M40" i="28" s="1"/>
  <c r="H40" i="28"/>
  <c r="I40" i="28" s="1"/>
  <c r="K72" i="28"/>
  <c r="G72" i="28"/>
  <c r="M152" i="1"/>
  <c r="H152" i="27" s="1"/>
  <c r="L152" i="1"/>
  <c r="H152" i="26" s="1"/>
  <c r="L178" i="28" l="1"/>
  <c r="W661" i="25"/>
  <c r="J661" i="25"/>
  <c r="N40" i="28"/>
  <c r="S784" i="25"/>
  <c r="O784" i="25"/>
  <c r="V784" i="25"/>
  <c r="J56" i="31" s="1"/>
  <c r="M784" i="25"/>
  <c r="F56" i="31" s="1"/>
  <c r="T784" i="25"/>
  <c r="L784" i="25"/>
  <c r="K784" i="25"/>
  <c r="Q784" i="25"/>
  <c r="N784" i="25"/>
  <c r="U784" i="25"/>
  <c r="R784" i="25"/>
  <c r="P784" i="25"/>
  <c r="G56" i="31" s="1"/>
  <c r="W712" i="25"/>
  <c r="N479" i="28"/>
  <c r="K153" i="1"/>
  <c r="K152" i="1" l="1"/>
  <c r="D56" i="31"/>
  <c r="J784" i="25"/>
  <c r="H784" i="25" s="1"/>
  <c r="W784" i="25" s="1"/>
  <c r="E56" i="31"/>
  <c r="H56" i="31"/>
  <c r="H153" i="25"/>
  <c r="J78" i="28" s="1"/>
  <c r="H153" i="1"/>
  <c r="I56" i="31"/>
  <c r="L596" i="28"/>
  <c r="M596" i="28" s="1"/>
  <c r="H596" i="28"/>
  <c r="K56" i="31" l="1"/>
  <c r="G597" i="28"/>
  <c r="K597" i="28"/>
  <c r="K183" i="28"/>
  <c r="G183" i="28"/>
  <c r="K513" i="28"/>
  <c r="G513" i="28"/>
  <c r="K226" i="28"/>
  <c r="G226" i="28"/>
  <c r="K512" i="28"/>
  <c r="G512" i="28"/>
  <c r="F78" i="28"/>
  <c r="F153" i="1"/>
  <c r="G153" i="1" s="1"/>
  <c r="G346" i="28"/>
  <c r="K346" i="28"/>
  <c r="I596" i="28"/>
  <c r="N596" i="28"/>
  <c r="H152" i="25"/>
  <c r="J77" i="28" s="1"/>
  <c r="H152" i="1"/>
  <c r="G283" i="28"/>
  <c r="K283" i="28"/>
  <c r="G216" i="28"/>
  <c r="K216" i="28"/>
  <c r="G182" i="28"/>
  <c r="K182" i="28"/>
  <c r="K514" i="28"/>
  <c r="G514" i="28"/>
  <c r="G229" i="28"/>
  <c r="K229" i="28"/>
  <c r="F152" i="1" l="1"/>
  <c r="G152" i="1" s="1"/>
  <c r="F77" i="28"/>
  <c r="K595" i="28"/>
  <c r="G595" i="28"/>
  <c r="I259" i="25"/>
  <c r="G181" i="28"/>
  <c r="K181" i="28"/>
  <c r="K515" i="28"/>
  <c r="G515" i="28"/>
  <c r="K605" i="28" l="1"/>
  <c r="G605" i="28"/>
  <c r="G184" i="28"/>
  <c r="K184" i="28"/>
  <c r="E87" i="24"/>
  <c r="E90" i="24" l="1"/>
  <c r="E88" i="24"/>
  <c r="E89" i="24"/>
  <c r="K366" i="1" l="1"/>
  <c r="K330" i="1" l="1"/>
  <c r="H366" i="25"/>
  <c r="H366" i="1"/>
  <c r="K342" i="1"/>
  <c r="J291" i="28" l="1"/>
  <c r="Q366" i="25"/>
  <c r="O366" i="25"/>
  <c r="O483" i="25" s="1"/>
  <c r="S366" i="25"/>
  <c r="S483" i="25" s="1"/>
  <c r="T366" i="25"/>
  <c r="T483" i="25" s="1"/>
  <c r="L366" i="25"/>
  <c r="L483" i="25" s="1"/>
  <c r="R366" i="25"/>
  <c r="R483" i="25" s="1"/>
  <c r="K366" i="25"/>
  <c r="V366" i="25"/>
  <c r="U366" i="25"/>
  <c r="U483" i="25" s="1"/>
  <c r="N366" i="25"/>
  <c r="F366" i="1"/>
  <c r="G366" i="1" s="1"/>
  <c r="F291" i="28"/>
  <c r="H330" i="25"/>
  <c r="H330" i="1"/>
  <c r="H342" i="25"/>
  <c r="H342" i="1"/>
  <c r="N483" i="25" l="1"/>
  <c r="M483" i="25" s="1"/>
  <c r="M366" i="25"/>
  <c r="F267" i="28"/>
  <c r="F342" i="1"/>
  <c r="G342" i="1" s="1"/>
  <c r="N461" i="25"/>
  <c r="U461" i="25"/>
  <c r="R461" i="25"/>
  <c r="T461" i="25"/>
  <c r="K461" i="25"/>
  <c r="L461" i="25"/>
  <c r="Q461" i="25"/>
  <c r="J267" i="28"/>
  <c r="O461" i="25"/>
  <c r="M461" i="25" s="1"/>
  <c r="S461" i="25"/>
  <c r="V461" i="25"/>
  <c r="R342" i="25"/>
  <c r="T342" i="25"/>
  <c r="V342" i="25"/>
  <c r="N342" i="25"/>
  <c r="U342" i="25"/>
  <c r="S342" i="25"/>
  <c r="K342" i="25"/>
  <c r="Q342" i="25"/>
  <c r="L342" i="25"/>
  <c r="O342" i="25"/>
  <c r="Q483" i="25"/>
  <c r="P483" i="25" s="1"/>
  <c r="P366" i="25"/>
  <c r="F330" i="1"/>
  <c r="F255" i="28"/>
  <c r="G291" i="28"/>
  <c r="K291" i="28"/>
  <c r="V483" i="25"/>
  <c r="K362" i="1"/>
  <c r="H362" i="25" s="1"/>
  <c r="J255" i="28"/>
  <c r="S450" i="25"/>
  <c r="R330" i="25"/>
  <c r="O330" i="25"/>
  <c r="Q330" i="25"/>
  <c r="K330" i="25"/>
  <c r="N330" i="25"/>
  <c r="S330" i="25"/>
  <c r="V450" i="25"/>
  <c r="V330" i="25"/>
  <c r="T330" i="25"/>
  <c r="U330" i="25"/>
  <c r="L330" i="25"/>
  <c r="K483" i="25"/>
  <c r="J366" i="25" l="1"/>
  <c r="L291" i="28" s="1"/>
  <c r="M291" i="28" s="1"/>
  <c r="J483" i="25"/>
  <c r="P342" i="25"/>
  <c r="M342" i="25"/>
  <c r="W366" i="25"/>
  <c r="U450" i="25"/>
  <c r="O450" i="25"/>
  <c r="R450" i="25"/>
  <c r="K386" i="28"/>
  <c r="G386" i="28"/>
  <c r="T450" i="25"/>
  <c r="K331" i="1"/>
  <c r="G330" i="1"/>
  <c r="N450" i="25"/>
  <c r="M330" i="25"/>
  <c r="P461" i="25"/>
  <c r="J461" i="25" s="1"/>
  <c r="W483" i="25"/>
  <c r="K450" i="25"/>
  <c r="G267" i="28"/>
  <c r="K267" i="28"/>
  <c r="L450" i="25"/>
  <c r="Q450" i="25"/>
  <c r="P330" i="25"/>
  <c r="K408" i="28"/>
  <c r="G408" i="28"/>
  <c r="H291" i="28" l="1"/>
  <c r="I291" i="28" s="1"/>
  <c r="J342" i="25"/>
  <c r="L267" i="28" s="1"/>
  <c r="M267" i="28" s="1"/>
  <c r="W342" i="25"/>
  <c r="J330" i="25"/>
  <c r="L255" i="28" s="1"/>
  <c r="M255" i="28" s="1"/>
  <c r="W461" i="25"/>
  <c r="W330" i="25"/>
  <c r="H386" i="28"/>
  <c r="I386" i="28" s="1"/>
  <c r="L386" i="28"/>
  <c r="M386" i="28" s="1"/>
  <c r="K255" i="28"/>
  <c r="G255" i="28"/>
  <c r="P450" i="25"/>
  <c r="K375" i="28"/>
  <c r="G375" i="28"/>
  <c r="L408" i="28"/>
  <c r="M408" i="28" s="1"/>
  <c r="H408" i="28"/>
  <c r="I408" i="28" s="1"/>
  <c r="M450" i="25"/>
  <c r="H331" i="1"/>
  <c r="H331" i="25"/>
  <c r="H267" i="28" l="1"/>
  <c r="I267" i="28" s="1"/>
  <c r="N291" i="28"/>
  <c r="J450" i="25"/>
  <c r="H255" i="28"/>
  <c r="I255" i="28" s="1"/>
  <c r="N386" i="28"/>
  <c r="W450" i="25"/>
  <c r="N331" i="1"/>
  <c r="F256" i="28"/>
  <c r="F331" i="1"/>
  <c r="K386" i="1"/>
  <c r="N408" i="28"/>
  <c r="J256" i="28"/>
  <c r="N267" i="28" l="1"/>
  <c r="N255" i="28"/>
  <c r="H386" i="1"/>
  <c r="H386" i="25"/>
  <c r="G331" i="1"/>
  <c r="H375" i="28"/>
  <c r="L375" i="28"/>
  <c r="M375" i="28" s="1"/>
  <c r="F386" i="1" l="1"/>
  <c r="G386" i="1" s="1"/>
  <c r="F311" i="28"/>
  <c r="J311" i="28"/>
  <c r="K256" i="28"/>
  <c r="G256" i="28"/>
  <c r="I375" i="28"/>
  <c r="N375" i="28"/>
  <c r="K376" i="28"/>
  <c r="G376" i="28"/>
  <c r="G311" i="28" l="1"/>
  <c r="K311" i="28"/>
  <c r="K429" i="28" l="1"/>
  <c r="G429" i="28"/>
  <c r="M384" i="1" l="1"/>
  <c r="H384" i="27" s="1"/>
  <c r="K368" i="1" l="1"/>
  <c r="L372" i="1"/>
  <c r="H372" i="26" s="1"/>
  <c r="K354" i="1"/>
  <c r="K369" i="1"/>
  <c r="K367" i="1"/>
  <c r="K370" i="1"/>
  <c r="K353" i="1"/>
  <c r="L357" i="1"/>
  <c r="H357" i="26" s="1"/>
  <c r="K356" i="1"/>
  <c r="L383" i="1"/>
  <c r="H383" i="26" s="1"/>
  <c r="K333" i="1" l="1"/>
  <c r="K394" i="1"/>
  <c r="M394" i="1"/>
  <c r="H394" i="27" s="1"/>
  <c r="K334" i="1"/>
  <c r="H369" i="25"/>
  <c r="H369" i="1"/>
  <c r="K357" i="1"/>
  <c r="H353" i="1"/>
  <c r="H353" i="25"/>
  <c r="H354" i="1"/>
  <c r="H354" i="25"/>
  <c r="K371" i="1"/>
  <c r="K340" i="1"/>
  <c r="K352" i="1"/>
  <c r="K355" i="1"/>
  <c r="H370" i="1"/>
  <c r="H370" i="25"/>
  <c r="K384" i="1"/>
  <c r="K385" i="1"/>
  <c r="K372" i="1"/>
  <c r="H356" i="25"/>
  <c r="H356" i="1"/>
  <c r="H367" i="25"/>
  <c r="H367" i="1"/>
  <c r="H368" i="1"/>
  <c r="H368" i="25"/>
  <c r="K343" i="1"/>
  <c r="K339" i="1"/>
  <c r="K359" i="1"/>
  <c r="K383" i="1"/>
  <c r="F278" i="28" l="1"/>
  <c r="F353" i="1"/>
  <c r="G353" i="1" s="1"/>
  <c r="J293" i="28"/>
  <c r="T368" i="25"/>
  <c r="O368" i="25"/>
  <c r="N368" i="25"/>
  <c r="R368" i="25"/>
  <c r="U368" i="25"/>
  <c r="Q368" i="25"/>
  <c r="K368" i="25"/>
  <c r="S368" i="25"/>
  <c r="L368" i="25"/>
  <c r="V368" i="25"/>
  <c r="H340" i="25"/>
  <c r="H340" i="1"/>
  <c r="F294" i="28"/>
  <c r="F369" i="1"/>
  <c r="G369" i="1" s="1"/>
  <c r="H383" i="1"/>
  <c r="H383" i="25"/>
  <c r="F368" i="1"/>
  <c r="G368" i="1" s="1"/>
  <c r="F293" i="28"/>
  <c r="J295" i="28"/>
  <c r="S370" i="25"/>
  <c r="R370" i="25"/>
  <c r="L370" i="25"/>
  <c r="Q370" i="25"/>
  <c r="O370" i="25"/>
  <c r="T370" i="25"/>
  <c r="N370" i="25"/>
  <c r="V370" i="25"/>
  <c r="U370" i="25"/>
  <c r="K370" i="25"/>
  <c r="J294" i="28"/>
  <c r="R369" i="25"/>
  <c r="V369" i="25"/>
  <c r="L369" i="25"/>
  <c r="K369" i="25"/>
  <c r="O369" i="25"/>
  <c r="S369" i="25"/>
  <c r="T369" i="25"/>
  <c r="U369" i="25"/>
  <c r="Q369" i="25"/>
  <c r="N369" i="25"/>
  <c r="H334" i="1"/>
  <c r="H334" i="25"/>
  <c r="H359" i="25"/>
  <c r="H359" i="1"/>
  <c r="F292" i="28"/>
  <c r="F367" i="1"/>
  <c r="G367" i="1" s="1"/>
  <c r="F295" i="28"/>
  <c r="F370" i="1"/>
  <c r="G370" i="1" s="1"/>
  <c r="H371" i="25"/>
  <c r="H371" i="1"/>
  <c r="J292" i="28"/>
  <c r="S367" i="25"/>
  <c r="L367" i="25"/>
  <c r="U367" i="25"/>
  <c r="O367" i="25"/>
  <c r="R367" i="25"/>
  <c r="T367" i="25"/>
  <c r="Q367" i="25"/>
  <c r="N367" i="25"/>
  <c r="V367" i="25"/>
  <c r="K367" i="25"/>
  <c r="H385" i="25"/>
  <c r="H385" i="1"/>
  <c r="H339" i="1"/>
  <c r="H339" i="25"/>
  <c r="F356" i="1"/>
  <c r="G356" i="1" s="1"/>
  <c r="F281" i="28"/>
  <c r="H384" i="25"/>
  <c r="H384" i="1"/>
  <c r="H355" i="1"/>
  <c r="H355" i="25"/>
  <c r="S354" i="25"/>
  <c r="J279" i="28"/>
  <c r="R354" i="25"/>
  <c r="Q354" i="25"/>
  <c r="V354" i="25"/>
  <c r="L354" i="25"/>
  <c r="K354" i="25"/>
  <c r="N354" i="25"/>
  <c r="O354" i="25"/>
  <c r="T354" i="25"/>
  <c r="U354" i="25"/>
  <c r="H357" i="1"/>
  <c r="H357" i="25"/>
  <c r="H394" i="25"/>
  <c r="H394" i="1"/>
  <c r="K341" i="1"/>
  <c r="K344" i="1" s="1"/>
  <c r="J281" i="28"/>
  <c r="N356" i="25"/>
  <c r="U356" i="25"/>
  <c r="K356" i="25"/>
  <c r="T356" i="25"/>
  <c r="L356" i="25"/>
  <c r="Q356" i="25"/>
  <c r="O356" i="25"/>
  <c r="R356" i="25"/>
  <c r="V356" i="25"/>
  <c r="S356" i="25"/>
  <c r="F354" i="1"/>
  <c r="G354" i="1" s="1"/>
  <c r="F279" i="28"/>
  <c r="H333" i="1"/>
  <c r="H333" i="25"/>
  <c r="K335" i="1"/>
  <c r="H343" i="25"/>
  <c r="H343" i="1"/>
  <c r="H372" i="25"/>
  <c r="H372" i="1"/>
  <c r="H352" i="25"/>
  <c r="H352" i="1"/>
  <c r="J278" i="28"/>
  <c r="S353" i="25"/>
  <c r="L353" i="25"/>
  <c r="O353" i="25"/>
  <c r="U353" i="25"/>
  <c r="T353" i="25"/>
  <c r="Q353" i="25"/>
  <c r="N353" i="25"/>
  <c r="R353" i="25"/>
  <c r="K353" i="25"/>
  <c r="V353" i="25"/>
  <c r="P369" i="25" l="1"/>
  <c r="P370" i="25"/>
  <c r="P353" i="25"/>
  <c r="L502" i="25"/>
  <c r="J309" i="28"/>
  <c r="O502" i="25"/>
  <c r="U502" i="25"/>
  <c r="T502" i="25"/>
  <c r="N502" i="25"/>
  <c r="Q502" i="25"/>
  <c r="S502" i="25"/>
  <c r="R502" i="25"/>
  <c r="V502" i="25"/>
  <c r="K502" i="25"/>
  <c r="F259" i="28"/>
  <c r="F334" i="1"/>
  <c r="G334" i="1" s="1"/>
  <c r="M368" i="25"/>
  <c r="M391" i="1"/>
  <c r="F343" i="1"/>
  <c r="G343" i="1" s="1"/>
  <c r="F268" i="28"/>
  <c r="K281" i="28"/>
  <c r="G281" i="28"/>
  <c r="M356" i="25"/>
  <c r="V511" i="25"/>
  <c r="J319" i="28"/>
  <c r="N511" i="25"/>
  <c r="K511" i="25"/>
  <c r="R511" i="25"/>
  <c r="R731" i="25" s="1"/>
  <c r="S511" i="25"/>
  <c r="S731" i="25" s="1"/>
  <c r="T511" i="25"/>
  <c r="T731" i="25" s="1"/>
  <c r="H75" i="30" s="1"/>
  <c r="O511" i="25"/>
  <c r="O731" i="25" s="1"/>
  <c r="Q511" i="25"/>
  <c r="U511" i="25"/>
  <c r="U731" i="25" s="1"/>
  <c r="I75" i="30" s="1"/>
  <c r="L511" i="25"/>
  <c r="L731" i="25" s="1"/>
  <c r="E75" i="30" s="1"/>
  <c r="M354" i="25"/>
  <c r="K398" i="28"/>
  <c r="G398" i="28"/>
  <c r="M369" i="25"/>
  <c r="K294" i="28"/>
  <c r="G294" i="28"/>
  <c r="K293" i="28"/>
  <c r="G293" i="28"/>
  <c r="G397" i="28"/>
  <c r="K397" i="28"/>
  <c r="J268" i="28"/>
  <c r="R343" i="25"/>
  <c r="R462" i="25" s="1"/>
  <c r="O343" i="25"/>
  <c r="O462" i="25" s="1"/>
  <c r="T343" i="25"/>
  <c r="T462" i="25" s="1"/>
  <c r="K343" i="25"/>
  <c r="S343" i="25"/>
  <c r="S462" i="25" s="1"/>
  <c r="Q343" i="25"/>
  <c r="V343" i="25"/>
  <c r="L343" i="25"/>
  <c r="L462" i="25" s="1"/>
  <c r="U343" i="25"/>
  <c r="U462" i="25" s="1"/>
  <c r="N343" i="25"/>
  <c r="G400" i="28"/>
  <c r="K400" i="28"/>
  <c r="F310" i="28"/>
  <c r="F385" i="1"/>
  <c r="G385" i="1" s="1"/>
  <c r="M353" i="25"/>
  <c r="F319" i="28"/>
  <c r="F394" i="1"/>
  <c r="G394" i="1" s="1"/>
  <c r="F352" i="1"/>
  <c r="G352" i="1" s="1"/>
  <c r="F277" i="28"/>
  <c r="K336" i="1"/>
  <c r="K347" i="1" s="1"/>
  <c r="K346" i="1"/>
  <c r="J264" i="28"/>
  <c r="O339" i="25"/>
  <c r="O458" i="25" s="1"/>
  <c r="N339" i="25"/>
  <c r="S339" i="25"/>
  <c r="S458" i="25" s="1"/>
  <c r="R339" i="25"/>
  <c r="R458" i="25" s="1"/>
  <c r="L339" i="25"/>
  <c r="L458" i="25" s="1"/>
  <c r="V339" i="25"/>
  <c r="U339" i="25"/>
  <c r="U458" i="25" s="1"/>
  <c r="Q339" i="25"/>
  <c r="K339" i="25"/>
  <c r="T339" i="25"/>
  <c r="T458" i="25" s="1"/>
  <c r="R503" i="25"/>
  <c r="K385" i="25"/>
  <c r="V385" i="25"/>
  <c r="K503" i="25"/>
  <c r="O385" i="25"/>
  <c r="S385" i="25"/>
  <c r="O503" i="25"/>
  <c r="T385" i="25"/>
  <c r="S503" i="25"/>
  <c r="U503" i="25"/>
  <c r="V503" i="25"/>
  <c r="L385" i="25"/>
  <c r="N503" i="25"/>
  <c r="J310" i="28"/>
  <c r="U385" i="25"/>
  <c r="T503" i="25"/>
  <c r="N385" i="25"/>
  <c r="R385" i="25"/>
  <c r="L503" i="25"/>
  <c r="Q385" i="25"/>
  <c r="Q503" i="25"/>
  <c r="J277" i="28"/>
  <c r="L352" i="25"/>
  <c r="Q352" i="25"/>
  <c r="N352" i="25"/>
  <c r="T352" i="25"/>
  <c r="R352" i="25"/>
  <c r="O352" i="25"/>
  <c r="U352" i="25"/>
  <c r="K352" i="25"/>
  <c r="V352" i="25"/>
  <c r="S352" i="25"/>
  <c r="J258" i="28"/>
  <c r="S333" i="25"/>
  <c r="O333" i="25"/>
  <c r="L333" i="25"/>
  <c r="R333" i="25"/>
  <c r="Q333" i="25"/>
  <c r="N333" i="25"/>
  <c r="T333" i="25"/>
  <c r="K333" i="25"/>
  <c r="U333" i="25"/>
  <c r="V333" i="25"/>
  <c r="H335" i="25"/>
  <c r="P356" i="25"/>
  <c r="J282" i="28"/>
  <c r="F264" i="28"/>
  <c r="F339" i="1"/>
  <c r="F371" i="1"/>
  <c r="G371" i="1" s="1"/>
  <c r="F296" i="28"/>
  <c r="F340" i="1"/>
  <c r="G340" i="1" s="1"/>
  <c r="F265" i="28"/>
  <c r="G278" i="28"/>
  <c r="K278" i="28"/>
  <c r="F333" i="1"/>
  <c r="F258" i="28"/>
  <c r="H335" i="1"/>
  <c r="F282" i="28"/>
  <c r="F357" i="1"/>
  <c r="G357" i="1" s="1"/>
  <c r="P354" i="25"/>
  <c r="J280" i="28"/>
  <c r="V355" i="25"/>
  <c r="R355" i="25"/>
  <c r="O355" i="25"/>
  <c r="L355" i="25"/>
  <c r="K355" i="25"/>
  <c r="T355" i="25"/>
  <c r="S355" i="25"/>
  <c r="U355" i="25"/>
  <c r="Q355" i="25"/>
  <c r="N355" i="25"/>
  <c r="K292" i="28"/>
  <c r="G292" i="28"/>
  <c r="S371" i="25"/>
  <c r="J296" i="28"/>
  <c r="U371" i="25"/>
  <c r="N371" i="25"/>
  <c r="K371" i="25"/>
  <c r="Q371" i="25"/>
  <c r="T371" i="25"/>
  <c r="V371" i="25"/>
  <c r="L371" i="25"/>
  <c r="O371" i="25"/>
  <c r="R371" i="25"/>
  <c r="F284" i="28"/>
  <c r="F359" i="1"/>
  <c r="G359" i="1" s="1"/>
  <c r="R501" i="25"/>
  <c r="S501" i="25"/>
  <c r="T501" i="25"/>
  <c r="U501" i="25"/>
  <c r="J308" i="28"/>
  <c r="K501" i="25"/>
  <c r="V501" i="25"/>
  <c r="O501" i="25"/>
  <c r="L501" i="25"/>
  <c r="Q501" i="25"/>
  <c r="N501" i="25"/>
  <c r="J265" i="28"/>
  <c r="V340" i="25"/>
  <c r="N340" i="25"/>
  <c r="L340" i="25"/>
  <c r="L459" i="25" s="1"/>
  <c r="R340" i="25"/>
  <c r="R459" i="25" s="1"/>
  <c r="U340" i="25"/>
  <c r="U459" i="25" s="1"/>
  <c r="K340" i="25"/>
  <c r="O340" i="25"/>
  <c r="O459" i="25" s="1"/>
  <c r="Q340" i="25"/>
  <c r="S340" i="25"/>
  <c r="S459" i="25" s="1"/>
  <c r="T340" i="25"/>
  <c r="T459" i="25" s="1"/>
  <c r="P368" i="25"/>
  <c r="J297" i="28"/>
  <c r="H341" i="25"/>
  <c r="H344" i="25" s="1"/>
  <c r="J269" i="28" s="1"/>
  <c r="H341" i="1"/>
  <c r="H344" i="1" s="1"/>
  <c r="F269" i="28" s="1"/>
  <c r="F280" i="28"/>
  <c r="F355" i="1"/>
  <c r="G355" i="1" s="1"/>
  <c r="M367" i="25"/>
  <c r="K409" i="28"/>
  <c r="G409" i="28"/>
  <c r="J284" i="28"/>
  <c r="K295" i="28"/>
  <c r="G295" i="28"/>
  <c r="F308" i="28"/>
  <c r="F383" i="1"/>
  <c r="G383" i="1" s="1"/>
  <c r="F372" i="1"/>
  <c r="G372" i="1" s="1"/>
  <c r="F297" i="28"/>
  <c r="F384" i="1"/>
  <c r="G384" i="1" s="1"/>
  <c r="F309" i="28"/>
  <c r="P367" i="25"/>
  <c r="J259" i="28"/>
  <c r="R334" i="25"/>
  <c r="R453" i="25" s="1"/>
  <c r="Q334" i="25"/>
  <c r="T334" i="25"/>
  <c r="T453" i="25" s="1"/>
  <c r="U334" i="25"/>
  <c r="U453" i="25" s="1"/>
  <c r="S334" i="25"/>
  <c r="S453" i="25" s="1"/>
  <c r="N334" i="25"/>
  <c r="K334" i="25"/>
  <c r="L334" i="25"/>
  <c r="L453" i="25" s="1"/>
  <c r="O334" i="25"/>
  <c r="O453" i="25" s="1"/>
  <c r="V334" i="25"/>
  <c r="M370" i="25"/>
  <c r="J370" i="25" l="1"/>
  <c r="J356" i="25"/>
  <c r="J368" i="25"/>
  <c r="L293" i="28" s="1"/>
  <c r="M293" i="28" s="1"/>
  <c r="W353" i="25"/>
  <c r="J353" i="25"/>
  <c r="L278" i="28" s="1"/>
  <c r="M278" i="28" s="1"/>
  <c r="J354" i="25"/>
  <c r="J367" i="25"/>
  <c r="L292" i="28" s="1"/>
  <c r="M292" i="28" s="1"/>
  <c r="W369" i="25"/>
  <c r="J369" i="25"/>
  <c r="L294" i="28" s="1"/>
  <c r="M294" i="28" s="1"/>
  <c r="L730" i="25"/>
  <c r="E74" i="30" s="1"/>
  <c r="O730" i="25"/>
  <c r="U730" i="25"/>
  <c r="I74" i="30" s="1"/>
  <c r="W356" i="25"/>
  <c r="S730" i="25"/>
  <c r="W354" i="25"/>
  <c r="M502" i="25"/>
  <c r="R730" i="25"/>
  <c r="T730" i="25"/>
  <c r="H74" i="30" s="1"/>
  <c r="P355" i="25"/>
  <c r="M343" i="25"/>
  <c r="M371" i="25"/>
  <c r="N462" i="25"/>
  <c r="M462" i="25" s="1"/>
  <c r="P371" i="25"/>
  <c r="P503" i="25"/>
  <c r="P385" i="25"/>
  <c r="P502" i="25"/>
  <c r="H295" i="28"/>
  <c r="I295" i="28" s="1"/>
  <c r="L295" i="28"/>
  <c r="M295" i="28" s="1"/>
  <c r="Q453" i="25"/>
  <c r="P453" i="25" s="1"/>
  <c r="P334" i="25"/>
  <c r="N453" i="25"/>
  <c r="M453" i="25" s="1"/>
  <c r="M334" i="25"/>
  <c r="K730" i="25"/>
  <c r="W367" i="25"/>
  <c r="N452" i="25"/>
  <c r="M333" i="25"/>
  <c r="N458" i="25"/>
  <c r="M339" i="25"/>
  <c r="V462" i="25"/>
  <c r="K391" i="1"/>
  <c r="G333" i="1"/>
  <c r="G335" i="1" s="1"/>
  <c r="G336" i="1" s="1"/>
  <c r="F335" i="1"/>
  <c r="F336" i="1" s="1"/>
  <c r="G339" i="1"/>
  <c r="P333" i="25"/>
  <c r="K458" i="25"/>
  <c r="Q462" i="25"/>
  <c r="P462" i="25" s="1"/>
  <c r="P343" i="25"/>
  <c r="K284" i="28"/>
  <c r="G284" i="28"/>
  <c r="N459" i="25"/>
  <c r="M459" i="25" s="1"/>
  <c r="M340" i="25"/>
  <c r="W370" i="25"/>
  <c r="J260" i="28"/>
  <c r="H346" i="25"/>
  <c r="J271" i="28" s="1"/>
  <c r="R452" i="25"/>
  <c r="M352" i="25"/>
  <c r="M503" i="25"/>
  <c r="Q458" i="25"/>
  <c r="P339" i="25"/>
  <c r="V453" i="25"/>
  <c r="G414" i="28"/>
  <c r="K414" i="28"/>
  <c r="Q459" i="25"/>
  <c r="P459" i="25" s="1"/>
  <c r="P340" i="25"/>
  <c r="K265" i="28"/>
  <c r="G265" i="28"/>
  <c r="V452" i="25"/>
  <c r="L452" i="25"/>
  <c r="P352" i="25"/>
  <c r="K462" i="25"/>
  <c r="K731" i="25"/>
  <c r="G402" i="28"/>
  <c r="K402" i="28"/>
  <c r="G411" i="28"/>
  <c r="K411" i="28"/>
  <c r="Q452" i="25"/>
  <c r="O452" i="25"/>
  <c r="G277" i="28"/>
  <c r="K277" i="28"/>
  <c r="G428" i="28"/>
  <c r="K428" i="28"/>
  <c r="K310" i="28"/>
  <c r="G310" i="28"/>
  <c r="V458" i="25"/>
  <c r="M511" i="25"/>
  <c r="N731" i="25"/>
  <c r="M731" i="25" s="1"/>
  <c r="F75" i="30" s="1"/>
  <c r="G427" i="28"/>
  <c r="K427" i="28"/>
  <c r="L281" i="28"/>
  <c r="M281" i="28" s="1"/>
  <c r="H281" i="28"/>
  <c r="I281" i="28" s="1"/>
  <c r="F266" i="28"/>
  <c r="F341" i="1"/>
  <c r="G341" i="1" s="1"/>
  <c r="K459" i="25"/>
  <c r="V730" i="25"/>
  <c r="J74" i="30" s="1"/>
  <c r="W368" i="25"/>
  <c r="U452" i="25"/>
  <c r="S452" i="25"/>
  <c r="K319" i="28"/>
  <c r="G319" i="28"/>
  <c r="H391" i="27"/>
  <c r="M398" i="1"/>
  <c r="K259" i="28"/>
  <c r="G259" i="28"/>
  <c r="J266" i="28"/>
  <c r="R341" i="25"/>
  <c r="R460" i="25" s="1"/>
  <c r="R727" i="25" s="1"/>
  <c r="U341" i="25"/>
  <c r="U460" i="25" s="1"/>
  <c r="U463" i="25" s="1"/>
  <c r="V341" i="25"/>
  <c r="S341" i="25"/>
  <c r="S460" i="25" s="1"/>
  <c r="S463" i="25" s="1"/>
  <c r="N341" i="25"/>
  <c r="T341" i="25"/>
  <c r="T460" i="25" s="1"/>
  <c r="T463" i="25" s="1"/>
  <c r="O341" i="25"/>
  <c r="O460" i="25" s="1"/>
  <c r="O463" i="25" s="1"/>
  <c r="Q341" i="25"/>
  <c r="L341" i="25"/>
  <c r="L460" i="25" s="1"/>
  <c r="L463" i="25" s="1"/>
  <c r="K341" i="25"/>
  <c r="V459" i="25"/>
  <c r="N730" i="25"/>
  <c r="M501" i="25"/>
  <c r="K308" i="28"/>
  <c r="G308" i="28"/>
  <c r="M355" i="25"/>
  <c r="K452" i="25"/>
  <c r="M385" i="25"/>
  <c r="P511" i="25"/>
  <c r="Q731" i="25"/>
  <c r="P731" i="25" s="1"/>
  <c r="G75" i="30" s="1"/>
  <c r="V731" i="25"/>
  <c r="J75" i="30" s="1"/>
  <c r="G309" i="28"/>
  <c r="K309" i="28"/>
  <c r="K453" i="25"/>
  <c r="K412" i="28"/>
  <c r="G412" i="28"/>
  <c r="G297" i="28"/>
  <c r="K297" i="28"/>
  <c r="K410" i="28"/>
  <c r="G410" i="28"/>
  <c r="Q730" i="25"/>
  <c r="P501" i="25"/>
  <c r="K296" i="28"/>
  <c r="G296" i="28"/>
  <c r="K280" i="28"/>
  <c r="G280" i="28"/>
  <c r="H346" i="1"/>
  <c r="F271" i="28" s="1"/>
  <c r="F260" i="28"/>
  <c r="H336" i="1"/>
  <c r="H347" i="1" s="1"/>
  <c r="F272" i="28" s="1"/>
  <c r="T452" i="25"/>
  <c r="M730" i="25" l="1"/>
  <c r="F74" i="30" s="1"/>
  <c r="H292" i="28"/>
  <c r="I292" i="28" s="1"/>
  <c r="N295" i="28"/>
  <c r="H294" i="28"/>
  <c r="I294" i="28" s="1"/>
  <c r="H278" i="28"/>
  <c r="I278" i="28" s="1"/>
  <c r="H293" i="28"/>
  <c r="I293" i="28" s="1"/>
  <c r="J343" i="25"/>
  <c r="H268" i="28" s="1"/>
  <c r="I268" i="28" s="1"/>
  <c r="J503" i="25"/>
  <c r="H428" i="28" s="1"/>
  <c r="N428" i="28" s="1"/>
  <c r="J333" i="25"/>
  <c r="H258" i="28" s="1"/>
  <c r="I258" i="28" s="1"/>
  <c r="J502" i="25"/>
  <c r="J352" i="25"/>
  <c r="H277" i="28" s="1"/>
  <c r="J339" i="25"/>
  <c r="J340" i="25"/>
  <c r="H265" i="28" s="1"/>
  <c r="I265" i="28" s="1"/>
  <c r="J334" i="25"/>
  <c r="L259" i="28" s="1"/>
  <c r="M259" i="28" s="1"/>
  <c r="W355" i="25"/>
  <c r="J355" i="25"/>
  <c r="J459" i="25"/>
  <c r="J453" i="25"/>
  <c r="J385" i="25"/>
  <c r="J501" i="25"/>
  <c r="J462" i="25"/>
  <c r="J511" i="25"/>
  <c r="J371" i="25"/>
  <c r="H296" i="28" s="1"/>
  <c r="V460" i="25"/>
  <c r="V463" i="25" s="1"/>
  <c r="P730" i="25"/>
  <c r="G74" i="30" s="1"/>
  <c r="W385" i="25"/>
  <c r="W334" i="25"/>
  <c r="W352" i="25"/>
  <c r="W343" i="25"/>
  <c r="W503" i="25"/>
  <c r="W333" i="25"/>
  <c r="W371" i="25"/>
  <c r="W340" i="25"/>
  <c r="W339" i="25"/>
  <c r="L727" i="25"/>
  <c r="E71" i="30" s="1"/>
  <c r="W511" i="25"/>
  <c r="K401" i="28"/>
  <c r="G401" i="28"/>
  <c r="L268" i="28"/>
  <c r="M268" i="28" s="1"/>
  <c r="M452" i="25"/>
  <c r="H398" i="27"/>
  <c r="W462" i="25"/>
  <c r="S727" i="25"/>
  <c r="M458" i="25"/>
  <c r="Q460" i="25"/>
  <c r="Q727" i="25" s="1"/>
  <c r="P341" i="25"/>
  <c r="G436" i="28"/>
  <c r="K436" i="28"/>
  <c r="K426" i="28"/>
  <c r="G426" i="28"/>
  <c r="U727" i="25"/>
  <c r="I71" i="30" s="1"/>
  <c r="K258" i="28"/>
  <c r="G258" i="28"/>
  <c r="T727" i="25"/>
  <c r="H71" i="30" s="1"/>
  <c r="K413" i="28"/>
  <c r="G413" i="28"/>
  <c r="G378" i="28"/>
  <c r="K378" i="28"/>
  <c r="N281" i="28"/>
  <c r="W453" i="25"/>
  <c r="K384" i="28"/>
  <c r="G384" i="28"/>
  <c r="N460" i="25"/>
  <c r="M460" i="25" s="1"/>
  <c r="M341" i="25"/>
  <c r="G264" i="28"/>
  <c r="K264" i="28"/>
  <c r="P458" i="25"/>
  <c r="F344" i="1"/>
  <c r="F346" i="1" s="1"/>
  <c r="F347" i="1" s="1"/>
  <c r="O727" i="25"/>
  <c r="G344" i="1"/>
  <c r="G346" i="1" s="1"/>
  <c r="G347" i="1" s="1"/>
  <c r="G268" i="28"/>
  <c r="K268" i="28"/>
  <c r="D74" i="30"/>
  <c r="K74" i="30" s="1"/>
  <c r="R463" i="25"/>
  <c r="K385" i="28"/>
  <c r="G385" i="28"/>
  <c r="K266" i="28"/>
  <c r="G266" i="28"/>
  <c r="W459" i="25"/>
  <c r="P452" i="25"/>
  <c r="H391" i="1"/>
  <c r="H391" i="25"/>
  <c r="K398" i="1"/>
  <c r="K387" i="28"/>
  <c r="G387" i="28"/>
  <c r="I272" i="28"/>
  <c r="N272" i="28"/>
  <c r="K460" i="25"/>
  <c r="K282" i="28"/>
  <c r="G282" i="28"/>
  <c r="D75" i="30"/>
  <c r="K75" i="30" s="1"/>
  <c r="J731" i="25"/>
  <c r="H731" i="25" s="1"/>
  <c r="W731" i="25" s="1"/>
  <c r="K396" i="28"/>
  <c r="G396" i="28"/>
  <c r="G399" i="28"/>
  <c r="K399" i="28"/>
  <c r="L387" i="1"/>
  <c r="H387" i="26" s="1"/>
  <c r="L382" i="1"/>
  <c r="M387" i="1"/>
  <c r="H387" i="27" s="1"/>
  <c r="M382" i="1"/>
  <c r="L296" i="28" l="1"/>
  <c r="M296" i="28" s="1"/>
  <c r="N292" i="28"/>
  <c r="H259" i="28"/>
  <c r="I296" i="28"/>
  <c r="N296" i="28"/>
  <c r="N278" i="28"/>
  <c r="L258" i="28"/>
  <c r="M258" i="28" s="1"/>
  <c r="N294" i="28"/>
  <c r="N293" i="28"/>
  <c r="L277" i="28"/>
  <c r="M277" i="28" s="1"/>
  <c r="L428" i="28"/>
  <c r="L265" i="28"/>
  <c r="M265" i="28" s="1"/>
  <c r="J730" i="25"/>
  <c r="H730" i="25" s="1"/>
  <c r="W730" i="25" s="1"/>
  <c r="I277" i="28"/>
  <c r="N277" i="28"/>
  <c r="J341" i="25"/>
  <c r="L266" i="28" s="1"/>
  <c r="M266" i="28" s="1"/>
  <c r="J458" i="25"/>
  <c r="J452" i="25"/>
  <c r="L377" i="28" s="1"/>
  <c r="M377" i="28" s="1"/>
  <c r="N268" i="28"/>
  <c r="V727" i="25"/>
  <c r="J71" i="30" s="1"/>
  <c r="W341" i="25"/>
  <c r="W458" i="25"/>
  <c r="P727" i="25"/>
  <c r="G71" i="30" s="1"/>
  <c r="L310" i="28"/>
  <c r="H310" i="28"/>
  <c r="N310" i="28" s="1"/>
  <c r="Q509" i="25"/>
  <c r="T509" i="25"/>
  <c r="T514" i="25" s="1"/>
  <c r="V509" i="25"/>
  <c r="R509" i="25"/>
  <c r="R514" i="25" s="1"/>
  <c r="J318" i="28"/>
  <c r="U509" i="25"/>
  <c r="U514" i="25" s="1"/>
  <c r="S509" i="25"/>
  <c r="S514" i="25" s="1"/>
  <c r="N509" i="25"/>
  <c r="L509" i="25"/>
  <c r="L514" i="25" s="1"/>
  <c r="K509" i="25"/>
  <c r="O509" i="25"/>
  <c r="O514" i="25" s="1"/>
  <c r="H398" i="25"/>
  <c r="J323" i="28" s="1"/>
  <c r="H384" i="28"/>
  <c r="I384" i="28" s="1"/>
  <c r="L384" i="28"/>
  <c r="M384" i="28" s="1"/>
  <c r="W452" i="25"/>
  <c r="G377" i="28"/>
  <c r="K377" i="28"/>
  <c r="I454" i="25"/>
  <c r="N265" i="28"/>
  <c r="H382" i="26"/>
  <c r="L388" i="1"/>
  <c r="L407" i="1" s="1"/>
  <c r="U803" i="25"/>
  <c r="N803" i="25"/>
  <c r="N392" i="25" s="1"/>
  <c r="L803" i="25"/>
  <c r="V803" i="25"/>
  <c r="R803" i="25"/>
  <c r="R392" i="25" s="1"/>
  <c r="P803" i="25"/>
  <c r="G75" i="31" s="1"/>
  <c r="Q803" i="25"/>
  <c r="Q392" i="25" s="1"/>
  <c r="K803" i="25"/>
  <c r="T803" i="25"/>
  <c r="S803" i="25"/>
  <c r="S392" i="25" s="1"/>
  <c r="O803" i="25"/>
  <c r="O392" i="25" s="1"/>
  <c r="M803" i="25"/>
  <c r="F75" i="31" s="1"/>
  <c r="F318" i="28"/>
  <c r="F391" i="1"/>
  <c r="H398" i="1"/>
  <c r="F323" i="28" s="1"/>
  <c r="N727" i="25"/>
  <c r="M727" i="25" s="1"/>
  <c r="F71" i="30" s="1"/>
  <c r="H264" i="28"/>
  <c r="I264" i="28" s="1"/>
  <c r="L264" i="28"/>
  <c r="M264" i="28" s="1"/>
  <c r="N463" i="25"/>
  <c r="M463" i="25" s="1"/>
  <c r="H387" i="28"/>
  <c r="I387" i="28" s="1"/>
  <c r="L387" i="28"/>
  <c r="M387" i="28" s="1"/>
  <c r="K383" i="28"/>
  <c r="G383" i="28"/>
  <c r="L378" i="28"/>
  <c r="M378" i="28" s="1"/>
  <c r="H378" i="28"/>
  <c r="I378" i="28" s="1"/>
  <c r="N258" i="28"/>
  <c r="I514" i="27"/>
  <c r="K463" i="25"/>
  <c r="N259" i="28"/>
  <c r="I259" i="28"/>
  <c r="K727" i="25"/>
  <c r="N387" i="28"/>
  <c r="L280" i="28"/>
  <c r="M280" i="28" s="1"/>
  <c r="H280" i="28"/>
  <c r="H382" i="27"/>
  <c r="M388" i="1"/>
  <c r="M407" i="1" s="1"/>
  <c r="I463" i="25"/>
  <c r="Q463" i="25"/>
  <c r="P463" i="25" s="1"/>
  <c r="P460" i="25"/>
  <c r="J460" i="25" s="1"/>
  <c r="K382" i="1"/>
  <c r="V392" i="25" l="1"/>
  <c r="J75" i="31"/>
  <c r="N384" i="28"/>
  <c r="K802" i="25"/>
  <c r="L802" i="25"/>
  <c r="E74" i="31" s="1"/>
  <c r="Q802" i="25"/>
  <c r="R802" i="25"/>
  <c r="H266" i="28"/>
  <c r="I266" i="28" s="1"/>
  <c r="P802" i="25"/>
  <c r="G74" i="31" s="1"/>
  <c r="T802" i="25"/>
  <c r="H74" i="31" s="1"/>
  <c r="O802" i="25"/>
  <c r="S802" i="25"/>
  <c r="V802" i="25"/>
  <c r="J74" i="31" s="1"/>
  <c r="N802" i="25"/>
  <c r="M802" i="25"/>
  <c r="F74" i="31" s="1"/>
  <c r="U802" i="25"/>
  <c r="I74" i="31" s="1"/>
  <c r="J463" i="25"/>
  <c r="N378" i="28"/>
  <c r="H377" i="28"/>
  <c r="I377" i="28" s="1"/>
  <c r="P392" i="25"/>
  <c r="L385" i="28"/>
  <c r="M385" i="28" s="1"/>
  <c r="H385" i="28"/>
  <c r="I280" i="28"/>
  <c r="N280" i="28"/>
  <c r="W463" i="25"/>
  <c r="H75" i="31"/>
  <c r="T392" i="25"/>
  <c r="I75" i="31"/>
  <c r="U392" i="25"/>
  <c r="K514" i="25"/>
  <c r="G391" i="1"/>
  <c r="G398" i="1" s="1"/>
  <c r="F398" i="1"/>
  <c r="D75" i="31"/>
  <c r="J803" i="25"/>
  <c r="H803" i="25" s="1"/>
  <c r="W803" i="25" s="1"/>
  <c r="K392" i="25"/>
  <c r="P509" i="25"/>
  <c r="Q514" i="25"/>
  <c r="P514" i="25" s="1"/>
  <c r="H388" i="27"/>
  <c r="H407" i="27" s="1"/>
  <c r="D74" i="31"/>
  <c r="G379" i="28"/>
  <c r="K379" i="28"/>
  <c r="M509" i="25"/>
  <c r="N514" i="25"/>
  <c r="M514" i="25" s="1"/>
  <c r="K387" i="1"/>
  <c r="K388" i="1" s="1"/>
  <c r="L383" i="28"/>
  <c r="M383" i="28" s="1"/>
  <c r="H383" i="28"/>
  <c r="I383" i="28" s="1"/>
  <c r="D71" i="30"/>
  <c r="K71" i="30" s="1"/>
  <c r="J727" i="25"/>
  <c r="H727" i="25" s="1"/>
  <c r="W727" i="25" s="1"/>
  <c r="H388" i="26"/>
  <c r="H407" i="26" s="1"/>
  <c r="N264" i="28"/>
  <c r="H382" i="1"/>
  <c r="H382" i="25"/>
  <c r="K388" i="28"/>
  <c r="G388" i="28"/>
  <c r="L392" i="25"/>
  <c r="E75" i="31"/>
  <c r="W460" i="25"/>
  <c r="M392" i="25"/>
  <c r="V514" i="25"/>
  <c r="K74" i="31" l="1"/>
  <c r="K75" i="31"/>
  <c r="N266" i="28"/>
  <c r="J509" i="25"/>
  <c r="O382" i="25"/>
  <c r="J802" i="25"/>
  <c r="H802" i="25" s="1"/>
  <c r="W802" i="25" s="1"/>
  <c r="N377" i="28"/>
  <c r="J392" i="25"/>
  <c r="J514" i="25"/>
  <c r="N383" i="28"/>
  <c r="T382" i="25"/>
  <c r="W509" i="25"/>
  <c r="V382" i="25"/>
  <c r="V500" i="25"/>
  <c r="U500" i="25"/>
  <c r="L500" i="25"/>
  <c r="O500" i="25"/>
  <c r="J307" i="28"/>
  <c r="K500" i="25"/>
  <c r="S500" i="25"/>
  <c r="N500" i="25"/>
  <c r="T500" i="25"/>
  <c r="Q500" i="25"/>
  <c r="R500" i="25"/>
  <c r="I388" i="26"/>
  <c r="I407" i="26" s="1"/>
  <c r="H387" i="1"/>
  <c r="H388" i="1" s="1"/>
  <c r="H387" i="25"/>
  <c r="H388" i="25" s="1"/>
  <c r="J313" i="28" s="1"/>
  <c r="I388" i="27"/>
  <c r="Q382" i="25"/>
  <c r="N382" i="25"/>
  <c r="R382" i="25"/>
  <c r="K390" i="28"/>
  <c r="G390" i="28"/>
  <c r="K382" i="25"/>
  <c r="F382" i="1"/>
  <c r="F307" i="28"/>
  <c r="S382" i="25"/>
  <c r="L382" i="25"/>
  <c r="U382" i="25"/>
  <c r="K318" i="28"/>
  <c r="G318" i="28"/>
  <c r="I398" i="25"/>
  <c r="W392" i="25"/>
  <c r="I385" i="28"/>
  <c r="N385" i="28"/>
  <c r="W514" i="25"/>
  <c r="K799" i="25"/>
  <c r="V799" i="25"/>
  <c r="M799" i="25"/>
  <c r="F71" i="31" s="1"/>
  <c r="P799" i="25"/>
  <c r="G71" i="31" s="1"/>
  <c r="U799" i="25"/>
  <c r="N799" i="25"/>
  <c r="N338" i="25" s="1"/>
  <c r="T799" i="25"/>
  <c r="O799" i="25"/>
  <c r="O338" i="25" s="1"/>
  <c r="O344" i="25" s="1"/>
  <c r="S799" i="25"/>
  <c r="S338" i="25" s="1"/>
  <c r="S344" i="25" s="1"/>
  <c r="L799" i="25"/>
  <c r="Q799" i="25"/>
  <c r="Q338" i="25" s="1"/>
  <c r="R799" i="25"/>
  <c r="R338" i="25" s="1"/>
  <c r="R344" i="25" s="1"/>
  <c r="I514" i="25"/>
  <c r="K434" i="28"/>
  <c r="G434" i="28"/>
  <c r="L388" i="28"/>
  <c r="M388" i="28" s="1"/>
  <c r="H388" i="28"/>
  <c r="I388" i="28" s="1"/>
  <c r="V338" i="25" l="1"/>
  <c r="J71" i="31"/>
  <c r="N388" i="28"/>
  <c r="I506" i="26"/>
  <c r="I523" i="26" s="1"/>
  <c r="F313" i="28"/>
  <c r="I335" i="25"/>
  <c r="K251" i="28"/>
  <c r="G251" i="28"/>
  <c r="V344" i="25"/>
  <c r="D71" i="31"/>
  <c r="K338" i="25"/>
  <c r="J799" i="25"/>
  <c r="H799" i="25" s="1"/>
  <c r="W799" i="25" s="1"/>
  <c r="G439" i="28"/>
  <c r="K439" i="28"/>
  <c r="T338" i="25"/>
  <c r="T344" i="25" s="1"/>
  <c r="H71" i="31"/>
  <c r="G382" i="1"/>
  <c r="P382" i="25"/>
  <c r="E71" i="31"/>
  <c r="L338" i="25"/>
  <c r="L344" i="25" s="1"/>
  <c r="N344" i="25"/>
  <c r="M344" i="25" s="1"/>
  <c r="M338" i="25"/>
  <c r="M382" i="25"/>
  <c r="I506" i="27"/>
  <c r="I523" i="27" s="1"/>
  <c r="P500" i="25"/>
  <c r="O505" i="25"/>
  <c r="N505" i="25"/>
  <c r="Q505" i="25"/>
  <c r="R505" i="25"/>
  <c r="J312" i="28"/>
  <c r="T505" i="25"/>
  <c r="U505" i="25"/>
  <c r="L505" i="25"/>
  <c r="S505" i="25"/>
  <c r="V505" i="25"/>
  <c r="K505" i="25"/>
  <c r="L387" i="25"/>
  <c r="S387" i="25"/>
  <c r="K387" i="25"/>
  <c r="N387" i="25"/>
  <c r="T387" i="25"/>
  <c r="U387" i="25"/>
  <c r="V387" i="25"/>
  <c r="R387" i="25"/>
  <c r="Q387" i="25"/>
  <c r="O387" i="25"/>
  <c r="I71" i="31"/>
  <c r="U338" i="25"/>
  <c r="U344" i="25" s="1"/>
  <c r="Q344" i="25"/>
  <c r="P344" i="25" s="1"/>
  <c r="P338" i="25"/>
  <c r="I398" i="27"/>
  <c r="K323" i="28" s="1"/>
  <c r="G317" i="28"/>
  <c r="K317" i="28"/>
  <c r="K307" i="28"/>
  <c r="G307" i="28"/>
  <c r="F312" i="28"/>
  <c r="F387" i="1"/>
  <c r="G387" i="1" s="1"/>
  <c r="M500" i="25"/>
  <c r="K71" i="31" l="1"/>
  <c r="J500" i="25"/>
  <c r="J382" i="25"/>
  <c r="J338" i="25"/>
  <c r="M505" i="25"/>
  <c r="P505" i="25"/>
  <c r="W382" i="25"/>
  <c r="I407" i="27"/>
  <c r="K344" i="25"/>
  <c r="J344" i="25" s="1"/>
  <c r="W338" i="25"/>
  <c r="K430" i="28"/>
  <c r="G430" i="28"/>
  <c r="F388" i="1"/>
  <c r="G425" i="28"/>
  <c r="K425" i="28"/>
  <c r="I506" i="25"/>
  <c r="M387" i="25"/>
  <c r="G388" i="1"/>
  <c r="K260" i="28"/>
  <c r="G260" i="28"/>
  <c r="K263" i="28"/>
  <c r="G263" i="28"/>
  <c r="I346" i="25"/>
  <c r="G323" i="28"/>
  <c r="P387" i="25"/>
  <c r="J387" i="25" l="1"/>
  <c r="J505" i="25"/>
  <c r="G431" i="28"/>
  <c r="K431" i="28"/>
  <c r="G269" i="28"/>
  <c r="K269" i="28"/>
  <c r="G271" i="28"/>
  <c r="K271" i="28"/>
  <c r="W387" i="25"/>
  <c r="K312" i="28"/>
  <c r="G312" i="28"/>
  <c r="I388" i="25"/>
  <c r="L263" i="28"/>
  <c r="M263" i="28" s="1"/>
  <c r="H263" i="28"/>
  <c r="I263" i="28" s="1"/>
  <c r="W344" i="25"/>
  <c r="G313" i="28" l="1"/>
  <c r="K313" i="28"/>
  <c r="L269" i="28"/>
  <c r="M269" i="28" s="1"/>
  <c r="H269" i="28"/>
  <c r="I269" i="28" s="1"/>
  <c r="N263" i="28"/>
  <c r="N269" i="28" l="1"/>
  <c r="K403" i="1" l="1"/>
  <c r="H403" i="25" l="1"/>
  <c r="H403" i="1"/>
  <c r="K406" i="1"/>
  <c r="F403" i="1" l="1"/>
  <c r="G403" i="1" s="1"/>
  <c r="G406" i="1" s="1"/>
  <c r="G407" i="1" s="1"/>
  <c r="F328" i="28"/>
  <c r="H406" i="1"/>
  <c r="K407" i="1"/>
  <c r="J328" i="28"/>
  <c r="H406" i="25"/>
  <c r="G328" i="28" l="1"/>
  <c r="K328" i="28"/>
  <c r="H407" i="25"/>
  <c r="J332" i="28" s="1"/>
  <c r="J331" i="28"/>
  <c r="F406" i="1"/>
  <c r="F407" i="1" s="1"/>
  <c r="F331" i="28"/>
  <c r="H407" i="1"/>
  <c r="F332" i="28" s="1"/>
  <c r="K444" i="28" l="1"/>
  <c r="G444" i="28"/>
  <c r="I522" i="25"/>
  <c r="G447" i="28" l="1"/>
  <c r="K447" i="28"/>
  <c r="I523" i="25"/>
  <c r="G448" i="28" l="1"/>
  <c r="K448" i="28"/>
  <c r="G326" i="28" l="1"/>
  <c r="K326" i="28"/>
  <c r="I406" i="25"/>
  <c r="K331" i="28" l="1"/>
  <c r="G331" i="28"/>
  <c r="I407" i="25"/>
  <c r="G332" i="28" l="1"/>
  <c r="K332" i="28"/>
  <c r="L221" i="1" l="1"/>
  <c r="K213" i="1" l="1"/>
  <c r="K222" i="1"/>
  <c r="K215" i="1"/>
  <c r="K219" i="1"/>
  <c r="K217" i="1"/>
  <c r="K218" i="1"/>
  <c r="K224" i="1"/>
  <c r="H221" i="1"/>
  <c r="H221" i="26"/>
  <c r="K216" i="1"/>
  <c r="L225" i="1"/>
  <c r="K220" i="1"/>
  <c r="K223" i="1"/>
  <c r="L235" i="1"/>
  <c r="H235" i="26" s="1"/>
  <c r="J146" i="28" l="1"/>
  <c r="H219" i="1"/>
  <c r="H219" i="25"/>
  <c r="H220" i="25"/>
  <c r="H220" i="1"/>
  <c r="H215" i="25"/>
  <c r="H215" i="1"/>
  <c r="H225" i="1"/>
  <c r="H225" i="26"/>
  <c r="H218" i="25"/>
  <c r="H218" i="1"/>
  <c r="H222" i="1"/>
  <c r="H222" i="25"/>
  <c r="F221" i="1"/>
  <c r="G221" i="1" s="1"/>
  <c r="F146" i="28"/>
  <c r="H224" i="1"/>
  <c r="H224" i="25"/>
  <c r="H216" i="25"/>
  <c r="H216" i="1"/>
  <c r="H217" i="25"/>
  <c r="H217" i="1"/>
  <c r="H213" i="1"/>
  <c r="H213" i="25"/>
  <c r="H223" i="25"/>
  <c r="H223" i="1"/>
  <c r="L226" i="1"/>
  <c r="S222" i="25" l="1"/>
  <c r="J147" i="28"/>
  <c r="Q222" i="25"/>
  <c r="L222" i="25"/>
  <c r="V222" i="25"/>
  <c r="O222" i="25"/>
  <c r="U222" i="25"/>
  <c r="N222" i="25"/>
  <c r="R222" i="25"/>
  <c r="T222" i="25"/>
  <c r="K222" i="25"/>
  <c r="F145" i="28"/>
  <c r="F220" i="1"/>
  <c r="G220" i="1" s="1"/>
  <c r="J145" i="28"/>
  <c r="F218" i="1"/>
  <c r="G218" i="1" s="1"/>
  <c r="F143" i="28"/>
  <c r="S219" i="25"/>
  <c r="J144" i="28"/>
  <c r="U219" i="25"/>
  <c r="V219" i="25"/>
  <c r="Q219" i="25"/>
  <c r="T219" i="25"/>
  <c r="O219" i="25"/>
  <c r="N219" i="25"/>
  <c r="L219" i="25"/>
  <c r="R219" i="25"/>
  <c r="K219" i="25"/>
  <c r="S217" i="25"/>
  <c r="J142" i="28"/>
  <c r="L217" i="25"/>
  <c r="R217" i="25"/>
  <c r="T217" i="25"/>
  <c r="O217" i="25"/>
  <c r="U217" i="25"/>
  <c r="Q217" i="25"/>
  <c r="V217" i="25"/>
  <c r="N217" i="25"/>
  <c r="K217" i="25"/>
  <c r="F141" i="28"/>
  <c r="F216" i="1"/>
  <c r="G216" i="1" s="1"/>
  <c r="F219" i="1"/>
  <c r="G219" i="1" s="1"/>
  <c r="F144" i="28"/>
  <c r="F222" i="1"/>
  <c r="G222" i="1" s="1"/>
  <c r="F147" i="28"/>
  <c r="S216" i="25"/>
  <c r="J141" i="28"/>
  <c r="N216" i="25"/>
  <c r="K216" i="25"/>
  <c r="Q216" i="25"/>
  <c r="L216" i="25"/>
  <c r="R216" i="25"/>
  <c r="U216" i="25"/>
  <c r="O216" i="25"/>
  <c r="T216" i="25"/>
  <c r="V216" i="25"/>
  <c r="S218" i="25"/>
  <c r="J143" i="28"/>
  <c r="V218" i="25"/>
  <c r="L218" i="25"/>
  <c r="R218" i="25"/>
  <c r="U218" i="25"/>
  <c r="N218" i="25"/>
  <c r="K218" i="25"/>
  <c r="Q218" i="25"/>
  <c r="T218" i="25"/>
  <c r="O218" i="25"/>
  <c r="J149" i="28"/>
  <c r="Q224" i="25"/>
  <c r="U224" i="25"/>
  <c r="R224" i="25"/>
  <c r="N224" i="25"/>
  <c r="O224" i="25"/>
  <c r="T224" i="25"/>
  <c r="V224" i="25"/>
  <c r="K224" i="25"/>
  <c r="S224" i="25"/>
  <c r="L224" i="25"/>
  <c r="J150" i="28"/>
  <c r="J148" i="28"/>
  <c r="O223" i="25"/>
  <c r="S223" i="25"/>
  <c r="L223" i="25"/>
  <c r="Q223" i="25"/>
  <c r="U223" i="25"/>
  <c r="R223" i="25"/>
  <c r="T223" i="25"/>
  <c r="K223" i="25"/>
  <c r="N223" i="25"/>
  <c r="M223" i="25" s="1"/>
  <c r="V223" i="25"/>
  <c r="F224" i="1"/>
  <c r="G224" i="1" s="1"/>
  <c r="F149" i="28"/>
  <c r="F150" i="28"/>
  <c r="F225" i="1"/>
  <c r="G225" i="1" s="1"/>
  <c r="F142" i="28"/>
  <c r="F217" i="1"/>
  <c r="G217" i="1" s="1"/>
  <c r="F223" i="1"/>
  <c r="G223" i="1" s="1"/>
  <c r="F148" i="28"/>
  <c r="S213" i="25"/>
  <c r="J138" i="28"/>
  <c r="O213" i="25"/>
  <c r="U213" i="25"/>
  <c r="T213" i="25"/>
  <c r="N213" i="25"/>
  <c r="R213" i="25"/>
  <c r="V213" i="25"/>
  <c r="K213" i="25"/>
  <c r="Q213" i="25"/>
  <c r="L213" i="25"/>
  <c r="F215" i="1"/>
  <c r="G215" i="1" s="1"/>
  <c r="F140" i="28"/>
  <c r="H226" i="26"/>
  <c r="M235" i="1"/>
  <c r="H235" i="27" s="1"/>
  <c r="F138" i="28"/>
  <c r="F213" i="1"/>
  <c r="G213" i="1" s="1"/>
  <c r="S215" i="25"/>
  <c r="J140" i="28"/>
  <c r="R215" i="25"/>
  <c r="U215" i="25"/>
  <c r="T215" i="25"/>
  <c r="N215" i="25"/>
  <c r="K215" i="25"/>
  <c r="L215" i="25"/>
  <c r="Q215" i="25"/>
  <c r="O215" i="25"/>
  <c r="V215" i="25"/>
  <c r="P222" i="25" l="1"/>
  <c r="M213" i="25"/>
  <c r="P217" i="25"/>
  <c r="P219" i="25"/>
  <c r="M219" i="25"/>
  <c r="M215" i="25"/>
  <c r="M217" i="25"/>
  <c r="M222" i="25"/>
  <c r="K138" i="28"/>
  <c r="G138" i="28"/>
  <c r="K148" i="28"/>
  <c r="G148" i="28"/>
  <c r="P224" i="25"/>
  <c r="K149" i="28"/>
  <c r="G149" i="28"/>
  <c r="G143" i="28"/>
  <c r="K143" i="28"/>
  <c r="G142" i="28"/>
  <c r="K142" i="28"/>
  <c r="G147" i="28"/>
  <c r="K147" i="28"/>
  <c r="P216" i="25"/>
  <c r="K146" i="28"/>
  <c r="G146" i="28"/>
  <c r="I226" i="26"/>
  <c r="K145" i="28"/>
  <c r="G145" i="28"/>
  <c r="K235" i="1"/>
  <c r="P218" i="25"/>
  <c r="G144" i="28"/>
  <c r="K144" i="28"/>
  <c r="P215" i="25"/>
  <c r="K150" i="28"/>
  <c r="G150" i="28"/>
  <c r="M224" i="25"/>
  <c r="K141" i="28"/>
  <c r="G141" i="28"/>
  <c r="M216" i="25"/>
  <c r="G140" i="28"/>
  <c r="K140" i="28"/>
  <c r="P213" i="25"/>
  <c r="P223" i="25"/>
  <c r="W223" i="25" s="1"/>
  <c r="M218" i="25"/>
  <c r="J216" i="25" l="1"/>
  <c r="J213" i="25"/>
  <c r="L138" i="28" s="1"/>
  <c r="M138" i="28" s="1"/>
  <c r="J215" i="25"/>
  <c r="J219" i="25"/>
  <c r="J218" i="25"/>
  <c r="L143" i="28" s="1"/>
  <c r="M143" i="28" s="1"/>
  <c r="J224" i="25"/>
  <c r="H149" i="28" s="1"/>
  <c r="I149" i="28" s="1"/>
  <c r="J217" i="25"/>
  <c r="H142" i="28" s="1"/>
  <c r="I142" i="28" s="1"/>
  <c r="W219" i="25"/>
  <c r="W215" i="25"/>
  <c r="W222" i="25"/>
  <c r="J222" i="25"/>
  <c r="H147" i="28" s="1"/>
  <c r="I147" i="28" s="1"/>
  <c r="J223" i="25"/>
  <c r="W217" i="25"/>
  <c r="W218" i="25"/>
  <c r="W216" i="25"/>
  <c r="L141" i="28"/>
  <c r="M141" i="28" s="1"/>
  <c r="H141" i="28"/>
  <c r="I141" i="28" s="1"/>
  <c r="H138" i="28"/>
  <c r="I138" i="28" s="1"/>
  <c r="W213" i="25"/>
  <c r="H144" i="28"/>
  <c r="I144" i="28" s="1"/>
  <c r="L144" i="28"/>
  <c r="M144" i="28" s="1"/>
  <c r="W224" i="25"/>
  <c r="H235" i="1"/>
  <c r="H235" i="25"/>
  <c r="J160" i="28" s="1"/>
  <c r="L234" i="1"/>
  <c r="H234" i="26" s="1"/>
  <c r="M234" i="1"/>
  <c r="H234" i="27" s="1"/>
  <c r="K212" i="1"/>
  <c r="L149" i="28" l="1"/>
  <c r="M149" i="28" s="1"/>
  <c r="L142" i="28"/>
  <c r="M142" i="28" s="1"/>
  <c r="H143" i="28"/>
  <c r="I143" i="28" s="1"/>
  <c r="L147" i="28"/>
  <c r="M147" i="28" s="1"/>
  <c r="N141" i="28"/>
  <c r="L140" i="28"/>
  <c r="M140" i="28" s="1"/>
  <c r="H140" i="28"/>
  <c r="H212" i="25"/>
  <c r="H212" i="1"/>
  <c r="K226" i="1"/>
  <c r="N138" i="28"/>
  <c r="N143" i="28"/>
  <c r="N142" i="28"/>
  <c r="N144" i="28"/>
  <c r="N149" i="28"/>
  <c r="F235" i="1"/>
  <c r="G235" i="1" s="1"/>
  <c r="F160" i="28"/>
  <c r="L148" i="28"/>
  <c r="H148" i="28"/>
  <c r="N148" i="28" s="1"/>
  <c r="N147" i="28"/>
  <c r="F212" i="1" l="1"/>
  <c r="F226" i="1" s="1"/>
  <c r="F137" i="28"/>
  <c r="H226" i="1"/>
  <c r="F151" i="28" s="1"/>
  <c r="G212" i="1"/>
  <c r="G226" i="1" s="1"/>
  <c r="J137" i="28"/>
  <c r="H226" i="25"/>
  <c r="J151" i="28" s="1"/>
  <c r="K212" i="25"/>
  <c r="Q212" i="25"/>
  <c r="V212" i="25"/>
  <c r="L212" i="25"/>
  <c r="S212" i="25"/>
  <c r="R212" i="25"/>
  <c r="U212" i="25"/>
  <c r="N212" i="25"/>
  <c r="O212" i="25"/>
  <c r="T212" i="25"/>
  <c r="I140" i="28"/>
  <c r="N140" i="28"/>
  <c r="K234" i="1"/>
  <c r="P212" i="25" l="1"/>
  <c r="M212" i="25"/>
  <c r="H234" i="1"/>
  <c r="H234" i="25"/>
  <c r="J159" i="28" s="1"/>
  <c r="W212" i="25" l="1"/>
  <c r="J212" i="25"/>
  <c r="L137" i="28" s="1"/>
  <c r="M137" i="28" s="1"/>
  <c r="F234" i="1"/>
  <c r="G234" i="1" s="1"/>
  <c r="F159" i="28"/>
  <c r="G137" i="28"/>
  <c r="K137" i="28"/>
  <c r="I226" i="25"/>
  <c r="H137" i="28" l="1"/>
  <c r="I137" i="28" s="1"/>
  <c r="G151" i="28"/>
  <c r="K151" i="28"/>
  <c r="N137" i="28" l="1"/>
  <c r="G18" i="28"/>
  <c r="K18" i="28"/>
  <c r="G19" i="28"/>
  <c r="K19" i="28"/>
  <c r="G20" i="28"/>
  <c r="K20" i="28"/>
  <c r="E57" i="24"/>
  <c r="E58" i="24"/>
  <c r="E59" i="24"/>
  <c r="E60" i="24"/>
  <c r="E62" i="24"/>
  <c r="E63" i="24"/>
  <c r="E64" i="24"/>
  <c r="E65" i="24"/>
  <c r="E67" i="24"/>
  <c r="E68" i="24"/>
  <c r="E69" i="24"/>
  <c r="E70" i="24"/>
  <c r="E92" i="24"/>
  <c r="E93" i="24"/>
  <c r="E94" i="24"/>
  <c r="E95" i="24"/>
  <c r="I96" i="27" l="1"/>
  <c r="I96" i="25" l="1"/>
  <c r="I96" i="26" l="1"/>
  <c r="K21" i="28" l="1"/>
  <c r="G21" i="28"/>
  <c r="G76" i="28"/>
  <c r="K76" i="28"/>
  <c r="G77" i="28"/>
  <c r="K77" i="28"/>
  <c r="G78" i="28"/>
  <c r="K78" i="28"/>
  <c r="G79" i="28"/>
  <c r="K79" i="28"/>
  <c r="G80" i="28"/>
  <c r="K80" i="28"/>
  <c r="G81" i="28"/>
  <c r="K81" i="28"/>
  <c r="G82" i="28"/>
  <c r="K82" i="28"/>
  <c r="G83" i="28"/>
  <c r="K83" i="28"/>
  <c r="G84" i="28"/>
  <c r="K84" i="28"/>
  <c r="G85" i="28"/>
  <c r="G93" i="28"/>
  <c r="K93" i="28"/>
  <c r="G96" i="28"/>
  <c r="K96" i="28"/>
  <c r="G113" i="28"/>
  <c r="K113" i="28"/>
  <c r="G114" i="28"/>
  <c r="K114" i="28"/>
  <c r="G115" i="28"/>
  <c r="K115" i="28"/>
  <c r="G158" i="28"/>
  <c r="K158" i="28"/>
  <c r="G159" i="28"/>
  <c r="K159" i="28"/>
  <c r="G160" i="28"/>
  <c r="K160" i="28"/>
  <c r="G161" i="28"/>
  <c r="K161" i="28"/>
  <c r="G162" i="28"/>
  <c r="K162" i="28"/>
  <c r="G163" i="28"/>
  <c r="K163" i="28"/>
  <c r="G164" i="28"/>
  <c r="K164" i="28"/>
  <c r="G165" i="28"/>
  <c r="K165" i="28"/>
  <c r="G166" i="28"/>
  <c r="K166" i="28"/>
  <c r="G167" i="28"/>
  <c r="K167" i="28"/>
  <c r="G168" i="28"/>
  <c r="K168" i="28"/>
  <c r="G189" i="28"/>
  <c r="K189" i="28"/>
  <c r="G190" i="28"/>
  <c r="K190" i="28"/>
  <c r="G195" i="28"/>
  <c r="K195" i="28"/>
  <c r="G201" i="28"/>
  <c r="K201" i="28"/>
  <c r="G207" i="28"/>
  <c r="K207" i="28"/>
  <c r="G208" i="28"/>
  <c r="K208" i="28"/>
  <c r="G209" i="28"/>
  <c r="K209" i="28"/>
  <c r="G210" i="28"/>
  <c r="K210" i="28"/>
  <c r="G211" i="28"/>
  <c r="K211" i="28"/>
  <c r="G212" i="28"/>
  <c r="K212" i="28"/>
  <c r="G213" i="28"/>
  <c r="K213" i="28"/>
  <c r="G214" i="28"/>
  <c r="K214" i="28"/>
  <c r="G215" i="28"/>
  <c r="K215" i="28"/>
  <c r="G221" i="28"/>
  <c r="K221" i="28"/>
  <c r="G222" i="28"/>
  <c r="K222" i="28"/>
  <c r="G223" i="28"/>
  <c r="K223" i="28"/>
  <c r="G224" i="28"/>
  <c r="K224" i="28"/>
  <c r="G225" i="28"/>
  <c r="K225" i="28"/>
  <c r="G227" i="28"/>
  <c r="K227" i="28"/>
  <c r="G228" i="28"/>
  <c r="K228" i="28"/>
  <c r="G276" i="28"/>
  <c r="K276" i="28"/>
  <c r="G279" i="28"/>
  <c r="K279" i="28"/>
  <c r="G285" i="28"/>
  <c r="K285" i="28"/>
  <c r="G286" i="28"/>
  <c r="K286" i="28"/>
  <c r="G287" i="28"/>
  <c r="K287" i="28"/>
  <c r="G290" i="28"/>
  <c r="K290" i="28"/>
  <c r="G298" i="28"/>
  <c r="K298" i="28"/>
  <c r="G337" i="28"/>
  <c r="K337" i="28"/>
  <c r="G338" i="28"/>
  <c r="K338" i="28"/>
  <c r="G339" i="28"/>
  <c r="K339" i="28"/>
  <c r="G340" i="28"/>
  <c r="K340" i="28"/>
  <c r="G341" i="28"/>
  <c r="K341" i="28"/>
  <c r="G342" i="28"/>
  <c r="K342" i="28"/>
  <c r="G343" i="28"/>
  <c r="K343" i="28"/>
  <c r="G344" i="28"/>
  <c r="K344" i="28"/>
  <c r="G345" i="28"/>
  <c r="K345" i="28"/>
  <c r="G347" i="28"/>
  <c r="K347" i="28"/>
  <c r="G348" i="28"/>
  <c r="K348" i="28"/>
  <c r="G349" i="28"/>
  <c r="K349" i="28"/>
  <c r="G350" i="28"/>
  <c r="K350" i="28"/>
  <c r="G351" i="28"/>
  <c r="K351" i="28"/>
  <c r="G395" i="28"/>
  <c r="K395" i="28"/>
  <c r="G403" i="28"/>
  <c r="K403" i="28"/>
  <c r="G404" i="28"/>
  <c r="K404" i="28"/>
  <c r="G407" i="28"/>
  <c r="K407" i="28"/>
  <c r="G415" i="28"/>
  <c r="K415" i="28"/>
  <c r="G458" i="28"/>
  <c r="K458" i="28"/>
  <c r="G459" i="28"/>
  <c r="K459" i="28"/>
  <c r="G460" i="28"/>
  <c r="K460" i="28"/>
  <c r="G497" i="28"/>
  <c r="K497" i="28"/>
  <c r="G498" i="28"/>
  <c r="K498" i="28"/>
  <c r="G499" i="28"/>
  <c r="K499" i="28"/>
  <c r="G500" i="28"/>
  <c r="K500" i="28"/>
  <c r="G501" i="28"/>
  <c r="K501" i="28"/>
  <c r="G502" i="28"/>
  <c r="K502" i="28"/>
  <c r="G503" i="28"/>
  <c r="K503" i="28"/>
  <c r="G504" i="28"/>
  <c r="K504" i="28"/>
  <c r="G505" i="28"/>
  <c r="K505" i="28"/>
  <c r="G506" i="28"/>
  <c r="K506" i="28"/>
  <c r="G511" i="28"/>
  <c r="K511" i="28"/>
  <c r="G516" i="28"/>
  <c r="K516" i="28"/>
  <c r="G530" i="28"/>
  <c r="K530" i="28"/>
  <c r="G531" i="28"/>
  <c r="K531" i="28"/>
  <c r="G533" i="28"/>
  <c r="K533" i="28"/>
  <c r="G551" i="28"/>
  <c r="K551" i="28"/>
  <c r="G552" i="28"/>
  <c r="K552" i="28"/>
  <c r="G553" i="28"/>
  <c r="K553" i="28"/>
  <c r="G554" i="28"/>
  <c r="K554" i="28"/>
  <c r="G555" i="28"/>
  <c r="K555" i="28"/>
  <c r="G557" i="28"/>
  <c r="K557" i="28"/>
  <c r="G558" i="28"/>
  <c r="K558" i="28"/>
  <c r="G559" i="28"/>
  <c r="K559" i="28"/>
  <c r="G565" i="28"/>
  <c r="K565" i="28"/>
  <c r="G569" i="28"/>
  <c r="K569" i="28"/>
  <c r="G572" i="28"/>
  <c r="K572" i="28"/>
  <c r="G573" i="28"/>
  <c r="K573" i="28"/>
  <c r="G574" i="28"/>
  <c r="K574" i="28"/>
  <c r="G575" i="28"/>
  <c r="K575" i="28"/>
  <c r="I292" i="26" l="1"/>
  <c r="I292" i="25"/>
  <c r="I480" i="27"/>
  <c r="I491" i="27" l="1"/>
  <c r="I493" i="27" s="1"/>
  <c r="I495" i="27" s="1"/>
  <c r="I525" i="27" s="1"/>
  <c r="I491" i="25" l="1"/>
  <c r="I374" i="25"/>
  <c r="I374" i="27" l="1"/>
  <c r="I363" i="25"/>
  <c r="I375" i="25" l="1"/>
  <c r="I363" i="26"/>
  <c r="I480" i="25"/>
  <c r="I493" i="25" l="1"/>
  <c r="I377" i="25"/>
  <c r="I480" i="26"/>
  <c r="G405" i="28" s="1"/>
  <c r="I408" i="25" l="1"/>
  <c r="K405" i="28"/>
  <c r="I495" i="25"/>
  <c r="I191" i="27"/>
  <c r="I525" i="25" l="1"/>
  <c r="G333" i="28"/>
  <c r="K333" i="28"/>
  <c r="I162" i="27"/>
  <c r="I536" i="27"/>
  <c r="I245" i="27"/>
  <c r="I247" i="27" s="1"/>
  <c r="I582" i="27"/>
  <c r="I597" i="27" l="1"/>
  <c r="I249" i="27"/>
  <c r="I266" i="27" l="1"/>
  <c r="I306" i="27"/>
  <c r="I292" i="27"/>
  <c r="I363" i="27"/>
  <c r="I191" i="25"/>
  <c r="K217" i="28" l="1"/>
  <c r="G217" i="28"/>
  <c r="I375" i="27"/>
  <c r="I377" i="27" s="1"/>
  <c r="G288" i="28"/>
  <c r="K288" i="28"/>
  <c r="I162" i="25"/>
  <c r="I427" i="27"/>
  <c r="I429" i="27" s="1"/>
  <c r="I611" i="27"/>
  <c r="I245" i="25"/>
  <c r="I536" i="25"/>
  <c r="I582" i="25"/>
  <c r="I247" i="25" l="1"/>
  <c r="I249" i="25" l="1"/>
  <c r="I427" i="25" l="1"/>
  <c r="I611" i="25"/>
  <c r="I429" i="25" l="1"/>
  <c r="I308" i="27"/>
  <c r="I623" i="27" l="1"/>
  <c r="I647" i="27" l="1"/>
  <c r="I647" i="25" l="1"/>
  <c r="I162" i="26" l="1"/>
  <c r="I191" i="26"/>
  <c r="I245" i="26"/>
  <c r="I266" i="26"/>
  <c r="I306" i="26"/>
  <c r="G170" i="28" l="1"/>
  <c r="K170" i="28"/>
  <c r="K116" i="28"/>
  <c r="G116" i="28"/>
  <c r="G87" i="28"/>
  <c r="K87" i="28"/>
  <c r="I247" i="26"/>
  <c r="I374" i="26"/>
  <c r="I427" i="26"/>
  <c r="I491" i="26"/>
  <c r="I375" i="26" l="1"/>
  <c r="K299" i="28"/>
  <c r="G299" i="28"/>
  <c r="I249" i="26"/>
  <c r="G172" i="28"/>
  <c r="K172" i="28"/>
  <c r="I493" i="26"/>
  <c r="K416" i="28"/>
  <c r="G416" i="28"/>
  <c r="K352" i="28"/>
  <c r="G352" i="28"/>
  <c r="I536" i="26"/>
  <c r="I582" i="26"/>
  <c r="I594" i="26"/>
  <c r="I611" i="26"/>
  <c r="I647" i="26"/>
  <c r="I308" i="26" l="1"/>
  <c r="K174" i="28"/>
  <c r="G174" i="28"/>
  <c r="K461" i="28"/>
  <c r="G461" i="28"/>
  <c r="G576" i="28"/>
  <c r="K576" i="28"/>
  <c r="G536" i="28"/>
  <c r="K536" i="28"/>
  <c r="G507" i="28"/>
  <c r="K507" i="28"/>
  <c r="I495" i="26"/>
  <c r="G418" i="28"/>
  <c r="K418" i="28"/>
  <c r="I377" i="26"/>
  <c r="G300" i="28"/>
  <c r="K300" i="28"/>
  <c r="I597" i="26"/>
  <c r="I623" i="26"/>
  <c r="I53" i="27"/>
  <c r="I525" i="26" l="1"/>
  <c r="G420" i="28"/>
  <c r="K420" i="28"/>
  <c r="K302" i="28"/>
  <c r="G302" i="28"/>
  <c r="I429" i="26"/>
  <c r="G548" i="28"/>
  <c r="K548" i="28"/>
  <c r="K354" i="28" l="1"/>
  <c r="G354" i="28"/>
  <c r="G450" i="28"/>
  <c r="K450" i="28"/>
  <c r="I266" i="25"/>
  <c r="I306" i="25"/>
  <c r="I594" i="25"/>
  <c r="G191" i="28"/>
  <c r="I597" i="25"/>
  <c r="G522" i="28"/>
  <c r="K519" i="28"/>
  <c r="G519" i="28"/>
  <c r="I308" i="25"/>
  <c r="K233" i="28"/>
  <c r="G233" i="28"/>
  <c r="K191" i="28"/>
  <c r="K231" i="28"/>
  <c r="G231" i="28"/>
  <c r="K522" i="28"/>
  <c r="S39" i="26" l="1"/>
  <c r="O26" i="24" l="1"/>
  <c r="S722" i="26"/>
  <c r="S721" i="26"/>
  <c r="S39" i="25" l="1"/>
  <c r="S39" i="27"/>
  <c r="S721" i="27" l="1"/>
  <c r="S722" i="27"/>
  <c r="O31" i="24"/>
  <c r="S721" i="25"/>
  <c r="S722" i="25"/>
  <c r="O21" i="24"/>
  <c r="O46" i="24" l="1"/>
  <c r="P100" i="24" l="1"/>
  <c r="P53" i="24" l="1"/>
  <c r="P37" i="24"/>
  <c r="P78" i="24"/>
  <c r="P17" i="24"/>
  <c r="P42" i="24"/>
  <c r="P73" i="24"/>
  <c r="M100" i="24" l="1"/>
  <c r="M37" i="24" l="1"/>
  <c r="M17" i="24"/>
  <c r="M53" i="24"/>
  <c r="M78" i="24"/>
  <c r="M42" i="24"/>
  <c r="M73" i="24"/>
  <c r="J100" i="24" l="1"/>
  <c r="K100" i="24"/>
  <c r="K42" i="24" l="1"/>
  <c r="K17" i="24"/>
  <c r="K37" i="24"/>
  <c r="K78" i="24"/>
  <c r="K53" i="24"/>
  <c r="K73" i="24"/>
  <c r="J37" i="24"/>
  <c r="J42" i="24"/>
  <c r="J53" i="24"/>
  <c r="J17" i="24"/>
  <c r="J78" i="24"/>
  <c r="I100" i="24"/>
  <c r="J73" i="24"/>
  <c r="I42" i="24" l="1"/>
  <c r="I37" i="24"/>
  <c r="I53" i="24"/>
  <c r="I17" i="24"/>
  <c r="I78" i="24"/>
  <c r="I73" i="24"/>
  <c r="L39" i="26" l="1"/>
  <c r="T39" i="26"/>
  <c r="Q39" i="26"/>
  <c r="N688" i="25" l="1"/>
  <c r="N674" i="25"/>
  <c r="K688" i="25"/>
  <c r="K674" i="25"/>
  <c r="L674" i="25"/>
  <c r="L688" i="25"/>
  <c r="Q688" i="25"/>
  <c r="Q674" i="25"/>
  <c r="S688" i="25"/>
  <c r="S674" i="25"/>
  <c r="S674" i="26" s="1"/>
  <c r="L722" i="26"/>
  <c r="L721" i="26"/>
  <c r="H26" i="24"/>
  <c r="Q722" i="26"/>
  <c r="M26" i="24"/>
  <c r="Q721" i="26"/>
  <c r="T674" i="25"/>
  <c r="T688" i="25"/>
  <c r="P26" i="24"/>
  <c r="T722" i="26"/>
  <c r="T721" i="26"/>
  <c r="O39" i="26"/>
  <c r="U39" i="26"/>
  <c r="T39" i="25"/>
  <c r="K39" i="26"/>
  <c r="Q39" i="25"/>
  <c r="O39" i="25"/>
  <c r="L39" i="25"/>
  <c r="K39" i="25"/>
  <c r="K690" i="25"/>
  <c r="K690" i="27" s="1"/>
  <c r="Q690" i="25"/>
  <c r="Q690" i="27" s="1"/>
  <c r="L690" i="25"/>
  <c r="L690" i="27" s="1"/>
  <c r="N690" i="25"/>
  <c r="T690" i="25"/>
  <c r="T690" i="27" s="1"/>
  <c r="S690" i="25"/>
  <c r="S690" i="26" l="1"/>
  <c r="S690" i="27"/>
  <c r="N690" i="26"/>
  <c r="N690" i="27"/>
  <c r="Q690" i="26"/>
  <c r="O674" i="25"/>
  <c r="M674" i="25" s="1"/>
  <c r="O688" i="25"/>
  <c r="R674" i="25"/>
  <c r="R688" i="25"/>
  <c r="M27" i="24"/>
  <c r="Q674" i="26"/>
  <c r="Q674" i="27"/>
  <c r="E34" i="30"/>
  <c r="L690" i="26"/>
  <c r="Q688" i="27"/>
  <c r="Q688" i="26"/>
  <c r="M101" i="24"/>
  <c r="Q689" i="25"/>
  <c r="K690" i="26"/>
  <c r="D34" i="30"/>
  <c r="O722" i="25"/>
  <c r="O721" i="25"/>
  <c r="K21" i="24"/>
  <c r="K26" i="24"/>
  <c r="O722" i="26"/>
  <c r="O721" i="26"/>
  <c r="P27" i="24"/>
  <c r="H101" i="24"/>
  <c r="H28" i="24" s="1"/>
  <c r="L688" i="27"/>
  <c r="L689" i="27" s="1"/>
  <c r="L688" i="26"/>
  <c r="L689" i="26" s="1"/>
  <c r="L689" i="25"/>
  <c r="E33" i="30" s="1"/>
  <c r="E32" i="30"/>
  <c r="U674" i="25"/>
  <c r="U688" i="25"/>
  <c r="K721" i="25"/>
  <c r="K722" i="25"/>
  <c r="G21" i="24"/>
  <c r="T688" i="27"/>
  <c r="T689" i="27" s="1"/>
  <c r="T689" i="25"/>
  <c r="H33" i="30" s="1"/>
  <c r="P101" i="24"/>
  <c r="H32" i="30"/>
  <c r="T688" i="26"/>
  <c r="T689" i="26" s="1"/>
  <c r="H27" i="24"/>
  <c r="L674" i="26"/>
  <c r="E18" i="30"/>
  <c r="L674" i="27"/>
  <c r="H34" i="30"/>
  <c r="T690" i="26"/>
  <c r="M21" i="24"/>
  <c r="Q722" i="25"/>
  <c r="Q721" i="25"/>
  <c r="H18" i="30"/>
  <c r="T674" i="26"/>
  <c r="T674" i="27"/>
  <c r="D18" i="30"/>
  <c r="K674" i="26"/>
  <c r="K674" i="27"/>
  <c r="K688" i="27"/>
  <c r="G101" i="24"/>
  <c r="K689" i="25"/>
  <c r="D32" i="30"/>
  <c r="K688" i="26"/>
  <c r="H21" i="24"/>
  <c r="L722" i="25"/>
  <c r="E66" i="30" s="1"/>
  <c r="L721" i="25"/>
  <c r="E65" i="30" s="1"/>
  <c r="G26" i="24"/>
  <c r="K722" i="26"/>
  <c r="K721" i="26"/>
  <c r="N674" i="27"/>
  <c r="N674" i="26"/>
  <c r="T722" i="25"/>
  <c r="H66" i="30" s="1"/>
  <c r="P21" i="24"/>
  <c r="T721" i="25"/>
  <c r="H65" i="30" s="1"/>
  <c r="Q26" i="24"/>
  <c r="U721" i="26"/>
  <c r="U722" i="26"/>
  <c r="S689" i="25"/>
  <c r="O101" i="24"/>
  <c r="S688" i="27"/>
  <c r="S689" i="27" s="1"/>
  <c r="S688" i="26"/>
  <c r="S689" i="26" s="1"/>
  <c r="J101" i="24"/>
  <c r="N689" i="25"/>
  <c r="N688" i="26"/>
  <c r="N688" i="27"/>
  <c r="U39" i="27"/>
  <c r="U39" i="25"/>
  <c r="Q39" i="27"/>
  <c r="T39" i="27"/>
  <c r="O39" i="27"/>
  <c r="K39" i="27"/>
  <c r="L39" i="27"/>
  <c r="U690" i="25"/>
  <c r="U690" i="27" s="1"/>
  <c r="R690" i="25"/>
  <c r="O690" i="25"/>
  <c r="O690" i="27" s="1"/>
  <c r="R690" i="26" l="1"/>
  <c r="R690" i="27"/>
  <c r="K689" i="27"/>
  <c r="P54" i="24"/>
  <c r="P38" i="24"/>
  <c r="P79" i="24"/>
  <c r="P43" i="24"/>
  <c r="P18" i="24"/>
  <c r="P74" i="24"/>
  <c r="U689" i="25"/>
  <c r="I33" i="30" s="1"/>
  <c r="I32" i="30"/>
  <c r="Q101" i="24"/>
  <c r="U688" i="27"/>
  <c r="U689" i="27" s="1"/>
  <c r="U688" i="26"/>
  <c r="U689" i="26" s="1"/>
  <c r="Q689" i="26"/>
  <c r="Q689" i="27"/>
  <c r="P688" i="25"/>
  <c r="R689" i="25"/>
  <c r="P689" i="25" s="1"/>
  <c r="G33" i="30" s="1"/>
  <c r="N101" i="24"/>
  <c r="R688" i="27"/>
  <c r="R689" i="27" s="1"/>
  <c r="R688" i="26"/>
  <c r="R689" i="26" s="1"/>
  <c r="O722" i="27"/>
  <c r="K31" i="24"/>
  <c r="O721" i="27"/>
  <c r="T722" i="27"/>
  <c r="T721" i="27"/>
  <c r="P31" i="24"/>
  <c r="Q31" i="24"/>
  <c r="U722" i="27"/>
  <c r="U721" i="27"/>
  <c r="R674" i="26"/>
  <c r="P674" i="26" s="1"/>
  <c r="R674" i="27"/>
  <c r="M690" i="25"/>
  <c r="O690" i="26"/>
  <c r="M690" i="26" s="1"/>
  <c r="U721" i="25"/>
  <c r="I65" i="30" s="1"/>
  <c r="U722" i="25"/>
  <c r="I66" i="30" s="1"/>
  <c r="Q21" i="24"/>
  <c r="Q27" i="24"/>
  <c r="I18" i="30"/>
  <c r="U674" i="26"/>
  <c r="U674" i="27"/>
  <c r="M688" i="25"/>
  <c r="K101" i="24"/>
  <c r="K23" i="24" s="1"/>
  <c r="O688" i="26"/>
  <c r="O689" i="26" s="1"/>
  <c r="O689" i="25"/>
  <c r="M689" i="25" s="1"/>
  <c r="F33" i="30" s="1"/>
  <c r="O688" i="27"/>
  <c r="O689" i="27" s="1"/>
  <c r="I34" i="30"/>
  <c r="U690" i="26"/>
  <c r="H31" i="24"/>
  <c r="L721" i="27"/>
  <c r="L722" i="27"/>
  <c r="H22" i="24"/>
  <c r="H23" i="24"/>
  <c r="G31" i="24"/>
  <c r="K722" i="27"/>
  <c r="K721" i="27"/>
  <c r="O43" i="24"/>
  <c r="O38" i="24"/>
  <c r="O18" i="24"/>
  <c r="O54" i="24"/>
  <c r="O79" i="24"/>
  <c r="O74" i="24"/>
  <c r="O28" i="24"/>
  <c r="O33" i="24"/>
  <c r="O23" i="24"/>
  <c r="O48" i="24"/>
  <c r="P22" i="24"/>
  <c r="P23" i="24"/>
  <c r="K689" i="26"/>
  <c r="P690" i="27"/>
  <c r="P674" i="27"/>
  <c r="O674" i="26"/>
  <c r="M674" i="26" s="1"/>
  <c r="O674" i="27"/>
  <c r="Q722" i="27"/>
  <c r="M31" i="24"/>
  <c r="Q721" i="27"/>
  <c r="G28" i="24"/>
  <c r="G27" i="24"/>
  <c r="M23" i="24"/>
  <c r="M22" i="24"/>
  <c r="G22" i="24"/>
  <c r="G23" i="24"/>
  <c r="K27" i="24"/>
  <c r="P690" i="25"/>
  <c r="G34" i="30" s="1"/>
  <c r="J79" i="24"/>
  <c r="J43" i="24"/>
  <c r="J18" i="24"/>
  <c r="J54" i="24"/>
  <c r="J38" i="24"/>
  <c r="J74" i="24"/>
  <c r="N689" i="27"/>
  <c r="F18" i="30"/>
  <c r="D33" i="30"/>
  <c r="K33" i="30" s="1"/>
  <c r="D66" i="30"/>
  <c r="H38" i="24"/>
  <c r="H54" i="24"/>
  <c r="H79" i="24"/>
  <c r="H43" i="24"/>
  <c r="H18" i="24"/>
  <c r="H74" i="24"/>
  <c r="P674" i="25"/>
  <c r="J674" i="25" s="1"/>
  <c r="H674" i="25" s="1"/>
  <c r="P690" i="26"/>
  <c r="N689" i="26"/>
  <c r="M689" i="26" s="1"/>
  <c r="G43" i="24"/>
  <c r="G18" i="24"/>
  <c r="G38" i="24"/>
  <c r="G54" i="24"/>
  <c r="G79" i="24"/>
  <c r="G74" i="24"/>
  <c r="D65" i="30"/>
  <c r="P28" i="24"/>
  <c r="K22" i="24"/>
  <c r="M28" i="24"/>
  <c r="M18" i="24"/>
  <c r="M38" i="24"/>
  <c r="M79" i="24"/>
  <c r="M43" i="24"/>
  <c r="M54" i="24"/>
  <c r="M74" i="24"/>
  <c r="M688" i="26" l="1"/>
  <c r="J674" i="26"/>
  <c r="H674" i="26" s="1"/>
  <c r="L746" i="26" s="1"/>
  <c r="P688" i="27"/>
  <c r="P689" i="27"/>
  <c r="M746" i="26"/>
  <c r="O746" i="26"/>
  <c r="U746" i="26"/>
  <c r="T746" i="26"/>
  <c r="S746" i="26"/>
  <c r="N746" i="26"/>
  <c r="Q746" i="26"/>
  <c r="Q54" i="24"/>
  <c r="Q79" i="24"/>
  <c r="Q38" i="24"/>
  <c r="Q18" i="24"/>
  <c r="Q43" i="24"/>
  <c r="Q74" i="24"/>
  <c r="R746" i="25"/>
  <c r="O746" i="25"/>
  <c r="U746" i="25"/>
  <c r="I18" i="31" s="1"/>
  <c r="P746" i="25"/>
  <c r="G18" i="31" s="1"/>
  <c r="N746" i="25"/>
  <c r="L746" i="25"/>
  <c r="E18" i="31" s="1"/>
  <c r="V746" i="25"/>
  <c r="J18" i="31" s="1"/>
  <c r="K746" i="25"/>
  <c r="M746" i="25"/>
  <c r="F18" i="31" s="1"/>
  <c r="T746" i="25"/>
  <c r="H18" i="31" s="1"/>
  <c r="S746" i="25"/>
  <c r="Q746" i="25"/>
  <c r="G18" i="30"/>
  <c r="K18" i="30" s="1"/>
  <c r="W674" i="25"/>
  <c r="M688" i="27"/>
  <c r="Q22" i="24"/>
  <c r="Q23" i="24"/>
  <c r="K32" i="24"/>
  <c r="K33" i="24"/>
  <c r="K46" i="24"/>
  <c r="M689" i="27"/>
  <c r="J689" i="27" s="1"/>
  <c r="H689" i="27" s="1"/>
  <c r="K54" i="24"/>
  <c r="K79" i="24"/>
  <c r="K38" i="24"/>
  <c r="K43" i="24"/>
  <c r="K18" i="24"/>
  <c r="K74" i="24"/>
  <c r="H33" i="24"/>
  <c r="H32" i="24"/>
  <c r="H46" i="24"/>
  <c r="F32" i="30"/>
  <c r="I101" i="24"/>
  <c r="J688" i="25"/>
  <c r="Q46" i="24"/>
  <c r="Q32" i="24"/>
  <c r="Q33" i="24"/>
  <c r="P688" i="26"/>
  <c r="G32" i="30"/>
  <c r="L101" i="24"/>
  <c r="J690" i="26"/>
  <c r="H690" i="26" s="1"/>
  <c r="P689" i="26"/>
  <c r="J689" i="26" s="1"/>
  <c r="H689" i="26" s="1"/>
  <c r="J689" i="25"/>
  <c r="H689" i="25" s="1"/>
  <c r="W689" i="25" s="1"/>
  <c r="M32" i="24"/>
  <c r="M33" i="24"/>
  <c r="M46" i="24"/>
  <c r="G32" i="24"/>
  <c r="G46" i="24"/>
  <c r="G33" i="24"/>
  <c r="Q28" i="24"/>
  <c r="F34" i="30"/>
  <c r="K34" i="30" s="1"/>
  <c r="J690" i="25"/>
  <c r="H690" i="25" s="1"/>
  <c r="W690" i="25" s="1"/>
  <c r="P33" i="24"/>
  <c r="P46" i="24"/>
  <c r="P32" i="24"/>
  <c r="M674" i="27"/>
  <c r="K28" i="24"/>
  <c r="N43" i="24"/>
  <c r="N54" i="24"/>
  <c r="N38" i="24"/>
  <c r="N18" i="24"/>
  <c r="N79" i="24"/>
  <c r="N74" i="24"/>
  <c r="M690" i="27"/>
  <c r="J690" i="27" s="1"/>
  <c r="H690" i="27" s="1"/>
  <c r="K746" i="26" l="1"/>
  <c r="K32" i="30"/>
  <c r="P746" i="26"/>
  <c r="V746" i="26"/>
  <c r="R746" i="26"/>
  <c r="W674" i="26"/>
  <c r="W689" i="27"/>
  <c r="Q761" i="26"/>
  <c r="Q812" i="26" s="1"/>
  <c r="S761" i="26"/>
  <c r="S812" i="26" s="1"/>
  <c r="O761" i="26"/>
  <c r="O812" i="26" s="1"/>
  <c r="N761" i="26"/>
  <c r="N812" i="26" s="1"/>
  <c r="M761" i="26"/>
  <c r="U761" i="26"/>
  <c r="U812" i="26" s="1"/>
  <c r="T761" i="26"/>
  <c r="T812" i="26" s="1"/>
  <c r="K761" i="26"/>
  <c r="V761" i="26"/>
  <c r="V812" i="26" s="1"/>
  <c r="P761" i="26"/>
  <c r="L761" i="26"/>
  <c r="L812" i="26" s="1"/>
  <c r="R761" i="26"/>
  <c r="R812" i="26" s="1"/>
  <c r="P47" i="24"/>
  <c r="P48" i="24"/>
  <c r="J688" i="27"/>
  <c r="H688" i="27" s="1"/>
  <c r="W688" i="27" s="1"/>
  <c r="L18" i="24"/>
  <c r="L38" i="24"/>
  <c r="L54" i="24"/>
  <c r="L43" i="24"/>
  <c r="L79" i="24"/>
  <c r="L74" i="24"/>
  <c r="L762" i="27"/>
  <c r="K762" i="27"/>
  <c r="O762" i="27"/>
  <c r="N762" i="27"/>
  <c r="M762" i="27"/>
  <c r="V762" i="27"/>
  <c r="T762" i="27"/>
  <c r="Q762" i="27"/>
  <c r="U762" i="27"/>
  <c r="R762" i="27"/>
  <c r="S762" i="27"/>
  <c r="P762" i="27"/>
  <c r="S762" i="26"/>
  <c r="M762" i="26"/>
  <c r="Q762" i="26"/>
  <c r="P762" i="26"/>
  <c r="T762" i="26"/>
  <c r="O762" i="26"/>
  <c r="N762" i="26"/>
  <c r="V762" i="26"/>
  <c r="L762" i="26"/>
  <c r="U762" i="26"/>
  <c r="R762" i="26"/>
  <c r="K762" i="26"/>
  <c r="K47" i="24"/>
  <c r="K48" i="24"/>
  <c r="Q48" i="24"/>
  <c r="Q47" i="24"/>
  <c r="M48" i="24"/>
  <c r="M47" i="24"/>
  <c r="H688" i="25"/>
  <c r="F101" i="24"/>
  <c r="J674" i="27"/>
  <c r="H674" i="27" s="1"/>
  <c r="I54" i="24"/>
  <c r="I79" i="24"/>
  <c r="I38" i="24"/>
  <c r="I18" i="24"/>
  <c r="I43" i="24"/>
  <c r="I74" i="24"/>
  <c r="J746" i="26"/>
  <c r="H746" i="26" s="1"/>
  <c r="W746" i="26" s="1"/>
  <c r="L762" i="25"/>
  <c r="E34" i="31" s="1"/>
  <c r="K762" i="25"/>
  <c r="T762" i="25"/>
  <c r="H34" i="31" s="1"/>
  <c r="U762" i="25"/>
  <c r="I34" i="31" s="1"/>
  <c r="P762" i="25"/>
  <c r="G34" i="31" s="1"/>
  <c r="O762" i="25"/>
  <c r="N762" i="25"/>
  <c r="S762" i="25"/>
  <c r="V762" i="25"/>
  <c r="J34" i="31" s="1"/>
  <c r="Q762" i="25"/>
  <c r="M762" i="25"/>
  <c r="F34" i="31" s="1"/>
  <c r="R762" i="25"/>
  <c r="W689" i="26"/>
  <c r="W690" i="26"/>
  <c r="S761" i="27"/>
  <c r="S812" i="27" s="1"/>
  <c r="T761" i="27"/>
  <c r="T812" i="27" s="1"/>
  <c r="R761" i="27"/>
  <c r="R812" i="27" s="1"/>
  <c r="K761" i="27"/>
  <c r="N761" i="27"/>
  <c r="N812" i="27" s="1"/>
  <c r="O761" i="27"/>
  <c r="O812" i="27" s="1"/>
  <c r="Q761" i="27"/>
  <c r="Q812" i="27" s="1"/>
  <c r="L761" i="27"/>
  <c r="L812" i="27" s="1"/>
  <c r="V761" i="27"/>
  <c r="V812" i="27" s="1"/>
  <c r="P761" i="27"/>
  <c r="U761" i="27"/>
  <c r="U812" i="27" s="1"/>
  <c r="M761" i="27"/>
  <c r="O761" i="25"/>
  <c r="O812" i="25" s="1"/>
  <c r="L761" i="25"/>
  <c r="V761" i="25"/>
  <c r="S761" i="25"/>
  <c r="S812" i="25" s="1"/>
  <c r="R761" i="25"/>
  <c r="R812" i="25" s="1"/>
  <c r="T761" i="25"/>
  <c r="P761" i="25"/>
  <c r="G33" i="31" s="1"/>
  <c r="Q761" i="25"/>
  <c r="Q812" i="25" s="1"/>
  <c r="K761" i="25"/>
  <c r="N761" i="25"/>
  <c r="N812" i="25" s="1"/>
  <c r="M761" i="25"/>
  <c r="F33" i="31" s="1"/>
  <c r="U761" i="25"/>
  <c r="G48" i="24"/>
  <c r="G47" i="24"/>
  <c r="H48" i="24"/>
  <c r="H47" i="24"/>
  <c r="J746" i="25"/>
  <c r="H746" i="25" s="1"/>
  <c r="W746" i="25" s="1"/>
  <c r="D18" i="31"/>
  <c r="K18" i="31" s="1"/>
  <c r="W690" i="27"/>
  <c r="J688" i="26"/>
  <c r="H688" i="26" s="1"/>
  <c r="W688" i="26" s="1"/>
  <c r="N39" i="26"/>
  <c r="V812" i="25" l="1"/>
  <c r="J33" i="31"/>
  <c r="P812" i="27"/>
  <c r="M812" i="27"/>
  <c r="M812" i="25"/>
  <c r="P812" i="25"/>
  <c r="K812" i="26"/>
  <c r="J761" i="26"/>
  <c r="H761" i="26" s="1"/>
  <c r="W761" i="26" s="1"/>
  <c r="U812" i="25"/>
  <c r="I33" i="31"/>
  <c r="R746" i="27"/>
  <c r="L746" i="27"/>
  <c r="M746" i="27"/>
  <c r="Q746" i="27"/>
  <c r="V746" i="27"/>
  <c r="K746" i="27"/>
  <c r="P746" i="27"/>
  <c r="U746" i="27"/>
  <c r="T746" i="27"/>
  <c r="S746" i="27"/>
  <c r="N746" i="27"/>
  <c r="O746" i="27"/>
  <c r="W674" i="27"/>
  <c r="K812" i="25"/>
  <c r="D33" i="31"/>
  <c r="J761" i="25"/>
  <c r="H761" i="25" s="1"/>
  <c r="W761" i="25" s="1"/>
  <c r="F79" i="24"/>
  <c r="F38" i="24"/>
  <c r="F43" i="24"/>
  <c r="F18" i="24"/>
  <c r="F54" i="24"/>
  <c r="F74" i="24"/>
  <c r="M812" i="26"/>
  <c r="K812" i="27"/>
  <c r="J812" i="27" s="1"/>
  <c r="H812" i="27" s="1"/>
  <c r="J761" i="27"/>
  <c r="H761" i="27" s="1"/>
  <c r="W761" i="27" s="1"/>
  <c r="J762" i="27"/>
  <c r="H762" i="27" s="1"/>
  <c r="W762" i="27" s="1"/>
  <c r="M39" i="26"/>
  <c r="J26" i="24"/>
  <c r="N721" i="26"/>
  <c r="M721" i="26" s="1"/>
  <c r="N722" i="26"/>
  <c r="M722" i="26" s="1"/>
  <c r="E33" i="31"/>
  <c r="L812" i="25"/>
  <c r="T760" i="25"/>
  <c r="H32" i="31" s="1"/>
  <c r="V760" i="25"/>
  <c r="J32" i="31" s="1"/>
  <c r="N760" i="25"/>
  <c r="U760" i="25"/>
  <c r="I32" i="31" s="1"/>
  <c r="Q760" i="25"/>
  <c r="O760" i="25"/>
  <c r="D101" i="24"/>
  <c r="L760" i="25"/>
  <c r="E32" i="31" s="1"/>
  <c r="K760" i="25"/>
  <c r="M760" i="25"/>
  <c r="F32" i="31" s="1"/>
  <c r="S760" i="25"/>
  <c r="P760" i="25"/>
  <c r="G32" i="31" s="1"/>
  <c r="R760" i="25"/>
  <c r="W688" i="25"/>
  <c r="L760" i="26"/>
  <c r="Q760" i="26"/>
  <c r="O760" i="26"/>
  <c r="P760" i="26"/>
  <c r="R760" i="26"/>
  <c r="K760" i="26"/>
  <c r="S760" i="26"/>
  <c r="N760" i="26"/>
  <c r="V760" i="26"/>
  <c r="M760" i="26"/>
  <c r="T760" i="26"/>
  <c r="U760" i="26"/>
  <c r="T812" i="25"/>
  <c r="H33" i="31"/>
  <c r="D34" i="31"/>
  <c r="K34" i="31" s="1"/>
  <c r="J762" i="25"/>
  <c r="H762" i="25" s="1"/>
  <c r="W762" i="25" s="1"/>
  <c r="J762" i="26"/>
  <c r="H762" i="26" s="1"/>
  <c r="W762" i="26" s="1"/>
  <c r="V760" i="27"/>
  <c r="T760" i="27"/>
  <c r="R760" i="27"/>
  <c r="P760" i="27"/>
  <c r="S760" i="27"/>
  <c r="U760" i="27"/>
  <c r="O760" i="27"/>
  <c r="M760" i="27"/>
  <c r="N760" i="27"/>
  <c r="K760" i="27"/>
  <c r="L760" i="27"/>
  <c r="Q760" i="27"/>
  <c r="P812" i="26"/>
  <c r="N39" i="25"/>
  <c r="K33" i="31" l="1"/>
  <c r="N722" i="25"/>
  <c r="M722" i="25" s="1"/>
  <c r="J21" i="24"/>
  <c r="N721" i="25"/>
  <c r="M721" i="25" s="1"/>
  <c r="M39" i="25"/>
  <c r="J760" i="27"/>
  <c r="H760" i="27" s="1"/>
  <c r="W760" i="27" s="1"/>
  <c r="D32" i="31"/>
  <c r="K32" i="31" s="1"/>
  <c r="J760" i="25"/>
  <c r="H760" i="25" s="1"/>
  <c r="W760" i="25" s="1"/>
  <c r="D18" i="24"/>
  <c r="D54" i="24"/>
  <c r="D43" i="24"/>
  <c r="D79" i="24"/>
  <c r="D38" i="24"/>
  <c r="D74" i="24"/>
  <c r="J760" i="26"/>
  <c r="H760" i="26" s="1"/>
  <c r="W760" i="26" s="1"/>
  <c r="J27" i="24"/>
  <c r="J28" i="24"/>
  <c r="J812" i="25"/>
  <c r="H812" i="25" s="1"/>
  <c r="W812" i="25" s="1"/>
  <c r="J746" i="27"/>
  <c r="H746" i="27" s="1"/>
  <c r="W746" i="27" s="1"/>
  <c r="I26" i="24"/>
  <c r="J812" i="26"/>
  <c r="H812" i="26" s="1"/>
  <c r="W812" i="26" s="1"/>
  <c r="N39" i="27"/>
  <c r="O100" i="24"/>
  <c r="I21" i="24" l="1"/>
  <c r="F65" i="30"/>
  <c r="N721" i="27"/>
  <c r="M721" i="27" s="1"/>
  <c r="M39" i="27"/>
  <c r="I31" i="24" s="1"/>
  <c r="J31" i="24"/>
  <c r="N722" i="27"/>
  <c r="M722" i="27" s="1"/>
  <c r="I28" i="24"/>
  <c r="I27" i="24"/>
  <c r="J22" i="24"/>
  <c r="J23" i="24"/>
  <c r="O17" i="24"/>
  <c r="O78" i="24"/>
  <c r="O42" i="24"/>
  <c r="O53" i="24"/>
  <c r="O37" i="24"/>
  <c r="O73" i="24"/>
  <c r="O27" i="24"/>
  <c r="O22" i="24"/>
  <c r="O32" i="24"/>
  <c r="O47" i="24"/>
  <c r="F66" i="30"/>
  <c r="N100" i="24"/>
  <c r="I46" i="24" l="1"/>
  <c r="I33" i="24"/>
  <c r="I32" i="24"/>
  <c r="I22" i="24"/>
  <c r="I23" i="24"/>
  <c r="N17" i="24"/>
  <c r="N37" i="24"/>
  <c r="N53" i="24"/>
  <c r="N78" i="24"/>
  <c r="N42" i="24"/>
  <c r="N73" i="24"/>
  <c r="L100" i="24"/>
  <c r="J32" i="24"/>
  <c r="J46" i="24"/>
  <c r="J33" i="24"/>
  <c r="L42" i="24" l="1"/>
  <c r="L53" i="24"/>
  <c r="L37" i="24"/>
  <c r="L17" i="24"/>
  <c r="L78" i="24"/>
  <c r="L73" i="24"/>
  <c r="I47" i="24"/>
  <c r="I48" i="24"/>
  <c r="J47" i="24"/>
  <c r="J48" i="24"/>
  <c r="R39" i="26" l="1"/>
  <c r="R721" i="26" l="1"/>
  <c r="P721" i="26" s="1"/>
  <c r="R722" i="26"/>
  <c r="P722" i="26" s="1"/>
  <c r="J722" i="26" s="1"/>
  <c r="H722" i="26" s="1"/>
  <c r="N26" i="24"/>
  <c r="P39" i="26"/>
  <c r="L39" i="1"/>
  <c r="R39" i="27"/>
  <c r="L43" i="1" l="1"/>
  <c r="N28" i="24"/>
  <c r="N27" i="24"/>
  <c r="W722" i="26"/>
  <c r="P794" i="26"/>
  <c r="V794" i="26"/>
  <c r="L794" i="26"/>
  <c r="T794" i="26"/>
  <c r="K794" i="26"/>
  <c r="M794" i="26"/>
  <c r="Q794" i="26"/>
  <c r="S794" i="26"/>
  <c r="U794" i="26"/>
  <c r="N794" i="26"/>
  <c r="O794" i="26"/>
  <c r="R794" i="26"/>
  <c r="J39" i="26"/>
  <c r="L26" i="24"/>
  <c r="N31" i="24"/>
  <c r="R722" i="27"/>
  <c r="P722" i="27" s="1"/>
  <c r="R721" i="27"/>
  <c r="P721" i="27" s="1"/>
  <c r="P39" i="27"/>
  <c r="R39" i="25"/>
  <c r="S587" i="26" l="1"/>
  <c r="S586" i="26"/>
  <c r="S301" i="26"/>
  <c r="S423" i="26"/>
  <c r="S297" i="26"/>
  <c r="S590" i="26"/>
  <c r="S589" i="26"/>
  <c r="L28" i="24"/>
  <c r="L27" i="24"/>
  <c r="J794" i="26"/>
  <c r="H794" i="26" s="1"/>
  <c r="W794" i="26" s="1"/>
  <c r="K423" i="26"/>
  <c r="K586" i="26"/>
  <c r="K589" i="26"/>
  <c r="K301" i="26"/>
  <c r="K297" i="26"/>
  <c r="K587" i="26"/>
  <c r="K590" i="26"/>
  <c r="R590" i="26"/>
  <c r="R587" i="26"/>
  <c r="R586" i="26"/>
  <c r="R423" i="26"/>
  <c r="R301" i="26"/>
  <c r="R297" i="26"/>
  <c r="R589" i="26"/>
  <c r="H39" i="26"/>
  <c r="F26" i="24"/>
  <c r="J39" i="27"/>
  <c r="L31" i="24"/>
  <c r="T301" i="26"/>
  <c r="T297" i="26"/>
  <c r="T590" i="26"/>
  <c r="T587" i="26"/>
  <c r="T423" i="26"/>
  <c r="T586" i="26"/>
  <c r="T589" i="26"/>
  <c r="O301" i="26"/>
  <c r="O587" i="26"/>
  <c r="O586" i="26"/>
  <c r="O423" i="26"/>
  <c r="O589" i="26"/>
  <c r="O590" i="26"/>
  <c r="O297" i="26"/>
  <c r="L423" i="26"/>
  <c r="L301" i="26"/>
  <c r="L587" i="26"/>
  <c r="L589" i="26"/>
  <c r="L590" i="26"/>
  <c r="L586" i="26"/>
  <c r="L297" i="26"/>
  <c r="N586" i="26"/>
  <c r="N423" i="26"/>
  <c r="N297" i="26"/>
  <c r="M297" i="26" s="1"/>
  <c r="N301" i="26"/>
  <c r="M301" i="26" s="1"/>
  <c r="N587" i="26"/>
  <c r="N590" i="26"/>
  <c r="N589" i="26"/>
  <c r="M589" i="26" s="1"/>
  <c r="V587" i="26"/>
  <c r="V586" i="26"/>
  <c r="V423" i="26"/>
  <c r="V301" i="26"/>
  <c r="V589" i="26"/>
  <c r="V590" i="26"/>
  <c r="V297" i="26"/>
  <c r="Q590" i="26"/>
  <c r="Q589" i="26"/>
  <c r="Q423" i="26"/>
  <c r="Q587" i="26"/>
  <c r="P587" i="26" s="1"/>
  <c r="Q301" i="26"/>
  <c r="Q297" i="26"/>
  <c r="Q586" i="26"/>
  <c r="R721" i="25"/>
  <c r="P721" i="25" s="1"/>
  <c r="R722" i="25"/>
  <c r="P722" i="25" s="1"/>
  <c r="N21" i="24"/>
  <c r="P39" i="25"/>
  <c r="J722" i="27"/>
  <c r="H722" i="27" s="1"/>
  <c r="W722" i="27" s="1"/>
  <c r="N32" i="24"/>
  <c r="N33" i="24"/>
  <c r="U589" i="26"/>
  <c r="U297" i="26"/>
  <c r="U586" i="26"/>
  <c r="U423" i="26"/>
  <c r="U587" i="26"/>
  <c r="U590" i="26"/>
  <c r="U301" i="26"/>
  <c r="K39" i="1"/>
  <c r="P586" i="26" l="1"/>
  <c r="P301" i="26"/>
  <c r="P589" i="26"/>
  <c r="M587" i="26"/>
  <c r="P423" i="26"/>
  <c r="P297" i="26"/>
  <c r="J297" i="26" s="1"/>
  <c r="M423" i="26"/>
  <c r="J721" i="25"/>
  <c r="H721" i="25" s="1"/>
  <c r="W721" i="25" s="1"/>
  <c r="G65" i="30"/>
  <c r="K65" i="30" s="1"/>
  <c r="N71" i="26"/>
  <c r="N739" i="26"/>
  <c r="M590" i="26"/>
  <c r="M71" i="26" s="1"/>
  <c r="L71" i="26"/>
  <c r="L739" i="26"/>
  <c r="T71" i="26"/>
  <c r="T739" i="26"/>
  <c r="U739" i="26"/>
  <c r="U71" i="26"/>
  <c r="V71" i="26"/>
  <c r="V739" i="26"/>
  <c r="W301" i="26"/>
  <c r="J301" i="26"/>
  <c r="J589" i="26"/>
  <c r="W589" i="26"/>
  <c r="S71" i="26"/>
  <c r="S739" i="26"/>
  <c r="R794" i="27"/>
  <c r="N794" i="27"/>
  <c r="S794" i="27"/>
  <c r="U794" i="27"/>
  <c r="L794" i="27"/>
  <c r="T794" i="27"/>
  <c r="K794" i="27"/>
  <c r="Q794" i="27"/>
  <c r="P794" i="27"/>
  <c r="M794" i="27"/>
  <c r="V794" i="27"/>
  <c r="O794" i="27"/>
  <c r="L32" i="24"/>
  <c r="L33" i="24"/>
  <c r="M39" i="1"/>
  <c r="H39" i="1" s="1"/>
  <c r="J39" i="25"/>
  <c r="L21" i="24"/>
  <c r="W587" i="26"/>
  <c r="H39" i="27"/>
  <c r="W39" i="27" s="1"/>
  <c r="F31" i="24"/>
  <c r="K43" i="1"/>
  <c r="M586" i="26"/>
  <c r="J586" i="26" s="1"/>
  <c r="F28" i="24"/>
  <c r="D26" i="24"/>
  <c r="F27" i="24"/>
  <c r="R739" i="26"/>
  <c r="R71" i="26"/>
  <c r="N46" i="24"/>
  <c r="N22" i="24"/>
  <c r="N23" i="24"/>
  <c r="O71" i="26"/>
  <c r="O739" i="26"/>
  <c r="Y39" i="26"/>
  <c r="W39" i="26"/>
  <c r="K71" i="26"/>
  <c r="K739" i="26"/>
  <c r="J722" i="25"/>
  <c r="H722" i="25" s="1"/>
  <c r="W722" i="25" s="1"/>
  <c r="G66" i="30"/>
  <c r="K66" i="30" s="1"/>
  <c r="Q71" i="26"/>
  <c r="P590" i="26"/>
  <c r="Q739" i="26"/>
  <c r="J587" i="26"/>
  <c r="J423" i="26" l="1"/>
  <c r="W297" i="26"/>
  <c r="W423" i="26"/>
  <c r="W586" i="26"/>
  <c r="J590" i="26"/>
  <c r="P739" i="26"/>
  <c r="F39" i="1"/>
  <c r="F43" i="1" s="1"/>
  <c r="M43" i="1"/>
  <c r="Y39" i="27"/>
  <c r="N589" i="27"/>
  <c r="N588" i="27"/>
  <c r="N301" i="27"/>
  <c r="N297" i="27"/>
  <c r="N591" i="27"/>
  <c r="N590" i="27"/>
  <c r="N586" i="27"/>
  <c r="N587" i="27"/>
  <c r="R588" i="27"/>
  <c r="R590" i="27"/>
  <c r="R297" i="27"/>
  <c r="R586" i="27"/>
  <c r="R587" i="27"/>
  <c r="R589" i="27"/>
  <c r="R301" i="27"/>
  <c r="R591" i="27"/>
  <c r="Q587" i="27"/>
  <c r="Q590" i="27"/>
  <c r="Q589" i="27"/>
  <c r="Q297" i="27"/>
  <c r="Q588" i="27"/>
  <c r="Q301" i="27"/>
  <c r="Q586" i="27"/>
  <c r="Q591" i="27"/>
  <c r="W590" i="26"/>
  <c r="D27" i="24"/>
  <c r="D28" i="24"/>
  <c r="D31" i="24"/>
  <c r="F33" i="24"/>
  <c r="F32" i="24"/>
  <c r="P71" i="26"/>
  <c r="J71" i="26" s="1"/>
  <c r="H71" i="26" s="1"/>
  <c r="Y71" i="26" s="1"/>
  <c r="K301" i="27"/>
  <c r="J794" i="27"/>
  <c r="H794" i="27" s="1"/>
  <c r="W794" i="27" s="1"/>
  <c r="K591" i="27"/>
  <c r="K590" i="27"/>
  <c r="K589" i="27"/>
  <c r="K587" i="27"/>
  <c r="K297" i="27"/>
  <c r="K586" i="27"/>
  <c r="K588" i="27"/>
  <c r="M739" i="26"/>
  <c r="N47" i="24"/>
  <c r="N48" i="24"/>
  <c r="T591" i="27"/>
  <c r="T587" i="27"/>
  <c r="T297" i="27"/>
  <c r="T586" i="27"/>
  <c r="T589" i="27"/>
  <c r="T588" i="27"/>
  <c r="T590" i="27"/>
  <c r="T301" i="27"/>
  <c r="H43" i="1"/>
  <c r="L46" i="24"/>
  <c r="L23" i="24"/>
  <c r="L22" i="24"/>
  <c r="L590" i="27"/>
  <c r="L587" i="27"/>
  <c r="L589" i="27"/>
  <c r="L301" i="27"/>
  <c r="L588" i="27"/>
  <c r="L586" i="27"/>
  <c r="L297" i="27"/>
  <c r="L591" i="27"/>
  <c r="V794" i="25"/>
  <c r="J66" i="31" s="1"/>
  <c r="M794" i="25"/>
  <c r="F66" i="31" s="1"/>
  <c r="R794" i="25"/>
  <c r="S794" i="25"/>
  <c r="P794" i="25"/>
  <c r="G66" i="31" s="1"/>
  <c r="L794" i="25"/>
  <c r="E66" i="31" s="1"/>
  <c r="N794" i="25"/>
  <c r="T794" i="25"/>
  <c r="H66" i="31" s="1"/>
  <c r="K794" i="25"/>
  <c r="U794" i="25"/>
  <c r="I66" i="31" s="1"/>
  <c r="Q794" i="25"/>
  <c r="O794" i="25"/>
  <c r="F21" i="24"/>
  <c r="H39" i="25"/>
  <c r="O587" i="27"/>
  <c r="O297" i="27"/>
  <c r="O591" i="27"/>
  <c r="O588" i="27"/>
  <c r="O590" i="27"/>
  <c r="O586" i="27"/>
  <c r="O301" i="27"/>
  <c r="O589" i="27"/>
  <c r="U588" i="27"/>
  <c r="U586" i="27"/>
  <c r="U590" i="27"/>
  <c r="U301" i="27"/>
  <c r="U297" i="27"/>
  <c r="U589" i="27"/>
  <c r="U591" i="27"/>
  <c r="U587" i="27"/>
  <c r="V589" i="27"/>
  <c r="V590" i="27"/>
  <c r="V587" i="27"/>
  <c r="V297" i="27"/>
  <c r="V591" i="27"/>
  <c r="V301" i="27"/>
  <c r="V586" i="27"/>
  <c r="V588" i="27"/>
  <c r="S590" i="27"/>
  <c r="S301" i="27"/>
  <c r="S587" i="27"/>
  <c r="S297" i="27"/>
  <c r="S591" i="27"/>
  <c r="S588" i="27"/>
  <c r="S586" i="27"/>
  <c r="S589" i="27"/>
  <c r="M793" i="25"/>
  <c r="F65" i="31" s="1"/>
  <c r="P793" i="25"/>
  <c r="G65" i="31" s="1"/>
  <c r="N793" i="25"/>
  <c r="N386" i="25" s="1"/>
  <c r="O793" i="25"/>
  <c r="O386" i="25" s="1"/>
  <c r="T793" i="25"/>
  <c r="U793" i="25"/>
  <c r="V793" i="25"/>
  <c r="Q793" i="25"/>
  <c r="Q386" i="25" s="1"/>
  <c r="R793" i="25"/>
  <c r="R386" i="25" s="1"/>
  <c r="L793" i="25"/>
  <c r="K793" i="25"/>
  <c r="S793" i="25"/>
  <c r="S386" i="25" s="1"/>
  <c r="G39" i="1" l="1"/>
  <c r="G43" i="1" s="1"/>
  <c r="V386" i="25"/>
  <c r="J65" i="31"/>
  <c r="J739" i="26"/>
  <c r="H739" i="26" s="1"/>
  <c r="R811" i="26" s="1"/>
  <c r="W71" i="26"/>
  <c r="W739" i="26"/>
  <c r="P811" i="26"/>
  <c r="L811" i="26"/>
  <c r="Q811" i="26"/>
  <c r="M811" i="26"/>
  <c r="T811" i="26"/>
  <c r="E65" i="31"/>
  <c r="L386" i="25"/>
  <c r="V71" i="27"/>
  <c r="V80" i="27" s="1"/>
  <c r="V86" i="27" s="1"/>
  <c r="V739" i="27"/>
  <c r="O594" i="27"/>
  <c r="L594" i="27"/>
  <c r="P591" i="27"/>
  <c r="M587" i="27"/>
  <c r="O739" i="27"/>
  <c r="O71" i="27"/>
  <c r="O80" i="27" s="1"/>
  <c r="O86" i="27" s="1"/>
  <c r="L47" i="24"/>
  <c r="L48" i="24"/>
  <c r="T71" i="27"/>
  <c r="T80" i="27" s="1"/>
  <c r="T86" i="27" s="1"/>
  <c r="T739" i="27"/>
  <c r="K739" i="27"/>
  <c r="K71" i="27"/>
  <c r="P586" i="27"/>
  <c r="Q594" i="27"/>
  <c r="M586" i="27"/>
  <c r="N594" i="27"/>
  <c r="P386" i="25"/>
  <c r="P301" i="27"/>
  <c r="M590" i="27"/>
  <c r="M71" i="27" s="1"/>
  <c r="N71" i="27"/>
  <c r="N80" i="27" s="1"/>
  <c r="N739" i="27"/>
  <c r="S739" i="27"/>
  <c r="S71" i="27"/>
  <c r="S80" i="27" s="1"/>
  <c r="S86" i="27" s="1"/>
  <c r="S594" i="27"/>
  <c r="V594" i="27"/>
  <c r="U739" i="27"/>
  <c r="U71" i="27"/>
  <c r="U80" i="27" s="1"/>
  <c r="U86" i="27" s="1"/>
  <c r="J794" i="25"/>
  <c r="H794" i="25" s="1"/>
  <c r="W794" i="25" s="1"/>
  <c r="D66" i="31"/>
  <c r="K66" i="31" s="1"/>
  <c r="D33" i="24"/>
  <c r="D32" i="24"/>
  <c r="P588" i="27"/>
  <c r="M591" i="27"/>
  <c r="I65" i="31"/>
  <c r="U386" i="25"/>
  <c r="U594" i="27"/>
  <c r="T594" i="27"/>
  <c r="P297" i="27"/>
  <c r="R594" i="27"/>
  <c r="M297" i="27"/>
  <c r="H65" i="31"/>
  <c r="T386" i="25"/>
  <c r="L739" i="27"/>
  <c r="L71" i="27"/>
  <c r="L80" i="27" s="1"/>
  <c r="L86" i="27" s="1"/>
  <c r="K594" i="27"/>
  <c r="P589" i="27"/>
  <c r="M301" i="27"/>
  <c r="X39" i="25"/>
  <c r="W39" i="25"/>
  <c r="P590" i="27"/>
  <c r="Q739" i="27"/>
  <c r="Q71" i="27"/>
  <c r="R739" i="27"/>
  <c r="R71" i="27"/>
  <c r="R80" i="27" s="1"/>
  <c r="R86" i="27" s="1"/>
  <c r="M588" i="27"/>
  <c r="J793" i="25"/>
  <c r="H793" i="25" s="1"/>
  <c r="W793" i="25" s="1"/>
  <c r="D65" i="31"/>
  <c r="K386" i="25"/>
  <c r="M386" i="25"/>
  <c r="F46" i="24"/>
  <c r="D21" i="24"/>
  <c r="F23" i="24"/>
  <c r="F22" i="24"/>
  <c r="P587" i="27"/>
  <c r="M589" i="27"/>
  <c r="O811" i="26" l="1"/>
  <c r="U811" i="26"/>
  <c r="V811" i="26"/>
  <c r="N811" i="26"/>
  <c r="K811" i="26"/>
  <c r="S811" i="26"/>
  <c r="K65" i="31"/>
  <c r="W587" i="27"/>
  <c r="W586" i="27"/>
  <c r="W591" i="27"/>
  <c r="J586" i="27"/>
  <c r="J589" i="27"/>
  <c r="J587" i="27"/>
  <c r="W588" i="27"/>
  <c r="W297" i="27"/>
  <c r="P739" i="27"/>
  <c r="J590" i="27"/>
  <c r="J588" i="27"/>
  <c r="J297" i="27"/>
  <c r="J301" i="27"/>
  <c r="W386" i="25"/>
  <c r="J386" i="25"/>
  <c r="W301" i="27"/>
  <c r="K80" i="27"/>
  <c r="M739" i="27"/>
  <c r="D23" i="24"/>
  <c r="D22" i="24"/>
  <c r="M80" i="27"/>
  <c r="N86" i="27"/>
  <c r="M86" i="27" s="1"/>
  <c r="J811" i="26"/>
  <c r="H811" i="26" s="1"/>
  <c r="W811" i="26" s="1"/>
  <c r="F48" i="24"/>
  <c r="D46" i="24"/>
  <c r="F47" i="24"/>
  <c r="M594" i="27"/>
  <c r="W589" i="27"/>
  <c r="P594" i="27"/>
  <c r="P71" i="27"/>
  <c r="Q80" i="27"/>
  <c r="J591" i="27"/>
  <c r="W590" i="27"/>
  <c r="J739" i="27" l="1"/>
  <c r="H739" i="27" s="1"/>
  <c r="T811" i="27" s="1"/>
  <c r="J71" i="27"/>
  <c r="H71" i="27" s="1"/>
  <c r="Y71" i="27" s="1"/>
  <c r="W594" i="27"/>
  <c r="J594" i="27"/>
  <c r="D48" i="24"/>
  <c r="D47" i="24"/>
  <c r="Q86" i="27"/>
  <c r="P86" i="27" s="1"/>
  <c r="P80" i="27"/>
  <c r="J80" i="27" s="1"/>
  <c r="H80" i="27" s="1"/>
  <c r="Y80" i="27" s="1"/>
  <c r="M811" i="27"/>
  <c r="V811" i="27"/>
  <c r="Q811" i="27"/>
  <c r="R811" i="27"/>
  <c r="K811" i="27"/>
  <c r="L811" i="27"/>
  <c r="U811" i="27"/>
  <c r="S811" i="27"/>
  <c r="P811" i="27"/>
  <c r="K86" i="27"/>
  <c r="W739" i="27" l="1"/>
  <c r="N811" i="27"/>
  <c r="O811" i="27"/>
  <c r="W71" i="27"/>
  <c r="J86" i="27"/>
  <c r="H86" i="27" s="1"/>
  <c r="Y86" i="27" s="1"/>
  <c r="J811" i="27"/>
  <c r="H811" i="27" s="1"/>
  <c r="W811" i="27" s="1"/>
  <c r="W80" i="27"/>
  <c r="W86" i="27" l="1"/>
  <c r="J721" i="26" l="1"/>
  <c r="H721" i="26" s="1"/>
  <c r="O793" i="26" l="1"/>
  <c r="O386" i="26" s="1"/>
  <c r="T793" i="26"/>
  <c r="T386" i="26" s="1"/>
  <c r="L793" i="26"/>
  <c r="L386" i="26" s="1"/>
  <c r="U793" i="26"/>
  <c r="U386" i="26" s="1"/>
  <c r="M793" i="26"/>
  <c r="K793" i="26"/>
  <c r="V793" i="26"/>
  <c r="V386" i="26" s="1"/>
  <c r="N793" i="26"/>
  <c r="N386" i="26" s="1"/>
  <c r="W721" i="26"/>
  <c r="R793" i="26"/>
  <c r="R386" i="26" s="1"/>
  <c r="S793" i="26"/>
  <c r="S386" i="26" s="1"/>
  <c r="Q793" i="26"/>
  <c r="Q386" i="26" s="1"/>
  <c r="P793" i="26"/>
  <c r="P386" i="26" l="1"/>
  <c r="M386" i="26"/>
  <c r="K386" i="26"/>
  <c r="J793" i="26"/>
  <c r="H793" i="26" s="1"/>
  <c r="W793" i="26" s="1"/>
  <c r="W386" i="26" l="1"/>
  <c r="J386" i="26"/>
  <c r="H311" i="28" l="1"/>
  <c r="L311" i="28"/>
  <c r="M311" i="28" s="1"/>
  <c r="I311" i="28" l="1"/>
  <c r="N311" i="28"/>
  <c r="J723" i="26" l="1"/>
  <c r="H723" i="26" s="1"/>
  <c r="N795" i="26" l="1"/>
  <c r="V795" i="26"/>
  <c r="W723" i="26"/>
  <c r="O795" i="26"/>
  <c r="P795" i="26"/>
  <c r="Q795" i="26"/>
  <c r="R795" i="26"/>
  <c r="K795" i="26"/>
  <c r="S795" i="26"/>
  <c r="L795" i="26"/>
  <c r="T795" i="26"/>
  <c r="M795" i="26"/>
  <c r="U795" i="26"/>
  <c r="J795" i="26" l="1"/>
  <c r="H795" i="26" s="1"/>
  <c r="W795" i="26" s="1"/>
  <c r="J721" i="27" l="1"/>
  <c r="H721" i="27" s="1"/>
  <c r="R793" i="27" l="1"/>
  <c r="Q793" i="27"/>
  <c r="K793" i="27"/>
  <c r="S793" i="27"/>
  <c r="O793" i="27"/>
  <c r="L793" i="27"/>
  <c r="T793" i="27"/>
  <c r="P793" i="27"/>
  <c r="W721" i="27"/>
  <c r="M793" i="27"/>
  <c r="U793" i="27"/>
  <c r="N793" i="27"/>
  <c r="V793" i="27"/>
  <c r="J793" i="27" l="1"/>
  <c r="H793" i="27" s="1"/>
  <c r="W793" i="27" s="1"/>
  <c r="J723" i="27"/>
  <c r="H723" i="27" s="1"/>
  <c r="N795" i="27" l="1"/>
  <c r="V795" i="27"/>
  <c r="Q795" i="27"/>
  <c r="K795" i="27"/>
  <c r="O795" i="27"/>
  <c r="P795" i="27"/>
  <c r="R795" i="27"/>
  <c r="W723" i="27"/>
  <c r="T795" i="27"/>
  <c r="S795" i="27"/>
  <c r="U795" i="27"/>
  <c r="L795" i="27"/>
  <c r="M795" i="27"/>
  <c r="J795" i="27" l="1"/>
  <c r="H795" i="27" s="1"/>
  <c r="W795" i="27" s="1"/>
  <c r="H502" i="27" l="1"/>
  <c r="H505" i="27"/>
  <c r="H505" i="26"/>
  <c r="H502" i="26"/>
  <c r="H501" i="27"/>
  <c r="H501" i="26"/>
  <c r="H489" i="26"/>
  <c r="H488" i="26"/>
  <c r="W488" i="26" s="1"/>
  <c r="H487" i="26"/>
  <c r="W487" i="26" s="1"/>
  <c r="H485" i="26"/>
  <c r="W485" i="26" s="1"/>
  <c r="H484" i="26"/>
  <c r="W484" i="26" s="1"/>
  <c r="H477" i="26"/>
  <c r="W477" i="26" s="1"/>
  <c r="H476" i="26"/>
  <c r="H475" i="26"/>
  <c r="W475" i="26" s="1"/>
  <c r="H473" i="26"/>
  <c r="W473" i="26" s="1"/>
  <c r="H472" i="26"/>
  <c r="W472" i="26" s="1"/>
  <c r="H471" i="26"/>
  <c r="W471" i="26" s="1"/>
  <c r="H473" i="1" l="1"/>
  <c r="H473" i="25"/>
  <c r="H484" i="1"/>
  <c r="H484" i="25"/>
  <c r="H488" i="1"/>
  <c r="H488" i="25"/>
  <c r="H511" i="1"/>
  <c r="H511" i="27"/>
  <c r="H475" i="1"/>
  <c r="H475" i="25"/>
  <c r="H471" i="25"/>
  <c r="H471" i="1"/>
  <c r="H477" i="1"/>
  <c r="H477" i="25"/>
  <c r="H487" i="25"/>
  <c r="H487" i="1"/>
  <c r="H504" i="25"/>
  <c r="H476" i="25"/>
  <c r="H476" i="1"/>
  <c r="H486" i="25"/>
  <c r="H472" i="25"/>
  <c r="H472" i="1"/>
  <c r="H500" i="25"/>
  <c r="H500" i="1"/>
  <c r="H489" i="1"/>
  <c r="H489" i="25"/>
  <c r="H500" i="26"/>
  <c r="H485" i="25"/>
  <c r="H485" i="1"/>
  <c r="H502" i="25"/>
  <c r="H502" i="1"/>
  <c r="H500" i="27"/>
  <c r="H505" i="1"/>
  <c r="H505" i="25"/>
  <c r="H504" i="26"/>
  <c r="W504" i="26" s="1"/>
  <c r="H504" i="27"/>
  <c r="W504" i="27" s="1"/>
  <c r="H474" i="26"/>
  <c r="W474" i="26" s="1"/>
  <c r="H486" i="26"/>
  <c r="W486" i="26" s="1"/>
  <c r="F502" i="1" l="1"/>
  <c r="G502" i="1" s="1"/>
  <c r="F427" i="28"/>
  <c r="H506" i="26"/>
  <c r="H523" i="26" s="1"/>
  <c r="F472" i="1"/>
  <c r="G472" i="1"/>
  <c r="F397" i="28"/>
  <c r="H504" i="1"/>
  <c r="J427" i="28"/>
  <c r="W502" i="25"/>
  <c r="J414" i="28"/>
  <c r="J397" i="28"/>
  <c r="U472" i="25"/>
  <c r="Q472" i="25"/>
  <c r="O472" i="25"/>
  <c r="S472" i="25"/>
  <c r="L472" i="25"/>
  <c r="N472" i="25"/>
  <c r="R472" i="25"/>
  <c r="T472" i="25"/>
  <c r="V472" i="25"/>
  <c r="K472" i="25"/>
  <c r="J429" i="28"/>
  <c r="R504" i="25"/>
  <c r="R506" i="25" s="1"/>
  <c r="N504" i="25"/>
  <c r="S504" i="25"/>
  <c r="S506" i="25" s="1"/>
  <c r="O504" i="25"/>
  <c r="O506" i="25" s="1"/>
  <c r="Q504" i="25"/>
  <c r="V504" i="25"/>
  <c r="V506" i="25" s="1"/>
  <c r="K504" i="25"/>
  <c r="U504" i="25"/>
  <c r="U506" i="25" s="1"/>
  <c r="T504" i="25"/>
  <c r="T506" i="25" s="1"/>
  <c r="L504" i="25"/>
  <c r="L506" i="25" s="1"/>
  <c r="H501" i="1"/>
  <c r="H501" i="25"/>
  <c r="F414" i="28"/>
  <c r="F489" i="1"/>
  <c r="G489" i="1" s="1"/>
  <c r="F487" i="1"/>
  <c r="G487" i="1" s="1"/>
  <c r="F412" i="28"/>
  <c r="J413" i="28"/>
  <c r="S488" i="25"/>
  <c r="V488" i="25"/>
  <c r="N488" i="25"/>
  <c r="O488" i="25"/>
  <c r="R488" i="25"/>
  <c r="U488" i="25"/>
  <c r="L488" i="25"/>
  <c r="K488" i="25"/>
  <c r="T488" i="25"/>
  <c r="Q488" i="25"/>
  <c r="F425" i="28"/>
  <c r="F500" i="1"/>
  <c r="G500" i="1" s="1"/>
  <c r="J412" i="28"/>
  <c r="K487" i="25"/>
  <c r="Q487" i="25"/>
  <c r="R487" i="25"/>
  <c r="V487" i="25"/>
  <c r="U487" i="25"/>
  <c r="T487" i="25"/>
  <c r="O487" i="25"/>
  <c r="N487" i="25"/>
  <c r="S487" i="25"/>
  <c r="L487" i="25"/>
  <c r="J400" i="28"/>
  <c r="T475" i="25"/>
  <c r="V475" i="25"/>
  <c r="K475" i="25"/>
  <c r="S475" i="25"/>
  <c r="Q475" i="25"/>
  <c r="L475" i="25"/>
  <c r="U475" i="25"/>
  <c r="N475" i="25"/>
  <c r="R475" i="25"/>
  <c r="O475" i="25"/>
  <c r="F488" i="1"/>
  <c r="G488" i="1" s="1"/>
  <c r="F413" i="28"/>
  <c r="J430" i="28"/>
  <c r="W505" i="25"/>
  <c r="H506" i="25"/>
  <c r="H523" i="25" s="1"/>
  <c r="W500" i="25"/>
  <c r="J411" i="28"/>
  <c r="L486" i="25"/>
  <c r="T486" i="25"/>
  <c r="Q486" i="25"/>
  <c r="R486" i="25"/>
  <c r="U486" i="25"/>
  <c r="N486" i="25"/>
  <c r="V486" i="25"/>
  <c r="K486" i="25"/>
  <c r="S486" i="25"/>
  <c r="O486" i="25"/>
  <c r="J402" i="28"/>
  <c r="F400" i="28"/>
  <c r="F475" i="1"/>
  <c r="G475" i="1" s="1"/>
  <c r="J409" i="28"/>
  <c r="K484" i="25"/>
  <c r="L484" i="25"/>
  <c r="S484" i="25"/>
  <c r="O484" i="25"/>
  <c r="R484" i="25"/>
  <c r="V484" i="25"/>
  <c r="Q484" i="25"/>
  <c r="T484" i="25"/>
  <c r="U484" i="25"/>
  <c r="N484" i="25"/>
  <c r="H474" i="25"/>
  <c r="H474" i="1"/>
  <c r="H510" i="1"/>
  <c r="H510" i="27"/>
  <c r="M514" i="1"/>
  <c r="F430" i="28"/>
  <c r="F505" i="1"/>
  <c r="G505" i="1" s="1"/>
  <c r="F485" i="1"/>
  <c r="G485" i="1" s="1"/>
  <c r="F410" i="28"/>
  <c r="K506" i="1"/>
  <c r="K523" i="1" s="1"/>
  <c r="H486" i="1"/>
  <c r="F477" i="1"/>
  <c r="G477" i="1" s="1"/>
  <c r="F402" i="28"/>
  <c r="J436" i="28"/>
  <c r="F409" i="28"/>
  <c r="F484" i="1"/>
  <c r="G484" i="1" s="1"/>
  <c r="J425" i="28"/>
  <c r="H506" i="27"/>
  <c r="J410" i="28"/>
  <c r="O485" i="25"/>
  <c r="Q485" i="25"/>
  <c r="L485" i="25"/>
  <c r="U485" i="25"/>
  <c r="N485" i="25"/>
  <c r="T485" i="25"/>
  <c r="V485" i="25"/>
  <c r="R485" i="25"/>
  <c r="K485" i="25"/>
  <c r="S485" i="25"/>
  <c r="F476" i="1"/>
  <c r="G476" i="1" s="1"/>
  <c r="F401" i="28"/>
  <c r="F396" i="28"/>
  <c r="F471" i="1"/>
  <c r="G471" i="1" s="1"/>
  <c r="F436" i="28"/>
  <c r="F511" i="1"/>
  <c r="G511" i="1" s="1"/>
  <c r="J398" i="28"/>
  <c r="Q473" i="25"/>
  <c r="U473" i="25"/>
  <c r="R473" i="25"/>
  <c r="K473" i="25"/>
  <c r="L473" i="25"/>
  <c r="V473" i="25"/>
  <c r="O473" i="25"/>
  <c r="N473" i="25"/>
  <c r="S473" i="25"/>
  <c r="T473" i="25"/>
  <c r="M506" i="1"/>
  <c r="M523" i="1" s="1"/>
  <c r="M525" i="1" s="1"/>
  <c r="L506" i="1"/>
  <c r="L523" i="1" s="1"/>
  <c r="J401" i="28"/>
  <c r="J396" i="28"/>
  <c r="U471" i="25"/>
  <c r="L471" i="25"/>
  <c r="K471" i="25"/>
  <c r="V471" i="25"/>
  <c r="N471" i="25"/>
  <c r="R471" i="25"/>
  <c r="S471" i="25"/>
  <c r="Q471" i="25"/>
  <c r="T471" i="25"/>
  <c r="O471" i="25"/>
  <c r="F398" i="28"/>
  <c r="F473" i="1"/>
  <c r="G473" i="1" s="1"/>
  <c r="P475" i="25" l="1"/>
  <c r="M487" i="25"/>
  <c r="M485" i="25"/>
  <c r="M486" i="25"/>
  <c r="M473" i="25"/>
  <c r="P472" i="25"/>
  <c r="M471" i="25"/>
  <c r="J435" i="28"/>
  <c r="H514" i="27"/>
  <c r="J439" i="28" s="1"/>
  <c r="F411" i="28"/>
  <c r="F486" i="1"/>
  <c r="G486" i="1" s="1"/>
  <c r="M488" i="25"/>
  <c r="Q506" i="25"/>
  <c r="P504" i="25"/>
  <c r="P484" i="25"/>
  <c r="P488" i="25"/>
  <c r="J426" i="28"/>
  <c r="W501" i="25"/>
  <c r="F426" i="28"/>
  <c r="F501" i="1"/>
  <c r="G501" i="1" s="1"/>
  <c r="H514" i="1"/>
  <c r="F439" i="28" s="1"/>
  <c r="F510" i="1"/>
  <c r="F514" i="1" s="1"/>
  <c r="F435" i="28"/>
  <c r="G510" i="1"/>
  <c r="G514" i="1" s="1"/>
  <c r="N506" i="25"/>
  <c r="M504" i="25"/>
  <c r="F429" i="28"/>
  <c r="F504" i="1"/>
  <c r="G504" i="1" s="1"/>
  <c r="J431" i="28"/>
  <c r="H523" i="27"/>
  <c r="H525" i="27" s="1"/>
  <c r="F474" i="1"/>
  <c r="G474" i="1" s="1"/>
  <c r="F399" i="28"/>
  <c r="M472" i="25"/>
  <c r="P473" i="25"/>
  <c r="P485" i="25"/>
  <c r="J399" i="28"/>
  <c r="L474" i="25"/>
  <c r="K474" i="25"/>
  <c r="V474" i="25"/>
  <c r="Q474" i="25"/>
  <c r="S474" i="25"/>
  <c r="T474" i="25"/>
  <c r="U474" i="25"/>
  <c r="N474" i="25"/>
  <c r="O474" i="25"/>
  <c r="R474" i="25"/>
  <c r="P486" i="25"/>
  <c r="W486" i="25" s="1"/>
  <c r="M475" i="25"/>
  <c r="P471" i="25"/>
  <c r="M484" i="25"/>
  <c r="P487" i="25"/>
  <c r="H506" i="1"/>
  <c r="K506" i="25"/>
  <c r="J475" i="25" l="1"/>
  <c r="L400" i="28" s="1"/>
  <c r="M400" i="28" s="1"/>
  <c r="J487" i="25"/>
  <c r="H412" i="28" s="1"/>
  <c r="J488" i="25"/>
  <c r="W473" i="25"/>
  <c r="J472" i="25"/>
  <c r="L397" i="28" s="1"/>
  <c r="M397" i="28" s="1"/>
  <c r="W485" i="25"/>
  <c r="J484" i="25"/>
  <c r="L409" i="28" s="1"/>
  <c r="M409" i="28" s="1"/>
  <c r="W471" i="25"/>
  <c r="J485" i="25"/>
  <c r="H410" i="28" s="1"/>
  <c r="J504" i="25"/>
  <c r="H429" i="28" s="1"/>
  <c r="N429" i="28" s="1"/>
  <c r="G506" i="1"/>
  <c r="G523" i="1" s="1"/>
  <c r="M474" i="25"/>
  <c r="F506" i="1"/>
  <c r="W504" i="25"/>
  <c r="P474" i="25"/>
  <c r="J471" i="25"/>
  <c r="W475" i="25"/>
  <c r="W472" i="25"/>
  <c r="H523" i="1"/>
  <c r="F448" i="28" s="1"/>
  <c r="F431" i="28"/>
  <c r="J473" i="25"/>
  <c r="J486" i="25"/>
  <c r="W487" i="25"/>
  <c r="P506" i="25"/>
  <c r="L429" i="28"/>
  <c r="F523" i="1"/>
  <c r="H413" i="28"/>
  <c r="L413" i="28"/>
  <c r="M413" i="28" s="1"/>
  <c r="W484" i="25"/>
  <c r="M506" i="25"/>
  <c r="W488" i="25"/>
  <c r="J448" i="28"/>
  <c r="H409" i="28" l="1"/>
  <c r="H397" i="28"/>
  <c r="L412" i="28"/>
  <c r="M412" i="28" s="1"/>
  <c r="L410" i="28"/>
  <c r="M410" i="28" s="1"/>
  <c r="H400" i="28"/>
  <c r="I400" i="28" s="1"/>
  <c r="W474" i="25"/>
  <c r="J474" i="25"/>
  <c r="H399" i="28" s="1"/>
  <c r="J506" i="25"/>
  <c r="L411" i="28"/>
  <c r="M411" i="28" s="1"/>
  <c r="H411" i="28"/>
  <c r="L398" i="28"/>
  <c r="M398" i="28" s="1"/>
  <c r="H398" i="28"/>
  <c r="H396" i="28"/>
  <c r="L396" i="28"/>
  <c r="M396" i="28" s="1"/>
  <c r="W506" i="25"/>
  <c r="I409" i="28"/>
  <c r="N409" i="28"/>
  <c r="I397" i="28"/>
  <c r="N397" i="28"/>
  <c r="I410" i="28"/>
  <c r="N410" i="28"/>
  <c r="I412" i="28"/>
  <c r="N412" i="28"/>
  <c r="I413" i="28"/>
  <c r="N413" i="28"/>
  <c r="L399" i="28" l="1"/>
  <c r="M399" i="28" s="1"/>
  <c r="N400" i="28"/>
  <c r="I396" i="28"/>
  <c r="N396" i="28"/>
  <c r="I398" i="28"/>
  <c r="N398" i="28"/>
  <c r="I399" i="28"/>
  <c r="N399" i="28"/>
  <c r="I411" i="28"/>
  <c r="N411" i="28"/>
  <c r="H470" i="25" l="1"/>
  <c r="H478" i="25"/>
  <c r="H480" i="25"/>
  <c r="H482" i="25"/>
  <c r="H491" i="25" s="1"/>
  <c r="H470" i="1"/>
  <c r="F470" i="1" s="1"/>
  <c r="H478" i="1"/>
  <c r="F478" i="1" s="1"/>
  <c r="F480" i="1"/>
  <c r="K480" i="1"/>
  <c r="L480" i="1"/>
  <c r="H482" i="1"/>
  <c r="H491" i="1" s="1"/>
  <c r="K491" i="1"/>
  <c r="L491" i="1"/>
  <c r="L493" i="1" s="1"/>
  <c r="L495" i="1" s="1"/>
  <c r="L525" i="1" s="1"/>
  <c r="K493" i="1"/>
  <c r="K495" i="1" s="1"/>
  <c r="K525" i="1" s="1"/>
  <c r="F395" i="28"/>
  <c r="F403" i="28"/>
  <c r="F407" i="28"/>
  <c r="F416" i="28"/>
  <c r="H470" i="26"/>
  <c r="J395" i="28" s="1"/>
  <c r="H478" i="26"/>
  <c r="J403" i="28" s="1"/>
  <c r="H480" i="26"/>
  <c r="J405" i="28" s="1"/>
  <c r="H482" i="26"/>
  <c r="J407" i="28" s="1"/>
  <c r="H491" i="26"/>
  <c r="J416" i="28" l="1"/>
  <c r="H493" i="26"/>
  <c r="H495" i="26" s="1"/>
  <c r="H525" i="26" s="1"/>
  <c r="H493" i="25"/>
  <c r="G478" i="1"/>
  <c r="F482" i="1"/>
  <c r="F491" i="1" s="1"/>
  <c r="F493" i="1" s="1"/>
  <c r="F495" i="1" s="1"/>
  <c r="F525" i="1" s="1"/>
  <c r="G470" i="1"/>
  <c r="G480" i="1" s="1"/>
  <c r="H480" i="1"/>
  <c r="F405" i="28" l="1"/>
  <c r="H493" i="1"/>
  <c r="G482" i="1"/>
  <c r="G491" i="1" s="1"/>
  <c r="G493" i="1" s="1"/>
  <c r="G495" i="1" s="1"/>
  <c r="G525" i="1" s="1"/>
  <c r="H495" i="25"/>
  <c r="J418" i="28"/>
  <c r="H525" i="25" l="1"/>
  <c r="J450" i="28" s="1"/>
  <c r="J420" i="28"/>
  <c r="H495" i="1"/>
  <c r="F418" i="28"/>
  <c r="F420" i="28" l="1"/>
  <c r="H525" i="1"/>
  <c r="F450" i="28" s="1"/>
  <c r="W54" i="25" l="1"/>
  <c r="U683" i="25" l="1"/>
  <c r="L679" i="25"/>
  <c r="O679" i="25"/>
  <c r="Q679" i="25"/>
  <c r="Q683" i="25"/>
  <c r="T679" i="25"/>
  <c r="T683" i="25"/>
  <c r="K682" i="25"/>
  <c r="K678" i="25"/>
  <c r="L678" i="25"/>
  <c r="N678" i="25"/>
  <c r="L682" i="25"/>
  <c r="O682" i="25"/>
  <c r="L683" i="25"/>
  <c r="K683" i="25"/>
  <c r="O678" i="25"/>
  <c r="O683" i="25"/>
  <c r="R679" i="25"/>
  <c r="R682" i="25"/>
  <c r="Q683" i="27" l="1"/>
  <c r="Q683" i="26"/>
  <c r="N682" i="25"/>
  <c r="D26" i="30"/>
  <c r="K682" i="27"/>
  <c r="K682" i="26"/>
  <c r="E26" i="30"/>
  <c r="L682" i="27"/>
  <c r="L682" i="26"/>
  <c r="N683" i="25"/>
  <c r="E23" i="30"/>
  <c r="L679" i="27"/>
  <c r="L679" i="26"/>
  <c r="O683" i="27"/>
  <c r="O683" i="26"/>
  <c r="D27" i="30"/>
  <c r="K683" i="27"/>
  <c r="K683" i="26"/>
  <c r="N679" i="25"/>
  <c r="Q679" i="26"/>
  <c r="Q679" i="27"/>
  <c r="E27" i="30"/>
  <c r="L683" i="27"/>
  <c r="L683" i="26"/>
  <c r="K679" i="25"/>
  <c r="H27" i="30"/>
  <c r="T683" i="26"/>
  <c r="T683" i="27"/>
  <c r="S683" i="25"/>
  <c r="R682" i="26"/>
  <c r="R682" i="27"/>
  <c r="I27" i="30"/>
  <c r="U683" i="26"/>
  <c r="U683" i="27"/>
  <c r="N678" i="27"/>
  <c r="N678" i="26"/>
  <c r="M678" i="25"/>
  <c r="F22" i="30" s="1"/>
  <c r="S679" i="25"/>
  <c r="P679" i="25" s="1"/>
  <c r="G23" i="30" s="1"/>
  <c r="O679" i="27"/>
  <c r="O679" i="26"/>
  <c r="O678" i="27"/>
  <c r="O678" i="26"/>
  <c r="R679" i="26"/>
  <c r="R679" i="27"/>
  <c r="E22" i="30"/>
  <c r="L678" i="27"/>
  <c r="L678" i="26"/>
  <c r="H23" i="30"/>
  <c r="T679" i="26"/>
  <c r="T679" i="27"/>
  <c r="O682" i="27"/>
  <c r="O682" i="26"/>
  <c r="D22" i="30"/>
  <c r="K22" i="30" s="1"/>
  <c r="K678" i="26"/>
  <c r="K678" i="27"/>
  <c r="M678" i="27" l="1"/>
  <c r="J678" i="25"/>
  <c r="H678" i="25" s="1"/>
  <c r="W678" i="25" s="1"/>
  <c r="S683" i="26"/>
  <c r="S683" i="27"/>
  <c r="Q682" i="25"/>
  <c r="N682" i="27"/>
  <c r="M682" i="27" s="1"/>
  <c r="N682" i="26"/>
  <c r="M682" i="26" s="1"/>
  <c r="M682" i="25"/>
  <c r="M678" i="26"/>
  <c r="J678" i="26" s="1"/>
  <c r="H678" i="26" s="1"/>
  <c r="J678" i="27"/>
  <c r="H678" i="27" s="1"/>
  <c r="W678" i="27" s="1"/>
  <c r="U750" i="25"/>
  <c r="Q750" i="25"/>
  <c r="Q141" i="25" s="1"/>
  <c r="T750" i="25"/>
  <c r="S750" i="25"/>
  <c r="S141" i="25" s="1"/>
  <c r="K750" i="25"/>
  <c r="L750" i="25"/>
  <c r="M683" i="25"/>
  <c r="N683" i="27"/>
  <c r="M683" i="27" s="1"/>
  <c r="N683" i="26"/>
  <c r="M683" i="26" s="1"/>
  <c r="D23" i="30"/>
  <c r="K679" i="26"/>
  <c r="K679" i="27"/>
  <c r="M679" i="25"/>
  <c r="N679" i="27"/>
  <c r="M679" i="27" s="1"/>
  <c r="N679" i="26"/>
  <c r="M679" i="26" s="1"/>
  <c r="R683" i="25"/>
  <c r="S679" i="26"/>
  <c r="P679" i="26" s="1"/>
  <c r="S679" i="27"/>
  <c r="P679" i="27" s="1"/>
  <c r="P750" i="25" l="1"/>
  <c r="G22" i="31" s="1"/>
  <c r="M750" i="25"/>
  <c r="F22" i="31" s="1"/>
  <c r="V750" i="25"/>
  <c r="V141" i="25" s="1"/>
  <c r="V562" i="25" s="1"/>
  <c r="V568" i="25" s="1"/>
  <c r="R750" i="25"/>
  <c r="R141" i="25" s="1"/>
  <c r="R562" i="25" s="1"/>
  <c r="R568" i="25" s="1"/>
  <c r="O750" i="25"/>
  <c r="O141" i="25" s="1"/>
  <c r="O562" i="25" s="1"/>
  <c r="N750" i="25"/>
  <c r="N141" i="25" s="1"/>
  <c r="N562" i="25" s="1"/>
  <c r="N568" i="25" s="1"/>
  <c r="D22" i="31"/>
  <c r="J750" i="25"/>
  <c r="H750" i="25" s="1"/>
  <c r="W750" i="25" s="1"/>
  <c r="K141" i="25"/>
  <c r="I22" i="31"/>
  <c r="U141" i="25"/>
  <c r="M750" i="26"/>
  <c r="R750" i="26"/>
  <c r="R141" i="26" s="1"/>
  <c r="T750" i="26"/>
  <c r="T141" i="26" s="1"/>
  <c r="N750" i="26"/>
  <c r="N141" i="26" s="1"/>
  <c r="V750" i="26"/>
  <c r="V141" i="26" s="1"/>
  <c r="S750" i="26"/>
  <c r="S141" i="26" s="1"/>
  <c r="Q750" i="26"/>
  <c r="Q141" i="26" s="1"/>
  <c r="K750" i="26"/>
  <c r="L750" i="26"/>
  <c r="L141" i="26" s="1"/>
  <c r="O750" i="26"/>
  <c r="O141" i="26" s="1"/>
  <c r="P750" i="26"/>
  <c r="U750" i="26"/>
  <c r="U141" i="26" s="1"/>
  <c r="F26" i="30"/>
  <c r="J679" i="25"/>
  <c r="H679" i="25" s="1"/>
  <c r="F23" i="30"/>
  <c r="K23" i="30" s="1"/>
  <c r="S750" i="27"/>
  <c r="S141" i="27" s="1"/>
  <c r="R750" i="27"/>
  <c r="R141" i="27" s="1"/>
  <c r="Q750" i="27"/>
  <c r="Q141" i="27" s="1"/>
  <c r="P750" i="27"/>
  <c r="M750" i="27"/>
  <c r="N750" i="27"/>
  <c r="N141" i="27" s="1"/>
  <c r="U750" i="27"/>
  <c r="U141" i="27" s="1"/>
  <c r="L750" i="27"/>
  <c r="L141" i="27" s="1"/>
  <c r="V750" i="27"/>
  <c r="V141" i="27" s="1"/>
  <c r="T750" i="27"/>
  <c r="T141" i="27" s="1"/>
  <c r="K750" i="27"/>
  <c r="O750" i="27"/>
  <c r="O141" i="27" s="1"/>
  <c r="Q682" i="26"/>
  <c r="Q682" i="27"/>
  <c r="R683" i="26"/>
  <c r="P683" i="26" s="1"/>
  <c r="R683" i="27"/>
  <c r="P683" i="27" s="1"/>
  <c r="J683" i="27" s="1"/>
  <c r="H683" i="27" s="1"/>
  <c r="P683" i="25"/>
  <c r="G27" i="30" s="1"/>
  <c r="S562" i="25"/>
  <c r="S568" i="25" s="1"/>
  <c r="S220" i="25"/>
  <c r="S226" i="25" s="1"/>
  <c r="F27" i="30"/>
  <c r="K27" i="30" s="1"/>
  <c r="H22" i="31"/>
  <c r="T141" i="25"/>
  <c r="J679" i="26"/>
  <c r="H679" i="26" s="1"/>
  <c r="W679" i="26" s="1"/>
  <c r="W678" i="26"/>
  <c r="J679" i="27"/>
  <c r="H679" i="27" s="1"/>
  <c r="W679" i="27" s="1"/>
  <c r="E22" i="31"/>
  <c r="L141" i="25"/>
  <c r="Q562" i="25"/>
  <c r="Q220" i="25"/>
  <c r="K22" i="31" l="1"/>
  <c r="V220" i="25"/>
  <c r="V226" i="25" s="1"/>
  <c r="J683" i="25"/>
  <c r="H683" i="25" s="1"/>
  <c r="N220" i="25"/>
  <c r="O220" i="25"/>
  <c r="O226" i="25" s="1"/>
  <c r="R220" i="25"/>
  <c r="R226" i="25" s="1"/>
  <c r="M141" i="25"/>
  <c r="P141" i="25"/>
  <c r="W683" i="25"/>
  <c r="L562" i="25"/>
  <c r="L568" i="25" s="1"/>
  <c r="L220" i="25"/>
  <c r="L226" i="25" s="1"/>
  <c r="J683" i="26"/>
  <c r="H683" i="26" s="1"/>
  <c r="W683" i="26" s="1"/>
  <c r="W683" i="27"/>
  <c r="M755" i="27"/>
  <c r="T755" i="27"/>
  <c r="T384" i="27" s="1"/>
  <c r="T502" i="27" s="1"/>
  <c r="T730" i="27" s="1"/>
  <c r="P755" i="27"/>
  <c r="U755" i="27"/>
  <c r="U384" i="27" s="1"/>
  <c r="U502" i="27" s="1"/>
  <c r="L755" i="27"/>
  <c r="L384" i="27" s="1"/>
  <c r="L502" i="27" s="1"/>
  <c r="S755" i="27"/>
  <c r="S384" i="27" s="1"/>
  <c r="S502" i="27" s="1"/>
  <c r="S730" i="27" s="1"/>
  <c r="Q755" i="27"/>
  <c r="Q384" i="27" s="1"/>
  <c r="O755" i="27"/>
  <c r="O384" i="27" s="1"/>
  <c r="O502" i="27" s="1"/>
  <c r="R755" i="27"/>
  <c r="R384" i="27" s="1"/>
  <c r="R502" i="27" s="1"/>
  <c r="V755" i="27"/>
  <c r="V384" i="27" s="1"/>
  <c r="V502" i="27" s="1"/>
  <c r="V730" i="27" s="1"/>
  <c r="N755" i="27"/>
  <c r="N384" i="27" s="1"/>
  <c r="K755" i="27"/>
  <c r="T562" i="25"/>
  <c r="T568" i="25" s="1"/>
  <c r="T220" i="25"/>
  <c r="T226" i="25" s="1"/>
  <c r="M141" i="27"/>
  <c r="P751" i="25"/>
  <c r="G23" i="31" s="1"/>
  <c r="U751" i="25"/>
  <c r="S751" i="25"/>
  <c r="Q751" i="25"/>
  <c r="R751" i="25"/>
  <c r="T751" i="25"/>
  <c r="N751" i="25"/>
  <c r="O751" i="25"/>
  <c r="L751" i="25"/>
  <c r="K751" i="25"/>
  <c r="M751" i="25"/>
  <c r="F23" i="31" s="1"/>
  <c r="V751" i="25"/>
  <c r="K141" i="26"/>
  <c r="J750" i="26"/>
  <c r="H750" i="26" s="1"/>
  <c r="W750" i="26" s="1"/>
  <c r="U562" i="25"/>
  <c r="U568" i="25" s="1"/>
  <c r="U220" i="25"/>
  <c r="U226" i="25" s="1"/>
  <c r="L751" i="27"/>
  <c r="O751" i="27"/>
  <c r="T751" i="27"/>
  <c r="S751" i="27"/>
  <c r="K751" i="27"/>
  <c r="P751" i="27"/>
  <c r="N751" i="27"/>
  <c r="U751" i="27"/>
  <c r="V751" i="27"/>
  <c r="M751" i="27"/>
  <c r="Q751" i="27"/>
  <c r="R751" i="27"/>
  <c r="N226" i="25"/>
  <c r="P141" i="26"/>
  <c r="K562" i="25"/>
  <c r="K220" i="25"/>
  <c r="Q226" i="25"/>
  <c r="S755" i="25"/>
  <c r="S384" i="25" s="1"/>
  <c r="V755" i="25"/>
  <c r="V384" i="25" s="1"/>
  <c r="L755" i="25"/>
  <c r="M755" i="25"/>
  <c r="F27" i="31" s="1"/>
  <c r="O755" i="25"/>
  <c r="O384" i="25" s="1"/>
  <c r="N755" i="25"/>
  <c r="N384" i="25" s="1"/>
  <c r="P755" i="25"/>
  <c r="G27" i="31" s="1"/>
  <c r="Q755" i="25"/>
  <c r="Q384" i="25" s="1"/>
  <c r="U755" i="25"/>
  <c r="T755" i="25"/>
  <c r="R755" i="25"/>
  <c r="R384" i="25" s="1"/>
  <c r="K755" i="25"/>
  <c r="K141" i="27"/>
  <c r="J750" i="27"/>
  <c r="H750" i="27" s="1"/>
  <c r="W750" i="27" s="1"/>
  <c r="M562" i="25"/>
  <c r="O568" i="25"/>
  <c r="M568" i="25" s="1"/>
  <c r="M141" i="26"/>
  <c r="R751" i="26"/>
  <c r="T751" i="26"/>
  <c r="P751" i="26"/>
  <c r="Q751" i="26"/>
  <c r="U751" i="26"/>
  <c r="K751" i="26"/>
  <c r="O751" i="26"/>
  <c r="S751" i="26"/>
  <c r="L751" i="26"/>
  <c r="V751" i="26"/>
  <c r="M751" i="26"/>
  <c r="N751" i="26"/>
  <c r="P141" i="27"/>
  <c r="P562" i="25"/>
  <c r="Q568" i="25"/>
  <c r="P568" i="25" s="1"/>
  <c r="W679" i="25"/>
  <c r="P220" i="25" l="1"/>
  <c r="P226" i="25" s="1"/>
  <c r="M220" i="25"/>
  <c r="W141" i="25"/>
  <c r="J141" i="25"/>
  <c r="U383" i="26"/>
  <c r="U501" i="26" s="1"/>
  <c r="U730" i="26" s="1"/>
  <c r="N383" i="26"/>
  <c r="L383" i="26"/>
  <c r="L501" i="26" s="1"/>
  <c r="S383" i="26"/>
  <c r="S501" i="26" s="1"/>
  <c r="S730" i="26" s="1"/>
  <c r="R383" i="26"/>
  <c r="R501" i="26" s="1"/>
  <c r="J141" i="27"/>
  <c r="M384" i="25"/>
  <c r="P384" i="25"/>
  <c r="L358" i="27"/>
  <c r="L142" i="27"/>
  <c r="L717" i="27" s="1"/>
  <c r="L357" i="27"/>
  <c r="L146" i="27"/>
  <c r="L147" i="27" s="1"/>
  <c r="D23" i="31"/>
  <c r="J751" i="25"/>
  <c r="H751" i="25" s="1"/>
  <c r="W751" i="25" s="1"/>
  <c r="K142" i="25"/>
  <c r="K146" i="25"/>
  <c r="I23" i="31"/>
  <c r="U142" i="25"/>
  <c r="U146" i="25"/>
  <c r="N358" i="26"/>
  <c r="N142" i="26"/>
  <c r="N146" i="26"/>
  <c r="N565" i="26" s="1"/>
  <c r="N357" i="26"/>
  <c r="Q358" i="26"/>
  <c r="Q142" i="26"/>
  <c r="Q146" i="26"/>
  <c r="Q565" i="26" s="1"/>
  <c r="Q357" i="26"/>
  <c r="U357" i="27"/>
  <c r="U142" i="27"/>
  <c r="U358" i="27"/>
  <c r="U146" i="27"/>
  <c r="E23" i="31"/>
  <c r="L142" i="25"/>
  <c r="L146" i="25"/>
  <c r="J755" i="27"/>
  <c r="H755" i="27" s="1"/>
  <c r="W755" i="27" s="1"/>
  <c r="K384" i="27"/>
  <c r="U358" i="26"/>
  <c r="U142" i="26"/>
  <c r="U146" i="26"/>
  <c r="U565" i="26" s="1"/>
  <c r="U357" i="26"/>
  <c r="U476" i="26" s="1"/>
  <c r="O142" i="25"/>
  <c r="O146" i="25"/>
  <c r="M384" i="27"/>
  <c r="N502" i="27"/>
  <c r="V358" i="26"/>
  <c r="V142" i="26"/>
  <c r="V146" i="26"/>
  <c r="V357" i="26"/>
  <c r="V476" i="26" s="1"/>
  <c r="N142" i="25"/>
  <c r="N146" i="25"/>
  <c r="N142" i="27"/>
  <c r="N358" i="27"/>
  <c r="N357" i="27"/>
  <c r="N146" i="27"/>
  <c r="L358" i="26"/>
  <c r="L142" i="26"/>
  <c r="L146" i="26"/>
  <c r="L565" i="26" s="1"/>
  <c r="L357" i="26"/>
  <c r="L476" i="26" s="1"/>
  <c r="J220" i="25"/>
  <c r="M226" i="25"/>
  <c r="K358" i="27"/>
  <c r="K357" i="27"/>
  <c r="K142" i="27"/>
  <c r="K717" i="27" s="1"/>
  <c r="K146" i="27"/>
  <c r="H23" i="31"/>
  <c r="T142" i="25"/>
  <c r="T146" i="25"/>
  <c r="N501" i="26"/>
  <c r="T358" i="26"/>
  <c r="T142" i="26"/>
  <c r="T146" i="26"/>
  <c r="T565" i="26" s="1"/>
  <c r="T357" i="26"/>
  <c r="T476" i="26" s="1"/>
  <c r="R358" i="26"/>
  <c r="R142" i="26"/>
  <c r="R146" i="26"/>
  <c r="R565" i="26" s="1"/>
  <c r="R357" i="26"/>
  <c r="R476" i="26" s="1"/>
  <c r="D27" i="31"/>
  <c r="J755" i="25"/>
  <c r="H755" i="25" s="1"/>
  <c r="W755" i="25" s="1"/>
  <c r="K384" i="25"/>
  <c r="S358" i="26"/>
  <c r="S142" i="26"/>
  <c r="S146" i="26"/>
  <c r="S565" i="26" s="1"/>
  <c r="S357" i="26"/>
  <c r="S476" i="26" s="1"/>
  <c r="E27" i="31"/>
  <c r="L384" i="25"/>
  <c r="R142" i="27"/>
  <c r="R358" i="27"/>
  <c r="R357" i="27"/>
  <c r="R146" i="27"/>
  <c r="S358" i="27"/>
  <c r="S142" i="27"/>
  <c r="S146" i="27"/>
  <c r="S357" i="27"/>
  <c r="W141" i="26"/>
  <c r="R142" i="25"/>
  <c r="R146" i="25"/>
  <c r="V358" i="27"/>
  <c r="V142" i="27"/>
  <c r="V357" i="27"/>
  <c r="V146" i="27"/>
  <c r="W141" i="27"/>
  <c r="O358" i="26"/>
  <c r="O142" i="26"/>
  <c r="O146" i="26"/>
  <c r="O565" i="26" s="1"/>
  <c r="O357" i="26"/>
  <c r="O476" i="26" s="1"/>
  <c r="H27" i="31"/>
  <c r="T384" i="25"/>
  <c r="W562" i="25"/>
  <c r="J562" i="25"/>
  <c r="K568" i="25"/>
  <c r="W568" i="25" s="1"/>
  <c r="Q357" i="27"/>
  <c r="Q358" i="27"/>
  <c r="Q142" i="27"/>
  <c r="Q146" i="27"/>
  <c r="J751" i="27"/>
  <c r="H751" i="27" s="1"/>
  <c r="W751" i="27" s="1"/>
  <c r="T358" i="27"/>
  <c r="T357" i="27"/>
  <c r="T142" i="27"/>
  <c r="T146" i="27"/>
  <c r="V142" i="25"/>
  <c r="V146" i="25"/>
  <c r="Q142" i="25"/>
  <c r="Q146" i="25"/>
  <c r="P384" i="27"/>
  <c r="Q502" i="27"/>
  <c r="K383" i="26"/>
  <c r="W220" i="25"/>
  <c r="K226" i="25"/>
  <c r="J751" i="26"/>
  <c r="H751" i="26" s="1"/>
  <c r="W751" i="26" s="1"/>
  <c r="K358" i="26"/>
  <c r="K142" i="26"/>
  <c r="K146" i="26"/>
  <c r="K565" i="26" s="1"/>
  <c r="K357" i="26"/>
  <c r="J141" i="26"/>
  <c r="H66" i="28" s="1"/>
  <c r="I27" i="31"/>
  <c r="U384" i="25"/>
  <c r="O357" i="27"/>
  <c r="O142" i="27"/>
  <c r="O358" i="27"/>
  <c r="O146" i="27"/>
  <c r="S146" i="25"/>
  <c r="S142" i="25"/>
  <c r="S755" i="26"/>
  <c r="S384" i="26" s="1"/>
  <c r="P755" i="26"/>
  <c r="U755" i="26"/>
  <c r="U384" i="26" s="1"/>
  <c r="V755" i="26"/>
  <c r="V384" i="26" s="1"/>
  <c r="L755" i="26"/>
  <c r="L384" i="26" s="1"/>
  <c r="L502" i="26" s="1"/>
  <c r="M755" i="26"/>
  <c r="T755" i="26"/>
  <c r="T384" i="26" s="1"/>
  <c r="T502" i="26" s="1"/>
  <c r="R755" i="26"/>
  <c r="R384" i="26" s="1"/>
  <c r="R502" i="26" s="1"/>
  <c r="P502" i="26" s="1"/>
  <c r="N755" i="26"/>
  <c r="N384" i="26" s="1"/>
  <c r="O755" i="26"/>
  <c r="O384" i="26" s="1"/>
  <c r="O502" i="26" s="1"/>
  <c r="M502" i="26" s="1"/>
  <c r="K755" i="26"/>
  <c r="Q755" i="26"/>
  <c r="Q384" i="26" s="1"/>
  <c r="P565" i="26" l="1"/>
  <c r="V225" i="26"/>
  <c r="V565" i="26"/>
  <c r="M565" i="26"/>
  <c r="J565" i="26"/>
  <c r="W565" i="26"/>
  <c r="M146" i="25"/>
  <c r="K27" i="31"/>
  <c r="K23" i="31"/>
  <c r="P358" i="27"/>
  <c r="W226" i="25"/>
  <c r="P357" i="27"/>
  <c r="I66" i="28"/>
  <c r="N66" i="28"/>
  <c r="K563" i="26"/>
  <c r="K717" i="26"/>
  <c r="K221" i="26"/>
  <c r="Q717" i="27"/>
  <c r="P142" i="27"/>
  <c r="Q147" i="27"/>
  <c r="S717" i="27"/>
  <c r="S147" i="27"/>
  <c r="R147" i="26"/>
  <c r="R225" i="26"/>
  <c r="M146" i="26"/>
  <c r="N225" i="26"/>
  <c r="V717" i="25"/>
  <c r="J61" i="30" s="1"/>
  <c r="V147" i="25"/>
  <c r="O147" i="26"/>
  <c r="O225" i="26"/>
  <c r="S147" i="26"/>
  <c r="S225" i="26"/>
  <c r="R563" i="26"/>
  <c r="R568" i="26" s="1"/>
  <c r="R717" i="26"/>
  <c r="R221" i="26"/>
  <c r="M146" i="27"/>
  <c r="N717" i="25"/>
  <c r="M142" i="25"/>
  <c r="N147" i="25"/>
  <c r="O717" i="25"/>
  <c r="O147" i="25"/>
  <c r="U717" i="27"/>
  <c r="U147" i="27"/>
  <c r="N717" i="26"/>
  <c r="M142" i="26"/>
  <c r="N563" i="26"/>
  <c r="N221" i="26"/>
  <c r="N147" i="26"/>
  <c r="K717" i="25"/>
  <c r="K147" i="25"/>
  <c r="O717" i="26"/>
  <c r="O563" i="26"/>
  <c r="O568" i="26" s="1"/>
  <c r="O221" i="26"/>
  <c r="S563" i="26"/>
  <c r="S568" i="26" s="1"/>
  <c r="S717" i="26"/>
  <c r="S221" i="26"/>
  <c r="H145" i="28"/>
  <c r="L145" i="28"/>
  <c r="M145" i="28" s="1"/>
  <c r="J226" i="25"/>
  <c r="M357" i="27"/>
  <c r="W357" i="27" s="1"/>
  <c r="J568" i="25"/>
  <c r="W384" i="27"/>
  <c r="K502" i="27"/>
  <c r="K730" i="27" s="1"/>
  <c r="M358" i="26"/>
  <c r="S717" i="25"/>
  <c r="S147" i="25"/>
  <c r="K501" i="26"/>
  <c r="K730" i="26" s="1"/>
  <c r="W502" i="26"/>
  <c r="L730" i="26"/>
  <c r="T717" i="27"/>
  <c r="T147" i="27"/>
  <c r="R717" i="25"/>
  <c r="R147" i="25"/>
  <c r="T717" i="25"/>
  <c r="H61" i="30" s="1"/>
  <c r="T147" i="25"/>
  <c r="L66" i="28"/>
  <c r="M66" i="28" s="1"/>
  <c r="M358" i="27"/>
  <c r="W358" i="27" s="1"/>
  <c r="P357" i="26"/>
  <c r="Q476" i="26"/>
  <c r="R730" i="26"/>
  <c r="P384" i="26"/>
  <c r="O717" i="27"/>
  <c r="O147" i="27"/>
  <c r="P502" i="27"/>
  <c r="Q730" i="27"/>
  <c r="H487" i="28"/>
  <c r="L487" i="28"/>
  <c r="M487" i="28" s="1"/>
  <c r="K147" i="26"/>
  <c r="J384" i="25"/>
  <c r="W384" i="25"/>
  <c r="T147" i="26"/>
  <c r="T225" i="26"/>
  <c r="N717" i="27"/>
  <c r="M142" i="27"/>
  <c r="N147" i="27"/>
  <c r="V563" i="26"/>
  <c r="V568" i="26" s="1"/>
  <c r="V717" i="26"/>
  <c r="V221" i="26"/>
  <c r="V226" i="26" s="1"/>
  <c r="V147" i="26"/>
  <c r="U147" i="26"/>
  <c r="U225" i="26"/>
  <c r="P146" i="26"/>
  <c r="Q225" i="26"/>
  <c r="L694" i="27"/>
  <c r="L21" i="27"/>
  <c r="L706" i="27"/>
  <c r="L695" i="27"/>
  <c r="J755" i="26"/>
  <c r="H755" i="26" s="1"/>
  <c r="W755" i="26" s="1"/>
  <c r="K384" i="26"/>
  <c r="R717" i="27"/>
  <c r="R147" i="27"/>
  <c r="T563" i="26"/>
  <c r="T568" i="26" s="1"/>
  <c r="T717" i="26"/>
  <c r="T221" i="26"/>
  <c r="K147" i="27"/>
  <c r="U563" i="26"/>
  <c r="U568" i="26" s="1"/>
  <c r="U717" i="26"/>
  <c r="U221" i="26"/>
  <c r="L717" i="25"/>
  <c r="E61" i="30" s="1"/>
  <c r="L147" i="25"/>
  <c r="Q563" i="26"/>
  <c r="Q717" i="26"/>
  <c r="P142" i="26"/>
  <c r="Q221" i="26"/>
  <c r="Q147" i="26"/>
  <c r="U383" i="25"/>
  <c r="U388" i="25" s="1"/>
  <c r="J502" i="26"/>
  <c r="T383" i="25"/>
  <c r="T388" i="25" s="1"/>
  <c r="K476" i="26"/>
  <c r="P146" i="25"/>
  <c r="L147" i="26"/>
  <c r="L225" i="26"/>
  <c r="N730" i="27"/>
  <c r="M502" i="27"/>
  <c r="P358" i="26"/>
  <c r="U717" i="25"/>
  <c r="I61" i="30" s="1"/>
  <c r="U147" i="25"/>
  <c r="M384" i="26"/>
  <c r="L383" i="25"/>
  <c r="L388" i="25" s="1"/>
  <c r="K383" i="25"/>
  <c r="K225" i="26"/>
  <c r="K383" i="27"/>
  <c r="Q717" i="25"/>
  <c r="P142" i="25"/>
  <c r="Q147" i="25"/>
  <c r="P146" i="27"/>
  <c r="V717" i="27"/>
  <c r="V147" i="27"/>
  <c r="N730" i="26"/>
  <c r="L717" i="26"/>
  <c r="L563" i="26"/>
  <c r="L568" i="26" s="1"/>
  <c r="L221" i="26"/>
  <c r="J384" i="27"/>
  <c r="M357" i="26"/>
  <c r="N476" i="26"/>
  <c r="L490" i="28" l="1"/>
  <c r="M490" i="28" s="1"/>
  <c r="H490" i="28"/>
  <c r="M147" i="25"/>
  <c r="J146" i="25"/>
  <c r="J502" i="27"/>
  <c r="J357" i="27"/>
  <c r="W146" i="27"/>
  <c r="P221" i="26"/>
  <c r="J357" i="26"/>
  <c r="J358" i="26"/>
  <c r="P717" i="26"/>
  <c r="P147" i="26"/>
  <c r="P717" i="25"/>
  <c r="G61" i="30" s="1"/>
  <c r="W384" i="26"/>
  <c r="M717" i="27"/>
  <c r="W142" i="26"/>
  <c r="T226" i="26"/>
  <c r="W358" i="26"/>
  <c r="S226" i="26"/>
  <c r="L21" i="25"/>
  <c r="L694" i="25"/>
  <c r="E38" i="30" s="1"/>
  <c r="L695" i="25"/>
  <c r="E39" i="30" s="1"/>
  <c r="L706" i="25"/>
  <c r="E50" i="30" s="1"/>
  <c r="U706" i="26"/>
  <c r="U694" i="26"/>
  <c r="U21" i="26"/>
  <c r="U695" i="26"/>
  <c r="W502" i="27"/>
  <c r="N694" i="26"/>
  <c r="N706" i="26"/>
  <c r="N21" i="26"/>
  <c r="N695" i="26"/>
  <c r="W146" i="25"/>
  <c r="Q694" i="26"/>
  <c r="Q695" i="26"/>
  <c r="Q706" i="26"/>
  <c r="Q21" i="26"/>
  <c r="V706" i="26"/>
  <c r="V694" i="26"/>
  <c r="V21" i="26"/>
  <c r="V695" i="26"/>
  <c r="T706" i="26"/>
  <c r="T694" i="26"/>
  <c r="T695" i="26"/>
  <c r="T21" i="26"/>
  <c r="P476" i="26"/>
  <c r="R21" i="25"/>
  <c r="R706" i="25"/>
  <c r="R695" i="25"/>
  <c r="R694" i="25"/>
  <c r="M221" i="26"/>
  <c r="N695" i="25"/>
  <c r="N694" i="25"/>
  <c r="N21" i="25"/>
  <c r="N706" i="25"/>
  <c r="S21" i="26"/>
  <c r="S694" i="26"/>
  <c r="S695" i="26"/>
  <c r="S706" i="26"/>
  <c r="S706" i="27"/>
  <c r="S21" i="27"/>
  <c r="S695" i="27"/>
  <c r="S694" i="27"/>
  <c r="U695" i="25"/>
  <c r="I39" i="30" s="1"/>
  <c r="U694" i="25"/>
  <c r="I38" i="30" s="1"/>
  <c r="U21" i="25"/>
  <c r="U706" i="25"/>
  <c r="I50" i="30" s="1"/>
  <c r="L427" i="28"/>
  <c r="M427" i="28" s="1"/>
  <c r="H427" i="28"/>
  <c r="M476" i="26"/>
  <c r="N226" i="26"/>
  <c r="M225" i="26"/>
  <c r="K388" i="25"/>
  <c r="R21" i="27"/>
  <c r="R706" i="27"/>
  <c r="R694" i="27"/>
  <c r="R695" i="27"/>
  <c r="M563" i="26"/>
  <c r="N568" i="26"/>
  <c r="M568" i="26" s="1"/>
  <c r="V21" i="27"/>
  <c r="V695" i="27"/>
  <c r="V706" i="27"/>
  <c r="V694" i="27"/>
  <c r="J384" i="26"/>
  <c r="L309" i="28" s="1"/>
  <c r="M309" i="28" s="1"/>
  <c r="W357" i="26"/>
  <c r="P717" i="27"/>
  <c r="O21" i="27"/>
  <c r="O706" i="27"/>
  <c r="O694" i="27"/>
  <c r="O695" i="27"/>
  <c r="T694" i="27"/>
  <c r="T21" i="27"/>
  <c r="T706" i="27"/>
  <c r="T695" i="27"/>
  <c r="J142" i="26"/>
  <c r="M147" i="26"/>
  <c r="M717" i="25"/>
  <c r="F61" i="30" s="1"/>
  <c r="O226" i="26"/>
  <c r="J146" i="26"/>
  <c r="J358" i="27"/>
  <c r="J142" i="27"/>
  <c r="M147" i="27"/>
  <c r="K226" i="26"/>
  <c r="L226" i="26"/>
  <c r="K706" i="26"/>
  <c r="K21" i="26"/>
  <c r="K695" i="26"/>
  <c r="K694" i="26"/>
  <c r="S695" i="25"/>
  <c r="S706" i="25"/>
  <c r="S21" i="25"/>
  <c r="S694" i="25"/>
  <c r="M717" i="26"/>
  <c r="J717" i="26" s="1"/>
  <c r="H717" i="26" s="1"/>
  <c r="J146" i="27"/>
  <c r="O694" i="26"/>
  <c r="O695" i="26"/>
  <c r="O21" i="26"/>
  <c r="O706" i="26"/>
  <c r="K568" i="26"/>
  <c r="K21" i="27"/>
  <c r="K694" i="27"/>
  <c r="K695" i="27"/>
  <c r="K706" i="27"/>
  <c r="P147" i="25"/>
  <c r="W147" i="25" s="1"/>
  <c r="Q21" i="25"/>
  <c r="Q706" i="25"/>
  <c r="Q694" i="25"/>
  <c r="Q695" i="25"/>
  <c r="W142" i="27"/>
  <c r="W146" i="26"/>
  <c r="L706" i="26"/>
  <c r="L695" i="26"/>
  <c r="L21" i="26"/>
  <c r="L694" i="26"/>
  <c r="Q568" i="26"/>
  <c r="P568" i="26" s="1"/>
  <c r="P563" i="26"/>
  <c r="Q226" i="26"/>
  <c r="P225" i="26"/>
  <c r="N695" i="27"/>
  <c r="N694" i="27"/>
  <c r="M694" i="27" s="1"/>
  <c r="N706" i="27"/>
  <c r="N21" i="27"/>
  <c r="K21" i="25"/>
  <c r="K695" i="25"/>
  <c r="K694" i="25"/>
  <c r="K706" i="25"/>
  <c r="U694" i="27"/>
  <c r="U21" i="27"/>
  <c r="U695" i="27"/>
  <c r="U706" i="27"/>
  <c r="V694" i="25"/>
  <c r="J38" i="30" s="1"/>
  <c r="V21" i="25"/>
  <c r="V695" i="25"/>
  <c r="J39" i="30" s="1"/>
  <c r="V706" i="25"/>
  <c r="J50" i="30" s="1"/>
  <c r="P147" i="27"/>
  <c r="Q695" i="27"/>
  <c r="Q21" i="27"/>
  <c r="Q694" i="27"/>
  <c r="Q706" i="27"/>
  <c r="I487" i="28"/>
  <c r="N487" i="28"/>
  <c r="T706" i="25"/>
  <c r="H50" i="30" s="1"/>
  <c r="T695" i="25"/>
  <c r="H39" i="30" s="1"/>
  <c r="T694" i="25"/>
  <c r="H38" i="30" s="1"/>
  <c r="T21" i="25"/>
  <c r="I145" i="28"/>
  <c r="N145" i="28"/>
  <c r="W142" i="25"/>
  <c r="R226" i="26"/>
  <c r="U226" i="26"/>
  <c r="D61" i="30"/>
  <c r="O21" i="25"/>
  <c r="O694" i="25"/>
  <c r="O695" i="25"/>
  <c r="O706" i="25"/>
  <c r="J142" i="25"/>
  <c r="R21" i="26"/>
  <c r="R695" i="26"/>
  <c r="R694" i="26"/>
  <c r="R706" i="26"/>
  <c r="J221" i="26" l="1"/>
  <c r="I490" i="28"/>
  <c r="N490" i="28"/>
  <c r="K61" i="30"/>
  <c r="J147" i="26"/>
  <c r="M706" i="27"/>
  <c r="J706" i="27" s="1"/>
  <c r="H706" i="27" s="1"/>
  <c r="W706" i="27" s="1"/>
  <c r="P694" i="27"/>
  <c r="J694" i="27" s="1"/>
  <c r="H694" i="27" s="1"/>
  <c r="W694" i="27" s="1"/>
  <c r="P695" i="27"/>
  <c r="W563" i="26"/>
  <c r="P706" i="27"/>
  <c r="P694" i="25"/>
  <c r="G38" i="30" s="1"/>
  <c r="W225" i="26"/>
  <c r="W147" i="26"/>
  <c r="P695" i="25"/>
  <c r="G39" i="30" s="1"/>
  <c r="P21" i="27"/>
  <c r="W147" i="27"/>
  <c r="J147" i="25"/>
  <c r="J476" i="26"/>
  <c r="M226" i="26"/>
  <c r="M695" i="27"/>
  <c r="H309" i="28"/>
  <c r="N309" i="28" s="1"/>
  <c r="J717" i="25"/>
  <c r="H717" i="25" s="1"/>
  <c r="P789" i="25" s="1"/>
  <c r="G61" i="31" s="1"/>
  <c r="M789" i="26"/>
  <c r="P789" i="26"/>
  <c r="L789" i="26"/>
  <c r="L372" i="26" s="1"/>
  <c r="L489" i="26" s="1"/>
  <c r="R789" i="26"/>
  <c r="R372" i="26" s="1"/>
  <c r="R489" i="26" s="1"/>
  <c r="V789" i="26"/>
  <c r="V372" i="26" s="1"/>
  <c r="V489" i="26" s="1"/>
  <c r="O789" i="26"/>
  <c r="O372" i="26" s="1"/>
  <c r="O489" i="26" s="1"/>
  <c r="Q789" i="26"/>
  <c r="Q372" i="26" s="1"/>
  <c r="N789" i="26"/>
  <c r="N372" i="26" s="1"/>
  <c r="S789" i="26"/>
  <c r="S372" i="26" s="1"/>
  <c r="S489" i="26" s="1"/>
  <c r="K789" i="26"/>
  <c r="T789" i="26"/>
  <c r="T372" i="26" s="1"/>
  <c r="T489" i="26" s="1"/>
  <c r="U789" i="26"/>
  <c r="U372" i="26" s="1"/>
  <c r="U489" i="26" s="1"/>
  <c r="J147" i="27"/>
  <c r="W221" i="26"/>
  <c r="M21" i="26"/>
  <c r="M706" i="25"/>
  <c r="F50" i="30" s="1"/>
  <c r="P21" i="26"/>
  <c r="M706" i="26"/>
  <c r="D50" i="30"/>
  <c r="D38" i="30"/>
  <c r="P226" i="26"/>
  <c r="W717" i="26"/>
  <c r="N427" i="28"/>
  <c r="I427" i="28"/>
  <c r="M21" i="25"/>
  <c r="P706" i="26"/>
  <c r="M694" i="26"/>
  <c r="J568" i="26"/>
  <c r="M694" i="25"/>
  <c r="F38" i="30" s="1"/>
  <c r="P695" i="26"/>
  <c r="D39" i="30"/>
  <c r="L67" i="28"/>
  <c r="M67" i="28" s="1"/>
  <c r="H67" i="28"/>
  <c r="J563" i="26"/>
  <c r="J225" i="26"/>
  <c r="M695" i="25"/>
  <c r="F39" i="30" s="1"/>
  <c r="P694" i="26"/>
  <c r="L71" i="28"/>
  <c r="M71" i="28" s="1"/>
  <c r="L146" i="28"/>
  <c r="M146" i="28" s="1"/>
  <c r="H146" i="28"/>
  <c r="M21" i="27"/>
  <c r="P706" i="25"/>
  <c r="G50" i="30" s="1"/>
  <c r="P21" i="25"/>
  <c r="W568" i="26"/>
  <c r="J717" i="27"/>
  <c r="H717" i="27" s="1"/>
  <c r="W717" i="27" s="1"/>
  <c r="W476" i="26"/>
  <c r="M695" i="26"/>
  <c r="H71" i="28"/>
  <c r="J695" i="27" l="1"/>
  <c r="H695" i="27" s="1"/>
  <c r="W695" i="27" s="1"/>
  <c r="K38" i="30"/>
  <c r="K50" i="30"/>
  <c r="K39" i="30"/>
  <c r="W226" i="26"/>
  <c r="I309" i="28"/>
  <c r="J21" i="26"/>
  <c r="H21" i="26" s="1"/>
  <c r="Y21" i="26" s="1"/>
  <c r="J706" i="26"/>
  <c r="H706" i="26" s="1"/>
  <c r="W706" i="26" s="1"/>
  <c r="L72" i="28"/>
  <c r="M72" i="28" s="1"/>
  <c r="H72" i="28"/>
  <c r="N72" i="28" s="1"/>
  <c r="J695" i="26"/>
  <c r="H695" i="26" s="1"/>
  <c r="P767" i="26" s="1"/>
  <c r="J694" i="26"/>
  <c r="H694" i="26" s="1"/>
  <c r="K766" i="26" s="1"/>
  <c r="J21" i="25"/>
  <c r="H21" i="25" s="1"/>
  <c r="X21" i="25" s="1"/>
  <c r="Q789" i="25"/>
  <c r="Q372" i="25" s="1"/>
  <c r="Q489" i="25" s="1"/>
  <c r="S789" i="25"/>
  <c r="S372" i="25" s="1"/>
  <c r="S489" i="25" s="1"/>
  <c r="L789" i="25"/>
  <c r="L372" i="25" s="1"/>
  <c r="L489" i="25" s="1"/>
  <c r="W717" i="25"/>
  <c r="O789" i="25"/>
  <c r="O372" i="25" s="1"/>
  <c r="O489" i="25" s="1"/>
  <c r="K789" i="25"/>
  <c r="K372" i="25" s="1"/>
  <c r="M789" i="25"/>
  <c r="F61" i="31" s="1"/>
  <c r="R789" i="25"/>
  <c r="R372" i="25" s="1"/>
  <c r="R489" i="25" s="1"/>
  <c r="N789" i="25"/>
  <c r="N372" i="25" s="1"/>
  <c r="N489" i="25" s="1"/>
  <c r="V789" i="25"/>
  <c r="T789" i="25"/>
  <c r="H61" i="31" s="1"/>
  <c r="U789" i="25"/>
  <c r="J21" i="27"/>
  <c r="H21" i="27" s="1"/>
  <c r="Y21" i="27" s="1"/>
  <c r="I72" i="28"/>
  <c r="K767" i="26"/>
  <c r="N767" i="26"/>
  <c r="N588" i="26" s="1"/>
  <c r="U767" i="26"/>
  <c r="U588" i="26" s="1"/>
  <c r="L767" i="26"/>
  <c r="L588" i="26" s="1"/>
  <c r="T767" i="26"/>
  <c r="T588" i="26" s="1"/>
  <c r="U766" i="26"/>
  <c r="L766" i="26"/>
  <c r="P766" i="26"/>
  <c r="O766" i="26"/>
  <c r="M372" i="26"/>
  <c r="N489" i="26"/>
  <c r="H150" i="28"/>
  <c r="L150" i="28"/>
  <c r="M150" i="28" s="1"/>
  <c r="I71" i="28"/>
  <c r="N71" i="28"/>
  <c r="L488" i="28"/>
  <c r="M488" i="28" s="1"/>
  <c r="H488" i="28"/>
  <c r="P372" i="26"/>
  <c r="Q489" i="26"/>
  <c r="D61" i="31"/>
  <c r="I146" i="28"/>
  <c r="N146" i="28"/>
  <c r="H493" i="28"/>
  <c r="L493" i="28"/>
  <c r="M493" i="28" s="1"/>
  <c r="S767" i="27"/>
  <c r="U767" i="27"/>
  <c r="O767" i="27"/>
  <c r="R767" i="27"/>
  <c r="M767" i="27"/>
  <c r="V767" i="27"/>
  <c r="N767" i="27"/>
  <c r="L767" i="27"/>
  <c r="K767" i="27"/>
  <c r="T767" i="27"/>
  <c r="Q767" i="27"/>
  <c r="P767" i="27"/>
  <c r="S778" i="27"/>
  <c r="S256" i="27" s="1"/>
  <c r="M778" i="27"/>
  <c r="K778" i="27"/>
  <c r="U778" i="27"/>
  <c r="U256" i="27" s="1"/>
  <c r="L778" i="27"/>
  <c r="L256" i="27" s="1"/>
  <c r="T778" i="27"/>
  <c r="T256" i="27" s="1"/>
  <c r="P778" i="27"/>
  <c r="R778" i="27"/>
  <c r="R256" i="27" s="1"/>
  <c r="N778" i="27"/>
  <c r="N256" i="27" s="1"/>
  <c r="Q778" i="27"/>
  <c r="Q256" i="27" s="1"/>
  <c r="O778" i="27"/>
  <c r="O256" i="27" s="1"/>
  <c r="V778" i="27"/>
  <c r="V256" i="27" s="1"/>
  <c r="J226" i="26"/>
  <c r="I67" i="28"/>
  <c r="N67" i="28"/>
  <c r="J706" i="25"/>
  <c r="H706" i="25" s="1"/>
  <c r="J694" i="25"/>
  <c r="H694" i="25" s="1"/>
  <c r="W694" i="25" s="1"/>
  <c r="I61" i="31"/>
  <c r="U372" i="25"/>
  <c r="U489" i="25" s="1"/>
  <c r="J789" i="26"/>
  <c r="H789" i="26" s="1"/>
  <c r="W789" i="26" s="1"/>
  <c r="K372" i="26"/>
  <c r="S789" i="27"/>
  <c r="S372" i="27" s="1"/>
  <c r="U789" i="27"/>
  <c r="U372" i="27" s="1"/>
  <c r="N789" i="27"/>
  <c r="N372" i="27" s="1"/>
  <c r="T789" i="27"/>
  <c r="T372" i="27" s="1"/>
  <c r="V789" i="27"/>
  <c r="V372" i="27" s="1"/>
  <c r="O789" i="27"/>
  <c r="O372" i="27" s="1"/>
  <c r="L789" i="27"/>
  <c r="L372" i="27" s="1"/>
  <c r="K789" i="27"/>
  <c r="P789" i="27"/>
  <c r="M789" i="27"/>
  <c r="Q789" i="27"/>
  <c r="Q372" i="27" s="1"/>
  <c r="R789" i="27"/>
  <c r="R372" i="27" s="1"/>
  <c r="J695" i="25"/>
  <c r="H695" i="25" s="1"/>
  <c r="M766" i="27"/>
  <c r="Q766" i="27"/>
  <c r="U766" i="27"/>
  <c r="R766" i="27"/>
  <c r="T766" i="27"/>
  <c r="P766" i="27"/>
  <c r="O766" i="27"/>
  <c r="L766" i="27"/>
  <c r="N766" i="27"/>
  <c r="V766" i="27"/>
  <c r="K766" i="27"/>
  <c r="S766" i="27"/>
  <c r="W21" i="26" l="1"/>
  <c r="O778" i="26"/>
  <c r="N766" i="26"/>
  <c r="R778" i="26"/>
  <c r="T372" i="25"/>
  <c r="T489" i="25" s="1"/>
  <c r="M778" i="26"/>
  <c r="Q778" i="26"/>
  <c r="U778" i="26"/>
  <c r="T778" i="26"/>
  <c r="K778" i="26"/>
  <c r="V778" i="26"/>
  <c r="S778" i="26"/>
  <c r="N778" i="26"/>
  <c r="L778" i="26"/>
  <c r="J778" i="26" s="1"/>
  <c r="H778" i="26" s="1"/>
  <c r="W778" i="26" s="1"/>
  <c r="P778" i="26"/>
  <c r="V372" i="25"/>
  <c r="V489" i="25" s="1"/>
  <c r="J61" i="31"/>
  <c r="T766" i="26"/>
  <c r="M767" i="26"/>
  <c r="V766" i="26"/>
  <c r="V767" i="26"/>
  <c r="V588" i="26" s="1"/>
  <c r="E61" i="31"/>
  <c r="Q767" i="26"/>
  <c r="Q588" i="26" s="1"/>
  <c r="R766" i="26"/>
  <c r="W694" i="26"/>
  <c r="S766" i="26"/>
  <c r="R767" i="26"/>
  <c r="R588" i="26" s="1"/>
  <c r="S767" i="26"/>
  <c r="S588" i="26" s="1"/>
  <c r="M766" i="26"/>
  <c r="Q766" i="26"/>
  <c r="Q397" i="26" s="1"/>
  <c r="O767" i="26"/>
  <c r="O588" i="26" s="1"/>
  <c r="M588" i="26" s="1"/>
  <c r="W695" i="26"/>
  <c r="W21" i="25"/>
  <c r="M372" i="27"/>
  <c r="J789" i="25"/>
  <c r="H789" i="25" s="1"/>
  <c r="W789" i="25" s="1"/>
  <c r="P372" i="25"/>
  <c r="W21" i="27"/>
  <c r="M489" i="25"/>
  <c r="M372" i="25"/>
  <c r="P372" i="27"/>
  <c r="J767" i="27"/>
  <c r="H767" i="27" s="1"/>
  <c r="W767" i="27" s="1"/>
  <c r="L257" i="27"/>
  <c r="L421" i="27"/>
  <c r="L291" i="27"/>
  <c r="L359" i="27"/>
  <c r="L304" i="27"/>
  <c r="W706" i="25"/>
  <c r="M778" i="25"/>
  <c r="F50" i="31" s="1"/>
  <c r="S778" i="25"/>
  <c r="L778" i="25"/>
  <c r="E50" i="31" s="1"/>
  <c r="U778" i="25"/>
  <c r="I50" i="31" s="1"/>
  <c r="P778" i="25"/>
  <c r="G50" i="31" s="1"/>
  <c r="Q778" i="25"/>
  <c r="R778" i="25"/>
  <c r="N778" i="25"/>
  <c r="O778" i="25"/>
  <c r="T778" i="25"/>
  <c r="H50" i="31" s="1"/>
  <c r="K778" i="25"/>
  <c r="V778" i="25"/>
  <c r="J50" i="31" s="1"/>
  <c r="H151" i="28"/>
  <c r="L151" i="28"/>
  <c r="M151" i="28" s="1"/>
  <c r="P489" i="26"/>
  <c r="Q396" i="26"/>
  <c r="Q362" i="26"/>
  <c r="Q662" i="26"/>
  <c r="Q286" i="26"/>
  <c r="Q285" i="26"/>
  <c r="K588" i="26"/>
  <c r="O359" i="27"/>
  <c r="O421" i="27"/>
  <c r="O291" i="27"/>
  <c r="O304" i="27"/>
  <c r="O257" i="27"/>
  <c r="L362" i="26"/>
  <c r="L285" i="26"/>
  <c r="L256" i="26"/>
  <c r="L286" i="26"/>
  <c r="L395" i="26"/>
  <c r="L291" i="26"/>
  <c r="L359" i="26"/>
  <c r="L304" i="26"/>
  <c r="L662" i="26"/>
  <c r="L397" i="26"/>
  <c r="L421" i="26"/>
  <c r="L396" i="26"/>
  <c r="L257" i="26"/>
  <c r="L361" i="26"/>
  <c r="L660" i="26"/>
  <c r="I150" i="28"/>
  <c r="N150" i="28"/>
  <c r="T396" i="26"/>
  <c r="T285" i="26"/>
  <c r="T304" i="26"/>
  <c r="T362" i="26"/>
  <c r="T662" i="26"/>
  <c r="T257" i="26"/>
  <c r="T660" i="26"/>
  <c r="T397" i="26"/>
  <c r="T256" i="26"/>
  <c r="T361" i="26"/>
  <c r="T421" i="26"/>
  <c r="T359" i="26"/>
  <c r="T291" i="26"/>
  <c r="T395" i="26"/>
  <c r="T286" i="26"/>
  <c r="T421" i="27"/>
  <c r="T291" i="27"/>
  <c r="T257" i="27"/>
  <c r="T259" i="27" s="1"/>
  <c r="T304" i="27"/>
  <c r="T359" i="27"/>
  <c r="L259" i="27"/>
  <c r="I493" i="28"/>
  <c r="N493" i="28"/>
  <c r="K489" i="25"/>
  <c r="M489" i="26"/>
  <c r="U256" i="26"/>
  <c r="U397" i="26"/>
  <c r="U662" i="26"/>
  <c r="U285" i="26"/>
  <c r="U421" i="26"/>
  <c r="U286" i="26"/>
  <c r="U257" i="26"/>
  <c r="U291" i="26"/>
  <c r="U660" i="26"/>
  <c r="U395" i="26"/>
  <c r="U359" i="26"/>
  <c r="U304" i="26"/>
  <c r="U362" i="26"/>
  <c r="U361" i="26"/>
  <c r="U396" i="26"/>
  <c r="P489" i="25"/>
  <c r="R257" i="27"/>
  <c r="R259" i="27" s="1"/>
  <c r="R421" i="27"/>
  <c r="R359" i="27"/>
  <c r="R291" i="27"/>
  <c r="R304" i="27"/>
  <c r="U766" i="25"/>
  <c r="L766" i="25"/>
  <c r="O766" i="25"/>
  <c r="Q766" i="25"/>
  <c r="N766" i="25"/>
  <c r="M766" i="25"/>
  <c r="F38" i="31" s="1"/>
  <c r="T766" i="25"/>
  <c r="V766" i="25"/>
  <c r="J38" i="31" s="1"/>
  <c r="P766" i="25"/>
  <c r="G38" i="31" s="1"/>
  <c r="K766" i="25"/>
  <c r="R766" i="25"/>
  <c r="S766" i="25"/>
  <c r="I488" i="28"/>
  <c r="N488" i="28"/>
  <c r="J372" i="26"/>
  <c r="K421" i="26"/>
  <c r="J766" i="26"/>
  <c r="H766" i="26" s="1"/>
  <c r="W766" i="26" s="1"/>
  <c r="K361" i="26"/>
  <c r="K256" i="26"/>
  <c r="K304" i="26"/>
  <c r="K660" i="26"/>
  <c r="K257" i="26"/>
  <c r="K362" i="26"/>
  <c r="K395" i="26"/>
  <c r="K397" i="26"/>
  <c r="K359" i="26"/>
  <c r="K285" i="26"/>
  <c r="K662" i="26"/>
  <c r="K286" i="26"/>
  <c r="K396" i="26"/>
  <c r="K291" i="26"/>
  <c r="W695" i="25"/>
  <c r="Q767" i="25"/>
  <c r="Q361" i="25" s="1"/>
  <c r="R767" i="25"/>
  <c r="R361" i="25" s="1"/>
  <c r="S767" i="25"/>
  <c r="S361" i="25" s="1"/>
  <c r="P767" i="25"/>
  <c r="G39" i="31" s="1"/>
  <c r="O767" i="25"/>
  <c r="O361" i="25" s="1"/>
  <c r="L767" i="25"/>
  <c r="T767" i="25"/>
  <c r="N767" i="25"/>
  <c r="N361" i="25" s="1"/>
  <c r="M767" i="25"/>
  <c r="F39" i="31" s="1"/>
  <c r="K767" i="25"/>
  <c r="V767" i="25"/>
  <c r="U767" i="25"/>
  <c r="K372" i="27"/>
  <c r="W372" i="27" s="1"/>
  <c r="J789" i="27"/>
  <c r="H789" i="27" s="1"/>
  <c r="W789" i="27" s="1"/>
  <c r="O259" i="27"/>
  <c r="J778" i="27"/>
  <c r="H778" i="27" s="1"/>
  <c r="W778" i="27" s="1"/>
  <c r="K256" i="27"/>
  <c r="O257" i="26"/>
  <c r="O397" i="26"/>
  <c r="O662" i="26"/>
  <c r="O359" i="26"/>
  <c r="O304" i="26"/>
  <c r="O285" i="26"/>
  <c r="O421" i="26"/>
  <c r="O291" i="26"/>
  <c r="O256" i="26"/>
  <c r="O259" i="26" s="1"/>
  <c r="O286" i="26"/>
  <c r="O362" i="26"/>
  <c r="O361" i="26"/>
  <c r="O660" i="26"/>
  <c r="O395" i="26"/>
  <c r="O396" i="26"/>
  <c r="N359" i="26"/>
  <c r="N286" i="26"/>
  <c r="N660" i="26"/>
  <c r="N421" i="26"/>
  <c r="N257" i="26"/>
  <c r="N396" i="26"/>
  <c r="N304" i="26"/>
  <c r="N395" i="26"/>
  <c r="N662" i="26"/>
  <c r="N362" i="26"/>
  <c r="N256" i="26"/>
  <c r="N397" i="26"/>
  <c r="N285" i="26"/>
  <c r="N361" i="26"/>
  <c r="N291" i="26"/>
  <c r="S421" i="27"/>
  <c r="S291" i="27"/>
  <c r="S359" i="27"/>
  <c r="S257" i="27"/>
  <c r="S259" i="27" s="1"/>
  <c r="S304" i="27"/>
  <c r="K304" i="27"/>
  <c r="J766" i="27"/>
  <c r="H766" i="27" s="1"/>
  <c r="W766" i="27" s="1"/>
  <c r="K257" i="27"/>
  <c r="K421" i="27"/>
  <c r="K291" i="27"/>
  <c r="K359" i="27"/>
  <c r="W372" i="26"/>
  <c r="K489" i="26"/>
  <c r="V421" i="27"/>
  <c r="V304" i="27"/>
  <c r="V359" i="27"/>
  <c r="V257" i="27"/>
  <c r="V259" i="27" s="1"/>
  <c r="V291" i="27"/>
  <c r="Q257" i="27"/>
  <c r="Q259" i="27" s="1"/>
  <c r="Q304" i="27"/>
  <c r="Q359" i="27"/>
  <c r="Q291" i="27"/>
  <c r="Q421" i="27"/>
  <c r="P256" i="27"/>
  <c r="R256" i="26"/>
  <c r="R396" i="26"/>
  <c r="R421" i="26"/>
  <c r="R304" i="26"/>
  <c r="R291" i="26"/>
  <c r="R660" i="26"/>
  <c r="R362" i="26"/>
  <c r="R395" i="26"/>
  <c r="R397" i="26"/>
  <c r="R361" i="26"/>
  <c r="R257" i="26"/>
  <c r="R359" i="26"/>
  <c r="R286" i="26"/>
  <c r="R662" i="26"/>
  <c r="R285" i="26"/>
  <c r="U304" i="27"/>
  <c r="U257" i="27"/>
  <c r="U259" i="27" s="1"/>
  <c r="U421" i="27"/>
  <c r="U359" i="27"/>
  <c r="U291" i="27"/>
  <c r="N257" i="27"/>
  <c r="M257" i="27" s="1"/>
  <c r="N291" i="27"/>
  <c r="N304" i="27"/>
  <c r="M304" i="27" s="1"/>
  <c r="N421" i="27"/>
  <c r="M421" i="27" s="1"/>
  <c r="N359" i="27"/>
  <c r="M359" i="27" s="1"/>
  <c r="M256" i="27"/>
  <c r="S361" i="26"/>
  <c r="S286" i="26"/>
  <c r="S304" i="26"/>
  <c r="S285" i="26"/>
  <c r="S395" i="26"/>
  <c r="S291" i="26"/>
  <c r="S421" i="26"/>
  <c r="S257" i="26"/>
  <c r="S662" i="26"/>
  <c r="S359" i="26"/>
  <c r="S660" i="26"/>
  <c r="S397" i="26"/>
  <c r="S256" i="26"/>
  <c r="S396" i="26"/>
  <c r="S362" i="26"/>
  <c r="V397" i="26"/>
  <c r="V304" i="26"/>
  <c r="V257" i="26"/>
  <c r="V359" i="26"/>
  <c r="V662" i="26"/>
  <c r="V362" i="26"/>
  <c r="V660" i="26"/>
  <c r="V395" i="26"/>
  <c r="V291" i="26"/>
  <c r="V256" i="26"/>
  <c r="V286" i="26"/>
  <c r="V396" i="26"/>
  <c r="V285" i="26"/>
  <c r="V361" i="26"/>
  <c r="V421" i="26"/>
  <c r="M291" i="27" l="1"/>
  <c r="Q304" i="26"/>
  <c r="Q256" i="26"/>
  <c r="Q421" i="26"/>
  <c r="Q291" i="26"/>
  <c r="P588" i="26"/>
  <c r="J588" i="26" s="1"/>
  <c r="J767" i="26"/>
  <c r="H767" i="26" s="1"/>
  <c r="W767" i="26" s="1"/>
  <c r="Q660" i="26"/>
  <c r="Q361" i="26"/>
  <c r="Q359" i="26"/>
  <c r="Q257" i="26"/>
  <c r="K61" i="31"/>
  <c r="V361" i="25"/>
  <c r="J39" i="31"/>
  <c r="Q395" i="26"/>
  <c r="P395" i="26" s="1"/>
  <c r="J395" i="26" s="1"/>
  <c r="M362" i="26"/>
  <c r="M286" i="26"/>
  <c r="M662" i="26"/>
  <c r="W372" i="25"/>
  <c r="J372" i="25"/>
  <c r="T259" i="26"/>
  <c r="J372" i="27"/>
  <c r="H297" i="28" s="1"/>
  <c r="M257" i="26"/>
  <c r="M397" i="26"/>
  <c r="M395" i="26"/>
  <c r="P361" i="25"/>
  <c r="M396" i="26"/>
  <c r="M285" i="26"/>
  <c r="M421" i="26"/>
  <c r="R259" i="26"/>
  <c r="P304" i="27"/>
  <c r="J304" i="27" s="1"/>
  <c r="J489" i="25"/>
  <c r="M361" i="25"/>
  <c r="V588" i="25"/>
  <c r="V286" i="25"/>
  <c r="V291" i="25"/>
  <c r="V587" i="25"/>
  <c r="V304" i="25"/>
  <c r="V358" i="25"/>
  <c r="V660" i="25"/>
  <c r="V301" i="25"/>
  <c r="V589" i="25"/>
  <c r="V257" i="25"/>
  <c r="V662" i="25"/>
  <c r="V285" i="25"/>
  <c r="V421" i="25"/>
  <c r="V258" i="25"/>
  <c r="V591" i="25"/>
  <c r="V256" i="25"/>
  <c r="V590" i="25"/>
  <c r="V362" i="25"/>
  <c r="V479" i="25" s="1"/>
  <c r="V331" i="25"/>
  <c r="V359" i="25"/>
  <c r="V477" i="25" s="1"/>
  <c r="V357" i="25"/>
  <c r="V476" i="25" s="1"/>
  <c r="P662" i="26"/>
  <c r="P396" i="26"/>
  <c r="T361" i="25"/>
  <c r="H39" i="31"/>
  <c r="T258" i="25"/>
  <c r="T421" i="25"/>
  <c r="T588" i="25"/>
  <c r="T662" i="25"/>
  <c r="T257" i="25"/>
  <c r="T304" i="25"/>
  <c r="T291" i="25"/>
  <c r="T591" i="25"/>
  <c r="T286" i="25"/>
  <c r="H38" i="31"/>
  <c r="T589" i="25"/>
  <c r="T256" i="25"/>
  <c r="T285" i="25"/>
  <c r="T660" i="25"/>
  <c r="T590" i="25"/>
  <c r="T587" i="25"/>
  <c r="T301" i="25"/>
  <c r="T358" i="25"/>
  <c r="T362" i="25"/>
  <c r="T479" i="25" s="1"/>
  <c r="T331" i="25"/>
  <c r="T359" i="25"/>
  <c r="T477" i="25" s="1"/>
  <c r="T357" i="25"/>
  <c r="T476" i="25" s="1"/>
  <c r="J489" i="26"/>
  <c r="P304" i="26"/>
  <c r="S259" i="26"/>
  <c r="P257" i="27"/>
  <c r="W257" i="27" s="1"/>
  <c r="P359" i="27"/>
  <c r="W359" i="27" s="1"/>
  <c r="M256" i="26"/>
  <c r="N259" i="26"/>
  <c r="M660" i="26"/>
  <c r="L361" i="25"/>
  <c r="E39" i="31"/>
  <c r="P421" i="26"/>
  <c r="J421" i="26" s="1"/>
  <c r="P256" i="26"/>
  <c r="Q259" i="26"/>
  <c r="P291" i="27"/>
  <c r="W291" i="27" s="1"/>
  <c r="N589" i="25"/>
  <c r="N286" i="25"/>
  <c r="N660" i="25"/>
  <c r="N591" i="25"/>
  <c r="N358" i="25"/>
  <c r="N257" i="25"/>
  <c r="N256" i="25"/>
  <c r="N304" i="25"/>
  <c r="N301" i="25"/>
  <c r="N590" i="25"/>
  <c r="N285" i="25"/>
  <c r="N421" i="25"/>
  <c r="N587" i="25"/>
  <c r="N588" i="25"/>
  <c r="N258" i="25"/>
  <c r="N291" i="25"/>
  <c r="N662" i="25"/>
  <c r="N362" i="25"/>
  <c r="N331" i="25"/>
  <c r="N357" i="25"/>
  <c r="N359" i="25"/>
  <c r="P660" i="26"/>
  <c r="P291" i="26"/>
  <c r="J662" i="26"/>
  <c r="M359" i="26"/>
  <c r="U361" i="25"/>
  <c r="I39" i="31"/>
  <c r="S590" i="25"/>
  <c r="S71" i="25" s="1"/>
  <c r="O87" i="24" s="1"/>
  <c r="S258" i="25"/>
  <c r="S421" i="25"/>
  <c r="S256" i="25"/>
  <c r="S286" i="25"/>
  <c r="S358" i="25"/>
  <c r="S660" i="25"/>
  <c r="S301" i="25"/>
  <c r="S291" i="25"/>
  <c r="S589" i="25"/>
  <c r="S257" i="25"/>
  <c r="S591" i="25"/>
  <c r="S285" i="25"/>
  <c r="S588" i="25"/>
  <c r="S662" i="25"/>
  <c r="S304" i="25"/>
  <c r="S587" i="25"/>
  <c r="S362" i="25"/>
  <c r="S479" i="25" s="1"/>
  <c r="S331" i="25"/>
  <c r="S357" i="25"/>
  <c r="S476" i="25" s="1"/>
  <c r="S359" i="25"/>
  <c r="S477" i="25" s="1"/>
  <c r="Q589" i="25"/>
  <c r="Q291" i="25"/>
  <c r="Q662" i="25"/>
  <c r="Q301" i="25"/>
  <c r="Q660" i="25"/>
  <c r="Q304" i="25"/>
  <c r="Q421" i="25"/>
  <c r="Q591" i="25"/>
  <c r="Q590" i="25"/>
  <c r="Q588" i="25"/>
  <c r="Q286" i="25"/>
  <c r="Q587" i="25"/>
  <c r="Q258" i="25"/>
  <c r="Q256" i="25"/>
  <c r="Q285" i="25"/>
  <c r="Q257" i="25"/>
  <c r="Q358" i="25"/>
  <c r="Q362" i="25"/>
  <c r="Q331" i="25"/>
  <c r="Q359" i="25"/>
  <c r="Q357" i="25"/>
  <c r="P359" i="26"/>
  <c r="P361" i="26"/>
  <c r="W489" i="26"/>
  <c r="R304" i="25"/>
  <c r="R588" i="25"/>
  <c r="R257" i="25"/>
  <c r="R660" i="25"/>
  <c r="R662" i="25"/>
  <c r="R256" i="25"/>
  <c r="R421" i="25"/>
  <c r="R291" i="25"/>
  <c r="R258" i="25"/>
  <c r="R590" i="25"/>
  <c r="R358" i="25"/>
  <c r="R587" i="25"/>
  <c r="R591" i="25"/>
  <c r="R301" i="25"/>
  <c r="R589" i="25"/>
  <c r="R286" i="25"/>
  <c r="R285" i="25"/>
  <c r="R362" i="25"/>
  <c r="R479" i="25" s="1"/>
  <c r="R331" i="25"/>
  <c r="R357" i="25"/>
  <c r="R476" i="25" s="1"/>
  <c r="R359" i="25"/>
  <c r="R477" i="25" s="1"/>
  <c r="O588" i="25"/>
  <c r="O257" i="25"/>
  <c r="O301" i="25"/>
  <c r="O256" i="25"/>
  <c r="O304" i="25"/>
  <c r="O662" i="25"/>
  <c r="O291" i="25"/>
  <c r="O587" i="25"/>
  <c r="O286" i="25"/>
  <c r="O660" i="25"/>
  <c r="O421" i="25"/>
  <c r="O589" i="25"/>
  <c r="O358" i="25"/>
  <c r="O590" i="25"/>
  <c r="O258" i="25"/>
  <c r="O285" i="25"/>
  <c r="O591" i="25"/>
  <c r="O362" i="25"/>
  <c r="O479" i="25" s="1"/>
  <c r="O331" i="25"/>
  <c r="O357" i="25"/>
  <c r="O476" i="25" s="1"/>
  <c r="O359" i="25"/>
  <c r="O477" i="25" s="1"/>
  <c r="P285" i="26"/>
  <c r="J285" i="26" s="1"/>
  <c r="P257" i="26"/>
  <c r="I151" i="28"/>
  <c r="N151" i="28"/>
  <c r="J256" i="27"/>
  <c r="M259" i="27"/>
  <c r="V259" i="26"/>
  <c r="N259" i="27"/>
  <c r="P421" i="27"/>
  <c r="W421" i="27" s="1"/>
  <c r="M291" i="26"/>
  <c r="M304" i="26"/>
  <c r="K361" i="25"/>
  <c r="D39" i="31"/>
  <c r="J767" i="25"/>
  <c r="H767" i="25" s="1"/>
  <c r="W767" i="25" s="1"/>
  <c r="W662" i="26"/>
  <c r="K589" i="25"/>
  <c r="K256" i="25"/>
  <c r="K587" i="25"/>
  <c r="K590" i="25"/>
  <c r="K421" i="25"/>
  <c r="K304" i="25"/>
  <c r="J766" i="25"/>
  <c r="H766" i="25" s="1"/>
  <c r="W766" i="25" s="1"/>
  <c r="K291" i="25"/>
  <c r="K286" i="25"/>
  <c r="K258" i="25"/>
  <c r="K301" i="25"/>
  <c r="K358" i="25"/>
  <c r="K662" i="25"/>
  <c r="D38" i="31"/>
  <c r="K660" i="25"/>
  <c r="K257" i="25"/>
  <c r="K588" i="25"/>
  <c r="K285" i="25"/>
  <c r="K591" i="25"/>
  <c r="K362" i="25"/>
  <c r="K331" i="25"/>
  <c r="K357" i="25"/>
  <c r="K359" i="25"/>
  <c r="L304" i="25"/>
  <c r="E38" i="31"/>
  <c r="L291" i="25"/>
  <c r="L285" i="25"/>
  <c r="L358" i="25"/>
  <c r="L588" i="25"/>
  <c r="L421" i="25"/>
  <c r="L662" i="25"/>
  <c r="L591" i="25"/>
  <c r="L587" i="25"/>
  <c r="L286" i="25"/>
  <c r="L258" i="25"/>
  <c r="L257" i="25"/>
  <c r="L301" i="25"/>
  <c r="L589" i="25"/>
  <c r="L660" i="25"/>
  <c r="L256" i="25"/>
  <c r="L590" i="25"/>
  <c r="L362" i="25"/>
  <c r="L479" i="25" s="1"/>
  <c r="L331" i="25"/>
  <c r="L357" i="25"/>
  <c r="L476" i="25" s="1"/>
  <c r="L359" i="25"/>
  <c r="L477" i="25" s="1"/>
  <c r="W489" i="25"/>
  <c r="P286" i="26"/>
  <c r="J286" i="26" s="1"/>
  <c r="P362" i="26"/>
  <c r="W362" i="26" s="1"/>
  <c r="P259" i="27"/>
  <c r="M361" i="26"/>
  <c r="J361" i="26" s="1"/>
  <c r="K259" i="27"/>
  <c r="W256" i="27"/>
  <c r="W285" i="26"/>
  <c r="K259" i="26"/>
  <c r="U421" i="25"/>
  <c r="U358" i="25"/>
  <c r="U591" i="25"/>
  <c r="U589" i="25"/>
  <c r="U257" i="25"/>
  <c r="I38" i="31"/>
  <c r="U301" i="25"/>
  <c r="U291" i="25"/>
  <c r="U256" i="25"/>
  <c r="U587" i="25"/>
  <c r="U304" i="25"/>
  <c r="U588" i="25"/>
  <c r="U285" i="25"/>
  <c r="U258" i="25"/>
  <c r="U662" i="25"/>
  <c r="U660" i="25"/>
  <c r="U286" i="25"/>
  <c r="U590" i="25"/>
  <c r="U362" i="25"/>
  <c r="U479" i="25" s="1"/>
  <c r="U331" i="25"/>
  <c r="U359" i="25"/>
  <c r="U477" i="25" s="1"/>
  <c r="U357" i="25"/>
  <c r="U476" i="25" s="1"/>
  <c r="U259" i="26"/>
  <c r="L259" i="26"/>
  <c r="P397" i="26"/>
  <c r="W397" i="26" s="1"/>
  <c r="J778" i="25"/>
  <c r="H778" i="25" s="1"/>
  <c r="W778" i="25" s="1"/>
  <c r="D50" i="31"/>
  <c r="K50" i="31" s="1"/>
  <c r="W588" i="26" l="1"/>
  <c r="J359" i="27"/>
  <c r="L297" i="28"/>
  <c r="M297" i="28" s="1"/>
  <c r="W304" i="27"/>
  <c r="W257" i="26"/>
  <c r="K39" i="31"/>
  <c r="W256" i="26"/>
  <c r="K38" i="31"/>
  <c r="J421" i="27"/>
  <c r="L414" i="28"/>
  <c r="M414" i="28" s="1"/>
  <c r="W660" i="26"/>
  <c r="H414" i="28"/>
  <c r="N414" i="28" s="1"/>
  <c r="J396" i="26"/>
  <c r="J291" i="26"/>
  <c r="J304" i="26"/>
  <c r="W396" i="26"/>
  <c r="W421" i="26"/>
  <c r="W359" i="26"/>
  <c r="P286" i="25"/>
  <c r="L259" i="25"/>
  <c r="P285" i="25"/>
  <c r="S259" i="25"/>
  <c r="R259" i="25"/>
  <c r="P258" i="25"/>
  <c r="L451" i="25"/>
  <c r="L454" i="25" s="1"/>
  <c r="L465" i="25" s="1"/>
  <c r="L726" i="25"/>
  <c r="E70" i="30" s="1"/>
  <c r="K477" i="25"/>
  <c r="Q479" i="25"/>
  <c r="P479" i="25" s="1"/>
  <c r="P362" i="25"/>
  <c r="P588" i="25"/>
  <c r="P291" i="25"/>
  <c r="M359" i="25"/>
  <c r="N477" i="25"/>
  <c r="M477" i="25" s="1"/>
  <c r="M587" i="25"/>
  <c r="M358" i="25"/>
  <c r="U451" i="25"/>
  <c r="U454" i="25" s="1"/>
  <c r="U465" i="25" s="1"/>
  <c r="U726" i="25"/>
  <c r="I70" i="30" s="1"/>
  <c r="W259" i="27"/>
  <c r="K476" i="25"/>
  <c r="O259" i="25"/>
  <c r="W286" i="26"/>
  <c r="P358" i="25"/>
  <c r="Q739" i="25"/>
  <c r="Q71" i="25"/>
  <c r="P590" i="25"/>
  <c r="P589" i="25"/>
  <c r="M357" i="25"/>
  <c r="N476" i="25"/>
  <c r="M476" i="25" s="1"/>
  <c r="M421" i="25"/>
  <c r="M591" i="25"/>
  <c r="P259" i="26"/>
  <c r="W395" i="26"/>
  <c r="J257" i="26"/>
  <c r="L739" i="25"/>
  <c r="E83" i="30" s="1"/>
  <c r="L71" i="25"/>
  <c r="H87" i="24" s="1"/>
  <c r="K451" i="25"/>
  <c r="K726" i="25"/>
  <c r="O451" i="25"/>
  <c r="O454" i="25" s="1"/>
  <c r="O465" i="25" s="1"/>
  <c r="O726" i="25"/>
  <c r="Q259" i="25"/>
  <c r="P257" i="25"/>
  <c r="P591" i="25"/>
  <c r="N451" i="25"/>
  <c r="M331" i="25"/>
  <c r="N726" i="25"/>
  <c r="M285" i="25"/>
  <c r="M660" i="25"/>
  <c r="J362" i="26"/>
  <c r="J257" i="27"/>
  <c r="T71" i="25"/>
  <c r="P87" i="24" s="1"/>
  <c r="T739" i="25"/>
  <c r="H83" i="30" s="1"/>
  <c r="J291" i="27"/>
  <c r="U739" i="25"/>
  <c r="I83" i="30" s="1"/>
  <c r="U71" i="25"/>
  <c r="Q87" i="24" s="1"/>
  <c r="K479" i="25"/>
  <c r="K71" i="25"/>
  <c r="K739" i="25"/>
  <c r="J361" i="25"/>
  <c r="W361" i="25"/>
  <c r="P421" i="25"/>
  <c r="M362" i="25"/>
  <c r="N479" i="25"/>
  <c r="M479" i="25" s="1"/>
  <c r="N739" i="25"/>
  <c r="N71" i="25"/>
  <c r="J87" i="24" s="1"/>
  <c r="M590" i="25"/>
  <c r="M71" i="25" s="1"/>
  <c r="I87" i="24" s="1"/>
  <c r="M286" i="25"/>
  <c r="U259" i="25"/>
  <c r="J259" i="27"/>
  <c r="P256" i="25"/>
  <c r="S451" i="25"/>
  <c r="S454" i="25" s="1"/>
  <c r="S465" i="25" s="1"/>
  <c r="S726" i="25"/>
  <c r="J359" i="26"/>
  <c r="M662" i="25"/>
  <c r="M301" i="25"/>
  <c r="M589" i="25"/>
  <c r="J660" i="26"/>
  <c r="V451" i="25"/>
  <c r="V454" i="25" s="1"/>
  <c r="V465" i="25" s="1"/>
  <c r="V726" i="25"/>
  <c r="J70" i="30" s="1"/>
  <c r="K259" i="25"/>
  <c r="R451" i="25"/>
  <c r="R454" i="25" s="1"/>
  <c r="R465" i="25" s="1"/>
  <c r="R726" i="25"/>
  <c r="P357" i="25"/>
  <c r="Q476" i="25"/>
  <c r="P476" i="25" s="1"/>
  <c r="P660" i="25"/>
  <c r="M291" i="25"/>
  <c r="M304" i="25"/>
  <c r="T451" i="25"/>
  <c r="T454" i="25" s="1"/>
  <c r="T465" i="25" s="1"/>
  <c r="T726" i="25"/>
  <c r="H70" i="30" s="1"/>
  <c r="T259" i="25"/>
  <c r="R739" i="25"/>
  <c r="R71" i="25"/>
  <c r="N87" i="24" s="1"/>
  <c r="P359" i="25"/>
  <c r="Q477" i="25"/>
  <c r="P477" i="25" s="1"/>
  <c r="P301" i="25"/>
  <c r="P587" i="25"/>
  <c r="O89" i="24"/>
  <c r="O88" i="24"/>
  <c r="M258" i="25"/>
  <c r="M256" i="25"/>
  <c r="N259" i="25"/>
  <c r="M259" i="26"/>
  <c r="J256" i="26"/>
  <c r="J397" i="26"/>
  <c r="V71" i="25"/>
  <c r="R87" i="24" s="1"/>
  <c r="V739" i="25"/>
  <c r="J83" i="30" s="1"/>
  <c r="W304" i="26"/>
  <c r="I297" i="28"/>
  <c r="N297" i="28"/>
  <c r="O739" i="25"/>
  <c r="O71" i="25"/>
  <c r="K87" i="24" s="1"/>
  <c r="Q451" i="25"/>
  <c r="P331" i="25"/>
  <c r="Q726" i="25"/>
  <c r="P662" i="25"/>
  <c r="P304" i="25"/>
  <c r="M588" i="25"/>
  <c r="J588" i="25" s="1"/>
  <c r="M257" i="25"/>
  <c r="W291" i="26"/>
  <c r="V259" i="25"/>
  <c r="W361" i="26"/>
  <c r="J362" i="25" l="1"/>
  <c r="I414" i="28"/>
  <c r="W258" i="25"/>
  <c r="W291" i="25"/>
  <c r="J286" i="25"/>
  <c r="W587" i="25"/>
  <c r="J259" i="26"/>
  <c r="W301" i="25"/>
  <c r="J285" i="25"/>
  <c r="W358" i="25"/>
  <c r="W286" i="25"/>
  <c r="W421" i="25"/>
  <c r="P259" i="25"/>
  <c r="W662" i="25"/>
  <c r="J257" i="25"/>
  <c r="H182" i="28" s="1"/>
  <c r="W304" i="25"/>
  <c r="M726" i="25"/>
  <c r="F70" i="30" s="1"/>
  <c r="J357" i="25"/>
  <c r="L282" i="28" s="1"/>
  <c r="M282" i="28" s="1"/>
  <c r="J304" i="25"/>
  <c r="L229" i="28" s="1"/>
  <c r="M739" i="25"/>
  <c r="F83" i="30" s="1"/>
  <c r="W589" i="25"/>
  <c r="J662" i="25"/>
  <c r="J421" i="25"/>
  <c r="L346" i="28" s="1"/>
  <c r="W359" i="25"/>
  <c r="J301" i="25"/>
  <c r="L226" i="28" s="1"/>
  <c r="M226" i="28" s="1"/>
  <c r="J660" i="25"/>
  <c r="J591" i="25"/>
  <c r="H513" i="28"/>
  <c r="L513" i="28"/>
  <c r="M513" i="28" s="1"/>
  <c r="J587" i="25"/>
  <c r="P726" i="25"/>
  <c r="G70" i="30" s="1"/>
  <c r="J589" i="25"/>
  <c r="W285" i="25"/>
  <c r="I88" i="24"/>
  <c r="I89" i="24"/>
  <c r="W362" i="25"/>
  <c r="J476" i="25"/>
  <c r="J359" i="25"/>
  <c r="J88" i="24"/>
  <c r="J89" i="24"/>
  <c r="J479" i="25"/>
  <c r="W479" i="25"/>
  <c r="J291" i="25"/>
  <c r="K88" i="24"/>
  <c r="K89" i="24"/>
  <c r="J590" i="25"/>
  <c r="W257" i="25"/>
  <c r="D70" i="30"/>
  <c r="W590" i="25"/>
  <c r="W588" i="25"/>
  <c r="Q88" i="24"/>
  <c r="Q89" i="24"/>
  <c r="H229" i="28"/>
  <c r="M259" i="25"/>
  <c r="W256" i="25"/>
  <c r="J256" i="25"/>
  <c r="W591" i="25"/>
  <c r="D83" i="30"/>
  <c r="J331" i="25"/>
  <c r="W331" i="25"/>
  <c r="M87" i="24"/>
  <c r="P71" i="25"/>
  <c r="L87" i="24" s="1"/>
  <c r="G87" i="24"/>
  <c r="M451" i="25"/>
  <c r="N454" i="25"/>
  <c r="K454" i="25"/>
  <c r="P739" i="25"/>
  <c r="G83" i="30" s="1"/>
  <c r="W476" i="25"/>
  <c r="P451" i="25"/>
  <c r="Q454" i="25"/>
  <c r="W259" i="26"/>
  <c r="R90" i="24"/>
  <c r="R89" i="24"/>
  <c r="R88" i="24"/>
  <c r="N89" i="24"/>
  <c r="N88" i="24"/>
  <c r="J258" i="25"/>
  <c r="P88" i="24"/>
  <c r="P89" i="24"/>
  <c r="H88" i="24"/>
  <c r="H89" i="24"/>
  <c r="J358" i="25"/>
  <c r="W357" i="25"/>
  <c r="H597" i="28"/>
  <c r="L597" i="28"/>
  <c r="M597" i="28" s="1"/>
  <c r="W660" i="25"/>
  <c r="W477" i="25"/>
  <c r="J477" i="25"/>
  <c r="L182" i="28" l="1"/>
  <c r="M182" i="28" s="1"/>
  <c r="K70" i="30"/>
  <c r="K83" i="30"/>
  <c r="H346" i="28"/>
  <c r="N346" i="28" s="1"/>
  <c r="W259" i="25"/>
  <c r="J726" i="25"/>
  <c r="H726" i="25" s="1"/>
  <c r="U798" i="25" s="1"/>
  <c r="J259" i="25"/>
  <c r="L184" i="28" s="1"/>
  <c r="M184" i="28" s="1"/>
  <c r="H282" i="28"/>
  <c r="I282" i="28" s="1"/>
  <c r="J451" i="25"/>
  <c r="L376" i="28" s="1"/>
  <c r="M376" i="28" s="1"/>
  <c r="H226" i="28"/>
  <c r="N226" i="28" s="1"/>
  <c r="W451" i="25"/>
  <c r="J739" i="25"/>
  <c r="H739" i="25" s="1"/>
  <c r="W739" i="25" s="1"/>
  <c r="N597" i="28"/>
  <c r="I597" i="28"/>
  <c r="L183" i="28"/>
  <c r="M183" i="28" s="1"/>
  <c r="H183" i="28"/>
  <c r="K465" i="25"/>
  <c r="H256" i="28"/>
  <c r="L256" i="28"/>
  <c r="M256" i="28" s="1"/>
  <c r="H515" i="28"/>
  <c r="L515" i="28"/>
  <c r="M515" i="28" s="1"/>
  <c r="H184" i="28"/>
  <c r="I229" i="28"/>
  <c r="N229" i="28"/>
  <c r="I182" i="28"/>
  <c r="N182" i="28"/>
  <c r="H284" i="28"/>
  <c r="L284" i="28"/>
  <c r="M284" i="28" s="1"/>
  <c r="L514" i="28"/>
  <c r="M514" i="28" s="1"/>
  <c r="H514" i="28"/>
  <c r="M454" i="25"/>
  <c r="N465" i="25"/>
  <c r="H401" i="28"/>
  <c r="L401" i="28"/>
  <c r="M401" i="28" s="1"/>
  <c r="L89" i="24"/>
  <c r="L88" i="24"/>
  <c r="H512" i="28"/>
  <c r="L512" i="28"/>
  <c r="M512" i="28" s="1"/>
  <c r="I513" i="28"/>
  <c r="N513" i="28"/>
  <c r="P454" i="25"/>
  <c r="Q465" i="25"/>
  <c r="L402" i="28"/>
  <c r="M402" i="28" s="1"/>
  <c r="H402" i="28"/>
  <c r="W726" i="25"/>
  <c r="P798" i="25"/>
  <c r="G70" i="31" s="1"/>
  <c r="M798" i="25"/>
  <c r="F70" i="31" s="1"/>
  <c r="T798" i="25"/>
  <c r="K798" i="25"/>
  <c r="L798" i="25"/>
  <c r="N798" i="25"/>
  <c r="N326" i="25" s="1"/>
  <c r="S798" i="25"/>
  <c r="S326" i="25" s="1"/>
  <c r="S335" i="25" s="1"/>
  <c r="S346" i="25" s="1"/>
  <c r="H376" i="28"/>
  <c r="M88" i="24"/>
  <c r="M89" i="24"/>
  <c r="H181" i="28"/>
  <c r="L181" i="28"/>
  <c r="M181" i="28" s="1"/>
  <c r="L283" i="28"/>
  <c r="H283" i="28"/>
  <c r="N283" i="28" s="1"/>
  <c r="J71" i="25"/>
  <c r="H216" i="28"/>
  <c r="L216" i="28"/>
  <c r="M216" i="28" s="1"/>
  <c r="G88" i="24"/>
  <c r="G89" i="24"/>
  <c r="R798" i="25" l="1"/>
  <c r="R326" i="25" s="1"/>
  <c r="R335" i="25" s="1"/>
  <c r="R346" i="25" s="1"/>
  <c r="O798" i="25"/>
  <c r="O326" i="25" s="1"/>
  <c r="O335" i="25" s="1"/>
  <c r="O346" i="25" s="1"/>
  <c r="V798" i="25"/>
  <c r="V326" i="25"/>
  <c r="V335" i="25" s="1"/>
  <c r="V346" i="25" s="1"/>
  <c r="J70" i="31"/>
  <c r="K811" i="25"/>
  <c r="D83" i="31" s="1"/>
  <c r="Q798" i="25"/>
  <c r="Q326" i="25" s="1"/>
  <c r="P326" i="25" s="1"/>
  <c r="N282" i="28"/>
  <c r="I226" i="28"/>
  <c r="O811" i="25"/>
  <c r="N811" i="25"/>
  <c r="Q811" i="25"/>
  <c r="L811" i="25"/>
  <c r="E83" i="31" s="1"/>
  <c r="R811" i="25"/>
  <c r="P811" i="25"/>
  <c r="G83" i="31" s="1"/>
  <c r="S811" i="25"/>
  <c r="T811" i="25"/>
  <c r="H83" i="31" s="1"/>
  <c r="W454" i="25"/>
  <c r="V811" i="25"/>
  <c r="J83" i="31" s="1"/>
  <c r="U811" i="25"/>
  <c r="I83" i="31" s="1"/>
  <c r="M811" i="25"/>
  <c r="F83" i="31" s="1"/>
  <c r="I216" i="28"/>
  <c r="N216" i="28"/>
  <c r="D70" i="31"/>
  <c r="J798" i="25"/>
  <c r="H798" i="25" s="1"/>
  <c r="W798" i="25" s="1"/>
  <c r="K326" i="25"/>
  <c r="N512" i="28"/>
  <c r="I512" i="28"/>
  <c r="I284" i="28"/>
  <c r="N284" i="28"/>
  <c r="I256" i="28"/>
  <c r="N256" i="28"/>
  <c r="I184" i="28"/>
  <c r="N184" i="28"/>
  <c r="J454" i="25"/>
  <c r="P465" i="25"/>
  <c r="N402" i="28"/>
  <c r="I402" i="28"/>
  <c r="N183" i="28"/>
  <c r="I183" i="28"/>
  <c r="N335" i="25"/>
  <c r="M326" i="25"/>
  <c r="N514" i="28"/>
  <c r="I514" i="28"/>
  <c r="T326" i="25"/>
  <c r="T335" i="25" s="1"/>
  <c r="T346" i="25" s="1"/>
  <c r="H70" i="31"/>
  <c r="F87" i="24"/>
  <c r="H71" i="25"/>
  <c r="N376" i="28"/>
  <c r="I376" i="28"/>
  <c r="I70" i="31"/>
  <c r="U326" i="25"/>
  <c r="U335" i="25" s="1"/>
  <c r="U346" i="25" s="1"/>
  <c r="N401" i="28"/>
  <c r="I401" i="28"/>
  <c r="I515" i="28"/>
  <c r="N515" i="28"/>
  <c r="M465" i="25"/>
  <c r="I181" i="28"/>
  <c r="N181" i="28"/>
  <c r="E70" i="31"/>
  <c r="L326" i="25"/>
  <c r="L335" i="25" s="1"/>
  <c r="L346" i="25" s="1"/>
  <c r="Q335" i="25" l="1"/>
  <c r="K83" i="31"/>
  <c r="K70" i="31"/>
  <c r="W465" i="25"/>
  <c r="J811" i="25"/>
  <c r="H811" i="25" s="1"/>
  <c r="W811" i="25" s="1"/>
  <c r="M335" i="25"/>
  <c r="N346" i="25"/>
  <c r="J465" i="25"/>
  <c r="X71" i="25"/>
  <c r="W71" i="25"/>
  <c r="L379" i="28"/>
  <c r="M379" i="28" s="1"/>
  <c r="H379" i="28"/>
  <c r="W326" i="25"/>
  <c r="J326" i="25"/>
  <c r="K335" i="25"/>
  <c r="F88" i="24"/>
  <c r="D87" i="24"/>
  <c r="F89" i="24"/>
  <c r="P335" i="25"/>
  <c r="Q346" i="25"/>
  <c r="I379" i="28" l="1"/>
  <c r="N379" i="28"/>
  <c r="D88" i="24"/>
  <c r="D89" i="24"/>
  <c r="P346" i="25"/>
  <c r="H390" i="28"/>
  <c r="L390" i="28"/>
  <c r="M390" i="28" s="1"/>
  <c r="W335" i="25"/>
  <c r="J335" i="25"/>
  <c r="K346" i="25"/>
  <c r="M346" i="25"/>
  <c r="L251" i="28"/>
  <c r="M251" i="28" s="1"/>
  <c r="H251" i="28"/>
  <c r="I390" i="28" l="1"/>
  <c r="N390" i="28"/>
  <c r="L260" i="28"/>
  <c r="M260" i="28" s="1"/>
  <c r="H260" i="28"/>
  <c r="I251" i="28"/>
  <c r="N251" i="28"/>
  <c r="J346" i="25"/>
  <c r="W346" i="25"/>
  <c r="I260" i="28" l="1"/>
  <c r="N260" i="28"/>
  <c r="H271" i="28"/>
  <c r="L271" i="28"/>
  <c r="M271" i="28" s="1"/>
  <c r="I271" i="28" l="1"/>
  <c r="N271" i="28"/>
  <c r="U676" i="25" l="1"/>
  <c r="T676" i="25"/>
  <c r="T676" i="27" l="1"/>
  <c r="T733" i="27" s="1"/>
  <c r="T686" i="25"/>
  <c r="H20" i="30"/>
  <c r="T733" i="25"/>
  <c r="H77" i="30" s="1"/>
  <c r="P102" i="24"/>
  <c r="T676" i="26"/>
  <c r="T733" i="26" s="1"/>
  <c r="U687" i="25"/>
  <c r="Q102" i="24"/>
  <c r="U733" i="25"/>
  <c r="I77" i="30" s="1"/>
  <c r="I20" i="30"/>
  <c r="U676" i="26"/>
  <c r="U733" i="26" s="1"/>
  <c r="U676" i="27"/>
  <c r="U733" i="27" s="1"/>
  <c r="Q19" i="24" l="1"/>
  <c r="Q80" i="24"/>
  <c r="Q44" i="24"/>
  <c r="Q55" i="24"/>
  <c r="Q39" i="24"/>
  <c r="Q75" i="24"/>
  <c r="Q29" i="24"/>
  <c r="Q24" i="24"/>
  <c r="Q34" i="24"/>
  <c r="Q49" i="24"/>
  <c r="Q90" i="24"/>
  <c r="P75" i="24"/>
  <c r="P19" i="24"/>
  <c r="P55" i="24"/>
  <c r="P39" i="24"/>
  <c r="P80" i="24"/>
  <c r="P44" i="24"/>
  <c r="P29" i="24"/>
  <c r="P24" i="24"/>
  <c r="P34" i="24"/>
  <c r="P49" i="24"/>
  <c r="P90" i="24"/>
  <c r="H30" i="30"/>
  <c r="T686" i="26"/>
  <c r="T686" i="27"/>
  <c r="U687" i="26"/>
  <c r="I31" i="30"/>
  <c r="U687" i="27"/>
  <c r="Q676" i="25" l="1"/>
  <c r="S676" i="25"/>
  <c r="S677" i="25" l="1"/>
  <c r="S686" i="25"/>
  <c r="S733" i="25"/>
  <c r="S676" i="27"/>
  <c r="S733" i="27" s="1"/>
  <c r="S676" i="26"/>
  <c r="S733" i="26" s="1"/>
  <c r="O102" i="24"/>
  <c r="Q686" i="25"/>
  <c r="Q733" i="25"/>
  <c r="Q676" i="27"/>
  <c r="M102" i="24"/>
  <c r="Q677" i="25"/>
  <c r="Q676" i="26"/>
  <c r="Q686" i="27" l="1"/>
  <c r="Q686" i="26"/>
  <c r="M75" i="24"/>
  <c r="M80" i="24"/>
  <c r="M19" i="24"/>
  <c r="M39" i="24"/>
  <c r="M55" i="24"/>
  <c r="M44" i="24"/>
  <c r="M29" i="24"/>
  <c r="M24" i="24"/>
  <c r="M34" i="24"/>
  <c r="M49" i="24"/>
  <c r="M90" i="24"/>
  <c r="S686" i="27"/>
  <c r="S686" i="26"/>
  <c r="O44" i="24"/>
  <c r="O39" i="24"/>
  <c r="O19" i="24"/>
  <c r="O80" i="24"/>
  <c r="O55" i="24"/>
  <c r="O75" i="24"/>
  <c r="O29" i="24"/>
  <c r="O24" i="24"/>
  <c r="O34" i="24"/>
  <c r="O49" i="24"/>
  <c r="O90" i="24"/>
  <c r="Q733" i="26"/>
  <c r="Q677" i="26"/>
  <c r="Q677" i="27"/>
  <c r="Q733" i="27"/>
  <c r="S677" i="27"/>
  <c r="S677" i="26"/>
  <c r="R676" i="25" l="1"/>
  <c r="N102" i="24" l="1"/>
  <c r="R676" i="26"/>
  <c r="R677" i="25"/>
  <c r="R686" i="25"/>
  <c r="R676" i="27"/>
  <c r="R733" i="25"/>
  <c r="P733" i="25" s="1"/>
  <c r="G77" i="30" s="1"/>
  <c r="P676" i="25"/>
  <c r="G20" i="30" l="1"/>
  <c r="L102" i="24"/>
  <c r="R677" i="27"/>
  <c r="P677" i="27" s="1"/>
  <c r="R677" i="26"/>
  <c r="P677" i="26" s="1"/>
  <c r="P677" i="25"/>
  <c r="G21" i="30" s="1"/>
  <c r="R686" i="27"/>
  <c r="P686" i="27" s="1"/>
  <c r="R686" i="26"/>
  <c r="P686" i="26" s="1"/>
  <c r="P686" i="25"/>
  <c r="G30" i="30" s="1"/>
  <c r="R733" i="26"/>
  <c r="P733" i="26" s="1"/>
  <c r="P676" i="26"/>
  <c r="R733" i="27"/>
  <c r="P733" i="27" s="1"/>
  <c r="P676" i="27"/>
  <c r="N75" i="24"/>
  <c r="N39" i="24"/>
  <c r="N55" i="24"/>
  <c r="N80" i="24"/>
  <c r="N19" i="24"/>
  <c r="N44" i="24"/>
  <c r="N29" i="24"/>
  <c r="N34" i="24"/>
  <c r="N24" i="24"/>
  <c r="N49" i="24"/>
  <c r="N90" i="24"/>
  <c r="L44" i="24" l="1"/>
  <c r="L39" i="24"/>
  <c r="L80" i="24"/>
  <c r="L75" i="24"/>
  <c r="L19" i="24"/>
  <c r="L55" i="24"/>
  <c r="L29" i="24"/>
  <c r="L34" i="24"/>
  <c r="L24" i="24"/>
  <c r="L49" i="24"/>
  <c r="L90" i="24"/>
  <c r="K676" i="25" l="1"/>
  <c r="L676" i="25"/>
  <c r="N676" i="25"/>
  <c r="O676" i="25" l="1"/>
  <c r="L677" i="25"/>
  <c r="L733" i="25"/>
  <c r="E77" i="30" s="1"/>
  <c r="L676" i="27"/>
  <c r="L733" i="27" s="1"/>
  <c r="H102" i="24"/>
  <c r="L687" i="25"/>
  <c r="E20" i="30"/>
  <c r="L676" i="26"/>
  <c r="L733" i="26" s="1"/>
  <c r="J102" i="24"/>
  <c r="N686" i="25"/>
  <c r="N676" i="26"/>
  <c r="N677" i="25"/>
  <c r="N733" i="25"/>
  <c r="N676" i="27"/>
  <c r="M676" i="25"/>
  <c r="J676" i="25" s="1"/>
  <c r="G102" i="24"/>
  <c r="K676" i="26"/>
  <c r="K676" i="27"/>
  <c r="K677" i="25"/>
  <c r="K687" i="25"/>
  <c r="K733" i="25"/>
  <c r="D20" i="30"/>
  <c r="F20" i="30" l="1"/>
  <c r="K20" i="30" s="1"/>
  <c r="I102" i="24"/>
  <c r="F102" i="24"/>
  <c r="H676" i="25"/>
  <c r="W676" i="25" s="1"/>
  <c r="D77" i="30"/>
  <c r="N677" i="27"/>
  <c r="N677" i="26"/>
  <c r="L687" i="27"/>
  <c r="E31" i="30"/>
  <c r="L687" i="26"/>
  <c r="H75" i="24"/>
  <c r="H55" i="24"/>
  <c r="H19" i="24"/>
  <c r="H80" i="24"/>
  <c r="H44" i="24"/>
  <c r="H39" i="24"/>
  <c r="H29" i="24"/>
  <c r="H24" i="24"/>
  <c r="H34" i="24"/>
  <c r="H49" i="24"/>
  <c r="H90" i="24"/>
  <c r="K677" i="27"/>
  <c r="D21" i="30"/>
  <c r="K677" i="26"/>
  <c r="E21" i="30"/>
  <c r="L677" i="26"/>
  <c r="L677" i="27"/>
  <c r="D31" i="30"/>
  <c r="K31" i="30" s="1"/>
  <c r="K687" i="27"/>
  <c r="J687" i="25"/>
  <c r="H687" i="25" s="1"/>
  <c r="W687" i="25" s="1"/>
  <c r="K687" i="26"/>
  <c r="K733" i="27"/>
  <c r="K733" i="26"/>
  <c r="J19" i="24"/>
  <c r="J44" i="24"/>
  <c r="J75" i="24"/>
  <c r="J39" i="24"/>
  <c r="J55" i="24"/>
  <c r="J80" i="24"/>
  <c r="J29" i="24"/>
  <c r="J24" i="24"/>
  <c r="J34" i="24"/>
  <c r="J49" i="24"/>
  <c r="J90" i="24"/>
  <c r="O733" i="25"/>
  <c r="M733" i="25" s="1"/>
  <c r="F77" i="30" s="1"/>
  <c r="K102" i="24"/>
  <c r="O676" i="27"/>
  <c r="O733" i="27" s="1"/>
  <c r="O686" i="25"/>
  <c r="O677" i="25"/>
  <c r="O676" i="26"/>
  <c r="O733" i="26" s="1"/>
  <c r="N733" i="27"/>
  <c r="N733" i="26"/>
  <c r="M733" i="26" s="1"/>
  <c r="M676" i="26"/>
  <c r="J676" i="26" s="1"/>
  <c r="H676" i="26" s="1"/>
  <c r="N686" i="26"/>
  <c r="N686" i="27"/>
  <c r="G39" i="24"/>
  <c r="G75" i="24"/>
  <c r="G80" i="24"/>
  <c r="G55" i="24"/>
  <c r="G44" i="24"/>
  <c r="G19" i="24"/>
  <c r="G29" i="24"/>
  <c r="G24" i="24"/>
  <c r="G34" i="24"/>
  <c r="G49" i="24"/>
  <c r="G90" i="24"/>
  <c r="K77" i="30" l="1"/>
  <c r="T748" i="26"/>
  <c r="L748" i="26"/>
  <c r="O748" i="26"/>
  <c r="Q748" i="26"/>
  <c r="U748" i="26"/>
  <c r="R748" i="26"/>
  <c r="S748" i="26"/>
  <c r="M748" i="26"/>
  <c r="P748" i="26"/>
  <c r="V748" i="26"/>
  <c r="K748" i="26"/>
  <c r="N748" i="26"/>
  <c r="J733" i="25"/>
  <c r="H733" i="25" s="1"/>
  <c r="O677" i="27"/>
  <c r="M677" i="27" s="1"/>
  <c r="J677" i="27" s="1"/>
  <c r="H677" i="27" s="1"/>
  <c r="O677" i="26"/>
  <c r="M677" i="26" s="1"/>
  <c r="J677" i="26" s="1"/>
  <c r="H677" i="26" s="1"/>
  <c r="N748" i="25"/>
  <c r="D102" i="24"/>
  <c r="M748" i="25"/>
  <c r="F20" i="31" s="1"/>
  <c r="S748" i="25"/>
  <c r="P748" i="25"/>
  <c r="G20" i="31" s="1"/>
  <c r="O748" i="25"/>
  <c r="U748" i="25"/>
  <c r="K748" i="25"/>
  <c r="T748" i="25"/>
  <c r="L748" i="25"/>
  <c r="Q748" i="25"/>
  <c r="V748" i="25"/>
  <c r="J20" i="31" s="1"/>
  <c r="R748" i="25"/>
  <c r="J733" i="26"/>
  <c r="H733" i="26" s="1"/>
  <c r="M676" i="27"/>
  <c r="J687" i="26"/>
  <c r="H687" i="26" s="1"/>
  <c r="W687" i="26" s="1"/>
  <c r="F19" i="24"/>
  <c r="F44" i="24"/>
  <c r="F39" i="24"/>
  <c r="F55" i="24"/>
  <c r="F80" i="24"/>
  <c r="F75" i="24"/>
  <c r="F29" i="24"/>
  <c r="F34" i="24"/>
  <c r="F24" i="24"/>
  <c r="F49" i="24"/>
  <c r="F90" i="24"/>
  <c r="M733" i="27"/>
  <c r="J733" i="27" s="1"/>
  <c r="H733" i="27" s="1"/>
  <c r="W733" i="27" s="1"/>
  <c r="T759" i="25"/>
  <c r="L759" i="25"/>
  <c r="Q759" i="25"/>
  <c r="Q394" i="25" s="1"/>
  <c r="N759" i="25"/>
  <c r="N394" i="25" s="1"/>
  <c r="O759" i="25"/>
  <c r="O394" i="25" s="1"/>
  <c r="K759" i="25"/>
  <c r="M759" i="25"/>
  <c r="F31" i="31" s="1"/>
  <c r="P759" i="25"/>
  <c r="G31" i="31" s="1"/>
  <c r="U759" i="25"/>
  <c r="V759" i="25"/>
  <c r="S759" i="25"/>
  <c r="S394" i="25" s="1"/>
  <c r="R759" i="25"/>
  <c r="R394" i="25" s="1"/>
  <c r="M677" i="25"/>
  <c r="I75" i="24"/>
  <c r="I19" i="24"/>
  <c r="I44" i="24"/>
  <c r="I39" i="24"/>
  <c r="I80" i="24"/>
  <c r="I55" i="24"/>
  <c r="I29" i="24"/>
  <c r="I34" i="24"/>
  <c r="I24" i="24"/>
  <c r="I49" i="24"/>
  <c r="I90" i="24"/>
  <c r="M686" i="25"/>
  <c r="O686" i="27"/>
  <c r="M686" i="27" s="1"/>
  <c r="O686" i="26"/>
  <c r="M686" i="26" s="1"/>
  <c r="J686" i="26" s="1"/>
  <c r="H686" i="26" s="1"/>
  <c r="W676" i="26"/>
  <c r="K75" i="24"/>
  <c r="K80" i="24"/>
  <c r="K55" i="24"/>
  <c r="K19" i="24"/>
  <c r="K39" i="24"/>
  <c r="K44" i="24"/>
  <c r="K29" i="24"/>
  <c r="K24" i="24"/>
  <c r="K34" i="24"/>
  <c r="K49" i="24"/>
  <c r="K90" i="24"/>
  <c r="J687" i="27"/>
  <c r="H687" i="27" s="1"/>
  <c r="W687" i="27" s="1"/>
  <c r="V394" i="25" l="1"/>
  <c r="J31" i="31"/>
  <c r="W677" i="27"/>
  <c r="M394" i="25"/>
  <c r="L805" i="26"/>
  <c r="L659" i="26" s="1"/>
  <c r="L664" i="26" s="1"/>
  <c r="L40" i="26" s="1"/>
  <c r="S805" i="26"/>
  <c r="S659" i="26" s="1"/>
  <c r="S664" i="26" s="1"/>
  <c r="S40" i="26" s="1"/>
  <c r="U805" i="26"/>
  <c r="U659" i="26" s="1"/>
  <c r="U664" i="26" s="1"/>
  <c r="U40" i="26" s="1"/>
  <c r="M805" i="26"/>
  <c r="P805" i="26"/>
  <c r="R805" i="26"/>
  <c r="R659" i="26" s="1"/>
  <c r="R664" i="26" s="1"/>
  <c r="R40" i="26" s="1"/>
  <c r="T805" i="26"/>
  <c r="T659" i="26" s="1"/>
  <c r="T664" i="26" s="1"/>
  <c r="T40" i="26" s="1"/>
  <c r="K805" i="26"/>
  <c r="V805" i="26"/>
  <c r="V659" i="26" s="1"/>
  <c r="V664" i="26" s="1"/>
  <c r="V40" i="26" s="1"/>
  <c r="O805" i="26"/>
  <c r="O659" i="26" s="1"/>
  <c r="O664" i="26" s="1"/>
  <c r="O40" i="26" s="1"/>
  <c r="N805" i="26"/>
  <c r="N659" i="26" s="1"/>
  <c r="Q805" i="26"/>
  <c r="Q659" i="26" s="1"/>
  <c r="O404" i="25"/>
  <c r="O405" i="25"/>
  <c r="O271" i="25"/>
  <c r="O35" i="25" s="1"/>
  <c r="O402" i="25"/>
  <c r="O403" i="25"/>
  <c r="O519" i="25" s="1"/>
  <c r="R271" i="25"/>
  <c r="R35" i="25" s="1"/>
  <c r="R402" i="25"/>
  <c r="R518" i="25" s="1"/>
  <c r="R405" i="25"/>
  <c r="R404" i="25"/>
  <c r="R403" i="25"/>
  <c r="R519" i="25" s="1"/>
  <c r="S391" i="26"/>
  <c r="S403" i="26"/>
  <c r="S405" i="26"/>
  <c r="S402" i="26"/>
  <c r="S404" i="26"/>
  <c r="J759" i="25"/>
  <c r="H759" i="25" s="1"/>
  <c r="W759" i="25" s="1"/>
  <c r="D31" i="31"/>
  <c r="K394" i="25"/>
  <c r="F21" i="30"/>
  <c r="K21" i="30" s="1"/>
  <c r="J677" i="25"/>
  <c r="H677" i="25" s="1"/>
  <c r="V271" i="25"/>
  <c r="V35" i="25" s="1"/>
  <c r="V405" i="25"/>
  <c r="V404" i="25"/>
  <c r="V403" i="25"/>
  <c r="V519" i="25" s="1"/>
  <c r="V402" i="25"/>
  <c r="S271" i="25"/>
  <c r="S35" i="25" s="1"/>
  <c r="S403" i="25"/>
  <c r="S519" i="25" s="1"/>
  <c r="S405" i="25"/>
  <c r="S402" i="25"/>
  <c r="S404" i="25"/>
  <c r="L805" i="25"/>
  <c r="O805" i="25"/>
  <c r="O659" i="25" s="1"/>
  <c r="O664" i="25" s="1"/>
  <c r="O40" i="25" s="1"/>
  <c r="R805" i="25"/>
  <c r="R659" i="25" s="1"/>
  <c r="R664" i="25" s="1"/>
  <c r="R40" i="25" s="1"/>
  <c r="U805" i="25"/>
  <c r="V805" i="25"/>
  <c r="Q805" i="25"/>
  <c r="Q659" i="25" s="1"/>
  <c r="S805" i="25"/>
  <c r="S659" i="25" s="1"/>
  <c r="S664" i="25" s="1"/>
  <c r="S40" i="25" s="1"/>
  <c r="K805" i="25"/>
  <c r="T805" i="25"/>
  <c r="P805" i="25"/>
  <c r="G77" i="31" s="1"/>
  <c r="N805" i="25"/>
  <c r="N659" i="25" s="1"/>
  <c r="M805" i="25"/>
  <c r="F77" i="31" s="1"/>
  <c r="R391" i="26"/>
  <c r="R403" i="26"/>
  <c r="R405" i="26"/>
  <c r="R404" i="26"/>
  <c r="R402" i="26"/>
  <c r="W677" i="26"/>
  <c r="K749" i="26"/>
  <c r="L749" i="26"/>
  <c r="V749" i="26"/>
  <c r="P749" i="26"/>
  <c r="S749" i="26"/>
  <c r="M749" i="26"/>
  <c r="O749" i="26"/>
  <c r="N749" i="26"/>
  <c r="T749" i="26"/>
  <c r="R749" i="26"/>
  <c r="U749" i="26"/>
  <c r="Q749" i="26"/>
  <c r="Q405" i="25"/>
  <c r="Q402" i="25"/>
  <c r="Q271" i="25"/>
  <c r="Q404" i="25"/>
  <c r="Q403" i="25"/>
  <c r="W733" i="25"/>
  <c r="U402" i="26"/>
  <c r="U391" i="26"/>
  <c r="U403" i="26"/>
  <c r="U405" i="26"/>
  <c r="U404" i="26"/>
  <c r="W686" i="26"/>
  <c r="Q758" i="26"/>
  <c r="Q393" i="26" s="1"/>
  <c r="U758" i="26"/>
  <c r="U393" i="26" s="1"/>
  <c r="U70" i="26" s="1"/>
  <c r="U80" i="26" s="1"/>
  <c r="U86" i="26" s="1"/>
  <c r="V758" i="26"/>
  <c r="V393" i="26" s="1"/>
  <c r="V70" i="26" s="1"/>
  <c r="V80" i="26" s="1"/>
  <c r="V86" i="26" s="1"/>
  <c r="L758" i="26"/>
  <c r="L393" i="26" s="1"/>
  <c r="L70" i="26" s="1"/>
  <c r="L80" i="26" s="1"/>
  <c r="L86" i="26" s="1"/>
  <c r="R758" i="26"/>
  <c r="R393" i="26" s="1"/>
  <c r="R70" i="26" s="1"/>
  <c r="R80" i="26" s="1"/>
  <c r="R86" i="26" s="1"/>
  <c r="S758" i="26"/>
  <c r="S393" i="26" s="1"/>
  <c r="S70" i="26" s="1"/>
  <c r="S80" i="26" s="1"/>
  <c r="S86" i="26" s="1"/>
  <c r="M758" i="26"/>
  <c r="N758" i="26"/>
  <c r="N393" i="26" s="1"/>
  <c r="T758" i="26"/>
  <c r="T393" i="26" s="1"/>
  <c r="T70" i="26" s="1"/>
  <c r="T80" i="26" s="1"/>
  <c r="T86" i="26" s="1"/>
  <c r="O758" i="26"/>
  <c r="O393" i="26" s="1"/>
  <c r="O70" i="26" s="1"/>
  <c r="O80" i="26" s="1"/>
  <c r="O86" i="26" s="1"/>
  <c r="K758" i="26"/>
  <c r="P758" i="26"/>
  <c r="P394" i="25"/>
  <c r="L404" i="25"/>
  <c r="L271" i="25"/>
  <c r="L35" i="25" s="1"/>
  <c r="L402" i="25"/>
  <c r="L518" i="25" s="1"/>
  <c r="L403" i="25"/>
  <c r="L519" i="25" s="1"/>
  <c r="E20" i="31"/>
  <c r="L405" i="25"/>
  <c r="D55" i="24"/>
  <c r="D75" i="24"/>
  <c r="D44" i="24"/>
  <c r="D39" i="24"/>
  <c r="D19" i="24"/>
  <c r="D80" i="24"/>
  <c r="D29" i="24"/>
  <c r="D34" i="24"/>
  <c r="D24" i="24"/>
  <c r="D49" i="24"/>
  <c r="D90" i="24"/>
  <c r="N405" i="26"/>
  <c r="N402" i="26"/>
  <c r="N403" i="26"/>
  <c r="N391" i="26"/>
  <c r="N404" i="26"/>
  <c r="Q405" i="26"/>
  <c r="Q403" i="26"/>
  <c r="P403" i="26" s="1"/>
  <c r="Q391" i="26"/>
  <c r="Q402" i="26"/>
  <c r="Q404" i="26"/>
  <c r="Q759" i="26"/>
  <c r="Q394" i="26" s="1"/>
  <c r="V759" i="26"/>
  <c r="V394" i="26" s="1"/>
  <c r="O759" i="26"/>
  <c r="O394" i="26" s="1"/>
  <c r="K759" i="26"/>
  <c r="R759" i="26"/>
  <c r="R394" i="26" s="1"/>
  <c r="U759" i="26"/>
  <c r="U394" i="26" s="1"/>
  <c r="P759" i="26"/>
  <c r="M759" i="26"/>
  <c r="L759" i="26"/>
  <c r="L394" i="26" s="1"/>
  <c r="T759" i="26"/>
  <c r="T394" i="26" s="1"/>
  <c r="N759" i="26"/>
  <c r="N394" i="26" s="1"/>
  <c r="S759" i="26"/>
  <c r="S394" i="26" s="1"/>
  <c r="H20" i="31"/>
  <c r="T403" i="25"/>
  <c r="T519" i="25" s="1"/>
  <c r="T271" i="25"/>
  <c r="T35" i="25" s="1"/>
  <c r="T405" i="25"/>
  <c r="T402" i="25"/>
  <c r="T518" i="25" s="1"/>
  <c r="T404" i="25"/>
  <c r="N404" i="25"/>
  <c r="M404" i="25" s="1"/>
  <c r="N402" i="25"/>
  <c r="M402" i="25" s="1"/>
  <c r="N405" i="25"/>
  <c r="N403" i="25"/>
  <c r="N271" i="25"/>
  <c r="K402" i="26"/>
  <c r="K405" i="26"/>
  <c r="J748" i="26"/>
  <c r="H748" i="26" s="1"/>
  <c r="W748" i="26" s="1"/>
  <c r="K391" i="26"/>
  <c r="K403" i="26"/>
  <c r="K404" i="26"/>
  <c r="O402" i="26"/>
  <c r="O405" i="26"/>
  <c r="O391" i="26"/>
  <c r="O404" i="26"/>
  <c r="O403" i="26"/>
  <c r="W686" i="27"/>
  <c r="J686" i="27"/>
  <c r="H686" i="27" s="1"/>
  <c r="E31" i="31"/>
  <c r="L394" i="25"/>
  <c r="J686" i="25"/>
  <c r="H686" i="25" s="1"/>
  <c r="W686" i="25" s="1"/>
  <c r="F30" i="30"/>
  <c r="K30" i="30" s="1"/>
  <c r="I31" i="31"/>
  <c r="U394" i="25"/>
  <c r="H31" i="31"/>
  <c r="T394" i="25"/>
  <c r="J676" i="27"/>
  <c r="H676" i="27" s="1"/>
  <c r="W676" i="27" s="1"/>
  <c r="K403" i="25"/>
  <c r="K402" i="25"/>
  <c r="K405" i="25"/>
  <c r="K404" i="25"/>
  <c r="J748" i="25"/>
  <c r="H748" i="25" s="1"/>
  <c r="W748" i="25" s="1"/>
  <c r="D20" i="31"/>
  <c r="K271" i="25"/>
  <c r="V405" i="26"/>
  <c r="V402" i="26"/>
  <c r="V391" i="26"/>
  <c r="V403" i="26"/>
  <c r="V404" i="26"/>
  <c r="L391" i="26"/>
  <c r="L405" i="26"/>
  <c r="L404" i="26"/>
  <c r="L403" i="26"/>
  <c r="L402" i="26"/>
  <c r="U759" i="27"/>
  <c r="U394" i="27" s="1"/>
  <c r="U511" i="27" s="1"/>
  <c r="K759" i="27"/>
  <c r="O759" i="27"/>
  <c r="O394" i="27" s="1"/>
  <c r="O511" i="27" s="1"/>
  <c r="R759" i="27"/>
  <c r="R394" i="27" s="1"/>
  <c r="R511" i="27" s="1"/>
  <c r="L759" i="27"/>
  <c r="L394" i="27" s="1"/>
  <c r="L511" i="27" s="1"/>
  <c r="T759" i="27"/>
  <c r="T394" i="27" s="1"/>
  <c r="T511" i="27" s="1"/>
  <c r="N759" i="27"/>
  <c r="N394" i="27" s="1"/>
  <c r="P759" i="27"/>
  <c r="Q759" i="27"/>
  <c r="Q394" i="27" s="1"/>
  <c r="S759" i="27"/>
  <c r="S394" i="27" s="1"/>
  <c r="S511" i="27" s="1"/>
  <c r="M759" i="27"/>
  <c r="V759" i="27"/>
  <c r="V394" i="27" s="1"/>
  <c r="V511" i="27" s="1"/>
  <c r="O805" i="27"/>
  <c r="S805" i="27"/>
  <c r="U805" i="27"/>
  <c r="K805" i="27"/>
  <c r="Q805" i="27"/>
  <c r="M805" i="27"/>
  <c r="T805" i="27"/>
  <c r="P805" i="27"/>
  <c r="N805" i="27"/>
  <c r="V805" i="27"/>
  <c r="R805" i="27"/>
  <c r="L805" i="27"/>
  <c r="W733" i="26"/>
  <c r="I20" i="31"/>
  <c r="U402" i="25"/>
  <c r="U405" i="25"/>
  <c r="U404" i="25"/>
  <c r="U271" i="25"/>
  <c r="U35" i="25" s="1"/>
  <c r="U403" i="25"/>
  <c r="U519" i="25" s="1"/>
  <c r="O749" i="27"/>
  <c r="K749" i="27"/>
  <c r="V749" i="27"/>
  <c r="S749" i="27"/>
  <c r="L749" i="27"/>
  <c r="T749" i="27"/>
  <c r="U749" i="27"/>
  <c r="R749" i="27"/>
  <c r="Q749" i="27"/>
  <c r="M749" i="27"/>
  <c r="P749" i="27"/>
  <c r="N749" i="27"/>
  <c r="T405" i="26"/>
  <c r="T402" i="26"/>
  <c r="T404" i="26"/>
  <c r="T403" i="26"/>
  <c r="T391" i="26"/>
  <c r="P404" i="26" l="1"/>
  <c r="V659" i="25"/>
  <c r="V664" i="25" s="1"/>
  <c r="V40" i="25" s="1"/>
  <c r="J77" i="31"/>
  <c r="K20" i="31"/>
  <c r="K31" i="31"/>
  <c r="P405" i="26"/>
  <c r="U406" i="26"/>
  <c r="T398" i="26"/>
  <c r="P402" i="25"/>
  <c r="J402" i="25" s="1"/>
  <c r="P394" i="26"/>
  <c r="V398" i="26"/>
  <c r="O398" i="26"/>
  <c r="P404" i="25"/>
  <c r="W404" i="25" s="1"/>
  <c r="L406" i="26"/>
  <c r="R406" i="26"/>
  <c r="M394" i="26"/>
  <c r="M405" i="25"/>
  <c r="P405" i="25"/>
  <c r="P394" i="27"/>
  <c r="Q511" i="27"/>
  <c r="L398" i="26"/>
  <c r="P758" i="27"/>
  <c r="S758" i="27"/>
  <c r="S393" i="27" s="1"/>
  <c r="Q758" i="27"/>
  <c r="Q393" i="27" s="1"/>
  <c r="R758" i="27"/>
  <c r="R393" i="27" s="1"/>
  <c r="M758" i="27"/>
  <c r="U758" i="27"/>
  <c r="U393" i="27" s="1"/>
  <c r="V758" i="27"/>
  <c r="V393" i="27" s="1"/>
  <c r="O758" i="27"/>
  <c r="O393" i="27" s="1"/>
  <c r="L758" i="27"/>
  <c r="L393" i="27" s="1"/>
  <c r="T758" i="27"/>
  <c r="T393" i="27" s="1"/>
  <c r="K758" i="27"/>
  <c r="N758" i="27"/>
  <c r="N393" i="27" s="1"/>
  <c r="K394" i="26"/>
  <c r="J394" i="26" s="1"/>
  <c r="J759" i="26"/>
  <c r="H759" i="26" s="1"/>
  <c r="W759" i="26" s="1"/>
  <c r="U398" i="26"/>
  <c r="P659" i="25"/>
  <c r="Q664" i="25"/>
  <c r="W677" i="25"/>
  <c r="Q749" i="25"/>
  <c r="P749" i="25"/>
  <c r="G21" i="31" s="1"/>
  <c r="V749" i="25"/>
  <c r="J21" i="31" s="1"/>
  <c r="M749" i="25"/>
  <c r="F21" i="31" s="1"/>
  <c r="U749" i="25"/>
  <c r="T749" i="25"/>
  <c r="N749" i="25"/>
  <c r="K749" i="25"/>
  <c r="O749" i="25"/>
  <c r="L749" i="25"/>
  <c r="S749" i="25"/>
  <c r="R749" i="25"/>
  <c r="J805" i="26"/>
  <c r="H805" i="26" s="1"/>
  <c r="W805" i="26" s="1"/>
  <c r="K659" i="26"/>
  <c r="T395" i="27"/>
  <c r="T512" i="27" s="1"/>
  <c r="T397" i="27"/>
  <c r="T396" i="27"/>
  <c r="T391" i="27"/>
  <c r="T509" i="27" s="1"/>
  <c r="T659" i="27"/>
  <c r="T660" i="27"/>
  <c r="T423" i="27"/>
  <c r="M404" i="26"/>
  <c r="J404" i="26" s="1"/>
  <c r="J758" i="26"/>
  <c r="H758" i="26" s="1"/>
  <c r="W758" i="26" s="1"/>
  <c r="K393" i="26"/>
  <c r="R398" i="26"/>
  <c r="V78" i="25"/>
  <c r="V84" i="25" s="1"/>
  <c r="V43" i="25"/>
  <c r="S522" i="25"/>
  <c r="S523" i="25" s="1"/>
  <c r="S732" i="25"/>
  <c r="S398" i="26"/>
  <c r="T78" i="26"/>
  <c r="T84" i="26" s="1"/>
  <c r="T43" i="26"/>
  <c r="M391" i="26"/>
  <c r="I77" i="31"/>
  <c r="U659" i="25"/>
  <c r="U664" i="25" s="1"/>
  <c r="U40" i="25" s="1"/>
  <c r="J394" i="25"/>
  <c r="W394" i="25"/>
  <c r="R78" i="26"/>
  <c r="R84" i="26" s="1"/>
  <c r="R43" i="26"/>
  <c r="T732" i="25"/>
  <c r="H76" i="30" s="1"/>
  <c r="T522" i="25"/>
  <c r="T523" i="25" s="1"/>
  <c r="M403" i="26"/>
  <c r="J403" i="26" s="1"/>
  <c r="Q70" i="26"/>
  <c r="P393" i="26"/>
  <c r="P403" i="25"/>
  <c r="Q519" i="25"/>
  <c r="J749" i="26"/>
  <c r="H749" i="26" s="1"/>
  <c r="W749" i="26" s="1"/>
  <c r="M659" i="25"/>
  <c r="N664" i="25"/>
  <c r="R78" i="25"/>
  <c r="R84" i="25" s="1"/>
  <c r="R43" i="25"/>
  <c r="K394" i="27"/>
  <c r="J759" i="27"/>
  <c r="H759" i="27" s="1"/>
  <c r="W759" i="27" s="1"/>
  <c r="L423" i="27"/>
  <c r="L397" i="27"/>
  <c r="L395" i="27"/>
  <c r="L512" i="27" s="1"/>
  <c r="L391" i="27"/>
  <c r="L509" i="27" s="1"/>
  <c r="L660" i="27"/>
  <c r="L659" i="27"/>
  <c r="L396" i="27"/>
  <c r="K395" i="27"/>
  <c r="K397" i="27"/>
  <c r="K396" i="27"/>
  <c r="K391" i="27"/>
  <c r="K659" i="27"/>
  <c r="K660" i="27"/>
  <c r="J805" i="27"/>
  <c r="H805" i="27" s="1"/>
  <c r="W805" i="27" s="1"/>
  <c r="K423" i="27"/>
  <c r="V406" i="26"/>
  <c r="K519" i="25"/>
  <c r="K406" i="26"/>
  <c r="N406" i="26"/>
  <c r="M402" i="26"/>
  <c r="L522" i="25"/>
  <c r="L523" i="25" s="1"/>
  <c r="L732" i="25"/>
  <c r="E76" i="30" s="1"/>
  <c r="N398" i="26"/>
  <c r="N70" i="26"/>
  <c r="N80" i="26" s="1"/>
  <c r="M393" i="26"/>
  <c r="O78" i="25"/>
  <c r="O84" i="25" s="1"/>
  <c r="O43" i="25"/>
  <c r="V732" i="25"/>
  <c r="J76" i="30" s="1"/>
  <c r="V522" i="25"/>
  <c r="V523" i="25" s="1"/>
  <c r="P659" i="26"/>
  <c r="Q664" i="26"/>
  <c r="U732" i="25"/>
  <c r="I76" i="30" s="1"/>
  <c r="U522" i="25"/>
  <c r="U523" i="25" s="1"/>
  <c r="R660" i="27"/>
  <c r="R423" i="27"/>
  <c r="R395" i="27"/>
  <c r="R512" i="27" s="1"/>
  <c r="P512" i="27" s="1"/>
  <c r="R396" i="27"/>
  <c r="R391" i="27"/>
  <c r="R509" i="27" s="1"/>
  <c r="R397" i="27"/>
  <c r="R659" i="27"/>
  <c r="U659" i="27"/>
  <c r="U660" i="27"/>
  <c r="U423" i="27"/>
  <c r="U397" i="27"/>
  <c r="U395" i="27"/>
  <c r="U512" i="27" s="1"/>
  <c r="U396" i="27"/>
  <c r="U391" i="27"/>
  <c r="U509" i="27" s="1"/>
  <c r="M394" i="27"/>
  <c r="N511" i="27"/>
  <c r="L758" i="25"/>
  <c r="N758" i="25"/>
  <c r="N393" i="25" s="1"/>
  <c r="K758" i="25"/>
  <c r="V758" i="25"/>
  <c r="Q758" i="25"/>
  <c r="Q393" i="25" s="1"/>
  <c r="P758" i="25"/>
  <c r="G30" i="31" s="1"/>
  <c r="S758" i="25"/>
  <c r="S393" i="25" s="1"/>
  <c r="S70" i="25" s="1"/>
  <c r="R758" i="25"/>
  <c r="R393" i="25" s="1"/>
  <c r="R70" i="25" s="1"/>
  <c r="O758" i="25"/>
  <c r="O393" i="25" s="1"/>
  <c r="O70" i="25" s="1"/>
  <c r="T758" i="25"/>
  <c r="M758" i="25"/>
  <c r="F30" i="31" s="1"/>
  <c r="U758" i="25"/>
  <c r="M271" i="25"/>
  <c r="M35" i="25" s="1"/>
  <c r="N35" i="25"/>
  <c r="Q406" i="26"/>
  <c r="P402" i="26"/>
  <c r="M405" i="26"/>
  <c r="J405" i="26" s="1"/>
  <c r="P271" i="25"/>
  <c r="P35" i="25" s="1"/>
  <c r="Q35" i="25"/>
  <c r="H77" i="31"/>
  <c r="T659" i="25"/>
  <c r="T664" i="25" s="1"/>
  <c r="T40" i="25" s="1"/>
  <c r="E77" i="31"/>
  <c r="L659" i="25"/>
  <c r="L664" i="25" s="1"/>
  <c r="L40" i="25" s="1"/>
  <c r="P518" i="25"/>
  <c r="J518" i="25" s="1"/>
  <c r="R732" i="25"/>
  <c r="R522" i="25"/>
  <c r="R523" i="25" s="1"/>
  <c r="M659" i="26"/>
  <c r="N664" i="26"/>
  <c r="U78" i="26"/>
  <c r="U84" i="26" s="1"/>
  <c r="U43" i="26"/>
  <c r="Q397" i="27"/>
  <c r="Q423" i="27"/>
  <c r="Q660" i="27"/>
  <c r="Q395" i="27"/>
  <c r="Q396" i="27"/>
  <c r="Q391" i="27"/>
  <c r="Q659" i="27"/>
  <c r="V397" i="27"/>
  <c r="V660" i="27"/>
  <c r="V395" i="27"/>
  <c r="V396" i="27"/>
  <c r="V391" i="27"/>
  <c r="V509" i="27" s="1"/>
  <c r="V659" i="27"/>
  <c r="V423" i="27"/>
  <c r="S395" i="27"/>
  <c r="S423" i="27"/>
  <c r="S660" i="27"/>
  <c r="S659" i="27"/>
  <c r="S397" i="27"/>
  <c r="S396" i="27"/>
  <c r="S391" i="27"/>
  <c r="S509" i="27" s="1"/>
  <c r="K35" i="25"/>
  <c r="T748" i="27"/>
  <c r="L748" i="27"/>
  <c r="Q748" i="27"/>
  <c r="O748" i="27"/>
  <c r="U748" i="27"/>
  <c r="R748" i="27"/>
  <c r="P748" i="27"/>
  <c r="K748" i="27"/>
  <c r="V748" i="27"/>
  <c r="S748" i="27"/>
  <c r="N748" i="27"/>
  <c r="M748" i="27"/>
  <c r="O406" i="26"/>
  <c r="M403" i="25"/>
  <c r="N519" i="25"/>
  <c r="P391" i="26"/>
  <c r="J391" i="26" s="1"/>
  <c r="Q398" i="26"/>
  <c r="W402" i="25"/>
  <c r="D77" i="31"/>
  <c r="J805" i="25"/>
  <c r="H805" i="25" s="1"/>
  <c r="W805" i="25" s="1"/>
  <c r="K659" i="25"/>
  <c r="S406" i="26"/>
  <c r="O78" i="26"/>
  <c r="O84" i="26" s="1"/>
  <c r="O43" i="26"/>
  <c r="S78" i="26"/>
  <c r="S84" i="26" s="1"/>
  <c r="S43" i="26"/>
  <c r="J749" i="27"/>
  <c r="H749" i="27" s="1"/>
  <c r="W749" i="27" s="1"/>
  <c r="T406" i="26"/>
  <c r="N423" i="27"/>
  <c r="N660" i="27"/>
  <c r="N659" i="27"/>
  <c r="N397" i="27"/>
  <c r="N395" i="27"/>
  <c r="N396" i="27"/>
  <c r="N391" i="27"/>
  <c r="O396" i="27"/>
  <c r="O391" i="27"/>
  <c r="O509" i="27" s="1"/>
  <c r="O395" i="27"/>
  <c r="O512" i="27" s="1"/>
  <c r="M512" i="27" s="1"/>
  <c r="O397" i="27"/>
  <c r="O659" i="27"/>
  <c r="O423" i="27"/>
  <c r="O660" i="27"/>
  <c r="J405" i="25"/>
  <c r="S43" i="25"/>
  <c r="S78" i="25"/>
  <c r="S84" i="25" s="1"/>
  <c r="O522" i="25"/>
  <c r="O523" i="25" s="1"/>
  <c r="O732" i="25"/>
  <c r="V78" i="26"/>
  <c r="V84" i="26" s="1"/>
  <c r="V43" i="26"/>
  <c r="L78" i="26"/>
  <c r="L84" i="26" s="1"/>
  <c r="L43" i="26"/>
  <c r="V393" i="25" l="1"/>
  <c r="V70" i="25" s="1"/>
  <c r="J30" i="31"/>
  <c r="K77" i="31"/>
  <c r="O664" i="27"/>
  <c r="O40" i="27" s="1"/>
  <c r="J404" i="25"/>
  <c r="J512" i="27"/>
  <c r="W405" i="25"/>
  <c r="M660" i="27"/>
  <c r="T664" i="27"/>
  <c r="T40" i="27" s="1"/>
  <c r="T78" i="27" s="1"/>
  <c r="T84" i="27" s="1"/>
  <c r="W403" i="25"/>
  <c r="W404" i="26"/>
  <c r="V664" i="27"/>
  <c r="V40" i="27" s="1"/>
  <c r="V78" i="27" s="1"/>
  <c r="V84" i="27" s="1"/>
  <c r="J659" i="26"/>
  <c r="M423" i="27"/>
  <c r="W402" i="26"/>
  <c r="P397" i="27"/>
  <c r="J394" i="27"/>
  <c r="R664" i="27"/>
  <c r="R40" i="27" s="1"/>
  <c r="R78" i="27" s="1"/>
  <c r="R84" i="27" s="1"/>
  <c r="W391" i="26"/>
  <c r="W394" i="26"/>
  <c r="J271" i="25"/>
  <c r="L196" i="28" s="1"/>
  <c r="M196" i="28" s="1"/>
  <c r="W271" i="25"/>
  <c r="O78" i="27"/>
  <c r="O84" i="27" s="1"/>
  <c r="O43" i="27"/>
  <c r="M397" i="27"/>
  <c r="K402" i="27"/>
  <c r="J748" i="27"/>
  <c r="H748" i="27" s="1"/>
  <c r="W748" i="27" s="1"/>
  <c r="K403" i="27"/>
  <c r="K405" i="27"/>
  <c r="K404" i="27"/>
  <c r="L78" i="25"/>
  <c r="L84" i="25" s="1"/>
  <c r="L43" i="25"/>
  <c r="P406" i="26"/>
  <c r="O82" i="24"/>
  <c r="S80" i="25"/>
  <c r="S86" i="25" s="1"/>
  <c r="M70" i="26"/>
  <c r="J393" i="26"/>
  <c r="L513" i="27"/>
  <c r="L731" i="27" s="1"/>
  <c r="L510" i="27"/>
  <c r="W405" i="26"/>
  <c r="K396" i="25"/>
  <c r="K391" i="25"/>
  <c r="J749" i="25"/>
  <c r="H749" i="25" s="1"/>
  <c r="W749" i="25" s="1"/>
  <c r="K395" i="25"/>
  <c r="D21" i="31"/>
  <c r="K397" i="25"/>
  <c r="J758" i="27"/>
  <c r="H758" i="27" s="1"/>
  <c r="W758" i="27" s="1"/>
  <c r="K393" i="27"/>
  <c r="P393" i="27"/>
  <c r="M659" i="27"/>
  <c r="N664" i="27"/>
  <c r="N732" i="25"/>
  <c r="M732" i="25" s="1"/>
  <c r="F76" i="30" s="1"/>
  <c r="N522" i="25"/>
  <c r="M519" i="25"/>
  <c r="H196" i="28"/>
  <c r="P664" i="26"/>
  <c r="Q40" i="26"/>
  <c r="N86" i="26"/>
  <c r="M86" i="26" s="1"/>
  <c r="M80" i="26"/>
  <c r="L664" i="27"/>
  <c r="L40" i="27" s="1"/>
  <c r="Q522" i="25"/>
  <c r="P519" i="25"/>
  <c r="Q732" i="25"/>
  <c r="P732" i="25" s="1"/>
  <c r="G76" i="30" s="1"/>
  <c r="N395" i="25"/>
  <c r="N397" i="25"/>
  <c r="N396" i="25"/>
  <c r="N391" i="25"/>
  <c r="Q40" i="25"/>
  <c r="P664" i="25"/>
  <c r="R403" i="27"/>
  <c r="R405" i="27"/>
  <c r="R402" i="27"/>
  <c r="R404" i="27"/>
  <c r="J35" i="25"/>
  <c r="H35" i="25" s="1"/>
  <c r="X35" i="25" s="1"/>
  <c r="P659" i="27"/>
  <c r="Q664" i="27"/>
  <c r="T78" i="25"/>
  <c r="T84" i="25" s="1"/>
  <c r="T43" i="25"/>
  <c r="Q70" i="25"/>
  <c r="P393" i="25"/>
  <c r="U513" i="27"/>
  <c r="U731" i="27" s="1"/>
  <c r="U510" i="27"/>
  <c r="M398" i="26"/>
  <c r="W394" i="27"/>
  <c r="K511" i="27"/>
  <c r="K664" i="26"/>
  <c r="W659" i="26"/>
  <c r="T395" i="25"/>
  <c r="T396" i="25"/>
  <c r="T391" i="25"/>
  <c r="T397" i="25"/>
  <c r="H21" i="31"/>
  <c r="J659" i="25"/>
  <c r="W659" i="25"/>
  <c r="K664" i="25"/>
  <c r="U404" i="27"/>
  <c r="U405" i="27"/>
  <c r="U403" i="27"/>
  <c r="U402" i="27"/>
  <c r="Q509" i="27"/>
  <c r="P391" i="27"/>
  <c r="M664" i="26"/>
  <c r="N40" i="26"/>
  <c r="U393" i="25"/>
  <c r="U70" i="25" s="1"/>
  <c r="I30" i="31"/>
  <c r="V80" i="25"/>
  <c r="V86" i="25" s="1"/>
  <c r="R82" i="24"/>
  <c r="R513" i="27"/>
  <c r="R731" i="27" s="1"/>
  <c r="R510" i="27"/>
  <c r="W518" i="25"/>
  <c r="K664" i="27"/>
  <c r="K70" i="26"/>
  <c r="W393" i="26"/>
  <c r="U397" i="25"/>
  <c r="U391" i="25"/>
  <c r="I21" i="31"/>
  <c r="U395" i="25"/>
  <c r="U396" i="25"/>
  <c r="H437" i="28"/>
  <c r="N437" i="28" s="1"/>
  <c r="L437" i="28"/>
  <c r="O403" i="27"/>
  <c r="O404" i="27"/>
  <c r="O405" i="27"/>
  <c r="O402" i="27"/>
  <c r="P396" i="27"/>
  <c r="Q513" i="27"/>
  <c r="Q731" i="27" s="1"/>
  <c r="Q510" i="27"/>
  <c r="K393" i="25"/>
  <c r="J758" i="25"/>
  <c r="H758" i="25" s="1"/>
  <c r="W758" i="25" s="1"/>
  <c r="D30" i="31"/>
  <c r="J403" i="25"/>
  <c r="K509" i="27"/>
  <c r="W512" i="27"/>
  <c r="P70" i="26"/>
  <c r="Q80" i="26"/>
  <c r="R395" i="25"/>
  <c r="R397" i="25"/>
  <c r="R396" i="25"/>
  <c r="R391" i="25"/>
  <c r="N403" i="27"/>
  <c r="N404" i="27"/>
  <c r="N402" i="27"/>
  <c r="N405" i="27"/>
  <c r="Q402" i="27"/>
  <c r="Q404" i="27"/>
  <c r="Q405" i="27"/>
  <c r="Q403" i="27"/>
  <c r="P395" i="27"/>
  <c r="T393" i="25"/>
  <c r="T70" i="25" s="1"/>
  <c r="H30" i="31"/>
  <c r="M393" i="25"/>
  <c r="M70" i="25" s="1"/>
  <c r="N70" i="25"/>
  <c r="K513" i="27"/>
  <c r="K510" i="27"/>
  <c r="S391" i="25"/>
  <c r="S395" i="25"/>
  <c r="S396" i="25"/>
  <c r="S397" i="25"/>
  <c r="V397" i="25"/>
  <c r="V391" i="25"/>
  <c r="V395" i="25"/>
  <c r="V396" i="25"/>
  <c r="O513" i="27"/>
  <c r="O731" i="27" s="1"/>
  <c r="O510" i="27"/>
  <c r="S513" i="27"/>
  <c r="S731" i="27" s="1"/>
  <c r="S510" i="27"/>
  <c r="S404" i="27"/>
  <c r="S403" i="27"/>
  <c r="S402" i="27"/>
  <c r="S405" i="27"/>
  <c r="L403" i="27"/>
  <c r="L404" i="27"/>
  <c r="L405" i="27"/>
  <c r="L402" i="27"/>
  <c r="V513" i="27"/>
  <c r="V731" i="27" s="1"/>
  <c r="V510" i="27"/>
  <c r="P660" i="27"/>
  <c r="O80" i="25"/>
  <c r="O86" i="25" s="1"/>
  <c r="K82" i="24"/>
  <c r="E30" i="31"/>
  <c r="L393" i="25"/>
  <c r="L70" i="25" s="1"/>
  <c r="J402" i="26"/>
  <c r="K522" i="25"/>
  <c r="K732" i="25"/>
  <c r="N40" i="25"/>
  <c r="M664" i="25"/>
  <c r="L396" i="25"/>
  <c r="L391" i="25"/>
  <c r="L397" i="25"/>
  <c r="L395" i="25"/>
  <c r="E21" i="31"/>
  <c r="W403" i="26"/>
  <c r="P511" i="27"/>
  <c r="M391" i="27"/>
  <c r="N509" i="27"/>
  <c r="N513" i="27"/>
  <c r="N731" i="27" s="1"/>
  <c r="M396" i="27"/>
  <c r="N510" i="27"/>
  <c r="M395" i="27"/>
  <c r="P398" i="26"/>
  <c r="V403" i="27"/>
  <c r="V404" i="27"/>
  <c r="V405" i="27"/>
  <c r="V402" i="27"/>
  <c r="T403" i="27"/>
  <c r="T402" i="27"/>
  <c r="T405" i="27"/>
  <c r="T404" i="27"/>
  <c r="S664" i="27"/>
  <c r="S40" i="27" s="1"/>
  <c r="P423" i="27"/>
  <c r="L443" i="28"/>
  <c r="H443" i="28"/>
  <c r="N443" i="28" s="1"/>
  <c r="R80" i="25"/>
  <c r="R86" i="25" s="1"/>
  <c r="N82" i="24"/>
  <c r="M511" i="27"/>
  <c r="U664" i="27"/>
  <c r="U40" i="27" s="1"/>
  <c r="M406" i="26"/>
  <c r="U78" i="25"/>
  <c r="U84" i="25" s="1"/>
  <c r="U43" i="25"/>
  <c r="K398" i="26"/>
  <c r="T513" i="27"/>
  <c r="T731" i="27" s="1"/>
  <c r="T510" i="27"/>
  <c r="O391" i="25"/>
  <c r="O397" i="25"/>
  <c r="O395" i="25"/>
  <c r="O396" i="25"/>
  <c r="Q397" i="25"/>
  <c r="Q395" i="25"/>
  <c r="Q396" i="25"/>
  <c r="Q391" i="25"/>
  <c r="M393" i="27"/>
  <c r="W423" i="27" l="1"/>
  <c r="J397" i="27"/>
  <c r="K30" i="31"/>
  <c r="K21" i="31"/>
  <c r="W659" i="27"/>
  <c r="W406" i="26"/>
  <c r="T43" i="27"/>
  <c r="M403" i="27"/>
  <c r="W397" i="27"/>
  <c r="W660" i="27"/>
  <c r="W395" i="27"/>
  <c r="J391" i="27"/>
  <c r="L514" i="27"/>
  <c r="R43" i="27"/>
  <c r="O514" i="27"/>
  <c r="T514" i="27"/>
  <c r="V43" i="27"/>
  <c r="J393" i="27"/>
  <c r="W519" i="25"/>
  <c r="M731" i="27"/>
  <c r="J423" i="27"/>
  <c r="J519" i="25"/>
  <c r="H444" i="28" s="1"/>
  <c r="N444" i="28" s="1"/>
  <c r="M405" i="27"/>
  <c r="P731" i="27"/>
  <c r="J660" i="27"/>
  <c r="L595" i="28" s="1"/>
  <c r="M595" i="28" s="1"/>
  <c r="P396" i="25"/>
  <c r="P397" i="25"/>
  <c r="M404" i="27"/>
  <c r="J395" i="27"/>
  <c r="W396" i="27"/>
  <c r="M513" i="27"/>
  <c r="V514" i="27"/>
  <c r="U514" i="27"/>
  <c r="J664" i="26"/>
  <c r="S514" i="27"/>
  <c r="R514" i="27"/>
  <c r="U398" i="25"/>
  <c r="W35" i="25"/>
  <c r="W391" i="27"/>
  <c r="O398" i="25"/>
  <c r="U78" i="27"/>
  <c r="U84" i="27" s="1"/>
  <c r="U43" i="27"/>
  <c r="S78" i="27"/>
  <c r="S84" i="27" s="1"/>
  <c r="S43" i="27"/>
  <c r="M509" i="27"/>
  <c r="N514" i="27"/>
  <c r="L398" i="25"/>
  <c r="S406" i="27"/>
  <c r="P82" i="24"/>
  <c r="T80" i="25"/>
  <c r="T86" i="25" s="1"/>
  <c r="M397" i="25"/>
  <c r="J397" i="25" s="1"/>
  <c r="P522" i="25"/>
  <c r="Q523" i="25"/>
  <c r="P523" i="25" s="1"/>
  <c r="I196" i="28"/>
  <c r="N196" i="28"/>
  <c r="P80" i="26"/>
  <c r="Q86" i="26"/>
  <c r="P86" i="26" s="1"/>
  <c r="O406" i="27"/>
  <c r="Q82" i="24"/>
  <c r="U80" i="25"/>
  <c r="U86" i="25" s="1"/>
  <c r="T398" i="25"/>
  <c r="M395" i="25"/>
  <c r="L78" i="27"/>
  <c r="L84" i="27" s="1"/>
  <c r="L43" i="27"/>
  <c r="W393" i="27"/>
  <c r="V398" i="25"/>
  <c r="M522" i="25"/>
  <c r="N523" i="25"/>
  <c r="M523" i="25" s="1"/>
  <c r="O85" i="24"/>
  <c r="O84" i="24"/>
  <c r="O83" i="24"/>
  <c r="K406" i="27"/>
  <c r="J511" i="27"/>
  <c r="P395" i="25"/>
  <c r="W398" i="26"/>
  <c r="N85" i="24"/>
  <c r="N84" i="24"/>
  <c r="N83" i="24"/>
  <c r="T406" i="27"/>
  <c r="L406" i="27"/>
  <c r="P405" i="27"/>
  <c r="J393" i="25"/>
  <c r="K70" i="25"/>
  <c r="W393" i="25"/>
  <c r="W664" i="25"/>
  <c r="K40" i="25"/>
  <c r="J664" i="25"/>
  <c r="J398" i="26"/>
  <c r="J406" i="26"/>
  <c r="D76" i="30"/>
  <c r="K76" i="30" s="1"/>
  <c r="J732" i="25"/>
  <c r="H732" i="25" s="1"/>
  <c r="M510" i="27"/>
  <c r="H82" i="24"/>
  <c r="L80" i="25"/>
  <c r="L86" i="25" s="1"/>
  <c r="P404" i="27"/>
  <c r="W404" i="27" s="1"/>
  <c r="P510" i="27"/>
  <c r="P40" i="26"/>
  <c r="Q78" i="26"/>
  <c r="Q43" i="26"/>
  <c r="M664" i="27"/>
  <c r="N40" i="27"/>
  <c r="P391" i="25"/>
  <c r="Q398" i="25"/>
  <c r="K523" i="25"/>
  <c r="P403" i="27"/>
  <c r="W403" i="27" s="1"/>
  <c r="K40" i="27"/>
  <c r="N78" i="26"/>
  <c r="M40" i="26"/>
  <c r="N43" i="26"/>
  <c r="Q40" i="27"/>
  <c r="P664" i="27"/>
  <c r="V406" i="27"/>
  <c r="J396" i="27"/>
  <c r="N78" i="25"/>
  <c r="M40" i="25"/>
  <c r="N43" i="25"/>
  <c r="M43" i="25" s="1"/>
  <c r="N80" i="25"/>
  <c r="J82" i="24"/>
  <c r="P402" i="27"/>
  <c r="Q406" i="27"/>
  <c r="R398" i="25"/>
  <c r="P513" i="27"/>
  <c r="J70" i="26"/>
  <c r="H70" i="26" s="1"/>
  <c r="Y70" i="26" s="1"/>
  <c r="K80" i="26"/>
  <c r="K40" i="26"/>
  <c r="W664" i="26"/>
  <c r="P40" i="25"/>
  <c r="Q78" i="25"/>
  <c r="Q43" i="25"/>
  <c r="P43" i="25" s="1"/>
  <c r="J659" i="27"/>
  <c r="H594" i="28" s="1"/>
  <c r="N398" i="25"/>
  <c r="M391" i="25"/>
  <c r="K85" i="24"/>
  <c r="K83" i="24"/>
  <c r="K84" i="24"/>
  <c r="R85" i="24"/>
  <c r="R83" i="24"/>
  <c r="R84" i="24"/>
  <c r="P509" i="27"/>
  <c r="Q514" i="27"/>
  <c r="S398" i="25"/>
  <c r="N406" i="27"/>
  <c r="M402" i="27"/>
  <c r="K514" i="27"/>
  <c r="U406" i="27"/>
  <c r="K731" i="27"/>
  <c r="W511" i="27"/>
  <c r="P70" i="25"/>
  <c r="Q80" i="25"/>
  <c r="M82" i="24"/>
  <c r="R406" i="27"/>
  <c r="M396" i="25"/>
  <c r="K398" i="25"/>
  <c r="J513" i="27" l="1"/>
  <c r="W405" i="27"/>
  <c r="W522" i="25"/>
  <c r="W664" i="27"/>
  <c r="M406" i="27"/>
  <c r="H595" i="28"/>
  <c r="W396" i="25"/>
  <c r="L444" i="28"/>
  <c r="J405" i="27"/>
  <c r="W397" i="25"/>
  <c r="W395" i="25"/>
  <c r="J522" i="25"/>
  <c r="H447" i="28" s="1"/>
  <c r="N447" i="28" s="1"/>
  <c r="W402" i="27"/>
  <c r="W391" i="25"/>
  <c r="W509" i="27"/>
  <c r="J391" i="25"/>
  <c r="L318" i="28" s="1"/>
  <c r="M318" i="28" s="1"/>
  <c r="L594" i="28"/>
  <c r="M594" i="28" s="1"/>
  <c r="J395" i="25"/>
  <c r="H320" i="28" s="1"/>
  <c r="L438" i="28"/>
  <c r="H438" i="28"/>
  <c r="N438" i="28" s="1"/>
  <c r="N84" i="25"/>
  <c r="M84" i="25" s="1"/>
  <c r="M78" i="25"/>
  <c r="L319" i="28"/>
  <c r="M319" i="28" s="1"/>
  <c r="H319" i="28"/>
  <c r="P83" i="24"/>
  <c r="P85" i="24"/>
  <c r="P84" i="24"/>
  <c r="K78" i="27"/>
  <c r="K43" i="27"/>
  <c r="M40" i="27"/>
  <c r="J40" i="27" s="1"/>
  <c r="H40" i="27" s="1"/>
  <c r="Y40" i="27" s="1"/>
  <c r="N78" i="27"/>
  <c r="N43" i="27"/>
  <c r="W513" i="27"/>
  <c r="J80" i="26"/>
  <c r="H80" i="26" s="1"/>
  <c r="Y80" i="26" s="1"/>
  <c r="J731" i="27"/>
  <c r="H731" i="27" s="1"/>
  <c r="W731" i="27" s="1"/>
  <c r="P406" i="27"/>
  <c r="W406" i="27" s="1"/>
  <c r="J664" i="27"/>
  <c r="H605" i="28" s="1"/>
  <c r="J403" i="27"/>
  <c r="P78" i="25"/>
  <c r="Q84" i="25"/>
  <c r="P84" i="25" s="1"/>
  <c r="K78" i="26"/>
  <c r="J40" i="26"/>
  <c r="H40" i="26" s="1"/>
  <c r="Y40" i="26" s="1"/>
  <c r="K43" i="26"/>
  <c r="W523" i="25"/>
  <c r="J523" i="25"/>
  <c r="H85" i="24"/>
  <c r="H83" i="24"/>
  <c r="H84" i="24"/>
  <c r="P80" i="25"/>
  <c r="Q86" i="25"/>
  <c r="P86" i="25" s="1"/>
  <c r="J402" i="27"/>
  <c r="J85" i="24"/>
  <c r="I82" i="24"/>
  <c r="J83" i="24"/>
  <c r="J84" i="24"/>
  <c r="Q78" i="27"/>
  <c r="Q43" i="27"/>
  <c r="P78" i="26"/>
  <c r="Q84" i="26"/>
  <c r="P84" i="26" s="1"/>
  <c r="W510" i="27"/>
  <c r="J510" i="27"/>
  <c r="K78" i="25"/>
  <c r="J40" i="25"/>
  <c r="H40" i="25" s="1"/>
  <c r="X40" i="25" s="1"/>
  <c r="K43" i="25"/>
  <c r="H436" i="28"/>
  <c r="L436" i="28"/>
  <c r="M436" i="28" s="1"/>
  <c r="I595" i="28"/>
  <c r="N595" i="28"/>
  <c r="J396" i="25"/>
  <c r="M398" i="25"/>
  <c r="P43" i="26"/>
  <c r="K86" i="26"/>
  <c r="M43" i="26"/>
  <c r="H322" i="28"/>
  <c r="N322" i="28" s="1"/>
  <c r="L322" i="28"/>
  <c r="J404" i="27"/>
  <c r="L82" i="24"/>
  <c r="M83" i="24"/>
  <c r="M85" i="24"/>
  <c r="M84" i="24"/>
  <c r="L330" i="28"/>
  <c r="H330" i="28"/>
  <c r="N330" i="28" s="1"/>
  <c r="N86" i="25"/>
  <c r="M86" i="25" s="1"/>
  <c r="M80" i="25"/>
  <c r="N594" i="28"/>
  <c r="I594" i="28"/>
  <c r="W70" i="26"/>
  <c r="P398" i="25"/>
  <c r="W732" i="25"/>
  <c r="U804" i="25"/>
  <c r="V804" i="25"/>
  <c r="N804" i="25"/>
  <c r="N401" i="25" s="1"/>
  <c r="R804" i="25"/>
  <c r="R401" i="25" s="1"/>
  <c r="R406" i="25" s="1"/>
  <c r="T804" i="25"/>
  <c r="P804" i="25"/>
  <c r="G76" i="31" s="1"/>
  <c r="S804" i="25"/>
  <c r="S401" i="25" s="1"/>
  <c r="S406" i="25" s="1"/>
  <c r="M804" i="25"/>
  <c r="F76" i="31" s="1"/>
  <c r="K804" i="25"/>
  <c r="L804" i="25"/>
  <c r="Q804" i="25"/>
  <c r="Q401" i="25" s="1"/>
  <c r="O804" i="25"/>
  <c r="O401" i="25" s="1"/>
  <c r="O406" i="25" s="1"/>
  <c r="Q83" i="24"/>
  <c r="Q85" i="24"/>
  <c r="Q84" i="24"/>
  <c r="M514" i="27"/>
  <c r="P514" i="27"/>
  <c r="N84" i="26"/>
  <c r="M84" i="26" s="1"/>
  <c r="M78" i="26"/>
  <c r="J70" i="25"/>
  <c r="G82" i="24"/>
  <c r="K80" i="25"/>
  <c r="J509" i="27"/>
  <c r="L320" i="28" l="1"/>
  <c r="M320" i="28" s="1"/>
  <c r="V401" i="25"/>
  <c r="V406" i="25" s="1"/>
  <c r="J76" i="31"/>
  <c r="L605" i="28"/>
  <c r="M605" i="28" s="1"/>
  <c r="H318" i="28"/>
  <c r="L447" i="28"/>
  <c r="J406" i="27"/>
  <c r="J514" i="27"/>
  <c r="L439" i="28" s="1"/>
  <c r="M439" i="28" s="1"/>
  <c r="W80" i="26"/>
  <c r="W40" i="26"/>
  <c r="J398" i="25"/>
  <c r="W40" i="25"/>
  <c r="N605" i="28"/>
  <c r="I605" i="28"/>
  <c r="Q84" i="27"/>
  <c r="P84" i="27" s="1"/>
  <c r="P78" i="27"/>
  <c r="T401" i="25"/>
  <c r="T406" i="25" s="1"/>
  <c r="T407" i="25" s="1"/>
  <c r="H76" i="31"/>
  <c r="L85" i="24"/>
  <c r="L84" i="24"/>
  <c r="L83" i="24"/>
  <c r="L321" i="28"/>
  <c r="M321" i="28" s="1"/>
  <c r="H321" i="28"/>
  <c r="H328" i="28"/>
  <c r="N328" i="28" s="1"/>
  <c r="L328" i="28"/>
  <c r="H434" i="28"/>
  <c r="N434" i="28" s="1"/>
  <c r="L434" i="28"/>
  <c r="I320" i="28"/>
  <c r="N320" i="28"/>
  <c r="J86" i="26"/>
  <c r="H86" i="26" s="1"/>
  <c r="Y86" i="26" s="1"/>
  <c r="K84" i="25"/>
  <c r="J78" i="25"/>
  <c r="H78" i="25" s="1"/>
  <c r="X78" i="25" s="1"/>
  <c r="J43" i="26"/>
  <c r="H43" i="26" s="1"/>
  <c r="Y43" i="26" s="1"/>
  <c r="P401" i="25"/>
  <c r="Q406" i="25"/>
  <c r="N406" i="25"/>
  <c r="M401" i="25"/>
  <c r="H329" i="28"/>
  <c r="N329" i="28" s="1"/>
  <c r="L329" i="28"/>
  <c r="H435" i="28"/>
  <c r="L435" i="28"/>
  <c r="M435" i="28" s="1"/>
  <c r="M43" i="27"/>
  <c r="L401" i="25"/>
  <c r="L406" i="25" s="1"/>
  <c r="L407" i="25" s="1"/>
  <c r="E76" i="31"/>
  <c r="I85" i="24"/>
  <c r="I83" i="24"/>
  <c r="I84" i="24"/>
  <c r="N84" i="27"/>
  <c r="M84" i="27" s="1"/>
  <c r="M78" i="27"/>
  <c r="K86" i="25"/>
  <c r="J80" i="25"/>
  <c r="H80" i="25" s="1"/>
  <c r="X80" i="25" s="1"/>
  <c r="I76" i="31"/>
  <c r="U401" i="25"/>
  <c r="U406" i="25" s="1"/>
  <c r="U407" i="25" s="1"/>
  <c r="J78" i="26"/>
  <c r="H78" i="26" s="1"/>
  <c r="Y78" i="26" s="1"/>
  <c r="K84" i="26"/>
  <c r="W514" i="27"/>
  <c r="N318" i="28"/>
  <c r="I318" i="28"/>
  <c r="G83" i="24"/>
  <c r="G85" i="24"/>
  <c r="G84" i="24"/>
  <c r="I436" i="28"/>
  <c r="N436" i="28"/>
  <c r="H327" i="28"/>
  <c r="N327" i="28" s="1"/>
  <c r="L327" i="28"/>
  <c r="K401" i="25"/>
  <c r="J804" i="25"/>
  <c r="H804" i="25" s="1"/>
  <c r="W804" i="25" s="1"/>
  <c r="D76" i="31"/>
  <c r="F82" i="24"/>
  <c r="H70" i="25"/>
  <c r="W398" i="25"/>
  <c r="J43" i="25"/>
  <c r="H43" i="25" s="1"/>
  <c r="X43" i="25" s="1"/>
  <c r="P43" i="27"/>
  <c r="S803" i="27"/>
  <c r="S392" i="27" s="1"/>
  <c r="S398" i="27" s="1"/>
  <c r="Q803" i="27"/>
  <c r="Q392" i="27" s="1"/>
  <c r="P803" i="27"/>
  <c r="M803" i="27"/>
  <c r="K803" i="27"/>
  <c r="R803" i="27"/>
  <c r="R392" i="27" s="1"/>
  <c r="R398" i="27" s="1"/>
  <c r="N803" i="27"/>
  <c r="N392" i="27" s="1"/>
  <c r="V803" i="27"/>
  <c r="V392" i="27" s="1"/>
  <c r="V398" i="27" s="1"/>
  <c r="O803" i="27"/>
  <c r="O392" i="27" s="1"/>
  <c r="O398" i="27" s="1"/>
  <c r="L803" i="27"/>
  <c r="L392" i="27" s="1"/>
  <c r="L398" i="27" s="1"/>
  <c r="T803" i="27"/>
  <c r="T392" i="27" s="1"/>
  <c r="T398" i="27" s="1"/>
  <c r="U803" i="27"/>
  <c r="U392" i="27" s="1"/>
  <c r="U398" i="27" s="1"/>
  <c r="W40" i="27"/>
  <c r="I319" i="28"/>
  <c r="N319" i="28"/>
  <c r="K84" i="27"/>
  <c r="K76" i="31" l="1"/>
  <c r="H439" i="28"/>
  <c r="J43" i="27"/>
  <c r="H43" i="27" s="1"/>
  <c r="Y43" i="27" s="1"/>
  <c r="J78" i="27"/>
  <c r="H78" i="27" s="1"/>
  <c r="W78" i="26"/>
  <c r="W43" i="25"/>
  <c r="P406" i="25"/>
  <c r="J84" i="25"/>
  <c r="H84" i="25" s="1"/>
  <c r="X84" i="25" s="1"/>
  <c r="J86" i="25"/>
  <c r="H86" i="25" s="1"/>
  <c r="X86" i="25" s="1"/>
  <c r="X70" i="25"/>
  <c r="W70" i="25"/>
  <c r="W80" i="25"/>
  <c r="N321" i="28"/>
  <c r="I321" i="28"/>
  <c r="P392" i="27"/>
  <c r="Q398" i="27"/>
  <c r="F85" i="24"/>
  <c r="F83" i="24"/>
  <c r="D82" i="24"/>
  <c r="F84" i="24"/>
  <c r="W86" i="26"/>
  <c r="I435" i="28"/>
  <c r="N435" i="28"/>
  <c r="W43" i="27"/>
  <c r="W43" i="26"/>
  <c r="J84" i="27"/>
  <c r="H84" i="27" s="1"/>
  <c r="Y84" i="27" s="1"/>
  <c r="J84" i="26"/>
  <c r="H84" i="26" s="1"/>
  <c r="Y84" i="26" s="1"/>
  <c r="M392" i="27"/>
  <c r="N398" i="27"/>
  <c r="W78" i="25"/>
  <c r="J401" i="25"/>
  <c r="K406" i="25"/>
  <c r="W401" i="25"/>
  <c r="K392" i="27"/>
  <c r="J803" i="27"/>
  <c r="H803" i="27" s="1"/>
  <c r="W803" i="27" s="1"/>
  <c r="I439" i="28"/>
  <c r="N439" i="28"/>
  <c r="M406" i="25"/>
  <c r="Y78" i="27" l="1"/>
  <c r="W78" i="27"/>
  <c r="W84" i="27"/>
  <c r="W86" i="25"/>
  <c r="W84" i="25"/>
  <c r="M398" i="27"/>
  <c r="J392" i="27"/>
  <c r="W84" i="26"/>
  <c r="P398" i="27"/>
  <c r="W392" i="27"/>
  <c r="K398" i="27"/>
  <c r="L326" i="28"/>
  <c r="H326" i="28"/>
  <c r="N326" i="28" s="1"/>
  <c r="J406" i="25"/>
  <c r="W406" i="25"/>
  <c r="K407" i="25"/>
  <c r="D85" i="24"/>
  <c r="D83" i="24"/>
  <c r="D84" i="24"/>
  <c r="W398" i="27" l="1"/>
  <c r="L331" i="28"/>
  <c r="H331" i="28"/>
  <c r="N331" i="28" s="1"/>
  <c r="L317" i="28"/>
  <c r="M317" i="28" s="1"/>
  <c r="H317" i="28"/>
  <c r="J398" i="27"/>
  <c r="I317" i="28" l="1"/>
  <c r="N317" i="28"/>
  <c r="H323" i="28"/>
  <c r="L323" i="28"/>
  <c r="M323" i="28" s="1"/>
  <c r="I323" i="28" l="1"/>
  <c r="N323" i="28"/>
  <c r="S682" i="25" l="1"/>
  <c r="S682" i="27" l="1"/>
  <c r="P682" i="27" s="1"/>
  <c r="J682" i="27" s="1"/>
  <c r="H682" i="27" s="1"/>
  <c r="S682" i="26"/>
  <c r="P682" i="26" s="1"/>
  <c r="P682" i="25"/>
  <c r="G26" i="30" l="1"/>
  <c r="K26" i="30" s="1"/>
  <c r="J682" i="25"/>
  <c r="H682" i="25" s="1"/>
  <c r="J682" i="26"/>
  <c r="H682" i="26" s="1"/>
  <c r="W682" i="26" s="1"/>
  <c r="W682" i="27"/>
  <c r="V754" i="27"/>
  <c r="V383" i="27" s="1"/>
  <c r="L754" i="27"/>
  <c r="L383" i="27" s="1"/>
  <c r="O754" i="27"/>
  <c r="O383" i="27" s="1"/>
  <c r="O501" i="27" s="1"/>
  <c r="P754" i="27"/>
  <c r="K754" i="27"/>
  <c r="S754" i="27"/>
  <c r="S383" i="27" s="1"/>
  <c r="T754" i="27"/>
  <c r="T383" i="27" s="1"/>
  <c r="N754" i="27"/>
  <c r="N383" i="27" s="1"/>
  <c r="R754" i="27"/>
  <c r="R383" i="27" s="1"/>
  <c r="R501" i="27" s="1"/>
  <c r="U754" i="27"/>
  <c r="U383" i="27" s="1"/>
  <c r="U501" i="27" s="1"/>
  <c r="U730" i="27" s="1"/>
  <c r="Q754" i="27"/>
  <c r="Q383" i="27" s="1"/>
  <c r="M754" i="27"/>
  <c r="P383" i="27" l="1"/>
  <c r="M383" i="27"/>
  <c r="J754" i="27"/>
  <c r="H754" i="27" s="1"/>
  <c r="W754" i="27" s="1"/>
  <c r="L501" i="27"/>
  <c r="W383" i="27"/>
  <c r="J383" i="27"/>
  <c r="P501" i="27"/>
  <c r="R730" i="27"/>
  <c r="P730" i="27" s="1"/>
  <c r="V754" i="26"/>
  <c r="V383" i="26" s="1"/>
  <c r="V501" i="26" s="1"/>
  <c r="V730" i="26" s="1"/>
  <c r="Q754" i="26"/>
  <c r="Q383" i="26" s="1"/>
  <c r="R754" i="26"/>
  <c r="U754" i="26"/>
  <c r="S754" i="26"/>
  <c r="K754" i="26"/>
  <c r="L754" i="26"/>
  <c r="N754" i="26"/>
  <c r="P754" i="26"/>
  <c r="M754" i="26"/>
  <c r="T754" i="26"/>
  <c r="T383" i="26" s="1"/>
  <c r="T501" i="26" s="1"/>
  <c r="T730" i="26" s="1"/>
  <c r="O754" i="26"/>
  <c r="O383" i="26" s="1"/>
  <c r="S754" i="25"/>
  <c r="S383" i="25" s="1"/>
  <c r="S388" i="25" s="1"/>
  <c r="S407" i="25" s="1"/>
  <c r="P754" i="25"/>
  <c r="G26" i="31" s="1"/>
  <c r="L754" i="25"/>
  <c r="E26" i="31" s="1"/>
  <c r="V754" i="25"/>
  <c r="V383" i="25" s="1"/>
  <c r="V388" i="25" s="1"/>
  <c r="V407" i="25" s="1"/>
  <c r="U754" i="25"/>
  <c r="I26" i="31" s="1"/>
  <c r="T754" i="25"/>
  <c r="H26" i="31" s="1"/>
  <c r="Q754" i="25"/>
  <c r="Q383" i="25" s="1"/>
  <c r="N754" i="25"/>
  <c r="N383" i="25" s="1"/>
  <c r="R754" i="25"/>
  <c r="R383" i="25" s="1"/>
  <c r="R388" i="25" s="1"/>
  <c r="R407" i="25" s="1"/>
  <c r="M754" i="25"/>
  <c r="F26" i="31" s="1"/>
  <c r="K754" i="25"/>
  <c r="O754" i="25"/>
  <c r="O383" i="25" s="1"/>
  <c r="O388" i="25" s="1"/>
  <c r="O407" i="25" s="1"/>
  <c r="W682" i="25"/>
  <c r="M501" i="27"/>
  <c r="O730" i="27"/>
  <c r="M730" i="27" s="1"/>
  <c r="P383" i="26" l="1"/>
  <c r="Q501" i="26"/>
  <c r="P383" i="25"/>
  <c r="Q388" i="25"/>
  <c r="J754" i="25"/>
  <c r="H754" i="25" s="1"/>
  <c r="W754" i="25" s="1"/>
  <c r="D26" i="31"/>
  <c r="K26" i="31" s="1"/>
  <c r="J754" i="26"/>
  <c r="H754" i="26" s="1"/>
  <c r="W754" i="26" s="1"/>
  <c r="M383" i="25"/>
  <c r="N388" i="25"/>
  <c r="O501" i="26"/>
  <c r="M383" i="26"/>
  <c r="L730" i="27"/>
  <c r="J730" i="27" s="1"/>
  <c r="H730" i="27" s="1"/>
  <c r="J501" i="27"/>
  <c r="W501" i="27"/>
  <c r="J383" i="25" l="1"/>
  <c r="W383" i="25"/>
  <c r="W730" i="27"/>
  <c r="R802" i="27"/>
  <c r="Q802" i="27"/>
  <c r="V802" i="27"/>
  <c r="P802" i="27"/>
  <c r="T802" i="27"/>
  <c r="O802" i="27"/>
  <c r="N802" i="27"/>
  <c r="K802" i="27"/>
  <c r="S802" i="27"/>
  <c r="L802" i="27"/>
  <c r="U802" i="27"/>
  <c r="M802" i="27"/>
  <c r="P388" i="25"/>
  <c r="Q407" i="25"/>
  <c r="P407" i="25" s="1"/>
  <c r="J383" i="26"/>
  <c r="W383" i="26"/>
  <c r="O730" i="26"/>
  <c r="M730" i="26" s="1"/>
  <c r="M501" i="26"/>
  <c r="P501" i="26"/>
  <c r="Q730" i="26"/>
  <c r="P730" i="26" s="1"/>
  <c r="M388" i="25"/>
  <c r="N407" i="25"/>
  <c r="M407" i="25" s="1"/>
  <c r="W388" i="25" l="1"/>
  <c r="J388" i="25"/>
  <c r="T387" i="27"/>
  <c r="T505" i="27" s="1"/>
  <c r="T382" i="27"/>
  <c r="U387" i="27"/>
  <c r="U505" i="27" s="1"/>
  <c r="U382" i="27"/>
  <c r="V382" i="27"/>
  <c r="V387" i="27"/>
  <c r="V505" i="27" s="1"/>
  <c r="W501" i="26"/>
  <c r="J501" i="26"/>
  <c r="L382" i="27"/>
  <c r="L387" i="27"/>
  <c r="L505" i="27" s="1"/>
  <c r="Q387" i="27"/>
  <c r="Q382" i="27"/>
  <c r="J730" i="26"/>
  <c r="H730" i="26" s="1"/>
  <c r="W730" i="26" s="1"/>
  <c r="S382" i="27"/>
  <c r="S387" i="27"/>
  <c r="S505" i="27" s="1"/>
  <c r="R387" i="27"/>
  <c r="R505" i="27" s="1"/>
  <c r="R382" i="27"/>
  <c r="K382" i="27"/>
  <c r="J802" i="27"/>
  <c r="H802" i="27" s="1"/>
  <c r="W802" i="27" s="1"/>
  <c r="K387" i="27"/>
  <c r="N382" i="27"/>
  <c r="N387" i="27"/>
  <c r="W407" i="25"/>
  <c r="J407" i="25"/>
  <c r="O382" i="27"/>
  <c r="O387" i="27"/>
  <c r="O505" i="27" s="1"/>
  <c r="L308" i="28"/>
  <c r="M308" i="28" s="1"/>
  <c r="H308" i="28"/>
  <c r="M382" i="27" l="1"/>
  <c r="N500" i="27"/>
  <c r="N388" i="27"/>
  <c r="P382" i="27"/>
  <c r="W382" i="27" s="1"/>
  <c r="Q388" i="27"/>
  <c r="Q500" i="27"/>
  <c r="U500" i="27"/>
  <c r="U506" i="27" s="1"/>
  <c r="U523" i="27" s="1"/>
  <c r="U388" i="27"/>
  <c r="U407" i="27" s="1"/>
  <c r="K388" i="27"/>
  <c r="K500" i="27"/>
  <c r="Q505" i="27"/>
  <c r="P505" i="27" s="1"/>
  <c r="P387" i="27"/>
  <c r="N308" i="28"/>
  <c r="I308" i="28"/>
  <c r="O500" i="27"/>
  <c r="O506" i="27" s="1"/>
  <c r="O523" i="27" s="1"/>
  <c r="O388" i="27"/>
  <c r="O407" i="27" s="1"/>
  <c r="R388" i="27"/>
  <c r="R407" i="27" s="1"/>
  <c r="R500" i="27"/>
  <c r="R506" i="27" s="1"/>
  <c r="R523" i="27" s="1"/>
  <c r="T388" i="27"/>
  <c r="T407" i="27" s="1"/>
  <c r="T500" i="27"/>
  <c r="T506" i="27" s="1"/>
  <c r="T523" i="27" s="1"/>
  <c r="L802" i="26"/>
  <c r="M802" i="26"/>
  <c r="R802" i="26"/>
  <c r="O802" i="26"/>
  <c r="S802" i="26"/>
  <c r="Q802" i="26"/>
  <c r="P802" i="26"/>
  <c r="V802" i="26"/>
  <c r="K802" i="26"/>
  <c r="N802" i="26"/>
  <c r="U802" i="26"/>
  <c r="T802" i="26"/>
  <c r="L388" i="27"/>
  <c r="L407" i="27" s="1"/>
  <c r="L500" i="27"/>
  <c r="L506" i="27" s="1"/>
  <c r="L523" i="27" s="1"/>
  <c r="K505" i="27"/>
  <c r="L426" i="28"/>
  <c r="M426" i="28" s="1"/>
  <c r="H426" i="28"/>
  <c r="V388" i="27"/>
  <c r="V407" i="27" s="1"/>
  <c r="V500" i="27"/>
  <c r="V506" i="27" s="1"/>
  <c r="V523" i="27" s="1"/>
  <c r="N505" i="27"/>
  <c r="M505" i="27" s="1"/>
  <c r="M387" i="27"/>
  <c r="S388" i="27"/>
  <c r="S407" i="27" s="1"/>
  <c r="S500" i="27"/>
  <c r="S506" i="27" s="1"/>
  <c r="S523" i="27" s="1"/>
  <c r="J387" i="27" l="1"/>
  <c r="W387" i="27"/>
  <c r="J382" i="27"/>
  <c r="N426" i="28"/>
  <c r="I426" i="28"/>
  <c r="U387" i="26"/>
  <c r="U505" i="26" s="1"/>
  <c r="U382" i="26"/>
  <c r="R382" i="26"/>
  <c r="R387" i="26"/>
  <c r="R505" i="26" s="1"/>
  <c r="P500" i="27"/>
  <c r="Q506" i="27"/>
  <c r="V382" i="26"/>
  <c r="V387" i="26"/>
  <c r="V505" i="26" s="1"/>
  <c r="P388" i="27"/>
  <c r="Q407" i="27"/>
  <c r="P407" i="27" s="1"/>
  <c r="N387" i="26"/>
  <c r="N382" i="26"/>
  <c r="W505" i="27"/>
  <c r="M388" i="27"/>
  <c r="N407" i="27"/>
  <c r="M407" i="27" s="1"/>
  <c r="J802" i="26"/>
  <c r="H802" i="26" s="1"/>
  <c r="W802" i="26" s="1"/>
  <c r="K382" i="26"/>
  <c r="K387" i="26"/>
  <c r="Q387" i="26"/>
  <c r="Q382" i="26"/>
  <c r="S382" i="26"/>
  <c r="S387" i="26"/>
  <c r="S505" i="26" s="1"/>
  <c r="K506" i="27"/>
  <c r="N506" i="27"/>
  <c r="M500" i="27"/>
  <c r="L382" i="26"/>
  <c r="L387" i="26"/>
  <c r="L505" i="26" s="1"/>
  <c r="J505" i="27"/>
  <c r="T382" i="26"/>
  <c r="T387" i="26"/>
  <c r="T505" i="26" s="1"/>
  <c r="O382" i="26"/>
  <c r="O387" i="26"/>
  <c r="O505" i="26" s="1"/>
  <c r="W388" i="27"/>
  <c r="J388" i="27"/>
  <c r="K407" i="27"/>
  <c r="W500" i="27" l="1"/>
  <c r="J500" i="27"/>
  <c r="W407" i="27"/>
  <c r="J407" i="27"/>
  <c r="S388" i="26"/>
  <c r="S407" i="26" s="1"/>
  <c r="S500" i="26"/>
  <c r="S506" i="26" s="1"/>
  <c r="S523" i="26" s="1"/>
  <c r="P506" i="27"/>
  <c r="Q523" i="27"/>
  <c r="P523" i="27" s="1"/>
  <c r="L500" i="26"/>
  <c r="L506" i="26" s="1"/>
  <c r="L523" i="26" s="1"/>
  <c r="L388" i="26"/>
  <c r="L407" i="26" s="1"/>
  <c r="P387" i="26"/>
  <c r="Q505" i="26"/>
  <c r="P505" i="26" s="1"/>
  <c r="N500" i="26"/>
  <c r="M382" i="26"/>
  <c r="N388" i="26"/>
  <c r="Q500" i="26"/>
  <c r="P382" i="26"/>
  <c r="Q388" i="26"/>
  <c r="K505" i="26"/>
  <c r="M387" i="26"/>
  <c r="W387" i="26" s="1"/>
  <c r="N505" i="26"/>
  <c r="M505" i="26" s="1"/>
  <c r="R500" i="26"/>
  <c r="R506" i="26" s="1"/>
  <c r="R523" i="26" s="1"/>
  <c r="R388" i="26"/>
  <c r="R407" i="26" s="1"/>
  <c r="O388" i="26"/>
  <c r="O407" i="26" s="1"/>
  <c r="O500" i="26"/>
  <c r="O506" i="26" s="1"/>
  <c r="O523" i="26" s="1"/>
  <c r="M506" i="27"/>
  <c r="N523" i="27"/>
  <c r="M523" i="27" s="1"/>
  <c r="K388" i="26"/>
  <c r="K500" i="26"/>
  <c r="U388" i="26"/>
  <c r="U407" i="26" s="1"/>
  <c r="U500" i="26"/>
  <c r="U506" i="26" s="1"/>
  <c r="U523" i="26" s="1"/>
  <c r="T388" i="26"/>
  <c r="T407" i="26" s="1"/>
  <c r="T500" i="26"/>
  <c r="T506" i="26" s="1"/>
  <c r="T523" i="26" s="1"/>
  <c r="K523" i="27"/>
  <c r="V500" i="26"/>
  <c r="V506" i="26" s="1"/>
  <c r="V523" i="26" s="1"/>
  <c r="V388" i="26"/>
  <c r="V407" i="26" s="1"/>
  <c r="W506" i="27" l="1"/>
  <c r="W382" i="26"/>
  <c r="J382" i="26"/>
  <c r="J506" i="27"/>
  <c r="L307" i="28"/>
  <c r="M307" i="28" s="1"/>
  <c r="H307" i="28"/>
  <c r="P388" i="26"/>
  <c r="W388" i="26" s="1"/>
  <c r="Q407" i="26"/>
  <c r="P407" i="26" s="1"/>
  <c r="Q506" i="26"/>
  <c r="P500" i="26"/>
  <c r="K506" i="26"/>
  <c r="M388" i="26"/>
  <c r="N407" i="26"/>
  <c r="M407" i="26" s="1"/>
  <c r="W523" i="27"/>
  <c r="J523" i="27"/>
  <c r="J387" i="26"/>
  <c r="M500" i="26"/>
  <c r="N506" i="26"/>
  <c r="K407" i="26"/>
  <c r="W505" i="26"/>
  <c r="J505" i="26"/>
  <c r="W500" i="26" l="1"/>
  <c r="M506" i="26"/>
  <c r="N523" i="26"/>
  <c r="M523" i="26" s="1"/>
  <c r="J500" i="26"/>
  <c r="P506" i="26"/>
  <c r="J506" i="26" s="1"/>
  <c r="Q523" i="26"/>
  <c r="P523" i="26" s="1"/>
  <c r="H430" i="28"/>
  <c r="N430" i="28" s="1"/>
  <c r="L430" i="28"/>
  <c r="W407" i="26"/>
  <c r="J407" i="26"/>
  <c r="I307" i="28"/>
  <c r="N307" i="28"/>
  <c r="K523" i="26"/>
  <c r="W506" i="26"/>
  <c r="L312" i="28"/>
  <c r="M312" i="28" s="1"/>
  <c r="H312" i="28"/>
  <c r="J388" i="26"/>
  <c r="L425" i="28" l="1"/>
  <c r="M425" i="28" s="1"/>
  <c r="H425" i="28"/>
  <c r="J523" i="26"/>
  <c r="W523" i="26"/>
  <c r="H313" i="28"/>
  <c r="L313" i="28"/>
  <c r="M313" i="28" s="1"/>
  <c r="H332" i="28"/>
  <c r="L332" i="28"/>
  <c r="M332" i="28" s="1"/>
  <c r="H431" i="28"/>
  <c r="L431" i="28"/>
  <c r="M431" i="28" s="1"/>
  <c r="I312" i="28"/>
  <c r="N312" i="28"/>
  <c r="N313" i="28" l="1"/>
  <c r="I313" i="28"/>
  <c r="H448" i="28"/>
  <c r="L448" i="28"/>
  <c r="M448" i="28" s="1"/>
  <c r="N332" i="28"/>
  <c r="I332" i="28"/>
  <c r="I425" i="28"/>
  <c r="N425" i="28"/>
  <c r="N431" i="28"/>
  <c r="I431" i="28"/>
  <c r="N448" i="28" l="1"/>
  <c r="I448" i="28"/>
  <c r="H581" i="25"/>
  <c r="H581" i="1"/>
  <c r="F581" i="1" s="1"/>
  <c r="G581" i="1" s="1"/>
  <c r="F506" i="28"/>
  <c r="H581" i="26"/>
  <c r="H581" i="27"/>
  <c r="J506" i="28" l="1"/>
  <c r="H365" i="25"/>
  <c r="T534" i="25"/>
  <c r="U534" i="25"/>
  <c r="H576" i="25"/>
  <c r="K628" i="25"/>
  <c r="L32" i="1"/>
  <c r="M63" i="1"/>
  <c r="K93" i="1"/>
  <c r="H93" i="25" s="1"/>
  <c r="L93" i="1"/>
  <c r="M93" i="1"/>
  <c r="K94" i="1"/>
  <c r="H94" i="25" s="1"/>
  <c r="L534" i="25" s="1"/>
  <c r="L94" i="1"/>
  <c r="M94" i="1"/>
  <c r="H95" i="1"/>
  <c r="F95" i="1" s="1"/>
  <c r="K95" i="1"/>
  <c r="H95" i="25" s="1"/>
  <c r="L95" i="1"/>
  <c r="M95" i="1"/>
  <c r="K96" i="1"/>
  <c r="L96" i="1"/>
  <c r="K154" i="1"/>
  <c r="H154" i="25" s="1"/>
  <c r="L154" i="1"/>
  <c r="M154" i="1"/>
  <c r="M162" i="1" s="1"/>
  <c r="M22" i="1" s="1"/>
  <c r="K155" i="1"/>
  <c r="H155" i="25" s="1"/>
  <c r="L155" i="1"/>
  <c r="M155" i="1"/>
  <c r="H156" i="1"/>
  <c r="F156" i="1" s="1"/>
  <c r="K156" i="1"/>
  <c r="H156" i="25" s="1"/>
  <c r="L156" i="1"/>
  <c r="M156" i="1"/>
  <c r="K157" i="1"/>
  <c r="L157" i="1"/>
  <c r="M157" i="1"/>
  <c r="K158" i="1"/>
  <c r="H158" i="25" s="1"/>
  <c r="L158" i="1"/>
  <c r="M158" i="1"/>
  <c r="K159" i="1"/>
  <c r="H159" i="25" s="1"/>
  <c r="L159" i="1"/>
  <c r="M159" i="1"/>
  <c r="G160" i="1"/>
  <c r="H160" i="1"/>
  <c r="F160" i="1" s="1"/>
  <c r="K160" i="1"/>
  <c r="H160" i="25" s="1"/>
  <c r="L160" i="1"/>
  <c r="M160" i="1"/>
  <c r="L162" i="1"/>
  <c r="L22" i="1" s="1"/>
  <c r="K168" i="1"/>
  <c r="H168" i="25" s="1"/>
  <c r="L168" i="1"/>
  <c r="M168" i="1"/>
  <c r="H190" i="1"/>
  <c r="K190" i="1"/>
  <c r="H190" i="25" s="1"/>
  <c r="H191" i="25" s="1"/>
  <c r="L190" i="1"/>
  <c r="M190" i="1"/>
  <c r="K191" i="1"/>
  <c r="L191" i="1"/>
  <c r="M191" i="1"/>
  <c r="K236" i="1"/>
  <c r="H236" i="25" s="1"/>
  <c r="L236" i="1"/>
  <c r="M236" i="1"/>
  <c r="M245" i="1" s="1"/>
  <c r="M247" i="1" s="1"/>
  <c r="M26" i="1" s="1"/>
  <c r="K237" i="1"/>
  <c r="H237" i="25" s="1"/>
  <c r="L237" i="1"/>
  <c r="M237" i="1"/>
  <c r="G238" i="1"/>
  <c r="H238" i="1"/>
  <c r="F238" i="1" s="1"/>
  <c r="K238" i="1"/>
  <c r="H238" i="25" s="1"/>
  <c r="L238" i="1"/>
  <c r="M238" i="1"/>
  <c r="K239" i="1"/>
  <c r="L239" i="1"/>
  <c r="M239" i="1"/>
  <c r="K240" i="1"/>
  <c r="H240" i="25" s="1"/>
  <c r="L240" i="1"/>
  <c r="M240" i="1"/>
  <c r="K241" i="1"/>
  <c r="H241" i="25" s="1"/>
  <c r="L241" i="1"/>
  <c r="M241" i="1"/>
  <c r="H242" i="1"/>
  <c r="F242" i="1" s="1"/>
  <c r="K242" i="1"/>
  <c r="H242" i="25" s="1"/>
  <c r="L242" i="1"/>
  <c r="M242" i="1"/>
  <c r="K243" i="1"/>
  <c r="L243" i="1"/>
  <c r="M243" i="1"/>
  <c r="K264" i="1"/>
  <c r="L264" i="1"/>
  <c r="L266" i="1" s="1"/>
  <c r="L30" i="1" s="1"/>
  <c r="M264" i="1"/>
  <c r="K266" i="1"/>
  <c r="K30" i="1" s="1"/>
  <c r="M266" i="1"/>
  <c r="M30" i="1" s="1"/>
  <c r="K270" i="1"/>
  <c r="L270" i="1"/>
  <c r="L31" i="1" s="1"/>
  <c r="M270" i="1"/>
  <c r="M31" i="1" s="1"/>
  <c r="H276" i="1"/>
  <c r="F276" i="1" s="1"/>
  <c r="K276" i="1"/>
  <c r="L276" i="1"/>
  <c r="M276" i="1"/>
  <c r="M32" i="1" s="1"/>
  <c r="K282" i="1"/>
  <c r="L282" i="1"/>
  <c r="L292" i="1" s="1"/>
  <c r="L33" i="1" s="1"/>
  <c r="M282" i="1"/>
  <c r="K283" i="1"/>
  <c r="L283" i="1"/>
  <c r="M283" i="1"/>
  <c r="M292" i="1" s="1"/>
  <c r="M33" i="1" s="1"/>
  <c r="K284" i="1"/>
  <c r="H284" i="25" s="1"/>
  <c r="L284" i="1"/>
  <c r="M284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7" i="1"/>
  <c r="K298" i="1"/>
  <c r="L298" i="1"/>
  <c r="M298" i="1"/>
  <c r="K299" i="1"/>
  <c r="H299" i="25" s="1"/>
  <c r="L299" i="1"/>
  <c r="M299" i="1"/>
  <c r="L302" i="1"/>
  <c r="M302" i="1"/>
  <c r="H302" i="1" s="1"/>
  <c r="H303" i="1"/>
  <c r="K303" i="1"/>
  <c r="H302" i="25" s="1"/>
  <c r="V302" i="25" s="1"/>
  <c r="L306" i="1"/>
  <c r="L34" i="1" s="1"/>
  <c r="K351" i="1"/>
  <c r="H351" i="25" s="1"/>
  <c r="L351" i="1"/>
  <c r="M351" i="1"/>
  <c r="K360" i="1"/>
  <c r="H360" i="25" s="1"/>
  <c r="L360" i="1"/>
  <c r="H360" i="1" s="1"/>
  <c r="M360" i="1"/>
  <c r="F362" i="1"/>
  <c r="G362" i="1"/>
  <c r="H362" i="1"/>
  <c r="M362" i="1"/>
  <c r="K363" i="1"/>
  <c r="L363" i="1"/>
  <c r="M363" i="1"/>
  <c r="K365" i="1"/>
  <c r="L365" i="1"/>
  <c r="H365" i="1" s="1"/>
  <c r="M365" i="1"/>
  <c r="M374" i="1" s="1"/>
  <c r="M375" i="1" s="1"/>
  <c r="M377" i="1" s="1"/>
  <c r="K373" i="1"/>
  <c r="H373" i="25" s="1"/>
  <c r="L373" i="1"/>
  <c r="M373" i="1"/>
  <c r="K374" i="1"/>
  <c r="K375" i="1" s="1"/>
  <c r="K377" i="1" s="1"/>
  <c r="K408" i="1" s="1"/>
  <c r="K412" i="1"/>
  <c r="L412" i="1"/>
  <c r="M412" i="1"/>
  <c r="K414" i="1"/>
  <c r="H414" i="25" s="1"/>
  <c r="L414" i="1"/>
  <c r="M414" i="1"/>
  <c r="K415" i="1"/>
  <c r="H415" i="25" s="1"/>
  <c r="L415" i="1"/>
  <c r="H415" i="1" s="1"/>
  <c r="M415" i="1"/>
  <c r="K416" i="1"/>
  <c r="H416" i="25" s="1"/>
  <c r="L416" i="1"/>
  <c r="H416" i="1" s="1"/>
  <c r="F341" i="28" s="1"/>
  <c r="M416" i="1"/>
  <c r="H418" i="1"/>
  <c r="K418" i="1"/>
  <c r="H418" i="25" s="1"/>
  <c r="L418" i="1"/>
  <c r="M418" i="1"/>
  <c r="K419" i="1"/>
  <c r="H419" i="25" s="1"/>
  <c r="L419" i="1"/>
  <c r="M419" i="1"/>
  <c r="K420" i="1"/>
  <c r="H420" i="25" s="1"/>
  <c r="L420" i="1"/>
  <c r="M420" i="1"/>
  <c r="K422" i="1"/>
  <c r="H422" i="25" s="1"/>
  <c r="L422" i="1"/>
  <c r="M422" i="1"/>
  <c r="K424" i="1"/>
  <c r="H424" i="25" s="1"/>
  <c r="L424" i="1"/>
  <c r="M424" i="1"/>
  <c r="K425" i="1"/>
  <c r="H425" i="25" s="1"/>
  <c r="L425" i="1"/>
  <c r="M425" i="1"/>
  <c r="K426" i="1"/>
  <c r="H426" i="25" s="1"/>
  <c r="L426" i="1"/>
  <c r="M426" i="1"/>
  <c r="K534" i="1"/>
  <c r="H534" i="25" s="1"/>
  <c r="H536" i="25" s="1"/>
  <c r="L534" i="1"/>
  <c r="L536" i="1" s="1"/>
  <c r="M534" i="1"/>
  <c r="M536" i="1" s="1"/>
  <c r="K535" i="1"/>
  <c r="H535" i="25" s="1"/>
  <c r="L535" i="1"/>
  <c r="M535" i="1"/>
  <c r="H574" i="1"/>
  <c r="K574" i="1"/>
  <c r="L574" i="1"/>
  <c r="M574" i="1"/>
  <c r="K575" i="1"/>
  <c r="H575" i="25" s="1"/>
  <c r="L575" i="1"/>
  <c r="M575" i="1"/>
  <c r="K576" i="1"/>
  <c r="H576" i="1" s="1"/>
  <c r="L576" i="1"/>
  <c r="M576" i="1"/>
  <c r="K577" i="1"/>
  <c r="H577" i="25" s="1"/>
  <c r="L577" i="1"/>
  <c r="M577" i="1"/>
  <c r="K578" i="1"/>
  <c r="H578" i="25" s="1"/>
  <c r="L578" i="1"/>
  <c r="M578" i="1"/>
  <c r="K579" i="1"/>
  <c r="H579" i="25" s="1"/>
  <c r="L579" i="1"/>
  <c r="M579" i="1"/>
  <c r="K580" i="1"/>
  <c r="H580" i="25" s="1"/>
  <c r="L580" i="1"/>
  <c r="M580" i="1"/>
  <c r="H586" i="1"/>
  <c r="K586" i="1"/>
  <c r="K605" i="1"/>
  <c r="L605" i="1"/>
  <c r="L611" i="1" s="1"/>
  <c r="L47" i="1" s="1"/>
  <c r="M605" i="1"/>
  <c r="K606" i="1"/>
  <c r="H606" i="25" s="1"/>
  <c r="L606" i="1"/>
  <c r="H606" i="1" s="1"/>
  <c r="M606" i="1"/>
  <c r="M611" i="1" s="1"/>
  <c r="M47" i="1" s="1"/>
  <c r="K608" i="1"/>
  <c r="H608" i="25" s="1"/>
  <c r="L608" i="1"/>
  <c r="H608" i="1" s="1"/>
  <c r="M608" i="1"/>
  <c r="K626" i="1"/>
  <c r="H626" i="25" s="1"/>
  <c r="L626" i="1"/>
  <c r="M626" i="1"/>
  <c r="K627" i="1"/>
  <c r="H627" i="25" s="1"/>
  <c r="H643" i="25" s="1"/>
  <c r="L627" i="1"/>
  <c r="M627" i="1"/>
  <c r="H628" i="1"/>
  <c r="K628" i="1"/>
  <c r="H628" i="25" s="1"/>
  <c r="L628" i="1"/>
  <c r="M628" i="1"/>
  <c r="K630" i="1"/>
  <c r="L630" i="1"/>
  <c r="L646" i="1" s="1"/>
  <c r="M630" i="1"/>
  <c r="K632" i="1"/>
  <c r="H632" i="25" s="1"/>
  <c r="L632" i="1"/>
  <c r="M632" i="1"/>
  <c r="K633" i="1"/>
  <c r="H633" i="25" s="1"/>
  <c r="L633" i="1"/>
  <c r="M633" i="1"/>
  <c r="K643" i="1"/>
  <c r="L643" i="1"/>
  <c r="M643" i="1"/>
  <c r="K644" i="1"/>
  <c r="L644" i="1"/>
  <c r="M644" i="1"/>
  <c r="K646" i="1"/>
  <c r="H646" i="25" s="1"/>
  <c r="M646" i="1"/>
  <c r="D23" i="29"/>
  <c r="F20" i="28"/>
  <c r="F81" i="28"/>
  <c r="F85" i="28"/>
  <c r="F115" i="28"/>
  <c r="F163" i="28"/>
  <c r="F167" i="28"/>
  <c r="F201" i="28"/>
  <c r="F228" i="28"/>
  <c r="F287" i="28"/>
  <c r="F340" i="28"/>
  <c r="F343" i="28"/>
  <c r="F501" i="28"/>
  <c r="F511" i="28"/>
  <c r="F531" i="28"/>
  <c r="F533" i="28"/>
  <c r="F553" i="28"/>
  <c r="H93" i="26"/>
  <c r="H94" i="26"/>
  <c r="H95" i="26"/>
  <c r="H96" i="26"/>
  <c r="H154" i="26"/>
  <c r="H155" i="26"/>
  <c r="H156" i="26"/>
  <c r="H157" i="26"/>
  <c r="H158" i="26"/>
  <c r="H159" i="26"/>
  <c r="H160" i="26"/>
  <c r="H162" i="26"/>
  <c r="H168" i="26"/>
  <c r="H171" i="26"/>
  <c r="H190" i="26"/>
  <c r="H236" i="26"/>
  <c r="H237" i="26"/>
  <c r="H238" i="26"/>
  <c r="H239" i="26"/>
  <c r="H240" i="26"/>
  <c r="H241" i="26"/>
  <c r="H242" i="26"/>
  <c r="H243" i="26"/>
  <c r="H264" i="26"/>
  <c r="H266" i="26"/>
  <c r="H270" i="26"/>
  <c r="H276" i="26"/>
  <c r="H282" i="26"/>
  <c r="K282" i="26"/>
  <c r="L282" i="26"/>
  <c r="N282" i="26"/>
  <c r="M282" i="26" s="1"/>
  <c r="W282" i="26" s="1"/>
  <c r="O282" i="26"/>
  <c r="P282" i="26"/>
  <c r="Q282" i="26"/>
  <c r="R282" i="26"/>
  <c r="S282" i="26"/>
  <c r="T282" i="26"/>
  <c r="U282" i="26"/>
  <c r="V282" i="26"/>
  <c r="H283" i="26"/>
  <c r="R283" i="26" s="1"/>
  <c r="K283" i="26"/>
  <c r="L283" i="26"/>
  <c r="N283" i="26"/>
  <c r="M283" i="26" s="1"/>
  <c r="O283" i="26"/>
  <c r="Q283" i="26"/>
  <c r="S283" i="26"/>
  <c r="T283" i="26"/>
  <c r="U283" i="26"/>
  <c r="V283" i="26"/>
  <c r="H284" i="26"/>
  <c r="K284" i="26"/>
  <c r="L284" i="26"/>
  <c r="N284" i="26"/>
  <c r="M284" i="26" s="1"/>
  <c r="W284" i="26" s="1"/>
  <c r="O284" i="26"/>
  <c r="P284" i="26"/>
  <c r="Q284" i="26"/>
  <c r="R284" i="26"/>
  <c r="S284" i="26"/>
  <c r="T284" i="26"/>
  <c r="U284" i="26"/>
  <c r="V284" i="26"/>
  <c r="H287" i="26"/>
  <c r="K287" i="26" s="1"/>
  <c r="Q287" i="26"/>
  <c r="Q292" i="26" s="1"/>
  <c r="H288" i="26"/>
  <c r="L288" i="26" s="1"/>
  <c r="Q288" i="26"/>
  <c r="R288" i="26"/>
  <c r="T288" i="26"/>
  <c r="V288" i="26"/>
  <c r="H289" i="26"/>
  <c r="K289" i="26"/>
  <c r="W289" i="26" s="1"/>
  <c r="L289" i="26"/>
  <c r="N289" i="26"/>
  <c r="O289" i="26"/>
  <c r="M289" i="26" s="1"/>
  <c r="Q289" i="26"/>
  <c r="P289" i="26" s="1"/>
  <c r="R289" i="26"/>
  <c r="S289" i="26"/>
  <c r="T289" i="26"/>
  <c r="U289" i="26"/>
  <c r="V289" i="26"/>
  <c r="H290" i="26"/>
  <c r="K290" i="26"/>
  <c r="L290" i="26"/>
  <c r="N290" i="26"/>
  <c r="M290" i="26" s="1"/>
  <c r="O290" i="26"/>
  <c r="Q290" i="26"/>
  <c r="R290" i="26"/>
  <c r="S290" i="26"/>
  <c r="P290" i="26" s="1"/>
  <c r="T290" i="26"/>
  <c r="U290" i="26"/>
  <c r="V290" i="26"/>
  <c r="H292" i="26"/>
  <c r="H298" i="26"/>
  <c r="K298" i="26" s="1"/>
  <c r="Q298" i="26"/>
  <c r="H299" i="26"/>
  <c r="K299" i="26"/>
  <c r="L299" i="26"/>
  <c r="W299" i="26" s="1"/>
  <c r="N299" i="26"/>
  <c r="M299" i="26" s="1"/>
  <c r="O299" i="26"/>
  <c r="Q299" i="26"/>
  <c r="P299" i="26" s="1"/>
  <c r="R299" i="26"/>
  <c r="S299" i="26"/>
  <c r="T299" i="26"/>
  <c r="U299" i="26"/>
  <c r="V299" i="26"/>
  <c r="H302" i="26"/>
  <c r="K302" i="26" s="1"/>
  <c r="L302" i="26"/>
  <c r="M302" i="26"/>
  <c r="N302" i="26"/>
  <c r="O302" i="26"/>
  <c r="Q302" i="26"/>
  <c r="R302" i="26"/>
  <c r="T302" i="26"/>
  <c r="U302" i="26"/>
  <c r="V302" i="26"/>
  <c r="H306" i="26"/>
  <c r="H351" i="26"/>
  <c r="H360" i="26"/>
  <c r="K360" i="26"/>
  <c r="W360" i="26" s="1"/>
  <c r="L360" i="26"/>
  <c r="M360" i="26"/>
  <c r="N360" i="26"/>
  <c r="O360" i="26"/>
  <c r="Q360" i="26"/>
  <c r="R360" i="26"/>
  <c r="P360" i="26" s="1"/>
  <c r="S360" i="26"/>
  <c r="T360" i="26"/>
  <c r="U360" i="26"/>
  <c r="V360" i="26"/>
  <c r="H365" i="26"/>
  <c r="H373" i="26"/>
  <c r="K373" i="26"/>
  <c r="L373" i="26"/>
  <c r="M373" i="26"/>
  <c r="J373" i="26" s="1"/>
  <c r="N373" i="26"/>
  <c r="O373" i="26"/>
  <c r="P373" i="26"/>
  <c r="Q373" i="26"/>
  <c r="R373" i="26"/>
  <c r="S373" i="26"/>
  <c r="T373" i="26"/>
  <c r="U373" i="26"/>
  <c r="V373" i="26"/>
  <c r="H374" i="26"/>
  <c r="H412" i="26"/>
  <c r="H414" i="26"/>
  <c r="H415" i="26"/>
  <c r="H416" i="26"/>
  <c r="H418" i="26"/>
  <c r="H419" i="26"/>
  <c r="H420" i="26"/>
  <c r="H422" i="26"/>
  <c r="H424" i="26"/>
  <c r="H425" i="26"/>
  <c r="H426" i="26"/>
  <c r="H427" i="26"/>
  <c r="K478" i="26"/>
  <c r="J478" i="26" s="1"/>
  <c r="L478" i="26"/>
  <c r="M478" i="26"/>
  <c r="W478" i="26" s="1"/>
  <c r="N478" i="26"/>
  <c r="O478" i="26"/>
  <c r="P478" i="26"/>
  <c r="Q478" i="26"/>
  <c r="R478" i="26"/>
  <c r="S478" i="26"/>
  <c r="T478" i="26"/>
  <c r="U478" i="26"/>
  <c r="V478" i="26"/>
  <c r="H534" i="26"/>
  <c r="K534" i="26"/>
  <c r="L534" i="26"/>
  <c r="N534" i="26"/>
  <c r="M534" i="26" s="1"/>
  <c r="O534" i="26"/>
  <c r="Q534" i="26"/>
  <c r="P534" i="26" s="1"/>
  <c r="R534" i="26"/>
  <c r="S534" i="26"/>
  <c r="T534" i="26"/>
  <c r="U534" i="26"/>
  <c r="V534" i="26"/>
  <c r="H535" i="26"/>
  <c r="H536" i="26"/>
  <c r="H574" i="26"/>
  <c r="H575" i="26"/>
  <c r="H576" i="26"/>
  <c r="H577" i="26"/>
  <c r="H578" i="26"/>
  <c r="H579" i="26"/>
  <c r="H580" i="26"/>
  <c r="H605" i="26"/>
  <c r="H606" i="26"/>
  <c r="H608" i="26"/>
  <c r="H611" i="26"/>
  <c r="H626" i="26"/>
  <c r="H627" i="26"/>
  <c r="H628" i="26"/>
  <c r="K628" i="26" s="1"/>
  <c r="L628" i="26"/>
  <c r="N628" i="26"/>
  <c r="M628" i="26" s="1"/>
  <c r="O628" i="26"/>
  <c r="Q628" i="26"/>
  <c r="R628" i="26"/>
  <c r="R644" i="26" s="1"/>
  <c r="T628" i="26"/>
  <c r="U628" i="26"/>
  <c r="V628" i="26"/>
  <c r="H630" i="26"/>
  <c r="H632" i="26"/>
  <c r="K632" i="26" s="1"/>
  <c r="N632" i="26"/>
  <c r="Q632" i="26"/>
  <c r="R632" i="26"/>
  <c r="T632" i="26"/>
  <c r="U632" i="26"/>
  <c r="V632" i="26"/>
  <c r="H633" i="26"/>
  <c r="H643" i="26"/>
  <c r="H644" i="26"/>
  <c r="L644" i="26"/>
  <c r="N644" i="26"/>
  <c r="M644" i="26" s="1"/>
  <c r="O644" i="26"/>
  <c r="Q644" i="26"/>
  <c r="T644" i="26"/>
  <c r="U644" i="26"/>
  <c r="V644" i="26"/>
  <c r="H646" i="26"/>
  <c r="W646" i="26"/>
  <c r="K728" i="26"/>
  <c r="J728" i="26" s="1"/>
  <c r="H728" i="26" s="1"/>
  <c r="L728" i="26"/>
  <c r="N728" i="26"/>
  <c r="M728" i="26" s="1"/>
  <c r="O728" i="26"/>
  <c r="P728" i="26"/>
  <c r="Q728" i="26"/>
  <c r="R728" i="26"/>
  <c r="S728" i="26"/>
  <c r="T728" i="26"/>
  <c r="U728" i="26"/>
  <c r="V728" i="26"/>
  <c r="H93" i="27"/>
  <c r="H94" i="27"/>
  <c r="H95" i="27"/>
  <c r="H96" i="27"/>
  <c r="H154" i="27"/>
  <c r="H155" i="27"/>
  <c r="H156" i="27"/>
  <c r="H157" i="27"/>
  <c r="H158" i="27"/>
  <c r="H159" i="27"/>
  <c r="H160" i="27"/>
  <c r="H162" i="27"/>
  <c r="H168" i="27"/>
  <c r="H171" i="27"/>
  <c r="H190" i="27"/>
  <c r="H191" i="27" s="1"/>
  <c r="H247" i="27" s="1"/>
  <c r="H249" i="27" s="1"/>
  <c r="H236" i="27"/>
  <c r="H237" i="27"/>
  <c r="K237" i="27"/>
  <c r="L237" i="27"/>
  <c r="N237" i="27"/>
  <c r="O237" i="27"/>
  <c r="M237" i="27" s="1"/>
  <c r="W237" i="27" s="1"/>
  <c r="Q237" i="27"/>
  <c r="R237" i="27"/>
  <c r="S237" i="27"/>
  <c r="P237" i="27" s="1"/>
  <c r="T237" i="27"/>
  <c r="U237" i="27"/>
  <c r="V237" i="27"/>
  <c r="H238" i="27"/>
  <c r="H245" i="27" s="1"/>
  <c r="H239" i="27"/>
  <c r="H240" i="27"/>
  <c r="H241" i="27"/>
  <c r="H242" i="27"/>
  <c r="H243" i="27"/>
  <c r="H264" i="27"/>
  <c r="H266" i="27" s="1"/>
  <c r="H270" i="27"/>
  <c r="H276" i="27"/>
  <c r="H282" i="27"/>
  <c r="H283" i="27"/>
  <c r="H284" i="27"/>
  <c r="H292" i="27" s="1"/>
  <c r="H287" i="27"/>
  <c r="H288" i="27"/>
  <c r="H289" i="27"/>
  <c r="H290" i="27"/>
  <c r="R290" i="27" s="1"/>
  <c r="Q290" i="27"/>
  <c r="H298" i="27"/>
  <c r="H299" i="27"/>
  <c r="H302" i="27"/>
  <c r="H306" i="27"/>
  <c r="H351" i="27"/>
  <c r="H360" i="27"/>
  <c r="H362" i="27"/>
  <c r="J287" i="28" s="1"/>
  <c r="K362" i="27"/>
  <c r="Q362" i="27"/>
  <c r="S362" i="27"/>
  <c r="U362" i="27"/>
  <c r="H365" i="27"/>
  <c r="H373" i="27"/>
  <c r="K373" i="27" s="1"/>
  <c r="L373" i="27"/>
  <c r="N373" i="27"/>
  <c r="M373" i="27" s="1"/>
  <c r="O373" i="27"/>
  <c r="P373" i="27"/>
  <c r="Q373" i="27"/>
  <c r="R373" i="27"/>
  <c r="S373" i="27"/>
  <c r="T373" i="27"/>
  <c r="U373" i="27"/>
  <c r="V373" i="27"/>
  <c r="H374" i="27"/>
  <c r="H412" i="27"/>
  <c r="H414" i="27"/>
  <c r="H415" i="27"/>
  <c r="H416" i="27"/>
  <c r="H427" i="27" s="1"/>
  <c r="H418" i="27"/>
  <c r="H419" i="27"/>
  <c r="H420" i="27"/>
  <c r="H422" i="27"/>
  <c r="H424" i="27"/>
  <c r="H425" i="27"/>
  <c r="H426" i="27"/>
  <c r="K470" i="27"/>
  <c r="L470" i="27"/>
  <c r="N470" i="27"/>
  <c r="N480" i="27" s="1"/>
  <c r="O470" i="27"/>
  <c r="Q470" i="27"/>
  <c r="P470" i="27" s="1"/>
  <c r="R470" i="27"/>
  <c r="S470" i="27"/>
  <c r="T470" i="27"/>
  <c r="U470" i="27"/>
  <c r="U480" i="27" s="1"/>
  <c r="V470" i="27"/>
  <c r="V480" i="27" s="1"/>
  <c r="K478" i="27"/>
  <c r="L478" i="27"/>
  <c r="N478" i="27"/>
  <c r="M478" i="27" s="1"/>
  <c r="O478" i="27"/>
  <c r="O480" i="27" s="1"/>
  <c r="O493" i="27" s="1"/>
  <c r="O495" i="27" s="1"/>
  <c r="O525" i="27" s="1"/>
  <c r="P478" i="27"/>
  <c r="Q478" i="27"/>
  <c r="R478" i="27"/>
  <c r="S478" i="27"/>
  <c r="T478" i="27"/>
  <c r="U478" i="27"/>
  <c r="V478" i="27"/>
  <c r="K479" i="27"/>
  <c r="L479" i="27"/>
  <c r="W479" i="27" s="1"/>
  <c r="N479" i="27"/>
  <c r="M479" i="27" s="1"/>
  <c r="J479" i="27" s="1"/>
  <c r="O479" i="27"/>
  <c r="Q479" i="27"/>
  <c r="R479" i="27"/>
  <c r="P479" i="27" s="1"/>
  <c r="S479" i="27"/>
  <c r="T479" i="27"/>
  <c r="U479" i="27"/>
  <c r="V479" i="27"/>
  <c r="K480" i="27"/>
  <c r="L480" i="27"/>
  <c r="S480" i="27"/>
  <c r="T480" i="27"/>
  <c r="K482" i="27"/>
  <c r="L482" i="27"/>
  <c r="L491" i="27" s="1"/>
  <c r="L493" i="27" s="1"/>
  <c r="L495" i="27" s="1"/>
  <c r="L525" i="27" s="1"/>
  <c r="N482" i="27"/>
  <c r="N491" i="27" s="1"/>
  <c r="M491" i="27" s="1"/>
  <c r="O482" i="27"/>
  <c r="Q482" i="27"/>
  <c r="P482" i="27" s="1"/>
  <c r="R482" i="27"/>
  <c r="S482" i="27"/>
  <c r="T482" i="27"/>
  <c r="T491" i="27" s="1"/>
  <c r="T493" i="27" s="1"/>
  <c r="T495" i="27" s="1"/>
  <c r="T525" i="27" s="1"/>
  <c r="U482" i="27"/>
  <c r="U491" i="27" s="1"/>
  <c r="V482" i="27"/>
  <c r="V491" i="27" s="1"/>
  <c r="K490" i="27"/>
  <c r="K491" i="27" s="1"/>
  <c r="L490" i="27"/>
  <c r="W490" i="27" s="1"/>
  <c r="N490" i="27"/>
  <c r="M490" i="27" s="1"/>
  <c r="O490" i="27"/>
  <c r="O491" i="27" s="1"/>
  <c r="P490" i="27"/>
  <c r="Q490" i="27"/>
  <c r="R490" i="27"/>
  <c r="S490" i="27"/>
  <c r="S491" i="27" s="1"/>
  <c r="S493" i="27" s="1"/>
  <c r="S495" i="27" s="1"/>
  <c r="S525" i="27" s="1"/>
  <c r="T490" i="27"/>
  <c r="U490" i="27"/>
  <c r="V490" i="27"/>
  <c r="Q491" i="27"/>
  <c r="R491" i="27"/>
  <c r="H534" i="27"/>
  <c r="H536" i="27" s="1"/>
  <c r="K534" i="27"/>
  <c r="L534" i="27"/>
  <c r="N534" i="27"/>
  <c r="M534" i="27" s="1"/>
  <c r="O534" i="27"/>
  <c r="Q534" i="27"/>
  <c r="P534" i="27" s="1"/>
  <c r="R534" i="27"/>
  <c r="S534" i="27"/>
  <c r="T534" i="27"/>
  <c r="U534" i="27"/>
  <c r="V534" i="27"/>
  <c r="H535" i="27"/>
  <c r="K535" i="27"/>
  <c r="W535" i="27" s="1"/>
  <c r="L535" i="27"/>
  <c r="J535" i="27" s="1"/>
  <c r="N535" i="27"/>
  <c r="O535" i="27"/>
  <c r="M535" i="27" s="1"/>
  <c r="Q535" i="27"/>
  <c r="R535" i="27"/>
  <c r="P535" i="27" s="1"/>
  <c r="S535" i="27"/>
  <c r="T535" i="27"/>
  <c r="U535" i="27"/>
  <c r="V535" i="27"/>
  <c r="H574" i="27"/>
  <c r="H575" i="27"/>
  <c r="K575" i="27"/>
  <c r="L575" i="27"/>
  <c r="M575" i="27"/>
  <c r="N575" i="27"/>
  <c r="O575" i="27"/>
  <c r="Q575" i="27"/>
  <c r="P575" i="27" s="1"/>
  <c r="R575" i="27"/>
  <c r="S575" i="27"/>
  <c r="T575" i="27"/>
  <c r="U575" i="27"/>
  <c r="V575" i="27"/>
  <c r="H576" i="27"/>
  <c r="H577" i="27"/>
  <c r="H578" i="27"/>
  <c r="H579" i="27"/>
  <c r="H580" i="27"/>
  <c r="H605" i="27"/>
  <c r="H606" i="27"/>
  <c r="H608" i="27"/>
  <c r="H611" i="27" s="1"/>
  <c r="H626" i="27"/>
  <c r="H627" i="27"/>
  <c r="H628" i="27"/>
  <c r="H630" i="27"/>
  <c r="H632" i="27"/>
  <c r="H633" i="27"/>
  <c r="H643" i="27"/>
  <c r="H644" i="27"/>
  <c r="H646" i="27"/>
  <c r="W646" i="27"/>
  <c r="K728" i="27"/>
  <c r="L728" i="27"/>
  <c r="N728" i="27"/>
  <c r="M728" i="27" s="1"/>
  <c r="O728" i="27"/>
  <c r="Q728" i="27"/>
  <c r="P728" i="27" s="1"/>
  <c r="R728" i="27"/>
  <c r="S728" i="27"/>
  <c r="T728" i="27"/>
  <c r="U728" i="27"/>
  <c r="V728" i="27"/>
  <c r="K729" i="27"/>
  <c r="L729" i="27"/>
  <c r="N729" i="27"/>
  <c r="O729" i="27"/>
  <c r="M729" i="27" s="1"/>
  <c r="Q729" i="27"/>
  <c r="R729" i="27"/>
  <c r="S729" i="27"/>
  <c r="P729" i="27" s="1"/>
  <c r="T729" i="27"/>
  <c r="U729" i="27"/>
  <c r="V729" i="27"/>
  <c r="H404" i="28" l="1"/>
  <c r="N404" i="28" s="1"/>
  <c r="L404" i="28"/>
  <c r="H308" i="27"/>
  <c r="K493" i="27"/>
  <c r="L724" i="27"/>
  <c r="L725" i="27"/>
  <c r="W729" i="27"/>
  <c r="W534" i="27"/>
  <c r="W482" i="27"/>
  <c r="W478" i="27"/>
  <c r="S725" i="27"/>
  <c r="S724" i="27"/>
  <c r="W575" i="27"/>
  <c r="T724" i="27"/>
  <c r="T725" i="27"/>
  <c r="J478" i="27"/>
  <c r="M480" i="27"/>
  <c r="N493" i="27"/>
  <c r="J237" i="27"/>
  <c r="J729" i="27"/>
  <c r="H729" i="27" s="1"/>
  <c r="P491" i="27"/>
  <c r="J491" i="27" s="1"/>
  <c r="V493" i="27"/>
  <c r="V495" i="27" s="1"/>
  <c r="V525" i="27" s="1"/>
  <c r="J470" i="27"/>
  <c r="J373" i="27"/>
  <c r="W373" i="27"/>
  <c r="O725" i="27"/>
  <c r="O724" i="27"/>
  <c r="U493" i="27"/>
  <c r="U495" i="27" s="1"/>
  <c r="U525" i="27" s="1"/>
  <c r="J534" i="27"/>
  <c r="M482" i="27"/>
  <c r="M470" i="27"/>
  <c r="W470" i="27" s="1"/>
  <c r="T362" i="27"/>
  <c r="L362" i="27"/>
  <c r="R480" i="27"/>
  <c r="R493" i="27" s="1"/>
  <c r="R495" i="27" s="1"/>
  <c r="R525" i="27" s="1"/>
  <c r="O290" i="27"/>
  <c r="P800" i="26"/>
  <c r="Q800" i="26"/>
  <c r="Q351" i="26" s="1"/>
  <c r="R800" i="26"/>
  <c r="R351" i="26" s="1"/>
  <c r="K800" i="26"/>
  <c r="S800" i="26"/>
  <c r="S351" i="26" s="1"/>
  <c r="L800" i="26"/>
  <c r="L351" i="26" s="1"/>
  <c r="T800" i="26"/>
  <c r="T351" i="26" s="1"/>
  <c r="M800" i="26"/>
  <c r="U800" i="26"/>
  <c r="U351" i="26" s="1"/>
  <c r="N800" i="26"/>
  <c r="N351" i="26" s="1"/>
  <c r="V800" i="26"/>
  <c r="V351" i="26" s="1"/>
  <c r="O800" i="26"/>
  <c r="O351" i="26" s="1"/>
  <c r="J575" i="27"/>
  <c r="Q480" i="27"/>
  <c r="R362" i="27"/>
  <c r="P362" i="27" s="1"/>
  <c r="V290" i="27"/>
  <c r="N290" i="27"/>
  <c r="M290" i="27" s="1"/>
  <c r="J728" i="27"/>
  <c r="H728" i="27" s="1"/>
  <c r="W728" i="27" s="1"/>
  <c r="H582" i="27"/>
  <c r="H597" i="27" s="1"/>
  <c r="J482" i="27"/>
  <c r="U290" i="27"/>
  <c r="H363" i="27"/>
  <c r="H375" i="27" s="1"/>
  <c r="H377" i="27" s="1"/>
  <c r="H429" i="27" s="1"/>
  <c r="T290" i="27"/>
  <c r="L290" i="27"/>
  <c r="J490" i="27"/>
  <c r="O362" i="27"/>
  <c r="S290" i="27"/>
  <c r="P290" i="27" s="1"/>
  <c r="K290" i="27"/>
  <c r="V362" i="27"/>
  <c r="N362" i="27"/>
  <c r="M362" i="27" s="1"/>
  <c r="J362" i="27" s="1"/>
  <c r="W728" i="26"/>
  <c r="J504" i="28"/>
  <c r="H582" i="26"/>
  <c r="H597" i="26" s="1"/>
  <c r="R292" i="26"/>
  <c r="R33" i="26" s="1"/>
  <c r="J572" i="28"/>
  <c r="Q33" i="26"/>
  <c r="J552" i="28"/>
  <c r="P283" i="26"/>
  <c r="J283" i="26" s="1"/>
  <c r="J282" i="26"/>
  <c r="J284" i="26"/>
  <c r="W534" i="26"/>
  <c r="J575" i="28"/>
  <c r="K644" i="26"/>
  <c r="P632" i="26"/>
  <c r="J534" i="26"/>
  <c r="J299" i="26"/>
  <c r="W290" i="26"/>
  <c r="P288" i="26"/>
  <c r="S632" i="26"/>
  <c r="J531" i="28"/>
  <c r="J460" i="28"/>
  <c r="J351" i="28"/>
  <c r="W373" i="26"/>
  <c r="R298" i="26"/>
  <c r="S288" i="26"/>
  <c r="K288" i="26"/>
  <c r="R287" i="26"/>
  <c r="J209" i="28"/>
  <c r="J533" i="28"/>
  <c r="J500" i="28"/>
  <c r="J461" i="28"/>
  <c r="J165" i="28"/>
  <c r="J557" i="28"/>
  <c r="J360" i="26"/>
  <c r="J276" i="28"/>
  <c r="J224" i="28"/>
  <c r="J289" i="26"/>
  <c r="J166" i="28"/>
  <c r="J558" i="28"/>
  <c r="J502" i="28"/>
  <c r="J344" i="28"/>
  <c r="J285" i="28"/>
  <c r="S302" i="26"/>
  <c r="P302" i="26" s="1"/>
  <c r="O298" i="26"/>
  <c r="J290" i="26"/>
  <c r="O287" i="26"/>
  <c r="J167" i="28"/>
  <c r="J115" i="28"/>
  <c r="H191" i="26"/>
  <c r="O632" i="26"/>
  <c r="M632" i="26" s="1"/>
  <c r="S628" i="26"/>
  <c r="S644" i="26" s="1"/>
  <c r="P644" i="26" s="1"/>
  <c r="J551" i="28"/>
  <c r="J345" i="28"/>
  <c r="H363" i="26"/>
  <c r="H375" i="26" s="1"/>
  <c r="H377" i="26" s="1"/>
  <c r="H429" i="26" s="1"/>
  <c r="V298" i="26"/>
  <c r="N298" i="26"/>
  <c r="O288" i="26"/>
  <c r="V287" i="26"/>
  <c r="V292" i="26" s="1"/>
  <c r="V33" i="26" s="1"/>
  <c r="N287" i="26"/>
  <c r="J347" i="28"/>
  <c r="J339" i="28"/>
  <c r="J227" i="28"/>
  <c r="U298" i="26"/>
  <c r="N288" i="26"/>
  <c r="M288" i="26" s="1"/>
  <c r="U287" i="26"/>
  <c r="H245" i="26"/>
  <c r="J161" i="28"/>
  <c r="J553" i="28"/>
  <c r="J505" i="28"/>
  <c r="J340" i="28"/>
  <c r="J298" i="28"/>
  <c r="T298" i="26"/>
  <c r="L298" i="26"/>
  <c r="U288" i="26"/>
  <c r="T287" i="26"/>
  <c r="T292" i="26" s="1"/>
  <c r="T33" i="26" s="1"/>
  <c r="L287" i="26"/>
  <c r="L292" i="26" s="1"/>
  <c r="L33" i="26" s="1"/>
  <c r="J162" i="28"/>
  <c r="L632" i="26"/>
  <c r="W632" i="26" s="1"/>
  <c r="J459" i="28"/>
  <c r="J350" i="28"/>
  <c r="J341" i="28"/>
  <c r="S298" i="26"/>
  <c r="P298" i="26" s="1"/>
  <c r="S287" i="26"/>
  <c r="S292" i="26" s="1"/>
  <c r="S33" i="26" s="1"/>
  <c r="J163" i="28"/>
  <c r="J84" i="28"/>
  <c r="J18" i="28"/>
  <c r="M408" i="1"/>
  <c r="J19" i="28"/>
  <c r="J93" i="28"/>
  <c r="J79" i="28"/>
  <c r="J20" i="28"/>
  <c r="J501" i="28"/>
  <c r="J80" i="28"/>
  <c r="J81" i="28"/>
  <c r="J83" i="28"/>
  <c r="J503" i="28"/>
  <c r="H630" i="25"/>
  <c r="J555" i="28" s="1"/>
  <c r="H630" i="1"/>
  <c r="H574" i="25"/>
  <c r="K582" i="1"/>
  <c r="L427" i="1"/>
  <c r="H414" i="1"/>
  <c r="F302" i="1"/>
  <c r="G302" i="1" s="1"/>
  <c r="F227" i="28"/>
  <c r="H298" i="25"/>
  <c r="H298" i="1"/>
  <c r="F499" i="28"/>
  <c r="F574" i="1"/>
  <c r="G574" i="1"/>
  <c r="H289" i="25"/>
  <c r="H289" i="1"/>
  <c r="G608" i="1"/>
  <c r="H605" i="25"/>
  <c r="H605" i="1"/>
  <c r="K611" i="1"/>
  <c r="H578" i="1"/>
  <c r="F576" i="1"/>
  <c r="G576" i="1" s="1"/>
  <c r="G416" i="1"/>
  <c r="G365" i="1"/>
  <c r="F290" i="28"/>
  <c r="F365" i="1"/>
  <c r="H239" i="25"/>
  <c r="J164" i="28" s="1"/>
  <c r="H239" i="1"/>
  <c r="K245" i="1"/>
  <c r="L63" i="1"/>
  <c r="H646" i="1"/>
  <c r="H626" i="1"/>
  <c r="M582" i="1"/>
  <c r="F416" i="1"/>
  <c r="H632" i="1"/>
  <c r="H644" i="1"/>
  <c r="F628" i="1"/>
  <c r="G628" i="1" s="1"/>
  <c r="F608" i="1"/>
  <c r="L582" i="1"/>
  <c r="L597" i="1" s="1"/>
  <c r="H412" i="25"/>
  <c r="K427" i="1"/>
  <c r="K429" i="1" s="1"/>
  <c r="F285" i="28"/>
  <c r="F360" i="1"/>
  <c r="G360" i="1" s="1"/>
  <c r="H243" i="25"/>
  <c r="J168" i="28" s="1"/>
  <c r="H243" i="1"/>
  <c r="H93" i="1"/>
  <c r="M96" i="1"/>
  <c r="K594" i="1"/>
  <c r="H586" i="25"/>
  <c r="J343" i="28"/>
  <c r="F415" i="1"/>
  <c r="G415" i="1" s="1"/>
  <c r="H412" i="1"/>
  <c r="F606" i="1"/>
  <c r="G606" i="1"/>
  <c r="H594" i="1"/>
  <c r="F519" i="28" s="1"/>
  <c r="F586" i="1"/>
  <c r="F594" i="1" s="1"/>
  <c r="G586" i="1"/>
  <c r="G594" i="1" s="1"/>
  <c r="J349" i="28"/>
  <c r="F418" i="1"/>
  <c r="G418" i="1" s="1"/>
  <c r="K292" i="1"/>
  <c r="K33" i="1" s="1"/>
  <c r="K644" i="25"/>
  <c r="H374" i="25"/>
  <c r="J299" i="28" s="1"/>
  <c r="J290" i="28"/>
  <c r="M597" i="1"/>
  <c r="H424" i="1"/>
  <c r="M427" i="1"/>
  <c r="M429" i="1" s="1"/>
  <c r="H351" i="1"/>
  <c r="H287" i="25"/>
  <c r="H287" i="1"/>
  <c r="H157" i="25"/>
  <c r="H157" i="1"/>
  <c r="K162" i="1"/>
  <c r="K22" i="1" s="1"/>
  <c r="L628" i="25"/>
  <c r="L644" i="25" s="1"/>
  <c r="T628" i="25"/>
  <c r="T644" i="25" s="1"/>
  <c r="U628" i="25"/>
  <c r="U644" i="25" s="1"/>
  <c r="N628" i="25"/>
  <c r="V628" i="25"/>
  <c r="V644" i="25" s="1"/>
  <c r="H644" i="25"/>
  <c r="J573" i="28" s="1"/>
  <c r="O628" i="25"/>
  <c r="O644" i="25" s="1"/>
  <c r="R628" i="25"/>
  <c r="R644" i="25" s="1"/>
  <c r="S628" i="25"/>
  <c r="S644" i="25" s="1"/>
  <c r="Q628" i="25"/>
  <c r="H577" i="1"/>
  <c r="H422" i="1"/>
  <c r="L374" i="1"/>
  <c r="L375" i="1" s="1"/>
  <c r="L377" i="1" s="1"/>
  <c r="H373" i="1"/>
  <c r="M306" i="1"/>
  <c r="M34" i="1" s="1"/>
  <c r="L245" i="1"/>
  <c r="K247" i="1"/>
  <c r="K26" i="1" s="1"/>
  <c r="K19" i="1"/>
  <c r="K171" i="1"/>
  <c r="K249" i="1" s="1"/>
  <c r="K308" i="1" s="1"/>
  <c r="H363" i="25"/>
  <c r="H276" i="25"/>
  <c r="J201" i="28" s="1"/>
  <c r="K32" i="1"/>
  <c r="Q632" i="25"/>
  <c r="R632" i="25"/>
  <c r="K632" i="25"/>
  <c r="S632" i="25"/>
  <c r="L632" i="25"/>
  <c r="T632" i="25"/>
  <c r="O632" i="25"/>
  <c r="U632" i="25"/>
  <c r="V632" i="25"/>
  <c r="N632" i="25"/>
  <c r="M632" i="25" s="1"/>
  <c r="H579" i="1"/>
  <c r="H575" i="1"/>
  <c r="H534" i="1"/>
  <c r="H425" i="1"/>
  <c r="H419" i="1"/>
  <c r="O299" i="25"/>
  <c r="Q299" i="25"/>
  <c r="P299" i="25" s="1"/>
  <c r="R299" i="25"/>
  <c r="U299" i="25"/>
  <c r="N299" i="25"/>
  <c r="S299" i="25"/>
  <c r="T299" i="25"/>
  <c r="V299" i="25"/>
  <c r="K299" i="25"/>
  <c r="L299" i="25"/>
  <c r="H283" i="25"/>
  <c r="H283" i="1"/>
  <c r="H30" i="1"/>
  <c r="F190" i="1"/>
  <c r="F191" i="1" s="1"/>
  <c r="H191" i="1"/>
  <c r="Q360" i="25"/>
  <c r="P360" i="25" s="1"/>
  <c r="N360" i="25"/>
  <c r="M360" i="25" s="1"/>
  <c r="O360" i="25"/>
  <c r="O478" i="25" s="1"/>
  <c r="O728" i="25" s="1"/>
  <c r="R360" i="25"/>
  <c r="R478" i="25" s="1"/>
  <c r="R728" i="25" s="1"/>
  <c r="S478" i="25"/>
  <c r="S728" i="25" s="1"/>
  <c r="S360" i="25"/>
  <c r="L478" i="25"/>
  <c r="L728" i="25" s="1"/>
  <c r="E72" i="30" s="1"/>
  <c r="T478" i="25"/>
  <c r="T728" i="25" s="1"/>
  <c r="H72" i="30" s="1"/>
  <c r="U360" i="25"/>
  <c r="V360" i="25"/>
  <c r="V478" i="25" s="1"/>
  <c r="V728" i="25" s="1"/>
  <c r="J72" i="30" s="1"/>
  <c r="N478" i="25"/>
  <c r="T360" i="25"/>
  <c r="U478" i="25"/>
  <c r="U728" i="25" s="1"/>
  <c r="I72" i="30" s="1"/>
  <c r="Q478" i="25"/>
  <c r="K360" i="25"/>
  <c r="L360" i="25"/>
  <c r="F303" i="1"/>
  <c r="G303" i="1" s="1"/>
  <c r="H299" i="1"/>
  <c r="H297" i="25"/>
  <c r="H297" i="1"/>
  <c r="H290" i="25"/>
  <c r="H290" i="1"/>
  <c r="G276" i="1"/>
  <c r="G95" i="1"/>
  <c r="H580" i="1"/>
  <c r="H535" i="1"/>
  <c r="H426" i="1"/>
  <c r="H420" i="1"/>
  <c r="H288" i="25"/>
  <c r="H288" i="1"/>
  <c r="H633" i="1"/>
  <c r="H627" i="1"/>
  <c r="K536" i="1"/>
  <c r="K597" i="1" s="1"/>
  <c r="U373" i="25"/>
  <c r="U490" i="25" s="1"/>
  <c r="U729" i="25" s="1"/>
  <c r="I73" i="30" s="1"/>
  <c r="N490" i="25"/>
  <c r="V490" i="25"/>
  <c r="V729" i="25" s="1"/>
  <c r="J73" i="30" s="1"/>
  <c r="N373" i="25"/>
  <c r="V373" i="25"/>
  <c r="O373" i="25"/>
  <c r="O490" i="25" s="1"/>
  <c r="O729" i="25" s="1"/>
  <c r="Q490" i="25"/>
  <c r="Q373" i="25"/>
  <c r="T373" i="25"/>
  <c r="T490" i="25" s="1"/>
  <c r="T729" i="25" s="1"/>
  <c r="H73" i="30" s="1"/>
  <c r="K373" i="25"/>
  <c r="K490" i="25" s="1"/>
  <c r="S373" i="25"/>
  <c r="S490" i="25" s="1"/>
  <c r="S729" i="25" s="1"/>
  <c r="R373" i="25"/>
  <c r="R490" i="25" s="1"/>
  <c r="R729" i="25" s="1"/>
  <c r="L373" i="25"/>
  <c r="L490" i="25" s="1"/>
  <c r="L729" i="25" s="1"/>
  <c r="E73" i="30" s="1"/>
  <c r="K306" i="1"/>
  <c r="H282" i="25"/>
  <c r="H282" i="1"/>
  <c r="H264" i="25"/>
  <c r="H264" i="1"/>
  <c r="G242" i="1"/>
  <c r="L247" i="1"/>
  <c r="L26" i="1" s="1"/>
  <c r="G156" i="1"/>
  <c r="L171" i="1"/>
  <c r="L19" i="1"/>
  <c r="V534" i="25"/>
  <c r="N534" i="25"/>
  <c r="H245" i="25"/>
  <c r="J170" i="28" s="1"/>
  <c r="H162" i="25"/>
  <c r="J87" i="28" s="1"/>
  <c r="H96" i="25"/>
  <c r="R302" i="25"/>
  <c r="K302" i="25"/>
  <c r="S302" i="25"/>
  <c r="L302" i="25"/>
  <c r="T302" i="25"/>
  <c r="U302" i="25"/>
  <c r="N302" i="25"/>
  <c r="M302" i="25" s="1"/>
  <c r="O302" i="25"/>
  <c r="Q302" i="25"/>
  <c r="H240" i="1"/>
  <c r="H236" i="1"/>
  <c r="H168" i="1"/>
  <c r="H158" i="1"/>
  <c r="H154" i="1"/>
  <c r="K284" i="25"/>
  <c r="S284" i="25"/>
  <c r="L284" i="25"/>
  <c r="T284" i="25"/>
  <c r="U284" i="25"/>
  <c r="N284" i="25"/>
  <c r="M284" i="25" s="1"/>
  <c r="V284" i="25"/>
  <c r="O284" i="25"/>
  <c r="R284" i="25"/>
  <c r="Q284" i="25"/>
  <c r="P284" i="25" s="1"/>
  <c r="H270" i="25"/>
  <c r="J195" i="28" s="1"/>
  <c r="K31" i="1"/>
  <c r="O534" i="25"/>
  <c r="Q534" i="25"/>
  <c r="P534" i="25" s="1"/>
  <c r="R534" i="25"/>
  <c r="K534" i="25"/>
  <c r="S534" i="25"/>
  <c r="H284" i="1"/>
  <c r="H270" i="1"/>
  <c r="H241" i="1"/>
  <c r="H237" i="1"/>
  <c r="H159" i="1"/>
  <c r="H155" i="1"/>
  <c r="H94" i="1"/>
  <c r="W302" i="26" l="1"/>
  <c r="J302" i="26"/>
  <c r="K729" i="25"/>
  <c r="M45" i="1"/>
  <c r="M61" i="1"/>
  <c r="L46" i="1"/>
  <c r="L62" i="1"/>
  <c r="L598" i="1"/>
  <c r="H287" i="28"/>
  <c r="L287" i="28"/>
  <c r="M287" i="28" s="1"/>
  <c r="W362" i="27"/>
  <c r="G94" i="1"/>
  <c r="F19" i="28"/>
  <c r="F94" i="1"/>
  <c r="F159" i="1"/>
  <c r="G159" i="1" s="1"/>
  <c r="F84" i="28"/>
  <c r="G241" i="1"/>
  <c r="F241" i="1"/>
  <c r="F166" i="28"/>
  <c r="F236" i="1"/>
  <c r="G236" i="1"/>
  <c r="H245" i="1"/>
  <c r="F170" i="28" s="1"/>
  <c r="F161" i="28"/>
  <c r="F195" i="28"/>
  <c r="F270" i="1"/>
  <c r="G270" i="1" s="1"/>
  <c r="W284" i="25"/>
  <c r="J284" i="25"/>
  <c r="F240" i="1"/>
  <c r="G240" i="1"/>
  <c r="F165" i="28"/>
  <c r="L249" i="1"/>
  <c r="L308" i="1" s="1"/>
  <c r="Q282" i="25"/>
  <c r="R282" i="25"/>
  <c r="H292" i="25"/>
  <c r="J217" i="28" s="1"/>
  <c r="K282" i="25"/>
  <c r="S282" i="25"/>
  <c r="L282" i="25"/>
  <c r="T282" i="25"/>
  <c r="U282" i="25"/>
  <c r="V282" i="25"/>
  <c r="N282" i="25"/>
  <c r="O282" i="25"/>
  <c r="J207" i="28"/>
  <c r="G190" i="1"/>
  <c r="G191" i="1" s="1"/>
  <c r="M299" i="25"/>
  <c r="F534" i="1"/>
  <c r="G534" i="1"/>
  <c r="F459" i="28"/>
  <c r="H536" i="1"/>
  <c r="F461" i="28" s="1"/>
  <c r="F298" i="28"/>
  <c r="F373" i="1"/>
  <c r="G373" i="1" s="1"/>
  <c r="G374" i="1" s="1"/>
  <c r="G375" i="1" s="1"/>
  <c r="G377" i="1" s="1"/>
  <c r="G408" i="1" s="1"/>
  <c r="J82" i="28"/>
  <c r="F93" i="1"/>
  <c r="F96" i="1" s="1"/>
  <c r="G93" i="1"/>
  <c r="G96" i="1" s="1"/>
  <c r="H96" i="1"/>
  <c r="F18" i="28"/>
  <c r="F374" i="1"/>
  <c r="F375" i="1" s="1"/>
  <c r="F377" i="1" s="1"/>
  <c r="F408" i="1" s="1"/>
  <c r="F605" i="1"/>
  <c r="F611" i="1" s="1"/>
  <c r="G605" i="1"/>
  <c r="G611" i="1" s="1"/>
  <c r="H611" i="1"/>
  <c r="F536" i="28" s="1"/>
  <c r="F530" i="28"/>
  <c r="J116" i="28"/>
  <c r="H247" i="26"/>
  <c r="H249" i="26" s="1"/>
  <c r="H308" i="26" s="1"/>
  <c r="W287" i="26"/>
  <c r="T363" i="26"/>
  <c r="T470" i="26"/>
  <c r="T480" i="26" s="1"/>
  <c r="R725" i="27"/>
  <c r="R724" i="27"/>
  <c r="U724" i="27"/>
  <c r="U725" i="27"/>
  <c r="F209" i="28"/>
  <c r="F284" i="1"/>
  <c r="G284" i="1" s="1"/>
  <c r="P302" i="25"/>
  <c r="J302" i="25" s="1"/>
  <c r="K34" i="1"/>
  <c r="N306" i="1"/>
  <c r="H306" i="1"/>
  <c r="F231" i="28" s="1"/>
  <c r="M373" i="25"/>
  <c r="F288" i="1"/>
  <c r="G288" i="1"/>
  <c r="F213" i="28"/>
  <c r="F283" i="1"/>
  <c r="G283" i="1"/>
  <c r="F208" i="28"/>
  <c r="F575" i="1"/>
  <c r="G575" i="1"/>
  <c r="F500" i="28"/>
  <c r="L408" i="1"/>
  <c r="L429" i="1"/>
  <c r="F287" i="1"/>
  <c r="F212" i="28"/>
  <c r="G287" i="1"/>
  <c r="F337" i="28"/>
  <c r="F412" i="1"/>
  <c r="G412" i="1" s="1"/>
  <c r="H427" i="1"/>
  <c r="F352" i="28" s="1"/>
  <c r="F243" i="1"/>
  <c r="F168" i="28"/>
  <c r="G243" i="1"/>
  <c r="F626" i="1"/>
  <c r="G626" i="1" s="1"/>
  <c r="F551" i="28"/>
  <c r="H611" i="25"/>
  <c r="J536" i="28" s="1"/>
  <c r="J530" i="28"/>
  <c r="U292" i="26"/>
  <c r="U33" i="26" s="1"/>
  <c r="M287" i="26"/>
  <c r="N292" i="26"/>
  <c r="P287" i="26"/>
  <c r="L363" i="26"/>
  <c r="L470" i="26"/>
  <c r="L480" i="26" s="1"/>
  <c r="V725" i="27"/>
  <c r="V724" i="27"/>
  <c r="K495" i="27"/>
  <c r="U288" i="25"/>
  <c r="N288" i="25"/>
  <c r="V288" i="25"/>
  <c r="O288" i="25"/>
  <c r="Q288" i="25"/>
  <c r="P288" i="25" s="1"/>
  <c r="L288" i="25"/>
  <c r="T288" i="25"/>
  <c r="K288" i="25"/>
  <c r="R288" i="25"/>
  <c r="S288" i="25"/>
  <c r="J213" i="28"/>
  <c r="F290" i="1"/>
  <c r="G290" i="1"/>
  <c r="F215" i="28"/>
  <c r="W360" i="25"/>
  <c r="J360" i="25"/>
  <c r="R283" i="25"/>
  <c r="K283" i="25"/>
  <c r="S283" i="25"/>
  <c r="L283" i="25"/>
  <c r="T283" i="25"/>
  <c r="U283" i="25"/>
  <c r="N283" i="25"/>
  <c r="V283" i="25"/>
  <c r="Q283" i="25"/>
  <c r="O283" i="25"/>
  <c r="J208" i="28"/>
  <c r="F579" i="1"/>
  <c r="G579" i="1"/>
  <c r="F504" i="28"/>
  <c r="F347" i="28"/>
  <c r="F422" i="1"/>
  <c r="G422" i="1"/>
  <c r="M628" i="25"/>
  <c r="N644" i="25"/>
  <c r="M644" i="25" s="1"/>
  <c r="J644" i="25" s="1"/>
  <c r="L287" i="25"/>
  <c r="T287" i="25"/>
  <c r="U287" i="25"/>
  <c r="N287" i="25"/>
  <c r="V287" i="25"/>
  <c r="O287" i="25"/>
  <c r="K287" i="25"/>
  <c r="S287" i="25"/>
  <c r="Q287" i="25"/>
  <c r="R287" i="25"/>
  <c r="J212" i="28"/>
  <c r="G646" i="1"/>
  <c r="F575" i="28"/>
  <c r="J644" i="26"/>
  <c r="W644" i="26"/>
  <c r="S363" i="26"/>
  <c r="S470" i="26"/>
  <c r="S480" i="26" s="1"/>
  <c r="W491" i="27"/>
  <c r="M490" i="25"/>
  <c r="J490" i="25" s="1"/>
  <c r="N729" i="25"/>
  <c r="M729" i="25" s="1"/>
  <c r="F73" i="30" s="1"/>
  <c r="G420" i="1"/>
  <c r="F345" i="28"/>
  <c r="F420" i="1"/>
  <c r="Q290" i="25"/>
  <c r="R290" i="25"/>
  <c r="K290" i="25"/>
  <c r="S290" i="25"/>
  <c r="N290" i="25"/>
  <c r="M290" i="25" s="1"/>
  <c r="V290" i="25"/>
  <c r="L290" i="25"/>
  <c r="U290" i="25"/>
  <c r="T290" i="25"/>
  <c r="O290" i="25"/>
  <c r="J215" i="28"/>
  <c r="P478" i="25"/>
  <c r="Q728" i="25"/>
  <c r="P728" i="25" s="1"/>
  <c r="G72" i="30" s="1"/>
  <c r="F577" i="1"/>
  <c r="G577" i="1"/>
  <c r="F502" i="28"/>
  <c r="F351" i="1"/>
  <c r="F363" i="1" s="1"/>
  <c r="G351" i="1"/>
  <c r="G363" i="1" s="1"/>
  <c r="H363" i="1"/>
  <c r="F276" i="28"/>
  <c r="G644" i="1"/>
  <c r="F644" i="1"/>
  <c r="F573" i="28"/>
  <c r="F289" i="1"/>
  <c r="G289" i="1"/>
  <c r="F214" i="28"/>
  <c r="F298" i="1"/>
  <c r="G298" i="1"/>
  <c r="F223" i="28"/>
  <c r="H582" i="25"/>
  <c r="J499" i="28"/>
  <c r="O292" i="26"/>
  <c r="O33" i="26" s="1"/>
  <c r="P292" i="26"/>
  <c r="J290" i="27"/>
  <c r="W290" i="27"/>
  <c r="P480" i="27"/>
  <c r="J480" i="27" s="1"/>
  <c r="Q493" i="27"/>
  <c r="O363" i="26"/>
  <c r="O470" i="26"/>
  <c r="O480" i="26" s="1"/>
  <c r="K351" i="26"/>
  <c r="J800" i="26"/>
  <c r="H800" i="26" s="1"/>
  <c r="W800" i="26"/>
  <c r="F155" i="1"/>
  <c r="G155" i="1" s="1"/>
  <c r="F80" i="28"/>
  <c r="F154" i="1"/>
  <c r="G154" i="1"/>
  <c r="H162" i="1"/>
  <c r="F87" i="28" s="1"/>
  <c r="F79" i="28"/>
  <c r="G426" i="1"/>
  <c r="F351" i="28"/>
  <c r="F426" i="1"/>
  <c r="F297" i="1"/>
  <c r="F222" i="28"/>
  <c r="G297" i="1"/>
  <c r="W299" i="25"/>
  <c r="J299" i="25"/>
  <c r="P632" i="25"/>
  <c r="J632" i="25" s="1"/>
  <c r="K24" i="1"/>
  <c r="Q644" i="25"/>
  <c r="P644" i="25" s="1"/>
  <c r="P628" i="25"/>
  <c r="W644" i="25"/>
  <c r="F632" i="1"/>
  <c r="G632" i="1" s="1"/>
  <c r="F557" i="28"/>
  <c r="N289" i="25"/>
  <c r="V289" i="25"/>
  <c r="O289" i="25"/>
  <c r="Q289" i="25"/>
  <c r="R289" i="25"/>
  <c r="U289" i="25"/>
  <c r="L289" i="25"/>
  <c r="S289" i="25"/>
  <c r="T289" i="25"/>
  <c r="K289" i="25"/>
  <c r="J214" i="28"/>
  <c r="N298" i="25"/>
  <c r="V298" i="25"/>
  <c r="O298" i="25"/>
  <c r="Q298" i="25"/>
  <c r="P298" i="25" s="1"/>
  <c r="L298" i="25"/>
  <c r="T298" i="25"/>
  <c r="K298" i="25"/>
  <c r="R298" i="25"/>
  <c r="S298" i="25"/>
  <c r="U298" i="25"/>
  <c r="J223" i="28"/>
  <c r="F630" i="1"/>
  <c r="G630" i="1" s="1"/>
  <c r="F555" i="28"/>
  <c r="M298" i="26"/>
  <c r="W298" i="26" s="1"/>
  <c r="W283" i="26"/>
  <c r="P33" i="26"/>
  <c r="V363" i="26"/>
  <c r="V470" i="26"/>
  <c r="V480" i="26" s="1"/>
  <c r="R363" i="26"/>
  <c r="R470" i="26"/>
  <c r="R480" i="26" s="1"/>
  <c r="N801" i="27"/>
  <c r="N365" i="27" s="1"/>
  <c r="V801" i="27"/>
  <c r="V365" i="27" s="1"/>
  <c r="V374" i="27" s="1"/>
  <c r="Q801" i="27"/>
  <c r="Q365" i="27" s="1"/>
  <c r="O801" i="27"/>
  <c r="O365" i="27" s="1"/>
  <c r="O374" i="27" s="1"/>
  <c r="U801" i="27"/>
  <c r="U365" i="27" s="1"/>
  <c r="U374" i="27" s="1"/>
  <c r="P801" i="27"/>
  <c r="S801" i="27"/>
  <c r="S365" i="27" s="1"/>
  <c r="S374" i="27" s="1"/>
  <c r="M801" i="27"/>
  <c r="R801" i="27"/>
  <c r="R365" i="27" s="1"/>
  <c r="R374" i="27" s="1"/>
  <c r="K801" i="27"/>
  <c r="L801" i="27"/>
  <c r="L365" i="27" s="1"/>
  <c r="L374" i="27" s="1"/>
  <c r="T801" i="27"/>
  <c r="T365" i="27" s="1"/>
  <c r="T374" i="27" s="1"/>
  <c r="F158" i="1"/>
  <c r="G158" i="1" s="1"/>
  <c r="F83" i="28"/>
  <c r="H171" i="25"/>
  <c r="J21" i="28"/>
  <c r="F264" i="1"/>
  <c r="F266" i="1" s="1"/>
  <c r="H266" i="1"/>
  <c r="F191" i="28" s="1"/>
  <c r="F189" i="28"/>
  <c r="G264" i="1"/>
  <c r="G266" i="1" s="1"/>
  <c r="P373" i="25"/>
  <c r="J373" i="25" s="1"/>
  <c r="K46" i="1"/>
  <c r="K62" i="1"/>
  <c r="H597" i="1"/>
  <c r="F522" i="28" s="1"/>
  <c r="F460" i="28"/>
  <c r="F535" i="1"/>
  <c r="G535" i="1" s="1"/>
  <c r="U297" i="25"/>
  <c r="N297" i="25"/>
  <c r="V297" i="25"/>
  <c r="O297" i="25"/>
  <c r="K297" i="25"/>
  <c r="S297" i="25"/>
  <c r="L297" i="25"/>
  <c r="H306" i="25"/>
  <c r="J231" i="28" s="1"/>
  <c r="Q297" i="25"/>
  <c r="R297" i="25"/>
  <c r="J222" i="28"/>
  <c r="T297" i="25"/>
  <c r="H247" i="1"/>
  <c r="F172" i="28" s="1"/>
  <c r="F116" i="28"/>
  <c r="H26" i="1"/>
  <c r="F424" i="1"/>
  <c r="G424" i="1" s="1"/>
  <c r="F349" i="28"/>
  <c r="W628" i="25"/>
  <c r="R586" i="25"/>
  <c r="R594" i="25" s="1"/>
  <c r="K586" i="25"/>
  <c r="S586" i="25"/>
  <c r="S594" i="25" s="1"/>
  <c r="L586" i="25"/>
  <c r="L594" i="25" s="1"/>
  <c r="T586" i="25"/>
  <c r="T594" i="25" s="1"/>
  <c r="U586" i="25"/>
  <c r="U594" i="25" s="1"/>
  <c r="N586" i="25"/>
  <c r="V586" i="25"/>
  <c r="V594" i="25" s="1"/>
  <c r="Q586" i="25"/>
  <c r="H594" i="25"/>
  <c r="J519" i="28" s="1"/>
  <c r="O586" i="25"/>
  <c r="O594" i="25" s="1"/>
  <c r="J511" i="28"/>
  <c r="H374" i="1"/>
  <c r="F299" i="28" s="1"/>
  <c r="F239" i="1"/>
  <c r="G239" i="1"/>
  <c r="F164" i="28"/>
  <c r="H582" i="1"/>
  <c r="F507" i="28" s="1"/>
  <c r="W288" i="26"/>
  <c r="J288" i="26"/>
  <c r="P628" i="26"/>
  <c r="J632" i="26"/>
  <c r="N363" i="26"/>
  <c r="N470" i="26"/>
  <c r="M351" i="26"/>
  <c r="Q363" i="26"/>
  <c r="Q470" i="26"/>
  <c r="P351" i="26"/>
  <c r="H31" i="1"/>
  <c r="F168" i="1"/>
  <c r="G168" i="1"/>
  <c r="F93" i="28"/>
  <c r="M534" i="25"/>
  <c r="J534" i="25" s="1"/>
  <c r="H247" i="25"/>
  <c r="J172" i="28" s="1"/>
  <c r="H266" i="25"/>
  <c r="J191" i="28" s="1"/>
  <c r="J189" i="28"/>
  <c r="P490" i="25"/>
  <c r="Q729" i="25"/>
  <c r="P729" i="25" s="1"/>
  <c r="G73" i="30" s="1"/>
  <c r="H643" i="1"/>
  <c r="G627" i="1"/>
  <c r="F627" i="1"/>
  <c r="F552" i="28"/>
  <c r="G580" i="1"/>
  <c r="F580" i="1"/>
  <c r="F505" i="28"/>
  <c r="F299" i="1"/>
  <c r="G299" i="1"/>
  <c r="F224" i="28"/>
  <c r="M478" i="25"/>
  <c r="N728" i="25"/>
  <c r="M728" i="25" s="1"/>
  <c r="F72" i="30" s="1"/>
  <c r="K478" i="25"/>
  <c r="F419" i="1"/>
  <c r="G419" i="1"/>
  <c r="F344" i="28"/>
  <c r="H32" i="1"/>
  <c r="H22" i="1"/>
  <c r="M62" i="1"/>
  <c r="M46" i="1"/>
  <c r="K45" i="1"/>
  <c r="K61" i="1"/>
  <c r="F578" i="1"/>
  <c r="G578" i="1"/>
  <c r="G582" i="1" s="1"/>
  <c r="F503" i="28"/>
  <c r="J287" i="26"/>
  <c r="M800" i="27"/>
  <c r="U800" i="27"/>
  <c r="U351" i="27" s="1"/>
  <c r="R800" i="27"/>
  <c r="R351" i="27" s="1"/>
  <c r="N800" i="27"/>
  <c r="N351" i="27" s="1"/>
  <c r="V800" i="27"/>
  <c r="V351" i="27" s="1"/>
  <c r="P800" i="27"/>
  <c r="O800" i="27"/>
  <c r="O351" i="27" s="1"/>
  <c r="Q800" i="27"/>
  <c r="Q351" i="27" s="1"/>
  <c r="L800" i="27"/>
  <c r="L351" i="27" s="1"/>
  <c r="K800" i="27"/>
  <c r="S800" i="27"/>
  <c r="S351" i="27" s="1"/>
  <c r="T800" i="27"/>
  <c r="T351" i="27" s="1"/>
  <c r="U363" i="26"/>
  <c r="U470" i="26"/>
  <c r="U480" i="26" s="1"/>
  <c r="M493" i="27"/>
  <c r="N495" i="27"/>
  <c r="G237" i="1"/>
  <c r="F162" i="28"/>
  <c r="F237" i="1"/>
  <c r="L24" i="1"/>
  <c r="F282" i="1"/>
  <c r="F292" i="1" s="1"/>
  <c r="F207" i="28"/>
  <c r="G282" i="1"/>
  <c r="H292" i="1"/>
  <c r="F217" i="28" s="1"/>
  <c r="W373" i="25"/>
  <c r="F558" i="28"/>
  <c r="F633" i="1"/>
  <c r="G633" i="1" s="1"/>
  <c r="F30" i="1"/>
  <c r="G30" i="1" s="1"/>
  <c r="F425" i="1"/>
  <c r="G425" i="1"/>
  <c r="F350" i="28"/>
  <c r="H375" i="25"/>
  <c r="J288" i="28"/>
  <c r="F157" i="1"/>
  <c r="G157" i="1"/>
  <c r="F82" i="28"/>
  <c r="H33" i="1"/>
  <c r="M171" i="1"/>
  <c r="M249" i="1" s="1"/>
  <c r="M308" i="1" s="1"/>
  <c r="M19" i="1"/>
  <c r="H427" i="25"/>
  <c r="J352" i="28" s="1"/>
  <c r="J337" i="28"/>
  <c r="K47" i="1"/>
  <c r="K63" i="1"/>
  <c r="F582" i="1"/>
  <c r="F414" i="1"/>
  <c r="G414" i="1"/>
  <c r="F339" i="28"/>
  <c r="K292" i="26"/>
  <c r="G427" i="1" l="1"/>
  <c r="G429" i="1" s="1"/>
  <c r="H298" i="28"/>
  <c r="L298" i="28"/>
  <c r="M298" i="28" s="1"/>
  <c r="H459" i="28"/>
  <c r="N459" i="28" s="1"/>
  <c r="L459" i="28"/>
  <c r="J478" i="25"/>
  <c r="W478" i="25"/>
  <c r="K728" i="25"/>
  <c r="K351" i="27"/>
  <c r="J800" i="27"/>
  <c r="H800" i="27" s="1"/>
  <c r="W800" i="27" s="1"/>
  <c r="F31" i="1"/>
  <c r="G31" i="1" s="1"/>
  <c r="M297" i="25"/>
  <c r="K28" i="1"/>
  <c r="J507" i="28"/>
  <c r="H597" i="25"/>
  <c r="J522" i="28" s="1"/>
  <c r="W534" i="25"/>
  <c r="V292" i="25"/>
  <c r="V33" i="25" s="1"/>
  <c r="Q292" i="25"/>
  <c r="P282" i="25"/>
  <c r="J298" i="26"/>
  <c r="H47" i="1"/>
  <c r="H63" i="1"/>
  <c r="J628" i="26"/>
  <c r="W628" i="26"/>
  <c r="P297" i="25"/>
  <c r="J628" i="25"/>
  <c r="G536" i="1"/>
  <c r="G597" i="1" s="1"/>
  <c r="U292" i="25"/>
  <c r="U33" i="25" s="1"/>
  <c r="W480" i="27"/>
  <c r="G292" i="1"/>
  <c r="F427" i="1"/>
  <c r="F429" i="1" s="1"/>
  <c r="F536" i="1"/>
  <c r="F597" i="1" s="1"/>
  <c r="T292" i="25"/>
  <c r="T33" i="25" s="1"/>
  <c r="W302" i="25"/>
  <c r="N525" i="27"/>
  <c r="M495" i="27"/>
  <c r="F26" i="1"/>
  <c r="G26" i="1" s="1"/>
  <c r="F22" i="1"/>
  <c r="G22" i="1" s="1"/>
  <c r="P470" i="26"/>
  <c r="Q480" i="26"/>
  <c r="J586" i="25"/>
  <c r="K594" i="25"/>
  <c r="P365" i="27"/>
  <c r="Q374" i="27"/>
  <c r="P374" i="27" s="1"/>
  <c r="M298" i="25"/>
  <c r="P289" i="25"/>
  <c r="M288" i="25"/>
  <c r="L292" i="25"/>
  <c r="L33" i="25" s="1"/>
  <c r="W490" i="25"/>
  <c r="P363" i="26"/>
  <c r="P586" i="25"/>
  <c r="Q594" i="25"/>
  <c r="P594" i="25" s="1"/>
  <c r="K365" i="27"/>
  <c r="J801" i="27"/>
  <c r="H801" i="27" s="1"/>
  <c r="W801" i="27" s="1"/>
  <c r="W351" i="26"/>
  <c r="K363" i="26"/>
  <c r="K470" i="26"/>
  <c r="J351" i="26"/>
  <c r="F288" i="28"/>
  <c r="H375" i="1"/>
  <c r="M287" i="25"/>
  <c r="W287" i="25" s="1"/>
  <c r="P283" i="25"/>
  <c r="H171" i="1"/>
  <c r="F21" i="28"/>
  <c r="S292" i="25"/>
  <c r="S33" i="25" s="1"/>
  <c r="N287" i="28"/>
  <c r="I287" i="28"/>
  <c r="J729" i="25"/>
  <c r="H729" i="25" s="1"/>
  <c r="W729" i="25"/>
  <c r="D73" i="30"/>
  <c r="K73" i="30" s="1"/>
  <c r="N374" i="27"/>
  <c r="M374" i="27" s="1"/>
  <c r="M365" i="27"/>
  <c r="W298" i="25"/>
  <c r="J298" i="25"/>
  <c r="G306" i="1"/>
  <c r="G308" i="1" s="1"/>
  <c r="G162" i="1"/>
  <c r="W632" i="25"/>
  <c r="W288" i="25"/>
  <c r="J288" i="25"/>
  <c r="J493" i="27"/>
  <c r="N33" i="26"/>
  <c r="M33" i="26" s="1"/>
  <c r="M292" i="26"/>
  <c r="H34" i="1"/>
  <c r="K292" i="25"/>
  <c r="P351" i="27"/>
  <c r="K33" i="26"/>
  <c r="W292" i="26"/>
  <c r="J292" i="26"/>
  <c r="L28" i="1"/>
  <c r="M351" i="27"/>
  <c r="F643" i="1"/>
  <c r="G643" i="1" s="1"/>
  <c r="F572" i="28"/>
  <c r="N480" i="26"/>
  <c r="M470" i="26"/>
  <c r="M586" i="25"/>
  <c r="M594" i="25" s="1"/>
  <c r="N594" i="25"/>
  <c r="H62" i="1"/>
  <c r="H249" i="25"/>
  <c r="J96" i="28"/>
  <c r="M289" i="25"/>
  <c r="W289" i="25" s="1"/>
  <c r="F162" i="1"/>
  <c r="F171" i="1" s="1"/>
  <c r="F249" i="1" s="1"/>
  <c r="P290" i="25"/>
  <c r="J290" i="25" s="1"/>
  <c r="M283" i="25"/>
  <c r="W283" i="25" s="1"/>
  <c r="K525" i="27"/>
  <c r="O292" i="25"/>
  <c r="O33" i="25" s="1"/>
  <c r="G245" i="1"/>
  <c r="G247" i="1" s="1"/>
  <c r="M24" i="1"/>
  <c r="F32" i="1"/>
  <c r="G32" i="1" s="1"/>
  <c r="W297" i="25"/>
  <c r="J297" i="25"/>
  <c r="H377" i="25"/>
  <c r="J300" i="28"/>
  <c r="G171" i="1"/>
  <c r="G249" i="1" s="1"/>
  <c r="G33" i="1"/>
  <c r="F33" i="1"/>
  <c r="M363" i="26"/>
  <c r="H46" i="1"/>
  <c r="H19" i="1"/>
  <c r="F306" i="1"/>
  <c r="Q495" i="27"/>
  <c r="P493" i="27"/>
  <c r="W493" i="27" s="1"/>
  <c r="P287" i="25"/>
  <c r="L45" i="1"/>
  <c r="L61" i="1"/>
  <c r="M282" i="25"/>
  <c r="J282" i="25" s="1"/>
  <c r="N292" i="25"/>
  <c r="R292" i="25"/>
  <c r="R33" i="25" s="1"/>
  <c r="F245" i="1"/>
  <c r="F247" i="1" s="1"/>
  <c r="L215" i="28" l="1"/>
  <c r="M215" i="28" s="1"/>
  <c r="H215" i="28"/>
  <c r="H408" i="25"/>
  <c r="J333" i="28" s="1"/>
  <c r="H429" i="25"/>
  <c r="J354" i="28" s="1"/>
  <c r="J302" i="28"/>
  <c r="M28" i="1"/>
  <c r="F62" i="1"/>
  <c r="G62" i="1" s="1"/>
  <c r="W363" i="26"/>
  <c r="J363" i="26"/>
  <c r="J283" i="25"/>
  <c r="W594" i="25"/>
  <c r="J594" i="25"/>
  <c r="Q33" i="25"/>
  <c r="P33" i="25" s="1"/>
  <c r="P292" i="25"/>
  <c r="I298" i="28"/>
  <c r="N298" i="28"/>
  <c r="H511" i="28"/>
  <c r="L511" i="28"/>
  <c r="M511" i="28" s="1"/>
  <c r="W282" i="25"/>
  <c r="J289" i="25"/>
  <c r="N801" i="25"/>
  <c r="N365" i="25" s="1"/>
  <c r="V801" i="25"/>
  <c r="O801" i="25"/>
  <c r="O365" i="25" s="1"/>
  <c r="P801" i="25"/>
  <c r="G73" i="31" s="1"/>
  <c r="Q801" i="25"/>
  <c r="Q365" i="25" s="1"/>
  <c r="R801" i="25"/>
  <c r="R365" i="25" s="1"/>
  <c r="L801" i="25"/>
  <c r="M801" i="25"/>
  <c r="F73" i="31" s="1"/>
  <c r="S801" i="25"/>
  <c r="S365" i="25" s="1"/>
  <c r="T801" i="25"/>
  <c r="U801" i="25"/>
  <c r="K801" i="25"/>
  <c r="W290" i="25"/>
  <c r="P480" i="26"/>
  <c r="N725" i="27"/>
  <c r="M725" i="27" s="1"/>
  <c r="N724" i="27"/>
  <c r="M724" i="27" s="1"/>
  <c r="M525" i="27"/>
  <c r="J287" i="25"/>
  <c r="F63" i="1"/>
  <c r="G63" i="1" s="1"/>
  <c r="K33" i="25"/>
  <c r="W365" i="27"/>
  <c r="K374" i="27"/>
  <c r="J365" i="27"/>
  <c r="J351" i="27"/>
  <c r="W351" i="27"/>
  <c r="L36" i="1"/>
  <c r="H377" i="1"/>
  <c r="F300" i="28"/>
  <c r="G47" i="1"/>
  <c r="F47" i="1"/>
  <c r="Q525" i="27"/>
  <c r="P495" i="27"/>
  <c r="W495" i="27" s="1"/>
  <c r="K725" i="27"/>
  <c r="K724" i="27"/>
  <c r="M480" i="26"/>
  <c r="F34" i="1"/>
  <c r="G34" i="1" s="1"/>
  <c r="W728" i="25"/>
  <c r="J728" i="25"/>
  <c r="H728" i="25" s="1"/>
  <c r="D72" i="30"/>
  <c r="K72" i="30" s="1"/>
  <c r="F46" i="1"/>
  <c r="G46" i="1" s="1"/>
  <c r="H222" i="28"/>
  <c r="L222" i="28"/>
  <c r="M222" i="28" s="1"/>
  <c r="F308" i="1"/>
  <c r="H24" i="1"/>
  <c r="H45" i="1"/>
  <c r="N33" i="25"/>
  <c r="M33" i="25" s="1"/>
  <c r="M292" i="25"/>
  <c r="J292" i="25" s="1"/>
  <c r="H61" i="1"/>
  <c r="F19" i="1"/>
  <c r="F24" i="1" s="1"/>
  <c r="F28" i="1" s="1"/>
  <c r="G19" i="1"/>
  <c r="G24" i="1" s="1"/>
  <c r="G28" i="1" s="1"/>
  <c r="H308" i="25"/>
  <c r="J233" i="28" s="1"/>
  <c r="J174" i="28"/>
  <c r="J33" i="26"/>
  <c r="H33" i="26" s="1"/>
  <c r="Y33" i="26" s="1"/>
  <c r="W33" i="26"/>
  <c r="F96" i="28"/>
  <c r="H249" i="1"/>
  <c r="W470" i="26"/>
  <c r="K480" i="26"/>
  <c r="J470" i="26"/>
  <c r="W586" i="25"/>
  <c r="K36" i="1"/>
  <c r="H28" i="1"/>
  <c r="L403" i="28"/>
  <c r="M403" i="28" s="1"/>
  <c r="H403" i="28"/>
  <c r="Q374" i="25" l="1"/>
  <c r="P365" i="25"/>
  <c r="Q482" i="25"/>
  <c r="J495" i="27"/>
  <c r="K365" i="25"/>
  <c r="J801" i="25"/>
  <c r="H801" i="25" s="1"/>
  <c r="W801" i="25" s="1"/>
  <c r="D73" i="31"/>
  <c r="K57" i="1"/>
  <c r="H408" i="1"/>
  <c r="F333" i="28" s="1"/>
  <c r="H429" i="1"/>
  <c r="F354" i="28" s="1"/>
  <c r="F302" i="28"/>
  <c r="U365" i="25"/>
  <c r="I73" i="31"/>
  <c r="O374" i="25"/>
  <c r="O482" i="25"/>
  <c r="O491" i="25" s="1"/>
  <c r="N511" i="28"/>
  <c r="I511" i="28"/>
  <c r="M36" i="1"/>
  <c r="F45" i="1"/>
  <c r="G45" i="1" s="1"/>
  <c r="M800" i="25"/>
  <c r="F72" i="31" s="1"/>
  <c r="U800" i="25"/>
  <c r="N800" i="25"/>
  <c r="N351" i="25" s="1"/>
  <c r="V800" i="25"/>
  <c r="O800" i="25"/>
  <c r="O351" i="25" s="1"/>
  <c r="P800" i="25"/>
  <c r="G72" i="31" s="1"/>
  <c r="Q800" i="25"/>
  <c r="Q351" i="25" s="1"/>
  <c r="K800" i="25"/>
  <c r="L800" i="25"/>
  <c r="R800" i="25"/>
  <c r="R351" i="25" s="1"/>
  <c r="S800" i="25"/>
  <c r="S351" i="25" s="1"/>
  <c r="T800" i="25"/>
  <c r="J725" i="27"/>
  <c r="H725" i="27" s="1"/>
  <c r="J374" i="27"/>
  <c r="W374" i="27"/>
  <c r="T365" i="25"/>
  <c r="H73" i="31"/>
  <c r="V365" i="25"/>
  <c r="J73" i="31"/>
  <c r="F174" i="28"/>
  <c r="H308" i="1"/>
  <c r="F233" i="28" s="1"/>
  <c r="S374" i="25"/>
  <c r="S482" i="25"/>
  <c r="S491" i="25" s="1"/>
  <c r="N374" i="25"/>
  <c r="M374" i="25" s="1"/>
  <c r="M365" i="25"/>
  <c r="N482" i="25"/>
  <c r="W292" i="25"/>
  <c r="N215" i="28"/>
  <c r="I215" i="28"/>
  <c r="F61" i="1"/>
  <c r="G61" i="1" s="1"/>
  <c r="J480" i="26"/>
  <c r="W480" i="26"/>
  <c r="G36" i="1"/>
  <c r="P525" i="27"/>
  <c r="Q725" i="27"/>
  <c r="P725" i="27" s="1"/>
  <c r="Q724" i="27"/>
  <c r="P724" i="27" s="1"/>
  <c r="L57" i="1"/>
  <c r="J33" i="25"/>
  <c r="H33" i="25" s="1"/>
  <c r="X33" i="25" s="1"/>
  <c r="W33" i="25"/>
  <c r="L365" i="25"/>
  <c r="E73" i="31"/>
  <c r="N403" i="28"/>
  <c r="I403" i="28"/>
  <c r="F36" i="1"/>
  <c r="I222" i="28"/>
  <c r="N222" i="28"/>
  <c r="R374" i="25"/>
  <c r="R482" i="25"/>
  <c r="R491" i="25" s="1"/>
  <c r="L374" i="25" l="1"/>
  <c r="L482" i="25"/>
  <c r="L491" i="25" s="1"/>
  <c r="K351" i="25"/>
  <c r="W800" i="25"/>
  <c r="J800" i="25"/>
  <c r="H800" i="25" s="1"/>
  <c r="D72" i="31"/>
  <c r="K59" i="1"/>
  <c r="J724" i="27"/>
  <c r="H724" i="27" s="1"/>
  <c r="P351" i="25"/>
  <c r="Q363" i="25"/>
  <c r="Q470" i="25"/>
  <c r="U374" i="25"/>
  <c r="U482" i="25"/>
  <c r="U491" i="25" s="1"/>
  <c r="J525" i="27"/>
  <c r="W525" i="27"/>
  <c r="L797" i="27"/>
  <c r="L417" i="27" s="1"/>
  <c r="T797" i="27"/>
  <c r="T417" i="27" s="1"/>
  <c r="M797" i="27"/>
  <c r="U797" i="27"/>
  <c r="U417" i="27" s="1"/>
  <c r="O797" i="27"/>
  <c r="O417" i="27" s="1"/>
  <c r="Q797" i="27"/>
  <c r="Q417" i="27" s="1"/>
  <c r="N797" i="27"/>
  <c r="N417" i="27" s="1"/>
  <c r="M417" i="27" s="1"/>
  <c r="V797" i="27"/>
  <c r="V417" i="27" s="1"/>
  <c r="S797" i="27"/>
  <c r="S417" i="27" s="1"/>
  <c r="P797" i="27"/>
  <c r="R797" i="27"/>
  <c r="R417" i="27" s="1"/>
  <c r="K797" i="27"/>
  <c r="T374" i="25"/>
  <c r="T482" i="25"/>
  <c r="T491" i="25" s="1"/>
  <c r="N491" i="25"/>
  <c r="M491" i="25" s="1"/>
  <c r="M482" i="25"/>
  <c r="W725" i="27"/>
  <c r="O363" i="25"/>
  <c r="O375" i="25" s="1"/>
  <c r="O377" i="25" s="1"/>
  <c r="O470" i="25"/>
  <c r="O480" i="25" s="1"/>
  <c r="O493" i="25" s="1"/>
  <c r="O495" i="25" s="1"/>
  <c r="O525" i="25" s="1"/>
  <c r="M57" i="1"/>
  <c r="H57" i="1" s="1"/>
  <c r="P482" i="25"/>
  <c r="Q491" i="25"/>
  <c r="P491" i="25" s="1"/>
  <c r="L59" i="1"/>
  <c r="T351" i="25"/>
  <c r="H72" i="31"/>
  <c r="V351" i="25"/>
  <c r="J72" i="31"/>
  <c r="K73" i="31"/>
  <c r="L351" i="25"/>
  <c r="E72" i="31"/>
  <c r="V374" i="25"/>
  <c r="V482" i="25"/>
  <c r="V491" i="25" s="1"/>
  <c r="S363" i="25"/>
  <c r="S375" i="25" s="1"/>
  <c r="S377" i="25" s="1"/>
  <c r="S470" i="25"/>
  <c r="S480" i="25" s="1"/>
  <c r="S493" i="25" s="1"/>
  <c r="S495" i="25" s="1"/>
  <c r="S525" i="25" s="1"/>
  <c r="M351" i="25"/>
  <c r="N363" i="25"/>
  <c r="N470" i="25"/>
  <c r="P374" i="25"/>
  <c r="R363" i="25"/>
  <c r="R375" i="25" s="1"/>
  <c r="R377" i="25" s="1"/>
  <c r="R470" i="25"/>
  <c r="R480" i="25" s="1"/>
  <c r="R493" i="25" s="1"/>
  <c r="R495" i="25" s="1"/>
  <c r="R525" i="25" s="1"/>
  <c r="U351" i="25"/>
  <c r="I72" i="31"/>
  <c r="H36" i="1"/>
  <c r="W365" i="25"/>
  <c r="K374" i="25"/>
  <c r="J365" i="25"/>
  <c r="K482" i="25"/>
  <c r="F57" i="1" l="1"/>
  <c r="G57" i="1"/>
  <c r="O725" i="25"/>
  <c r="O724" i="25"/>
  <c r="P470" i="25"/>
  <c r="Q480" i="25"/>
  <c r="R408" i="25"/>
  <c r="O408" i="25"/>
  <c r="Q375" i="25"/>
  <c r="P363" i="25"/>
  <c r="W351" i="25"/>
  <c r="J351" i="25"/>
  <c r="K363" i="25"/>
  <c r="K470" i="25"/>
  <c r="L623" i="1"/>
  <c r="L636" i="1" s="1"/>
  <c r="L640" i="1" s="1"/>
  <c r="L647" i="1" s="1"/>
  <c r="L64" i="1" s="1"/>
  <c r="K796" i="27"/>
  <c r="S796" i="27"/>
  <c r="N796" i="27"/>
  <c r="L796" i="27"/>
  <c r="T796" i="27"/>
  <c r="M796" i="27"/>
  <c r="U796" i="27"/>
  <c r="V796" i="27"/>
  <c r="O796" i="27"/>
  <c r="P796" i="27"/>
  <c r="R796" i="27"/>
  <c r="Q796" i="27"/>
  <c r="T363" i="25"/>
  <c r="T375" i="25" s="1"/>
  <c r="T377" i="25" s="1"/>
  <c r="T470" i="25"/>
  <c r="T480" i="25" s="1"/>
  <c r="T493" i="25" s="1"/>
  <c r="T495" i="25" s="1"/>
  <c r="T525" i="25" s="1"/>
  <c r="W374" i="25"/>
  <c r="J374" i="25"/>
  <c r="N480" i="25"/>
  <c r="M470" i="25"/>
  <c r="L363" i="25"/>
  <c r="L375" i="25" s="1"/>
  <c r="L377" i="25" s="1"/>
  <c r="L470" i="25"/>
  <c r="L480" i="25" s="1"/>
  <c r="L493" i="25" s="1"/>
  <c r="L495" i="25" s="1"/>
  <c r="L525" i="25" s="1"/>
  <c r="R725" i="25"/>
  <c r="R724" i="25"/>
  <c r="W482" i="25"/>
  <c r="K491" i="25"/>
  <c r="J482" i="25"/>
  <c r="M363" i="25"/>
  <c r="N375" i="25"/>
  <c r="P417" i="27"/>
  <c r="H59" i="1"/>
  <c r="K623" i="1"/>
  <c r="S725" i="25"/>
  <c r="S724" i="25"/>
  <c r="U363" i="25"/>
  <c r="U375" i="25" s="1"/>
  <c r="U377" i="25" s="1"/>
  <c r="U470" i="25"/>
  <c r="U480" i="25" s="1"/>
  <c r="U493" i="25" s="1"/>
  <c r="U495" i="25" s="1"/>
  <c r="U525" i="25" s="1"/>
  <c r="S408" i="25"/>
  <c r="V363" i="25"/>
  <c r="V375" i="25" s="1"/>
  <c r="V377" i="25" s="1"/>
  <c r="V470" i="25"/>
  <c r="V480" i="25" s="1"/>
  <c r="V493" i="25" s="1"/>
  <c r="V495" i="25" s="1"/>
  <c r="V525" i="25" s="1"/>
  <c r="M59" i="1"/>
  <c r="K417" i="27"/>
  <c r="J797" i="27"/>
  <c r="H797" i="27" s="1"/>
  <c r="W797" i="27" s="1"/>
  <c r="K72" i="31"/>
  <c r="W724" i="27"/>
  <c r="W417" i="27" l="1"/>
  <c r="J417" i="27"/>
  <c r="U408" i="25"/>
  <c r="M375" i="25"/>
  <c r="N377" i="25"/>
  <c r="T408" i="25"/>
  <c r="T151" i="27"/>
  <c r="T95" i="27"/>
  <c r="T94" i="27"/>
  <c r="T153" i="27"/>
  <c r="T93" i="27"/>
  <c r="T152" i="27"/>
  <c r="T158" i="27"/>
  <c r="T154" i="27"/>
  <c r="T157" i="27"/>
  <c r="T188" i="27"/>
  <c r="T285" i="27"/>
  <c r="T633" i="27"/>
  <c r="T156" i="27"/>
  <c r="T302" i="27"/>
  <c r="T632" i="27"/>
  <c r="T155" i="27"/>
  <c r="T284" i="27"/>
  <c r="T416" i="27"/>
  <c r="T168" i="27"/>
  <c r="T283" i="27"/>
  <c r="T415" i="27"/>
  <c r="T424" i="27"/>
  <c r="T414" i="27"/>
  <c r="T422" i="27"/>
  <c r="T605" i="27"/>
  <c r="T160" i="27"/>
  <c r="T190" i="27"/>
  <c r="T298" i="27"/>
  <c r="T413" i="27"/>
  <c r="T420" i="27"/>
  <c r="T412" i="27"/>
  <c r="T159" i="27"/>
  <c r="T189" i="27"/>
  <c r="T286" i="27"/>
  <c r="T296" i="27"/>
  <c r="T419" i="27"/>
  <c r="J470" i="25"/>
  <c r="W470" i="25"/>
  <c r="K480" i="25"/>
  <c r="L724" i="25"/>
  <c r="E68" i="30" s="1"/>
  <c r="L725" i="25"/>
  <c r="E69" i="30" s="1"/>
  <c r="Q155" i="27"/>
  <c r="Q95" i="27"/>
  <c r="Q154" i="27"/>
  <c r="Q94" i="27"/>
  <c r="Q153" i="27"/>
  <c r="Q93" i="27"/>
  <c r="Q152" i="27"/>
  <c r="Q151" i="27"/>
  <c r="Q168" i="27"/>
  <c r="Q283" i="27"/>
  <c r="Q415" i="27"/>
  <c r="Q424" i="27"/>
  <c r="Q414" i="27"/>
  <c r="Q422" i="27"/>
  <c r="Q605" i="27"/>
  <c r="Q160" i="27"/>
  <c r="Q190" i="27"/>
  <c r="Q298" i="27"/>
  <c r="Q413" i="27"/>
  <c r="Q420" i="27"/>
  <c r="Q159" i="27"/>
  <c r="Q189" i="27"/>
  <c r="Q286" i="27"/>
  <c r="Q296" i="27"/>
  <c r="Q419" i="27"/>
  <c r="Q416" i="27"/>
  <c r="Q158" i="27"/>
  <c r="Q412" i="27"/>
  <c r="Q157" i="27"/>
  <c r="Q188" i="27"/>
  <c r="Q285" i="27"/>
  <c r="Q633" i="27"/>
  <c r="Q284" i="27"/>
  <c r="Q156" i="27"/>
  <c r="Q302" i="27"/>
  <c r="Q632" i="27"/>
  <c r="L151" i="27"/>
  <c r="L95" i="27"/>
  <c r="L94" i="27"/>
  <c r="L153" i="27"/>
  <c r="L93" i="27"/>
  <c r="L152" i="27"/>
  <c r="L158" i="27"/>
  <c r="L157" i="27"/>
  <c r="L188" i="27"/>
  <c r="L285" i="27"/>
  <c r="L633" i="27"/>
  <c r="L156" i="27"/>
  <c r="L302" i="27"/>
  <c r="L632" i="27"/>
  <c r="L284" i="27"/>
  <c r="L416" i="27"/>
  <c r="L296" i="27"/>
  <c r="L168" i="27"/>
  <c r="L283" i="27"/>
  <c r="L415" i="27"/>
  <c r="L424" i="27"/>
  <c r="L414" i="27"/>
  <c r="L422" i="27"/>
  <c r="L605" i="27"/>
  <c r="L412" i="27"/>
  <c r="L154" i="27"/>
  <c r="L155" i="27"/>
  <c r="L160" i="27"/>
  <c r="L190" i="27"/>
  <c r="L298" i="27"/>
  <c r="L413" i="27"/>
  <c r="L420" i="27"/>
  <c r="L159" i="27"/>
  <c r="L189" i="27"/>
  <c r="L286" i="27"/>
  <c r="L419" i="27"/>
  <c r="J363" i="25"/>
  <c r="K375" i="25"/>
  <c r="W363" i="25"/>
  <c r="L408" i="25"/>
  <c r="R155" i="27"/>
  <c r="R95" i="27"/>
  <c r="R154" i="27"/>
  <c r="R94" i="27"/>
  <c r="R153" i="27"/>
  <c r="R93" i="27"/>
  <c r="R152" i="27"/>
  <c r="R151" i="27"/>
  <c r="R156" i="27"/>
  <c r="R284" i="27"/>
  <c r="R416" i="27"/>
  <c r="R168" i="27"/>
  <c r="R283" i="27"/>
  <c r="R415" i="27"/>
  <c r="R424" i="27"/>
  <c r="R414" i="27"/>
  <c r="R422" i="27"/>
  <c r="R605" i="27"/>
  <c r="R632" i="27"/>
  <c r="R160" i="27"/>
  <c r="R190" i="27"/>
  <c r="R298" i="27"/>
  <c r="R413" i="27"/>
  <c r="R420" i="27"/>
  <c r="R159" i="27"/>
  <c r="R189" i="27"/>
  <c r="R286" i="27"/>
  <c r="R296" i="27"/>
  <c r="R419" i="27"/>
  <c r="R158" i="27"/>
  <c r="R412" i="27"/>
  <c r="R302" i="27"/>
  <c r="R157" i="27"/>
  <c r="R188" i="27"/>
  <c r="R191" i="27" s="1"/>
  <c r="R285" i="27"/>
  <c r="R633" i="27"/>
  <c r="N93" i="27"/>
  <c r="N152" i="27"/>
  <c r="N151" i="27"/>
  <c r="N95" i="27"/>
  <c r="N94" i="27"/>
  <c r="N153" i="27"/>
  <c r="N155" i="27"/>
  <c r="N160" i="27"/>
  <c r="N190" i="27"/>
  <c r="N159" i="27"/>
  <c r="N189" i="27"/>
  <c r="N286" i="27"/>
  <c r="N419" i="27"/>
  <c r="N158" i="27"/>
  <c r="N412" i="27"/>
  <c r="N298" i="27"/>
  <c r="N413" i="27"/>
  <c r="N157" i="27"/>
  <c r="N188" i="27"/>
  <c r="N285" i="27"/>
  <c r="N633" i="27"/>
  <c r="N420" i="27"/>
  <c r="N156" i="27"/>
  <c r="N302" i="27"/>
  <c r="N632" i="27"/>
  <c r="N284" i="27"/>
  <c r="N416" i="27"/>
  <c r="N168" i="27"/>
  <c r="N283" i="27"/>
  <c r="N415" i="27"/>
  <c r="N424" i="27"/>
  <c r="N154" i="27"/>
  <c r="N414" i="27"/>
  <c r="N422" i="27"/>
  <c r="N605" i="27"/>
  <c r="L276" i="28"/>
  <c r="M276" i="28" s="1"/>
  <c r="H276" i="28"/>
  <c r="Q493" i="25"/>
  <c r="P480" i="25"/>
  <c r="M623" i="1"/>
  <c r="M636" i="1" s="1"/>
  <c r="M640" i="1" s="1"/>
  <c r="M647" i="1" s="1"/>
  <c r="M64" i="1" s="1"/>
  <c r="V725" i="25"/>
  <c r="J69" i="30" s="1"/>
  <c r="V724" i="25"/>
  <c r="J68" i="30" s="1"/>
  <c r="H623" i="1"/>
  <c r="K636" i="1"/>
  <c r="K640" i="1" s="1"/>
  <c r="K647" i="1" s="1"/>
  <c r="K64" i="1" s="1"/>
  <c r="S151" i="27"/>
  <c r="S155" i="27"/>
  <c r="S95" i="27"/>
  <c r="S154" i="27"/>
  <c r="S94" i="27"/>
  <c r="S153" i="27"/>
  <c r="S93" i="27"/>
  <c r="S152" i="27"/>
  <c r="S157" i="27"/>
  <c r="S188" i="27"/>
  <c r="S156" i="27"/>
  <c r="S302" i="27"/>
  <c r="S632" i="27"/>
  <c r="S284" i="27"/>
  <c r="S416" i="27"/>
  <c r="S168" i="27"/>
  <c r="S283" i="27"/>
  <c r="S415" i="27"/>
  <c r="S424" i="27"/>
  <c r="S285" i="27"/>
  <c r="S414" i="27"/>
  <c r="S422" i="27"/>
  <c r="S605" i="27"/>
  <c r="S633" i="27"/>
  <c r="S160" i="27"/>
  <c r="S190" i="27"/>
  <c r="S298" i="27"/>
  <c r="S413" i="27"/>
  <c r="S420" i="27"/>
  <c r="S159" i="27"/>
  <c r="S189" i="27"/>
  <c r="S286" i="27"/>
  <c r="S296" i="27"/>
  <c r="S419" i="27"/>
  <c r="S158" i="27"/>
  <c r="S412" i="27"/>
  <c r="V408" i="25"/>
  <c r="M480" i="25"/>
  <c r="N493" i="25"/>
  <c r="O94" i="27"/>
  <c r="O153" i="27"/>
  <c r="O93" i="27"/>
  <c r="O152" i="27"/>
  <c r="O151" i="27"/>
  <c r="O95" i="27"/>
  <c r="O154" i="27"/>
  <c r="O155" i="27"/>
  <c r="O160" i="27"/>
  <c r="O190" i="27"/>
  <c r="O298" i="27"/>
  <c r="O413" i="27"/>
  <c r="O420" i="27"/>
  <c r="O159" i="27"/>
  <c r="O189" i="27"/>
  <c r="O286" i="27"/>
  <c r="O296" i="27"/>
  <c r="O419" i="27"/>
  <c r="O158" i="27"/>
  <c r="O412" i="27"/>
  <c r="O414" i="27"/>
  <c r="O157" i="27"/>
  <c r="O188" i="27"/>
  <c r="O285" i="27"/>
  <c r="O633" i="27"/>
  <c r="O422" i="27"/>
  <c r="O156" i="27"/>
  <c r="O302" i="27"/>
  <c r="O632" i="27"/>
  <c r="O605" i="27"/>
  <c r="O284" i="27"/>
  <c r="O416" i="27"/>
  <c r="O168" i="27"/>
  <c r="O283" i="27"/>
  <c r="O415" i="27"/>
  <c r="O424" i="27"/>
  <c r="K151" i="27"/>
  <c r="K155" i="27"/>
  <c r="K95" i="27"/>
  <c r="K154" i="27"/>
  <c r="K94" i="27"/>
  <c r="K153" i="27"/>
  <c r="K93" i="27"/>
  <c r="K152" i="27"/>
  <c r="K157" i="27"/>
  <c r="K188" i="27"/>
  <c r="K156" i="27"/>
  <c r="K302" i="27"/>
  <c r="K632" i="27"/>
  <c r="J796" i="27"/>
  <c r="H796" i="27" s="1"/>
  <c r="K284" i="27"/>
  <c r="K416" i="27"/>
  <c r="K633" i="27"/>
  <c r="K168" i="27"/>
  <c r="K283" i="27"/>
  <c r="K415" i="27"/>
  <c r="K424" i="27"/>
  <c r="K414" i="27"/>
  <c r="K422" i="27"/>
  <c r="K605" i="27"/>
  <c r="K285" i="27"/>
  <c r="K160" i="27"/>
  <c r="K190" i="27"/>
  <c r="K298" i="27"/>
  <c r="K413" i="27"/>
  <c r="K420" i="27"/>
  <c r="W796" i="27"/>
  <c r="K159" i="27"/>
  <c r="K189" i="27"/>
  <c r="K286" i="27"/>
  <c r="K419" i="27"/>
  <c r="K158" i="27"/>
  <c r="K296" i="27"/>
  <c r="K412" i="27"/>
  <c r="G59" i="1"/>
  <c r="F59" i="1"/>
  <c r="J491" i="25"/>
  <c r="W491" i="25"/>
  <c r="V93" i="27"/>
  <c r="V152" i="27"/>
  <c r="V151" i="27"/>
  <c r="V95" i="27"/>
  <c r="V94" i="27"/>
  <c r="V153" i="27"/>
  <c r="V160" i="27"/>
  <c r="V159" i="27"/>
  <c r="V189" i="27"/>
  <c r="V286" i="27"/>
  <c r="V296" i="27"/>
  <c r="V419" i="27"/>
  <c r="V420" i="27"/>
  <c r="V158" i="27"/>
  <c r="V412" i="27"/>
  <c r="V154" i="27"/>
  <c r="V157" i="27"/>
  <c r="V188" i="27"/>
  <c r="V285" i="27"/>
  <c r="V633" i="27"/>
  <c r="V156" i="27"/>
  <c r="V302" i="27"/>
  <c r="V632" i="27"/>
  <c r="V155" i="27"/>
  <c r="V284" i="27"/>
  <c r="V416" i="27"/>
  <c r="V168" i="27"/>
  <c r="V283" i="27"/>
  <c r="V415" i="27"/>
  <c r="V424" i="27"/>
  <c r="V414" i="27"/>
  <c r="V422" i="27"/>
  <c r="V605" i="27"/>
  <c r="V190" i="27"/>
  <c r="V298" i="27"/>
  <c r="V413" i="27"/>
  <c r="P375" i="25"/>
  <c r="Q377" i="25"/>
  <c r="U152" i="27"/>
  <c r="U151" i="27"/>
  <c r="U95" i="27"/>
  <c r="U94" i="27"/>
  <c r="U153" i="27"/>
  <c r="U93" i="27"/>
  <c r="U159" i="27"/>
  <c r="U189" i="27"/>
  <c r="U158" i="27"/>
  <c r="U412" i="27"/>
  <c r="U154" i="27"/>
  <c r="U157" i="27"/>
  <c r="U188" i="27"/>
  <c r="U285" i="27"/>
  <c r="U633" i="27"/>
  <c r="U286" i="27"/>
  <c r="U156" i="27"/>
  <c r="U302" i="27"/>
  <c r="U632" i="27"/>
  <c r="U155" i="27"/>
  <c r="U284" i="27"/>
  <c r="U416" i="27"/>
  <c r="U168" i="27"/>
  <c r="U283" i="27"/>
  <c r="U415" i="27"/>
  <c r="U424" i="27"/>
  <c r="U296" i="27"/>
  <c r="U414" i="27"/>
  <c r="U422" i="27"/>
  <c r="U605" i="27"/>
  <c r="U160" i="27"/>
  <c r="U190" i="27"/>
  <c r="U298" i="27"/>
  <c r="U413" i="27"/>
  <c r="U420" i="27"/>
  <c r="U419" i="27"/>
  <c r="L66" i="1"/>
  <c r="U724" i="25"/>
  <c r="I68" i="30" s="1"/>
  <c r="U725" i="25"/>
  <c r="I69" i="30" s="1"/>
  <c r="T725" i="25"/>
  <c r="H69" i="30" s="1"/>
  <c r="T724" i="25"/>
  <c r="H68" i="30" s="1"/>
  <c r="P377" i="25" l="1"/>
  <c r="P408" i="25" s="1"/>
  <c r="Q408" i="25"/>
  <c r="V240" i="27"/>
  <c r="V578" i="27"/>
  <c r="V235" i="27"/>
  <c r="V573" i="27"/>
  <c r="K243" i="27"/>
  <c r="K581" i="27"/>
  <c r="K241" i="27"/>
  <c r="K579" i="27"/>
  <c r="K191" i="27"/>
  <c r="O577" i="27"/>
  <c r="O239" i="27"/>
  <c r="O242" i="27"/>
  <c r="O580" i="27"/>
  <c r="S241" i="27"/>
  <c r="S579" i="27"/>
  <c r="S572" i="27"/>
  <c r="S234" i="27"/>
  <c r="H64" i="1"/>
  <c r="K66" i="1"/>
  <c r="P493" i="25"/>
  <c r="Q495" i="25"/>
  <c r="M415" i="27"/>
  <c r="M420" i="27"/>
  <c r="M158" i="27"/>
  <c r="N240" i="27"/>
  <c r="N578" i="27"/>
  <c r="M153" i="27"/>
  <c r="N235" i="27"/>
  <c r="N573" i="27"/>
  <c r="P285" i="27"/>
  <c r="P286" i="27"/>
  <c r="P605" i="27"/>
  <c r="P152" i="27"/>
  <c r="Q234" i="27"/>
  <c r="Q572" i="27"/>
  <c r="T242" i="27"/>
  <c r="T580" i="27"/>
  <c r="T574" i="27"/>
  <c r="T236" i="27"/>
  <c r="U581" i="27"/>
  <c r="U243" i="27"/>
  <c r="U242" i="27"/>
  <c r="U580" i="27"/>
  <c r="V576" i="27"/>
  <c r="V238" i="27"/>
  <c r="K239" i="27"/>
  <c r="K577" i="27"/>
  <c r="K233" i="27"/>
  <c r="K162" i="27"/>
  <c r="K571" i="27"/>
  <c r="O162" i="27"/>
  <c r="O571" i="27"/>
  <c r="O233" i="27"/>
  <c r="S96" i="27"/>
  <c r="S533" i="27"/>
  <c r="S536" i="27" s="1"/>
  <c r="F623" i="1"/>
  <c r="F636" i="1" s="1"/>
  <c r="F640" i="1" s="1"/>
  <c r="F647" i="1" s="1"/>
  <c r="G623" i="1"/>
  <c r="F548" i="28"/>
  <c r="H636" i="1"/>
  <c r="N276" i="28"/>
  <c r="I276" i="28"/>
  <c r="M283" i="27"/>
  <c r="M633" i="27"/>
  <c r="W633" i="27" s="1"/>
  <c r="M419" i="27"/>
  <c r="M94" i="27"/>
  <c r="R239" i="27"/>
  <c r="R577" i="27"/>
  <c r="R580" i="27"/>
  <c r="R242" i="27"/>
  <c r="R238" i="27"/>
  <c r="R576" i="27"/>
  <c r="L236" i="27"/>
  <c r="L574" i="27"/>
  <c r="L241" i="27"/>
  <c r="L579" i="27"/>
  <c r="Q191" i="27"/>
  <c r="P188" i="27"/>
  <c r="P189" i="27"/>
  <c r="P422" i="27"/>
  <c r="Q96" i="27"/>
  <c r="P93" i="27"/>
  <c r="Q533" i="27"/>
  <c r="J480" i="25"/>
  <c r="W480" i="25"/>
  <c r="K493" i="25"/>
  <c r="T240" i="27"/>
  <c r="T578" i="27"/>
  <c r="U241" i="27"/>
  <c r="U579" i="27"/>
  <c r="U96" i="27"/>
  <c r="U533" i="27"/>
  <c r="U536" i="27" s="1"/>
  <c r="K242" i="27"/>
  <c r="K580" i="27"/>
  <c r="K572" i="27"/>
  <c r="K234" i="27"/>
  <c r="O234" i="27"/>
  <c r="O572" i="27"/>
  <c r="S242" i="27"/>
  <c r="S580" i="27"/>
  <c r="S573" i="27"/>
  <c r="S235" i="27"/>
  <c r="N241" i="27"/>
  <c r="M168" i="27"/>
  <c r="J168" i="27" s="1"/>
  <c r="N579" i="27"/>
  <c r="M285" i="27"/>
  <c r="W285" i="27" s="1"/>
  <c r="M286" i="27"/>
  <c r="J286" i="27" s="1"/>
  <c r="M95" i="27"/>
  <c r="R233" i="27"/>
  <c r="R162" i="27"/>
  <c r="R571" i="27"/>
  <c r="L242" i="27"/>
  <c r="L580" i="27"/>
  <c r="L191" i="27"/>
  <c r="L233" i="27"/>
  <c r="L162" i="27"/>
  <c r="L571" i="27"/>
  <c r="Q577" i="27"/>
  <c r="P157" i="27"/>
  <c r="Q239" i="27"/>
  <c r="P159" i="27"/>
  <c r="Q242" i="27"/>
  <c r="Q580" i="27"/>
  <c r="P580" i="27" s="1"/>
  <c r="P414" i="27"/>
  <c r="P153" i="27"/>
  <c r="J153" i="27" s="1"/>
  <c r="Q235" i="27"/>
  <c r="Q573" i="27"/>
  <c r="T234" i="27"/>
  <c r="T572" i="27"/>
  <c r="N408" i="25"/>
  <c r="M377" i="25"/>
  <c r="M408" i="25" s="1"/>
  <c r="U191" i="27"/>
  <c r="U235" i="27"/>
  <c r="U573" i="27"/>
  <c r="V241" i="27"/>
  <c r="V579" i="27"/>
  <c r="V233" i="27"/>
  <c r="V162" i="27"/>
  <c r="V571" i="27"/>
  <c r="K96" i="27"/>
  <c r="K533" i="27"/>
  <c r="O238" i="27"/>
  <c r="O576" i="27"/>
  <c r="O240" i="27"/>
  <c r="O578" i="27"/>
  <c r="O96" i="27"/>
  <c r="O533" i="27"/>
  <c r="O536" i="27" s="1"/>
  <c r="M605" i="27"/>
  <c r="J605" i="27" s="1"/>
  <c r="M416" i="27"/>
  <c r="M188" i="27"/>
  <c r="W188" i="27" s="1"/>
  <c r="N191" i="27"/>
  <c r="M189" i="27"/>
  <c r="W189" i="27" s="1"/>
  <c r="M151" i="27"/>
  <c r="W151" i="27" s="1"/>
  <c r="N233" i="27"/>
  <c r="N162" i="27"/>
  <c r="N571" i="27"/>
  <c r="R572" i="27"/>
  <c r="R234" i="27"/>
  <c r="L239" i="27"/>
  <c r="L577" i="27"/>
  <c r="P632" i="27"/>
  <c r="P412" i="27"/>
  <c r="P420" i="27"/>
  <c r="P424" i="27"/>
  <c r="P94" i="27"/>
  <c r="H395" i="28"/>
  <c r="L395" i="28"/>
  <c r="M395" i="28" s="1"/>
  <c r="T238" i="27"/>
  <c r="T576" i="27"/>
  <c r="T96" i="27"/>
  <c r="T533" i="27"/>
  <c r="T536" i="27" s="1"/>
  <c r="U239" i="27"/>
  <c r="U577" i="27"/>
  <c r="V191" i="27"/>
  <c r="V234" i="27"/>
  <c r="V572" i="27"/>
  <c r="W420" i="27"/>
  <c r="J420" i="27"/>
  <c r="W153" i="27"/>
  <c r="K573" i="27"/>
  <c r="K235" i="27"/>
  <c r="O235" i="27"/>
  <c r="O573" i="27"/>
  <c r="S236" i="27"/>
  <c r="S574" i="27"/>
  <c r="M422" i="27"/>
  <c r="J422" i="27" s="1"/>
  <c r="M284" i="27"/>
  <c r="M157" i="27"/>
  <c r="W157" i="27" s="1"/>
  <c r="N239" i="27"/>
  <c r="M239" i="27" s="1"/>
  <c r="N577" i="27"/>
  <c r="M577" i="27" s="1"/>
  <c r="M159" i="27"/>
  <c r="W159" i="27" s="1"/>
  <c r="N242" i="27"/>
  <c r="M242" i="27" s="1"/>
  <c r="N580" i="27"/>
  <c r="M580" i="27" s="1"/>
  <c r="M152" i="27"/>
  <c r="W152" i="27" s="1"/>
  <c r="N234" i="27"/>
  <c r="M234" i="27" s="1"/>
  <c r="N572" i="27"/>
  <c r="M572" i="27" s="1"/>
  <c r="R578" i="27"/>
  <c r="R240" i="27"/>
  <c r="R96" i="27"/>
  <c r="R533" i="27"/>
  <c r="R536" i="27" s="1"/>
  <c r="L240" i="27"/>
  <c r="L578" i="27"/>
  <c r="P302" i="27"/>
  <c r="Q578" i="27"/>
  <c r="P578" i="27" s="1"/>
  <c r="P158" i="27"/>
  <c r="Q240" i="27"/>
  <c r="P413" i="27"/>
  <c r="P415" i="27"/>
  <c r="J415" i="27" s="1"/>
  <c r="P154" i="27"/>
  <c r="Q236" i="27"/>
  <c r="Q574" i="27"/>
  <c r="T573" i="27"/>
  <c r="T235" i="27"/>
  <c r="U574" i="27"/>
  <c r="U236" i="27"/>
  <c r="V239" i="27"/>
  <c r="V577" i="27"/>
  <c r="V96" i="27"/>
  <c r="V533" i="27"/>
  <c r="V536" i="27" s="1"/>
  <c r="J632" i="27"/>
  <c r="W94" i="27"/>
  <c r="J94" i="27"/>
  <c r="O241" i="27"/>
  <c r="O579" i="27"/>
  <c r="M296" i="27"/>
  <c r="O243" i="27"/>
  <c r="O581" i="27"/>
  <c r="S240" i="27"/>
  <c r="S578" i="27"/>
  <c r="S238" i="27"/>
  <c r="S576" i="27"/>
  <c r="M66" i="1"/>
  <c r="M414" i="27"/>
  <c r="W414" i="27" s="1"/>
  <c r="M632" i="27"/>
  <c r="W632" i="27" s="1"/>
  <c r="M413" i="27"/>
  <c r="W413" i="27" s="1"/>
  <c r="M190" i="27"/>
  <c r="N96" i="27"/>
  <c r="M93" i="27"/>
  <c r="W93" i="27" s="1"/>
  <c r="N533" i="27"/>
  <c r="R235" i="27"/>
  <c r="R573" i="27"/>
  <c r="W375" i="25"/>
  <c r="J375" i="25"/>
  <c r="K377" i="25"/>
  <c r="L234" i="27"/>
  <c r="L572" i="27"/>
  <c r="Q238" i="27"/>
  <c r="Q576" i="27"/>
  <c r="P156" i="27"/>
  <c r="P416" i="27"/>
  <c r="J416" i="27" s="1"/>
  <c r="P298" i="27"/>
  <c r="W298" i="27" s="1"/>
  <c r="P283" i="27"/>
  <c r="W283" i="27" s="1"/>
  <c r="P95" i="27"/>
  <c r="T241" i="27"/>
  <c r="T579" i="27"/>
  <c r="U233" i="27"/>
  <c r="U162" i="27"/>
  <c r="U571" i="27"/>
  <c r="V574" i="27"/>
  <c r="V236" i="27"/>
  <c r="V242" i="27"/>
  <c r="V580" i="27"/>
  <c r="K240" i="27"/>
  <c r="W158" i="27"/>
  <c r="K578" i="27"/>
  <c r="J158" i="27"/>
  <c r="J298" i="27"/>
  <c r="J154" i="27"/>
  <c r="K236" i="27"/>
  <c r="K574" i="27"/>
  <c r="M493" i="25"/>
  <c r="N495" i="25"/>
  <c r="S191" i="27"/>
  <c r="M154" i="27"/>
  <c r="W154" i="27" s="1"/>
  <c r="N574" i="27"/>
  <c r="M574" i="27" s="1"/>
  <c r="N236" i="27"/>
  <c r="M236" i="27" s="1"/>
  <c r="M302" i="27"/>
  <c r="W302" i="27" s="1"/>
  <c r="M298" i="27"/>
  <c r="N243" i="27"/>
  <c r="N581" i="27"/>
  <c r="M581" i="27" s="1"/>
  <c r="M160" i="27"/>
  <c r="W160" i="27" s="1"/>
  <c r="R243" i="27"/>
  <c r="R581" i="27"/>
  <c r="R241" i="27"/>
  <c r="R579" i="27"/>
  <c r="L96" i="27"/>
  <c r="L533" i="27"/>
  <c r="L536" i="27" s="1"/>
  <c r="P284" i="27"/>
  <c r="J284" i="27" s="1"/>
  <c r="P419" i="27"/>
  <c r="P190" i="27"/>
  <c r="W190" i="27" s="1"/>
  <c r="P168" i="27"/>
  <c r="Q241" i="27"/>
  <c r="Q579" i="27"/>
  <c r="P579" i="27" s="1"/>
  <c r="P155" i="27"/>
  <c r="T581" i="27"/>
  <c r="T243" i="27"/>
  <c r="T191" i="27"/>
  <c r="L74" i="1"/>
  <c r="U238" i="27"/>
  <c r="U576" i="27"/>
  <c r="U240" i="27"/>
  <c r="U578" i="27"/>
  <c r="U234" i="27"/>
  <c r="U572" i="27"/>
  <c r="V243" i="27"/>
  <c r="V581" i="27"/>
  <c r="W419" i="27"/>
  <c r="J419" i="27"/>
  <c r="J190" i="27"/>
  <c r="J283" i="27"/>
  <c r="K238" i="27"/>
  <c r="K576" i="27"/>
  <c r="J95" i="27"/>
  <c r="W95" i="27"/>
  <c r="O191" i="27"/>
  <c r="O236" i="27"/>
  <c r="O574" i="27"/>
  <c r="S243" i="27"/>
  <c r="S581" i="27"/>
  <c r="S239" i="27"/>
  <c r="S577" i="27"/>
  <c r="S233" i="27"/>
  <c r="S245" i="27" s="1"/>
  <c r="S162" i="27"/>
  <c r="S571" i="27"/>
  <c r="M424" i="27"/>
  <c r="J424" i="27" s="1"/>
  <c r="M156" i="27"/>
  <c r="J156" i="27" s="1"/>
  <c r="N238" i="27"/>
  <c r="M238" i="27" s="1"/>
  <c r="N576" i="27"/>
  <c r="M576" i="27" s="1"/>
  <c r="M412" i="27"/>
  <c r="W412" i="27" s="1"/>
  <c r="M155" i="27"/>
  <c r="J155" i="27" s="1"/>
  <c r="R236" i="27"/>
  <c r="R574" i="27"/>
  <c r="L581" i="27"/>
  <c r="L243" i="27"/>
  <c r="L238" i="27"/>
  <c r="L576" i="27"/>
  <c r="L573" i="27"/>
  <c r="L235" i="27"/>
  <c r="P633" i="27"/>
  <c r="P296" i="27"/>
  <c r="W296" i="27" s="1"/>
  <c r="P160" i="27"/>
  <c r="Q243" i="27"/>
  <c r="P243" i="27" s="1"/>
  <c r="Q581" i="27"/>
  <c r="P581" i="27" s="1"/>
  <c r="P151" i="27"/>
  <c r="Q162" i="27"/>
  <c r="Q571" i="27"/>
  <c r="Q233" i="27"/>
  <c r="T239" i="27"/>
  <c r="T577" i="27"/>
  <c r="T233" i="27"/>
  <c r="T245" i="27" s="1"/>
  <c r="T162" i="27"/>
  <c r="T571" i="27"/>
  <c r="H211" i="28" l="1"/>
  <c r="L211" i="28"/>
  <c r="M211" i="28" s="1"/>
  <c r="H209" i="28"/>
  <c r="L209" i="28"/>
  <c r="M209" i="28" s="1"/>
  <c r="H208" i="28"/>
  <c r="L208" i="28"/>
  <c r="M208" i="28" s="1"/>
  <c r="H223" i="28"/>
  <c r="L223" i="28"/>
  <c r="M223" i="28" s="1"/>
  <c r="J413" i="27"/>
  <c r="N582" i="27"/>
  <c r="M571" i="27"/>
  <c r="J571" i="27" s="1"/>
  <c r="K536" i="27"/>
  <c r="V582" i="27"/>
  <c r="L582" i="27"/>
  <c r="R582" i="27"/>
  <c r="M241" i="27"/>
  <c r="W241" i="27" s="1"/>
  <c r="W234" i="27"/>
  <c r="K582" i="27"/>
  <c r="M240" i="27"/>
  <c r="W168" i="27"/>
  <c r="W286" i="27"/>
  <c r="T22" i="27"/>
  <c r="T697" i="27"/>
  <c r="T698" i="27"/>
  <c r="T247" i="27"/>
  <c r="T26" i="27" s="1"/>
  <c r="N19" i="27"/>
  <c r="M96" i="27"/>
  <c r="J96" i="27" s="1"/>
  <c r="N700" i="27"/>
  <c r="N171" i="27"/>
  <c r="N701" i="27"/>
  <c r="R597" i="27"/>
  <c r="J414" i="27"/>
  <c r="N22" i="27"/>
  <c r="N698" i="27"/>
  <c r="N697" i="27"/>
  <c r="M162" i="27"/>
  <c r="J93" i="27"/>
  <c r="V22" i="27"/>
  <c r="V698" i="27"/>
  <c r="V697" i="27"/>
  <c r="L22" i="27"/>
  <c r="L697" i="27"/>
  <c r="L698" i="27"/>
  <c r="R22" i="27"/>
  <c r="R698" i="27"/>
  <c r="R697" i="27"/>
  <c r="W580" i="27"/>
  <c r="J580" i="27"/>
  <c r="Q19" i="27"/>
  <c r="P96" i="27"/>
  <c r="Q171" i="27"/>
  <c r="Q701" i="27"/>
  <c r="Q700" i="27"/>
  <c r="P700" i="27" s="1"/>
  <c r="K22" i="27"/>
  <c r="K698" i="27"/>
  <c r="K697" i="27"/>
  <c r="J633" i="27"/>
  <c r="U582" i="27"/>
  <c r="J377" i="25"/>
  <c r="K408" i="25"/>
  <c r="W377" i="25"/>
  <c r="R19" i="27"/>
  <c r="R24" i="27" s="1"/>
  <c r="R171" i="27"/>
  <c r="R701" i="27"/>
  <c r="R700" i="27"/>
  <c r="V247" i="27"/>
  <c r="V26" i="27" s="1"/>
  <c r="M233" i="27"/>
  <c r="W233" i="27" s="1"/>
  <c r="N245" i="27"/>
  <c r="K19" i="27"/>
  <c r="K171" i="27"/>
  <c r="K701" i="27"/>
  <c r="K700" i="27"/>
  <c r="V245" i="27"/>
  <c r="L245" i="27"/>
  <c r="R245" i="27"/>
  <c r="R247" i="27" s="1"/>
  <c r="R26" i="27" s="1"/>
  <c r="J152" i="27"/>
  <c r="S597" i="27"/>
  <c r="K245" i="27"/>
  <c r="W155" i="27"/>
  <c r="L597" i="27"/>
  <c r="U22" i="27"/>
  <c r="U697" i="27"/>
  <c r="U698" i="27"/>
  <c r="J296" i="27"/>
  <c r="P240" i="27"/>
  <c r="J240" i="27" s="1"/>
  <c r="I395" i="28"/>
  <c r="N395" i="28"/>
  <c r="O19" i="27"/>
  <c r="O24" i="27" s="1"/>
  <c r="O700" i="27"/>
  <c r="O171" i="27"/>
  <c r="O701" i="27"/>
  <c r="P242" i="27"/>
  <c r="W242" i="27" s="1"/>
  <c r="L247" i="27"/>
  <c r="L26" i="27" s="1"/>
  <c r="J159" i="27"/>
  <c r="S19" i="27"/>
  <c r="S171" i="27"/>
  <c r="S701" i="27"/>
  <c r="S700" i="27"/>
  <c r="J151" i="27"/>
  <c r="J285" i="27"/>
  <c r="P572" i="27"/>
  <c r="J572" i="27" s="1"/>
  <c r="W581" i="27"/>
  <c r="J581" i="27"/>
  <c r="W576" i="27"/>
  <c r="J576" i="27"/>
  <c r="L19" i="27"/>
  <c r="L171" i="27"/>
  <c r="L701" i="27"/>
  <c r="L700" i="27"/>
  <c r="J302" i="27"/>
  <c r="U245" i="27"/>
  <c r="U247" i="27" s="1"/>
  <c r="U26" i="27" s="1"/>
  <c r="W284" i="27"/>
  <c r="W416" i="27"/>
  <c r="J493" i="25"/>
  <c r="W493" i="25"/>
  <c r="K495" i="25"/>
  <c r="P234" i="27"/>
  <c r="J234" i="27" s="1"/>
  <c r="M573" i="27"/>
  <c r="Q525" i="25"/>
  <c r="P495" i="25"/>
  <c r="J188" i="27"/>
  <c r="H557" i="28"/>
  <c r="L557" i="28"/>
  <c r="M557" i="28" s="1"/>
  <c r="V597" i="27"/>
  <c r="W235" i="27"/>
  <c r="J235" i="27"/>
  <c r="J412" i="27"/>
  <c r="M191" i="27"/>
  <c r="P239" i="27"/>
  <c r="J239" i="27" s="1"/>
  <c r="U597" i="27"/>
  <c r="P191" i="27"/>
  <c r="Q247" i="27"/>
  <c r="O245" i="27"/>
  <c r="O247" i="27" s="1"/>
  <c r="O26" i="27" s="1"/>
  <c r="J157" i="27"/>
  <c r="J189" i="27"/>
  <c r="M235" i="27"/>
  <c r="W191" i="27"/>
  <c r="J191" i="27"/>
  <c r="J160" i="27"/>
  <c r="Q245" i="27"/>
  <c r="P245" i="27" s="1"/>
  <c r="P233" i="27"/>
  <c r="J233" i="27" s="1"/>
  <c r="W240" i="27"/>
  <c r="P571" i="27"/>
  <c r="Q582" i="27"/>
  <c r="P582" i="27" s="1"/>
  <c r="P241" i="27"/>
  <c r="M243" i="27"/>
  <c r="W243" i="27" s="1"/>
  <c r="N525" i="25"/>
  <c r="M495" i="25"/>
  <c r="W415" i="27"/>
  <c r="P576" i="27"/>
  <c r="M74" i="1"/>
  <c r="W424" i="27"/>
  <c r="V19" i="27"/>
  <c r="V24" i="27" s="1"/>
  <c r="V28" i="27" s="1"/>
  <c r="V700" i="27"/>
  <c r="V171" i="27"/>
  <c r="V701" i="27"/>
  <c r="P574" i="27"/>
  <c r="J574" i="27" s="1"/>
  <c r="W422" i="27"/>
  <c r="P573" i="27"/>
  <c r="W573" i="27" s="1"/>
  <c r="M579" i="27"/>
  <c r="J579" i="27" s="1"/>
  <c r="W605" i="27"/>
  <c r="U19" i="27"/>
  <c r="U171" i="27"/>
  <c r="U701" i="27"/>
  <c r="U700" i="27"/>
  <c r="L405" i="28"/>
  <c r="M405" i="28" s="1"/>
  <c r="H405" i="28"/>
  <c r="H640" i="1"/>
  <c r="G636" i="1"/>
  <c r="F565" i="28"/>
  <c r="O582" i="27"/>
  <c r="O597" i="27" s="1"/>
  <c r="J577" i="27"/>
  <c r="H66" i="1"/>
  <c r="K74" i="1"/>
  <c r="W156" i="27"/>
  <c r="J238" i="27"/>
  <c r="W238" i="27"/>
  <c r="S247" i="27"/>
  <c r="S26" i="27" s="1"/>
  <c r="S582" i="27"/>
  <c r="T582" i="27"/>
  <c r="T597" i="27" s="1"/>
  <c r="Q22" i="27"/>
  <c r="P22" i="27" s="1"/>
  <c r="P162" i="27"/>
  <c r="W162" i="27" s="1"/>
  <c r="Q698" i="27"/>
  <c r="Q697" i="27"/>
  <c r="P697" i="27" s="1"/>
  <c r="S22" i="27"/>
  <c r="S698" i="27"/>
  <c r="S697" i="27"/>
  <c r="L77" i="1"/>
  <c r="L75" i="1"/>
  <c r="P238" i="27"/>
  <c r="N536" i="27"/>
  <c r="M533" i="27"/>
  <c r="J533" i="27" s="1"/>
  <c r="P236" i="27"/>
  <c r="W236" i="27" s="1"/>
  <c r="T19" i="27"/>
  <c r="T24" i="27" s="1"/>
  <c r="T28" i="27" s="1"/>
  <c r="T171" i="27"/>
  <c r="T701" i="27"/>
  <c r="T700" i="27"/>
  <c r="P235" i="27"/>
  <c r="P577" i="27"/>
  <c r="W577" i="27" s="1"/>
  <c r="Q536" i="27"/>
  <c r="P533" i="27"/>
  <c r="O22" i="27"/>
  <c r="O698" i="27"/>
  <c r="O697" i="27"/>
  <c r="M578" i="27"/>
  <c r="J578" i="27" s="1"/>
  <c r="F64" i="1"/>
  <c r="F66" i="1" s="1"/>
  <c r="F74" i="1" s="1"/>
  <c r="T62" i="27" l="1"/>
  <c r="T46" i="27"/>
  <c r="O62" i="27"/>
  <c r="O46" i="27"/>
  <c r="G640" i="1"/>
  <c r="H647" i="1"/>
  <c r="F569" i="28"/>
  <c r="V705" i="27"/>
  <c r="V249" i="27"/>
  <c r="V703" i="27"/>
  <c r="M245" i="27"/>
  <c r="W245" i="27" s="1"/>
  <c r="P19" i="27"/>
  <c r="Q24" i="27"/>
  <c r="M697" i="27"/>
  <c r="W533" i="27"/>
  <c r="W574" i="27"/>
  <c r="N405" i="28"/>
  <c r="I405" i="28"/>
  <c r="M525" i="25"/>
  <c r="N725" i="25"/>
  <c r="M725" i="25" s="1"/>
  <c r="F69" i="30" s="1"/>
  <c r="N724" i="25"/>
  <c r="M724" i="25" s="1"/>
  <c r="F68" i="30" s="1"/>
  <c r="S705" i="27"/>
  <c r="S249" i="27"/>
  <c r="S703" i="27"/>
  <c r="O28" i="27"/>
  <c r="J408" i="25"/>
  <c r="W408" i="25"/>
  <c r="J162" i="27"/>
  <c r="M698" i="27"/>
  <c r="M19" i="27"/>
  <c r="N24" i="27"/>
  <c r="D16" i="29"/>
  <c r="J701" i="27"/>
  <c r="H701" i="27" s="1"/>
  <c r="M22" i="27"/>
  <c r="J236" i="27"/>
  <c r="I208" i="28"/>
  <c r="N208" i="28"/>
  <c r="Q26" i="27"/>
  <c r="P26" i="27" s="1"/>
  <c r="P247" i="27"/>
  <c r="P525" i="25"/>
  <c r="Q725" i="25"/>
  <c r="P725" i="25" s="1"/>
  <c r="G69" i="30" s="1"/>
  <c r="Q724" i="25"/>
  <c r="P724" i="25" s="1"/>
  <c r="G68" i="30" s="1"/>
  <c r="S24" i="27"/>
  <c r="S28" i="27" s="1"/>
  <c r="S62" i="27"/>
  <c r="S46" i="27"/>
  <c r="K247" i="27"/>
  <c r="V62" i="27"/>
  <c r="V46" i="27"/>
  <c r="H227" i="28"/>
  <c r="L227" i="28"/>
  <c r="M227" i="28" s="1"/>
  <c r="W578" i="27"/>
  <c r="J242" i="27"/>
  <c r="K705" i="27"/>
  <c r="K249" i="27"/>
  <c r="K703" i="27"/>
  <c r="W22" i="27"/>
  <c r="J22" i="27"/>
  <c r="H22" i="27" s="1"/>
  <c r="Y22" i="27" s="1"/>
  <c r="W572" i="27"/>
  <c r="W239" i="27"/>
  <c r="M582" i="27"/>
  <c r="J573" i="27"/>
  <c r="M75" i="1"/>
  <c r="M77" i="1"/>
  <c r="U46" i="27"/>
  <c r="U62" i="27"/>
  <c r="W96" i="27"/>
  <c r="J241" i="27"/>
  <c r="R62" i="27"/>
  <c r="R46" i="27"/>
  <c r="L83" i="1"/>
  <c r="L81" i="1"/>
  <c r="W579" i="27"/>
  <c r="U705" i="27"/>
  <c r="U249" i="27"/>
  <c r="U703" i="27"/>
  <c r="I557" i="28"/>
  <c r="N557" i="28"/>
  <c r="W495" i="25"/>
  <c r="J495" i="25"/>
  <c r="K525" i="25"/>
  <c r="L210" i="28"/>
  <c r="M210" i="28" s="1"/>
  <c r="H210" i="28"/>
  <c r="L62" i="27"/>
  <c r="L46" i="27"/>
  <c r="J19" i="27"/>
  <c r="H19" i="27" s="1"/>
  <c r="Y19" i="27" s="1"/>
  <c r="K24" i="27"/>
  <c r="R249" i="27"/>
  <c r="R703" i="27"/>
  <c r="R705" i="27"/>
  <c r="P701" i="27"/>
  <c r="M701" i="27"/>
  <c r="W701" i="27" s="1"/>
  <c r="W582" i="27"/>
  <c r="J582" i="27"/>
  <c r="I209" i="28"/>
  <c r="N209" i="28"/>
  <c r="T705" i="27"/>
  <c r="T249" i="27"/>
  <c r="T703" i="27"/>
  <c r="U24" i="27"/>
  <c r="U28" i="27" s="1"/>
  <c r="N247" i="27"/>
  <c r="J243" i="27"/>
  <c r="L705" i="27"/>
  <c r="L249" i="27"/>
  <c r="L703" i="27"/>
  <c r="R28" i="27"/>
  <c r="Q249" i="27"/>
  <c r="Q703" i="27"/>
  <c r="P703" i="27" s="1"/>
  <c r="P171" i="27"/>
  <c r="Q705" i="27"/>
  <c r="P705" i="27" s="1"/>
  <c r="N705" i="27"/>
  <c r="M705" i="27" s="1"/>
  <c r="M171" i="27"/>
  <c r="J171" i="27" s="1"/>
  <c r="N703" i="27"/>
  <c r="W571" i="27"/>
  <c r="I223" i="28"/>
  <c r="N223" i="28"/>
  <c r="K77" i="1"/>
  <c r="K75" i="1"/>
  <c r="H74" i="1"/>
  <c r="G74" i="1" s="1"/>
  <c r="P536" i="27"/>
  <c r="Q597" i="27"/>
  <c r="M536" i="27"/>
  <c r="J536" i="27" s="1"/>
  <c r="N597" i="27"/>
  <c r="G64" i="1"/>
  <c r="G66" i="1" s="1"/>
  <c r="P698" i="27"/>
  <c r="L24" i="27"/>
  <c r="L28" i="27" s="1"/>
  <c r="O705" i="27"/>
  <c r="O249" i="27"/>
  <c r="O703" i="27"/>
  <c r="J697" i="27"/>
  <c r="H697" i="27" s="1"/>
  <c r="M700" i="27"/>
  <c r="W536" i="27"/>
  <c r="K597" i="27"/>
  <c r="I211" i="28"/>
  <c r="N211" i="28"/>
  <c r="H75" i="1" l="1"/>
  <c r="N75" i="1"/>
  <c r="D15" i="29"/>
  <c r="L704" i="27"/>
  <c r="R704" i="27"/>
  <c r="J525" i="25"/>
  <c r="K724" i="25"/>
  <c r="W525" i="25"/>
  <c r="K725" i="25"/>
  <c r="N773" i="27"/>
  <c r="V773" i="27"/>
  <c r="O773" i="27"/>
  <c r="P773" i="27"/>
  <c r="Q773" i="27"/>
  <c r="S773" i="27"/>
  <c r="M773" i="27"/>
  <c r="R773" i="27"/>
  <c r="K773" i="27"/>
  <c r="U773" i="27"/>
  <c r="L773" i="27"/>
  <c r="T773" i="27"/>
  <c r="L333" i="28"/>
  <c r="H333" i="28"/>
  <c r="J700" i="27"/>
  <c r="H700" i="27" s="1"/>
  <c r="J698" i="27"/>
  <c r="H698" i="27" s="1"/>
  <c r="K769" i="27"/>
  <c r="S769" i="27"/>
  <c r="L769" i="27"/>
  <c r="T769" i="27"/>
  <c r="N769" i="27"/>
  <c r="M769" i="27"/>
  <c r="U769" i="27"/>
  <c r="V769" i="27"/>
  <c r="P769" i="27"/>
  <c r="O769" i="27"/>
  <c r="R769" i="27"/>
  <c r="Q769" i="27"/>
  <c r="W697" i="27"/>
  <c r="G647" i="1"/>
  <c r="F576" i="28"/>
  <c r="M24" i="27"/>
  <c r="M83" i="1"/>
  <c r="M81" i="1"/>
  <c r="D17" i="29"/>
  <c r="J245" i="27"/>
  <c r="N62" i="27"/>
  <c r="M62" i="27" s="1"/>
  <c r="N46" i="27"/>
  <c r="M46" i="27" s="1"/>
  <c r="M597" i="27"/>
  <c r="L87" i="1"/>
  <c r="N227" i="28"/>
  <c r="I227" i="28"/>
  <c r="O704" i="27"/>
  <c r="K62" i="27"/>
  <c r="K46" i="27"/>
  <c r="W597" i="27"/>
  <c r="J597" i="27"/>
  <c r="P249" i="27"/>
  <c r="Q704" i="27"/>
  <c r="P704" i="27" s="1"/>
  <c r="K704" i="27"/>
  <c r="S704" i="27"/>
  <c r="K81" i="1"/>
  <c r="H77" i="1"/>
  <c r="K83" i="1"/>
  <c r="N26" i="27"/>
  <c r="M26" i="27" s="1"/>
  <c r="M247" i="27"/>
  <c r="J247" i="27" s="1"/>
  <c r="W19" i="27"/>
  <c r="W171" i="27"/>
  <c r="Q62" i="27"/>
  <c r="P62" i="27" s="1"/>
  <c r="Q46" i="27"/>
  <c r="P46" i="27" s="1"/>
  <c r="P597" i="27"/>
  <c r="M703" i="27"/>
  <c r="J703" i="27" s="1"/>
  <c r="H703" i="27" s="1"/>
  <c r="T704" i="27"/>
  <c r="N210" i="28"/>
  <c r="I210" i="28"/>
  <c r="U704" i="27"/>
  <c r="J705" i="27"/>
  <c r="H705" i="27" s="1"/>
  <c r="W705" i="27" s="1"/>
  <c r="K26" i="27"/>
  <c r="K28" i="27" s="1"/>
  <c r="N249" i="27"/>
  <c r="P24" i="27"/>
  <c r="Q28" i="27"/>
  <c r="V704" i="27"/>
  <c r="O775" i="27" l="1"/>
  <c r="N775" i="27"/>
  <c r="P775" i="27"/>
  <c r="L775" i="27"/>
  <c r="Q775" i="27"/>
  <c r="R775" i="27"/>
  <c r="K775" i="27"/>
  <c r="S775" i="27"/>
  <c r="T775" i="27"/>
  <c r="V775" i="27"/>
  <c r="M775" i="27"/>
  <c r="U775" i="27"/>
  <c r="W24" i="27"/>
  <c r="H81" i="1"/>
  <c r="N426" i="27"/>
  <c r="N425" i="27"/>
  <c r="Q425" i="27"/>
  <c r="Q426" i="27"/>
  <c r="T426" i="27"/>
  <c r="T425" i="27"/>
  <c r="J773" i="27"/>
  <c r="H773" i="27" s="1"/>
  <c r="W773" i="27" s="1"/>
  <c r="W247" i="27"/>
  <c r="W703" i="27"/>
  <c r="R425" i="27"/>
  <c r="R426" i="27"/>
  <c r="L426" i="27"/>
  <c r="L425" i="27"/>
  <c r="J24" i="27"/>
  <c r="H24" i="27" s="1"/>
  <c r="Y24" i="27" s="1"/>
  <c r="J725" i="25"/>
  <c r="H725" i="25" s="1"/>
  <c r="D69" i="30"/>
  <c r="K69" i="30" s="1"/>
  <c r="D19" i="29"/>
  <c r="D21" i="29"/>
  <c r="D24" i="29" s="1"/>
  <c r="M87" i="1"/>
  <c r="J26" i="27"/>
  <c r="H26" i="27" s="1"/>
  <c r="Y26" i="27" s="1"/>
  <c r="N28" i="27"/>
  <c r="O426" i="27"/>
  <c r="O425" i="27"/>
  <c r="S426" i="27"/>
  <c r="S425" i="27"/>
  <c r="M249" i="27"/>
  <c r="N704" i="27"/>
  <c r="M704" i="27" s="1"/>
  <c r="K426" i="27"/>
  <c r="K425" i="27"/>
  <c r="J769" i="27"/>
  <c r="H769" i="27" s="1"/>
  <c r="W769" i="27" s="1"/>
  <c r="N333" i="28"/>
  <c r="I333" i="28"/>
  <c r="J724" i="25"/>
  <c r="H724" i="25" s="1"/>
  <c r="D68" i="30"/>
  <c r="K68" i="30" s="1"/>
  <c r="F75" i="1"/>
  <c r="G75" i="1"/>
  <c r="V426" i="27"/>
  <c r="V425" i="27"/>
  <c r="L770" i="27"/>
  <c r="T770" i="27"/>
  <c r="K770" i="27"/>
  <c r="M770" i="27"/>
  <c r="U770" i="27"/>
  <c r="N770" i="27"/>
  <c r="V770" i="27"/>
  <c r="O770" i="27"/>
  <c r="P770" i="27"/>
  <c r="Q770" i="27"/>
  <c r="R770" i="27"/>
  <c r="S770" i="27"/>
  <c r="P28" i="27"/>
  <c r="H83" i="1"/>
  <c r="K87" i="1"/>
  <c r="J704" i="27"/>
  <c r="H704" i="27" s="1"/>
  <c r="W704" i="27"/>
  <c r="J62" i="27"/>
  <c r="H62" i="27" s="1"/>
  <c r="Y62" i="27" s="1"/>
  <c r="U426" i="27"/>
  <c r="U425" i="27"/>
  <c r="M772" i="27"/>
  <c r="U772" i="27"/>
  <c r="U300" i="27" s="1"/>
  <c r="N772" i="27"/>
  <c r="N300" i="27" s="1"/>
  <c r="V772" i="27"/>
  <c r="V300" i="27" s="1"/>
  <c r="R772" i="27"/>
  <c r="R300" i="27" s="1"/>
  <c r="T772" i="27"/>
  <c r="T300" i="27" s="1"/>
  <c r="O772" i="27"/>
  <c r="O300" i="27" s="1"/>
  <c r="L772" i="27"/>
  <c r="L300" i="27" s="1"/>
  <c r="P772" i="27"/>
  <c r="Q772" i="27"/>
  <c r="Q300" i="27" s="1"/>
  <c r="K772" i="27"/>
  <c r="S772" i="27"/>
  <c r="S300" i="27" s="1"/>
  <c r="W700" i="27"/>
  <c r="Q777" i="27"/>
  <c r="R777" i="27"/>
  <c r="L777" i="27"/>
  <c r="V777" i="27"/>
  <c r="K777" i="27"/>
  <c r="S777" i="27"/>
  <c r="T777" i="27"/>
  <c r="N777" i="27"/>
  <c r="M777" i="27"/>
  <c r="U777" i="27"/>
  <c r="P777" i="27"/>
  <c r="O777" i="27"/>
  <c r="J46" i="27"/>
  <c r="H46" i="27" s="1"/>
  <c r="Y46" i="27" s="1"/>
  <c r="F77" i="1"/>
  <c r="F81" i="1" s="1"/>
  <c r="G77" i="1"/>
  <c r="G81" i="1" s="1"/>
  <c r="W698" i="27"/>
  <c r="J249" i="27" l="1"/>
  <c r="W249" i="27"/>
  <c r="S360" i="27"/>
  <c r="S264" i="27"/>
  <c r="S266" i="27" s="1"/>
  <c r="S354" i="27"/>
  <c r="S289" i="27"/>
  <c r="S282" i="27"/>
  <c r="S292" i="27" s="1"/>
  <c r="S33" i="27" s="1"/>
  <c r="S288" i="27"/>
  <c r="S299" i="27"/>
  <c r="S265" i="27"/>
  <c r="S276" i="27"/>
  <c r="S32" i="27" s="1"/>
  <c r="S287" i="27"/>
  <c r="S628" i="27"/>
  <c r="S644" i="27" s="1"/>
  <c r="S303" i="27"/>
  <c r="S361" i="27"/>
  <c r="K360" i="27"/>
  <c r="J775" i="27"/>
  <c r="H775" i="27" s="1"/>
  <c r="W775" i="27" s="1"/>
  <c r="K264" i="27"/>
  <c r="K354" i="27"/>
  <c r="K289" i="27"/>
  <c r="K282" i="27"/>
  <c r="K288" i="27"/>
  <c r="K299" i="27"/>
  <c r="K276" i="27"/>
  <c r="K287" i="27"/>
  <c r="K628" i="27"/>
  <c r="K303" i="27"/>
  <c r="K361" i="27"/>
  <c r="K265" i="27"/>
  <c r="P426" i="27"/>
  <c r="R264" i="27"/>
  <c r="R354" i="27"/>
  <c r="R289" i="27"/>
  <c r="R282" i="27"/>
  <c r="R288" i="27"/>
  <c r="R299" i="27"/>
  <c r="R306" i="27" s="1"/>
  <c r="R34" i="27" s="1"/>
  <c r="R276" i="27"/>
  <c r="R32" i="27" s="1"/>
  <c r="R287" i="27"/>
  <c r="R628" i="27"/>
  <c r="R644" i="27" s="1"/>
  <c r="R303" i="27"/>
  <c r="R361" i="27"/>
  <c r="R265" i="27"/>
  <c r="R360" i="27"/>
  <c r="J770" i="27"/>
  <c r="H770" i="27" s="1"/>
  <c r="W770" i="27" s="1"/>
  <c r="P425" i="27"/>
  <c r="Q289" i="27"/>
  <c r="Q282" i="27"/>
  <c r="Q288" i="27"/>
  <c r="P288" i="27" s="1"/>
  <c r="Q299" i="27"/>
  <c r="Q276" i="27"/>
  <c r="Q287" i="27"/>
  <c r="P287" i="27" s="1"/>
  <c r="Q628" i="27"/>
  <c r="Q354" i="27"/>
  <c r="Q303" i="27"/>
  <c r="P303" i="27" s="1"/>
  <c r="Q361" i="27"/>
  <c r="Q265" i="27"/>
  <c r="P265" i="27" s="1"/>
  <c r="Q264" i="27"/>
  <c r="Q360" i="27"/>
  <c r="P360" i="27" s="1"/>
  <c r="J425" i="27"/>
  <c r="W425" i="27"/>
  <c r="M425" i="27"/>
  <c r="U303" i="27"/>
  <c r="U361" i="27"/>
  <c r="U265" i="27"/>
  <c r="U360" i="27"/>
  <c r="U264" i="27"/>
  <c r="U266" i="27" s="1"/>
  <c r="U354" i="27"/>
  <c r="U363" i="27" s="1"/>
  <c r="U375" i="27" s="1"/>
  <c r="U377" i="27" s="1"/>
  <c r="U289" i="27"/>
  <c r="U282" i="27"/>
  <c r="U288" i="27"/>
  <c r="U299" i="27"/>
  <c r="U306" i="27" s="1"/>
  <c r="U34" i="27" s="1"/>
  <c r="U276" i="27"/>
  <c r="U32" i="27" s="1"/>
  <c r="U287" i="27"/>
  <c r="U628" i="27"/>
  <c r="U644" i="27" s="1"/>
  <c r="L265" i="27"/>
  <c r="L360" i="27"/>
  <c r="L264" i="27"/>
  <c r="L354" i="27"/>
  <c r="L289" i="27"/>
  <c r="L303" i="27"/>
  <c r="L282" i="27"/>
  <c r="L288" i="27"/>
  <c r="L299" i="27"/>
  <c r="L306" i="27" s="1"/>
  <c r="L34" i="27" s="1"/>
  <c r="L361" i="27"/>
  <c r="L276" i="27"/>
  <c r="L32" i="27" s="1"/>
  <c r="L287" i="27"/>
  <c r="L628" i="27"/>
  <c r="L644" i="27" s="1"/>
  <c r="K300" i="27"/>
  <c r="J772" i="27"/>
  <c r="H772" i="27" s="1"/>
  <c r="W772" i="27" s="1"/>
  <c r="P776" i="27"/>
  <c r="M776" i="27"/>
  <c r="Q776" i="27"/>
  <c r="K776" i="27"/>
  <c r="R776" i="27"/>
  <c r="S776" i="27"/>
  <c r="U776" i="27"/>
  <c r="L776" i="27"/>
  <c r="T776" i="27"/>
  <c r="N776" i="27"/>
  <c r="V776" i="27"/>
  <c r="O776" i="27"/>
  <c r="J777" i="27"/>
  <c r="H777" i="27" s="1"/>
  <c r="W777" i="27"/>
  <c r="M28" i="27"/>
  <c r="L797" i="25"/>
  <c r="T797" i="25"/>
  <c r="M797" i="25"/>
  <c r="F69" i="31" s="1"/>
  <c r="U797" i="25"/>
  <c r="N797" i="25"/>
  <c r="N417" i="25" s="1"/>
  <c r="V797" i="25"/>
  <c r="O797" i="25"/>
  <c r="O417" i="25" s="1"/>
  <c r="P797" i="25"/>
  <c r="G69" i="31" s="1"/>
  <c r="S797" i="25"/>
  <c r="S417" i="25" s="1"/>
  <c r="R797" i="25"/>
  <c r="R417" i="25" s="1"/>
  <c r="K797" i="25"/>
  <c r="Q797" i="25"/>
  <c r="Q417" i="25" s="1"/>
  <c r="P417" i="25" s="1"/>
  <c r="M426" i="27"/>
  <c r="J426" i="27" s="1"/>
  <c r="W62" i="27"/>
  <c r="M300" i="27"/>
  <c r="W46" i="27"/>
  <c r="F83" i="1"/>
  <c r="F87" i="1" s="1"/>
  <c r="K796" i="25"/>
  <c r="S796" i="25"/>
  <c r="L796" i="25"/>
  <c r="T796" i="25"/>
  <c r="M796" i="25"/>
  <c r="F68" i="31" s="1"/>
  <c r="U796" i="25"/>
  <c r="N796" i="25"/>
  <c r="V796" i="25"/>
  <c r="O796" i="25"/>
  <c r="P796" i="25"/>
  <c r="G68" i="31" s="1"/>
  <c r="Q796" i="25"/>
  <c r="R796" i="25"/>
  <c r="W725" i="25"/>
  <c r="V628" i="27"/>
  <c r="V644" i="27" s="1"/>
  <c r="V303" i="27"/>
  <c r="V361" i="27"/>
  <c r="V276" i="27"/>
  <c r="V32" i="27" s="1"/>
  <c r="V265" i="27"/>
  <c r="V360" i="27"/>
  <c r="V264" i="27"/>
  <c r="V266" i="27" s="1"/>
  <c r="V354" i="27"/>
  <c r="V363" i="27" s="1"/>
  <c r="V375" i="27" s="1"/>
  <c r="V377" i="27" s="1"/>
  <c r="V289" i="27"/>
  <c r="V282" i="27"/>
  <c r="V288" i="27"/>
  <c r="V299" i="27"/>
  <c r="V287" i="27"/>
  <c r="N303" i="27"/>
  <c r="N361" i="27"/>
  <c r="M361" i="27" s="1"/>
  <c r="N628" i="27"/>
  <c r="N265" i="27"/>
  <c r="M265" i="27" s="1"/>
  <c r="N360" i="27"/>
  <c r="N264" i="27"/>
  <c r="N354" i="27"/>
  <c r="N276" i="27"/>
  <c r="N287" i="27"/>
  <c r="N289" i="27"/>
  <c r="N282" i="27"/>
  <c r="N288" i="27"/>
  <c r="M288" i="27" s="1"/>
  <c r="N299" i="27"/>
  <c r="P300" i="27"/>
  <c r="H87" i="1"/>
  <c r="W724" i="25"/>
  <c r="W26" i="27"/>
  <c r="T265" i="27"/>
  <c r="T360" i="27"/>
  <c r="T361" i="27"/>
  <c r="T264" i="27"/>
  <c r="T354" i="27"/>
  <c r="T289" i="27"/>
  <c r="T282" i="27"/>
  <c r="T288" i="27"/>
  <c r="T299" i="27"/>
  <c r="T303" i="27"/>
  <c r="T276" i="27"/>
  <c r="T32" i="27" s="1"/>
  <c r="T287" i="27"/>
  <c r="T628" i="27"/>
  <c r="T644" i="27" s="1"/>
  <c r="O276" i="27"/>
  <c r="O32" i="27" s="1"/>
  <c r="O287" i="27"/>
  <c r="O628" i="27"/>
  <c r="O644" i="27" s="1"/>
  <c r="O288" i="27"/>
  <c r="O303" i="27"/>
  <c r="O361" i="27"/>
  <c r="O282" i="27"/>
  <c r="O265" i="27"/>
  <c r="O299" i="27"/>
  <c r="O360" i="27"/>
  <c r="O264" i="27"/>
  <c r="O266" i="27" s="1"/>
  <c r="O354" i="27"/>
  <c r="O363" i="27" s="1"/>
  <c r="O375" i="27" s="1"/>
  <c r="O377" i="27" s="1"/>
  <c r="O289" i="27"/>
  <c r="M299" i="27" l="1"/>
  <c r="N306" i="27"/>
  <c r="M360" i="27"/>
  <c r="V292" i="27"/>
  <c r="V33" i="27" s="1"/>
  <c r="N94" i="25"/>
  <c r="N93" i="25"/>
  <c r="N95" i="25"/>
  <c r="N160" i="25"/>
  <c r="N190" i="25"/>
  <c r="N152" i="25"/>
  <c r="N159" i="25"/>
  <c r="N189" i="25"/>
  <c r="N158" i="25"/>
  <c r="N151" i="25"/>
  <c r="N157" i="25"/>
  <c r="N188" i="25"/>
  <c r="N156" i="25"/>
  <c r="N153" i="25"/>
  <c r="N168" i="25"/>
  <c r="N154" i="25"/>
  <c r="N155" i="25"/>
  <c r="N415" i="25"/>
  <c r="N414" i="25"/>
  <c r="N422" i="25"/>
  <c r="N413" i="25"/>
  <c r="N420" i="25"/>
  <c r="N419" i="25"/>
  <c r="N412" i="25"/>
  <c r="N416" i="25"/>
  <c r="N423" i="25"/>
  <c r="N605" i="25"/>
  <c r="N633" i="25"/>
  <c r="N424" i="25"/>
  <c r="L417" i="25"/>
  <c r="E69" i="31"/>
  <c r="V627" i="27"/>
  <c r="V643" i="27" s="1"/>
  <c r="V418" i="27"/>
  <c r="V427" i="27" s="1"/>
  <c r="V606" i="27"/>
  <c r="Q606" i="27"/>
  <c r="Q627" i="27"/>
  <c r="Q418" i="27"/>
  <c r="L266" i="27"/>
  <c r="U292" i="27"/>
  <c r="U33" i="27" s="1"/>
  <c r="P354" i="27"/>
  <c r="Q363" i="27"/>
  <c r="J288" i="27"/>
  <c r="W288" i="27"/>
  <c r="U95" i="25"/>
  <c r="U93" i="25"/>
  <c r="U152" i="25"/>
  <c r="U159" i="25"/>
  <c r="U189" i="25"/>
  <c r="U158" i="25"/>
  <c r="U151" i="25"/>
  <c r="U157" i="25"/>
  <c r="U188" i="25"/>
  <c r="U191" i="25" s="1"/>
  <c r="U156" i="25"/>
  <c r="U94" i="25"/>
  <c r="U155" i="25"/>
  <c r="U160" i="25"/>
  <c r="U190" i="25"/>
  <c r="U153" i="25"/>
  <c r="U296" i="25"/>
  <c r="U168" i="25"/>
  <c r="U414" i="25"/>
  <c r="U422" i="25"/>
  <c r="U413" i="25"/>
  <c r="U420" i="25"/>
  <c r="U419" i="25"/>
  <c r="U154" i="25"/>
  <c r="U412" i="25"/>
  <c r="U424" i="25"/>
  <c r="U605" i="25"/>
  <c r="U416" i="25"/>
  <c r="U423" i="25"/>
  <c r="U633" i="25"/>
  <c r="U415" i="25"/>
  <c r="I68" i="31"/>
  <c r="N627" i="27"/>
  <c r="N418" i="27"/>
  <c r="N606" i="27"/>
  <c r="P628" i="27"/>
  <c r="Q644" i="27"/>
  <c r="P644" i="27" s="1"/>
  <c r="W265" i="27"/>
  <c r="J265" i="27"/>
  <c r="K292" i="27"/>
  <c r="T306" i="27"/>
  <c r="T34" i="27" s="1"/>
  <c r="N644" i="27"/>
  <c r="M644" i="27" s="1"/>
  <c r="M628" i="27"/>
  <c r="V429" i="27"/>
  <c r="W28" i="27"/>
  <c r="J28" i="27"/>
  <c r="H28" i="27" s="1"/>
  <c r="Y28" i="27" s="1"/>
  <c r="T606" i="27"/>
  <c r="T418" i="27"/>
  <c r="T427" i="27" s="1"/>
  <c r="T627" i="27"/>
  <c r="T643" i="27" s="1"/>
  <c r="O30" i="27"/>
  <c r="V30" i="27"/>
  <c r="R93" i="25"/>
  <c r="R156" i="25"/>
  <c r="R155" i="25"/>
  <c r="R95" i="25"/>
  <c r="R154" i="25"/>
  <c r="R168" i="25"/>
  <c r="R94" i="25"/>
  <c r="R153" i="25"/>
  <c r="R160" i="25"/>
  <c r="R190" i="25"/>
  <c r="R151" i="25"/>
  <c r="R157" i="25"/>
  <c r="R188" i="25"/>
  <c r="R191" i="25" s="1"/>
  <c r="R158" i="25"/>
  <c r="R159" i="25"/>
  <c r="R296" i="25"/>
  <c r="R412" i="25"/>
  <c r="R152" i="25"/>
  <c r="R424" i="25"/>
  <c r="R416" i="25"/>
  <c r="R423" i="25"/>
  <c r="R415" i="25"/>
  <c r="R413" i="25"/>
  <c r="R633" i="25"/>
  <c r="R419" i="25"/>
  <c r="R189" i="25"/>
  <c r="R422" i="25"/>
  <c r="R420" i="25"/>
  <c r="R605" i="25"/>
  <c r="R414" i="25"/>
  <c r="T95" i="25"/>
  <c r="T94" i="25"/>
  <c r="T158" i="25"/>
  <c r="T151" i="25"/>
  <c r="T157" i="25"/>
  <c r="T188" i="25"/>
  <c r="T156" i="25"/>
  <c r="T155" i="25"/>
  <c r="T93" i="25"/>
  <c r="T154" i="25"/>
  <c r="T168" i="25"/>
  <c r="T152" i="25"/>
  <c r="T159" i="25"/>
  <c r="T189" i="25"/>
  <c r="T153" i="25"/>
  <c r="T296" i="25"/>
  <c r="T160" i="25"/>
  <c r="T190" i="25"/>
  <c r="T413" i="25"/>
  <c r="T420" i="25"/>
  <c r="T419" i="25"/>
  <c r="T412" i="25"/>
  <c r="T424" i="25"/>
  <c r="T416" i="25"/>
  <c r="T423" i="25"/>
  <c r="T633" i="25"/>
  <c r="T415" i="25"/>
  <c r="T414" i="25"/>
  <c r="T605" i="25"/>
  <c r="T422" i="25"/>
  <c r="H68" i="31"/>
  <c r="V417" i="25"/>
  <c r="J69" i="31"/>
  <c r="W426" i="27"/>
  <c r="L418" i="27"/>
  <c r="L427" i="27" s="1"/>
  <c r="L606" i="27"/>
  <c r="L627" i="27"/>
  <c r="L643" i="27" s="1"/>
  <c r="U30" i="27"/>
  <c r="Q32" i="27"/>
  <c r="P32" i="27" s="1"/>
  <c r="P276" i="27"/>
  <c r="J303" i="27"/>
  <c r="K363" i="27"/>
  <c r="S363" i="27"/>
  <c r="S375" i="27" s="1"/>
  <c r="S377" i="27" s="1"/>
  <c r="M287" i="27"/>
  <c r="M303" i="27"/>
  <c r="W303" i="27" s="1"/>
  <c r="Q155" i="25"/>
  <c r="Q95" i="25"/>
  <c r="Q154" i="25"/>
  <c r="Q168" i="25"/>
  <c r="Q94" i="25"/>
  <c r="Q153" i="25"/>
  <c r="Q93" i="25"/>
  <c r="Q160" i="25"/>
  <c r="Q152" i="25"/>
  <c r="Q159" i="25"/>
  <c r="Q189" i="25"/>
  <c r="Q156" i="25"/>
  <c r="Q157" i="25"/>
  <c r="Q151" i="25"/>
  <c r="Q188" i="25"/>
  <c r="Q158" i="25"/>
  <c r="Q190" i="25"/>
  <c r="Q296" i="25"/>
  <c r="Q424" i="25"/>
  <c r="Q416" i="25"/>
  <c r="Q423" i="25"/>
  <c r="Q415" i="25"/>
  <c r="Q414" i="25"/>
  <c r="Q422" i="25"/>
  <c r="Q633" i="25"/>
  <c r="Q419" i="25"/>
  <c r="Q412" i="25"/>
  <c r="Q605" i="25"/>
  <c r="Q413" i="25"/>
  <c r="Q420" i="25"/>
  <c r="L95" i="25"/>
  <c r="L94" i="25"/>
  <c r="L93" i="25"/>
  <c r="L158" i="25"/>
  <c r="L151" i="25"/>
  <c r="L157" i="25"/>
  <c r="L188" i="25"/>
  <c r="L156" i="25"/>
  <c r="L155" i="25"/>
  <c r="L154" i="25"/>
  <c r="L168" i="25"/>
  <c r="L152" i="25"/>
  <c r="L159" i="25"/>
  <c r="L189" i="25"/>
  <c r="L160" i="25"/>
  <c r="L190" i="25"/>
  <c r="L296" i="25"/>
  <c r="L153" i="25"/>
  <c r="L413" i="25"/>
  <c r="L420" i="25"/>
  <c r="L419" i="25"/>
  <c r="L412" i="25"/>
  <c r="L424" i="25"/>
  <c r="L415" i="25"/>
  <c r="L422" i="25"/>
  <c r="L633" i="25"/>
  <c r="L414" i="25"/>
  <c r="L423" i="25"/>
  <c r="L416" i="25"/>
  <c r="L605" i="25"/>
  <c r="E68" i="31"/>
  <c r="M417" i="25"/>
  <c r="U418" i="27"/>
  <c r="U427" i="27" s="1"/>
  <c r="U429" i="27" s="1"/>
  <c r="U627" i="27"/>
  <c r="U643" i="27" s="1"/>
  <c r="U606" i="27"/>
  <c r="L292" i="27"/>
  <c r="L33" i="27" s="1"/>
  <c r="Q266" i="27"/>
  <c r="P264" i="27"/>
  <c r="P299" i="27"/>
  <c r="Q306" i="27"/>
  <c r="R292" i="27"/>
  <c r="R33" i="27" s="1"/>
  <c r="W628" i="27"/>
  <c r="K644" i="27"/>
  <c r="J628" i="27"/>
  <c r="K266" i="27"/>
  <c r="S30" i="27"/>
  <c r="M289" i="27"/>
  <c r="J289" i="27" s="1"/>
  <c r="O306" i="27"/>
  <c r="O34" i="27" s="1"/>
  <c r="S94" i="25"/>
  <c r="S93" i="25"/>
  <c r="S151" i="25"/>
  <c r="S157" i="25"/>
  <c r="S188" i="25"/>
  <c r="S156" i="25"/>
  <c r="S155" i="25"/>
  <c r="S95" i="25"/>
  <c r="S154" i="25"/>
  <c r="S168" i="25"/>
  <c r="S153" i="25"/>
  <c r="S158" i="25"/>
  <c r="S159" i="25"/>
  <c r="S160" i="25"/>
  <c r="S189" i="25"/>
  <c r="S419" i="25"/>
  <c r="S296" i="25"/>
  <c r="S412" i="25"/>
  <c r="S152" i="25"/>
  <c r="S424" i="25"/>
  <c r="S416" i="25"/>
  <c r="S423" i="25"/>
  <c r="S420" i="25"/>
  <c r="S413" i="25"/>
  <c r="S633" i="25"/>
  <c r="S415" i="25"/>
  <c r="S190" i="25"/>
  <c r="S605" i="25"/>
  <c r="S414" i="25"/>
  <c r="S422" i="25"/>
  <c r="U417" i="25"/>
  <c r="I69" i="31"/>
  <c r="S606" i="27"/>
  <c r="S627" i="27"/>
  <c r="S643" i="27" s="1"/>
  <c r="S418" i="27"/>
  <c r="S427" i="27" s="1"/>
  <c r="J300" i="27"/>
  <c r="W300" i="27"/>
  <c r="W287" i="27"/>
  <c r="J287" i="27"/>
  <c r="T363" i="27"/>
  <c r="T375" i="27" s="1"/>
  <c r="T377" i="27" s="1"/>
  <c r="T429" i="27" s="1"/>
  <c r="M354" i="27"/>
  <c r="J354" i="27" s="1"/>
  <c r="N363" i="27"/>
  <c r="V306" i="27"/>
  <c r="V34" i="27" s="1"/>
  <c r="O95" i="25"/>
  <c r="O94" i="25"/>
  <c r="O153" i="25"/>
  <c r="O93" i="25"/>
  <c r="O160" i="25"/>
  <c r="O152" i="25"/>
  <c r="O159" i="25"/>
  <c r="O189" i="25"/>
  <c r="O158" i="25"/>
  <c r="O151" i="25"/>
  <c r="O157" i="25"/>
  <c r="O188" i="25"/>
  <c r="O154" i="25"/>
  <c r="O168" i="25"/>
  <c r="O155" i="25"/>
  <c r="O156" i="25"/>
  <c r="O190" i="25"/>
  <c r="O296" i="25"/>
  <c r="O416" i="25"/>
  <c r="O423" i="25"/>
  <c r="O415" i="25"/>
  <c r="O414" i="25"/>
  <c r="O422" i="25"/>
  <c r="O413" i="25"/>
  <c r="O420" i="25"/>
  <c r="O419" i="25"/>
  <c r="O412" i="25"/>
  <c r="O605" i="25"/>
  <c r="O424" i="25"/>
  <c r="O633" i="25"/>
  <c r="K94" i="25"/>
  <c r="K93" i="25"/>
  <c r="K151" i="25"/>
  <c r="K157" i="25"/>
  <c r="K188" i="25"/>
  <c r="K156" i="25"/>
  <c r="K155" i="25"/>
  <c r="K154" i="25"/>
  <c r="K168" i="25"/>
  <c r="K153" i="25"/>
  <c r="K95" i="25"/>
  <c r="K158" i="25"/>
  <c r="K160" i="25"/>
  <c r="K190" i="25"/>
  <c r="K296" i="25"/>
  <c r="K152" i="25"/>
  <c r="K189" i="25"/>
  <c r="K159" i="25"/>
  <c r="K419" i="25"/>
  <c r="K412" i="25"/>
  <c r="K424" i="25"/>
  <c r="K416" i="25"/>
  <c r="K423" i="25"/>
  <c r="K415" i="25"/>
  <c r="K422" i="25"/>
  <c r="K633" i="25"/>
  <c r="K414" i="25"/>
  <c r="W796" i="25"/>
  <c r="K413" i="25"/>
  <c r="K420" i="25"/>
  <c r="J796" i="25"/>
  <c r="H796" i="25" s="1"/>
  <c r="K605" i="25"/>
  <c r="D68" i="31"/>
  <c r="K417" i="25"/>
  <c r="W797" i="25"/>
  <c r="J797" i="25"/>
  <c r="H797" i="25" s="1"/>
  <c r="D69" i="31"/>
  <c r="R606" i="27"/>
  <c r="R627" i="27"/>
  <c r="R643" i="27" s="1"/>
  <c r="R418" i="27"/>
  <c r="R427" i="27" s="1"/>
  <c r="P361" i="27"/>
  <c r="W361" i="27" s="1"/>
  <c r="P282" i="27"/>
  <c r="Q292" i="27"/>
  <c r="R363" i="27"/>
  <c r="R375" i="27" s="1"/>
  <c r="R377" i="27" s="1"/>
  <c r="R429" i="27" s="1"/>
  <c r="K32" i="27"/>
  <c r="N292" i="27"/>
  <c r="M282" i="27"/>
  <c r="J282" i="27" s="1"/>
  <c r="T292" i="27"/>
  <c r="T33" i="27" s="1"/>
  <c r="N32" i="27"/>
  <c r="M32" i="27" s="1"/>
  <c r="M276" i="27"/>
  <c r="W276" i="27" s="1"/>
  <c r="O292" i="27"/>
  <c r="O33" i="27" s="1"/>
  <c r="T266" i="27"/>
  <c r="N266" i="27"/>
  <c r="M264" i="27"/>
  <c r="J264" i="27" s="1"/>
  <c r="V94" i="25"/>
  <c r="V93" i="25"/>
  <c r="V160" i="25"/>
  <c r="V190" i="25"/>
  <c r="V152" i="25"/>
  <c r="V159" i="25"/>
  <c r="V189" i="25"/>
  <c r="V158" i="25"/>
  <c r="V151" i="25"/>
  <c r="V157" i="25"/>
  <c r="V188" i="25"/>
  <c r="V191" i="25" s="1"/>
  <c r="V95" i="25"/>
  <c r="V535" i="25" s="1"/>
  <c r="V156" i="25"/>
  <c r="V153" i="25"/>
  <c r="V155" i="25"/>
  <c r="V296" i="25"/>
  <c r="V168" i="25"/>
  <c r="V415" i="25"/>
  <c r="V414" i="25"/>
  <c r="V422" i="25"/>
  <c r="V413" i="25"/>
  <c r="V420" i="25"/>
  <c r="V419" i="25"/>
  <c r="V154" i="25"/>
  <c r="V412" i="25"/>
  <c r="V424" i="25"/>
  <c r="V605" i="25"/>
  <c r="V416" i="25"/>
  <c r="V423" i="25"/>
  <c r="V633" i="25"/>
  <c r="J68" i="31"/>
  <c r="G83" i="1"/>
  <c r="G87" i="1" s="1"/>
  <c r="T417" i="25"/>
  <c r="H69" i="31"/>
  <c r="O627" i="27"/>
  <c r="O643" i="27" s="1"/>
  <c r="O418" i="27"/>
  <c r="O427" i="27" s="1"/>
  <c r="O429" i="27" s="1"/>
  <c r="O606" i="27"/>
  <c r="K606" i="27"/>
  <c r="J776" i="27"/>
  <c r="H776" i="27" s="1"/>
  <c r="W776" i="27"/>
  <c r="K627" i="27"/>
  <c r="K418" i="27"/>
  <c r="L363" i="27"/>
  <c r="L375" i="27" s="1"/>
  <c r="L377" i="27" s="1"/>
  <c r="L429" i="27" s="1"/>
  <c r="P289" i="27"/>
  <c r="R266" i="27"/>
  <c r="W299" i="27"/>
  <c r="J299" i="27"/>
  <c r="K306" i="27"/>
  <c r="J360" i="27"/>
  <c r="W360" i="27"/>
  <c r="S306" i="27"/>
  <c r="S34" i="27" s="1"/>
  <c r="H279" i="28" l="1"/>
  <c r="L279" i="28"/>
  <c r="M279" i="28" s="1"/>
  <c r="U45" i="27"/>
  <c r="U61" i="27"/>
  <c r="U737" i="27"/>
  <c r="H207" i="28"/>
  <c r="L207" i="28"/>
  <c r="M207" i="28" s="1"/>
  <c r="O61" i="27"/>
  <c r="O45" i="27"/>
  <c r="O737" i="27"/>
  <c r="L214" i="28"/>
  <c r="M214" i="28" s="1"/>
  <c r="H214" i="28"/>
  <c r="R61" i="27"/>
  <c r="R45" i="27"/>
  <c r="R737" i="27"/>
  <c r="K240" i="25"/>
  <c r="K578" i="25"/>
  <c r="K239" i="25"/>
  <c r="K577" i="25"/>
  <c r="M296" i="25"/>
  <c r="O162" i="25"/>
  <c r="O233" i="25"/>
  <c r="O571" i="25"/>
  <c r="S580" i="25"/>
  <c r="S242" i="25"/>
  <c r="S191" i="25"/>
  <c r="L575" i="25"/>
  <c r="L237" i="25"/>
  <c r="L535" i="25"/>
  <c r="P414" i="25"/>
  <c r="Q191" i="25"/>
  <c r="P188" i="25"/>
  <c r="Q96" i="25"/>
  <c r="P93" i="25"/>
  <c r="Q533" i="25"/>
  <c r="T575" i="25"/>
  <c r="T237" i="25"/>
  <c r="R240" i="25"/>
  <c r="R578" i="25"/>
  <c r="R579" i="25"/>
  <c r="R241" i="25"/>
  <c r="W282" i="27"/>
  <c r="M418" i="27"/>
  <c r="N427" i="27"/>
  <c r="M427" i="27" s="1"/>
  <c r="U241" i="25"/>
  <c r="U579" i="25"/>
  <c r="U535" i="25"/>
  <c r="Q643" i="27"/>
  <c r="P643" i="27" s="1"/>
  <c r="P627" i="27"/>
  <c r="M633" i="25"/>
  <c r="M422" i="25"/>
  <c r="M188" i="25"/>
  <c r="N191" i="25"/>
  <c r="M160" i="25"/>
  <c r="N581" i="25"/>
  <c r="N243" i="25"/>
  <c r="V581" i="25"/>
  <c r="V243" i="25"/>
  <c r="Q33" i="27"/>
  <c r="P33" i="27" s="1"/>
  <c r="P292" i="27"/>
  <c r="J414" i="25"/>
  <c r="K535" i="25"/>
  <c r="K233" i="25"/>
  <c r="K162" i="25"/>
  <c r="K571" i="25"/>
  <c r="O578" i="25"/>
  <c r="O240" i="25"/>
  <c r="O535" i="25"/>
  <c r="S240" i="25"/>
  <c r="S578" i="25"/>
  <c r="S239" i="25"/>
  <c r="S577" i="25"/>
  <c r="Q34" i="27"/>
  <c r="P34" i="27" s="1"/>
  <c r="P306" i="27"/>
  <c r="L238" i="25"/>
  <c r="L576" i="25"/>
  <c r="P420" i="25"/>
  <c r="P415" i="25"/>
  <c r="Q162" i="25"/>
  <c r="P151" i="25"/>
  <c r="Q233" i="25"/>
  <c r="Q571" i="25"/>
  <c r="P153" i="25"/>
  <c r="Q235" i="25"/>
  <c r="Q573" i="25"/>
  <c r="S429" i="27"/>
  <c r="T235" i="25"/>
  <c r="T573" i="25"/>
  <c r="T576" i="25"/>
  <c r="T238" i="25"/>
  <c r="R236" i="25"/>
  <c r="R574" i="25"/>
  <c r="M627" i="27"/>
  <c r="W627" i="27" s="1"/>
  <c r="N643" i="27"/>
  <c r="M643" i="27" s="1"/>
  <c r="U577" i="25"/>
  <c r="U239" i="25"/>
  <c r="P606" i="27"/>
  <c r="M605" i="25"/>
  <c r="J605" i="25" s="1"/>
  <c r="M414" i="25"/>
  <c r="W414" i="25" s="1"/>
  <c r="M157" i="25"/>
  <c r="W157" i="25" s="1"/>
  <c r="N239" i="25"/>
  <c r="N577" i="25"/>
  <c r="M95" i="25"/>
  <c r="J95" i="25" s="1"/>
  <c r="N535" i="25"/>
  <c r="V239" i="25"/>
  <c r="V577" i="25"/>
  <c r="V96" i="25"/>
  <c r="V533" i="25"/>
  <c r="V536" i="25" s="1"/>
  <c r="J417" i="25"/>
  <c r="W417" i="25"/>
  <c r="K580" i="25"/>
  <c r="K242" i="25"/>
  <c r="K235" i="25"/>
  <c r="K573" i="25"/>
  <c r="K96" i="25"/>
  <c r="K533" i="25"/>
  <c r="O576" i="25"/>
  <c r="O238" i="25"/>
  <c r="S234" i="25"/>
  <c r="S572" i="25"/>
  <c r="S235" i="25"/>
  <c r="S573" i="25"/>
  <c r="S233" i="25"/>
  <c r="S162" i="25"/>
  <c r="S571" i="25"/>
  <c r="K30" i="27"/>
  <c r="L581" i="25"/>
  <c r="L243" i="25"/>
  <c r="L191" i="25"/>
  <c r="P413" i="25"/>
  <c r="P423" i="25"/>
  <c r="P157" i="25"/>
  <c r="Q239" i="25"/>
  <c r="Q577" i="25"/>
  <c r="P577" i="25" s="1"/>
  <c r="P94" i="25"/>
  <c r="W92" i="25"/>
  <c r="K375" i="27"/>
  <c r="J363" i="27"/>
  <c r="T191" i="25"/>
  <c r="R577" i="25"/>
  <c r="R239" i="25"/>
  <c r="R535" i="25"/>
  <c r="W289" i="27"/>
  <c r="K33" i="27"/>
  <c r="U236" i="25"/>
  <c r="U574" i="25"/>
  <c r="U235" i="25"/>
  <c r="U573" i="25"/>
  <c r="U162" i="25"/>
  <c r="U571" i="25"/>
  <c r="U233" i="25"/>
  <c r="H213" i="28"/>
  <c r="L213" i="28"/>
  <c r="M213" i="28" s="1"/>
  <c r="M423" i="25"/>
  <c r="M415" i="25"/>
  <c r="M151" i="25"/>
  <c r="J151" i="25" s="1"/>
  <c r="N162" i="25"/>
  <c r="N233" i="25"/>
  <c r="N571" i="25"/>
  <c r="M93" i="25"/>
  <c r="J93" i="25" s="1"/>
  <c r="N96" i="25"/>
  <c r="N533" i="25"/>
  <c r="K427" i="27"/>
  <c r="K68" i="31"/>
  <c r="K241" i="25"/>
  <c r="K579" i="25"/>
  <c r="W94" i="25"/>
  <c r="J94" i="25"/>
  <c r="O575" i="25"/>
  <c r="O237" i="25"/>
  <c r="O242" i="25"/>
  <c r="O580" i="25"/>
  <c r="N375" i="27"/>
  <c r="M363" i="27"/>
  <c r="W363" i="27" s="1"/>
  <c r="S579" i="25"/>
  <c r="S241" i="25"/>
  <c r="S96" i="25"/>
  <c r="S533" i="25"/>
  <c r="W264" i="27"/>
  <c r="L239" i="25"/>
  <c r="L577" i="25"/>
  <c r="P605" i="25"/>
  <c r="P416" i="25"/>
  <c r="P156" i="25"/>
  <c r="Q238" i="25"/>
  <c r="Q576" i="25"/>
  <c r="P168" i="25"/>
  <c r="Q241" i="25"/>
  <c r="P241" i="25" s="1"/>
  <c r="Q579" i="25"/>
  <c r="W354" i="27"/>
  <c r="T580" i="25"/>
  <c r="T242" i="25"/>
  <c r="T239" i="25"/>
  <c r="T577" i="25"/>
  <c r="R162" i="25"/>
  <c r="R233" i="25"/>
  <c r="R571" i="25"/>
  <c r="R237" i="25"/>
  <c r="R575" i="25"/>
  <c r="U578" i="25"/>
  <c r="U240" i="25"/>
  <c r="P363" i="27"/>
  <c r="Q375" i="27"/>
  <c r="M416" i="25"/>
  <c r="M155" i="25"/>
  <c r="W155" i="25" s="1"/>
  <c r="N575" i="25"/>
  <c r="M575" i="25" s="1"/>
  <c r="N237" i="25"/>
  <c r="M158" i="25"/>
  <c r="W158" i="25" s="1"/>
  <c r="N240" i="25"/>
  <c r="M240" i="25" s="1"/>
  <c r="N578" i="25"/>
  <c r="M578" i="25" s="1"/>
  <c r="M94" i="25"/>
  <c r="H285" i="28"/>
  <c r="L285" i="28"/>
  <c r="M285" i="28" s="1"/>
  <c r="K643" i="27"/>
  <c r="J627" i="27"/>
  <c r="V574" i="25"/>
  <c r="V236" i="25"/>
  <c r="V240" i="25"/>
  <c r="V578" i="25"/>
  <c r="N33" i="27"/>
  <c r="M33" i="27" s="1"/>
  <c r="M292" i="27"/>
  <c r="J292" i="27" s="1"/>
  <c r="W605" i="25"/>
  <c r="W415" i="25"/>
  <c r="J415" i="25"/>
  <c r="W152" i="25"/>
  <c r="K234" i="25"/>
  <c r="K572" i="25"/>
  <c r="J154" i="25"/>
  <c r="K236" i="25"/>
  <c r="K574" i="25"/>
  <c r="O241" i="25"/>
  <c r="O579" i="25"/>
  <c r="O572" i="25"/>
  <c r="O234" i="25"/>
  <c r="S236" i="25"/>
  <c r="S574" i="25"/>
  <c r="Q30" i="27"/>
  <c r="P266" i="27"/>
  <c r="L242" i="25"/>
  <c r="L580" i="25"/>
  <c r="L162" i="25"/>
  <c r="L233" i="25"/>
  <c r="L571" i="25"/>
  <c r="P412" i="25"/>
  <c r="P424" i="25"/>
  <c r="P189" i="25"/>
  <c r="P154" i="25"/>
  <c r="Q236" i="25"/>
  <c r="Q574" i="25"/>
  <c r="T234" i="25"/>
  <c r="T572" i="25"/>
  <c r="T162" i="25"/>
  <c r="T571" i="25"/>
  <c r="T233" i="25"/>
  <c r="R234" i="25"/>
  <c r="R572" i="25"/>
  <c r="R238" i="25"/>
  <c r="R576" i="25"/>
  <c r="J361" i="27"/>
  <c r="V61" i="27"/>
  <c r="V45" i="27"/>
  <c r="V737" i="27"/>
  <c r="U581" i="25"/>
  <c r="U243" i="25"/>
  <c r="M412" i="25"/>
  <c r="W412" i="25" s="1"/>
  <c r="M154" i="25"/>
  <c r="W154" i="25" s="1"/>
  <c r="N236" i="25"/>
  <c r="N574" i="25"/>
  <c r="M574" i="25" s="1"/>
  <c r="M189" i="25"/>
  <c r="W189" i="25" s="1"/>
  <c r="V241" i="25"/>
  <c r="V579" i="25"/>
  <c r="K34" i="27"/>
  <c r="J306" i="27"/>
  <c r="L224" i="28"/>
  <c r="M224" i="28" s="1"/>
  <c r="H224" i="28"/>
  <c r="V575" i="25"/>
  <c r="V237" i="25"/>
  <c r="N30" i="27"/>
  <c r="M266" i="27"/>
  <c r="W266" i="27" s="1"/>
  <c r="J276" i="27"/>
  <c r="W423" i="25"/>
  <c r="J423" i="25"/>
  <c r="J296" i="25"/>
  <c r="K237" i="25"/>
  <c r="K575" i="25"/>
  <c r="O236" i="25"/>
  <c r="O574" i="25"/>
  <c r="O243" i="25"/>
  <c r="O581" i="25"/>
  <c r="T61" i="27"/>
  <c r="T45" i="27"/>
  <c r="T737" i="27"/>
  <c r="S535" i="25"/>
  <c r="L553" i="28"/>
  <c r="M553" i="28" s="1"/>
  <c r="H553" i="28"/>
  <c r="L234" i="25"/>
  <c r="L572" i="25"/>
  <c r="L240" i="25"/>
  <c r="L578" i="25"/>
  <c r="P419" i="25"/>
  <c r="P296" i="25"/>
  <c r="W296" i="25" s="1"/>
  <c r="P159" i="25"/>
  <c r="Q242" i="25"/>
  <c r="P242" i="25" s="1"/>
  <c r="Q580" i="25"/>
  <c r="P580" i="25" s="1"/>
  <c r="P95" i="25"/>
  <c r="W95" i="25" s="1"/>
  <c r="Q535" i="25"/>
  <c r="T241" i="25"/>
  <c r="T579" i="25"/>
  <c r="T240" i="25"/>
  <c r="T578" i="25"/>
  <c r="R243" i="25"/>
  <c r="R581" i="25"/>
  <c r="R96" i="25"/>
  <c r="R533" i="25"/>
  <c r="R536" i="25" s="1"/>
  <c r="U237" i="25"/>
  <c r="U575" i="25"/>
  <c r="U580" i="25"/>
  <c r="U242" i="25"/>
  <c r="M419" i="25"/>
  <c r="W419" i="25" s="1"/>
  <c r="M168" i="25"/>
  <c r="J168" i="25" s="1"/>
  <c r="N241" i="25"/>
  <c r="M241" i="25" s="1"/>
  <c r="N579" i="25"/>
  <c r="M579" i="25" s="1"/>
  <c r="M159" i="25"/>
  <c r="W159" i="25" s="1"/>
  <c r="N242" i="25"/>
  <c r="N580" i="25"/>
  <c r="M580" i="25" s="1"/>
  <c r="L61" i="27"/>
  <c r="L45" i="27"/>
  <c r="L737" i="27"/>
  <c r="V162" i="25"/>
  <c r="V233" i="25"/>
  <c r="V571" i="25"/>
  <c r="V235" i="25"/>
  <c r="V573" i="25"/>
  <c r="V580" i="25"/>
  <c r="V242" i="25"/>
  <c r="T30" i="27"/>
  <c r="W420" i="25"/>
  <c r="J420" i="25"/>
  <c r="W416" i="25"/>
  <c r="J416" i="25"/>
  <c r="W156" i="25"/>
  <c r="K238" i="25"/>
  <c r="K576" i="25"/>
  <c r="O191" i="25"/>
  <c r="O96" i="25"/>
  <c r="O533" i="25"/>
  <c r="O536" i="25" s="1"/>
  <c r="H212" i="28"/>
  <c r="L212" i="28"/>
  <c r="M212" i="28" s="1"/>
  <c r="S575" i="25"/>
  <c r="S237" i="25"/>
  <c r="J644" i="27"/>
  <c r="W644" i="27"/>
  <c r="L241" i="25"/>
  <c r="L579" i="25"/>
  <c r="L96" i="25"/>
  <c r="L533" i="25"/>
  <c r="L536" i="25" s="1"/>
  <c r="P633" i="25"/>
  <c r="J633" i="25" s="1"/>
  <c r="P190" i="25"/>
  <c r="P152" i="25"/>
  <c r="Q234" i="25"/>
  <c r="P234" i="25" s="1"/>
  <c r="Q572" i="25"/>
  <c r="P572" i="25" s="1"/>
  <c r="P155" i="25"/>
  <c r="J155" i="25" s="1"/>
  <c r="Q237" i="25"/>
  <c r="Q575" i="25"/>
  <c r="P575" i="25" s="1"/>
  <c r="T574" i="25"/>
  <c r="T236" i="25"/>
  <c r="R235" i="25"/>
  <c r="R573" i="25"/>
  <c r="U234" i="25"/>
  <c r="U572" i="25"/>
  <c r="L30" i="27"/>
  <c r="M420" i="25"/>
  <c r="M153" i="25"/>
  <c r="W153" i="25" s="1"/>
  <c r="N235" i="25"/>
  <c r="M235" i="25" s="1"/>
  <c r="N573" i="25"/>
  <c r="M573" i="25" s="1"/>
  <c r="M152" i="25"/>
  <c r="J152" i="25" s="1"/>
  <c r="N234" i="25"/>
  <c r="M234" i="25" s="1"/>
  <c r="N572" i="25"/>
  <c r="M572" i="25" s="1"/>
  <c r="N34" i="27"/>
  <c r="M306" i="27"/>
  <c r="M34" i="27" s="1"/>
  <c r="R30" i="27"/>
  <c r="V576" i="25"/>
  <c r="V238" i="25"/>
  <c r="V234" i="25"/>
  <c r="V572" i="25"/>
  <c r="J32" i="27"/>
  <c r="H32" i="27" s="1"/>
  <c r="Y32" i="27" s="1"/>
  <c r="K69" i="31"/>
  <c r="W413" i="25"/>
  <c r="J424" i="25"/>
  <c r="W424" i="25"/>
  <c r="W160" i="25"/>
  <c r="K243" i="25"/>
  <c r="K581" i="25"/>
  <c r="W188" i="25"/>
  <c r="J188" i="25"/>
  <c r="K191" i="25"/>
  <c r="O239" i="25"/>
  <c r="O577" i="25"/>
  <c r="O235" i="25"/>
  <c r="O573" i="25"/>
  <c r="S243" i="25"/>
  <c r="S581" i="25"/>
  <c r="S576" i="25"/>
  <c r="S238" i="25"/>
  <c r="L235" i="25"/>
  <c r="L573" i="25"/>
  <c r="L574" i="25"/>
  <c r="L236" i="25"/>
  <c r="P422" i="25"/>
  <c r="W422" i="25" s="1"/>
  <c r="P158" i="25"/>
  <c r="Q240" i="25"/>
  <c r="P240" i="25" s="1"/>
  <c r="Q578" i="25"/>
  <c r="P578" i="25" s="1"/>
  <c r="P160" i="25"/>
  <c r="J160" i="25" s="1"/>
  <c r="Q581" i="25"/>
  <c r="Q243" i="25"/>
  <c r="T243" i="25"/>
  <c r="T581" i="25"/>
  <c r="T96" i="25"/>
  <c r="T533" i="25"/>
  <c r="T535" i="25"/>
  <c r="R242" i="25"/>
  <c r="R580" i="25"/>
  <c r="M606" i="27"/>
  <c r="W606" i="27" s="1"/>
  <c r="U576" i="25"/>
  <c r="U238" i="25"/>
  <c r="U96" i="25"/>
  <c r="U533" i="25"/>
  <c r="U536" i="25" s="1"/>
  <c r="P418" i="27"/>
  <c r="W418" i="27" s="1"/>
  <c r="Q427" i="27"/>
  <c r="P427" i="27" s="1"/>
  <c r="M424" i="25"/>
  <c r="M413" i="25"/>
  <c r="J413" i="25" s="1"/>
  <c r="M156" i="25"/>
  <c r="J156" i="25" s="1"/>
  <c r="N576" i="25"/>
  <c r="M576" i="25" s="1"/>
  <c r="N238" i="25"/>
  <c r="M238" i="25" s="1"/>
  <c r="M190" i="25"/>
  <c r="J190" i="25" s="1"/>
  <c r="L217" i="28" l="1"/>
  <c r="M217" i="28" s="1"/>
  <c r="H217" i="28"/>
  <c r="R22" i="25"/>
  <c r="R698" i="25"/>
  <c r="R697" i="25"/>
  <c r="J422" i="25"/>
  <c r="N19" i="25"/>
  <c r="M96" i="25"/>
  <c r="N171" i="25"/>
  <c r="N700" i="25"/>
  <c r="N701" i="25"/>
  <c r="S245" i="25"/>
  <c r="K536" i="25"/>
  <c r="M577" i="25"/>
  <c r="S61" i="27"/>
  <c r="S45" i="27"/>
  <c r="S737" i="27"/>
  <c r="J157" i="25"/>
  <c r="J412" i="25"/>
  <c r="H348" i="28"/>
  <c r="N348" i="28" s="1"/>
  <c r="L348" i="28"/>
  <c r="T245" i="25"/>
  <c r="R19" i="25"/>
  <c r="R171" i="25"/>
  <c r="R701" i="25"/>
  <c r="R700" i="25"/>
  <c r="P535" i="25"/>
  <c r="J575" i="25"/>
  <c r="W575" i="25"/>
  <c r="M236" i="25"/>
  <c r="T582" i="25"/>
  <c r="W572" i="25"/>
  <c r="J572" i="25"/>
  <c r="K19" i="25"/>
  <c r="K171" i="25"/>
  <c r="K701" i="25"/>
  <c r="K700" i="25"/>
  <c r="W580" i="25"/>
  <c r="J580" i="25"/>
  <c r="V19" i="25"/>
  <c r="V171" i="25"/>
  <c r="V701" i="25"/>
  <c r="J45" i="30" s="1"/>
  <c r="V700" i="25"/>
  <c r="J44" i="30" s="1"/>
  <c r="M239" i="25"/>
  <c r="P573" i="25"/>
  <c r="O582" i="25"/>
  <c r="I224" i="28"/>
  <c r="N224" i="28"/>
  <c r="H573" i="28"/>
  <c r="L573" i="28"/>
  <c r="M573" i="28" s="1"/>
  <c r="T536" i="25"/>
  <c r="T597" i="25" s="1"/>
  <c r="W237" i="25"/>
  <c r="J237" i="25"/>
  <c r="H286" i="28"/>
  <c r="N286" i="28" s="1"/>
  <c r="L286" i="28"/>
  <c r="T22" i="25"/>
  <c r="T698" i="25"/>
  <c r="H42" i="30" s="1"/>
  <c r="T697" i="25"/>
  <c r="H41" i="30" s="1"/>
  <c r="J643" i="27"/>
  <c r="W643" i="27"/>
  <c r="P576" i="25"/>
  <c r="J576" i="25" s="1"/>
  <c r="M571" i="25"/>
  <c r="N582" i="25"/>
  <c r="M582" i="25" s="1"/>
  <c r="I213" i="28"/>
  <c r="N213" i="28"/>
  <c r="W292" i="27"/>
  <c r="T247" i="25"/>
  <c r="T26" i="25" s="1"/>
  <c r="W93" i="25"/>
  <c r="J159" i="25"/>
  <c r="P235" i="25"/>
  <c r="K582" i="25"/>
  <c r="O245" i="25"/>
  <c r="O247" i="25" s="1"/>
  <c r="O26" i="25" s="1"/>
  <c r="W578" i="25"/>
  <c r="J578" i="25"/>
  <c r="I207" i="28"/>
  <c r="N207" i="28"/>
  <c r="V245" i="25"/>
  <c r="V247" i="25" s="1"/>
  <c r="V26" i="25" s="1"/>
  <c r="V22" i="25"/>
  <c r="V698" i="25"/>
  <c r="J42" i="30" s="1"/>
  <c r="V697" i="25"/>
  <c r="J41" i="30" s="1"/>
  <c r="W576" i="25"/>
  <c r="T19" i="25"/>
  <c r="T24" i="25" s="1"/>
  <c r="T28" i="25" s="1"/>
  <c r="T171" i="25"/>
  <c r="T701" i="25"/>
  <c r="H45" i="30" s="1"/>
  <c r="T700" i="25"/>
  <c r="H44" i="30" s="1"/>
  <c r="P237" i="25"/>
  <c r="J238" i="25"/>
  <c r="W306" i="27"/>
  <c r="J234" i="25"/>
  <c r="W234" i="25"/>
  <c r="M237" i="25"/>
  <c r="P238" i="25"/>
  <c r="W238" i="25" s="1"/>
  <c r="M375" i="27"/>
  <c r="N377" i="27"/>
  <c r="J241" i="25"/>
  <c r="W241" i="25"/>
  <c r="M233" i="25"/>
  <c r="W233" i="25" s="1"/>
  <c r="N245" i="25"/>
  <c r="M245" i="25" s="1"/>
  <c r="U245" i="25"/>
  <c r="U247" i="25" s="1"/>
  <c r="U26" i="25" s="1"/>
  <c r="P239" i="25"/>
  <c r="J266" i="27"/>
  <c r="K22" i="25"/>
  <c r="K698" i="25"/>
  <c r="K697" i="25"/>
  <c r="J419" i="25"/>
  <c r="M243" i="25"/>
  <c r="Q536" i="25"/>
  <c r="P533" i="25"/>
  <c r="O22" i="25"/>
  <c r="O698" i="25"/>
  <c r="O697" i="25"/>
  <c r="W240" i="25"/>
  <c r="J240" i="25"/>
  <c r="L19" i="25"/>
  <c r="L171" i="25"/>
  <c r="L701" i="25"/>
  <c r="E45" i="30" s="1"/>
  <c r="L700" i="25"/>
  <c r="E44" i="30" s="1"/>
  <c r="W34" i="27"/>
  <c r="J34" i="27"/>
  <c r="H34" i="27" s="1"/>
  <c r="Y34" i="27" s="1"/>
  <c r="P30" i="27"/>
  <c r="W168" i="25"/>
  <c r="W427" i="27"/>
  <c r="J427" i="27"/>
  <c r="N22" i="25"/>
  <c r="M22" i="25" s="1"/>
  <c r="M162" i="25"/>
  <c r="J162" i="25" s="1"/>
  <c r="N698" i="25"/>
  <c r="M698" i="25" s="1"/>
  <c r="F42" i="30" s="1"/>
  <c r="N697" i="25"/>
  <c r="U582" i="25"/>
  <c r="W33" i="27"/>
  <c r="J33" i="27"/>
  <c r="H33" i="27" s="1"/>
  <c r="Y33" i="27" s="1"/>
  <c r="W573" i="25"/>
  <c r="J573" i="25"/>
  <c r="W633" i="25"/>
  <c r="Q582" i="25"/>
  <c r="P571" i="25"/>
  <c r="W571" i="25" s="1"/>
  <c r="W151" i="25"/>
  <c r="M581" i="25"/>
  <c r="J581" i="25" s="1"/>
  <c r="J158" i="25"/>
  <c r="I214" i="28"/>
  <c r="N214" i="28"/>
  <c r="W581" i="25"/>
  <c r="L582" i="25"/>
  <c r="L597" i="25" s="1"/>
  <c r="W574" i="25"/>
  <c r="J418" i="27"/>
  <c r="U22" i="25"/>
  <c r="U697" i="25"/>
  <c r="I41" i="30" s="1"/>
  <c r="U698" i="25"/>
  <c r="I42" i="30" s="1"/>
  <c r="H288" i="28"/>
  <c r="L288" i="28"/>
  <c r="M288" i="28" s="1"/>
  <c r="W235" i="25"/>
  <c r="J235" i="25"/>
  <c r="M535" i="25"/>
  <c r="Q245" i="25"/>
  <c r="P233" i="25"/>
  <c r="J233" i="25" s="1"/>
  <c r="K245" i="25"/>
  <c r="K247" i="25" s="1"/>
  <c r="Q19" i="25"/>
  <c r="P96" i="25"/>
  <c r="W96" i="25" s="1"/>
  <c r="Q171" i="25"/>
  <c r="Q701" i="25"/>
  <c r="Q700" i="25"/>
  <c r="M30" i="27"/>
  <c r="J30" i="27" s="1"/>
  <c r="H30" i="27" s="1"/>
  <c r="I285" i="28"/>
  <c r="N285" i="28"/>
  <c r="U597" i="25"/>
  <c r="P243" i="25"/>
  <c r="W243" i="25" s="1"/>
  <c r="J243" i="25"/>
  <c r="O597" i="25"/>
  <c r="W190" i="25"/>
  <c r="J606" i="27"/>
  <c r="M242" i="25"/>
  <c r="J242" i="25" s="1"/>
  <c r="I553" i="28"/>
  <c r="N553" i="28"/>
  <c r="P574" i="25"/>
  <c r="J574" i="25" s="1"/>
  <c r="L245" i="25"/>
  <c r="J236" i="25"/>
  <c r="R582" i="25"/>
  <c r="R597" i="25" s="1"/>
  <c r="S19" i="25"/>
  <c r="S171" i="25"/>
  <c r="S701" i="25"/>
  <c r="S700" i="25"/>
  <c r="J189" i="25"/>
  <c r="J375" i="27"/>
  <c r="K377" i="27"/>
  <c r="S582" i="25"/>
  <c r="J153" i="25"/>
  <c r="M191" i="25"/>
  <c r="J191" i="25" s="1"/>
  <c r="N247" i="25"/>
  <c r="S247" i="25"/>
  <c r="S26" i="25" s="1"/>
  <c r="W577" i="25"/>
  <c r="J577" i="25"/>
  <c r="I212" i="28"/>
  <c r="N212" i="28"/>
  <c r="S536" i="25"/>
  <c r="U19" i="25"/>
  <c r="U24" i="25" s="1"/>
  <c r="U28" i="25" s="1"/>
  <c r="U171" i="25"/>
  <c r="U700" i="25"/>
  <c r="I44" i="30" s="1"/>
  <c r="U701" i="25"/>
  <c r="I45" i="30" s="1"/>
  <c r="P581" i="25"/>
  <c r="W32" i="27"/>
  <c r="O19" i="25"/>
  <c r="O24" i="25" s="1"/>
  <c r="O171" i="25"/>
  <c r="O700" i="25"/>
  <c r="O701" i="25"/>
  <c r="V582" i="25"/>
  <c r="V597" i="25" s="1"/>
  <c r="P236" i="25"/>
  <c r="W236" i="25" s="1"/>
  <c r="L22" i="25"/>
  <c r="L698" i="25"/>
  <c r="E42" i="30" s="1"/>
  <c r="L697" i="25"/>
  <c r="E41" i="30" s="1"/>
  <c r="P375" i="27"/>
  <c r="W375" i="27" s="1"/>
  <c r="Q377" i="27"/>
  <c r="R245" i="25"/>
  <c r="R247" i="25" s="1"/>
  <c r="R26" i="25" s="1"/>
  <c r="P579" i="25"/>
  <c r="J579" i="25" s="1"/>
  <c r="M533" i="25"/>
  <c r="W533" i="25" s="1"/>
  <c r="N536" i="25"/>
  <c r="L247" i="25"/>
  <c r="L26" i="25" s="1"/>
  <c r="S22" i="25"/>
  <c r="S698" i="25"/>
  <c r="S697" i="25"/>
  <c r="Q22" i="25"/>
  <c r="P162" i="25"/>
  <c r="W162" i="25" s="1"/>
  <c r="Q698" i="25"/>
  <c r="P698" i="25" s="1"/>
  <c r="G42" i="30" s="1"/>
  <c r="Q697" i="25"/>
  <c r="J535" i="25"/>
  <c r="W535" i="25"/>
  <c r="P191" i="25"/>
  <c r="J239" i="25"/>
  <c r="W239" i="25"/>
  <c r="N279" i="28"/>
  <c r="I279" i="28"/>
  <c r="L62" i="25" l="1"/>
  <c r="L46" i="25"/>
  <c r="R46" i="25"/>
  <c r="R62" i="25"/>
  <c r="K26" i="25"/>
  <c r="V62" i="25"/>
  <c r="V46" i="25"/>
  <c r="Y30" i="27"/>
  <c r="W30" i="27"/>
  <c r="N597" i="25"/>
  <c r="M536" i="25"/>
  <c r="U46" i="25"/>
  <c r="U62" i="25"/>
  <c r="P171" i="25"/>
  <c r="Q703" i="25"/>
  <c r="Q705" i="25"/>
  <c r="P582" i="25"/>
  <c r="T249" i="25"/>
  <c r="T705" i="25"/>
  <c r="H49" i="30" s="1"/>
  <c r="T703" i="25"/>
  <c r="H47" i="30" s="1"/>
  <c r="W579" i="25"/>
  <c r="I573" i="28"/>
  <c r="N573" i="28"/>
  <c r="M701" i="25"/>
  <c r="F45" i="30" s="1"/>
  <c r="U249" i="25"/>
  <c r="U705" i="25"/>
  <c r="I49" i="30" s="1"/>
  <c r="U703" i="25"/>
  <c r="I47" i="30" s="1"/>
  <c r="D41" i="30"/>
  <c r="J96" i="25"/>
  <c r="M700" i="25"/>
  <c r="F44" i="30" s="1"/>
  <c r="N217" i="28"/>
  <c r="I217" i="28"/>
  <c r="P245" i="25"/>
  <c r="W698" i="25"/>
  <c r="J698" i="25"/>
  <c r="H698" i="25" s="1"/>
  <c r="D42" i="30"/>
  <c r="K42" i="30" s="1"/>
  <c r="D44" i="30"/>
  <c r="R249" i="25"/>
  <c r="R703" i="25"/>
  <c r="R705" i="25"/>
  <c r="W242" i="25"/>
  <c r="M171" i="25"/>
  <c r="N249" i="25"/>
  <c r="N705" i="25"/>
  <c r="M705" i="25" s="1"/>
  <c r="F49" i="30" s="1"/>
  <c r="N703" i="25"/>
  <c r="M703" i="25" s="1"/>
  <c r="F47" i="30" s="1"/>
  <c r="P377" i="27"/>
  <c r="Q429" i="27"/>
  <c r="N26" i="25"/>
  <c r="M26" i="25" s="1"/>
  <c r="M247" i="25"/>
  <c r="Q24" i="25"/>
  <c r="P19" i="25"/>
  <c r="P697" i="25"/>
  <c r="G41" i="30" s="1"/>
  <c r="O705" i="25"/>
  <c r="O249" i="25"/>
  <c r="O703" i="25"/>
  <c r="O62" i="25"/>
  <c r="O46" i="25"/>
  <c r="N288" i="28"/>
  <c r="I288" i="28"/>
  <c r="J571" i="25"/>
  <c r="W191" i="25"/>
  <c r="D45" i="30"/>
  <c r="R24" i="25"/>
  <c r="R28" i="25" s="1"/>
  <c r="O28" i="25"/>
  <c r="S597" i="25"/>
  <c r="J171" i="25"/>
  <c r="W171" i="25"/>
  <c r="K249" i="25"/>
  <c r="K705" i="25"/>
  <c r="K703" i="25"/>
  <c r="J533" i="25"/>
  <c r="M19" i="25"/>
  <c r="N24" i="25"/>
  <c r="V249" i="25"/>
  <c r="V705" i="25"/>
  <c r="J49" i="30" s="1"/>
  <c r="V703" i="25"/>
  <c r="J47" i="30" s="1"/>
  <c r="J536" i="25"/>
  <c r="K597" i="25"/>
  <c r="W536" i="25"/>
  <c r="S249" i="25"/>
  <c r="S705" i="25"/>
  <c r="S703" i="25"/>
  <c r="L249" i="25"/>
  <c r="L705" i="25"/>
  <c r="E49" i="30" s="1"/>
  <c r="L703" i="25"/>
  <c r="E47" i="30" s="1"/>
  <c r="M377" i="27"/>
  <c r="N429" i="27"/>
  <c r="J582" i="25"/>
  <c r="W582" i="25"/>
  <c r="P22" i="25"/>
  <c r="J22" i="25" s="1"/>
  <c r="H22" i="25" s="1"/>
  <c r="S24" i="25"/>
  <c r="S28" i="25" s="1"/>
  <c r="P700" i="25"/>
  <c r="G44" i="30" s="1"/>
  <c r="J245" i="25"/>
  <c r="W245" i="25"/>
  <c r="L24" i="25"/>
  <c r="L28" i="25" s="1"/>
  <c r="P536" i="25"/>
  <c r="Q597" i="25"/>
  <c r="T62" i="25"/>
  <c r="T46" i="25"/>
  <c r="V24" i="25"/>
  <c r="V28" i="25" s="1"/>
  <c r="J19" i="25"/>
  <c r="H19" i="25" s="1"/>
  <c r="X19" i="25" s="1"/>
  <c r="K24" i="25"/>
  <c r="Q247" i="25"/>
  <c r="W377" i="27"/>
  <c r="J377" i="27"/>
  <c r="K429" i="27"/>
  <c r="P701" i="25"/>
  <c r="G45" i="30" s="1"/>
  <c r="M697" i="25"/>
  <c r="F41" i="30" s="1"/>
  <c r="X22" i="25" l="1"/>
  <c r="W22" i="25"/>
  <c r="D49" i="30"/>
  <c r="S62" i="25"/>
  <c r="S46" i="25"/>
  <c r="R704" i="25"/>
  <c r="J697" i="25"/>
  <c r="H697" i="25" s="1"/>
  <c r="V704" i="25"/>
  <c r="J48" i="30" s="1"/>
  <c r="K704" i="25"/>
  <c r="J700" i="25"/>
  <c r="H700" i="25" s="1"/>
  <c r="L704" i="25"/>
  <c r="E48" i="30" s="1"/>
  <c r="K62" i="25"/>
  <c r="K46" i="25"/>
  <c r="J597" i="25"/>
  <c r="O704" i="25"/>
  <c r="M249" i="25"/>
  <c r="N704" i="25"/>
  <c r="M704" i="25" s="1"/>
  <c r="F48" i="30" s="1"/>
  <c r="W700" i="25"/>
  <c r="U704" i="25"/>
  <c r="I48" i="30" s="1"/>
  <c r="N62" i="25"/>
  <c r="M62" i="25" s="1"/>
  <c r="N46" i="25"/>
  <c r="M46" i="25" s="1"/>
  <c r="M597" i="25"/>
  <c r="W597" i="25" s="1"/>
  <c r="Q46" i="25"/>
  <c r="P46" i="25" s="1"/>
  <c r="Q62" i="25"/>
  <c r="P597" i="25"/>
  <c r="K45" i="30"/>
  <c r="P705" i="25"/>
  <c r="G49" i="30" s="1"/>
  <c r="K44" i="30"/>
  <c r="Q26" i="25"/>
  <c r="P26" i="25" s="1"/>
  <c r="J26" i="25" s="1"/>
  <c r="H26" i="25" s="1"/>
  <c r="X26" i="25" s="1"/>
  <c r="P247" i="25"/>
  <c r="W247" i="25" s="1"/>
  <c r="M24" i="25"/>
  <c r="W24" i="25" s="1"/>
  <c r="N28" i="25"/>
  <c r="K28" i="25"/>
  <c r="N61" i="27"/>
  <c r="N45" i="27"/>
  <c r="M429" i="27"/>
  <c r="N737" i="27"/>
  <c r="M737" i="27" s="1"/>
  <c r="W701" i="25"/>
  <c r="P703" i="25"/>
  <c r="G47" i="30" s="1"/>
  <c r="K61" i="27"/>
  <c r="K45" i="27"/>
  <c r="W429" i="27"/>
  <c r="K737" i="27"/>
  <c r="J429" i="27"/>
  <c r="W19" i="25"/>
  <c r="S704" i="25"/>
  <c r="J703" i="25"/>
  <c r="H703" i="25" s="1"/>
  <c r="W703" i="25" s="1"/>
  <c r="D47" i="30"/>
  <c r="K47" i="30" s="1"/>
  <c r="J701" i="25"/>
  <c r="H701" i="25" s="1"/>
  <c r="Q28" i="25"/>
  <c r="P24" i="25"/>
  <c r="J24" i="25" s="1"/>
  <c r="H24" i="25" s="1"/>
  <c r="X24" i="25" s="1"/>
  <c r="Q61" i="27"/>
  <c r="Q45" i="27"/>
  <c r="Q737" i="27"/>
  <c r="P737" i="27" s="1"/>
  <c r="P429" i="27"/>
  <c r="L770" i="25"/>
  <c r="E42" i="31" s="1"/>
  <c r="T770" i="25"/>
  <c r="H42" i="31" s="1"/>
  <c r="M770" i="25"/>
  <c r="F42" i="31" s="1"/>
  <c r="U770" i="25"/>
  <c r="I42" i="31" s="1"/>
  <c r="N770" i="25"/>
  <c r="V770" i="25"/>
  <c r="J42" i="31" s="1"/>
  <c r="O770" i="25"/>
  <c r="P770" i="25"/>
  <c r="G42" i="31" s="1"/>
  <c r="K770" i="25"/>
  <c r="Q770" i="25"/>
  <c r="R770" i="25"/>
  <c r="S770" i="25"/>
  <c r="K41" i="30"/>
  <c r="T704" i="25"/>
  <c r="H48" i="30" s="1"/>
  <c r="Q249" i="25"/>
  <c r="K769" i="25" l="1"/>
  <c r="S769" i="25"/>
  <c r="L769" i="25"/>
  <c r="T769" i="25"/>
  <c r="M769" i="25"/>
  <c r="F41" i="31" s="1"/>
  <c r="U769" i="25"/>
  <c r="N769" i="25"/>
  <c r="V769" i="25"/>
  <c r="O769" i="25"/>
  <c r="P769" i="25"/>
  <c r="G41" i="31" s="1"/>
  <c r="Q769" i="25"/>
  <c r="R769" i="25"/>
  <c r="W697" i="25"/>
  <c r="N773" i="25"/>
  <c r="V773" i="25"/>
  <c r="J45" i="31" s="1"/>
  <c r="O773" i="25"/>
  <c r="P773" i="25"/>
  <c r="G45" i="31" s="1"/>
  <c r="Q773" i="25"/>
  <c r="R773" i="25"/>
  <c r="K773" i="25"/>
  <c r="L773" i="25"/>
  <c r="E45" i="31" s="1"/>
  <c r="M773" i="25"/>
  <c r="F45" i="31" s="1"/>
  <c r="U773" i="25"/>
  <c r="I45" i="31" s="1"/>
  <c r="S773" i="25"/>
  <c r="T773" i="25"/>
  <c r="H45" i="31" s="1"/>
  <c r="J737" i="27"/>
  <c r="H737" i="27" s="1"/>
  <c r="W737" i="27"/>
  <c r="J46" i="25"/>
  <c r="H46" i="25" s="1"/>
  <c r="X46" i="25" s="1"/>
  <c r="W46" i="25"/>
  <c r="D48" i="30"/>
  <c r="M45" i="27"/>
  <c r="J45" i="27" s="1"/>
  <c r="H45" i="27" s="1"/>
  <c r="M61" i="27"/>
  <c r="W61" i="27" s="1"/>
  <c r="O775" i="25"/>
  <c r="P775" i="25"/>
  <c r="G47" i="31" s="1"/>
  <c r="Q775" i="25"/>
  <c r="R775" i="25"/>
  <c r="K775" i="25"/>
  <c r="S775" i="25"/>
  <c r="L775" i="25"/>
  <c r="M775" i="25"/>
  <c r="F47" i="31" s="1"/>
  <c r="N775" i="25"/>
  <c r="T775" i="25"/>
  <c r="U775" i="25"/>
  <c r="V775" i="25"/>
  <c r="K49" i="30"/>
  <c r="J247" i="25"/>
  <c r="P28" i="25"/>
  <c r="M28" i="25"/>
  <c r="J770" i="25"/>
  <c r="H770" i="25" s="1"/>
  <c r="W770" i="25" s="1"/>
  <c r="D42" i="31"/>
  <c r="K42" i="31" s="1"/>
  <c r="J61" i="27"/>
  <c r="H61" i="27" s="1"/>
  <c r="Y61" i="27" s="1"/>
  <c r="P45" i="27"/>
  <c r="J705" i="25"/>
  <c r="H705" i="25" s="1"/>
  <c r="P249" i="25"/>
  <c r="J249" i="25" s="1"/>
  <c r="Q704" i="25"/>
  <c r="P704" i="25" s="1"/>
  <c r="G48" i="30" s="1"/>
  <c r="J28" i="25"/>
  <c r="H28" i="25" s="1"/>
  <c r="X28" i="25" s="1"/>
  <c r="W28" i="25"/>
  <c r="W26" i="25"/>
  <c r="M772" i="25"/>
  <c r="F44" i="31" s="1"/>
  <c r="U772" i="25"/>
  <c r="N772" i="25"/>
  <c r="N300" i="25" s="1"/>
  <c r="V772" i="25"/>
  <c r="O772" i="25"/>
  <c r="O300" i="25" s="1"/>
  <c r="P772" i="25"/>
  <c r="G44" i="31" s="1"/>
  <c r="Q772" i="25"/>
  <c r="Q300" i="25" s="1"/>
  <c r="S772" i="25"/>
  <c r="S300" i="25" s="1"/>
  <c r="T772" i="25"/>
  <c r="R772" i="25"/>
  <c r="R300" i="25" s="1"/>
  <c r="L772" i="25"/>
  <c r="K772" i="25"/>
  <c r="P61" i="27"/>
  <c r="P62" i="25"/>
  <c r="W705" i="25"/>
  <c r="Y45" i="27" l="1"/>
  <c r="W45" i="27"/>
  <c r="T300" i="25"/>
  <c r="H44" i="31"/>
  <c r="L264" i="25"/>
  <c r="L266" i="25" s="1"/>
  <c r="L303" i="25"/>
  <c r="L276" i="25"/>
  <c r="L32" i="25" s="1"/>
  <c r="L265" i="25"/>
  <c r="E47" i="31"/>
  <c r="S264" i="25"/>
  <c r="S266" i="25" s="1"/>
  <c r="S276" i="25"/>
  <c r="S32" i="25" s="1"/>
  <c r="S265" i="25"/>
  <c r="S303" i="25"/>
  <c r="J773" i="25"/>
  <c r="H773" i="25" s="1"/>
  <c r="W773" i="25" s="1"/>
  <c r="D45" i="31"/>
  <c r="K45" i="31" s="1"/>
  <c r="R426" i="25"/>
  <c r="R425" i="25"/>
  <c r="R629" i="25"/>
  <c r="T426" i="25"/>
  <c r="T425" i="25"/>
  <c r="T629" i="25"/>
  <c r="H41" i="31"/>
  <c r="Q425" i="25"/>
  <c r="Q426" i="25"/>
  <c r="P426" i="25" s="1"/>
  <c r="Q629" i="25"/>
  <c r="P629" i="25" s="1"/>
  <c r="L426" i="25"/>
  <c r="L425" i="25"/>
  <c r="L629" i="25"/>
  <c r="E41" i="31"/>
  <c r="N265" i="25"/>
  <c r="M265" i="25" s="1"/>
  <c r="N264" i="25"/>
  <c r="N303" i="25"/>
  <c r="M303" i="25" s="1"/>
  <c r="N276" i="25"/>
  <c r="O265" i="25"/>
  <c r="O264" i="25"/>
  <c r="O276" i="25"/>
  <c r="O32" i="25" s="1"/>
  <c r="O303" i="25"/>
  <c r="O306" i="25" s="1"/>
  <c r="N426" i="25"/>
  <c r="N629" i="25"/>
  <c r="M629" i="25" s="1"/>
  <c r="N425" i="25"/>
  <c r="M425" i="25" s="1"/>
  <c r="S306" i="25"/>
  <c r="V265" i="25"/>
  <c r="V264" i="25"/>
  <c r="V266" i="25" s="1"/>
  <c r="V303" i="25"/>
  <c r="V276" i="25"/>
  <c r="V32" i="25" s="1"/>
  <c r="J47" i="31"/>
  <c r="R276" i="25"/>
  <c r="R32" i="25" s="1"/>
  <c r="R264" i="25"/>
  <c r="R266" i="25" s="1"/>
  <c r="R303" i="25"/>
  <c r="R306" i="25" s="1"/>
  <c r="R265" i="25"/>
  <c r="J62" i="25"/>
  <c r="H62" i="25" s="1"/>
  <c r="X62" i="25" s="1"/>
  <c r="O809" i="27"/>
  <c r="O270" i="27" s="1"/>
  <c r="V809" i="27"/>
  <c r="V270" i="27" s="1"/>
  <c r="P809" i="27"/>
  <c r="T809" i="27"/>
  <c r="T270" i="27" s="1"/>
  <c r="Q809" i="27"/>
  <c r="Q270" i="27" s="1"/>
  <c r="R809" i="27"/>
  <c r="R270" i="27" s="1"/>
  <c r="K809" i="27"/>
  <c r="S809" i="27"/>
  <c r="S270" i="27" s="1"/>
  <c r="L809" i="27"/>
  <c r="L270" i="27" s="1"/>
  <c r="N809" i="27"/>
  <c r="N270" i="27" s="1"/>
  <c r="M809" i="27"/>
  <c r="U809" i="27"/>
  <c r="U270" i="27" s="1"/>
  <c r="S426" i="25"/>
  <c r="S425" i="25"/>
  <c r="S629" i="25"/>
  <c r="U300" i="25"/>
  <c r="I44" i="31"/>
  <c r="P300" i="25"/>
  <c r="Q306" i="25"/>
  <c r="Q777" i="25"/>
  <c r="R777" i="25"/>
  <c r="K777" i="25"/>
  <c r="S777" i="25"/>
  <c r="L777" i="25"/>
  <c r="E49" i="31" s="1"/>
  <c r="T777" i="25"/>
  <c r="H49" i="31" s="1"/>
  <c r="M777" i="25"/>
  <c r="F49" i="31" s="1"/>
  <c r="U777" i="25"/>
  <c r="I49" i="31" s="1"/>
  <c r="N777" i="25"/>
  <c r="V777" i="25"/>
  <c r="J49" i="31" s="1"/>
  <c r="O777" i="25"/>
  <c r="P777" i="25"/>
  <c r="G49" i="31" s="1"/>
  <c r="K300" i="25"/>
  <c r="J772" i="25"/>
  <c r="H772" i="25" s="1"/>
  <c r="W772" i="25" s="1"/>
  <c r="D44" i="31"/>
  <c r="K44" i="31" s="1"/>
  <c r="V300" i="25"/>
  <c r="V306" i="25" s="1"/>
  <c r="V34" i="25" s="1"/>
  <c r="J44" i="31"/>
  <c r="U265" i="25"/>
  <c r="U264" i="25"/>
  <c r="U303" i="25"/>
  <c r="U276" i="25"/>
  <c r="U32" i="25" s="1"/>
  <c r="I47" i="31"/>
  <c r="Q276" i="25"/>
  <c r="Q265" i="25"/>
  <c r="P265" i="25" s="1"/>
  <c r="Q303" i="25"/>
  <c r="P303" i="25" s="1"/>
  <c r="Q264" i="25"/>
  <c r="O426" i="25"/>
  <c r="O629" i="25"/>
  <c r="O425" i="25"/>
  <c r="K426" i="25"/>
  <c r="K425" i="25"/>
  <c r="W769" i="25"/>
  <c r="K629" i="25"/>
  <c r="J769" i="25"/>
  <c r="H769" i="25" s="1"/>
  <c r="D41" i="31"/>
  <c r="J704" i="25"/>
  <c r="H704" i="25" s="1"/>
  <c r="U426" i="25"/>
  <c r="U425" i="25"/>
  <c r="U629" i="25"/>
  <c r="I41" i="31"/>
  <c r="K264" i="25"/>
  <c r="K276" i="25"/>
  <c r="K265" i="25"/>
  <c r="J775" i="25"/>
  <c r="H775" i="25" s="1"/>
  <c r="W775" i="25" s="1"/>
  <c r="K303" i="25"/>
  <c r="D47" i="31"/>
  <c r="L300" i="25"/>
  <c r="L306" i="25" s="1"/>
  <c r="E44" i="31"/>
  <c r="M300" i="25"/>
  <c r="T264" i="25"/>
  <c r="T303" i="25"/>
  <c r="T276" i="25"/>
  <c r="T32" i="25" s="1"/>
  <c r="T265" i="25"/>
  <c r="H47" i="31"/>
  <c r="K48" i="30"/>
  <c r="V426" i="25"/>
  <c r="V629" i="25"/>
  <c r="V425" i="25"/>
  <c r="J41" i="31"/>
  <c r="W249" i="25"/>
  <c r="O34" i="25" l="1"/>
  <c r="R34" i="25"/>
  <c r="L34" i="25"/>
  <c r="K47" i="31"/>
  <c r="J425" i="25"/>
  <c r="K266" i="25"/>
  <c r="W629" i="25"/>
  <c r="J629" i="25"/>
  <c r="Q31" i="27"/>
  <c r="P270" i="27"/>
  <c r="Q308" i="27"/>
  <c r="R30" i="25"/>
  <c r="S34" i="25"/>
  <c r="N32" i="25"/>
  <c r="M32" i="25" s="1"/>
  <c r="M276" i="25"/>
  <c r="L30" i="25"/>
  <c r="Q32" i="25"/>
  <c r="P32" i="25" s="1"/>
  <c r="P276" i="25"/>
  <c r="J426" i="25"/>
  <c r="W426" i="25"/>
  <c r="N31" i="27"/>
  <c r="M270" i="27"/>
  <c r="N308" i="27"/>
  <c r="V31" i="27"/>
  <c r="V36" i="27" s="1"/>
  <c r="V308" i="27"/>
  <c r="V720" i="27" s="1"/>
  <c r="M426" i="25"/>
  <c r="P425" i="25"/>
  <c r="W425" i="25" s="1"/>
  <c r="N266" i="25"/>
  <c r="M264" i="25"/>
  <c r="W264" i="25" s="1"/>
  <c r="L31" i="27"/>
  <c r="L36" i="27" s="1"/>
  <c r="L308" i="27"/>
  <c r="L720" i="27" s="1"/>
  <c r="O31" i="27"/>
  <c r="O36" i="27" s="1"/>
  <c r="O308" i="27"/>
  <c r="O720" i="27" s="1"/>
  <c r="T306" i="25"/>
  <c r="U31" i="27"/>
  <c r="U36" i="27" s="1"/>
  <c r="U308" i="27"/>
  <c r="U720" i="27" s="1"/>
  <c r="Q34" i="25"/>
  <c r="P306" i="25"/>
  <c r="P34" i="25" s="1"/>
  <c r="P776" i="25"/>
  <c r="G48" i="31" s="1"/>
  <c r="Q776" i="25"/>
  <c r="R776" i="25"/>
  <c r="K776" i="25"/>
  <c r="S776" i="25"/>
  <c r="L776" i="25"/>
  <c r="T776" i="25"/>
  <c r="O776" i="25"/>
  <c r="U776" i="25"/>
  <c r="V776" i="25"/>
  <c r="N776" i="25"/>
  <c r="M776" i="25"/>
  <c r="F48" i="31" s="1"/>
  <c r="W704" i="25"/>
  <c r="J300" i="25"/>
  <c r="W300" i="25"/>
  <c r="K306" i="25"/>
  <c r="U306" i="25"/>
  <c r="S31" i="27"/>
  <c r="S36" i="27" s="1"/>
  <c r="S308" i="27"/>
  <c r="S720" i="27" s="1"/>
  <c r="V30" i="25"/>
  <c r="S30" i="25"/>
  <c r="T266" i="25"/>
  <c r="N306" i="25"/>
  <c r="W265" i="25"/>
  <c r="J265" i="25"/>
  <c r="K41" i="31"/>
  <c r="U266" i="25"/>
  <c r="J809" i="27"/>
  <c r="H809" i="27" s="1"/>
  <c r="W809" i="27" s="1"/>
  <c r="K270" i="27"/>
  <c r="O266" i="25"/>
  <c r="T31" i="27"/>
  <c r="T36" i="27" s="1"/>
  <c r="T308" i="27"/>
  <c r="T720" i="27" s="1"/>
  <c r="J303" i="25"/>
  <c r="W303" i="25"/>
  <c r="K32" i="25"/>
  <c r="J276" i="25"/>
  <c r="W276" i="25"/>
  <c r="Q266" i="25"/>
  <c r="P264" i="25"/>
  <c r="J777" i="25"/>
  <c r="H777" i="25" s="1"/>
  <c r="W777" i="25"/>
  <c r="D49" i="31"/>
  <c r="K49" i="31" s="1"/>
  <c r="R31" i="27"/>
  <c r="R36" i="27" s="1"/>
  <c r="R308" i="27"/>
  <c r="R720" i="27" s="1"/>
  <c r="W62" i="25"/>
  <c r="T30" i="25" l="1"/>
  <c r="P31" i="27"/>
  <c r="Q36" i="27"/>
  <c r="L418" i="25"/>
  <c r="L427" i="25" s="1"/>
  <c r="L429" i="25" s="1"/>
  <c r="L627" i="25"/>
  <c r="L643" i="25" s="1"/>
  <c r="L606" i="25"/>
  <c r="E48" i="31"/>
  <c r="M31" i="27"/>
  <c r="N36" i="27"/>
  <c r="K34" i="25"/>
  <c r="N720" i="27"/>
  <c r="M720" i="27" s="1"/>
  <c r="M308" i="27"/>
  <c r="L57" i="27"/>
  <c r="L59" i="27" s="1"/>
  <c r="S418" i="25"/>
  <c r="S427" i="25" s="1"/>
  <c r="S429" i="25" s="1"/>
  <c r="S627" i="25"/>
  <c r="S643" i="25" s="1"/>
  <c r="S606" i="25"/>
  <c r="N30" i="25"/>
  <c r="M266" i="25"/>
  <c r="W266" i="25" s="1"/>
  <c r="K31" i="27"/>
  <c r="W270" i="27"/>
  <c r="J270" i="27"/>
  <c r="K308" i="27"/>
  <c r="R57" i="27"/>
  <c r="R59" i="27" s="1"/>
  <c r="J32" i="25"/>
  <c r="H32" i="25" s="1"/>
  <c r="X32" i="25" s="1"/>
  <c r="W32" i="25"/>
  <c r="K30" i="25"/>
  <c r="U30" i="25"/>
  <c r="U57" i="27"/>
  <c r="U59" i="27" s="1"/>
  <c r="N418" i="25"/>
  <c r="N606" i="25"/>
  <c r="N627" i="25"/>
  <c r="R418" i="25"/>
  <c r="R427" i="25" s="1"/>
  <c r="R429" i="25" s="1"/>
  <c r="R606" i="25"/>
  <c r="R627" i="25"/>
  <c r="R643" i="25" s="1"/>
  <c r="T34" i="25"/>
  <c r="J264" i="25"/>
  <c r="O606" i="25"/>
  <c r="O418" i="25"/>
  <c r="O427" i="25" s="1"/>
  <c r="O429" i="25" s="1"/>
  <c r="O627" i="25"/>
  <c r="O643" i="25" s="1"/>
  <c r="T418" i="25"/>
  <c r="T427" i="25" s="1"/>
  <c r="T429" i="25" s="1"/>
  <c r="T627" i="25"/>
  <c r="T643" i="25" s="1"/>
  <c r="T606" i="25"/>
  <c r="H48" i="31"/>
  <c r="K418" i="25"/>
  <c r="K627" i="25"/>
  <c r="J776" i="25"/>
  <c r="H776" i="25" s="1"/>
  <c r="K606" i="25"/>
  <c r="W776" i="25"/>
  <c r="D48" i="31"/>
  <c r="T57" i="27"/>
  <c r="T59" i="27" s="1"/>
  <c r="S57" i="27"/>
  <c r="S59" i="27" s="1"/>
  <c r="V418" i="25"/>
  <c r="V427" i="25" s="1"/>
  <c r="V429" i="25" s="1"/>
  <c r="V606" i="25"/>
  <c r="V627" i="25"/>
  <c r="V643" i="25" s="1"/>
  <c r="J48" i="31"/>
  <c r="Q606" i="25"/>
  <c r="Q418" i="25"/>
  <c r="Q627" i="25"/>
  <c r="Q30" i="25"/>
  <c r="P266" i="25"/>
  <c r="J266" i="25" s="1"/>
  <c r="O30" i="25"/>
  <c r="N34" i="25"/>
  <c r="M306" i="25"/>
  <c r="M34" i="25" s="1"/>
  <c r="U34" i="25"/>
  <c r="U418" i="25"/>
  <c r="U427" i="25" s="1"/>
  <c r="U429" i="25" s="1"/>
  <c r="U627" i="25"/>
  <c r="U643" i="25" s="1"/>
  <c r="U606" i="25"/>
  <c r="I48" i="31"/>
  <c r="O57" i="27"/>
  <c r="O59" i="27" s="1"/>
  <c r="V57" i="27"/>
  <c r="V59" i="27" s="1"/>
  <c r="P308" i="27"/>
  <c r="Q720" i="27"/>
  <c r="P720" i="27" s="1"/>
  <c r="N643" i="25" l="1"/>
  <c r="M643" i="25" s="1"/>
  <c r="M627" i="25"/>
  <c r="S61" i="25"/>
  <c r="S45" i="25"/>
  <c r="S737" i="25"/>
  <c r="L61" i="25"/>
  <c r="L45" i="25"/>
  <c r="L737" i="25"/>
  <c r="E81" i="30" s="1"/>
  <c r="M606" i="25"/>
  <c r="J606" i="25" s="1"/>
  <c r="L623" i="27"/>
  <c r="O61" i="25"/>
  <c r="O45" i="25"/>
  <c r="O737" i="25"/>
  <c r="V61" i="25"/>
  <c r="V45" i="25"/>
  <c r="V737" i="25"/>
  <c r="J81" i="30" s="1"/>
  <c r="T61" i="25"/>
  <c r="T45" i="25"/>
  <c r="T737" i="25"/>
  <c r="H81" i="30" s="1"/>
  <c r="M418" i="25"/>
  <c r="N427" i="25"/>
  <c r="J31" i="27"/>
  <c r="H31" i="27" s="1"/>
  <c r="Y31" i="27" s="1"/>
  <c r="K36" i="27"/>
  <c r="V623" i="27"/>
  <c r="P30" i="25"/>
  <c r="M36" i="27"/>
  <c r="N57" i="27"/>
  <c r="P36" i="27"/>
  <c r="Q57" i="27"/>
  <c r="U45" i="25"/>
  <c r="U61" i="25"/>
  <c r="U737" i="25"/>
  <c r="I81" i="30" s="1"/>
  <c r="W627" i="25"/>
  <c r="J627" i="25"/>
  <c r="K643" i="25"/>
  <c r="R623" i="27"/>
  <c r="W308" i="27"/>
  <c r="J308" i="27"/>
  <c r="K720" i="27"/>
  <c r="Q643" i="25"/>
  <c r="P643" i="25" s="1"/>
  <c r="P627" i="25"/>
  <c r="S623" i="27"/>
  <c r="P418" i="25"/>
  <c r="Q427" i="25"/>
  <c r="J418" i="25"/>
  <c r="W418" i="25"/>
  <c r="K427" i="25"/>
  <c r="U623" i="27"/>
  <c r="M30" i="25"/>
  <c r="J30" i="25" s="1"/>
  <c r="H30" i="25" s="1"/>
  <c r="X30" i="25" s="1"/>
  <c r="J306" i="25"/>
  <c r="R45" i="25"/>
  <c r="R61" i="25"/>
  <c r="R737" i="25"/>
  <c r="J34" i="25"/>
  <c r="H34" i="25" s="1"/>
  <c r="X34" i="25" s="1"/>
  <c r="W34" i="25"/>
  <c r="K48" i="31"/>
  <c r="O623" i="27"/>
  <c r="P606" i="25"/>
  <c r="W606" i="25" s="1"/>
  <c r="T623" i="27"/>
  <c r="W306" i="25"/>
  <c r="W643" i="25" l="1"/>
  <c r="J643" i="25"/>
  <c r="P57" i="27"/>
  <c r="Q59" i="27"/>
  <c r="W31" i="27"/>
  <c r="J720" i="27"/>
  <c r="H720" i="27" s="1"/>
  <c r="M427" i="25"/>
  <c r="W427" i="25" s="1"/>
  <c r="N429" i="25"/>
  <c r="N59" i="27"/>
  <c r="M57" i="27"/>
  <c r="W30" i="25"/>
  <c r="P427" i="25"/>
  <c r="Q429" i="25"/>
  <c r="K429" i="25"/>
  <c r="J36" i="27"/>
  <c r="K57" i="27"/>
  <c r="N61" i="25" l="1"/>
  <c r="N45" i="25"/>
  <c r="M429" i="25"/>
  <c r="N737" i="25"/>
  <c r="M737" i="25" s="1"/>
  <c r="F81" i="30" s="1"/>
  <c r="R792" i="27"/>
  <c r="K792" i="27"/>
  <c r="S792" i="27"/>
  <c r="U792" i="27"/>
  <c r="L792" i="27"/>
  <c r="T792" i="27"/>
  <c r="M792" i="27"/>
  <c r="Q792" i="27"/>
  <c r="N792" i="27"/>
  <c r="V792" i="27"/>
  <c r="O792" i="27"/>
  <c r="P792" i="27"/>
  <c r="W720" i="27"/>
  <c r="K61" i="25"/>
  <c r="K45" i="25"/>
  <c r="W429" i="25"/>
  <c r="K737" i="25"/>
  <c r="J429" i="25"/>
  <c r="J427" i="25"/>
  <c r="Q45" i="25"/>
  <c r="Q61" i="25"/>
  <c r="P429" i="25"/>
  <c r="Q737" i="25"/>
  <c r="P737" i="25" s="1"/>
  <c r="G81" i="30" s="1"/>
  <c r="M59" i="27"/>
  <c r="M623" i="27" s="1"/>
  <c r="N623" i="27"/>
  <c r="P59" i="27"/>
  <c r="Q623" i="27"/>
  <c r="H36" i="27"/>
  <c r="W57" i="27"/>
  <c r="J57" i="27"/>
  <c r="H57" i="27" s="1"/>
  <c r="Y57" i="27" s="1"/>
  <c r="K59" i="27"/>
  <c r="P45" i="25" l="1"/>
  <c r="U626" i="27"/>
  <c r="U629" i="27"/>
  <c r="U634" i="27"/>
  <c r="J59" i="27"/>
  <c r="K623" i="27"/>
  <c r="J737" i="25"/>
  <c r="H737" i="25" s="1"/>
  <c r="W737" i="25"/>
  <c r="D81" i="30"/>
  <c r="K81" i="30" s="1"/>
  <c r="R629" i="27"/>
  <c r="R634" i="27"/>
  <c r="R626" i="27"/>
  <c r="O634" i="27"/>
  <c r="O626" i="27"/>
  <c r="O629" i="27"/>
  <c r="V634" i="27"/>
  <c r="V626" i="27"/>
  <c r="V629" i="27"/>
  <c r="P623" i="27"/>
  <c r="S629" i="27"/>
  <c r="S634" i="27"/>
  <c r="S626" i="27"/>
  <c r="J792" i="27"/>
  <c r="H792" i="27" s="1"/>
  <c r="W792" i="27" s="1"/>
  <c r="K629" i="27"/>
  <c r="K634" i="27"/>
  <c r="K626" i="27"/>
  <c r="N634" i="27"/>
  <c r="M634" i="27" s="1"/>
  <c r="N626" i="27"/>
  <c r="N629" i="27"/>
  <c r="Y36" i="27"/>
  <c r="W36" i="27"/>
  <c r="Q629" i="27"/>
  <c r="Q634" i="27"/>
  <c r="P634" i="27" s="1"/>
  <c r="Q626" i="27"/>
  <c r="T629" i="27"/>
  <c r="T626" i="27"/>
  <c r="T634" i="27"/>
  <c r="M45" i="25"/>
  <c r="J45" i="25" s="1"/>
  <c r="H45" i="25" s="1"/>
  <c r="X45" i="25" s="1"/>
  <c r="P61" i="25"/>
  <c r="L629" i="27"/>
  <c r="L634" i="27"/>
  <c r="L626" i="27"/>
  <c r="M61" i="25"/>
  <c r="H59" i="27" l="1"/>
  <c r="J623" i="27"/>
  <c r="P629" i="27"/>
  <c r="W45" i="25"/>
  <c r="J61" i="25"/>
  <c r="H61" i="25" s="1"/>
  <c r="X61" i="25" s="1"/>
  <c r="O809" i="25"/>
  <c r="O270" i="25" s="1"/>
  <c r="P809" i="25"/>
  <c r="G81" i="31" s="1"/>
  <c r="Q809" i="25"/>
  <c r="Q270" i="25" s="1"/>
  <c r="R809" i="25"/>
  <c r="R270" i="25" s="1"/>
  <c r="K809" i="25"/>
  <c r="S809" i="25"/>
  <c r="S270" i="25" s="1"/>
  <c r="T809" i="25"/>
  <c r="U809" i="25"/>
  <c r="V809" i="25"/>
  <c r="N809" i="25"/>
  <c r="N270" i="25" s="1"/>
  <c r="L809" i="25"/>
  <c r="M809" i="25"/>
  <c r="F81" i="31" s="1"/>
  <c r="P626" i="27"/>
  <c r="M626" i="27"/>
  <c r="W634" i="27"/>
  <c r="J634" i="27"/>
  <c r="M629" i="27"/>
  <c r="J629" i="27" s="1"/>
  <c r="O31" i="25" l="1"/>
  <c r="O36" i="25" s="1"/>
  <c r="O57" i="25" s="1"/>
  <c r="O59" i="25" s="1"/>
  <c r="O308" i="25"/>
  <c r="O720" i="25" s="1"/>
  <c r="H623" i="27"/>
  <c r="Y59" i="27"/>
  <c r="W59" i="27"/>
  <c r="V270" i="25"/>
  <c r="J81" i="31"/>
  <c r="T270" i="25"/>
  <c r="H81" i="31"/>
  <c r="S31" i="25"/>
  <c r="S36" i="25" s="1"/>
  <c r="S57" i="25" s="1"/>
  <c r="S59" i="25" s="1"/>
  <c r="S308" i="25"/>
  <c r="S720" i="25" s="1"/>
  <c r="K270" i="25"/>
  <c r="J809" i="25"/>
  <c r="H809" i="25" s="1"/>
  <c r="W809" i="25" s="1"/>
  <c r="D81" i="31"/>
  <c r="K81" i="31" s="1"/>
  <c r="R31" i="25"/>
  <c r="R36" i="25" s="1"/>
  <c r="R57" i="25" s="1"/>
  <c r="R59" i="25" s="1"/>
  <c r="R308" i="25"/>
  <c r="R720" i="25" s="1"/>
  <c r="W629" i="27"/>
  <c r="J626" i="27"/>
  <c r="L270" i="25"/>
  <c r="E81" i="31"/>
  <c r="Q31" i="25"/>
  <c r="P270" i="25"/>
  <c r="Q308" i="25"/>
  <c r="W626" i="27"/>
  <c r="U270" i="25"/>
  <c r="I81" i="31"/>
  <c r="N31" i="25"/>
  <c r="M270" i="25"/>
  <c r="N308" i="25"/>
  <c r="W61" i="25"/>
  <c r="T31" i="25" l="1"/>
  <c r="T36" i="25" s="1"/>
  <c r="T57" i="25" s="1"/>
  <c r="T59" i="25" s="1"/>
  <c r="T308" i="25"/>
  <c r="T720" i="25" s="1"/>
  <c r="H64" i="30" s="1"/>
  <c r="L31" i="25"/>
  <c r="L36" i="25" s="1"/>
  <c r="L57" i="25" s="1"/>
  <c r="L59" i="25" s="1"/>
  <c r="L308" i="25"/>
  <c r="L720" i="25" s="1"/>
  <c r="E64" i="30" s="1"/>
  <c r="M31" i="25"/>
  <c r="N36" i="25"/>
  <c r="K31" i="25"/>
  <c r="W270" i="25"/>
  <c r="J270" i="25"/>
  <c r="K308" i="25"/>
  <c r="H636" i="27"/>
  <c r="H640" i="27" s="1"/>
  <c r="H647" i="27" s="1"/>
  <c r="W623" i="27"/>
  <c r="V31" i="25"/>
  <c r="V36" i="25" s="1"/>
  <c r="V57" i="25" s="1"/>
  <c r="V59" i="25" s="1"/>
  <c r="V308" i="25"/>
  <c r="V720" i="25" s="1"/>
  <c r="J64" i="30" s="1"/>
  <c r="S623" i="25"/>
  <c r="M308" i="25"/>
  <c r="N720" i="25"/>
  <c r="M720" i="25" s="1"/>
  <c r="F64" i="30" s="1"/>
  <c r="P31" i="25"/>
  <c r="Q36" i="25"/>
  <c r="U31" i="25"/>
  <c r="U36" i="25" s="1"/>
  <c r="U57" i="25" s="1"/>
  <c r="U59" i="25" s="1"/>
  <c r="U308" i="25"/>
  <c r="U720" i="25" s="1"/>
  <c r="I64" i="30" s="1"/>
  <c r="P308" i="25"/>
  <c r="Q720" i="25"/>
  <c r="P720" i="25" s="1"/>
  <c r="G64" i="30" s="1"/>
  <c r="R623" i="25"/>
  <c r="O623" i="25"/>
  <c r="J31" i="25" l="1"/>
  <c r="H31" i="25" s="1"/>
  <c r="X31" i="25" s="1"/>
  <c r="W31" i="25"/>
  <c r="K36" i="25"/>
  <c r="V623" i="25"/>
  <c r="L623" i="25"/>
  <c r="U623" i="25"/>
  <c r="N57" i="25"/>
  <c r="M36" i="25"/>
  <c r="Q57" i="25"/>
  <c r="P36" i="25"/>
  <c r="W308" i="25"/>
  <c r="J308" i="25"/>
  <c r="K720" i="25"/>
  <c r="T623" i="25"/>
  <c r="N59" i="25" l="1"/>
  <c r="M57" i="25"/>
  <c r="P57" i="25"/>
  <c r="Q59" i="25"/>
  <c r="J720" i="25"/>
  <c r="H720" i="25" s="1"/>
  <c r="D64" i="30"/>
  <c r="K64" i="30" s="1"/>
  <c r="K57" i="25"/>
  <c r="J36" i="25"/>
  <c r="H36" i="25" s="1"/>
  <c r="X36" i="25" s="1"/>
  <c r="W36" i="25"/>
  <c r="M59" i="25" l="1"/>
  <c r="M623" i="25" s="1"/>
  <c r="N623" i="25"/>
  <c r="R792" i="25"/>
  <c r="K792" i="25"/>
  <c r="S792" i="25"/>
  <c r="L792" i="25"/>
  <c r="T792" i="25"/>
  <c r="M792" i="25"/>
  <c r="F64" i="31" s="1"/>
  <c r="U792" i="25"/>
  <c r="N792" i="25"/>
  <c r="V792" i="25"/>
  <c r="O792" i="25"/>
  <c r="P792" i="25"/>
  <c r="G64" i="31" s="1"/>
  <c r="Q792" i="25"/>
  <c r="W720" i="25"/>
  <c r="P59" i="25"/>
  <c r="Q623" i="25"/>
  <c r="K59" i="25"/>
  <c r="J57" i="25"/>
  <c r="H57" i="25" s="1"/>
  <c r="X57" i="25" s="1"/>
  <c r="Q634" i="25" l="1"/>
  <c r="Q626" i="25"/>
  <c r="L634" i="25"/>
  <c r="L626" i="25"/>
  <c r="E64" i="31"/>
  <c r="K634" i="25"/>
  <c r="J792" i="25"/>
  <c r="H792" i="25" s="1"/>
  <c r="W792" i="25" s="1"/>
  <c r="K626" i="25"/>
  <c r="D64" i="31"/>
  <c r="W57" i="25"/>
  <c r="S634" i="25"/>
  <c r="S626" i="25"/>
  <c r="O634" i="25"/>
  <c r="O626" i="25"/>
  <c r="P623" i="25"/>
  <c r="R626" i="25"/>
  <c r="R634" i="25"/>
  <c r="J59" i="25"/>
  <c r="K623" i="25"/>
  <c r="V634" i="25"/>
  <c r="V626" i="25"/>
  <c r="J64" i="31"/>
  <c r="N634" i="25"/>
  <c r="N626" i="25"/>
  <c r="U634" i="25"/>
  <c r="U626" i="25"/>
  <c r="I64" i="31"/>
  <c r="T634" i="25"/>
  <c r="T626" i="25"/>
  <c r="H64" i="31"/>
  <c r="H59" i="25" l="1"/>
  <c r="J623" i="25"/>
  <c r="M626" i="25"/>
  <c r="M634" i="25"/>
  <c r="W634" i="25" s="1"/>
  <c r="K64" i="31"/>
  <c r="P626" i="25"/>
  <c r="P634" i="25"/>
  <c r="J626" i="25" l="1"/>
  <c r="W626" i="25"/>
  <c r="H623" i="25"/>
  <c r="X59" i="25"/>
  <c r="W59" i="25"/>
  <c r="J634" i="25"/>
  <c r="W623" i="25" l="1"/>
  <c r="L559" i="28"/>
  <c r="M559" i="28" s="1"/>
  <c r="H559" i="28"/>
  <c r="I559" i="28" l="1"/>
  <c r="N559" i="28"/>
  <c r="D8" i="34"/>
  <c r="E8" i="34"/>
  <c r="F8" i="34"/>
  <c r="G8" i="34"/>
  <c r="H8" i="34"/>
  <c r="I8" i="34"/>
  <c r="J8" i="34"/>
  <c r="K8" i="34"/>
  <c r="L8" i="34"/>
  <c r="M8" i="34"/>
  <c r="D9" i="34"/>
  <c r="E9" i="34"/>
  <c r="F9" i="34"/>
  <c r="G9" i="34"/>
  <c r="H9" i="34"/>
  <c r="I9" i="34"/>
  <c r="J9" i="34"/>
  <c r="K9" i="34"/>
  <c r="L9" i="34"/>
  <c r="M9" i="34"/>
  <c r="D10" i="34"/>
  <c r="E10" i="34"/>
  <c r="F10" i="34"/>
  <c r="G10" i="34"/>
  <c r="H10" i="34"/>
  <c r="I10" i="34"/>
  <c r="J10" i="34"/>
  <c r="K10" i="34"/>
  <c r="L10" i="34"/>
  <c r="M10" i="34"/>
  <c r="D12" i="34"/>
  <c r="E12" i="34"/>
  <c r="F12" i="34"/>
  <c r="G12" i="34"/>
  <c r="H12" i="34"/>
  <c r="I12" i="34"/>
  <c r="J12" i="34"/>
  <c r="K12" i="34"/>
  <c r="L12" i="34"/>
  <c r="M12" i="34"/>
  <c r="D14" i="34"/>
  <c r="E14" i="34"/>
  <c r="F14" i="34"/>
  <c r="G14" i="34"/>
  <c r="H14" i="34"/>
  <c r="I14" i="34"/>
  <c r="J14" i="34"/>
  <c r="K14" i="34"/>
  <c r="L14" i="34"/>
  <c r="M14" i="34"/>
  <c r="D16" i="34"/>
  <c r="E16" i="34"/>
  <c r="F16" i="34"/>
  <c r="G16" i="34"/>
  <c r="H16" i="34"/>
  <c r="I16" i="34"/>
  <c r="J16" i="34"/>
  <c r="K16" i="34"/>
  <c r="L16" i="34"/>
  <c r="M16" i="34"/>
  <c r="D18" i="34"/>
  <c r="E18" i="34"/>
  <c r="F18" i="34"/>
  <c r="G18" i="34"/>
  <c r="H18" i="34"/>
  <c r="I18" i="34"/>
  <c r="J18" i="34"/>
  <c r="K18" i="34"/>
  <c r="L18" i="34"/>
  <c r="M18" i="34"/>
  <c r="D19" i="34"/>
  <c r="E19" i="34"/>
  <c r="F19" i="34"/>
  <c r="G19" i="34"/>
  <c r="H19" i="34"/>
  <c r="I19" i="34"/>
  <c r="J19" i="34"/>
  <c r="K19" i="34"/>
  <c r="L19" i="34"/>
  <c r="M19" i="34"/>
  <c r="D20" i="34"/>
  <c r="E20" i="34"/>
  <c r="F20" i="34"/>
  <c r="G20" i="34"/>
  <c r="H20" i="34"/>
  <c r="I20" i="34"/>
  <c r="J20" i="34"/>
  <c r="K20" i="34"/>
  <c r="L20" i="34"/>
  <c r="M20" i="34"/>
  <c r="D22" i="34"/>
  <c r="E22" i="34"/>
  <c r="F22" i="34"/>
  <c r="G22" i="34"/>
  <c r="H22" i="34"/>
  <c r="I22" i="34"/>
  <c r="J22" i="34"/>
  <c r="K22" i="34"/>
  <c r="L22" i="34"/>
  <c r="M22" i="34"/>
  <c r="D25" i="34"/>
  <c r="E25" i="34"/>
  <c r="F25" i="34"/>
  <c r="G25" i="34"/>
  <c r="H25" i="34"/>
  <c r="I25" i="34"/>
  <c r="J25" i="34"/>
  <c r="K25" i="34"/>
  <c r="L25" i="34"/>
  <c r="M25" i="34"/>
  <c r="E26" i="34"/>
  <c r="F26" i="34"/>
  <c r="G26" i="34"/>
  <c r="H26" i="34"/>
  <c r="I26" i="34"/>
  <c r="J26" i="34"/>
  <c r="K26" i="34"/>
  <c r="L26" i="34"/>
  <c r="M26" i="34"/>
  <c r="H47" i="25"/>
  <c r="J47" i="25"/>
  <c r="K47" i="25"/>
  <c r="L47" i="25"/>
  <c r="M47" i="25"/>
  <c r="N47" i="25"/>
  <c r="O47" i="25"/>
  <c r="P47" i="25"/>
  <c r="Q47" i="25"/>
  <c r="R47" i="25"/>
  <c r="S47" i="25"/>
  <c r="T47" i="25"/>
  <c r="U47" i="25"/>
  <c r="V47" i="25"/>
  <c r="W47" i="25"/>
  <c r="X47" i="25"/>
  <c r="H48" i="25"/>
  <c r="J48" i="25"/>
  <c r="K48" i="25"/>
  <c r="L48" i="25"/>
  <c r="M48" i="25"/>
  <c r="N48" i="25"/>
  <c r="O48" i="25"/>
  <c r="P48" i="25"/>
  <c r="Q48" i="25"/>
  <c r="R48" i="25"/>
  <c r="S48" i="25"/>
  <c r="T48" i="25"/>
  <c r="U48" i="25"/>
  <c r="V48" i="25"/>
  <c r="W48" i="25"/>
  <c r="X48" i="25"/>
  <c r="H50" i="25"/>
  <c r="J50" i="25"/>
  <c r="K50" i="25"/>
  <c r="L50" i="25"/>
  <c r="M50" i="25"/>
  <c r="N50" i="25"/>
  <c r="O50" i="25"/>
  <c r="P50" i="25"/>
  <c r="Q50" i="25"/>
  <c r="R50" i="25"/>
  <c r="S50" i="25"/>
  <c r="T50" i="25"/>
  <c r="U50" i="25"/>
  <c r="V50" i="25"/>
  <c r="W50" i="25"/>
  <c r="X50" i="25"/>
  <c r="H52" i="25"/>
  <c r="J52" i="25"/>
  <c r="K52" i="25"/>
  <c r="L52" i="25"/>
  <c r="M52" i="25"/>
  <c r="N52" i="25"/>
  <c r="O52" i="25"/>
  <c r="P52" i="25"/>
  <c r="Q52" i="25"/>
  <c r="R52" i="25"/>
  <c r="S52" i="25"/>
  <c r="T52" i="25"/>
  <c r="U52" i="25"/>
  <c r="V52" i="25"/>
  <c r="W52" i="25"/>
  <c r="X52" i="25"/>
  <c r="H53" i="25"/>
  <c r="J53" i="25"/>
  <c r="K53" i="25"/>
  <c r="L53" i="25"/>
  <c r="M53" i="25"/>
  <c r="N53" i="25"/>
  <c r="O53" i="25"/>
  <c r="P53" i="25"/>
  <c r="Q53" i="25"/>
  <c r="R53" i="25"/>
  <c r="S53" i="25"/>
  <c r="T53" i="25"/>
  <c r="U53" i="25"/>
  <c r="X53" i="25"/>
  <c r="H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H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H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H74" i="25"/>
  <c r="J74" i="25"/>
  <c r="K74" i="25"/>
  <c r="L74" i="25"/>
  <c r="M74" i="25"/>
  <c r="N74" i="25"/>
  <c r="O74" i="25"/>
  <c r="P74" i="25"/>
  <c r="Q74" i="25"/>
  <c r="R74" i="25"/>
  <c r="S74" i="25"/>
  <c r="T74" i="25"/>
  <c r="U74" i="25"/>
  <c r="V74" i="25"/>
  <c r="W74" i="25"/>
  <c r="X74" i="25"/>
  <c r="H75" i="25"/>
  <c r="J75" i="25"/>
  <c r="K75" i="25"/>
  <c r="L75" i="25"/>
  <c r="M75" i="25"/>
  <c r="N75" i="25"/>
  <c r="O75" i="25"/>
  <c r="P75" i="25"/>
  <c r="Q75" i="25"/>
  <c r="R75" i="25"/>
  <c r="S75" i="25"/>
  <c r="T75" i="25"/>
  <c r="U75" i="25"/>
  <c r="V75" i="25"/>
  <c r="W75" i="25"/>
  <c r="X75" i="25"/>
  <c r="H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H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H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H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J608" i="25"/>
  <c r="K608" i="25"/>
  <c r="L608" i="25"/>
  <c r="M608" i="25"/>
  <c r="N608" i="25"/>
  <c r="O608" i="25"/>
  <c r="P608" i="25"/>
  <c r="Q608" i="25"/>
  <c r="R608" i="25"/>
  <c r="S608" i="25"/>
  <c r="T608" i="25"/>
  <c r="U608" i="25"/>
  <c r="V608" i="25"/>
  <c r="W608" i="25"/>
  <c r="J611" i="25"/>
  <c r="K611" i="25"/>
  <c r="L611" i="25"/>
  <c r="M611" i="25"/>
  <c r="N611" i="25"/>
  <c r="O611" i="25"/>
  <c r="P611" i="25"/>
  <c r="Q611" i="25"/>
  <c r="R611" i="25"/>
  <c r="S611" i="25"/>
  <c r="T611" i="25"/>
  <c r="U611" i="25"/>
  <c r="V611" i="25"/>
  <c r="W611" i="25"/>
  <c r="J630" i="25"/>
  <c r="K630" i="25"/>
  <c r="L630" i="25"/>
  <c r="M630" i="25"/>
  <c r="N630" i="25"/>
  <c r="O630" i="25"/>
  <c r="P630" i="25"/>
  <c r="Q630" i="25"/>
  <c r="R630" i="25"/>
  <c r="S630" i="25"/>
  <c r="T630" i="25"/>
  <c r="U630" i="25"/>
  <c r="V630" i="25"/>
  <c r="W630" i="25"/>
  <c r="H636" i="25"/>
  <c r="J636" i="25"/>
  <c r="K636" i="25"/>
  <c r="L636" i="25"/>
  <c r="M636" i="25"/>
  <c r="N636" i="25"/>
  <c r="O636" i="25"/>
  <c r="P636" i="25"/>
  <c r="Q636" i="25"/>
  <c r="R636" i="25"/>
  <c r="S636" i="25"/>
  <c r="T636" i="25"/>
  <c r="U636" i="25"/>
  <c r="V636" i="25"/>
  <c r="W636" i="25"/>
  <c r="H640" i="25"/>
  <c r="J640" i="25"/>
  <c r="K640" i="25"/>
  <c r="L640" i="25"/>
  <c r="M640" i="25"/>
  <c r="N640" i="25"/>
  <c r="O640" i="25"/>
  <c r="P640" i="25"/>
  <c r="Q640" i="25"/>
  <c r="R640" i="25"/>
  <c r="S640" i="25"/>
  <c r="T640" i="25"/>
  <c r="U640" i="25"/>
  <c r="V640" i="25"/>
  <c r="W640" i="25"/>
  <c r="J645" i="25"/>
  <c r="K645" i="25"/>
  <c r="L645" i="25"/>
  <c r="M645" i="25"/>
  <c r="N645" i="25"/>
  <c r="O645" i="25"/>
  <c r="P645" i="25"/>
  <c r="Q645" i="25"/>
  <c r="R645" i="25"/>
  <c r="S645" i="25"/>
  <c r="T645" i="25"/>
  <c r="U645" i="25"/>
  <c r="V645" i="25"/>
  <c r="W645" i="25"/>
  <c r="J646" i="25"/>
  <c r="K646" i="25"/>
  <c r="L646" i="25"/>
  <c r="M646" i="25"/>
  <c r="N646" i="25"/>
  <c r="O646" i="25"/>
  <c r="P646" i="25"/>
  <c r="Q646" i="25"/>
  <c r="R646" i="25"/>
  <c r="S646" i="25"/>
  <c r="T646" i="25"/>
  <c r="U646" i="25"/>
  <c r="V646" i="25"/>
  <c r="W646" i="25"/>
  <c r="H647" i="25"/>
  <c r="J647" i="25"/>
  <c r="K647" i="25"/>
  <c r="L647" i="25"/>
  <c r="M647" i="25"/>
  <c r="N647" i="25"/>
  <c r="O647" i="25"/>
  <c r="P647" i="25"/>
  <c r="Q647" i="25"/>
  <c r="R647" i="25"/>
  <c r="S647" i="25"/>
  <c r="T647" i="25"/>
  <c r="U647" i="25"/>
  <c r="V647" i="25"/>
  <c r="W647" i="25"/>
  <c r="H685" i="25"/>
  <c r="J685" i="25"/>
  <c r="K685" i="25"/>
  <c r="L685" i="25"/>
  <c r="M685" i="25"/>
  <c r="N685" i="25"/>
  <c r="O685" i="25"/>
  <c r="P685" i="25"/>
  <c r="Q685" i="25"/>
  <c r="R685" i="25"/>
  <c r="S685" i="25"/>
  <c r="T685" i="25"/>
  <c r="U685" i="25"/>
  <c r="V685" i="25"/>
  <c r="W685" i="25"/>
  <c r="H757" i="25"/>
  <c r="J757" i="25"/>
  <c r="K757" i="25"/>
  <c r="L757" i="25"/>
  <c r="M757" i="25"/>
  <c r="N757" i="25"/>
  <c r="O757" i="25"/>
  <c r="P757" i="25"/>
  <c r="Q757" i="25"/>
  <c r="R757" i="25"/>
  <c r="S757" i="25"/>
  <c r="T757" i="25"/>
  <c r="U757" i="25"/>
  <c r="V757" i="25"/>
  <c r="W757" i="25"/>
  <c r="F48" i="1"/>
  <c r="G48" i="1"/>
  <c r="H48" i="1"/>
  <c r="J48" i="1"/>
  <c r="K48" i="1"/>
  <c r="L48" i="1"/>
  <c r="M48" i="1"/>
  <c r="F50" i="1"/>
  <c r="G50" i="1"/>
  <c r="H50" i="1"/>
  <c r="J50" i="1"/>
  <c r="K50" i="1"/>
  <c r="L50" i="1"/>
  <c r="M50" i="1"/>
  <c r="F52" i="1"/>
  <c r="G52" i="1"/>
  <c r="H52" i="1"/>
  <c r="J52" i="1"/>
  <c r="K52" i="1"/>
  <c r="L52" i="1"/>
  <c r="M52" i="1"/>
  <c r="G53" i="1"/>
  <c r="H53" i="1"/>
  <c r="K53" i="1"/>
  <c r="L53" i="1"/>
  <c r="M53" i="1"/>
  <c r="E15" i="29"/>
  <c r="F15" i="29"/>
  <c r="G15" i="29"/>
  <c r="H15" i="29"/>
  <c r="I15" i="29"/>
  <c r="J15" i="29"/>
  <c r="K15" i="29"/>
  <c r="L15" i="29"/>
  <c r="E16" i="29"/>
  <c r="F16" i="29"/>
  <c r="G16" i="29"/>
  <c r="H16" i="29"/>
  <c r="I16" i="29"/>
  <c r="J16" i="29"/>
  <c r="K16" i="29"/>
  <c r="L16" i="29"/>
  <c r="E17" i="29"/>
  <c r="F17" i="29"/>
  <c r="G17" i="29"/>
  <c r="H17" i="29"/>
  <c r="I17" i="29"/>
  <c r="J17" i="29"/>
  <c r="K17" i="29"/>
  <c r="L17" i="29"/>
  <c r="E19" i="29"/>
  <c r="F19" i="29"/>
  <c r="G19" i="29"/>
  <c r="H19" i="29"/>
  <c r="I19" i="29"/>
  <c r="J19" i="29"/>
  <c r="K19" i="29"/>
  <c r="L19" i="29"/>
  <c r="D29" i="30"/>
  <c r="E29" i="30"/>
  <c r="F29" i="30"/>
  <c r="G29" i="30"/>
  <c r="H29" i="30"/>
  <c r="I29" i="30"/>
  <c r="J29" i="30"/>
  <c r="K29" i="30"/>
  <c r="D29" i="31"/>
  <c r="E29" i="31"/>
  <c r="F29" i="31"/>
  <c r="G29" i="31"/>
  <c r="H29" i="31"/>
  <c r="I29" i="31"/>
  <c r="J29" i="31"/>
  <c r="K29" i="31"/>
  <c r="H18" i="28"/>
  <c r="I18" i="28"/>
  <c r="L18" i="28"/>
  <c r="M18" i="28"/>
  <c r="H19" i="28"/>
  <c r="I19" i="28"/>
  <c r="L19" i="28"/>
  <c r="M19" i="28"/>
  <c r="N19" i="28"/>
  <c r="H20" i="28"/>
  <c r="I20" i="28"/>
  <c r="L20" i="28"/>
  <c r="M20" i="28"/>
  <c r="N20" i="28"/>
  <c r="H21" i="28"/>
  <c r="I21" i="28"/>
  <c r="L21" i="28"/>
  <c r="M21" i="28"/>
  <c r="N21" i="28"/>
  <c r="H76" i="28"/>
  <c r="I76" i="28"/>
  <c r="L76" i="28"/>
  <c r="M76" i="28"/>
  <c r="N76" i="28"/>
  <c r="H77" i="28"/>
  <c r="I77" i="28"/>
  <c r="L77" i="28"/>
  <c r="M77" i="28"/>
  <c r="N77" i="28"/>
  <c r="H78" i="28"/>
  <c r="I78" i="28"/>
  <c r="L78" i="28"/>
  <c r="M78" i="28"/>
  <c r="N78" i="28"/>
  <c r="H79" i="28"/>
  <c r="I79" i="28"/>
  <c r="L79" i="28"/>
  <c r="M79" i="28"/>
  <c r="N79" i="28"/>
  <c r="H80" i="28"/>
  <c r="I80" i="28"/>
  <c r="L80" i="28"/>
  <c r="M80" i="28"/>
  <c r="N80" i="28"/>
  <c r="H81" i="28"/>
  <c r="I81" i="28"/>
  <c r="L81" i="28"/>
  <c r="M81" i="28"/>
  <c r="N81" i="28"/>
  <c r="H82" i="28"/>
  <c r="I82" i="28"/>
  <c r="L82" i="28"/>
  <c r="M82" i="28"/>
  <c r="N82" i="28"/>
  <c r="H83" i="28"/>
  <c r="I83" i="28"/>
  <c r="L83" i="28"/>
  <c r="M83" i="28"/>
  <c r="N83" i="28"/>
  <c r="H84" i="28"/>
  <c r="I84" i="28"/>
  <c r="L84" i="28"/>
  <c r="M84" i="28"/>
  <c r="N84" i="28"/>
  <c r="H85" i="28"/>
  <c r="N85" i="28"/>
  <c r="H87" i="28"/>
  <c r="I87" i="28"/>
  <c r="L87" i="28"/>
  <c r="M87" i="28"/>
  <c r="N87" i="28"/>
  <c r="H93" i="28"/>
  <c r="I93" i="28"/>
  <c r="L93" i="28"/>
  <c r="M93" i="28"/>
  <c r="N93" i="28"/>
  <c r="H96" i="28"/>
  <c r="I96" i="28"/>
  <c r="L96" i="28"/>
  <c r="M96" i="28"/>
  <c r="N96" i="28"/>
  <c r="H113" i="28"/>
  <c r="L113" i="28"/>
  <c r="N113" i="28"/>
  <c r="H114" i="28"/>
  <c r="L114" i="28"/>
  <c r="N114" i="28"/>
  <c r="H115" i="28"/>
  <c r="I115" i="28"/>
  <c r="L115" i="28"/>
  <c r="M115" i="28"/>
  <c r="N115" i="28"/>
  <c r="H116" i="28"/>
  <c r="I116" i="28"/>
  <c r="L116" i="28"/>
  <c r="M116" i="28"/>
  <c r="N116" i="28"/>
  <c r="H158" i="28"/>
  <c r="L158" i="28"/>
  <c r="N158" i="28"/>
  <c r="H159" i="28"/>
  <c r="I159" i="28"/>
  <c r="L159" i="28"/>
  <c r="M159" i="28"/>
  <c r="N159" i="28"/>
  <c r="H160" i="28"/>
  <c r="I160" i="28"/>
  <c r="L160" i="28"/>
  <c r="M160" i="28"/>
  <c r="N160" i="28"/>
  <c r="H161" i="28"/>
  <c r="I161" i="28"/>
  <c r="L161" i="28"/>
  <c r="M161" i="28"/>
  <c r="N161" i="28"/>
  <c r="H162" i="28"/>
  <c r="I162" i="28"/>
  <c r="L162" i="28"/>
  <c r="M162" i="28"/>
  <c r="N162" i="28"/>
  <c r="H163" i="28"/>
  <c r="I163" i="28"/>
  <c r="L163" i="28"/>
  <c r="M163" i="28"/>
  <c r="N163" i="28"/>
  <c r="H164" i="28"/>
  <c r="I164" i="28"/>
  <c r="L164" i="28"/>
  <c r="M164" i="28"/>
  <c r="N164" i="28"/>
  <c r="H165" i="28"/>
  <c r="I165" i="28"/>
  <c r="L165" i="28"/>
  <c r="M165" i="28"/>
  <c r="N165" i="28"/>
  <c r="H166" i="28"/>
  <c r="I166" i="28"/>
  <c r="L166" i="28"/>
  <c r="M166" i="28"/>
  <c r="N166" i="28"/>
  <c r="H167" i="28"/>
  <c r="I167" i="28"/>
  <c r="L167" i="28"/>
  <c r="M167" i="28"/>
  <c r="N167" i="28"/>
  <c r="H168" i="28"/>
  <c r="I168" i="28"/>
  <c r="L168" i="28"/>
  <c r="M168" i="28"/>
  <c r="N168" i="28"/>
  <c r="H170" i="28"/>
  <c r="I170" i="28"/>
  <c r="L170" i="28"/>
  <c r="M170" i="28"/>
  <c r="N170" i="28"/>
  <c r="H172" i="28"/>
  <c r="I172" i="28"/>
  <c r="L172" i="28"/>
  <c r="M172" i="28"/>
  <c r="N172" i="28"/>
  <c r="H174" i="28"/>
  <c r="I174" i="28"/>
  <c r="L174" i="28"/>
  <c r="M174" i="28"/>
  <c r="N174" i="28"/>
  <c r="H189" i="28"/>
  <c r="I189" i="28"/>
  <c r="L189" i="28"/>
  <c r="M189" i="28"/>
  <c r="N189" i="28"/>
  <c r="H190" i="28"/>
  <c r="I190" i="28"/>
  <c r="L190" i="28"/>
  <c r="M190" i="28"/>
  <c r="N190" i="28"/>
  <c r="H191" i="28"/>
  <c r="I191" i="28"/>
  <c r="L191" i="28"/>
  <c r="M191" i="28"/>
  <c r="N191" i="28"/>
  <c r="H195" i="28"/>
  <c r="I195" i="28"/>
  <c r="L195" i="28"/>
  <c r="M195" i="28"/>
  <c r="N195" i="28"/>
  <c r="H201" i="28"/>
  <c r="I201" i="28"/>
  <c r="L201" i="28"/>
  <c r="M201" i="28"/>
  <c r="N201" i="28"/>
  <c r="H221" i="28"/>
  <c r="I221" i="28"/>
  <c r="L221" i="28"/>
  <c r="M221" i="28"/>
  <c r="N221" i="28"/>
  <c r="H225" i="28"/>
  <c r="I225" i="28"/>
  <c r="L225" i="28"/>
  <c r="M225" i="28"/>
  <c r="N225" i="28"/>
  <c r="H228" i="28"/>
  <c r="I228" i="28"/>
  <c r="L228" i="28"/>
  <c r="M228" i="28"/>
  <c r="N228" i="28"/>
  <c r="H231" i="28"/>
  <c r="I231" i="28"/>
  <c r="L231" i="28"/>
  <c r="M231" i="28"/>
  <c r="N231" i="28"/>
  <c r="H233" i="28"/>
  <c r="I233" i="28"/>
  <c r="L233" i="28"/>
  <c r="M233" i="28"/>
  <c r="N233" i="28"/>
  <c r="H290" i="28"/>
  <c r="I290" i="28"/>
  <c r="L290" i="28"/>
  <c r="M290" i="28"/>
  <c r="N290" i="28"/>
  <c r="H299" i="28"/>
  <c r="I299" i="28"/>
  <c r="L299" i="28"/>
  <c r="M299" i="28"/>
  <c r="N299" i="28"/>
  <c r="H300" i="28"/>
  <c r="I300" i="28"/>
  <c r="L300" i="28"/>
  <c r="M300" i="28"/>
  <c r="N300" i="28"/>
  <c r="H302" i="28"/>
  <c r="I302" i="28"/>
  <c r="L302" i="28"/>
  <c r="M302" i="28"/>
  <c r="N302" i="28"/>
  <c r="H337" i="28"/>
  <c r="I337" i="28"/>
  <c r="L337" i="28"/>
  <c r="M337" i="28"/>
  <c r="N337" i="28"/>
  <c r="H338" i="28"/>
  <c r="I338" i="28"/>
  <c r="L338" i="28"/>
  <c r="M338" i="28"/>
  <c r="N338" i="28"/>
  <c r="H339" i="28"/>
  <c r="I339" i="28"/>
  <c r="L339" i="28"/>
  <c r="M339" i="28"/>
  <c r="N339" i="28"/>
  <c r="H340" i="28"/>
  <c r="I340" i="28"/>
  <c r="L340" i="28"/>
  <c r="M340" i="28"/>
  <c r="N340" i="28"/>
  <c r="H341" i="28"/>
  <c r="I341" i="28"/>
  <c r="L341" i="28"/>
  <c r="M341" i="28"/>
  <c r="N341" i="28"/>
  <c r="H342" i="28"/>
  <c r="L342" i="28"/>
  <c r="N342" i="28"/>
  <c r="H343" i="28"/>
  <c r="I343" i="28"/>
  <c r="L343" i="28"/>
  <c r="M343" i="28"/>
  <c r="N343" i="28"/>
  <c r="H344" i="28"/>
  <c r="I344" i="28"/>
  <c r="L344" i="28"/>
  <c r="M344" i="28"/>
  <c r="N344" i="28"/>
  <c r="H345" i="28"/>
  <c r="I345" i="28"/>
  <c r="L345" i="28"/>
  <c r="M345" i="28"/>
  <c r="N345" i="28"/>
  <c r="H347" i="28"/>
  <c r="I347" i="28"/>
  <c r="L347" i="28"/>
  <c r="M347" i="28"/>
  <c r="N347" i="28"/>
  <c r="H349" i="28"/>
  <c r="I349" i="28"/>
  <c r="L349" i="28"/>
  <c r="M349" i="28"/>
  <c r="N349" i="28"/>
  <c r="H350" i="28"/>
  <c r="I350" i="28"/>
  <c r="L350" i="28"/>
  <c r="M350" i="28"/>
  <c r="N350" i="28"/>
  <c r="H351" i="28"/>
  <c r="I351" i="28"/>
  <c r="L351" i="28"/>
  <c r="M351" i="28"/>
  <c r="N351" i="28"/>
  <c r="H352" i="28"/>
  <c r="I352" i="28"/>
  <c r="L352" i="28"/>
  <c r="M352" i="28"/>
  <c r="N352" i="28"/>
  <c r="H354" i="28"/>
  <c r="I354" i="28"/>
  <c r="L354" i="28"/>
  <c r="M354" i="28"/>
  <c r="N354" i="28"/>
  <c r="H407" i="28"/>
  <c r="I407" i="28"/>
  <c r="L407" i="28"/>
  <c r="M407" i="28"/>
  <c r="N407" i="28"/>
  <c r="H415" i="28"/>
  <c r="I415" i="28"/>
  <c r="L415" i="28"/>
  <c r="M415" i="28"/>
  <c r="N415" i="28"/>
  <c r="H416" i="28"/>
  <c r="I416" i="28"/>
  <c r="L416" i="28"/>
  <c r="M416" i="28"/>
  <c r="N416" i="28"/>
  <c r="H418" i="28"/>
  <c r="I418" i="28"/>
  <c r="L418" i="28"/>
  <c r="M418" i="28"/>
  <c r="N418" i="28"/>
  <c r="H420" i="28"/>
  <c r="I420" i="28"/>
  <c r="L420" i="28"/>
  <c r="M420" i="28"/>
  <c r="N420" i="28"/>
  <c r="H450" i="28"/>
  <c r="I450" i="28"/>
  <c r="L450" i="28"/>
  <c r="M450" i="28"/>
  <c r="N450" i="28"/>
  <c r="H458" i="28"/>
  <c r="L458" i="28"/>
  <c r="N458" i="28"/>
  <c r="H460" i="28"/>
  <c r="I460" i="28"/>
  <c r="L460" i="28"/>
  <c r="M460" i="28"/>
  <c r="N460" i="28"/>
  <c r="H461" i="28"/>
  <c r="I461" i="28"/>
  <c r="L461" i="28"/>
  <c r="M461" i="28"/>
  <c r="N461" i="28"/>
  <c r="H497" i="28"/>
  <c r="I497" i="28"/>
  <c r="L497" i="28"/>
  <c r="M497" i="28"/>
  <c r="N497" i="28"/>
  <c r="H498" i="28"/>
  <c r="I498" i="28"/>
  <c r="L498" i="28"/>
  <c r="M498" i="28"/>
  <c r="N498" i="28"/>
  <c r="H499" i="28"/>
  <c r="I499" i="28"/>
  <c r="L499" i="28"/>
  <c r="M499" i="28"/>
  <c r="N499" i="28"/>
  <c r="H500" i="28"/>
  <c r="I500" i="28"/>
  <c r="L500" i="28"/>
  <c r="M500" i="28"/>
  <c r="N500" i="28"/>
  <c r="H501" i="28"/>
  <c r="I501" i="28"/>
  <c r="L501" i="28"/>
  <c r="M501" i="28"/>
  <c r="N501" i="28"/>
  <c r="H502" i="28"/>
  <c r="I502" i="28"/>
  <c r="L502" i="28"/>
  <c r="M502" i="28"/>
  <c r="N502" i="28"/>
  <c r="H503" i="28"/>
  <c r="I503" i="28"/>
  <c r="L503" i="28"/>
  <c r="M503" i="28"/>
  <c r="N503" i="28"/>
  <c r="H504" i="28"/>
  <c r="I504" i="28"/>
  <c r="L504" i="28"/>
  <c r="M504" i="28"/>
  <c r="N504" i="28"/>
  <c r="H505" i="28"/>
  <c r="I505" i="28"/>
  <c r="L505" i="28"/>
  <c r="M505" i="28"/>
  <c r="N505" i="28"/>
  <c r="H506" i="28"/>
  <c r="L506" i="28"/>
  <c r="N506" i="28"/>
  <c r="H507" i="28"/>
  <c r="I507" i="28"/>
  <c r="L507" i="28"/>
  <c r="M507" i="28"/>
  <c r="N507" i="28"/>
  <c r="H516" i="28"/>
  <c r="I516" i="28"/>
  <c r="L516" i="28"/>
  <c r="M516" i="28"/>
  <c r="N516" i="28"/>
  <c r="H519" i="28"/>
  <c r="I519" i="28"/>
  <c r="L519" i="28"/>
  <c r="M519" i="28"/>
  <c r="N519" i="28"/>
  <c r="H522" i="28"/>
  <c r="I522" i="28"/>
  <c r="L522" i="28"/>
  <c r="M522" i="28"/>
  <c r="N522" i="28"/>
  <c r="H530" i="28"/>
  <c r="I530" i="28"/>
  <c r="L530" i="28"/>
  <c r="M530" i="28"/>
  <c r="N530" i="28"/>
  <c r="H531" i="28"/>
  <c r="I531" i="28"/>
  <c r="L531" i="28"/>
  <c r="M531" i="28"/>
  <c r="N531" i="28"/>
  <c r="H533" i="28"/>
  <c r="I533" i="28"/>
  <c r="L533" i="28"/>
  <c r="M533" i="28"/>
  <c r="N533" i="28"/>
  <c r="H536" i="28"/>
  <c r="I536" i="28"/>
  <c r="L536" i="28"/>
  <c r="M536" i="28"/>
  <c r="N536" i="28"/>
  <c r="H548" i="28"/>
  <c r="I548" i="28"/>
  <c r="J548" i="28"/>
  <c r="L548" i="28"/>
  <c r="M548" i="28"/>
  <c r="N548" i="28"/>
  <c r="H551" i="28"/>
  <c r="I551" i="28"/>
  <c r="L551" i="28"/>
  <c r="M551" i="28"/>
  <c r="N551" i="28"/>
  <c r="H552" i="28"/>
  <c r="I552" i="28"/>
  <c r="L552" i="28"/>
  <c r="M552" i="28"/>
  <c r="N552" i="28"/>
  <c r="H554" i="28"/>
  <c r="I554" i="28"/>
  <c r="L554" i="28"/>
  <c r="M554" i="28"/>
  <c r="N554" i="28"/>
  <c r="H555" i="28"/>
  <c r="I555" i="28"/>
  <c r="L555" i="28"/>
  <c r="M555" i="28"/>
  <c r="N555" i="28"/>
  <c r="H558" i="28"/>
  <c r="I558" i="28"/>
  <c r="L558" i="28"/>
  <c r="M558" i="28"/>
  <c r="N558" i="28"/>
  <c r="H565" i="28"/>
  <c r="I565" i="28"/>
  <c r="J565" i="28"/>
  <c r="L565" i="28"/>
  <c r="M565" i="28"/>
  <c r="N565" i="28"/>
  <c r="H569" i="28"/>
  <c r="I569" i="28"/>
  <c r="J569" i="28"/>
  <c r="L569" i="28"/>
  <c r="M569" i="28"/>
  <c r="N569" i="28"/>
  <c r="H572" i="28"/>
  <c r="I572" i="28"/>
  <c r="L572" i="28"/>
  <c r="M572" i="28"/>
  <c r="N572" i="28"/>
  <c r="H574" i="28"/>
  <c r="I574" i="28"/>
  <c r="L574" i="28"/>
  <c r="M574" i="28"/>
  <c r="N574" i="28"/>
  <c r="H575" i="28"/>
  <c r="I575" i="28"/>
  <c r="L575" i="28"/>
  <c r="M575" i="28"/>
  <c r="N575" i="28"/>
  <c r="H576" i="28"/>
  <c r="I576" i="28"/>
  <c r="J576" i="28"/>
  <c r="L576" i="28"/>
  <c r="M576" i="28"/>
  <c r="N576" i="28"/>
  <c r="H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Y19" i="26"/>
  <c r="H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Y22" i="26"/>
  <c r="H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Y24" i="26"/>
  <c r="H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Y26" i="26"/>
  <c r="H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Y28" i="26"/>
  <c r="H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Y30" i="26"/>
  <c r="H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Y31" i="26"/>
  <c r="H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Y32" i="26"/>
  <c r="H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Y34" i="26"/>
  <c r="H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Y36" i="26"/>
  <c r="H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Y45" i="26"/>
  <c r="H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Y46" i="26"/>
  <c r="H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Y47" i="26"/>
  <c r="H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Y48" i="26"/>
  <c r="H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Y50" i="26"/>
  <c r="H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Y52" i="26"/>
  <c r="H53" i="26"/>
  <c r="J53" i="26"/>
  <c r="K53" i="26"/>
  <c r="L53" i="26"/>
  <c r="M53" i="26"/>
  <c r="N53" i="26"/>
  <c r="O53" i="26"/>
  <c r="P53" i="26"/>
  <c r="Q53" i="26"/>
  <c r="R53" i="26"/>
  <c r="S53" i="26"/>
  <c r="T53" i="26"/>
  <c r="W53" i="26"/>
  <c r="Y53" i="26"/>
  <c r="H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Y57" i="26"/>
  <c r="H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Y59" i="26"/>
  <c r="H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Y61" i="26"/>
  <c r="H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Y62" i="26"/>
  <c r="H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Y63" i="26"/>
  <c r="H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Y64" i="26"/>
  <c r="H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Y66" i="26"/>
  <c r="H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Y74" i="26"/>
  <c r="H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Y75" i="26"/>
  <c r="H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Y77" i="26"/>
  <c r="H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Y81" i="26"/>
  <c r="H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Y83" i="26"/>
  <c r="H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Y87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J296" i="26"/>
  <c r="K296" i="26"/>
  <c r="L296" i="26"/>
  <c r="M296" i="26"/>
  <c r="O296" i="26"/>
  <c r="P296" i="26"/>
  <c r="Q296" i="26"/>
  <c r="R296" i="26"/>
  <c r="S296" i="26"/>
  <c r="T296" i="26"/>
  <c r="U296" i="26"/>
  <c r="V296" i="26"/>
  <c r="W296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H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H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H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J643" i="26"/>
  <c r="K643" i="26"/>
  <c r="L643" i="26"/>
  <c r="M643" i="26"/>
  <c r="N643" i="26"/>
  <c r="O643" i="26"/>
  <c r="P643" i="26"/>
  <c r="Q643" i="26"/>
  <c r="R643" i="26"/>
  <c r="S643" i="26"/>
  <c r="T643" i="26"/>
  <c r="U643" i="26"/>
  <c r="V643" i="26"/>
  <c r="W643" i="26"/>
  <c r="J645" i="26"/>
  <c r="K645" i="26"/>
  <c r="L645" i="26"/>
  <c r="M645" i="26"/>
  <c r="N645" i="26"/>
  <c r="O645" i="26"/>
  <c r="P645" i="26"/>
  <c r="Q645" i="26"/>
  <c r="R645" i="26"/>
  <c r="S645" i="26"/>
  <c r="T645" i="26"/>
  <c r="U645" i="26"/>
  <c r="V645" i="26"/>
  <c r="W645" i="26"/>
  <c r="H647" i="26"/>
  <c r="J647" i="26"/>
  <c r="K647" i="26"/>
  <c r="L647" i="26"/>
  <c r="M647" i="26"/>
  <c r="N647" i="26"/>
  <c r="O647" i="26"/>
  <c r="P647" i="26"/>
  <c r="Q647" i="26"/>
  <c r="R647" i="26"/>
  <c r="S647" i="26"/>
  <c r="T647" i="26"/>
  <c r="U647" i="26"/>
  <c r="V647" i="26"/>
  <c r="W647" i="26"/>
  <c r="H685" i="26"/>
  <c r="J685" i="26"/>
  <c r="K685" i="26"/>
  <c r="L685" i="26"/>
  <c r="M685" i="26"/>
  <c r="N685" i="26"/>
  <c r="O685" i="26"/>
  <c r="P685" i="26"/>
  <c r="Q685" i="26"/>
  <c r="R685" i="26"/>
  <c r="S685" i="26"/>
  <c r="T685" i="26"/>
  <c r="U685" i="26"/>
  <c r="V685" i="26"/>
  <c r="W685" i="26"/>
  <c r="H697" i="26"/>
  <c r="J697" i="26"/>
  <c r="K697" i="26"/>
  <c r="L697" i="26"/>
  <c r="M697" i="26"/>
  <c r="N697" i="26"/>
  <c r="O697" i="26"/>
  <c r="P697" i="26"/>
  <c r="Q697" i="26"/>
  <c r="R697" i="26"/>
  <c r="S697" i="26"/>
  <c r="T697" i="26"/>
  <c r="U697" i="26"/>
  <c r="V697" i="26"/>
  <c r="W697" i="26"/>
  <c r="H698" i="26"/>
  <c r="J698" i="26"/>
  <c r="K698" i="26"/>
  <c r="L698" i="26"/>
  <c r="M698" i="26"/>
  <c r="N698" i="26"/>
  <c r="O698" i="26"/>
  <c r="P698" i="26"/>
  <c r="Q698" i="26"/>
  <c r="R698" i="26"/>
  <c r="S698" i="26"/>
  <c r="T698" i="26"/>
  <c r="U698" i="26"/>
  <c r="V698" i="26"/>
  <c r="W698" i="26"/>
  <c r="H700" i="26"/>
  <c r="J700" i="26"/>
  <c r="K700" i="26"/>
  <c r="L700" i="26"/>
  <c r="M700" i="26"/>
  <c r="N700" i="26"/>
  <c r="O700" i="26"/>
  <c r="P700" i="26"/>
  <c r="Q700" i="26"/>
  <c r="R700" i="26"/>
  <c r="S700" i="26"/>
  <c r="T700" i="26"/>
  <c r="U700" i="26"/>
  <c r="V700" i="26"/>
  <c r="W700" i="26"/>
  <c r="H701" i="26"/>
  <c r="J701" i="26"/>
  <c r="K701" i="26"/>
  <c r="L701" i="26"/>
  <c r="M701" i="26"/>
  <c r="N701" i="26"/>
  <c r="O701" i="26"/>
  <c r="P701" i="26"/>
  <c r="Q701" i="26"/>
  <c r="R701" i="26"/>
  <c r="S701" i="26"/>
  <c r="T701" i="26"/>
  <c r="U701" i="26"/>
  <c r="V701" i="26"/>
  <c r="W701" i="26"/>
  <c r="H703" i="26"/>
  <c r="J703" i="26"/>
  <c r="K703" i="26"/>
  <c r="L703" i="26"/>
  <c r="M703" i="26"/>
  <c r="N703" i="26"/>
  <c r="O703" i="26"/>
  <c r="P703" i="26"/>
  <c r="Q703" i="26"/>
  <c r="R703" i="26"/>
  <c r="S703" i="26"/>
  <c r="T703" i="26"/>
  <c r="U703" i="26"/>
  <c r="V703" i="26"/>
  <c r="W703" i="26"/>
  <c r="H704" i="26"/>
  <c r="J704" i="26"/>
  <c r="K704" i="26"/>
  <c r="L704" i="26"/>
  <c r="M704" i="26"/>
  <c r="N704" i="26"/>
  <c r="O704" i="26"/>
  <c r="P704" i="26"/>
  <c r="Q704" i="26"/>
  <c r="R704" i="26"/>
  <c r="S704" i="26"/>
  <c r="T704" i="26"/>
  <c r="U704" i="26"/>
  <c r="V704" i="26"/>
  <c r="W704" i="26"/>
  <c r="H705" i="26"/>
  <c r="J705" i="26"/>
  <c r="K705" i="26"/>
  <c r="L705" i="26"/>
  <c r="M705" i="26"/>
  <c r="N705" i="26"/>
  <c r="O705" i="26"/>
  <c r="P705" i="26"/>
  <c r="Q705" i="26"/>
  <c r="R705" i="26"/>
  <c r="S705" i="26"/>
  <c r="T705" i="26"/>
  <c r="U705" i="26"/>
  <c r="V705" i="26"/>
  <c r="W705" i="26"/>
  <c r="H720" i="26"/>
  <c r="J720" i="26"/>
  <c r="K720" i="26"/>
  <c r="L720" i="26"/>
  <c r="M720" i="26"/>
  <c r="N720" i="26"/>
  <c r="O720" i="26"/>
  <c r="P720" i="26"/>
  <c r="Q720" i="26"/>
  <c r="R720" i="26"/>
  <c r="S720" i="26"/>
  <c r="T720" i="26"/>
  <c r="U720" i="26"/>
  <c r="V720" i="26"/>
  <c r="W720" i="26"/>
  <c r="H724" i="26"/>
  <c r="J724" i="26"/>
  <c r="K724" i="26"/>
  <c r="L724" i="26"/>
  <c r="M724" i="26"/>
  <c r="N724" i="26"/>
  <c r="O724" i="26"/>
  <c r="P724" i="26"/>
  <c r="Q724" i="26"/>
  <c r="R724" i="26"/>
  <c r="S724" i="26"/>
  <c r="T724" i="26"/>
  <c r="U724" i="26"/>
  <c r="V724" i="26"/>
  <c r="W724" i="26"/>
  <c r="H725" i="26"/>
  <c r="J725" i="26"/>
  <c r="K725" i="26"/>
  <c r="L725" i="26"/>
  <c r="M725" i="26"/>
  <c r="N725" i="26"/>
  <c r="O725" i="26"/>
  <c r="P725" i="26"/>
  <c r="Q725" i="26"/>
  <c r="R725" i="26"/>
  <c r="S725" i="26"/>
  <c r="T725" i="26"/>
  <c r="U725" i="26"/>
  <c r="V725" i="26"/>
  <c r="W725" i="26"/>
  <c r="H729" i="26"/>
  <c r="J729" i="26"/>
  <c r="K729" i="26"/>
  <c r="L729" i="26"/>
  <c r="M729" i="26"/>
  <c r="N729" i="26"/>
  <c r="O729" i="26"/>
  <c r="P729" i="26"/>
  <c r="Q729" i="26"/>
  <c r="R729" i="26"/>
  <c r="S729" i="26"/>
  <c r="T729" i="26"/>
  <c r="U729" i="26"/>
  <c r="V729" i="26"/>
  <c r="W729" i="26"/>
  <c r="H737" i="26"/>
  <c r="J737" i="26"/>
  <c r="K737" i="26"/>
  <c r="L737" i="26"/>
  <c r="M737" i="26"/>
  <c r="N737" i="26"/>
  <c r="O737" i="26"/>
  <c r="P737" i="26"/>
  <c r="Q737" i="26"/>
  <c r="R737" i="26"/>
  <c r="S737" i="26"/>
  <c r="T737" i="26"/>
  <c r="U737" i="26"/>
  <c r="V737" i="26"/>
  <c r="W737" i="26"/>
  <c r="H757" i="26"/>
  <c r="J757" i="26"/>
  <c r="K757" i="26"/>
  <c r="L757" i="26"/>
  <c r="M757" i="26"/>
  <c r="N757" i="26"/>
  <c r="O757" i="26"/>
  <c r="P757" i="26"/>
  <c r="Q757" i="26"/>
  <c r="R757" i="26"/>
  <c r="S757" i="26"/>
  <c r="T757" i="26"/>
  <c r="U757" i="26"/>
  <c r="V757" i="26"/>
  <c r="W757" i="26"/>
  <c r="H769" i="26"/>
  <c r="J769" i="26"/>
  <c r="K769" i="26"/>
  <c r="L769" i="26"/>
  <c r="M769" i="26"/>
  <c r="N769" i="26"/>
  <c r="O769" i="26"/>
  <c r="P769" i="26"/>
  <c r="Q769" i="26"/>
  <c r="R769" i="26"/>
  <c r="S769" i="26"/>
  <c r="T769" i="26"/>
  <c r="U769" i="26"/>
  <c r="V769" i="26"/>
  <c r="W769" i="26"/>
  <c r="H770" i="26"/>
  <c r="J770" i="26"/>
  <c r="K770" i="26"/>
  <c r="L770" i="26"/>
  <c r="M770" i="26"/>
  <c r="N770" i="26"/>
  <c r="O770" i="26"/>
  <c r="P770" i="26"/>
  <c r="Q770" i="26"/>
  <c r="R770" i="26"/>
  <c r="S770" i="26"/>
  <c r="T770" i="26"/>
  <c r="U770" i="26"/>
  <c r="V770" i="26"/>
  <c r="W770" i="26"/>
  <c r="H772" i="26"/>
  <c r="J772" i="26"/>
  <c r="K772" i="26"/>
  <c r="L772" i="26"/>
  <c r="M772" i="26"/>
  <c r="N772" i="26"/>
  <c r="O772" i="26"/>
  <c r="P772" i="26"/>
  <c r="Q772" i="26"/>
  <c r="R772" i="26"/>
  <c r="S772" i="26"/>
  <c r="T772" i="26"/>
  <c r="U772" i="26"/>
  <c r="V772" i="26"/>
  <c r="W772" i="26"/>
  <c r="H773" i="26"/>
  <c r="J773" i="26"/>
  <c r="K773" i="26"/>
  <c r="L773" i="26"/>
  <c r="M773" i="26"/>
  <c r="N773" i="26"/>
  <c r="O773" i="26"/>
  <c r="P773" i="26"/>
  <c r="Q773" i="26"/>
  <c r="R773" i="26"/>
  <c r="S773" i="26"/>
  <c r="T773" i="26"/>
  <c r="U773" i="26"/>
  <c r="V773" i="26"/>
  <c r="W773" i="26"/>
  <c r="H775" i="26"/>
  <c r="J775" i="26"/>
  <c r="K775" i="26"/>
  <c r="L775" i="26"/>
  <c r="M775" i="26"/>
  <c r="N775" i="26"/>
  <c r="O775" i="26"/>
  <c r="P775" i="26"/>
  <c r="Q775" i="26"/>
  <c r="R775" i="26"/>
  <c r="S775" i="26"/>
  <c r="T775" i="26"/>
  <c r="U775" i="26"/>
  <c r="V775" i="26"/>
  <c r="W775" i="26"/>
  <c r="H776" i="26"/>
  <c r="J776" i="26"/>
  <c r="K776" i="26"/>
  <c r="L776" i="26"/>
  <c r="M776" i="26"/>
  <c r="N776" i="26"/>
  <c r="O776" i="26"/>
  <c r="P776" i="26"/>
  <c r="Q776" i="26"/>
  <c r="R776" i="26"/>
  <c r="S776" i="26"/>
  <c r="T776" i="26"/>
  <c r="U776" i="26"/>
  <c r="V776" i="26"/>
  <c r="W776" i="26"/>
  <c r="H777" i="26"/>
  <c r="J777" i="26"/>
  <c r="K777" i="26"/>
  <c r="L777" i="26"/>
  <c r="M777" i="26"/>
  <c r="N777" i="26"/>
  <c r="O777" i="26"/>
  <c r="P777" i="26"/>
  <c r="Q777" i="26"/>
  <c r="R777" i="26"/>
  <c r="S777" i="26"/>
  <c r="T777" i="26"/>
  <c r="U777" i="26"/>
  <c r="V777" i="26"/>
  <c r="W777" i="26"/>
  <c r="H792" i="26"/>
  <c r="J792" i="26"/>
  <c r="K792" i="26"/>
  <c r="L792" i="26"/>
  <c r="M792" i="26"/>
  <c r="N792" i="26"/>
  <c r="O792" i="26"/>
  <c r="P792" i="26"/>
  <c r="Q792" i="26"/>
  <c r="R792" i="26"/>
  <c r="S792" i="26"/>
  <c r="T792" i="26"/>
  <c r="U792" i="26"/>
  <c r="V792" i="26"/>
  <c r="W792" i="26"/>
  <c r="H796" i="26"/>
  <c r="J796" i="26"/>
  <c r="K796" i="26"/>
  <c r="L796" i="26"/>
  <c r="M796" i="26"/>
  <c r="N796" i="26"/>
  <c r="O796" i="26"/>
  <c r="P796" i="26"/>
  <c r="Q796" i="26"/>
  <c r="R796" i="26"/>
  <c r="S796" i="26"/>
  <c r="T796" i="26"/>
  <c r="U796" i="26"/>
  <c r="V796" i="26"/>
  <c r="W796" i="26"/>
  <c r="H797" i="26"/>
  <c r="J797" i="26"/>
  <c r="K797" i="26"/>
  <c r="L797" i="26"/>
  <c r="M797" i="26"/>
  <c r="N797" i="26"/>
  <c r="O797" i="26"/>
  <c r="P797" i="26"/>
  <c r="Q797" i="26"/>
  <c r="R797" i="26"/>
  <c r="S797" i="26"/>
  <c r="T797" i="26"/>
  <c r="U797" i="26"/>
  <c r="V797" i="26"/>
  <c r="W797" i="26"/>
  <c r="H801" i="26"/>
  <c r="J801" i="26"/>
  <c r="K801" i="26"/>
  <c r="L801" i="26"/>
  <c r="M801" i="26"/>
  <c r="N801" i="26"/>
  <c r="O801" i="26"/>
  <c r="P801" i="26"/>
  <c r="Q801" i="26"/>
  <c r="R801" i="26"/>
  <c r="S801" i="26"/>
  <c r="T801" i="26"/>
  <c r="U801" i="26"/>
  <c r="V801" i="26"/>
  <c r="W801" i="26"/>
  <c r="H809" i="26"/>
  <c r="J809" i="26"/>
  <c r="K809" i="26"/>
  <c r="L809" i="26"/>
  <c r="M809" i="26"/>
  <c r="N809" i="26"/>
  <c r="O809" i="26"/>
  <c r="P809" i="26"/>
  <c r="Q809" i="26"/>
  <c r="R809" i="26"/>
  <c r="S809" i="26"/>
  <c r="T809" i="26"/>
  <c r="U809" i="26"/>
  <c r="V809" i="26"/>
  <c r="W809" i="26"/>
  <c r="D57" i="24"/>
  <c r="F57" i="24"/>
  <c r="G57" i="24"/>
  <c r="H57" i="24"/>
  <c r="I57" i="24"/>
  <c r="J57" i="24"/>
  <c r="K57" i="24"/>
  <c r="L57" i="24"/>
  <c r="M57" i="24"/>
  <c r="N57" i="24"/>
  <c r="O57" i="24"/>
  <c r="P57" i="24"/>
  <c r="Q57" i="24"/>
  <c r="R57" i="24"/>
  <c r="D58" i="24"/>
  <c r="F58" i="24"/>
  <c r="G58" i="24"/>
  <c r="H58" i="24"/>
  <c r="I58" i="24"/>
  <c r="J58" i="24"/>
  <c r="K58" i="24"/>
  <c r="L58" i="24"/>
  <c r="M58" i="24"/>
  <c r="N58" i="24"/>
  <c r="O58" i="24"/>
  <c r="P58" i="24"/>
  <c r="Q58" i="24"/>
  <c r="R58" i="24"/>
  <c r="D59" i="24"/>
  <c r="F59" i="24"/>
  <c r="G59" i="24"/>
  <c r="H59" i="24"/>
  <c r="I59" i="24"/>
  <c r="J59" i="24"/>
  <c r="K59" i="24"/>
  <c r="L59" i="24"/>
  <c r="M59" i="24"/>
  <c r="N59" i="24"/>
  <c r="O59" i="24"/>
  <c r="P59" i="24"/>
  <c r="Q59" i="24"/>
  <c r="R59" i="24"/>
  <c r="D60" i="24"/>
  <c r="F60" i="24"/>
  <c r="G60" i="24"/>
  <c r="H60" i="24"/>
  <c r="I60" i="24"/>
  <c r="J60" i="24"/>
  <c r="K60" i="24"/>
  <c r="L60" i="24"/>
  <c r="M60" i="24"/>
  <c r="N60" i="24"/>
  <c r="O60" i="24"/>
  <c r="P60" i="24"/>
  <c r="Q60" i="24"/>
  <c r="R60" i="24"/>
  <c r="D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D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D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D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D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D68" i="24"/>
  <c r="F68" i="24"/>
  <c r="G68" i="24"/>
  <c r="H68" i="24"/>
  <c r="I68" i="24"/>
  <c r="J68" i="24"/>
  <c r="K68" i="24"/>
  <c r="L68" i="24"/>
  <c r="M68" i="24"/>
  <c r="N68" i="24"/>
  <c r="O68" i="24"/>
  <c r="P68" i="24"/>
  <c r="Q68" i="24"/>
  <c r="R68" i="24"/>
  <c r="D69" i="24"/>
  <c r="F69" i="24"/>
  <c r="G69" i="24"/>
  <c r="H69" i="24"/>
  <c r="I69" i="24"/>
  <c r="J69" i="24"/>
  <c r="K69" i="24"/>
  <c r="L69" i="24"/>
  <c r="M69" i="24"/>
  <c r="N69" i="24"/>
  <c r="O69" i="24"/>
  <c r="P69" i="24"/>
  <c r="Q69" i="24"/>
  <c r="R69" i="24"/>
  <c r="D70" i="24"/>
  <c r="F70" i="24"/>
  <c r="G70" i="24"/>
  <c r="H70" i="24"/>
  <c r="I70" i="24"/>
  <c r="J70" i="24"/>
  <c r="K70" i="24"/>
  <c r="L70" i="24"/>
  <c r="M70" i="24"/>
  <c r="N70" i="24"/>
  <c r="O70" i="24"/>
  <c r="P70" i="24"/>
  <c r="Q70" i="24"/>
  <c r="R70" i="24"/>
  <c r="D92" i="24"/>
  <c r="F92" i="24"/>
  <c r="G92" i="24"/>
  <c r="H92" i="24"/>
  <c r="I92" i="24"/>
  <c r="J92" i="24"/>
  <c r="K92" i="24"/>
  <c r="L92" i="24"/>
  <c r="M92" i="24"/>
  <c r="N92" i="24"/>
  <c r="O92" i="24"/>
  <c r="P92" i="24"/>
  <c r="Q92" i="24"/>
  <c r="R92" i="24"/>
  <c r="D93" i="24"/>
  <c r="F93" i="24"/>
  <c r="G93" i="24"/>
  <c r="H93" i="24"/>
  <c r="I93" i="24"/>
  <c r="J93" i="24"/>
  <c r="K93" i="24"/>
  <c r="L93" i="24"/>
  <c r="M93" i="24"/>
  <c r="N93" i="24"/>
  <c r="O93" i="24"/>
  <c r="P93" i="24"/>
  <c r="Q93" i="24"/>
  <c r="R93" i="24"/>
  <c r="D94" i="24"/>
  <c r="F94" i="24"/>
  <c r="G94" i="24"/>
  <c r="H94" i="24"/>
  <c r="I94" i="24"/>
  <c r="J94" i="24"/>
  <c r="K94" i="24"/>
  <c r="L94" i="24"/>
  <c r="M94" i="24"/>
  <c r="N94" i="24"/>
  <c r="O94" i="24"/>
  <c r="P94" i="24"/>
  <c r="Q94" i="24"/>
  <c r="R94" i="24"/>
  <c r="D95" i="24"/>
  <c r="F95" i="24"/>
  <c r="G95" i="24"/>
  <c r="H95" i="24"/>
  <c r="I95" i="24"/>
  <c r="J95" i="24"/>
  <c r="K95" i="24"/>
  <c r="L95" i="24"/>
  <c r="M95" i="24"/>
  <c r="N95" i="24"/>
  <c r="O95" i="24"/>
  <c r="P95" i="24"/>
  <c r="Q95" i="24"/>
  <c r="R95" i="24"/>
  <c r="D97" i="24"/>
  <c r="F97" i="24"/>
  <c r="G97" i="24"/>
  <c r="H97" i="24"/>
  <c r="I97" i="24"/>
  <c r="J97" i="24"/>
  <c r="K97" i="24"/>
  <c r="L97" i="24"/>
  <c r="M97" i="24"/>
  <c r="N97" i="24"/>
  <c r="O97" i="24"/>
  <c r="P97" i="24"/>
  <c r="Q97" i="24"/>
  <c r="R97" i="24"/>
  <c r="H47" i="27"/>
  <c r="J47" i="27"/>
  <c r="K47" i="27"/>
  <c r="L47" i="27"/>
  <c r="M47" i="27"/>
  <c r="N47" i="27"/>
  <c r="O47" i="27"/>
  <c r="P47" i="27"/>
  <c r="Q47" i="27"/>
  <c r="R47" i="27"/>
  <c r="S47" i="27"/>
  <c r="T47" i="27"/>
  <c r="U47" i="27"/>
  <c r="V47" i="27"/>
  <c r="W47" i="27"/>
  <c r="Y47" i="27"/>
  <c r="H48" i="27"/>
  <c r="J48" i="27"/>
  <c r="K48" i="27"/>
  <c r="L48" i="27"/>
  <c r="M48" i="27"/>
  <c r="N48" i="27"/>
  <c r="O48" i="27"/>
  <c r="P48" i="27"/>
  <c r="Q48" i="27"/>
  <c r="R48" i="27"/>
  <c r="S48" i="27"/>
  <c r="T48" i="27"/>
  <c r="U48" i="27"/>
  <c r="V48" i="27"/>
  <c r="W48" i="27"/>
  <c r="Y48" i="27"/>
  <c r="H50" i="27"/>
  <c r="J50" i="27"/>
  <c r="K50" i="27"/>
  <c r="L50" i="27"/>
  <c r="M50" i="27"/>
  <c r="N50" i="27"/>
  <c r="O50" i="27"/>
  <c r="P50" i="27"/>
  <c r="Q50" i="27"/>
  <c r="R50" i="27"/>
  <c r="S50" i="27"/>
  <c r="T50" i="27"/>
  <c r="U50" i="27"/>
  <c r="V50" i="27"/>
  <c r="W50" i="27"/>
  <c r="Y50" i="27"/>
  <c r="H52" i="27"/>
  <c r="J52" i="27"/>
  <c r="K52" i="27"/>
  <c r="L52" i="27"/>
  <c r="M52" i="27"/>
  <c r="N52" i="27"/>
  <c r="O52" i="27"/>
  <c r="P52" i="27"/>
  <c r="Q52" i="27"/>
  <c r="R52" i="27"/>
  <c r="S52" i="27"/>
  <c r="T52" i="27"/>
  <c r="U52" i="27"/>
  <c r="V52" i="27"/>
  <c r="W52" i="27"/>
  <c r="Y52" i="27"/>
  <c r="J53" i="27"/>
  <c r="K53" i="27"/>
  <c r="L53" i="27"/>
  <c r="M53" i="27"/>
  <c r="N53" i="27"/>
  <c r="O53" i="27"/>
  <c r="P53" i="27"/>
  <c r="Q53" i="27"/>
  <c r="R53" i="27"/>
  <c r="S53" i="27"/>
  <c r="T53" i="27"/>
  <c r="U53" i="27"/>
  <c r="V53" i="27"/>
  <c r="W53" i="27"/>
  <c r="Y53" i="27"/>
  <c r="H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Y63" i="27"/>
  <c r="H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Y64" i="27"/>
  <c r="H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Y66" i="27"/>
  <c r="H74" i="27"/>
  <c r="J74" i="27"/>
  <c r="K74" i="27"/>
  <c r="L74" i="27"/>
  <c r="M74" i="27"/>
  <c r="N74" i="27"/>
  <c r="O74" i="27"/>
  <c r="P74" i="27"/>
  <c r="Q74" i="27"/>
  <c r="R74" i="27"/>
  <c r="S74" i="27"/>
  <c r="T74" i="27"/>
  <c r="U74" i="27"/>
  <c r="V74" i="27"/>
  <c r="W74" i="27"/>
  <c r="Y74" i="27"/>
  <c r="H75" i="27"/>
  <c r="J75" i="27"/>
  <c r="K75" i="27"/>
  <c r="L75" i="27"/>
  <c r="M75" i="27"/>
  <c r="N75" i="27"/>
  <c r="O75" i="27"/>
  <c r="P75" i="27"/>
  <c r="Q75" i="27"/>
  <c r="R75" i="27"/>
  <c r="S75" i="27"/>
  <c r="T75" i="27"/>
  <c r="U75" i="27"/>
  <c r="V75" i="27"/>
  <c r="W75" i="27"/>
  <c r="Y75" i="27"/>
  <c r="H77" i="27"/>
  <c r="J77" i="27"/>
  <c r="K77" i="27"/>
  <c r="L77" i="27"/>
  <c r="M77" i="27"/>
  <c r="N77" i="27"/>
  <c r="O77" i="27"/>
  <c r="P77" i="27"/>
  <c r="Q77" i="27"/>
  <c r="R77" i="27"/>
  <c r="S77" i="27"/>
  <c r="T77" i="27"/>
  <c r="U77" i="27"/>
  <c r="V77" i="27"/>
  <c r="W77" i="27"/>
  <c r="Y77" i="27"/>
  <c r="H81" i="27"/>
  <c r="J81" i="27"/>
  <c r="K81" i="27"/>
  <c r="L81" i="27"/>
  <c r="M81" i="27"/>
  <c r="N81" i="27"/>
  <c r="O81" i="27"/>
  <c r="P81" i="27"/>
  <c r="Q81" i="27"/>
  <c r="R81" i="27"/>
  <c r="S81" i="27"/>
  <c r="T81" i="27"/>
  <c r="U81" i="27"/>
  <c r="V81" i="27"/>
  <c r="W81" i="27"/>
  <c r="Y81" i="27"/>
  <c r="H83" i="27"/>
  <c r="J83" i="27"/>
  <c r="K83" i="27"/>
  <c r="L83" i="27"/>
  <c r="M83" i="27"/>
  <c r="N83" i="27"/>
  <c r="O83" i="27"/>
  <c r="P83" i="27"/>
  <c r="Q83" i="27"/>
  <c r="R83" i="27"/>
  <c r="S83" i="27"/>
  <c r="T83" i="27"/>
  <c r="U83" i="27"/>
  <c r="V83" i="27"/>
  <c r="W83" i="27"/>
  <c r="Y83" i="27"/>
  <c r="H87" i="27"/>
  <c r="J87" i="27"/>
  <c r="K87" i="27"/>
  <c r="L87" i="27"/>
  <c r="M87" i="27"/>
  <c r="N87" i="27"/>
  <c r="O87" i="27"/>
  <c r="P87" i="27"/>
  <c r="Q87" i="27"/>
  <c r="R87" i="27"/>
  <c r="S87" i="27"/>
  <c r="T87" i="27"/>
  <c r="U87" i="27"/>
  <c r="V87" i="27"/>
  <c r="W87" i="27"/>
  <c r="Y87" i="27"/>
  <c r="J608" i="27"/>
  <c r="K608" i="27"/>
  <c r="L608" i="27"/>
  <c r="M608" i="27"/>
  <c r="N608" i="27"/>
  <c r="O608" i="27"/>
  <c r="P608" i="27"/>
  <c r="Q608" i="27"/>
  <c r="R608" i="27"/>
  <c r="S608" i="27"/>
  <c r="T608" i="27"/>
  <c r="U608" i="27"/>
  <c r="V608" i="27"/>
  <c r="W608" i="27"/>
  <c r="J611" i="27"/>
  <c r="K611" i="27"/>
  <c r="L611" i="27"/>
  <c r="M611" i="27"/>
  <c r="N611" i="27"/>
  <c r="O611" i="27"/>
  <c r="P611" i="27"/>
  <c r="Q611" i="27"/>
  <c r="R611" i="27"/>
  <c r="S611" i="27"/>
  <c r="T611" i="27"/>
  <c r="U611" i="27"/>
  <c r="V611" i="27"/>
  <c r="W611" i="27"/>
  <c r="J630" i="27"/>
  <c r="K630" i="27"/>
  <c r="L630" i="27"/>
  <c r="M630" i="27"/>
  <c r="N630" i="27"/>
  <c r="O630" i="27"/>
  <c r="P630" i="27"/>
  <c r="Q630" i="27"/>
  <c r="R630" i="27"/>
  <c r="S630" i="27"/>
  <c r="T630" i="27"/>
  <c r="U630" i="27"/>
  <c r="V630" i="27"/>
  <c r="W630" i="27"/>
  <c r="J636" i="27"/>
  <c r="K636" i="27"/>
  <c r="L636" i="27"/>
  <c r="M636" i="27"/>
  <c r="N636" i="27"/>
  <c r="O636" i="27"/>
  <c r="P636" i="27"/>
  <c r="Q636" i="27"/>
  <c r="R636" i="27"/>
  <c r="S636" i="27"/>
  <c r="T636" i="27"/>
  <c r="U636" i="27"/>
  <c r="V636" i="27"/>
  <c r="W636" i="27"/>
  <c r="J640" i="27"/>
  <c r="K640" i="27"/>
  <c r="L640" i="27"/>
  <c r="M640" i="27"/>
  <c r="N640" i="27"/>
  <c r="O640" i="27"/>
  <c r="P640" i="27"/>
  <c r="Q640" i="27"/>
  <c r="R640" i="27"/>
  <c r="S640" i="27"/>
  <c r="T640" i="27"/>
  <c r="U640" i="27"/>
  <c r="V640" i="27"/>
  <c r="W640" i="27"/>
  <c r="J645" i="27"/>
  <c r="K645" i="27"/>
  <c r="L645" i="27"/>
  <c r="M645" i="27"/>
  <c r="N645" i="27"/>
  <c r="O645" i="27"/>
  <c r="P645" i="27"/>
  <c r="Q645" i="27"/>
  <c r="R645" i="27"/>
  <c r="S645" i="27"/>
  <c r="T645" i="27"/>
  <c r="U645" i="27"/>
  <c r="V645" i="27"/>
  <c r="W645" i="27"/>
  <c r="J647" i="27"/>
  <c r="K647" i="27"/>
  <c r="L647" i="27"/>
  <c r="M647" i="27"/>
  <c r="N647" i="27"/>
  <c r="O647" i="27"/>
  <c r="P647" i="27"/>
  <c r="Q647" i="27"/>
  <c r="R647" i="27"/>
  <c r="S647" i="27"/>
  <c r="T647" i="27"/>
  <c r="U647" i="27"/>
  <c r="V647" i="27"/>
  <c r="W647" i="27"/>
  <c r="H685" i="27"/>
  <c r="J685" i="27"/>
  <c r="K685" i="27"/>
  <c r="L685" i="27"/>
  <c r="M685" i="27"/>
  <c r="N685" i="27"/>
  <c r="O685" i="27"/>
  <c r="P685" i="27"/>
  <c r="Q685" i="27"/>
  <c r="R685" i="27"/>
  <c r="S685" i="27"/>
  <c r="T685" i="27"/>
  <c r="U685" i="27"/>
  <c r="V685" i="27"/>
  <c r="W685" i="27"/>
  <c r="H757" i="27"/>
  <c r="J757" i="27"/>
  <c r="K757" i="27"/>
  <c r="L757" i="27"/>
  <c r="M757" i="27"/>
  <c r="N757" i="27"/>
  <c r="O757" i="27"/>
  <c r="P757" i="27"/>
  <c r="Q757" i="27"/>
  <c r="R757" i="27"/>
  <c r="S757" i="27"/>
  <c r="T757" i="27"/>
  <c r="U757" i="27"/>
  <c r="V757" i="27"/>
  <c r="W757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d897737</author>
  </authors>
  <commentList>
    <comment ref="K14" authorId="0" shapeId="0" xr:uid="{791377A8-B735-42D2-A663-D1651BA96CAA}">
      <text>
        <r>
          <rPr>
            <b/>
            <sz val="9"/>
            <color indexed="81"/>
            <rFont val="Tahoma"/>
            <family val="2"/>
          </rPr>
          <t>d897737:
Approved March 2024 TCRF $428,545,775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d897737</author>
  </authors>
  <commentList>
    <comment ref="M39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DA of Large Cust Acct Reps to large cust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d897737</author>
  </authors>
  <commentList>
    <comment ref="S738" authorId="0" shapeId="0" xr:uid="{B283E6EB-DC30-470F-BAAF-1F93E78A19BA}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determined by percentage of primary sub cust kWh inside city limits WP of 10.759%</t>
        </r>
      </text>
    </comment>
  </commentList>
</comments>
</file>

<file path=xl/sharedStrings.xml><?xml version="1.0" encoding="utf-8"?>
<sst xmlns="http://schemas.openxmlformats.org/spreadsheetml/2006/main" count="7897" uniqueCount="865">
  <si>
    <t>Line</t>
  </si>
  <si>
    <t>Account</t>
  </si>
  <si>
    <t>Description</t>
  </si>
  <si>
    <t>Reference</t>
  </si>
  <si>
    <t>Column</t>
  </si>
  <si>
    <t xml:space="preserve">Total </t>
  </si>
  <si>
    <t>Functionalized</t>
  </si>
  <si>
    <t>No.</t>
  </si>
  <si>
    <t>ALLOC</t>
  </si>
  <si>
    <t>Schedule</t>
  </si>
  <si>
    <t>TRANSMISSION</t>
  </si>
  <si>
    <t>DISTRIBUTION</t>
  </si>
  <si>
    <t>T&amp;D METERING</t>
  </si>
  <si>
    <t>T&amp;D CUST SERV</t>
  </si>
  <si>
    <t>INPUT</t>
  </si>
  <si>
    <t>Verification</t>
  </si>
  <si>
    <t>Operation &amp; Maintenance</t>
  </si>
  <si>
    <t>Interest on Cust. Deposits</t>
  </si>
  <si>
    <t>Depreciation and Amortization</t>
  </si>
  <si>
    <t>Taxes Other Than Income Taxes</t>
  </si>
  <si>
    <t>Return on Rate Base</t>
  </si>
  <si>
    <t>Total Revenue Requirement</t>
  </si>
  <si>
    <t>Schedule II-B-1 Original Cost of Utility Plant</t>
  </si>
  <si>
    <t xml:space="preserve">Intangible Plant </t>
  </si>
  <si>
    <t>A301</t>
  </si>
  <si>
    <t>Organization</t>
  </si>
  <si>
    <t>A302</t>
  </si>
  <si>
    <t>Franchise and Consents</t>
  </si>
  <si>
    <t xml:space="preserve">A303 </t>
  </si>
  <si>
    <t>Miscellaneous Intangible Plant</t>
  </si>
  <si>
    <t>Total Intangible Plant</t>
  </si>
  <si>
    <t>Structures and Improvements</t>
  </si>
  <si>
    <t>Schedule II-B-1 Original Cost of Utility Plant (Continued)</t>
  </si>
  <si>
    <t>Transmission Plant</t>
  </si>
  <si>
    <t>A350</t>
  </si>
  <si>
    <t>Land and Land Rights</t>
  </si>
  <si>
    <t>A352</t>
  </si>
  <si>
    <t>A353</t>
  </si>
  <si>
    <t>Station Equipment</t>
  </si>
  <si>
    <t>A354</t>
  </si>
  <si>
    <t>Towers and Fixtures</t>
  </si>
  <si>
    <t>A355</t>
  </si>
  <si>
    <t>Poles and Fixtures</t>
  </si>
  <si>
    <t>A356</t>
  </si>
  <si>
    <t>O.H. Conductors &amp; Devices</t>
  </si>
  <si>
    <t>A357</t>
  </si>
  <si>
    <t>Undergound Conduit</t>
  </si>
  <si>
    <t>A358</t>
  </si>
  <si>
    <t>Underground Conductors</t>
  </si>
  <si>
    <t>A359</t>
  </si>
  <si>
    <t>Roads and Trails</t>
  </si>
  <si>
    <t>Total Transmission Plant</t>
  </si>
  <si>
    <t>Distribution Plant</t>
  </si>
  <si>
    <t>A360</t>
  </si>
  <si>
    <t>A361</t>
  </si>
  <si>
    <t>A362</t>
  </si>
  <si>
    <t>A363</t>
  </si>
  <si>
    <t>Storage Battery Equipment</t>
  </si>
  <si>
    <t>A364</t>
  </si>
  <si>
    <t>Poles,Towers &amp; Fixtures</t>
  </si>
  <si>
    <t xml:space="preserve">      Primary</t>
  </si>
  <si>
    <t xml:space="preserve">     Secondary</t>
  </si>
  <si>
    <t xml:space="preserve">          Total Account 364</t>
  </si>
  <si>
    <t>A365</t>
  </si>
  <si>
    <t>A366</t>
  </si>
  <si>
    <t>Underground Conduits</t>
  </si>
  <si>
    <t>A367</t>
  </si>
  <si>
    <t>U.G. Conductors &amp; Devices</t>
  </si>
  <si>
    <t xml:space="preserve">          Total Account 367</t>
  </si>
  <si>
    <t>A368</t>
  </si>
  <si>
    <t>Line Transformers</t>
  </si>
  <si>
    <t xml:space="preserve">          Total Account 368</t>
  </si>
  <si>
    <t>A369</t>
  </si>
  <si>
    <t>Services</t>
  </si>
  <si>
    <t>A370</t>
  </si>
  <si>
    <t>Meters</t>
  </si>
  <si>
    <t>A371</t>
  </si>
  <si>
    <t>Install. on Customer Prem.</t>
  </si>
  <si>
    <t>A372</t>
  </si>
  <si>
    <t>Leased Prop. on Cust. Premises</t>
  </si>
  <si>
    <t>A373</t>
  </si>
  <si>
    <t>Street Lights</t>
  </si>
  <si>
    <t>Total Distribution Plant</t>
  </si>
  <si>
    <t>Schedule II-B-2 General Plant Functionalization</t>
  </si>
  <si>
    <t>General Plant</t>
  </si>
  <si>
    <t>A389</t>
  </si>
  <si>
    <t>A390</t>
  </si>
  <si>
    <t>A391</t>
  </si>
  <si>
    <t>Office Furniture &amp; Equip.</t>
  </si>
  <si>
    <t>A392</t>
  </si>
  <si>
    <t>Transportation Equipment</t>
  </si>
  <si>
    <t>A393</t>
  </si>
  <si>
    <t xml:space="preserve">Stores Equipment </t>
  </si>
  <si>
    <t>A394</t>
  </si>
  <si>
    <t>Tools, Shop &amp; Garage Equip.</t>
  </si>
  <si>
    <t>A395</t>
  </si>
  <si>
    <t>Laboratory Equipment</t>
  </si>
  <si>
    <t>A396</t>
  </si>
  <si>
    <t>Power Operated Equipment</t>
  </si>
  <si>
    <t>A398</t>
  </si>
  <si>
    <t>Misc. Equipment</t>
  </si>
  <si>
    <t>A399</t>
  </si>
  <si>
    <t>Other Tang. Property</t>
  </si>
  <si>
    <t>Total General Plant</t>
  </si>
  <si>
    <t>Schedule II-B-3 Communication Equipment Functionalization</t>
  </si>
  <si>
    <t>A397</t>
  </si>
  <si>
    <t>Communication Equipment</t>
  </si>
  <si>
    <t>Total Plant In Service</t>
  </si>
  <si>
    <t>Schedule II-B-4 Unbundled Construction Work In Progress</t>
  </si>
  <si>
    <t>Construction Work In Progress</t>
  </si>
  <si>
    <t xml:space="preserve">          Total Construction Work In Progress</t>
  </si>
  <si>
    <t>Schedule II-B-5 Unbundled Accumulated Depreciation</t>
  </si>
  <si>
    <t>Accumulated Depreciation &amp; Amortization</t>
  </si>
  <si>
    <t>Schedule II-B-5 Unbundled Accumulated Depreciation (Continued)</t>
  </si>
  <si>
    <t xml:space="preserve">Store Equipment </t>
  </si>
  <si>
    <t>Other Tangible Plant</t>
  </si>
  <si>
    <t>Total Accumulated Dep. and Amort.</t>
  </si>
  <si>
    <t>Net Plant In Service</t>
  </si>
  <si>
    <t>Schedule II-B-6 Unbundled Plant Held for Future Use</t>
  </si>
  <si>
    <t>A105</t>
  </si>
  <si>
    <t>Plant Held for Future Use:</t>
  </si>
  <si>
    <t>Schedule II-B-7 Unbundled Accumulated Provision Balances</t>
  </si>
  <si>
    <t>A228</t>
  </si>
  <si>
    <t>Reserve For Catastrophe</t>
  </si>
  <si>
    <t xml:space="preserve">        Total Acc. Provision Balances</t>
  </si>
  <si>
    <t>Schedule II-B-8 Materials and Supplies</t>
  </si>
  <si>
    <t xml:space="preserve">Material and Supplies: </t>
  </si>
  <si>
    <t>A154</t>
  </si>
  <si>
    <t>A163</t>
  </si>
  <si>
    <t xml:space="preserve">     Total M&amp;S</t>
  </si>
  <si>
    <t>Schedule II-B-9 Cash Working Capital</t>
  </si>
  <si>
    <t>Schedule II-B-10 Prepayments</t>
  </si>
  <si>
    <t>A165</t>
  </si>
  <si>
    <t>Schedule II-B-11 Other Rate Base Items</t>
  </si>
  <si>
    <t>Customer Deposits</t>
  </si>
  <si>
    <t>Subtotal</t>
  </si>
  <si>
    <t>ADIT &amp; FAS 109 Accounts</t>
  </si>
  <si>
    <t xml:space="preserve">          Total ADIT</t>
  </si>
  <si>
    <t>Total Rate Base</t>
  </si>
  <si>
    <t>Schedule II-D-1 O&amp;M Expenses</t>
  </si>
  <si>
    <t>Operation</t>
  </si>
  <si>
    <t>Rents</t>
  </si>
  <si>
    <t>Maintenance</t>
  </si>
  <si>
    <t>Maint. of Structures</t>
  </si>
  <si>
    <t>Schedule II-D-1 O&amp;M Expenses (Continued)</t>
  </si>
  <si>
    <t>Operation Super. &amp; Engin.</t>
  </si>
  <si>
    <t>Maintenance Super. &amp; Engin.</t>
  </si>
  <si>
    <t>A556</t>
  </si>
  <si>
    <t>System Control &amp; Load Dispatch</t>
  </si>
  <si>
    <t>A557</t>
  </si>
  <si>
    <t>Other</t>
  </si>
  <si>
    <t>Total Power Production Expense</t>
  </si>
  <si>
    <t>Transmission Expense</t>
  </si>
  <si>
    <t>A560</t>
  </si>
  <si>
    <t>A561</t>
  </si>
  <si>
    <t>Load Dispatching</t>
  </si>
  <si>
    <t>A562</t>
  </si>
  <si>
    <t>A563</t>
  </si>
  <si>
    <t>Overhead Line Expense</t>
  </si>
  <si>
    <t>A564</t>
  </si>
  <si>
    <t>Underground Line Expense</t>
  </si>
  <si>
    <t>A565</t>
  </si>
  <si>
    <t>A566</t>
  </si>
  <si>
    <t>Misc. Transmission Expense</t>
  </si>
  <si>
    <t>A567</t>
  </si>
  <si>
    <t>A568</t>
  </si>
  <si>
    <t>A569</t>
  </si>
  <si>
    <t>A570</t>
  </si>
  <si>
    <t>Maint. of Station Equipment</t>
  </si>
  <si>
    <t>A571</t>
  </si>
  <si>
    <t>Maint. of Overhead Lines</t>
  </si>
  <si>
    <t>A572</t>
  </si>
  <si>
    <t>Maint. of Underground Lines</t>
  </si>
  <si>
    <t>A573</t>
  </si>
  <si>
    <t>Maint. of Misc. Trans.Plant</t>
  </si>
  <si>
    <t>Total Transmission Expenses</t>
  </si>
  <si>
    <t>Distribution</t>
  </si>
  <si>
    <t>A580</t>
  </si>
  <si>
    <t>A581</t>
  </si>
  <si>
    <t>A582</t>
  </si>
  <si>
    <t>Station Expense</t>
  </si>
  <si>
    <t>A583</t>
  </si>
  <si>
    <t xml:space="preserve">Overhead Line Expense </t>
  </si>
  <si>
    <t>A584</t>
  </si>
  <si>
    <t>A585</t>
  </si>
  <si>
    <t>Street Light &amp; Signal Systems</t>
  </si>
  <si>
    <t>A586</t>
  </si>
  <si>
    <t>Meter Expenses</t>
  </si>
  <si>
    <t>A587</t>
  </si>
  <si>
    <t>Customer Installation Expense</t>
  </si>
  <si>
    <t>A588</t>
  </si>
  <si>
    <t>Misc. Distribution Expenses</t>
  </si>
  <si>
    <t>A589</t>
  </si>
  <si>
    <t>Subtotal - Operation</t>
  </si>
  <si>
    <t>A590</t>
  </si>
  <si>
    <t>Maintenance Super.&amp; Engin.</t>
  </si>
  <si>
    <t>A591</t>
  </si>
  <si>
    <t>A592</t>
  </si>
  <si>
    <t>A593</t>
  </si>
  <si>
    <t>A594</t>
  </si>
  <si>
    <t>A595</t>
  </si>
  <si>
    <t>Maint. of Line Transformers</t>
  </si>
  <si>
    <t>A596</t>
  </si>
  <si>
    <t>Maint. of Street Lights</t>
  </si>
  <si>
    <t>A597</t>
  </si>
  <si>
    <t>Maint. of Meters</t>
  </si>
  <si>
    <t>Maint. of Misc. Dist. Plant.</t>
  </si>
  <si>
    <t>A598.1</t>
  </si>
  <si>
    <t xml:space="preserve">     Maint. Of Supervision &amp; Engineering</t>
  </si>
  <si>
    <t>Subtotal - maintenance</t>
  </si>
  <si>
    <t>Total Distribution Expenses</t>
  </si>
  <si>
    <t>Total Production, Transmission &amp; Distribution</t>
  </si>
  <si>
    <t>Customer and Information Expenses</t>
  </si>
  <si>
    <t>Customer Accounts Expenses</t>
  </si>
  <si>
    <t>A901</t>
  </si>
  <si>
    <t>Supervision</t>
  </si>
  <si>
    <t>A902</t>
  </si>
  <si>
    <t>Meter Reading Expense</t>
  </si>
  <si>
    <t>A903</t>
  </si>
  <si>
    <t xml:space="preserve">Customer Records &amp; Collect. </t>
  </si>
  <si>
    <t>A904</t>
  </si>
  <si>
    <t>Uncollectible Accounts</t>
  </si>
  <si>
    <t>A905</t>
  </si>
  <si>
    <t>Misc. Customer Account Exp.</t>
  </si>
  <si>
    <t>Cust. Service &amp; Information Expense</t>
  </si>
  <si>
    <t>A906</t>
  </si>
  <si>
    <t>Customer Svc. &amp; Infor.</t>
  </si>
  <si>
    <t>A907</t>
  </si>
  <si>
    <t xml:space="preserve">Supervision </t>
  </si>
  <si>
    <t>A908</t>
  </si>
  <si>
    <t>Customer Assistance</t>
  </si>
  <si>
    <t>A909</t>
  </si>
  <si>
    <t>Inform. &amp; Instruct. Adv. Exp.</t>
  </si>
  <si>
    <t>A910</t>
  </si>
  <si>
    <t>Misc. Cust. Service &amp; Inform.</t>
  </si>
  <si>
    <t xml:space="preserve">Sales Expense </t>
  </si>
  <si>
    <t>A911</t>
  </si>
  <si>
    <t>A912</t>
  </si>
  <si>
    <t>Demonstrating &amp; Selling Exp.</t>
  </si>
  <si>
    <t>A913</t>
  </si>
  <si>
    <t>Adverstising Exp.</t>
  </si>
  <si>
    <t>A916</t>
  </si>
  <si>
    <t>Misc. Sales Exp.</t>
  </si>
  <si>
    <t>A917</t>
  </si>
  <si>
    <t>Sales Expense</t>
  </si>
  <si>
    <t>Total Cust. Serv., Inform. &amp; Sale Exp.</t>
  </si>
  <si>
    <t>Schedule II-D-2 A&amp;G Expenses</t>
  </si>
  <si>
    <t>Adminstrative &amp; General Expenses</t>
  </si>
  <si>
    <t>A920</t>
  </si>
  <si>
    <t>Admin. &amp; General Salaries</t>
  </si>
  <si>
    <t>A921</t>
  </si>
  <si>
    <t>Office Supplies</t>
  </si>
  <si>
    <t>A922</t>
  </si>
  <si>
    <t>Ad. Expenses Transferred (Credit)</t>
  </si>
  <si>
    <t>A923</t>
  </si>
  <si>
    <t>Outside Services</t>
  </si>
  <si>
    <t>A924</t>
  </si>
  <si>
    <t xml:space="preserve">Property Insurance Exp. </t>
  </si>
  <si>
    <t>A925</t>
  </si>
  <si>
    <t>Injuries &amp; Damages</t>
  </si>
  <si>
    <t>A926</t>
  </si>
  <si>
    <t>Pensions &amp; Benefits</t>
  </si>
  <si>
    <t>A927</t>
  </si>
  <si>
    <t>Franchise Requirments</t>
  </si>
  <si>
    <t>A928</t>
  </si>
  <si>
    <t>Regulatory Commission  FERC</t>
  </si>
  <si>
    <t>Regulatory Commission Texas</t>
  </si>
  <si>
    <t>A931</t>
  </si>
  <si>
    <t>A935</t>
  </si>
  <si>
    <t>Maint. of General Plant</t>
  </si>
  <si>
    <t>Total Admin. &amp; General Expense</t>
  </si>
  <si>
    <t>Total Operation &amp; Maintenance excl Fuel &amp; Pur Pwr</t>
  </si>
  <si>
    <t>Schedule II-D-3 Payroll Expense Distribution</t>
  </si>
  <si>
    <t>Power Production Labor</t>
  </si>
  <si>
    <t>Schedule II-D-3 Payroll Expense Distribution (Continued)</t>
  </si>
  <si>
    <t>Total Power Production Labor</t>
  </si>
  <si>
    <t>Transmission Labor</t>
  </si>
  <si>
    <t>Less Wheeling Expense (-)</t>
  </si>
  <si>
    <t>Total Transmission Labor</t>
  </si>
  <si>
    <t>Distribution Labor</t>
  </si>
  <si>
    <t>Subtotal - Maintenance</t>
  </si>
  <si>
    <t>Total Distribution Labor</t>
  </si>
  <si>
    <t>Customer and Information Labor</t>
  </si>
  <si>
    <t>Total  Labor Excluding A&amp;G</t>
  </si>
  <si>
    <t>Schedule II-E-1 Depreciation Expense</t>
  </si>
  <si>
    <t>Depreciation and Amortization Expense</t>
  </si>
  <si>
    <t>Schedule II-E-1 Depreciation Expense (Continued)</t>
  </si>
  <si>
    <t>Total Distribution</t>
  </si>
  <si>
    <t>Total General</t>
  </si>
  <si>
    <t>Other Amortization</t>
  </si>
  <si>
    <t>Total Other Amortization</t>
  </si>
  <si>
    <t>Total Depreciation &amp; Amortization</t>
  </si>
  <si>
    <t>Schedule II-E-2 Taxes Other Than Federal Income Taxes</t>
  </si>
  <si>
    <t>Taxes Other than Income Taxes</t>
  </si>
  <si>
    <t>Payroll</t>
  </si>
  <si>
    <t>Revenue</t>
  </si>
  <si>
    <t>Total Taxes Other Than Income Taxes</t>
  </si>
  <si>
    <t>Schedule II-E-3 Federal Income Taxes</t>
  </si>
  <si>
    <t>Federal Income Taxes</t>
  </si>
  <si>
    <t>Deductions:</t>
  </si>
  <si>
    <t>Amortization of excess DIT</t>
  </si>
  <si>
    <t>Tax factor (1/(1-tax rate)*tax rate)</t>
  </si>
  <si>
    <t>FIT before adjustments</t>
  </si>
  <si>
    <t>Adjustments:</t>
  </si>
  <si>
    <t>Income Taxes</t>
  </si>
  <si>
    <t>Schedule II-E-4 Other Expenses</t>
  </si>
  <si>
    <t>A431</t>
  </si>
  <si>
    <t>Schedule II-E-5 Other Revenues</t>
  </si>
  <si>
    <t xml:space="preserve">Subtotal </t>
  </si>
  <si>
    <t>A598</t>
  </si>
  <si>
    <t>ENERGY</t>
  </si>
  <si>
    <t>ITC amortization</t>
  </si>
  <si>
    <t>RBX</t>
  </si>
  <si>
    <t>PLTSVC</t>
  </si>
  <si>
    <t xml:space="preserve">Texas Retail </t>
  </si>
  <si>
    <t>Oth Jurisdiction</t>
  </si>
  <si>
    <t>Residential</t>
  </si>
  <si>
    <t>Secondary</t>
  </si>
  <si>
    <t>Lighting</t>
  </si>
  <si>
    <t>Energy</t>
  </si>
  <si>
    <t>Primary</t>
  </si>
  <si>
    <t>Transmission</t>
  </si>
  <si>
    <t>Revenue Related</t>
  </si>
  <si>
    <t>LABOR</t>
  </si>
  <si>
    <t>REVENUE</t>
  </si>
  <si>
    <t>TRANPLT</t>
  </si>
  <si>
    <t>PLT352_353</t>
  </si>
  <si>
    <t>PLT354_356</t>
  </si>
  <si>
    <t>PLT357_358</t>
  </si>
  <si>
    <t>PLT352</t>
  </si>
  <si>
    <t>PLT353</t>
  </si>
  <si>
    <t>DISTPLT</t>
  </si>
  <si>
    <t>PLT362</t>
  </si>
  <si>
    <t>PLT364_365</t>
  </si>
  <si>
    <t>PLT370</t>
  </si>
  <si>
    <t>PLT373</t>
  </si>
  <si>
    <t>PLT371</t>
  </si>
  <si>
    <t>PLT361</t>
  </si>
  <si>
    <t>PLT368</t>
  </si>
  <si>
    <t>LAB902_903</t>
  </si>
  <si>
    <t>NPLT</t>
  </si>
  <si>
    <t>Distribution Secondary Demand</t>
  </si>
  <si>
    <t>Customers</t>
  </si>
  <si>
    <t>SERVICES</t>
  </si>
  <si>
    <t>METERS</t>
  </si>
  <si>
    <t>CUSTOMERS</t>
  </si>
  <si>
    <t>Meters Account 370</t>
  </si>
  <si>
    <t>Services Account 369</t>
  </si>
  <si>
    <t>Non-Roadway Lighting Account 371</t>
  </si>
  <si>
    <t>Roadway Lighting Account 373</t>
  </si>
  <si>
    <t>Check</t>
  </si>
  <si>
    <t>Labor excluding A&amp;G</t>
  </si>
  <si>
    <t>FACTOR</t>
  </si>
  <si>
    <t>T&amp;D Customer Service</t>
  </si>
  <si>
    <t>Retail Revenue</t>
  </si>
  <si>
    <t>Wholesale Revenue</t>
  </si>
  <si>
    <t>Taxable Income</t>
  </si>
  <si>
    <t>Retail Labor excluding A&amp;G</t>
  </si>
  <si>
    <t>State Franchise Tax</t>
  </si>
  <si>
    <t xml:space="preserve">          Total Account 366</t>
  </si>
  <si>
    <t>LAB581_588</t>
  </si>
  <si>
    <t>PTDPLT</t>
  </si>
  <si>
    <t>$ / kWh</t>
  </si>
  <si>
    <t>$ / kw - NCP</t>
  </si>
  <si>
    <t>NCP</t>
  </si>
  <si>
    <t>Non-Coincident Peaks</t>
  </si>
  <si>
    <t>DEMANDG</t>
  </si>
  <si>
    <t>DEMANDT</t>
  </si>
  <si>
    <t>DEMANDDP</t>
  </si>
  <si>
    <t>DEMANDDS</t>
  </si>
  <si>
    <t>TAXINC</t>
  </si>
  <si>
    <t>NROADLIGHT</t>
  </si>
  <si>
    <t>ROADLIGHT</t>
  </si>
  <si>
    <t>METEREAD</t>
  </si>
  <si>
    <t>BILLING</t>
  </si>
  <si>
    <t>GENPLT</t>
  </si>
  <si>
    <t>Intangible Plant</t>
  </si>
  <si>
    <t>INTANPLT</t>
  </si>
  <si>
    <t>Texas Transmission Plant</t>
  </si>
  <si>
    <t>Other Jurisdiction Transmission Plant</t>
  </si>
  <si>
    <t>Texas Distribution Plant</t>
  </si>
  <si>
    <t>Other Jurisdiction Distribution Plant</t>
  </si>
  <si>
    <t>Texas General Plant</t>
  </si>
  <si>
    <t>Other Jurisdiction General Plant</t>
  </si>
  <si>
    <t>Texas Intangible Plant</t>
  </si>
  <si>
    <t>Other Jurisdiction Intangible Plant</t>
  </si>
  <si>
    <t>TTRANPLT</t>
  </si>
  <si>
    <t>OTRANPLT</t>
  </si>
  <si>
    <t>TDISTPLT</t>
  </si>
  <si>
    <t>ODISTPLT</t>
  </si>
  <si>
    <t>TGENPLT</t>
  </si>
  <si>
    <t>OGENPLT</t>
  </si>
  <si>
    <t>TINTANPLT</t>
  </si>
  <si>
    <t>OINTANPLT</t>
  </si>
  <si>
    <t>TLABOR</t>
  </si>
  <si>
    <t>TREVENUE</t>
  </si>
  <si>
    <t>OREVENUE</t>
  </si>
  <si>
    <t>Production, Transmission and Distribution Plant</t>
  </si>
  <si>
    <t>Net Plant</t>
  </si>
  <si>
    <t>Plant excluding General</t>
  </si>
  <si>
    <t>PLTXGENL</t>
  </si>
  <si>
    <t>Rate base</t>
  </si>
  <si>
    <t>Accounts 561 through 566 Labor</t>
  </si>
  <si>
    <t>Accounts 569 through 573 Labor</t>
  </si>
  <si>
    <t>Accounts 581 through 588 Labor</t>
  </si>
  <si>
    <t>Accounts 591 through 598 Labor</t>
  </si>
  <si>
    <t>Accounts 902 through 903 Labor</t>
  </si>
  <si>
    <t>Accounts 908 through 910 Labor</t>
  </si>
  <si>
    <t>Accounts 912 through 916 Labor</t>
  </si>
  <si>
    <t>Accounts 354 through 356</t>
  </si>
  <si>
    <t>Accounts 357 through 358</t>
  </si>
  <si>
    <t>Account 353</t>
  </si>
  <si>
    <t>Account 361</t>
  </si>
  <si>
    <t>Account 362</t>
  </si>
  <si>
    <t>Accounts 364 through 365</t>
  </si>
  <si>
    <t>Accounts 366 through 367</t>
  </si>
  <si>
    <t>Account 368</t>
  </si>
  <si>
    <t>Account 370</t>
  </si>
  <si>
    <t>Account 371</t>
  </si>
  <si>
    <t>Account 373</t>
  </si>
  <si>
    <t>Accounts 352</t>
  </si>
  <si>
    <t>PLT366_367</t>
  </si>
  <si>
    <t>LAB561_566</t>
  </si>
  <si>
    <t>LAB569_573</t>
  </si>
  <si>
    <t>LAB591_598</t>
  </si>
  <si>
    <t>LAB908_910</t>
  </si>
  <si>
    <t>LAB912_916</t>
  </si>
  <si>
    <t>Accounts 352 through 353</t>
  </si>
  <si>
    <t>CUSTDEP</t>
  </si>
  <si>
    <t>Plant in Service</t>
  </si>
  <si>
    <t>Metering</t>
  </si>
  <si>
    <t>Direct Assign</t>
  </si>
  <si>
    <t xml:space="preserve">          Total Account 365</t>
  </si>
  <si>
    <t>Texas Retail Customers</t>
  </si>
  <si>
    <t>TCUSTOMERS</t>
  </si>
  <si>
    <t>(1)</t>
  </si>
  <si>
    <t>(2)</t>
  </si>
  <si>
    <t>(3)</t>
  </si>
  <si>
    <t>(4)</t>
  </si>
  <si>
    <t>(5)</t>
  </si>
  <si>
    <t>(6)</t>
  </si>
  <si>
    <t>(7)</t>
  </si>
  <si>
    <t>(8)</t>
  </si>
  <si>
    <t>(10)</t>
  </si>
  <si>
    <t>$ / Cust / Month</t>
  </si>
  <si>
    <t>Distribution Customers</t>
  </si>
  <si>
    <t>DCUSTOMERS</t>
  </si>
  <si>
    <t>Acct 454 Rent from Electric Property</t>
  </si>
  <si>
    <t>Total Revenue Credits</t>
  </si>
  <si>
    <t>Nuclear Decommissioning</t>
  </si>
  <si>
    <t>Total Other Expenses</t>
  </si>
  <si>
    <t>Acct 447</t>
  </si>
  <si>
    <t>Generation Demand</t>
  </si>
  <si>
    <t>Transmission Demands</t>
  </si>
  <si>
    <t>Distribution Primary Demands</t>
  </si>
  <si>
    <t>Energy @ Meter</t>
  </si>
  <si>
    <t>Retail Energy @ Meter</t>
  </si>
  <si>
    <t>Retail Energy @ Source</t>
  </si>
  <si>
    <t>ENERGYM</t>
  </si>
  <si>
    <t>TENERGYM</t>
  </si>
  <si>
    <t>TENERGY</t>
  </si>
  <si>
    <t>TDEMANDG</t>
  </si>
  <si>
    <t>ND - Nuclear Decommissioning</t>
  </si>
  <si>
    <t>Texas Retail Generation Demand</t>
  </si>
  <si>
    <t>Total Operation &amp; Maintenance Expense</t>
  </si>
  <si>
    <t>Schedule I-A Cost of Service by Function</t>
  </si>
  <si>
    <t>Total</t>
  </si>
  <si>
    <t>Intangible</t>
  </si>
  <si>
    <t>General</t>
  </si>
  <si>
    <t>A303</t>
  </si>
  <si>
    <t>Misc. Transmission Expense Tx Only</t>
  </si>
  <si>
    <t>Outside Services Tx Only</t>
  </si>
  <si>
    <t>Meter Expenses Tx Only</t>
  </si>
  <si>
    <t>Misc. Distribution Expenses Tx Only</t>
  </si>
  <si>
    <t>Environmental Stranded Costs</t>
  </si>
  <si>
    <t>EECOM</t>
  </si>
  <si>
    <t>O&amp;M</t>
  </si>
  <si>
    <t>Total Retail O&amp;M</t>
  </si>
  <si>
    <t>Plant Investment</t>
  </si>
  <si>
    <t>Total Plant Investment</t>
  </si>
  <si>
    <t>Less Accumulated Depreciation</t>
  </si>
  <si>
    <t>Net Plant Investment</t>
  </si>
  <si>
    <t>Material and Supplies</t>
  </si>
  <si>
    <t>Cash Working Capital</t>
  </si>
  <si>
    <t>Prepayments</t>
  </si>
  <si>
    <t>Other Rate Base</t>
  </si>
  <si>
    <t>Accumulated Deferred Income Taxes</t>
  </si>
  <si>
    <t>Rate Base by Function</t>
  </si>
  <si>
    <t xml:space="preserve"> Income Tax </t>
  </si>
  <si>
    <t>EMC</t>
  </si>
  <si>
    <t>GS &lt; = 10kw</t>
  </si>
  <si>
    <t>GS &gt; 10kw</t>
  </si>
  <si>
    <t>Summary of Results @ Present ROR</t>
  </si>
  <si>
    <t>Current Tariff Revenues</t>
  </si>
  <si>
    <t>Current Miscellaneous Revenues</t>
  </si>
  <si>
    <t>Current TCRF Revenues</t>
  </si>
  <si>
    <t>Current Total Revenues</t>
  </si>
  <si>
    <t>Total Operating Expense</t>
  </si>
  <si>
    <t>Return</t>
  </si>
  <si>
    <t>Rate of Return on Ratebase</t>
  </si>
  <si>
    <t>Summary of Results @ Proposed Rate of Return</t>
  </si>
  <si>
    <t>Ratebase</t>
  </si>
  <si>
    <t>Proposed Rate of Return</t>
  </si>
  <si>
    <t>Return @ Proposed</t>
  </si>
  <si>
    <t>Operation &amp; Maintenance Expense</t>
  </si>
  <si>
    <t>Total Operating Expenses</t>
  </si>
  <si>
    <t>Proposed Tariff Revenues</t>
  </si>
  <si>
    <t>Proposed Miscellaneous Revenues</t>
  </si>
  <si>
    <t>Proposed TCRF Revenues</t>
  </si>
  <si>
    <t>Proposed Total Revenues</t>
  </si>
  <si>
    <t>Municipal Franchise Fees</t>
  </si>
  <si>
    <t>Proposed Rider Revenues</t>
  </si>
  <si>
    <t>Increase / Decrease in Tariff Revenues</t>
  </si>
  <si>
    <t>Increase / Decrease in Miscellaneous Revenues</t>
  </si>
  <si>
    <t>Increase / Decrease in TCRF Revenues</t>
  </si>
  <si>
    <t>Increase / Decrease in Rider Revenues</t>
  </si>
  <si>
    <t>Increase / Decrease in Total Revenues</t>
  </si>
  <si>
    <t>Current Rider Revenues</t>
  </si>
  <si>
    <t>Other Expenses</t>
  </si>
  <si>
    <t>Municipal Gross Receipt Fee</t>
  </si>
  <si>
    <t xml:space="preserve">Distribution </t>
  </si>
  <si>
    <t>Unit Cost @ Proposed Rates</t>
  </si>
  <si>
    <t>Unit Cost @ Present Rates</t>
  </si>
  <si>
    <t>Metered  kWh</t>
  </si>
  <si>
    <t># of Customers</t>
  </si>
  <si>
    <t>Unit Cost</t>
  </si>
  <si>
    <t>Customer Service</t>
  </si>
  <si>
    <t>Transmission Elec by Others</t>
  </si>
  <si>
    <t>A252</t>
  </si>
  <si>
    <t>Customers Advances for Construction</t>
  </si>
  <si>
    <t>Amort Reg Asset Loss on Reacq Debt Dkt 22352</t>
  </si>
  <si>
    <t>Amort Reg Liability - Excess earning &amp; interest</t>
  </si>
  <si>
    <t>Merger Asset Amort</t>
  </si>
  <si>
    <t>Sch II-H-1.4(3)</t>
  </si>
  <si>
    <t>Sch II-H-3.1 w/out Whs</t>
  </si>
  <si>
    <t>Sch II-H-3.1</t>
  </si>
  <si>
    <t>Jurisdictional Split</t>
  </si>
  <si>
    <t>Amortization of protected excess DIT</t>
  </si>
  <si>
    <t>Merger Savings Adjustment</t>
  </si>
  <si>
    <t>Municipal Fees - MGR</t>
  </si>
  <si>
    <t>Ad Valorem</t>
  </si>
  <si>
    <t>DSM</t>
  </si>
  <si>
    <t>A190</t>
  </si>
  <si>
    <t>A282</t>
  </si>
  <si>
    <t>A283</t>
  </si>
  <si>
    <t>ADIT</t>
  </si>
  <si>
    <t>283 ADIT Def Rate Case Exp</t>
  </si>
  <si>
    <t>Sch II-H-1.2</t>
  </si>
  <si>
    <t>Sch II-H-1.4(2)</t>
  </si>
  <si>
    <t>Acct 450 Forfeited Discount</t>
  </si>
  <si>
    <t>Acct 451 Miscellaneous Revenue</t>
  </si>
  <si>
    <t>Acct 456 Other Electric Revenue</t>
  </si>
  <si>
    <t>Synchronized Interest</t>
  </si>
  <si>
    <t>Additions:</t>
  </si>
  <si>
    <t>Depreciation Adjustment</t>
  </si>
  <si>
    <t>Meals and Entertainment</t>
  </si>
  <si>
    <t>Direct</t>
  </si>
  <si>
    <t>Excess Mitigation Credit</t>
  </si>
  <si>
    <t>Materials and Supplies</t>
  </si>
  <si>
    <t>Undistributed M&amp;S Expenses</t>
  </si>
  <si>
    <t>Cash from Operations</t>
  </si>
  <si>
    <t>Total Prepayments</t>
  </si>
  <si>
    <t>190 ADIT - Labor</t>
  </si>
  <si>
    <t>190 ADIT - Dist Revenue</t>
  </si>
  <si>
    <t>190 ADIT - Dist Plant</t>
  </si>
  <si>
    <t>282 ADIT - Dist Plant</t>
  </si>
  <si>
    <t>283 ADIT  - Dist Intangible Plant</t>
  </si>
  <si>
    <t>283 ADIT - Dist Plant</t>
  </si>
  <si>
    <t>283 ADIT - Dist Revenue</t>
  </si>
  <si>
    <t>Sch II E-5</t>
  </si>
  <si>
    <t>Revenue - Curr tariff rev by func &amp; whsl rev req</t>
  </si>
  <si>
    <t>A589/A590</t>
  </si>
  <si>
    <t>A907/A910</t>
  </si>
  <si>
    <t>Retail</t>
  </si>
  <si>
    <t>Jurisdiction</t>
  </si>
  <si>
    <t>Texas Retail Transmission Demand</t>
  </si>
  <si>
    <t>TDEMANDT</t>
  </si>
  <si>
    <t>TCOS</t>
  </si>
  <si>
    <t>Transmission - TCOS</t>
  </si>
  <si>
    <t>Distr Retail</t>
  </si>
  <si>
    <t>Allocation</t>
  </si>
  <si>
    <t>Dist Retail</t>
  </si>
  <si>
    <t>Dist Other</t>
  </si>
  <si>
    <t>Retail Generation Demand</t>
  </si>
  <si>
    <t>Schedule II-B-12 Regulatory Assets</t>
  </si>
  <si>
    <t>Total Transmission &amp; Production Expenses</t>
  </si>
  <si>
    <t>Total Trans &amp; Prod Operation Expenses</t>
  </si>
  <si>
    <t>Total O&amp;M Expenses</t>
  </si>
  <si>
    <t>Taxable Component of Return</t>
  </si>
  <si>
    <t>Schedule II - I - 2 Allocation Ratios</t>
  </si>
  <si>
    <t>Schedule II - I - 2 Allocation Factors</t>
  </si>
  <si>
    <t>II-I-1 Column (9)</t>
  </si>
  <si>
    <t>II-I-1 Column (10)</t>
  </si>
  <si>
    <t>Total Taxes Other Than Federal Income Taxes</t>
  </si>
  <si>
    <t xml:space="preserve"> </t>
  </si>
  <si>
    <t>II-I-1 Column (8)</t>
  </si>
  <si>
    <t>Taxable Component of Rate Base</t>
  </si>
  <si>
    <t>A450</t>
  </si>
  <si>
    <t>Forfeited Discount</t>
  </si>
  <si>
    <t>A451</t>
  </si>
  <si>
    <t>Misc Revenues</t>
  </si>
  <si>
    <t>A454</t>
  </si>
  <si>
    <t>Rent from Elec Property</t>
  </si>
  <si>
    <t>A456</t>
  </si>
  <si>
    <t>Other Elec Revenue</t>
  </si>
  <si>
    <t>WP II-I-1.2</t>
  </si>
  <si>
    <t>Total Cost of Service</t>
  </si>
  <si>
    <t>Adjusted Revenue Requirement</t>
  </si>
  <si>
    <t>A930</t>
  </si>
  <si>
    <t>Advertising &amp; Misc Gen Exp</t>
  </si>
  <si>
    <t>Advertising &amp; Misc General Exp</t>
  </si>
  <si>
    <t>WP II-D-5-1</t>
  </si>
  <si>
    <t>II-E-1.1</t>
  </si>
  <si>
    <t>WP II-I-1.4</t>
  </si>
  <si>
    <t>WP II-I-2.2</t>
  </si>
  <si>
    <t>WP II-I-1.3</t>
  </si>
  <si>
    <t>WP/II-I-1.1/B-1</t>
  </si>
  <si>
    <t>WP/II-I-1.1/B-2</t>
  </si>
  <si>
    <t>WP/II-I-1.1/B-3</t>
  </si>
  <si>
    <t>WP/II-I-1.1/B-4</t>
  </si>
  <si>
    <t>WP/II-I-1.1/B-5</t>
  </si>
  <si>
    <t>WP/II-I-1.1/B-6</t>
  </si>
  <si>
    <t>WP/II-I-1.1/B-7</t>
  </si>
  <si>
    <t>WP/II-I-1.1/B-8</t>
  </si>
  <si>
    <t>WP/II-I-1.1/B-9</t>
  </si>
  <si>
    <t>WP/II-I-1.1/B-10</t>
  </si>
  <si>
    <t>WP/II-I-1.1/B-12</t>
  </si>
  <si>
    <t>WP/II-I-1.1/B-11</t>
  </si>
  <si>
    <t>WP/II-I-1.1/D-1</t>
  </si>
  <si>
    <t>WP/II-D-5-1</t>
  </si>
  <si>
    <t>WP/II-I-1.1/D-2</t>
  </si>
  <si>
    <t>SCH II-F</t>
  </si>
  <si>
    <t>WP/II-I-1.1/E-1</t>
  </si>
  <si>
    <t>WP/II-I-1.1/E-1.1</t>
  </si>
  <si>
    <t>WP/II-I-1.1/E-2</t>
  </si>
  <si>
    <t>WP/II-I-1.1/E-3</t>
  </si>
  <si>
    <t>WP/II-I-1.1/E-4</t>
  </si>
  <si>
    <t>WP/II-I-1.1/E-5</t>
  </si>
  <si>
    <t>Consolidated Tax Savings</t>
  </si>
  <si>
    <t>Muni Franch Fee (MFF Total Inside City Limits KWH)</t>
  </si>
  <si>
    <t>MFF</t>
  </si>
  <si>
    <t>Municipal Fees - MFF</t>
  </si>
  <si>
    <t>50/50 Demand Energy Split</t>
  </si>
  <si>
    <t>ENERDEM</t>
  </si>
  <si>
    <t>Fuctionalization</t>
  </si>
  <si>
    <t>As Filed</t>
  </si>
  <si>
    <t>Difference</t>
  </si>
  <si>
    <t>Change in Revenues</t>
  </si>
  <si>
    <t>Debt Refinancing - Restructuring</t>
  </si>
  <si>
    <t>SFAS 106 Medicare Subsidy</t>
  </si>
  <si>
    <t>Deferred Rev -Pole Attachments</t>
  </si>
  <si>
    <t>Contr In Aid of Constr Advance</t>
  </si>
  <si>
    <t>ARO</t>
  </si>
  <si>
    <t>Amort Bond Loss on Reacq</t>
  </si>
  <si>
    <t>Acretion</t>
  </si>
  <si>
    <t>WP/II-I-1.1/B-13</t>
  </si>
  <si>
    <t xml:space="preserve">;nmkjlj  </t>
  </si>
  <si>
    <t>Franchise &amp; Consents</t>
  </si>
  <si>
    <t>A230</t>
  </si>
  <si>
    <t>Non-AMI Meters/Amort</t>
  </si>
  <si>
    <t>Catastrophe Reserve</t>
  </si>
  <si>
    <t>SFAS 109 Flow Thru Defd FIT and SIT</t>
  </si>
  <si>
    <t>A253/254</t>
  </si>
  <si>
    <t>SFAS 109 Liability Grossup &amp; Excess ADIT</t>
  </si>
  <si>
    <t>A254/253</t>
  </si>
  <si>
    <t>Excess Earnings/Other Def Credits</t>
  </si>
  <si>
    <t>A253</t>
  </si>
  <si>
    <t>Environmental Remediation</t>
  </si>
  <si>
    <t>WP II-E-3.5</t>
  </si>
  <si>
    <t>WP II-E-3.5/B-7</t>
  </si>
  <si>
    <t>Restricted Stock</t>
  </si>
  <si>
    <t>AEP TX</t>
  </si>
  <si>
    <t>Total AEP TX</t>
  </si>
  <si>
    <t>AEP Texas</t>
  </si>
  <si>
    <t>Total AEP Texas</t>
  </si>
  <si>
    <t>A182</t>
  </si>
  <si>
    <t>A253.</t>
  </si>
  <si>
    <t>PUBLIC UTILITY COMMISSION OF TEXAS</t>
  </si>
  <si>
    <t>II-I-1 CLASS REVENUE REQUIREMENT ANALYSIS</t>
  </si>
  <si>
    <t>Test Year</t>
  </si>
  <si>
    <t>Requirement</t>
  </si>
  <si>
    <t>=&lt; 10 kW</t>
  </si>
  <si>
    <t>&gt; 10 kW</t>
  </si>
  <si>
    <t>TX Retail</t>
  </si>
  <si>
    <t>Billling/Customer Service</t>
  </si>
  <si>
    <t>Transmission (ERCOT Matrix)</t>
  </si>
  <si>
    <t>AEP TEXAS INC</t>
  </si>
  <si>
    <t>Ref</t>
  </si>
  <si>
    <t>Sch</t>
  </si>
  <si>
    <t>IV-J-7</t>
  </si>
  <si>
    <t>4CP</t>
  </si>
  <si>
    <t>PUBLIC UTILITY COMMISION OF TEXAS</t>
  </si>
  <si>
    <t>II-I COST OF SERVICE</t>
  </si>
  <si>
    <t>II-I-1-2 CLASS ALLOCATION FACTORS</t>
  </si>
  <si>
    <t>Distribution Primary Demands (MDD)</t>
  </si>
  <si>
    <t xml:space="preserve">Allocation </t>
  </si>
  <si>
    <t>Label</t>
  </si>
  <si>
    <t>Function</t>
  </si>
  <si>
    <t>II-I-1-2 CLASS ALLOCATION RATIONALE</t>
  </si>
  <si>
    <t>Acct</t>
  </si>
  <si>
    <t>PLANT IN SERVICE</t>
  </si>
  <si>
    <t>TDCS</t>
  </si>
  <si>
    <t>MET</t>
  </si>
  <si>
    <t>DIST</t>
  </si>
  <si>
    <t>Factor</t>
  </si>
  <si>
    <t>Misc Intangible Plant</t>
  </si>
  <si>
    <t>Description of Allocation</t>
  </si>
  <si>
    <t>Rationale</t>
  </si>
  <si>
    <t>350-359</t>
  </si>
  <si>
    <t>N/A</t>
  </si>
  <si>
    <t>Labor for AEP Texas and Service Company</t>
  </si>
  <si>
    <t>360-363</t>
  </si>
  <si>
    <t>Accounts 360-363</t>
  </si>
  <si>
    <t>Poles,Towers &amp; Fixtures Primary</t>
  </si>
  <si>
    <t>Poles,Towers &amp; Fixtures Secondary</t>
  </si>
  <si>
    <t>O.H. Conductors &amp; Devices Primary</t>
  </si>
  <si>
    <t>O.H. Conductors &amp; Devices Secondary</t>
  </si>
  <si>
    <t>Underground Conduits Primary</t>
  </si>
  <si>
    <t>Underground Conduits Secondary</t>
  </si>
  <si>
    <t>U.G. Conductors &amp; Devices Primary</t>
  </si>
  <si>
    <t>U.G. Conductors &amp; Devices Secondary</t>
  </si>
  <si>
    <t>Line Transformers Primary</t>
  </si>
  <si>
    <t>Line Transformers Secondary</t>
  </si>
  <si>
    <t>Distribution Secondary Demands (MDD)</t>
  </si>
  <si>
    <t>389-399</t>
  </si>
  <si>
    <t>Related to functionalized labor</t>
  </si>
  <si>
    <t>TRAN</t>
  </si>
  <si>
    <t>Related to customer demand</t>
  </si>
  <si>
    <t>Related to customer count</t>
  </si>
  <si>
    <t>Related to fixture count</t>
  </si>
  <si>
    <t>Communicaiton Equipment</t>
  </si>
  <si>
    <t>Accumulated Depreciation</t>
  </si>
  <si>
    <t>Intangible Plant Accum. Depr.</t>
  </si>
  <si>
    <t>Depreciation allocated based on plant</t>
  </si>
  <si>
    <t>Transmission Plant Accum. Depr.</t>
  </si>
  <si>
    <t>Distribution Plant Accum. Depr.</t>
  </si>
  <si>
    <t>Follows associated plant investment</t>
  </si>
  <si>
    <t>General Plant Accum. Depr.</t>
  </si>
  <si>
    <t>Plant Held for Future Use</t>
  </si>
  <si>
    <t xml:space="preserve">Other Accumulated Provision </t>
  </si>
  <si>
    <t>Reltated to plant investment</t>
  </si>
  <si>
    <t>Related to plant in service</t>
  </si>
  <si>
    <t>Total Retail Operations and Maintenance</t>
  </si>
  <si>
    <t>Related to functionalalized O&amp;M</t>
  </si>
  <si>
    <t>Year-end Customers</t>
  </si>
  <si>
    <t>Other Rate Base Items</t>
  </si>
  <si>
    <t>Plant In Service</t>
  </si>
  <si>
    <t>254/253</t>
  </si>
  <si>
    <t>Accumlated Deferred Income Tax</t>
  </si>
  <si>
    <t>ADIT - Dist Plant</t>
  </si>
  <si>
    <t>Operations and Maintenance Expense</t>
  </si>
  <si>
    <t>Transmission Operation Expense</t>
  </si>
  <si>
    <t>Distribution Operation Expense</t>
  </si>
  <si>
    <t>LAB581_589</t>
  </si>
  <si>
    <t>Distribution Operation Maintenance</t>
  </si>
  <si>
    <t>Maint. Of Supervision &amp; Engineering</t>
  </si>
  <si>
    <t>Required to serve customer</t>
  </si>
  <si>
    <t>Billing Analysis</t>
  </si>
  <si>
    <t>Current tariff revenue by function</t>
  </si>
  <si>
    <t>Related to revenue</t>
  </si>
  <si>
    <t>Retail Customers</t>
  </si>
  <si>
    <t>Functional Net Plant In Service</t>
  </si>
  <si>
    <t>Related to net plant in service</t>
  </si>
  <si>
    <t>Functional General Plant in Service</t>
  </si>
  <si>
    <t>DEPRECIATION AND AMORTIZATION EXPENSE</t>
  </si>
  <si>
    <t>Amotization of Regulatory Asset</t>
  </si>
  <si>
    <t>TAXES OTHER THAN INCOME TAXES</t>
  </si>
  <si>
    <t>Property</t>
  </si>
  <si>
    <t>Functional net plant in service</t>
  </si>
  <si>
    <t>Related to net plant</t>
  </si>
  <si>
    <t>kWh sales subject to fee</t>
  </si>
  <si>
    <t>Related to kWh sales</t>
  </si>
  <si>
    <t>Functional taxable income</t>
  </si>
  <si>
    <t>Related to income</t>
  </si>
  <si>
    <t>FEDERAL INCOME TAXES</t>
  </si>
  <si>
    <t>CALC</t>
  </si>
  <si>
    <t>Functional rate base</t>
  </si>
  <si>
    <t>Related to rate base</t>
  </si>
  <si>
    <t>Deductions</t>
  </si>
  <si>
    <t>ITC Amortization</t>
  </si>
  <si>
    <t>Functional net plant</t>
  </si>
  <si>
    <t>Amortization of protected excess</t>
  </si>
  <si>
    <t>Additions</t>
  </si>
  <si>
    <t>OTHER REVENUES</t>
  </si>
  <si>
    <t>Forfeited Discounts</t>
  </si>
  <si>
    <t>Miscellaneous Revenue</t>
  </si>
  <si>
    <t>Rent from Electric Property</t>
  </si>
  <si>
    <t>Acct 364 &amp; 365 Plant Investment</t>
  </si>
  <si>
    <t>Other Electric Revenue</t>
  </si>
  <si>
    <t>Generation Demand TX 4CP</t>
  </si>
  <si>
    <t>Related to demand</t>
  </si>
  <si>
    <t>Account 365 (Veg Mgmt)</t>
  </si>
  <si>
    <t>PLT365</t>
  </si>
  <si>
    <t>Accounts 365</t>
  </si>
  <si>
    <t xml:space="preserve">Meters </t>
  </si>
  <si>
    <t>Cust Asst - Large Cust Rep</t>
  </si>
  <si>
    <t>Large Cust Acct Rep Alloc to C&amp;I Cust</t>
  </si>
  <si>
    <t>LCUST</t>
  </si>
  <si>
    <t>Cust Asst - C&amp;I Cust Rep</t>
  </si>
  <si>
    <t>Dist Demand</t>
  </si>
  <si>
    <t xml:space="preserve">Primary </t>
  </si>
  <si>
    <t>Sub</t>
  </si>
  <si>
    <t>Misc Reg Assets</t>
  </si>
  <si>
    <t>A116</t>
  </si>
  <si>
    <t>Misc Other Rate Base items</t>
  </si>
  <si>
    <t>Sch H</t>
  </si>
  <si>
    <t>II-C-1</t>
  </si>
  <si>
    <t>ARO - Other Tang. Property</t>
  </si>
  <si>
    <t>Amortization of Non-protected excess DIT</t>
  </si>
  <si>
    <t>Meter Reading Expense 902</t>
  </si>
  <si>
    <t>Billing 903</t>
  </si>
  <si>
    <t>Tax Adjustments</t>
  </si>
  <si>
    <t>Other Adjustments</t>
  </si>
  <si>
    <t>Other Amortization and Adjsutments</t>
  </si>
  <si>
    <t>Plant Adjustments</t>
  </si>
  <si>
    <t>A374</t>
  </si>
  <si>
    <t>Land Owned in Fee</t>
  </si>
  <si>
    <t>AMI Meters</t>
  </si>
  <si>
    <t>A370.16</t>
  </si>
  <si>
    <t>ARO General Plant</t>
  </si>
  <si>
    <t>Amortization</t>
  </si>
  <si>
    <t>Amort of Non-AMI</t>
  </si>
  <si>
    <t>TEST YEAR ENDING 09/30/2023</t>
  </si>
  <si>
    <t>Customers Excluding Large Cust Rep Alloc</t>
  </si>
  <si>
    <t>XCUST</t>
  </si>
  <si>
    <t>Sch II E-6</t>
  </si>
  <si>
    <t>Sch II E-7</t>
  </si>
  <si>
    <t xml:space="preserve">kW - NCP/Billed kW Demand </t>
  </si>
  <si>
    <t>Accretion/Gain on Sale</t>
  </si>
  <si>
    <t>Distribution Cost Recovery Factor</t>
  </si>
  <si>
    <t>AEP  Retail</t>
  </si>
  <si>
    <t>AEP Texas Company</t>
  </si>
  <si>
    <t>Amount Included</t>
  </si>
  <si>
    <t>in Base Rates</t>
  </si>
  <si>
    <t>&lt;=10 kW</t>
  </si>
  <si>
    <t>IDR</t>
  </si>
  <si>
    <t>Non-IDR</t>
  </si>
  <si>
    <t>Component</t>
  </si>
  <si>
    <t>DIC</t>
  </si>
  <si>
    <t xml:space="preserve">Distribution Plant in Service </t>
  </si>
  <si>
    <t>Accumulated Depreciation &amp;Amortization</t>
  </si>
  <si>
    <t>Net Plant in Service</t>
  </si>
  <si>
    <t>Accumulated Deferred Taxes</t>
  </si>
  <si>
    <t>Total DIC</t>
  </si>
  <si>
    <r>
      <t>DIC</t>
    </r>
    <r>
      <rPr>
        <vertAlign val="subscript"/>
        <sz val="10"/>
        <color indexed="8"/>
        <rFont val="Times New Roman"/>
        <family val="1"/>
      </rPr>
      <t>RC-Class</t>
    </r>
  </si>
  <si>
    <t>Rate of Return</t>
  </si>
  <si>
    <r>
      <t>ROR</t>
    </r>
    <r>
      <rPr>
        <vertAlign val="subscript"/>
        <sz val="10"/>
        <color indexed="8"/>
        <rFont val="Times New Roman"/>
        <family val="1"/>
      </rPr>
      <t>AT</t>
    </r>
  </si>
  <si>
    <t>Return on DIC</t>
  </si>
  <si>
    <t>Depreciation &amp; Amortization Expense (DEPR)</t>
  </si>
  <si>
    <r>
      <t>DEPR</t>
    </r>
    <r>
      <rPr>
        <vertAlign val="subscript"/>
        <sz val="10"/>
        <color indexed="8"/>
        <rFont val="Times New Roman"/>
        <family val="1"/>
      </rPr>
      <t>RC-Class</t>
    </r>
  </si>
  <si>
    <t>Other Associated Taxes (OT)</t>
  </si>
  <si>
    <r>
      <t>OT</t>
    </r>
    <r>
      <rPr>
        <vertAlign val="subscript"/>
        <sz val="10"/>
        <color indexed="8"/>
        <rFont val="Times New Roman"/>
        <family val="1"/>
      </rPr>
      <t>RC-Class</t>
    </r>
  </si>
  <si>
    <t xml:space="preserve">Income Tax Expense (FIT) </t>
  </si>
  <si>
    <r>
      <t>FIT</t>
    </r>
    <r>
      <rPr>
        <vertAlign val="subscript"/>
        <sz val="10"/>
        <color indexed="8"/>
        <rFont val="Times New Roman"/>
        <family val="1"/>
      </rPr>
      <t>RC-Class</t>
    </r>
  </si>
  <si>
    <t>DISTREV (line 10 + lines 12 + 13 + 14)</t>
  </si>
  <si>
    <r>
      <t>DISTREV</t>
    </r>
    <r>
      <rPr>
        <vertAlign val="subscript"/>
        <sz val="10"/>
        <color indexed="8"/>
        <rFont val="Times New Roman"/>
        <family val="1"/>
      </rPr>
      <t>RC-Class</t>
    </r>
  </si>
  <si>
    <r>
      <t>ALLOC</t>
    </r>
    <r>
      <rPr>
        <vertAlign val="subscript"/>
        <sz val="10"/>
        <color indexed="8"/>
        <rFont val="Times New Roman"/>
        <family val="1"/>
      </rPr>
      <t>Class</t>
    </r>
  </si>
  <si>
    <t>BESS</t>
  </si>
  <si>
    <t>DOCKET 56165</t>
  </si>
  <si>
    <t>Docket 56165</t>
  </si>
  <si>
    <t>Docket No.56165</t>
  </si>
  <si>
    <t>Acctg Schedule I-A</t>
  </si>
  <si>
    <t>Distribution Primary Demands - MDD</t>
  </si>
  <si>
    <t xml:space="preserve">TX </t>
  </si>
  <si>
    <t>Other Tangible Plant - 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</si>
</sst>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_(* #,##0_);_(* \(#,##0\);_(* &quot;-&quot;??_);_(@_)"/>
    <numFmt numFmtId="166" formatCode="0_);\(0\)"/>
    <numFmt numFmtId="167" formatCode="#,##0.00000_);[Red]\(#,##0.00000\)"/>
    <numFmt numFmtId="168" formatCode="#,##0.000_);[Red]\(#,##0.000\)"/>
    <numFmt numFmtId="169" formatCode="#,##0.0000_);[Red]\(#,##0.0000\)"/>
    <numFmt numFmtId="170" formatCode="#,##0.000000_);[Red]\(#,##0.000000\)"/>
    <numFmt numFmtId="171" formatCode="#,##0.0000000_);[Red]\(#,##0.0000000\)"/>
    <numFmt numFmtId="172" formatCode="#,##0.00000000_);[Red]\(#,##0.00000000\)"/>
    <numFmt numFmtId="173" formatCode="0.000000"/>
    <numFmt numFmtId="174" formatCode="0.00000"/>
    <numFmt numFmtId="175" formatCode="0.0000"/>
    <numFmt numFmtId="176" formatCode="0.0000%"/>
    <numFmt numFmtId="177" formatCode="_(* #,##0.00000_);_(* \(#,##0.00000\);_(* &quot;-&quot;??_);_(@_)"/>
    <numFmt numFmtId="178" formatCode="_(* #,##0.000000_);_(* \(#,##0.000000\);_(* &quot;-&quot;??_);_(@_)"/>
    <numFmt numFmtId="179" formatCode="0_);[Red]\(0\)"/>
    <numFmt numFmtId="180" formatCode=";;;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name val="MS Serif"/>
      <family val="1"/>
    </font>
    <font>
      <sz val="7"/>
      <color indexed="12"/>
      <name val="Arial"/>
      <family val="2"/>
    </font>
    <font>
      <sz val="7"/>
      <color indexed="8"/>
      <name val="Arial"/>
      <family val="2"/>
    </font>
    <font>
      <b/>
      <u/>
      <sz val="7"/>
      <name val="Arial"/>
      <family val="2"/>
    </font>
    <font>
      <u/>
      <sz val="3.95"/>
      <name val="Arial"/>
      <family val="2"/>
    </font>
    <font>
      <sz val="7"/>
      <color indexed="13"/>
      <name val="Arial"/>
      <family val="2"/>
    </font>
    <font>
      <u/>
      <sz val="7"/>
      <name val="Arial"/>
      <family val="2"/>
    </font>
    <font>
      <sz val="8"/>
      <name val="Arial"/>
      <family val="2"/>
    </font>
    <font>
      <sz val="8"/>
      <name val="MS Serif"/>
      <family val="1"/>
    </font>
    <font>
      <sz val="7"/>
      <color indexed="14"/>
      <name val="Arial"/>
      <family val="2"/>
    </font>
    <font>
      <sz val="7"/>
      <color indexed="10"/>
      <name val="Arial"/>
      <family val="2"/>
    </font>
    <font>
      <sz val="7"/>
      <color indexed="53"/>
      <name val="Arial"/>
      <family val="2"/>
    </font>
    <font>
      <sz val="7"/>
      <color indexed="48"/>
      <name val="Arial"/>
      <family val="2"/>
    </font>
    <font>
      <sz val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70C0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vertAlign val="subscript"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</cellStyleXfs>
  <cellXfs count="183">
    <xf numFmtId="0" fontId="0" fillId="0" borderId="0" xfId="0"/>
    <xf numFmtId="0" fontId="6" fillId="0" borderId="0" xfId="0" applyFont="1" applyFill="1" applyProtection="1">
      <protection locked="0"/>
    </xf>
    <xf numFmtId="38" fontId="3" fillId="0" borderId="0" xfId="1" applyNumberFormat="1" applyFont="1" applyFill="1" applyAlignment="1" applyProtection="1">
      <alignment horizontal="right"/>
      <protection locked="0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166" fontId="3" fillId="0" borderId="0" xfId="0" applyNumberFormat="1" applyFont="1" applyFill="1" applyAlignment="1">
      <alignment horizontal="center"/>
    </xf>
    <xf numFmtId="0" fontId="4" fillId="0" borderId="0" xfId="0" applyFont="1" applyFill="1"/>
    <xf numFmtId="38" fontId="3" fillId="0" borderId="0" xfId="1" applyNumberFormat="1" applyFont="1" applyFill="1" applyAlignment="1">
      <alignment horizontal="right"/>
    </xf>
    <xf numFmtId="38" fontId="3" fillId="0" borderId="0" xfId="1" applyNumberFormat="1" applyFont="1" applyFill="1"/>
    <xf numFmtId="38" fontId="3" fillId="0" borderId="0" xfId="0" applyNumberFormat="1" applyFont="1" applyFill="1" applyAlignment="1">
      <alignment horizontal="right"/>
    </xf>
    <xf numFmtId="38" fontId="3" fillId="0" borderId="0" xfId="0" applyNumberFormat="1" applyFont="1" applyFill="1"/>
    <xf numFmtId="38" fontId="5" fillId="0" borderId="0" xfId="1" applyNumberFormat="1" applyFont="1" applyFill="1" applyProtection="1">
      <protection hidden="1"/>
    </xf>
    <xf numFmtId="165" fontId="3" fillId="0" borderId="0" xfId="1" applyNumberFormat="1" applyFont="1" applyFill="1" applyAlignment="1">
      <alignment horizontal="center"/>
    </xf>
    <xf numFmtId="38" fontId="6" fillId="0" borderId="0" xfId="1" applyNumberFormat="1" applyFont="1" applyFill="1" applyAlignment="1" applyProtection="1">
      <alignment horizontal="right"/>
      <protection locked="0"/>
    </xf>
    <xf numFmtId="38" fontId="7" fillId="0" borderId="0" xfId="1" applyNumberFormat="1" applyFont="1" applyFill="1" applyAlignment="1" applyProtection="1">
      <alignment horizontal="right"/>
    </xf>
    <xf numFmtId="0" fontId="7" fillId="0" borderId="0" xfId="0" applyFont="1" applyFill="1" applyProtection="1"/>
    <xf numFmtId="165" fontId="5" fillId="0" borderId="0" xfId="1" applyNumberFormat="1" applyFont="1" applyFill="1" applyProtection="1">
      <protection hidden="1"/>
    </xf>
    <xf numFmtId="0" fontId="3" fillId="0" borderId="0" xfId="0" applyFont="1" applyFill="1" applyBorder="1"/>
    <xf numFmtId="167" fontId="6" fillId="0" borderId="0" xfId="1" applyNumberFormat="1" applyFont="1" applyFill="1" applyBorder="1" applyProtection="1">
      <protection locked="0"/>
    </xf>
    <xf numFmtId="167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38" fontId="3" fillId="0" borderId="0" xfId="1" applyNumberFormat="1" applyFont="1" applyFill="1" applyBorder="1"/>
    <xf numFmtId="165" fontId="3" fillId="0" borderId="0" xfId="1" applyNumberFormat="1" applyFont="1" applyFill="1"/>
    <xf numFmtId="175" fontId="7" fillId="0" borderId="0" xfId="0" applyNumberFormat="1" applyFont="1" applyFill="1" applyProtection="1"/>
    <xf numFmtId="10" fontId="3" fillId="0" borderId="0" xfId="5" applyNumberFormat="1" applyFont="1" applyFill="1"/>
    <xf numFmtId="38" fontId="3" fillId="0" borderId="0" xfId="1" applyNumberFormat="1" applyFont="1" applyFill="1" applyAlignment="1">
      <alignment horizontal="center"/>
    </xf>
    <xf numFmtId="38" fontId="3" fillId="0" borderId="0" xfId="0" applyNumberFormat="1" applyFont="1" applyFill="1" applyAlignment="1">
      <alignment horizontal="center"/>
    </xf>
    <xf numFmtId="0" fontId="6" fillId="0" borderId="0" xfId="0" applyFont="1" applyFill="1"/>
    <xf numFmtId="174" fontId="3" fillId="0" borderId="0" xfId="0" applyNumberFormat="1" applyFont="1" applyFill="1" applyAlignment="1">
      <alignment horizontal="right"/>
    </xf>
    <xf numFmtId="178" fontId="3" fillId="0" borderId="0" xfId="1" applyNumberFormat="1" applyFont="1" applyFill="1" applyAlignment="1">
      <alignment horizontal="right"/>
    </xf>
    <xf numFmtId="165" fontId="3" fillId="0" borderId="0" xfId="1" applyNumberFormat="1" applyFont="1" applyFill="1" applyAlignment="1">
      <alignment horizontal="right"/>
    </xf>
    <xf numFmtId="40" fontId="3" fillId="0" borderId="0" xfId="1" applyNumberFormat="1" applyFont="1" applyFill="1"/>
    <xf numFmtId="179" fontId="3" fillId="0" borderId="0" xfId="0" applyNumberFormat="1" applyFont="1" applyFill="1" applyAlignment="1">
      <alignment horizontal="center"/>
    </xf>
    <xf numFmtId="165" fontId="3" fillId="0" borderId="0" xfId="1" quotePrefix="1" applyNumberFormat="1" applyFont="1" applyFill="1" applyAlignment="1">
      <alignment horizontal="center"/>
    </xf>
    <xf numFmtId="44" fontId="3" fillId="0" borderId="0" xfId="3" applyFont="1" applyFill="1"/>
    <xf numFmtId="165" fontId="3" fillId="0" borderId="0" xfId="0" applyNumberFormat="1" applyFont="1" applyFill="1"/>
    <xf numFmtId="0" fontId="3" fillId="0" borderId="0" xfId="0" applyFont="1" applyFill="1" applyAlignment="1">
      <alignment horizontal="left"/>
    </xf>
    <xf numFmtId="165" fontId="3" fillId="0" borderId="0" xfId="0" applyNumberFormat="1" applyFont="1" applyFill="1" applyAlignment="1">
      <alignment horizontal="right"/>
    </xf>
    <xf numFmtId="168" fontId="3" fillId="0" borderId="0" xfId="1" applyNumberFormat="1" applyFont="1" applyFill="1"/>
    <xf numFmtId="165" fontId="3" fillId="0" borderId="0" xfId="1" applyNumberFormat="1" applyFont="1" applyFill="1" applyBorder="1" applyAlignment="1">
      <alignment horizontal="center"/>
    </xf>
    <xf numFmtId="177" fontId="3" fillId="0" borderId="0" xfId="1" applyNumberFormat="1" applyFont="1" applyFill="1" applyAlignment="1">
      <alignment horizontal="right"/>
    </xf>
    <xf numFmtId="0" fontId="9" fillId="0" borderId="0" xfId="0" applyFont="1" applyFill="1" applyAlignment="1">
      <alignment horizontal="center"/>
    </xf>
    <xf numFmtId="0" fontId="10" fillId="0" borderId="0" xfId="0" applyFont="1" applyFill="1" applyProtection="1">
      <protection locked="0"/>
    </xf>
    <xf numFmtId="0" fontId="10" fillId="0" borderId="0" xfId="0" applyFont="1" applyFill="1"/>
    <xf numFmtId="171" fontId="5" fillId="0" borderId="0" xfId="1" applyNumberFormat="1" applyFont="1" applyFill="1" applyProtection="1">
      <protection hidden="1"/>
    </xf>
    <xf numFmtId="172" fontId="6" fillId="0" borderId="0" xfId="1" applyNumberFormat="1" applyFont="1" applyFill="1" applyAlignment="1" applyProtection="1">
      <alignment horizontal="right"/>
      <protection locked="0"/>
    </xf>
    <xf numFmtId="171" fontId="6" fillId="0" borderId="0" xfId="1" applyNumberFormat="1" applyFont="1" applyFill="1" applyAlignment="1" applyProtection="1">
      <alignment horizontal="right"/>
      <protection locked="0"/>
    </xf>
    <xf numFmtId="0" fontId="11" fillId="0" borderId="0" xfId="0" applyFont="1" applyFill="1" applyBorder="1"/>
    <xf numFmtId="0" fontId="12" fillId="0" borderId="0" xfId="0" applyFont="1" applyFill="1"/>
    <xf numFmtId="38" fontId="12" fillId="0" borderId="0" xfId="1" applyNumberFormat="1" applyFont="1" applyFill="1" applyAlignment="1">
      <alignment horizontal="right"/>
    </xf>
    <xf numFmtId="38" fontId="12" fillId="0" borderId="0" xfId="1" applyNumberFormat="1" applyFont="1" applyFill="1"/>
    <xf numFmtId="38" fontId="12" fillId="0" borderId="0" xfId="0" applyNumberFormat="1" applyFont="1" applyFill="1" applyAlignment="1">
      <alignment horizontal="right"/>
    </xf>
    <xf numFmtId="38" fontId="12" fillId="0" borderId="0" xfId="0" applyNumberFormat="1" applyFont="1" applyFill="1"/>
    <xf numFmtId="165" fontId="12" fillId="0" borderId="0" xfId="1" applyNumberFormat="1" applyFont="1" applyFill="1"/>
    <xf numFmtId="165" fontId="12" fillId="0" borderId="0" xfId="1" applyNumberFormat="1" applyFont="1" applyFill="1" applyAlignment="1">
      <alignment horizontal="right"/>
    </xf>
    <xf numFmtId="164" fontId="12" fillId="0" borderId="0" xfId="5" applyNumberFormat="1" applyFont="1" applyFill="1"/>
    <xf numFmtId="165" fontId="13" fillId="0" borderId="0" xfId="1" applyNumberFormat="1" applyFont="1" applyFill="1" applyProtection="1">
      <protection hidden="1"/>
    </xf>
    <xf numFmtId="165" fontId="12" fillId="0" borderId="0" xfId="1" applyNumberFormat="1" applyFont="1" applyFill="1" applyBorder="1"/>
    <xf numFmtId="0" fontId="12" fillId="0" borderId="0" xfId="0" applyFont="1" applyFill="1" applyAlignment="1">
      <alignment horizontal="right"/>
    </xf>
    <xf numFmtId="165" fontId="12" fillId="0" borderId="0" xfId="0" applyNumberFormat="1" applyFont="1" applyFill="1"/>
    <xf numFmtId="165" fontId="12" fillId="0" borderId="0" xfId="1" applyNumberFormat="1" applyFont="1" applyFill="1" applyProtection="1">
      <protection hidden="1"/>
    </xf>
    <xf numFmtId="165" fontId="12" fillId="0" borderId="0" xfId="1" applyNumberFormat="1" applyFont="1" applyFill="1" applyBorder="1" applyProtection="1">
      <protection hidden="1"/>
    </xf>
    <xf numFmtId="10" fontId="12" fillId="0" borderId="0" xfId="5" applyNumberFormat="1" applyFont="1" applyFill="1" applyBorder="1"/>
    <xf numFmtId="0" fontId="8" fillId="0" borderId="0" xfId="0" applyFont="1" applyFill="1"/>
    <xf numFmtId="10" fontId="3" fillId="0" borderId="0" xfId="5" applyNumberFormat="1" applyFont="1" applyFill="1" applyAlignment="1">
      <alignment horizontal="center"/>
    </xf>
    <xf numFmtId="38" fontId="3" fillId="0" borderId="0" xfId="1" applyNumberFormat="1" applyFont="1" applyFill="1" applyProtection="1">
      <protection hidden="1"/>
    </xf>
    <xf numFmtId="0" fontId="14" fillId="0" borderId="0" xfId="0" applyFont="1" applyFill="1" applyProtection="1">
      <protection locked="0"/>
    </xf>
    <xf numFmtId="0" fontId="14" fillId="0" borderId="0" xfId="0" applyFont="1" applyFill="1"/>
    <xf numFmtId="16" fontId="3" fillId="0" borderId="0" xfId="0" applyNumberFormat="1" applyFont="1" applyFill="1" applyAlignment="1">
      <alignment horizontal="left"/>
    </xf>
    <xf numFmtId="165" fontId="12" fillId="0" borderId="0" xfId="1" applyNumberFormat="1" applyFont="1" applyFill="1" applyBorder="1" applyAlignment="1">
      <alignment horizontal="right"/>
    </xf>
    <xf numFmtId="165" fontId="12" fillId="0" borderId="0" xfId="1" applyNumberFormat="1" applyFont="1" applyFill="1" applyBorder="1" applyAlignment="1">
      <alignment horizontal="center"/>
    </xf>
    <xf numFmtId="165" fontId="12" fillId="0" borderId="0" xfId="1" applyNumberFormat="1" applyFont="1" applyFill="1" applyAlignment="1" applyProtection="1">
      <alignment horizontal="right"/>
      <protection locked="0"/>
    </xf>
    <xf numFmtId="0" fontId="15" fillId="0" borderId="0" xfId="0" applyFont="1" applyFill="1"/>
    <xf numFmtId="0" fontId="15" fillId="0" borderId="0" xfId="0" applyFont="1" applyFill="1" applyProtection="1">
      <protection locked="0"/>
    </xf>
    <xf numFmtId="0" fontId="16" fillId="0" borderId="0" xfId="0" applyFont="1" applyFill="1" applyProtection="1">
      <protection locked="0"/>
    </xf>
    <xf numFmtId="171" fontId="3" fillId="0" borderId="0" xfId="1" applyNumberFormat="1" applyFont="1" applyFill="1" applyProtection="1">
      <protection hidden="1"/>
    </xf>
    <xf numFmtId="165" fontId="12" fillId="0" borderId="0" xfId="0" applyNumberFormat="1" applyFont="1" applyFill="1" applyAlignment="1">
      <alignment horizontal="right"/>
    </xf>
    <xf numFmtId="0" fontId="3" fillId="0" borderId="0" xfId="0" applyFont="1" applyFill="1" applyProtection="1">
      <protection locked="0"/>
    </xf>
    <xf numFmtId="170" fontId="3" fillId="0" borderId="0" xfId="1" applyNumberFormat="1" applyFont="1" applyFill="1" applyProtection="1">
      <protection hidden="1"/>
    </xf>
    <xf numFmtId="0" fontId="17" fillId="0" borderId="0" xfId="0" applyFont="1" applyFill="1" applyProtection="1">
      <protection locked="0"/>
    </xf>
    <xf numFmtId="0" fontId="12" fillId="0" borderId="0" xfId="1" applyNumberFormat="1" applyFont="1" applyFill="1" applyProtection="1">
      <protection hidden="1"/>
    </xf>
    <xf numFmtId="178" fontId="12" fillId="0" borderId="0" xfId="1" applyNumberFormat="1" applyFont="1" applyFill="1" applyAlignment="1">
      <alignment horizontal="right"/>
    </xf>
    <xf numFmtId="43" fontId="12" fillId="0" borderId="0" xfId="0" applyNumberFormat="1" applyFont="1" applyFill="1"/>
    <xf numFmtId="44" fontId="3" fillId="0" borderId="0" xfId="3" applyNumberFormat="1" applyFont="1" applyFill="1"/>
    <xf numFmtId="170" fontId="3" fillId="0" borderId="0" xfId="1" applyNumberFormat="1" applyFont="1" applyFill="1"/>
    <xf numFmtId="1" fontId="3" fillId="0" borderId="0" xfId="0" applyNumberFormat="1" applyFont="1" applyFill="1"/>
    <xf numFmtId="0" fontId="3" fillId="0" borderId="0" xfId="0" quotePrefix="1" applyFont="1" applyFill="1"/>
    <xf numFmtId="9" fontId="3" fillId="0" borderId="0" xfId="5" applyFont="1" applyFill="1" applyAlignment="1">
      <alignment horizontal="center"/>
    </xf>
    <xf numFmtId="10" fontId="12" fillId="0" borderId="0" xfId="5" applyNumberFormat="1" applyFont="1" applyFill="1"/>
    <xf numFmtId="10" fontId="3" fillId="0" borderId="0" xfId="5" applyNumberFormat="1" applyFont="1" applyFill="1" applyAlignment="1">
      <alignment horizontal="right"/>
    </xf>
    <xf numFmtId="169" fontId="3" fillId="0" borderId="0" xfId="0" applyNumberFormat="1" applyFont="1" applyFill="1"/>
    <xf numFmtId="9" fontId="3" fillId="0" borderId="0" xfId="5" applyFont="1" applyFill="1" applyAlignment="1">
      <alignment horizontal="right"/>
    </xf>
    <xf numFmtId="167" fontId="12" fillId="0" borderId="0" xfId="0" applyNumberFormat="1" applyFont="1" applyFill="1"/>
    <xf numFmtId="165" fontId="3" fillId="0" borderId="0" xfId="1" applyNumberFormat="1" applyFont="1" applyFill="1" applyProtection="1">
      <protection hidden="1"/>
    </xf>
    <xf numFmtId="176" fontId="17" fillId="0" borderId="0" xfId="5" applyNumberFormat="1" applyFont="1" applyFill="1" applyAlignment="1">
      <alignment horizontal="center"/>
    </xf>
    <xf numFmtId="43" fontId="12" fillId="0" borderId="0" xfId="1" applyNumberFormat="1" applyFont="1" applyFill="1" applyAlignment="1">
      <alignment horizontal="right"/>
    </xf>
    <xf numFmtId="0" fontId="19" fillId="0" borderId="0" xfId="4" applyFont="1" applyFill="1" applyBorder="1"/>
    <xf numFmtId="0" fontId="19" fillId="0" borderId="0" xfId="4" applyFont="1" applyFill="1" applyBorder="1" applyAlignment="1">
      <alignment horizontal="center"/>
    </xf>
    <xf numFmtId="0" fontId="20" fillId="0" borderId="1" xfId="4" applyFont="1" applyFill="1" applyBorder="1" applyAlignment="1">
      <alignment horizontal="left"/>
    </xf>
    <xf numFmtId="0" fontId="19" fillId="0" borderId="0" xfId="4" quotePrefix="1" applyFont="1" applyFill="1" applyBorder="1"/>
    <xf numFmtId="0" fontId="20" fillId="0" borderId="2" xfId="4" applyFont="1" applyFill="1" applyBorder="1"/>
    <xf numFmtId="0" fontId="20" fillId="0" borderId="2" xfId="4" applyFont="1" applyFill="1" applyBorder="1" applyAlignment="1">
      <alignment horizontal="left"/>
    </xf>
    <xf numFmtId="0" fontId="20" fillId="0" borderId="3" xfId="4" applyFont="1" applyFill="1" applyBorder="1" applyAlignment="1">
      <alignment horizontal="left"/>
    </xf>
    <xf numFmtId="0" fontId="20" fillId="0" borderId="0" xfId="4" applyFont="1" applyFill="1" applyBorder="1"/>
    <xf numFmtId="0" fontId="19" fillId="0" borderId="0" xfId="4" quotePrefix="1" applyFont="1" applyFill="1" applyBorder="1" applyAlignment="1">
      <alignment horizontal="center"/>
    </xf>
    <xf numFmtId="0" fontId="19" fillId="0" borderId="1" xfId="4" applyFont="1" applyFill="1" applyBorder="1"/>
    <xf numFmtId="0" fontId="19" fillId="0" borderId="1" xfId="4" applyFont="1" applyFill="1" applyBorder="1" applyAlignment="1">
      <alignment horizontal="center"/>
    </xf>
    <xf numFmtId="0" fontId="19" fillId="0" borderId="2" xfId="4" applyFont="1" applyFill="1" applyBorder="1" applyAlignment="1">
      <alignment horizontal="center"/>
    </xf>
    <xf numFmtId="0" fontId="19" fillId="0" borderId="2" xfId="4" quotePrefix="1" applyFont="1" applyFill="1" applyBorder="1" applyAlignment="1">
      <alignment horizontal="center"/>
    </xf>
    <xf numFmtId="0" fontId="19" fillId="0" borderId="3" xfId="4" applyFont="1" applyFill="1" applyBorder="1" applyAlignment="1">
      <alignment horizontal="center"/>
    </xf>
    <xf numFmtId="0" fontId="19" fillId="0" borderId="3" xfId="4" quotePrefix="1" applyFont="1" applyFill="1" applyBorder="1" applyAlignment="1">
      <alignment horizontal="center"/>
    </xf>
    <xf numFmtId="0" fontId="19" fillId="0" borderId="4" xfId="4" applyFont="1" applyFill="1" applyBorder="1"/>
    <xf numFmtId="0" fontId="19" fillId="0" borderId="4" xfId="4" quotePrefix="1" applyFont="1" applyFill="1" applyBorder="1" applyAlignment="1">
      <alignment horizontal="center"/>
    </xf>
    <xf numFmtId="0" fontId="19" fillId="0" borderId="4" xfId="4" applyFont="1" applyFill="1" applyBorder="1" applyAlignment="1">
      <alignment horizontal="center"/>
    </xf>
    <xf numFmtId="165" fontId="20" fillId="0" borderId="0" xfId="2" applyNumberFormat="1" applyFont="1" applyFill="1" applyBorder="1"/>
    <xf numFmtId="165" fontId="19" fillId="0" borderId="0" xfId="2" applyNumberFormat="1" applyFont="1" applyFill="1" applyBorder="1"/>
    <xf numFmtId="37" fontId="19" fillId="0" borderId="0" xfId="2" applyNumberFormat="1" applyFont="1" applyFill="1" applyBorder="1" applyAlignment="1">
      <alignment horizontal="right"/>
    </xf>
    <xf numFmtId="0" fontId="19" fillId="0" borderId="0" xfId="4" applyFont="1" applyFill="1" applyBorder="1" applyAlignment="1">
      <alignment horizontal="left"/>
    </xf>
    <xf numFmtId="173" fontId="19" fillId="0" borderId="0" xfId="4" applyNumberFormat="1" applyFont="1" applyFill="1" applyBorder="1" applyAlignment="1">
      <alignment horizontal="center"/>
    </xf>
    <xf numFmtId="37" fontId="19" fillId="0" borderId="0" xfId="4" applyNumberFormat="1" applyFont="1" applyFill="1" applyBorder="1" applyAlignment="1">
      <alignment horizontal="right"/>
    </xf>
    <xf numFmtId="165" fontId="19" fillId="0" borderId="0" xfId="2" applyNumberFormat="1" applyFont="1" applyFill="1" applyBorder="1" applyAlignment="1">
      <alignment horizontal="center"/>
    </xf>
    <xf numFmtId="165" fontId="20" fillId="0" borderId="5" xfId="2" applyNumberFormat="1" applyFont="1" applyFill="1" applyBorder="1"/>
    <xf numFmtId="0" fontId="20" fillId="0" borderId="6" xfId="4" applyFont="1" applyFill="1" applyBorder="1" applyAlignment="1">
      <alignment horizontal="center"/>
    </xf>
    <xf numFmtId="165" fontId="20" fillId="0" borderId="0" xfId="4" applyNumberFormat="1" applyFont="1" applyFill="1" applyBorder="1" applyAlignment="1">
      <alignment horizontal="center"/>
    </xf>
    <xf numFmtId="176" fontId="3" fillId="0" borderId="0" xfId="5" applyNumberFormat="1" applyFont="1" applyFill="1"/>
    <xf numFmtId="0" fontId="20" fillId="0" borderId="0" xfId="4" applyFont="1" applyFill="1" applyBorder="1" applyAlignment="1">
      <alignment horizontal="left"/>
    </xf>
    <xf numFmtId="176" fontId="3" fillId="0" borderId="0" xfId="5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3" fillId="0" borderId="0" xfId="0" applyFont="1" applyFill="1" applyAlignment="1" applyProtection="1">
      <alignment horizontal="center"/>
      <protection locked="0"/>
    </xf>
    <xf numFmtId="180" fontId="3" fillId="0" borderId="0" xfId="0" applyNumberFormat="1" applyFont="1" applyFill="1" applyAlignment="1">
      <alignment horizontal="center"/>
    </xf>
    <xf numFmtId="180" fontId="3" fillId="0" borderId="0" xfId="1" applyNumberFormat="1" applyFont="1" applyFill="1"/>
    <xf numFmtId="0" fontId="0" fillId="0" borderId="0" xfId="0" applyFill="1"/>
    <xf numFmtId="0" fontId="11" fillId="0" borderId="0" xfId="0" applyFont="1" applyFill="1" applyBorder="1" applyAlignment="1">
      <alignment horizontal="center"/>
    </xf>
    <xf numFmtId="0" fontId="7" fillId="0" borderId="0" xfId="0" applyFont="1" applyFill="1" applyAlignment="1" applyProtection="1">
      <alignment horizontal="center"/>
    </xf>
    <xf numFmtId="165" fontId="19" fillId="0" borderId="0" xfId="1" applyNumberFormat="1" applyFont="1" applyFill="1" applyBorder="1"/>
    <xf numFmtId="165" fontId="20" fillId="0" borderId="0" xfId="1" applyNumberFormat="1" applyFont="1" applyFill="1" applyBorder="1" applyAlignment="1">
      <alignment horizontal="center"/>
    </xf>
    <xf numFmtId="165" fontId="19" fillId="0" borderId="0" xfId="1" applyNumberFormat="1" applyFont="1" applyFill="1" applyBorder="1" applyAlignment="1">
      <alignment horizontal="center"/>
    </xf>
    <xf numFmtId="165" fontId="0" fillId="0" borderId="0" xfId="1" applyNumberFormat="1" applyFont="1"/>
    <xf numFmtId="10" fontId="3" fillId="0" borderId="0" xfId="0" applyNumberFormat="1" applyFont="1" applyFill="1"/>
    <xf numFmtId="0" fontId="3" fillId="0" borderId="0" xfId="0" applyFont="1"/>
    <xf numFmtId="0" fontId="6" fillId="0" borderId="0" xfId="0" applyFont="1" applyProtection="1">
      <protection locked="0"/>
    </xf>
    <xf numFmtId="9" fontId="19" fillId="0" borderId="0" xfId="5" applyFont="1" applyFill="1" applyBorder="1"/>
    <xf numFmtId="38" fontId="0" fillId="0" borderId="0" xfId="0" applyNumberFormat="1"/>
    <xf numFmtId="38" fontId="23" fillId="0" borderId="0" xfId="1" applyNumberFormat="1" applyFont="1" applyFill="1" applyAlignment="1">
      <alignment horizontal="right"/>
    </xf>
    <xf numFmtId="38" fontId="23" fillId="0" borderId="0" xfId="1" applyNumberFormat="1" applyFont="1" applyFill="1"/>
    <xf numFmtId="38" fontId="0" fillId="0" borderId="0" xfId="0" applyNumberFormat="1" applyFill="1"/>
    <xf numFmtId="0" fontId="24" fillId="0" borderId="0" xfId="6" applyFont="1"/>
    <xf numFmtId="0" fontId="25" fillId="0" borderId="0" xfId="6" applyFont="1"/>
    <xf numFmtId="0" fontId="26" fillId="0" borderId="0" xfId="6" applyFont="1" applyAlignment="1">
      <alignment horizontal="center" vertical="center"/>
    </xf>
    <xf numFmtId="0" fontId="1" fillId="0" borderId="0" xfId="6"/>
    <xf numFmtId="0" fontId="26" fillId="0" borderId="1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/>
    </xf>
    <xf numFmtId="0" fontId="12" fillId="0" borderId="1" xfId="6" quotePrefix="1" applyFont="1" applyBorder="1" applyAlignment="1">
      <alignment horizontal="center"/>
    </xf>
    <xf numFmtId="0" fontId="26" fillId="0" borderId="2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/>
    </xf>
    <xf numFmtId="0" fontId="26" fillId="0" borderId="7" xfId="6" applyFont="1" applyBorder="1" applyAlignment="1">
      <alignment horizontal="center" vertical="center"/>
    </xf>
    <xf numFmtId="0" fontId="26" fillId="0" borderId="3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/>
    </xf>
    <xf numFmtId="0" fontId="26" fillId="0" borderId="0" xfId="6" applyFont="1" applyAlignment="1">
      <alignment vertical="center"/>
    </xf>
    <xf numFmtId="165" fontId="27" fillId="0" borderId="0" xfId="6" applyNumberFormat="1" applyFont="1"/>
    <xf numFmtId="0" fontId="28" fillId="0" borderId="0" xfId="7" applyFont="1"/>
    <xf numFmtId="6" fontId="26" fillId="0" borderId="0" xfId="6" applyNumberFormat="1" applyFont="1" applyAlignment="1">
      <alignment horizontal="right" vertical="center"/>
    </xf>
    <xf numFmtId="6" fontId="26" fillId="0" borderId="7" xfId="6" applyNumberFormat="1" applyFont="1" applyBorder="1" applyAlignment="1">
      <alignment horizontal="right" vertical="center"/>
    </xf>
    <xf numFmtId="6" fontId="26" fillId="0" borderId="4" xfId="6" applyNumberFormat="1" applyFont="1" applyBorder="1" applyAlignment="1">
      <alignment horizontal="right" vertical="center"/>
    </xf>
    <xf numFmtId="10" fontId="26" fillId="0" borderId="0" xfId="6" applyNumberFormat="1" applyFont="1" applyAlignment="1">
      <alignment horizontal="right" vertical="center"/>
    </xf>
    <xf numFmtId="10" fontId="26" fillId="0" borderId="5" xfId="6" applyNumberFormat="1" applyFont="1" applyBorder="1" applyAlignment="1">
      <alignment horizontal="right" vertical="center"/>
    </xf>
    <xf numFmtId="6" fontId="26" fillId="0" borderId="5" xfId="6" applyNumberFormat="1" applyFont="1" applyBorder="1" applyAlignment="1">
      <alignment horizontal="right" vertical="center"/>
    </xf>
    <xf numFmtId="6" fontId="26" fillId="0" borderId="8" xfId="6" applyNumberFormat="1" applyFont="1" applyBorder="1" applyAlignment="1">
      <alignment horizontal="right" vertical="center"/>
    </xf>
    <xf numFmtId="43" fontId="1" fillId="0" borderId="0" xfId="6" applyNumberFormat="1"/>
    <xf numFmtId="38" fontId="1" fillId="0" borderId="0" xfId="6" applyNumberFormat="1"/>
    <xf numFmtId="165" fontId="0" fillId="0" borderId="0" xfId="1" applyNumberFormat="1" applyFont="1" applyBorder="1"/>
    <xf numFmtId="0" fontId="2" fillId="0" borderId="0" xfId="0" applyFont="1"/>
    <xf numFmtId="0" fontId="2" fillId="0" borderId="0" xfId="0" applyFont="1" applyFill="1"/>
    <xf numFmtId="165" fontId="12" fillId="0" borderId="0" xfId="1" applyNumberFormat="1" applyFont="1" applyFill="1" applyBorder="1" applyAlignment="1" applyProtection="1">
      <alignment horizontal="right"/>
      <protection locked="0"/>
    </xf>
    <xf numFmtId="165" fontId="12" fillId="0" borderId="0" xfId="1" applyNumberFormat="1" applyFont="1" applyFill="1" applyAlignment="1" applyProtection="1">
      <alignment horizontal="right"/>
    </xf>
    <xf numFmtId="0" fontId="3" fillId="0" borderId="0" xfId="0" applyFont="1" applyFill="1" applyProtection="1"/>
    <xf numFmtId="167" fontId="3" fillId="0" borderId="0" xfId="1" applyNumberFormat="1" applyFont="1" applyFill="1" applyBorder="1" applyProtection="1">
      <protection locked="0"/>
    </xf>
    <xf numFmtId="177" fontId="12" fillId="0" borderId="0" xfId="1" applyNumberFormat="1" applyFont="1" applyFill="1" applyProtection="1"/>
    <xf numFmtId="38" fontId="3" fillId="0" borderId="0" xfId="1" applyNumberFormat="1" applyFont="1" applyFill="1" applyAlignment="1" applyProtection="1">
      <alignment horizontal="right"/>
    </xf>
    <xf numFmtId="171" fontId="3" fillId="0" borderId="0" xfId="1" applyNumberFormat="1" applyFont="1" applyFill="1" applyAlignment="1" applyProtection="1">
      <alignment horizontal="right"/>
      <protection locked="0"/>
    </xf>
    <xf numFmtId="172" fontId="3" fillId="0" borderId="0" xfId="1" applyNumberFormat="1" applyFont="1" applyFill="1" applyAlignment="1" applyProtection="1">
      <alignment horizontal="right"/>
      <protection locked="0"/>
    </xf>
    <xf numFmtId="175" fontId="3" fillId="0" borderId="0" xfId="0" applyNumberFormat="1" applyFont="1" applyFill="1" applyProtection="1"/>
  </cellXfs>
  <cellStyles count="8">
    <cellStyle name="Comma" xfId="1" builtinId="3"/>
    <cellStyle name="Comma 2" xfId="2" xr:uid="{00000000-0005-0000-0000-000001000000}"/>
    <cellStyle name="Currency" xfId="3" builtinId="4"/>
    <cellStyle name="Normal" xfId="0" builtinId="0"/>
    <cellStyle name="Normal 2" xfId="4" xr:uid="{00000000-0005-0000-0000-000004000000}"/>
    <cellStyle name="Normal 24" xfId="7" xr:uid="{559B09BF-ED50-4D30-A526-01E21C0E34E3}"/>
    <cellStyle name="Normal 3" xfId="6" xr:uid="{A6818556-635E-41F1-8BFE-73592F851FF6}"/>
    <cellStyle name="Percent" xfId="5" builtinId="5"/>
  </cellStyles>
  <dxfs count="0"/>
  <tableStyles count="1" defaultTableStyle="TableStyleMedium2" defaultPivotStyle="PivotStyleLight16">
    <tableStyle name="Invisible" pivot="0" table="0" count="0" xr9:uid="{38F9488D-5815-4EEF-B395-561250BC47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oktuls2fs002\REGPRICING\AEP%20Texas\Rate%20Cases\AEP%20Texas%202024\Accounting\Acctg%20Schedules\AEPTexas%20Filing%20Schedules%20TYE%209-30-23.xlsx" TargetMode="External"/><Relationship Id="rId1" Type="http://schemas.openxmlformats.org/officeDocument/2006/relationships/externalLinkPath" Target="/AEP%20Texas/Rate%20Cases/AEP%20Texas%202024/Accounting/Acctg%20Schedules/AEPTexas%20Filing%20Schedules%20TYE%209-30-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oktuls2fs002\REGPRICING\AEP%20Texas\Rate%20Cases\AEP%20Texas%202024\Schedules\Reynolds\AEP%20TX%20%20H%20-1%20Schedules%20TYE%209.30.2023%20Final.xlsx" TargetMode="External"/><Relationship Id="rId1" Type="http://schemas.openxmlformats.org/officeDocument/2006/relationships/externalLinkPath" Target="/AEP%20Texas/Rate%20Cases/AEP%20Texas%202024/Schedules/Reynolds/AEP%20TX%20%20H%20-1%20Schedules%20TYE%209.30.2023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oktuls2fs002\REGPRICING\AEP%20Texas\Rate%20Cases\AEP%20Texas%202024\Misc%20Revenues\AEP%20TX%20II-E-5%20Other%20Revenues.xlsx" TargetMode="External"/><Relationship Id="rId1" Type="http://schemas.openxmlformats.org/officeDocument/2006/relationships/externalLinkPath" Target="/AEP%20Texas/Rate%20Cases/AEP%20Texas%202024/Misc%20Revenues/AEP%20TX%20II-E-5%20Other%20Revenu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oktuls2fs002\REGPRICING\AEP%20Texas\Rate%20Cases\AEP%20Texas%202024\Allocations\TEX%20ALLOFACT%209_2023%20Final.xlsx" TargetMode="External"/><Relationship Id="rId1" Type="http://schemas.openxmlformats.org/officeDocument/2006/relationships/externalLinkPath" Target="/AEP%20Texas/Rate%20Cases/AEP%20Texas%202024/Allocations/TEX%20ALLOFACT%209_2023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oktuls2fs002\REGPRICING\AEP%20Texas\Rate%20Cases\AEP%20Texas%202024\Meter%20Study\AEP%20Texas%20Meter%20Studies_2023_10-31-23.xls" TargetMode="External"/><Relationship Id="rId1" Type="http://schemas.openxmlformats.org/officeDocument/2006/relationships/externalLinkPath" Target="/AEP%20Texas/Rate%20Cases/AEP%20Texas%202024/Meter%20Study/AEP%20Texas%20Meter%20Studies_2023_10-31-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-DELETE"/>
      <sheetName val="Macros"/>
      <sheetName val="I-A "/>
      <sheetName val="I-A-1"/>
      <sheetName val="II-B"/>
      <sheetName val="I-A-2"/>
      <sheetName val="Attachment II-B"/>
      <sheetName val="II-B-1 Plant"/>
      <sheetName val="Attachment II-B-1 Plant"/>
      <sheetName val="II-B-2 General Plant"/>
      <sheetName val="II-B-3 Comm. Equip."/>
      <sheetName val="II-B-4 CWIP"/>
      <sheetName val="II-B-5 Depreciation"/>
      <sheetName val="Attachment II-B-5 Depreciation"/>
      <sheetName val="II-B-6 Plant Future"/>
      <sheetName val="II-B-7 Accum. Provisions"/>
      <sheetName val="II-B-7.1 Accum. Provisions "/>
      <sheetName val="II-B-8 M&amp;S"/>
      <sheetName val="II-B-8-1 M&amp;S MONTHLY"/>
      <sheetName val="II-B-9 CWCapital"/>
      <sheetName val="Attachment II-B-9.1 Lead Lag"/>
      <sheetName val="II-B-10 Prepayments"/>
      <sheetName val="II-B-10-1 Prepayments (MONTHLY)"/>
      <sheetName val="II-B-11 Rate Base Other"/>
      <sheetName val="II-B-12 Reg. Assets"/>
      <sheetName val="II-B-13 Gain or Loss on Sale"/>
      <sheetName val="II-B-14 Funded Pension and OPEB"/>
      <sheetName val="II-B-15A AFUDC"/>
      <sheetName val="II-B-15B Other Const. Ovh."/>
      <sheetName val="II-C-1 ROR"/>
      <sheetName val="II-C-1.1 ROR Method"/>
      <sheetName val="II-C-2.1"/>
      <sheetName val="II-C-2.2"/>
      <sheetName val="II-C-2.2a "/>
      <sheetName val="II-C-2.3"/>
      <sheetName val="II-C-2.3a"/>
      <sheetName val="II-C-2.4a"/>
      <sheetName val="II-C-2.4"/>
      <sheetName val="II-C-2.5"/>
      <sheetName val="II-C-2.5.2"/>
      <sheetName val="II-C-2.7"/>
      <sheetName val="II-C-2.8"/>
      <sheetName val="II-C-2.8 (Attachment 1)"/>
      <sheetName val="II-C-2.9"/>
      <sheetName val="II-C-2.10 "/>
      <sheetName val="II-C-3 "/>
      <sheetName val="II-D-1 O&amp;M"/>
      <sheetName val="II-D-1 O&amp;M part 2"/>
      <sheetName val="Attachment II-D-1 O&amp;M"/>
      <sheetName val="II-D-1.1 Mthly O&amp;M (all)"/>
      <sheetName val="II-D-1.1 Mthly O&amp;M (Tran)"/>
      <sheetName val="II-D-1.1Mthly O&amp;M (Dist)"/>
      <sheetName val="II-D-1.1 Mthly O&amp;M (Meter)"/>
      <sheetName val="II-D-1.1 Mthly O&amp;M (TDCS)"/>
      <sheetName val="II-D-2 A&amp;G"/>
      <sheetName val="Attachment II D-2 A&amp;G"/>
      <sheetName val="II-D-2 A&amp;G part 2"/>
      <sheetName val="II-D-2.1 Mthly A&amp;G (all)"/>
      <sheetName val="II-D-2.1 Mthly A&amp;G (Tran)"/>
      <sheetName val="II-D-2.1 Mthly A&amp;G (Dist)"/>
      <sheetName val="II-D-2.1 Mthly A&amp;G (Meter)"/>
      <sheetName val="II-D-2.1 Mthly A&amp;G (TDCS)"/>
      <sheetName val="II D-2.2 Bad Debt"/>
      <sheetName val="II D-2.2 Bad Debt (Part 1-2)"/>
      <sheetName val="II D-2.2 Bad Debt (Part 3)"/>
      <sheetName val="II D-2.2a.1 Bad Debt Expense"/>
      <sheetName val="II D-2.2a.2 Bad Debt Expense"/>
      <sheetName val="II-D-2.3 Adv.Contr.&amp;Dues"/>
      <sheetName val="II-D-2.4 Advertising"/>
      <sheetName val="II-D-2.4 Advertising AEPSC"/>
      <sheetName val="II-D-2.4a Advertising Capital"/>
      <sheetName val="II-D-2.5Contributions&amp;Donations"/>
      <sheetName val="II-D-2.5Contri&amp;Donations AEPSC"/>
      <sheetName val="II-D-2.6 Dues Summary"/>
      <sheetName val="II-D-2.6 Dues Summary AEPSC"/>
      <sheetName val="II-D-2.6a Industry"/>
      <sheetName val="II-D-2.6a Industry AEPSC"/>
      <sheetName val="II-D-2.6b Business Economic"/>
      <sheetName val="II-D-2.6b Bus Econ AEPSC"/>
      <sheetName val="II-D-2.6c Professional"/>
      <sheetName val="II-D-2.6c Professional AEPSC"/>
      <sheetName val="II-D-2.6d Educational AEPSC"/>
      <sheetName val="II-D-2.6e Community Serv AEPSC"/>
      <sheetName val="II-D-2.6f Other AEPSC"/>
      <sheetName val="II-D-2.6g Political AEPSC"/>
      <sheetName val="II-D-2.7 Outside Services"/>
      <sheetName val="II-D-2.7 Outside Svcs AEPSC "/>
      <sheetName val="II-D-2.7.1 Outside Services"/>
      <sheetName val="II-D-2.7 OS 2022 AEPSC"/>
      <sheetName val="II-D-2.7.2 Outside Services"/>
      <sheetName val="II-D-2.7 OS 2021 AEPSC"/>
      <sheetName val="II-D-2.7.3 Outside Services"/>
      <sheetName val="II-D-2.7 OS 2020 AEPSC"/>
      <sheetName val="II-D-2.8 Factoring"/>
      <sheetName val="II-D-2-9 Rents and Leases "/>
      <sheetName val="II-D-2-9.1 Rents and Leases"/>
      <sheetName val="II-D-2-9.2 Rents and Leases"/>
      <sheetName val="II-D-2-9.3 Rents and Leases"/>
      <sheetName val="II-D-2.9 Attachment 1"/>
      <sheetName val="II-D-3 PAYROLL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6.1 Non Stnd Pay -FERC "/>
      <sheetName val="II-D-3.6.2 Incentive metrics"/>
      <sheetName val="II-D-3.6.3 Compensation infor"/>
      <sheetName val="II-D-3.6.4 Severance"/>
      <sheetName val="II-D-3.8.1 Pension"/>
      <sheetName val="II-D-3.8.2 Pension"/>
      <sheetName val="II-D-3.8.3 Pension"/>
      <sheetName val="II-D-3.8.4 Pension"/>
      <sheetName val="II-D-3.9.1 OPEB"/>
      <sheetName val="II-D-3.9.2 OPEB"/>
      <sheetName val="II-D-3.9.3 OPEB"/>
      <sheetName val="II-D.3.9.4 OPEB"/>
      <sheetName val="II-D-4 Exclusions"/>
      <sheetName val="II-E-1 Dep. Exp."/>
      <sheetName val="Attachment II-E-1.1"/>
      <sheetName val="Attachment II-E-1.2"/>
      <sheetName val="Attachment II-E-1.3"/>
      <sheetName val="Attachment II-E-1.4"/>
      <sheetName val="Attachment II-E-1.4.1"/>
      <sheetName val="Attachment II-E-1.5"/>
      <sheetName val="II-E-2 Taxes Other"/>
      <sheetName val="Attachment II-E-2"/>
      <sheetName val="II-E-2.1 Ad valorem"/>
      <sheetName val="II-E-3 FIT"/>
      <sheetName val="II-E-3-Attach"/>
      <sheetName val="II-E-3.1"/>
      <sheetName val="Attachment II-E-3.1"/>
      <sheetName val="Attachment II-E-3.1.1"/>
      <sheetName val="II-E-3.2"/>
      <sheetName val="II-E-3.3"/>
      <sheetName val="II-E-3.4"/>
      <sheetName val="II-E-3.5 ADFIT"/>
      <sheetName val="II-E-3.6"/>
      <sheetName val="II-E-3.7"/>
      <sheetName val="II-E-3.8"/>
      <sheetName val="II-E-3.9 ITC"/>
      <sheetName val="II-E-3.10"/>
      <sheetName val="II-E-3.11"/>
      <sheetName val="II-E-3.12 ITC Utilized"/>
      <sheetName val="II-E-3.13 ITC Elections"/>
      <sheetName val="II-E-3.14 Accum Def ITC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 Pg 1"/>
      <sheetName val="II-E-3.23 Pg 2"/>
      <sheetName val="II-E-3.23 Pg 3"/>
      <sheetName val="II-E-3.24"/>
      <sheetName val="II-E-4 Other Expenses"/>
      <sheetName val="II-E-4.1 Deferred Exp"/>
      <sheetName val="II-E-4.1.1 Deferred Exp"/>
      <sheetName val="II-E-4.2"/>
      <sheetName val="II-E-4.3"/>
      <sheetName val="II-E-4.4 Reg Comm Exp"/>
      <sheetName val="II E-4.5 Rate Case Expense"/>
      <sheetName val="II-E-5 Other Revenues"/>
      <sheetName val="II-F Alloc_Factor"/>
      <sheetName val="II-F Alloc_Data"/>
      <sheetName val="II-G"/>
      <sheetName val="III-A Wholesale TCOS"/>
      <sheetName val="III-A-1 Wholesale TCOS"/>
      <sheetName val="III-B"/>
      <sheetName val="III-E-5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I-H-1"/>
      <sheetName val="II-H-1.1"/>
      <sheetName val="II-H-1.2"/>
      <sheetName val="II-H-1.3"/>
      <sheetName val="Sch II-H-1.5"/>
      <sheetName val="II-H-3.1-3"/>
      <sheetName val="II-H-4.1 Monthly"/>
      <sheetName val="II-H-4.1 Functions"/>
      <sheetName val="II-H-4.1 Tran kW"/>
      <sheetName val="II-H-4.1 Dist kW"/>
      <sheetName val="Sch II-H-4.2"/>
      <sheetName val="Primary Sub"/>
      <sheetName val="Riders"/>
      <sheetName val="Prm Sb Rev Rider"/>
      <sheetName val="TCRF and DCRF Rider Revenues"/>
      <sheetName val="Tariff Mapping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I-E-5 Other Revenues"/>
      <sheetName val="Sheet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ERCOT 4 CP"/>
      <sheetName val="ERCOT 1 CP"/>
      <sheetName val="TX 4 CP"/>
      <sheetName val="Input"/>
      <sheetName val="Data"/>
      <sheetName val="GEN"/>
      <sheetName val="Pivot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69"/>
      <sheetName val="370"/>
      <sheetName val="902"/>
      <sheetName val="903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zoomScaleNormal="100" workbookViewId="0">
      <selection activeCell="K25" sqref="K25"/>
    </sheetView>
  </sheetViews>
  <sheetFormatPr defaultRowHeight="12.75" customHeight="1" x14ac:dyDescent="0.2"/>
  <cols>
    <col min="1" max="1" width="4.5703125" customWidth="1"/>
    <col min="2" max="2" width="9.42578125" customWidth="1"/>
    <col min="3" max="3" width="39.5703125" customWidth="1"/>
    <col min="4" max="4" width="14.7109375" bestFit="1" customWidth="1"/>
    <col min="5" max="10" width="12.7109375" customWidth="1"/>
    <col min="11" max="11" width="14.7109375" bestFit="1" customWidth="1"/>
    <col min="12" max="12" width="12" bestFit="1" customWidth="1"/>
  </cols>
  <sheetData>
    <row r="1" spans="1:12" ht="13.5" thickBot="1" x14ac:dyDescent="0.25">
      <c r="A1" s="97"/>
      <c r="B1" s="97"/>
      <c r="C1" s="97"/>
      <c r="D1" s="97"/>
      <c r="E1" s="97"/>
      <c r="F1" s="97"/>
      <c r="G1" s="97"/>
      <c r="H1" s="97"/>
      <c r="I1" s="97"/>
      <c r="J1" s="97"/>
      <c r="K1" s="98"/>
    </row>
    <row r="2" spans="1:12" x14ac:dyDescent="0.2">
      <c r="A2" s="97"/>
      <c r="B2" s="97"/>
      <c r="C2" s="99" t="s">
        <v>677</v>
      </c>
      <c r="D2" s="97"/>
      <c r="E2" s="100"/>
      <c r="F2" s="97"/>
      <c r="G2" s="97"/>
      <c r="H2" s="97"/>
      <c r="I2" s="97"/>
      <c r="J2" s="97"/>
      <c r="K2" s="98"/>
    </row>
    <row r="3" spans="1:12" x14ac:dyDescent="0.2">
      <c r="A3" s="97"/>
      <c r="B3" s="97"/>
      <c r="C3" s="101" t="s">
        <v>686</v>
      </c>
      <c r="D3" s="97"/>
      <c r="E3" s="100"/>
      <c r="F3" s="97"/>
      <c r="G3" s="97"/>
      <c r="H3" s="97"/>
      <c r="I3" s="97"/>
      <c r="J3" s="97"/>
      <c r="K3" s="98"/>
    </row>
    <row r="4" spans="1:12" x14ac:dyDescent="0.2">
      <c r="A4" s="97"/>
      <c r="B4" s="97"/>
      <c r="C4" s="102" t="s">
        <v>678</v>
      </c>
      <c r="D4" s="97"/>
      <c r="E4" s="97"/>
      <c r="F4" s="97"/>
      <c r="G4" s="97"/>
      <c r="H4" s="97"/>
      <c r="I4" s="97"/>
      <c r="J4" s="97"/>
      <c r="K4" s="98"/>
    </row>
    <row r="5" spans="1:12" x14ac:dyDescent="0.2">
      <c r="A5" s="97"/>
      <c r="B5" s="97"/>
      <c r="C5" s="102" t="s">
        <v>822</v>
      </c>
      <c r="D5" s="97"/>
      <c r="E5" s="97"/>
      <c r="F5" s="97"/>
      <c r="G5" s="97"/>
      <c r="H5" s="97"/>
      <c r="I5" s="97"/>
      <c r="J5" s="97"/>
      <c r="K5" s="98"/>
    </row>
    <row r="6" spans="1:12" ht="13.5" thickBot="1" x14ac:dyDescent="0.25">
      <c r="A6" s="97"/>
      <c r="B6" s="97"/>
      <c r="C6" s="103" t="s">
        <v>858</v>
      </c>
      <c r="D6" s="97"/>
      <c r="E6" s="97"/>
      <c r="F6" s="97"/>
      <c r="G6" s="97"/>
      <c r="H6" s="97"/>
      <c r="I6" s="97"/>
      <c r="J6" s="97"/>
      <c r="K6" s="98"/>
    </row>
    <row r="7" spans="1:12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8"/>
    </row>
    <row r="8" spans="1:12" ht="13.5" thickBot="1" x14ac:dyDescent="0.25">
      <c r="A8" s="97"/>
      <c r="B8" s="97"/>
      <c r="C8" s="97"/>
      <c r="D8" s="105">
        <v>1</v>
      </c>
      <c r="E8" s="105">
        <v>2</v>
      </c>
      <c r="F8" s="105">
        <v>3</v>
      </c>
      <c r="G8" s="105">
        <v>4</v>
      </c>
      <c r="H8" s="105">
        <v>5</v>
      </c>
      <c r="I8" s="105">
        <v>6</v>
      </c>
      <c r="J8" s="105">
        <v>7</v>
      </c>
      <c r="K8" s="105">
        <v>8</v>
      </c>
      <c r="L8" s="98">
        <v>9</v>
      </c>
    </row>
    <row r="9" spans="1:12" x14ac:dyDescent="0.2">
      <c r="A9" s="106"/>
      <c r="B9" s="106"/>
      <c r="C9" s="106"/>
      <c r="D9" s="107" t="s">
        <v>679</v>
      </c>
      <c r="E9" s="106"/>
      <c r="F9" s="106"/>
      <c r="G9" s="107"/>
      <c r="H9" s="107"/>
      <c r="I9" s="107"/>
      <c r="J9" s="106"/>
      <c r="K9" s="106"/>
      <c r="L9" s="106"/>
    </row>
    <row r="10" spans="1:12" x14ac:dyDescent="0.2">
      <c r="A10" s="108"/>
      <c r="B10" s="108"/>
      <c r="C10" s="108" t="s">
        <v>2</v>
      </c>
      <c r="D10" s="109" t="s">
        <v>295</v>
      </c>
      <c r="E10" s="108" t="s">
        <v>316</v>
      </c>
      <c r="F10" s="108" t="s">
        <v>317</v>
      </c>
      <c r="G10" s="108" t="s">
        <v>317</v>
      </c>
      <c r="H10" s="108" t="s">
        <v>320</v>
      </c>
      <c r="I10" s="108" t="s">
        <v>321</v>
      </c>
      <c r="J10" s="108" t="s">
        <v>318</v>
      </c>
      <c r="K10" s="108" t="s">
        <v>466</v>
      </c>
      <c r="L10" s="108" t="s">
        <v>857</v>
      </c>
    </row>
    <row r="11" spans="1:12" x14ac:dyDescent="0.2">
      <c r="A11" s="108" t="s">
        <v>0</v>
      </c>
      <c r="B11" s="108" t="s">
        <v>687</v>
      </c>
      <c r="C11" s="108"/>
      <c r="D11" s="109" t="s">
        <v>680</v>
      </c>
      <c r="E11" s="108"/>
      <c r="F11" s="109" t="s">
        <v>681</v>
      </c>
      <c r="G11" s="109" t="s">
        <v>682</v>
      </c>
      <c r="H11" s="108"/>
      <c r="I11" s="108"/>
      <c r="J11" s="108"/>
      <c r="K11" s="108" t="s">
        <v>683</v>
      </c>
      <c r="L11" s="108"/>
    </row>
    <row r="12" spans="1:12" ht="13.5" thickBot="1" x14ac:dyDescent="0.25">
      <c r="A12" s="110" t="s">
        <v>7</v>
      </c>
      <c r="B12" s="110" t="s">
        <v>688</v>
      </c>
      <c r="C12" s="110"/>
      <c r="D12" s="111" t="s">
        <v>466</v>
      </c>
      <c r="E12" s="110"/>
      <c r="F12" s="110"/>
      <c r="G12" s="110"/>
      <c r="H12" s="110"/>
      <c r="I12" s="110"/>
      <c r="J12" s="110"/>
      <c r="K12" s="110"/>
      <c r="L12" s="110"/>
    </row>
    <row r="13" spans="1:12" x14ac:dyDescent="0.2">
      <c r="A13" s="97"/>
      <c r="B13" s="97"/>
      <c r="C13" s="112"/>
      <c r="D13" s="113"/>
      <c r="E13" s="113"/>
      <c r="F13" s="113"/>
      <c r="G13" s="113"/>
      <c r="H13" s="113"/>
      <c r="I13" s="113"/>
      <c r="J13" s="113"/>
      <c r="K13" s="114"/>
      <c r="L13" s="114"/>
    </row>
    <row r="14" spans="1:12" x14ac:dyDescent="0.2">
      <c r="A14" s="98">
        <v>1</v>
      </c>
      <c r="B14" s="98" t="s">
        <v>689</v>
      </c>
      <c r="C14" s="97" t="s">
        <v>685</v>
      </c>
      <c r="D14" s="115">
        <v>428545774.98000002</v>
      </c>
      <c r="E14" s="116">
        <v>206570014.44</v>
      </c>
      <c r="F14" s="116">
        <v>9203652.3000000007</v>
      </c>
      <c r="G14" s="116">
        <v>123612789.14</v>
      </c>
      <c r="H14" s="116">
        <v>39981725.780000001</v>
      </c>
      <c r="I14" s="116">
        <v>49177593.479999997</v>
      </c>
      <c r="J14" s="116"/>
      <c r="K14" s="124">
        <f>SUM(E14:J14)</f>
        <v>428545775.13999999</v>
      </c>
      <c r="L14" s="116"/>
    </row>
    <row r="15" spans="1:12" x14ac:dyDescent="0.2">
      <c r="A15" s="98">
        <f>+A14+1</f>
        <v>2</v>
      </c>
      <c r="B15" s="98"/>
      <c r="C15" s="97" t="s">
        <v>176</v>
      </c>
      <c r="D15" s="115">
        <f>+'II-I TOTAL COMPANY'!K75</f>
        <v>798275244.2806673</v>
      </c>
      <c r="E15" s="116">
        <f ca="1">+Distribution!K75</f>
        <v>454855139.49609321</v>
      </c>
      <c r="F15" s="116">
        <f ca="1">+Distribution!L75</f>
        <v>17570579.794522896</v>
      </c>
      <c r="G15" s="116">
        <f ca="1">+Distribution!N75+Distribution!O75</f>
        <v>235585771.5163483</v>
      </c>
      <c r="H15" s="116">
        <f ca="1">+Distribution!Q75+Distribution!R75</f>
        <v>48232797.261401087</v>
      </c>
      <c r="I15" s="116">
        <f ca="1">+Distribution!T75</f>
        <v>4886328.985136915</v>
      </c>
      <c r="J15" s="116">
        <f ca="1">+Distribution!U75</f>
        <v>28747963.449070357</v>
      </c>
      <c r="K15" s="124">
        <f ca="1">SUM(E15:J15)</f>
        <v>789878580.50257266</v>
      </c>
      <c r="L15" s="116">
        <f ca="1">+Distribution!V75</f>
        <v>1861985.4028035237</v>
      </c>
    </row>
    <row r="16" spans="1:12" x14ac:dyDescent="0.2">
      <c r="A16" s="98">
        <f>+A15+1</f>
        <v>3</v>
      </c>
      <c r="B16" s="98"/>
      <c r="C16" s="97" t="s">
        <v>430</v>
      </c>
      <c r="D16" s="115">
        <f>+'II-I TOTAL COMPANY'!L75</f>
        <v>50185561.150717929</v>
      </c>
      <c r="E16" s="116">
        <f ca="1">+Meter!K75</f>
        <v>23527397.047757253</v>
      </c>
      <c r="F16" s="116">
        <f ca="1">+Meter!L75</f>
        <v>4470397.6607326753</v>
      </c>
      <c r="G16" s="116">
        <f ca="1">+Meter!N75+Meter!O75</f>
        <v>17747327.39044667</v>
      </c>
      <c r="H16" s="116">
        <f ca="1">+Meter!Q75+Meter!R75</f>
        <v>2239528.6230572532</v>
      </c>
      <c r="I16" s="117">
        <f ca="1">+Meter!T75</f>
        <v>2011888.2170185286</v>
      </c>
      <c r="J16" s="116">
        <f ca="1">+Meter!U75</f>
        <v>7.553946624049642</v>
      </c>
      <c r="K16" s="124">
        <f ca="1">SUM(E16:J16)</f>
        <v>49996546.492959008</v>
      </c>
      <c r="L16" s="116">
        <f ca="1">+Meter!V75</f>
        <v>41759.103291734915</v>
      </c>
    </row>
    <row r="17" spans="1:12" x14ac:dyDescent="0.2">
      <c r="A17" s="98">
        <f>+A16+1</f>
        <v>4</v>
      </c>
      <c r="B17" s="98"/>
      <c r="C17" s="118" t="s">
        <v>684</v>
      </c>
      <c r="D17" s="115">
        <f>+'II-I TOTAL COMPANY'!M75</f>
        <v>18851934.698173657</v>
      </c>
      <c r="E17" s="116">
        <f ca="1">+TDCustSvc!K75</f>
        <v>14986684.255034046</v>
      </c>
      <c r="F17" s="116">
        <f ca="1">+TDCustSvc!L75</f>
        <v>1592197.0243637017</v>
      </c>
      <c r="G17" s="116">
        <f ca="1">+TDCustSvc!N75+TDCustSvc!O75</f>
        <v>1966806.2652791096</v>
      </c>
      <c r="H17" s="116">
        <f ca="1">+TDCustSvc!Q75+TDCustSvc!R75</f>
        <v>27866.935653127919</v>
      </c>
      <c r="I17" s="120">
        <f ca="1">+TDCustSvc!T75</f>
        <v>3357.3270181200437</v>
      </c>
      <c r="J17" s="121">
        <f ca="1">+TDCustSvc!U75</f>
        <v>272365.7415845748</v>
      </c>
      <c r="K17" s="124">
        <f ca="1">SUM(E17:J17)</f>
        <v>18849277.548932679</v>
      </c>
      <c r="L17" s="121">
        <f ca="1">+TDCustSvc!V75</f>
        <v>524.32800650898434</v>
      </c>
    </row>
    <row r="18" spans="1:12" ht="13.5" thickBot="1" x14ac:dyDescent="0.25">
      <c r="A18" s="98">
        <f>+A17+1</f>
        <v>5</v>
      </c>
      <c r="B18" s="98"/>
      <c r="C18" s="97"/>
      <c r="D18" s="116"/>
      <c r="E18" s="116"/>
      <c r="F18" s="116"/>
      <c r="G18" s="116"/>
      <c r="H18" s="119"/>
      <c r="I18" s="120"/>
      <c r="J18" s="121"/>
      <c r="K18" s="98"/>
      <c r="L18" s="98"/>
    </row>
    <row r="19" spans="1:12" ht="13.5" thickBot="1" x14ac:dyDescent="0.25">
      <c r="A19" s="98">
        <f>+A18+1</f>
        <v>6</v>
      </c>
      <c r="B19" s="98"/>
      <c r="C19" s="123"/>
      <c r="D19" s="122">
        <f>SUM(D14:D18)</f>
        <v>1295858515.1095591</v>
      </c>
      <c r="E19" s="122">
        <f t="shared" ref="E19:K19" ca="1" si="0">SUM(E14:E18)</f>
        <v>699939235.23888457</v>
      </c>
      <c r="F19" s="122">
        <f t="shared" ca="1" si="0"/>
        <v>32836826.779619273</v>
      </c>
      <c r="G19" s="122">
        <f t="shared" ca="1" si="0"/>
        <v>378912694.31207407</v>
      </c>
      <c r="H19" s="122">
        <f t="shared" ca="1" si="0"/>
        <v>90481918.60011147</v>
      </c>
      <c r="I19" s="122">
        <f t="shared" ca="1" si="0"/>
        <v>56079168.009173565</v>
      </c>
      <c r="J19" s="122">
        <f t="shared" ca="1" si="0"/>
        <v>29020336.744601555</v>
      </c>
      <c r="K19" s="122">
        <f t="shared" ca="1" si="0"/>
        <v>1287270179.6844645</v>
      </c>
      <c r="L19" s="122">
        <f t="shared" ref="L19" ca="1" si="1">SUM(L14:L18)</f>
        <v>1904268.8341017675</v>
      </c>
    </row>
    <row r="20" spans="1:12" x14ac:dyDescent="0.2">
      <c r="A20" s="98"/>
      <c r="B20" s="98"/>
      <c r="C20" s="97"/>
      <c r="D20" s="116"/>
      <c r="E20" s="116"/>
      <c r="F20" s="116"/>
      <c r="G20" s="116"/>
      <c r="H20" s="116"/>
      <c r="I20" s="116"/>
      <c r="J20" s="116"/>
      <c r="K20" s="98"/>
    </row>
    <row r="21" spans="1:12" x14ac:dyDescent="0.2">
      <c r="A21" s="98"/>
      <c r="B21" s="98"/>
      <c r="C21" s="97" t="s">
        <v>861</v>
      </c>
      <c r="D21" s="116">
        <f>+D15+D16+D17</f>
        <v>867312740.12955892</v>
      </c>
      <c r="E21" s="142"/>
      <c r="F21" s="142"/>
      <c r="G21" s="142"/>
      <c r="H21" s="142"/>
      <c r="I21" s="142"/>
      <c r="J21" s="142"/>
      <c r="K21" s="98"/>
    </row>
    <row r="22" spans="1:12" x14ac:dyDescent="0.2">
      <c r="A22" s="104"/>
      <c r="B22" s="104"/>
      <c r="C22" s="104"/>
      <c r="D22" s="135"/>
      <c r="E22" s="142"/>
      <c r="F22" s="142"/>
      <c r="G22" s="142"/>
      <c r="H22" s="142"/>
      <c r="I22" s="142"/>
      <c r="J22" s="142"/>
      <c r="K22" s="136"/>
    </row>
    <row r="23" spans="1:12" x14ac:dyDescent="0.2">
      <c r="A23" s="97"/>
      <c r="B23" s="97"/>
      <c r="C23" s="97"/>
      <c r="D23" s="135">
        <f>+'[1]I-A-1'!$K$29</f>
        <v>867312740.29981804</v>
      </c>
      <c r="E23" s="135"/>
      <c r="F23" s="135"/>
      <c r="G23" s="135"/>
      <c r="H23" s="135"/>
      <c r="I23" s="135"/>
      <c r="J23" s="135"/>
      <c r="K23" s="137"/>
    </row>
    <row r="24" spans="1:12" x14ac:dyDescent="0.2">
      <c r="A24" s="97"/>
      <c r="B24" s="97"/>
      <c r="C24" s="97"/>
      <c r="D24" s="135">
        <f>+D21-D23</f>
        <v>-0.17025911808013916</v>
      </c>
      <c r="E24" s="135"/>
      <c r="F24" s="135"/>
      <c r="G24" s="135"/>
      <c r="H24" s="135"/>
      <c r="I24" s="135"/>
      <c r="J24" s="135"/>
      <c r="K24" s="137"/>
    </row>
    <row r="25" spans="1:12" ht="12.75" customHeight="1" x14ac:dyDescent="0.2">
      <c r="D25" s="138"/>
      <c r="E25" s="138"/>
      <c r="F25" s="171"/>
      <c r="G25" s="138"/>
      <c r="H25" s="138"/>
      <c r="I25" s="138"/>
      <c r="J25" s="138"/>
      <c r="K25" s="138"/>
    </row>
    <row r="26" spans="1:12" ht="12.75" customHeight="1" x14ac:dyDescent="0.2">
      <c r="D26" s="138"/>
      <c r="E26" s="138"/>
      <c r="F26" s="138"/>
      <c r="G26" s="138"/>
      <c r="H26" s="138"/>
      <c r="I26" s="138"/>
      <c r="J26" s="138"/>
      <c r="K26" s="138"/>
    </row>
    <row r="27" spans="1:12" ht="12.75" customHeight="1" x14ac:dyDescent="0.2">
      <c r="D27" s="138"/>
      <c r="E27" s="138"/>
      <c r="F27" s="138"/>
      <c r="G27" s="138"/>
      <c r="H27" s="138"/>
      <c r="I27" s="138"/>
      <c r="J27" s="138"/>
      <c r="K27" s="138"/>
    </row>
  </sheetData>
  <pageMargins left="0.7" right="0.7" top="0.75" bottom="0.75" header="0.3" footer="0.3"/>
  <pageSetup scale="69" orientation="landscape" r:id="rId1"/>
  <headerFooter>
    <oddHeader>&amp;RDocket No. 56165
&amp;F
&amp;A
Page &amp;P of &amp;N</oddHeader>
    <oddFooter>&amp;LSponsored by: Earlyne Reynolds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"/>
  <sheetViews>
    <sheetView zoomScale="120" zoomScaleNormal="120" workbookViewId="0">
      <selection activeCell="K25" sqref="K25"/>
    </sheetView>
  </sheetViews>
  <sheetFormatPr defaultRowHeight="12.75" customHeight="1" x14ac:dyDescent="0.2"/>
  <cols>
    <col min="2" max="2" width="43.85546875" customWidth="1"/>
    <col min="3" max="11" width="15.7109375" customWidth="1"/>
    <col min="12" max="12" width="9.140625" customWidth="1"/>
  </cols>
  <sheetData>
    <row r="1" spans="1:11" ht="13.5" thickBot="1" x14ac:dyDescent="0.25"/>
    <row r="2" spans="1:11" x14ac:dyDescent="0.2">
      <c r="B2" s="99" t="s">
        <v>677</v>
      </c>
      <c r="C2" s="126"/>
    </row>
    <row r="3" spans="1:11" x14ac:dyDescent="0.2">
      <c r="B3" s="101" t="s">
        <v>686</v>
      </c>
      <c r="C3" s="104"/>
    </row>
    <row r="4" spans="1:11" x14ac:dyDescent="0.2">
      <c r="B4" s="102" t="s">
        <v>693</v>
      </c>
      <c r="C4" s="126"/>
    </row>
    <row r="5" spans="1:11" x14ac:dyDescent="0.2">
      <c r="B5" s="102" t="s">
        <v>822</v>
      </c>
      <c r="C5" s="126"/>
    </row>
    <row r="6" spans="1:11" ht="13.5" thickBot="1" x14ac:dyDescent="0.25">
      <c r="B6" s="103" t="s">
        <v>858</v>
      </c>
      <c r="C6" s="126"/>
    </row>
    <row r="7" spans="1:11" ht="13.5" thickBot="1" x14ac:dyDescent="0.25"/>
    <row r="8" spans="1:11" x14ac:dyDescent="0.2">
      <c r="A8" s="106"/>
      <c r="B8" s="106"/>
      <c r="C8" s="106"/>
      <c r="D8" s="107"/>
      <c r="E8" s="107"/>
      <c r="F8" s="107"/>
      <c r="G8" s="107"/>
      <c r="H8" s="107"/>
      <c r="I8" s="107"/>
      <c r="J8" s="107"/>
      <c r="K8" s="107"/>
    </row>
    <row r="9" spans="1:11" x14ac:dyDescent="0.2">
      <c r="A9" s="108" t="s">
        <v>0</v>
      </c>
      <c r="B9" s="108" t="s">
        <v>2</v>
      </c>
      <c r="C9" s="108" t="s">
        <v>695</v>
      </c>
      <c r="D9" s="108" t="s">
        <v>316</v>
      </c>
      <c r="E9" s="108" t="s">
        <v>317</v>
      </c>
      <c r="F9" s="108" t="s">
        <v>317</v>
      </c>
      <c r="G9" s="108" t="s">
        <v>320</v>
      </c>
      <c r="H9" s="108" t="s">
        <v>321</v>
      </c>
      <c r="I9" s="108" t="s">
        <v>318</v>
      </c>
      <c r="J9" s="108" t="s">
        <v>857</v>
      </c>
      <c r="K9" s="108" t="s">
        <v>466</v>
      </c>
    </row>
    <row r="10" spans="1:11" x14ac:dyDescent="0.2">
      <c r="A10" s="108" t="s">
        <v>7</v>
      </c>
      <c r="B10" s="108"/>
      <c r="C10" s="108" t="s">
        <v>696</v>
      </c>
      <c r="D10" s="108"/>
      <c r="E10" s="109" t="s">
        <v>681</v>
      </c>
      <c r="F10" s="109" t="s">
        <v>682</v>
      </c>
      <c r="G10" s="108"/>
      <c r="H10" s="108"/>
      <c r="I10" s="108"/>
      <c r="J10" s="108"/>
      <c r="K10" s="108" t="s">
        <v>863</v>
      </c>
    </row>
    <row r="11" spans="1:11" ht="13.5" thickBot="1" x14ac:dyDescent="0.25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</row>
    <row r="13" spans="1:11" x14ac:dyDescent="0.2">
      <c r="A13" s="4">
        <v>1</v>
      </c>
      <c r="B13" s="3" t="str">
        <f>+Distribution!B669</f>
        <v>Generation Demand TX 4CP</v>
      </c>
      <c r="C13" s="3" t="str">
        <f>+Distribution!E669</f>
        <v>DEMANDG</v>
      </c>
      <c r="D13" s="23">
        <f>+Distribution!K669</f>
        <v>3260753.0515910774</v>
      </c>
      <c r="E13" s="23">
        <f>+Distribution!L669</f>
        <v>128972.63027239306</v>
      </c>
      <c r="F13" s="23">
        <f>+Distribution!M669</f>
        <v>1920489.8482757821</v>
      </c>
      <c r="G13" s="23">
        <f>+Distribution!P669</f>
        <v>544116.5308285245</v>
      </c>
      <c r="H13" s="23">
        <f>+Distribution!T669</f>
        <v>872123.18933172501</v>
      </c>
      <c r="I13" s="23">
        <f>+Distribution!U669</f>
        <v>0</v>
      </c>
      <c r="J13" s="23">
        <f>+Distribution!V669</f>
        <v>0</v>
      </c>
      <c r="K13" s="23">
        <f>SUM(D13:J13)</f>
        <v>6726455.2502995022</v>
      </c>
    </row>
    <row r="14" spans="1:11" x14ac:dyDescent="0.2">
      <c r="A14" s="4">
        <f>+A13+1</f>
        <v>2</v>
      </c>
      <c r="B14" s="3" t="str">
        <f>+Distribution!B670</f>
        <v>Retail Generation Demand</v>
      </c>
      <c r="C14" s="3" t="str">
        <f>+Distribution!E670</f>
        <v>TDEMANDG</v>
      </c>
      <c r="D14" s="23">
        <f>+Distribution!K670</f>
        <v>3260753.0515910774</v>
      </c>
      <c r="E14" s="23">
        <f>+Distribution!L670</f>
        <v>128972.63027239306</v>
      </c>
      <c r="F14" s="23">
        <f>+Distribution!M670</f>
        <v>1920489.8482757821</v>
      </c>
      <c r="G14" s="23">
        <f>+Distribution!P670</f>
        <v>544116.5308285245</v>
      </c>
      <c r="H14" s="23">
        <f>+Distribution!T670</f>
        <v>872123.18933172501</v>
      </c>
      <c r="I14" s="23">
        <f>+Distribution!U670</f>
        <v>0</v>
      </c>
      <c r="J14" s="23">
        <f>+Distribution!V670</f>
        <v>0</v>
      </c>
      <c r="K14" s="23">
        <f t="shared" ref="K14:K77" si="0">SUM(D14:J14)</f>
        <v>6726455.2502995022</v>
      </c>
    </row>
    <row r="15" spans="1:11" x14ac:dyDescent="0.2">
      <c r="A15" s="4">
        <f t="shared" ref="A15:A78" si="1">+A14+1</f>
        <v>3</v>
      </c>
      <c r="B15" s="3" t="str">
        <f>+Distribution!B671</f>
        <v>Transmission Demands</v>
      </c>
      <c r="C15" s="3" t="str">
        <f>+Distribution!E671</f>
        <v>DEMANDT</v>
      </c>
      <c r="D15" s="23">
        <f>+Distribution!K671</f>
        <v>2576796</v>
      </c>
      <c r="E15" s="23">
        <f>+Distribution!L671</f>
        <v>95632</v>
      </c>
      <c r="F15" s="23">
        <f>+Distribution!M671</f>
        <v>1558412</v>
      </c>
      <c r="G15" s="23">
        <f>+Distribution!P671</f>
        <v>578236</v>
      </c>
      <c r="H15" s="23">
        <f>+Distribution!T671</f>
        <v>596099</v>
      </c>
      <c r="I15" s="23">
        <f>+Distribution!U671</f>
        <v>0</v>
      </c>
      <c r="J15" s="23">
        <f>+Distribution!V671</f>
        <v>0</v>
      </c>
      <c r="K15" s="23">
        <f t="shared" si="0"/>
        <v>5405175</v>
      </c>
    </row>
    <row r="16" spans="1:11" x14ac:dyDescent="0.2">
      <c r="A16" s="4">
        <f t="shared" si="1"/>
        <v>4</v>
      </c>
      <c r="B16" s="3" t="str">
        <f>+Distribution!B672</f>
        <v>Distribution Primary Demands - MDD</v>
      </c>
      <c r="C16" s="3" t="str">
        <f>+Distribution!E672</f>
        <v>DEMANDDP</v>
      </c>
      <c r="D16" s="23">
        <f>+Distribution!K672</f>
        <v>4044549.9228943191</v>
      </c>
      <c r="E16" s="23">
        <f>+Distribution!L672</f>
        <v>141089.1404509588</v>
      </c>
      <c r="F16" s="23">
        <f>+Distribution!M672</f>
        <v>2127839.398719538</v>
      </c>
      <c r="G16" s="23">
        <f>+Distribution!P672</f>
        <v>730743.3108918271</v>
      </c>
      <c r="H16" s="23">
        <f>+Distribution!T672</f>
        <v>0</v>
      </c>
      <c r="I16" s="23">
        <f>+Distribution!U672</f>
        <v>79180.024151402962</v>
      </c>
      <c r="J16" s="23">
        <f>+Distribution!V672</f>
        <v>27135.076002842503</v>
      </c>
      <c r="K16" s="23">
        <f t="shared" si="0"/>
        <v>7150536.8731108885</v>
      </c>
    </row>
    <row r="17" spans="1:11" x14ac:dyDescent="0.2">
      <c r="A17" s="4">
        <f t="shared" si="1"/>
        <v>5</v>
      </c>
      <c r="B17" s="3" t="str">
        <f>+Distribution!B673</f>
        <v>Distribution Secondary Demand</v>
      </c>
      <c r="C17" s="3" t="str">
        <f>+Distribution!E673</f>
        <v>DEMANDDS</v>
      </c>
      <c r="D17" s="23">
        <f>+Distribution!K673</f>
        <v>4044549.9228943191</v>
      </c>
      <c r="E17" s="23">
        <f>+Distribution!L673</f>
        <v>141089.1404509588</v>
      </c>
      <c r="F17" s="23">
        <f>+Distribution!M673</f>
        <v>2127839.398719538</v>
      </c>
      <c r="G17" s="23">
        <f>+Distribution!P673</f>
        <v>0</v>
      </c>
      <c r="H17" s="23">
        <f>+Distribution!T673</f>
        <v>0</v>
      </c>
      <c r="I17" s="23">
        <f>+Distribution!U673</f>
        <v>79180.024151402962</v>
      </c>
      <c r="J17" s="23">
        <f>+Distribution!V673</f>
        <v>0</v>
      </c>
      <c r="K17" s="23">
        <f t="shared" si="0"/>
        <v>6392658.4862162182</v>
      </c>
    </row>
    <row r="18" spans="1:11" x14ac:dyDescent="0.2">
      <c r="A18" s="4">
        <f t="shared" si="1"/>
        <v>6</v>
      </c>
      <c r="B18" s="3" t="str">
        <f>+Distribution!B674</f>
        <v>Energy</v>
      </c>
      <c r="C18" s="3" t="str">
        <f>+Distribution!E674</f>
        <v>ENERGY</v>
      </c>
      <c r="D18" s="23">
        <f>+Distribution!K674</f>
        <v>12589882555.539207</v>
      </c>
      <c r="E18" s="23">
        <f>+Distribution!L674</f>
        <v>672100106.11512482</v>
      </c>
      <c r="F18" s="23">
        <f>+Distribution!M674</f>
        <v>9205057207.3266869</v>
      </c>
      <c r="G18" s="23">
        <f>+Distribution!P674</f>
        <v>4525071649.0120554</v>
      </c>
      <c r="H18" s="23">
        <f>+Distribution!T674</f>
        <v>11035696755.195988</v>
      </c>
      <c r="I18" s="23">
        <f>+Distribution!U674</f>
        <v>238384897.60503083</v>
      </c>
      <c r="J18" s="23">
        <f>+Distribution!V674</f>
        <v>29603830.857500002</v>
      </c>
      <c r="K18" s="23">
        <f t="shared" si="0"/>
        <v>38295797001.651588</v>
      </c>
    </row>
    <row r="19" spans="1:11" x14ac:dyDescent="0.2">
      <c r="A19" s="4">
        <f t="shared" si="1"/>
        <v>7</v>
      </c>
      <c r="B19" s="3" t="str">
        <f>+Distribution!B675</f>
        <v>Non-Coincident Peaks</v>
      </c>
      <c r="C19" s="3" t="str">
        <f>+Distribution!E675</f>
        <v>NCP</v>
      </c>
      <c r="D19" s="23">
        <f>+Distribution!K675</f>
        <v>79181810.634783342</v>
      </c>
      <c r="E19" s="23">
        <f>+Distribution!L675</f>
        <v>2897445.3648867225</v>
      </c>
      <c r="F19" s="23">
        <f>+Distribution!M675</f>
        <v>31023216.42432715</v>
      </c>
      <c r="G19" s="23">
        <f>+Distribution!P675</f>
        <v>10189737.794917222</v>
      </c>
      <c r="H19" s="23">
        <f>+Distribution!T675</f>
        <v>25972433.783929482</v>
      </c>
      <c r="I19" s="23">
        <f>+Distribution!U675</f>
        <v>809370.79648379341</v>
      </c>
      <c r="J19" s="23">
        <f>+Distribution!V675</f>
        <v>550613.44022935256</v>
      </c>
      <c r="K19" s="23">
        <f t="shared" si="0"/>
        <v>150624628.23955706</v>
      </c>
    </row>
    <row r="20" spans="1:11" x14ac:dyDescent="0.2">
      <c r="A20" s="4">
        <f t="shared" si="1"/>
        <v>8</v>
      </c>
      <c r="B20" s="3" t="str">
        <f>+Distribution!B676</f>
        <v>Customers</v>
      </c>
      <c r="C20" s="3" t="str">
        <f>+Distribution!E676</f>
        <v>CUSTOMERS</v>
      </c>
      <c r="D20" s="23">
        <f>+Distribution!K676</f>
        <v>935238</v>
      </c>
      <c r="E20" s="23">
        <f>+Distribution!L676</f>
        <v>99366</v>
      </c>
      <c r="F20" s="23">
        <f>+Distribution!M676</f>
        <v>72409</v>
      </c>
      <c r="G20" s="23">
        <f>+Distribution!P676</f>
        <v>1086</v>
      </c>
      <c r="H20" s="23">
        <f>+Distribution!T676</f>
        <v>123</v>
      </c>
      <c r="I20" s="23">
        <f>+Distribution!U676</f>
        <v>221390</v>
      </c>
      <c r="J20" s="23">
        <f>+Distribution!V676</f>
        <v>19</v>
      </c>
      <c r="K20" s="23">
        <f t="shared" si="0"/>
        <v>1329631</v>
      </c>
    </row>
    <row r="21" spans="1:11" x14ac:dyDescent="0.2">
      <c r="A21" s="4">
        <f t="shared" si="1"/>
        <v>9</v>
      </c>
      <c r="B21" s="3" t="str">
        <f>+Distribution!B677</f>
        <v>Distribution Customers</v>
      </c>
      <c r="C21" s="3" t="str">
        <f>+Distribution!E677</f>
        <v>DCUSTOMERS</v>
      </c>
      <c r="D21" s="23">
        <f>+Distribution!K677</f>
        <v>935238</v>
      </c>
      <c r="E21" s="23">
        <f>+Distribution!L677</f>
        <v>99366</v>
      </c>
      <c r="F21" s="23">
        <f>+Distribution!M677</f>
        <v>72409</v>
      </c>
      <c r="G21" s="23">
        <f>+Distribution!P677</f>
        <v>1086</v>
      </c>
      <c r="H21" s="23">
        <f>+Distribution!T677</f>
        <v>0</v>
      </c>
      <c r="I21" s="23">
        <f>+Distribution!U677</f>
        <v>220232</v>
      </c>
      <c r="J21" s="23">
        <f>+Distribution!V677</f>
        <v>19</v>
      </c>
      <c r="K21" s="23">
        <f t="shared" si="0"/>
        <v>1328350</v>
      </c>
    </row>
    <row r="22" spans="1:11" x14ac:dyDescent="0.2">
      <c r="A22" s="4">
        <f t="shared" si="1"/>
        <v>10</v>
      </c>
      <c r="B22" s="3" t="str">
        <f>+Distribution!B678</f>
        <v>Services Account 369</v>
      </c>
      <c r="C22" s="3" t="str">
        <f>+Distribution!E678</f>
        <v>SERVICES</v>
      </c>
      <c r="D22" s="23">
        <f>+Distribution!K678</f>
        <v>935238</v>
      </c>
      <c r="E22" s="23">
        <f>+Distribution!L678</f>
        <v>94498</v>
      </c>
      <c r="F22" s="23">
        <f>+Distribution!M678</f>
        <v>125662</v>
      </c>
      <c r="G22" s="23">
        <f>+Distribution!P678</f>
        <v>0</v>
      </c>
      <c r="H22" s="23">
        <f>+Distribution!T678</f>
        <v>0</v>
      </c>
      <c r="I22" s="23">
        <f>+Distribution!U678</f>
        <v>0</v>
      </c>
      <c r="J22" s="23">
        <f>+Distribution!V678</f>
        <v>0</v>
      </c>
      <c r="K22" s="23">
        <f t="shared" si="0"/>
        <v>1155398</v>
      </c>
    </row>
    <row r="23" spans="1:11" x14ac:dyDescent="0.2">
      <c r="A23" s="4">
        <f t="shared" si="1"/>
        <v>11</v>
      </c>
      <c r="B23" s="3" t="str">
        <f>+Distribution!B679</f>
        <v>Meters Account 370</v>
      </c>
      <c r="C23" s="3" t="str">
        <f>+Distribution!E679</f>
        <v>METERS</v>
      </c>
      <c r="D23" s="23">
        <f>+Distribution!K679</f>
        <v>935238</v>
      </c>
      <c r="E23" s="23">
        <f>+Distribution!L679</f>
        <v>177705.24038775123</v>
      </c>
      <c r="F23" s="23">
        <f>+Distribution!M679</f>
        <v>705477.8436128865</v>
      </c>
      <c r="G23" s="23">
        <f>+Distribution!P679</f>
        <v>94875.887253449953</v>
      </c>
      <c r="H23" s="23">
        <f>+Distribution!T679</f>
        <v>79975.917773878275</v>
      </c>
      <c r="I23" s="23">
        <f>+Distribution!U679</f>
        <v>0</v>
      </c>
      <c r="J23" s="23">
        <f>+Distribution!V679</f>
        <v>1659.8912134581485</v>
      </c>
      <c r="K23" s="23">
        <f t="shared" si="0"/>
        <v>1994932.7802414242</v>
      </c>
    </row>
    <row r="24" spans="1:11" x14ac:dyDescent="0.2">
      <c r="A24" s="4">
        <f t="shared" si="1"/>
        <v>12</v>
      </c>
      <c r="B24" s="3" t="str">
        <f>+Distribution!B680</f>
        <v>Non-Roadway Lighting Account 371</v>
      </c>
      <c r="C24" s="3" t="str">
        <f>+Distribution!E680</f>
        <v>NROADLIGHT</v>
      </c>
      <c r="D24" s="23">
        <f>+Distribution!K680</f>
        <v>0</v>
      </c>
      <c r="E24" s="23">
        <f>+Distribution!L680</f>
        <v>0</v>
      </c>
      <c r="F24" s="23">
        <f>+Distribution!M680</f>
        <v>0</v>
      </c>
      <c r="G24" s="23">
        <f>+Distribution!P680</f>
        <v>0</v>
      </c>
      <c r="H24" s="23">
        <f>+Distribution!T680</f>
        <v>0</v>
      </c>
      <c r="I24" s="23">
        <f>+Distribution!U680</f>
        <v>112909952.16154858</v>
      </c>
      <c r="J24" s="23">
        <f>+Distribution!V680</f>
        <v>0</v>
      </c>
      <c r="K24" s="23">
        <f t="shared" si="0"/>
        <v>112909952.16154858</v>
      </c>
    </row>
    <row r="25" spans="1:11" x14ac:dyDescent="0.2">
      <c r="A25" s="4">
        <f t="shared" si="1"/>
        <v>13</v>
      </c>
      <c r="B25" s="3" t="str">
        <f>+Distribution!B681</f>
        <v>Roadway Lighting Account 373</v>
      </c>
      <c r="C25" s="3" t="str">
        <f>+Distribution!E681</f>
        <v>ROADLIGHT</v>
      </c>
      <c r="D25" s="23">
        <f>+Distribution!K681</f>
        <v>0</v>
      </c>
      <c r="E25" s="23">
        <f>+Distribution!L681</f>
        <v>0</v>
      </c>
      <c r="F25" s="23">
        <f>+Distribution!M681</f>
        <v>0</v>
      </c>
      <c r="G25" s="23">
        <f>+Distribution!P681</f>
        <v>0</v>
      </c>
      <c r="H25" s="23">
        <f>+Distribution!T681</f>
        <v>0</v>
      </c>
      <c r="I25" s="23">
        <f>+Distribution!U681</f>
        <v>125474945.44348232</v>
      </c>
      <c r="J25" s="23">
        <f>+Distribution!V681</f>
        <v>0</v>
      </c>
      <c r="K25" s="23">
        <f t="shared" si="0"/>
        <v>125474945.44348232</v>
      </c>
    </row>
    <row r="26" spans="1:11" x14ac:dyDescent="0.2">
      <c r="A26" s="4">
        <f t="shared" si="1"/>
        <v>14</v>
      </c>
      <c r="B26" s="3" t="str">
        <f>+Distribution!B682</f>
        <v>Meter Reading Expense 902</v>
      </c>
      <c r="C26" s="3" t="str">
        <f>+Distribution!E682</f>
        <v>METEREAD</v>
      </c>
      <c r="D26" s="23">
        <f>+Distribution!K682</f>
        <v>935238</v>
      </c>
      <c r="E26" s="23">
        <f>+Distribution!L682</f>
        <v>97741</v>
      </c>
      <c r="F26" s="23">
        <f>+Distribution!M682</f>
        <v>73006</v>
      </c>
      <c r="G26" s="23">
        <f>+Distribution!P682</f>
        <v>1117</v>
      </c>
      <c r="H26" s="23">
        <f>+Distribution!T682</f>
        <v>0</v>
      </c>
      <c r="I26" s="23">
        <f>+Distribution!U682</f>
        <v>0</v>
      </c>
      <c r="J26" s="23">
        <f>+Distribution!V682</f>
        <v>20</v>
      </c>
      <c r="K26" s="23">
        <f t="shared" si="0"/>
        <v>1107122</v>
      </c>
    </row>
    <row r="27" spans="1:11" x14ac:dyDescent="0.2">
      <c r="A27" s="4">
        <f t="shared" si="1"/>
        <v>15</v>
      </c>
      <c r="B27" s="3" t="str">
        <f>+Distribution!B683</f>
        <v>Billing 903</v>
      </c>
      <c r="C27" s="3" t="str">
        <f>+Distribution!E683</f>
        <v>BILLING</v>
      </c>
      <c r="D27" s="23">
        <f>+Distribution!K683</f>
        <v>935238</v>
      </c>
      <c r="E27" s="23">
        <f>+Distribution!L683</f>
        <v>99366</v>
      </c>
      <c r="F27" s="23">
        <f>+Distribution!M683</f>
        <v>72409</v>
      </c>
      <c r="G27" s="23">
        <f>+Distribution!P683</f>
        <v>1105</v>
      </c>
      <c r="H27" s="23">
        <f>+Distribution!T683</f>
        <v>124.16666666666667</v>
      </c>
      <c r="I27" s="23">
        <f>+Distribution!U683</f>
        <v>2628</v>
      </c>
      <c r="J27" s="23">
        <f>+Distribution!V683</f>
        <v>19</v>
      </c>
      <c r="K27" s="23">
        <f t="shared" si="0"/>
        <v>1110889.1666666667</v>
      </c>
    </row>
    <row r="28" spans="1:11" x14ac:dyDescent="0.2">
      <c r="A28" s="4">
        <f t="shared" si="1"/>
        <v>16</v>
      </c>
      <c r="B28" s="3" t="str">
        <f>+Distribution!B684</f>
        <v>Customer Deposits</v>
      </c>
      <c r="C28" s="3" t="str">
        <f>+Distribution!E684</f>
        <v>CUSTDEP</v>
      </c>
      <c r="D28" s="23">
        <f>+Distribution!K684</f>
        <v>0</v>
      </c>
      <c r="E28" s="23">
        <f>+Distribution!L684</f>
        <v>0</v>
      </c>
      <c r="F28" s="23">
        <f>+Distribution!M684</f>
        <v>0</v>
      </c>
      <c r="G28" s="23">
        <f>+Distribution!P684</f>
        <v>0</v>
      </c>
      <c r="H28" s="23">
        <f>+Distribution!T684</f>
        <v>0</v>
      </c>
      <c r="I28" s="23">
        <f>+Distribution!U684</f>
        <v>0</v>
      </c>
      <c r="J28" s="23">
        <f>+Distribution!V684</f>
        <v>0</v>
      </c>
      <c r="K28" s="23">
        <f t="shared" si="0"/>
        <v>0</v>
      </c>
    </row>
    <row r="29" spans="1:11" x14ac:dyDescent="0.2">
      <c r="A29" s="4">
        <f t="shared" si="1"/>
        <v>17</v>
      </c>
      <c r="B29" s="3" t="str">
        <f>+Distribution!B685</f>
        <v>Taxable Income</v>
      </c>
      <c r="C29" s="3" t="str">
        <f>+Distribution!E685</f>
        <v>TAXINC</v>
      </c>
      <c r="D29" s="23">
        <f ca="1">+Distribution!K685</f>
        <v>113829285.81345591</v>
      </c>
      <c r="E29" s="23">
        <f ca="1">+Distribution!L685</f>
        <v>4403581.2006934974</v>
      </c>
      <c r="F29" s="23">
        <f ca="1">+Distribution!M685</f>
        <v>57323383.916389585</v>
      </c>
      <c r="G29" s="23">
        <f ca="1">+Distribution!P685</f>
        <v>12927923.086625174</v>
      </c>
      <c r="H29" s="23">
        <f ca="1">+Distribution!T685</f>
        <v>79.822873624577525</v>
      </c>
      <c r="I29" s="23">
        <f ca="1">+Distribution!U685</f>
        <v>7756309.8053918369</v>
      </c>
      <c r="J29" s="23">
        <f ca="1">+Distribution!V685</f>
        <v>480047.15505539888</v>
      </c>
      <c r="K29" s="23">
        <f t="shared" ca="1" si="0"/>
        <v>196720610.80048504</v>
      </c>
    </row>
    <row r="30" spans="1:11" x14ac:dyDescent="0.2">
      <c r="A30" s="4">
        <f t="shared" si="1"/>
        <v>18</v>
      </c>
      <c r="B30" s="3" t="str">
        <f>+Distribution!B686</f>
        <v>Large Cust Acct Rep Alloc to C&amp;I Cust</v>
      </c>
      <c r="C30" s="3" t="str">
        <f>+Distribution!E686</f>
        <v>LCUST</v>
      </c>
      <c r="D30" s="23">
        <f>+Distribution!K686</f>
        <v>0</v>
      </c>
      <c r="E30" s="23">
        <f>+Distribution!L686</f>
        <v>0</v>
      </c>
      <c r="F30" s="23">
        <f>+Distribution!M686</f>
        <v>72409</v>
      </c>
      <c r="G30" s="23">
        <f>+Distribution!P686</f>
        <v>1086</v>
      </c>
      <c r="H30" s="23">
        <f>+Distribution!T686</f>
        <v>123</v>
      </c>
      <c r="I30" s="23">
        <f>+Distribution!U686</f>
        <v>0</v>
      </c>
      <c r="J30" s="23">
        <f>+Distribution!V686</f>
        <v>19</v>
      </c>
      <c r="K30" s="23">
        <f t="shared" si="0"/>
        <v>73637</v>
      </c>
    </row>
    <row r="31" spans="1:11" x14ac:dyDescent="0.2">
      <c r="A31" s="4">
        <f t="shared" si="1"/>
        <v>19</v>
      </c>
      <c r="B31" s="3" t="str">
        <f>+Distribution!B687</f>
        <v>Customers Excluding Large Cust Rep Alloc</v>
      </c>
      <c r="C31" s="3" t="str">
        <f>+Distribution!E687</f>
        <v>XCUST</v>
      </c>
      <c r="D31" s="23">
        <f>+Distribution!K687</f>
        <v>935238</v>
      </c>
      <c r="E31" s="23">
        <f>+Distribution!L687</f>
        <v>99366</v>
      </c>
      <c r="F31" s="23">
        <f>+Distribution!M687</f>
        <v>0</v>
      </c>
      <c r="G31" s="23">
        <f>+Distribution!P687</f>
        <v>0</v>
      </c>
      <c r="H31" s="23">
        <f>+Distribution!T687</f>
        <v>0</v>
      </c>
      <c r="I31" s="23">
        <f>+Distribution!U687</f>
        <v>221390</v>
      </c>
      <c r="J31" s="23">
        <f>+Distribution!V687</f>
        <v>0</v>
      </c>
      <c r="K31" s="23">
        <f t="shared" si="0"/>
        <v>1255994</v>
      </c>
    </row>
    <row r="32" spans="1:11" x14ac:dyDescent="0.2">
      <c r="A32" s="4">
        <f t="shared" si="1"/>
        <v>20</v>
      </c>
      <c r="B32" s="3" t="str">
        <f>+Distribution!B688</f>
        <v>Energy @ Meter</v>
      </c>
      <c r="C32" s="3" t="str">
        <f>+Distribution!E688</f>
        <v>ENERGYM</v>
      </c>
      <c r="D32" s="23">
        <f>+Distribution!K688</f>
        <v>12589882555.539207</v>
      </c>
      <c r="E32" s="23">
        <f>+Distribution!L688</f>
        <v>672100106.11512482</v>
      </c>
      <c r="F32" s="23">
        <f>+Distribution!M688</f>
        <v>9205057207.3266869</v>
      </c>
      <c r="G32" s="23">
        <f>+Distribution!P688</f>
        <v>4525071649.0120554</v>
      </c>
      <c r="H32" s="23">
        <f>+Distribution!T688</f>
        <v>11035696755.195988</v>
      </c>
      <c r="I32" s="23">
        <f>+Distribution!U688</f>
        <v>238384897.60503083</v>
      </c>
      <c r="J32" s="23">
        <f>+Distribution!V688</f>
        <v>29603830.857500002</v>
      </c>
      <c r="K32" s="23">
        <f t="shared" si="0"/>
        <v>38295797001.651588</v>
      </c>
    </row>
    <row r="33" spans="1:11" x14ac:dyDescent="0.2">
      <c r="A33" s="4">
        <f t="shared" si="1"/>
        <v>21</v>
      </c>
      <c r="B33" s="3" t="str">
        <f>+Distribution!B689</f>
        <v>Retail Energy @ Meter</v>
      </c>
      <c r="C33" s="3" t="str">
        <f>+Distribution!E689</f>
        <v>TENERGYM</v>
      </c>
      <c r="D33" s="23">
        <f>+Distribution!K689</f>
        <v>12589882555.539207</v>
      </c>
      <c r="E33" s="23">
        <f>+Distribution!L689</f>
        <v>672100106.11512482</v>
      </c>
      <c r="F33" s="23">
        <f>+Distribution!M689</f>
        <v>9205057207.3266869</v>
      </c>
      <c r="G33" s="23">
        <f>+Distribution!P689</f>
        <v>4525071649.0120554</v>
      </c>
      <c r="H33" s="23">
        <f>+Distribution!T689</f>
        <v>11035696755.195988</v>
      </c>
      <c r="I33" s="23">
        <f>+Distribution!U689</f>
        <v>238384897.60503083</v>
      </c>
      <c r="J33" s="23">
        <f>+Distribution!V689</f>
        <v>29603830.857500002</v>
      </c>
      <c r="K33" s="23">
        <f t="shared" si="0"/>
        <v>38295797001.651588</v>
      </c>
    </row>
    <row r="34" spans="1:11" x14ac:dyDescent="0.2">
      <c r="A34" s="4">
        <f t="shared" si="1"/>
        <v>22</v>
      </c>
      <c r="B34" s="3" t="str">
        <f>+Distribution!B690</f>
        <v>Retail Energy @ Source</v>
      </c>
      <c r="C34" s="3" t="str">
        <f>+Distribution!E690</f>
        <v>TENERGY</v>
      </c>
      <c r="D34" s="23">
        <f>+Distribution!K690</f>
        <v>13539159700.226864</v>
      </c>
      <c r="E34" s="23">
        <f>+Distribution!L690</f>
        <v>722776454.1162051</v>
      </c>
      <c r="F34" s="23">
        <f>+Distribution!M690</f>
        <v>9899118520.7591171</v>
      </c>
      <c r="G34" s="23">
        <f>+Distribution!P690</f>
        <v>4727025596.7074633</v>
      </c>
      <c r="H34" s="23">
        <f>+Distribution!T690</f>
        <v>11257072832.105221</v>
      </c>
      <c r="I34" s="23">
        <f>+Distribution!U690</f>
        <v>256359118.88445011</v>
      </c>
      <c r="J34" s="23">
        <f>+Distribution!V690</f>
        <v>30925049.828670219</v>
      </c>
      <c r="K34" s="23">
        <f t="shared" si="0"/>
        <v>40432437272.627991</v>
      </c>
    </row>
    <row r="35" spans="1:11" x14ac:dyDescent="0.2">
      <c r="A35" s="4">
        <f t="shared" si="1"/>
        <v>23</v>
      </c>
      <c r="B35" s="3" t="str">
        <f>+Distribution!B691</f>
        <v>Transmission Plant</v>
      </c>
      <c r="C35" s="3" t="str">
        <f>+Distribution!E691</f>
        <v>TRANPLT</v>
      </c>
      <c r="D35" s="23">
        <f>+Distribution!K691</f>
        <v>0</v>
      </c>
      <c r="E35" s="23">
        <f>+Distribution!L691</f>
        <v>0</v>
      </c>
      <c r="F35" s="23">
        <f>+Distribution!M691</f>
        <v>0</v>
      </c>
      <c r="G35" s="23">
        <f>+Distribution!P691</f>
        <v>0</v>
      </c>
      <c r="H35" s="23">
        <f>+Distribution!T691</f>
        <v>0</v>
      </c>
      <c r="I35" s="23">
        <f>+Distribution!U691</f>
        <v>0</v>
      </c>
      <c r="J35" s="23">
        <f>+Distribution!V691</f>
        <v>0</v>
      </c>
      <c r="K35" s="23">
        <f t="shared" si="0"/>
        <v>0</v>
      </c>
    </row>
    <row r="36" spans="1:11" x14ac:dyDescent="0.2">
      <c r="A36" s="4">
        <f t="shared" si="1"/>
        <v>24</v>
      </c>
      <c r="B36" s="3" t="str">
        <f>+Distribution!B692</f>
        <v>Texas Transmission Plant</v>
      </c>
      <c r="C36" s="3" t="str">
        <f>+Distribution!E692</f>
        <v>TTRANPLT</v>
      </c>
      <c r="D36" s="23">
        <f>+Distribution!K692</f>
        <v>0</v>
      </c>
      <c r="E36" s="23">
        <f>+Distribution!L692</f>
        <v>0</v>
      </c>
      <c r="F36" s="23">
        <f>+Distribution!M692</f>
        <v>0</v>
      </c>
      <c r="G36" s="23">
        <f>+Distribution!P692</f>
        <v>0</v>
      </c>
      <c r="H36" s="23">
        <f>+Distribution!T692</f>
        <v>0</v>
      </c>
      <c r="I36" s="23">
        <f>+Distribution!U692</f>
        <v>0</v>
      </c>
      <c r="J36" s="23">
        <f>+Distribution!V692</f>
        <v>0</v>
      </c>
      <c r="K36" s="23">
        <f t="shared" si="0"/>
        <v>0</v>
      </c>
    </row>
    <row r="37" spans="1:11" x14ac:dyDescent="0.2">
      <c r="A37" s="4">
        <f t="shared" si="1"/>
        <v>25</v>
      </c>
      <c r="B37" s="3" t="str">
        <f>+Distribution!B693</f>
        <v>Other Jurisdiction Transmission Plant</v>
      </c>
      <c r="C37" s="3" t="str">
        <f>+Distribution!E693</f>
        <v>OTRANPLT</v>
      </c>
      <c r="D37" s="23">
        <f>+Distribution!K693</f>
        <v>0</v>
      </c>
      <c r="E37" s="23">
        <f>+Distribution!L693</f>
        <v>0</v>
      </c>
      <c r="F37" s="23">
        <f>+Distribution!M693</f>
        <v>0</v>
      </c>
      <c r="G37" s="23">
        <f>+Distribution!P693</f>
        <v>0</v>
      </c>
      <c r="H37" s="23">
        <f>+Distribution!T693</f>
        <v>0</v>
      </c>
      <c r="I37" s="23">
        <f>+Distribution!U693</f>
        <v>0</v>
      </c>
      <c r="J37" s="23">
        <f>+Distribution!V693</f>
        <v>0</v>
      </c>
      <c r="K37" s="23">
        <f t="shared" si="0"/>
        <v>0</v>
      </c>
    </row>
    <row r="38" spans="1:11" x14ac:dyDescent="0.2">
      <c r="A38" s="4">
        <f t="shared" si="1"/>
        <v>26</v>
      </c>
      <c r="B38" s="3" t="str">
        <f>+Distribution!B694</f>
        <v>Distribution Plant</v>
      </c>
      <c r="C38" s="3" t="str">
        <f>+Distribution!E694</f>
        <v>DISTPLT</v>
      </c>
      <c r="D38" s="23">
        <f>+Distribution!K694</f>
        <v>3215444143.0635533</v>
      </c>
      <c r="E38" s="23">
        <f>+Distribution!L694</f>
        <v>134154026.56165403</v>
      </c>
      <c r="F38" s="23">
        <f>+Distribution!M694</f>
        <v>1561454898.387897</v>
      </c>
      <c r="G38" s="23">
        <f>+Distribution!P694</f>
        <v>336942598.7382285</v>
      </c>
      <c r="H38" s="23">
        <f>+Distribution!T694</f>
        <v>0</v>
      </c>
      <c r="I38" s="23">
        <f>+Distribution!U694</f>
        <v>270429476.51136535</v>
      </c>
      <c r="J38" s="23">
        <f>+Distribution!V694</f>
        <v>12511866.874564579</v>
      </c>
      <c r="K38" s="23">
        <f t="shared" si="0"/>
        <v>5530937010.1372623</v>
      </c>
    </row>
    <row r="39" spans="1:11" x14ac:dyDescent="0.2">
      <c r="A39" s="4">
        <f t="shared" si="1"/>
        <v>27</v>
      </c>
      <c r="B39" s="3" t="str">
        <f>+Distribution!B695</f>
        <v>Texas Distribution Plant</v>
      </c>
      <c r="C39" s="3" t="str">
        <f>+Distribution!E695</f>
        <v>TDISTPLT</v>
      </c>
      <c r="D39" s="23">
        <f>+Distribution!K695</f>
        <v>3215444143.0635533</v>
      </c>
      <c r="E39" s="23">
        <f>+Distribution!L695</f>
        <v>134154026.56165403</v>
      </c>
      <c r="F39" s="23">
        <f>+Distribution!M695</f>
        <v>1561454898.387897</v>
      </c>
      <c r="G39" s="23">
        <f>+Distribution!P695</f>
        <v>336942598.7382285</v>
      </c>
      <c r="H39" s="23">
        <f>+Distribution!T695</f>
        <v>0</v>
      </c>
      <c r="I39" s="23">
        <f>+Distribution!U695</f>
        <v>270429476.51136535</v>
      </c>
      <c r="J39" s="23">
        <f>+Distribution!V695</f>
        <v>12511866.874564579</v>
      </c>
      <c r="K39" s="23">
        <f t="shared" si="0"/>
        <v>5530937010.1372623</v>
      </c>
    </row>
    <row r="40" spans="1:11" x14ac:dyDescent="0.2">
      <c r="A40" s="4">
        <f t="shared" si="1"/>
        <v>28</v>
      </c>
      <c r="B40" s="3" t="str">
        <f>+Distribution!B696</f>
        <v>Other Jurisdiction Distribution Plant</v>
      </c>
      <c r="C40" s="3" t="str">
        <f>+Distribution!E696</f>
        <v>ODISTPLT</v>
      </c>
      <c r="D40" s="23">
        <f>+Distribution!K696</f>
        <v>0</v>
      </c>
      <c r="E40" s="23">
        <f>+Distribution!L696</f>
        <v>0</v>
      </c>
      <c r="F40" s="23">
        <f>+Distribution!M696</f>
        <v>0</v>
      </c>
      <c r="G40" s="23">
        <f>+Distribution!P696</f>
        <v>0</v>
      </c>
      <c r="H40" s="23">
        <f>+Distribution!T696</f>
        <v>0</v>
      </c>
      <c r="I40" s="23">
        <f>+Distribution!U696</f>
        <v>0</v>
      </c>
      <c r="J40" s="23">
        <f>+Distribution!V696</f>
        <v>0</v>
      </c>
      <c r="K40" s="23">
        <f t="shared" si="0"/>
        <v>0</v>
      </c>
    </row>
    <row r="41" spans="1:11" x14ac:dyDescent="0.2">
      <c r="A41" s="4">
        <f t="shared" si="1"/>
        <v>29</v>
      </c>
      <c r="B41" s="3" t="str">
        <f>+Distribution!B697</f>
        <v>General Plant</v>
      </c>
      <c r="C41" s="3" t="str">
        <f>+Distribution!E697</f>
        <v>GENPLT</v>
      </c>
      <c r="D41" s="23">
        <f>+Distribution!K697</f>
        <v>374429097.08715796</v>
      </c>
      <c r="E41" s="23">
        <f>+Distribution!L697</f>
        <v>13848029.661500804</v>
      </c>
      <c r="F41" s="23">
        <f>+Distribution!M697</f>
        <v>192345282.15216929</v>
      </c>
      <c r="G41" s="23">
        <f>+Distribution!P697</f>
        <v>50725801.780545503</v>
      </c>
      <c r="H41" s="23">
        <f>+Distribution!T697</f>
        <v>3510.6265767848458</v>
      </c>
      <c r="I41" s="23">
        <f>+Distribution!U697</f>
        <v>18304515.136973433</v>
      </c>
      <c r="J41" s="23">
        <f>+Distribution!V697</f>
        <v>1883091.0224841544</v>
      </c>
      <c r="K41" s="23">
        <f t="shared" si="0"/>
        <v>651539327.46740794</v>
      </c>
    </row>
    <row r="42" spans="1:11" x14ac:dyDescent="0.2">
      <c r="A42" s="4">
        <f t="shared" si="1"/>
        <v>30</v>
      </c>
      <c r="B42" s="3" t="str">
        <f>+Distribution!B698</f>
        <v>Texas General Plant</v>
      </c>
      <c r="C42" s="3" t="str">
        <f>+Distribution!E698</f>
        <v>TGENPLT</v>
      </c>
      <c r="D42" s="23">
        <f>+Distribution!K698</f>
        <v>374429097.08715796</v>
      </c>
      <c r="E42" s="23">
        <f>+Distribution!L698</f>
        <v>13848029.661500804</v>
      </c>
      <c r="F42" s="23">
        <f>+Distribution!M698</f>
        <v>192345282.15216929</v>
      </c>
      <c r="G42" s="23">
        <f>+Distribution!P698</f>
        <v>50725801.780545503</v>
      </c>
      <c r="H42" s="23">
        <f>+Distribution!T698</f>
        <v>3510.6265767848458</v>
      </c>
      <c r="I42" s="23">
        <f>+Distribution!U698</f>
        <v>18304515.136973433</v>
      </c>
      <c r="J42" s="23">
        <f>+Distribution!V698</f>
        <v>1883091.0224841544</v>
      </c>
      <c r="K42" s="23">
        <f t="shared" si="0"/>
        <v>651539327.46740794</v>
      </c>
    </row>
    <row r="43" spans="1:11" x14ac:dyDescent="0.2">
      <c r="A43" s="4">
        <f t="shared" si="1"/>
        <v>31</v>
      </c>
      <c r="B43" s="3" t="str">
        <f>+Distribution!B699</f>
        <v>Other Jurisdiction General Plant</v>
      </c>
      <c r="C43" s="3" t="str">
        <f>+Distribution!E699</f>
        <v>OGENPLT</v>
      </c>
      <c r="D43" s="23">
        <f>+Distribution!K699</f>
        <v>0</v>
      </c>
      <c r="E43" s="23">
        <f>+Distribution!L699</f>
        <v>0</v>
      </c>
      <c r="F43" s="23">
        <f>+Distribution!M699</f>
        <v>0</v>
      </c>
      <c r="G43" s="23">
        <f>+Distribution!P699</f>
        <v>0</v>
      </c>
      <c r="H43" s="23">
        <f>+Distribution!T699</f>
        <v>0</v>
      </c>
      <c r="I43" s="23">
        <f>+Distribution!U699</f>
        <v>0</v>
      </c>
      <c r="J43" s="23">
        <f>+Distribution!V699</f>
        <v>0</v>
      </c>
      <c r="K43" s="23">
        <f t="shared" si="0"/>
        <v>0</v>
      </c>
    </row>
    <row r="44" spans="1:11" x14ac:dyDescent="0.2">
      <c r="A44" s="4">
        <f t="shared" si="1"/>
        <v>32</v>
      </c>
      <c r="B44" s="3" t="str">
        <f>+Distribution!B700</f>
        <v>Intangible Plant</v>
      </c>
      <c r="C44" s="3" t="str">
        <f>+Distribution!E700</f>
        <v>INTANPLT</v>
      </c>
      <c r="D44" s="23">
        <f>+Distribution!K700</f>
        <v>87564018.925074622</v>
      </c>
      <c r="E44" s="23">
        <f>+Distribution!L700</f>
        <v>3238501.3365357928</v>
      </c>
      <c r="F44" s="23">
        <f>+Distribution!M700</f>
        <v>44981883.239167288</v>
      </c>
      <c r="G44" s="23">
        <f>+Distribution!P700</f>
        <v>11862740.106619805</v>
      </c>
      <c r="H44" s="23">
        <f>+Distribution!T700</f>
        <v>820.99541515306419</v>
      </c>
      <c r="I44" s="23">
        <f>+Distribution!U700</f>
        <v>4280695.3902280722</v>
      </c>
      <c r="J44" s="23">
        <f>+Distribution!V700</f>
        <v>440379.81880467484</v>
      </c>
      <c r="K44" s="23">
        <f t="shared" si="0"/>
        <v>152369039.81184542</v>
      </c>
    </row>
    <row r="45" spans="1:11" x14ac:dyDescent="0.2">
      <c r="A45" s="4">
        <f t="shared" si="1"/>
        <v>33</v>
      </c>
      <c r="B45" s="3" t="str">
        <f>+Distribution!B701</f>
        <v>Texas Intangible Plant</v>
      </c>
      <c r="C45" s="3" t="str">
        <f>+Distribution!E701</f>
        <v>TINTANPLT</v>
      </c>
      <c r="D45" s="23">
        <f>+Distribution!K701</f>
        <v>87564018.925074622</v>
      </c>
      <c r="E45" s="23">
        <f>+Distribution!L701</f>
        <v>3238501.3365357928</v>
      </c>
      <c r="F45" s="23">
        <f>+Distribution!M701</f>
        <v>44981883.239167288</v>
      </c>
      <c r="G45" s="23">
        <f>+Distribution!P701</f>
        <v>11862740.106619805</v>
      </c>
      <c r="H45" s="23">
        <f>+Distribution!T701</f>
        <v>820.99541515306419</v>
      </c>
      <c r="I45" s="23">
        <f>+Distribution!U701</f>
        <v>4280695.3902280722</v>
      </c>
      <c r="J45" s="23">
        <f>+Distribution!V701</f>
        <v>440379.81880467484</v>
      </c>
      <c r="K45" s="23">
        <f t="shared" si="0"/>
        <v>152369039.81184542</v>
      </c>
    </row>
    <row r="46" spans="1:11" x14ac:dyDescent="0.2">
      <c r="A46" s="4">
        <f t="shared" si="1"/>
        <v>34</v>
      </c>
      <c r="B46" s="3" t="str">
        <f>+Distribution!B702</f>
        <v>Other Jurisdiction Intangible Plant</v>
      </c>
      <c r="C46" s="3" t="str">
        <f>+Distribution!E702</f>
        <v>OINTANPLT</v>
      </c>
      <c r="D46" s="23">
        <f>+Distribution!K702</f>
        <v>0</v>
      </c>
      <c r="E46" s="23">
        <f>+Distribution!L702</f>
        <v>0</v>
      </c>
      <c r="F46" s="23">
        <f>+Distribution!M702</f>
        <v>0</v>
      </c>
      <c r="G46" s="23">
        <f>+Distribution!P702</f>
        <v>0</v>
      </c>
      <c r="H46" s="23">
        <f>+Distribution!T702</f>
        <v>0</v>
      </c>
      <c r="I46" s="23">
        <f>+Distribution!U702</f>
        <v>0</v>
      </c>
      <c r="J46" s="23">
        <f>+Distribution!V702</f>
        <v>0</v>
      </c>
      <c r="K46" s="23">
        <f t="shared" si="0"/>
        <v>0</v>
      </c>
    </row>
    <row r="47" spans="1:11" x14ac:dyDescent="0.2">
      <c r="A47" s="4">
        <f t="shared" si="1"/>
        <v>35</v>
      </c>
      <c r="B47" s="3" t="str">
        <f>+Distribution!B703</f>
        <v>Plant in Service</v>
      </c>
      <c r="C47" s="3" t="str">
        <f>+Distribution!E703</f>
        <v>PLTSVC</v>
      </c>
      <c r="D47" s="23">
        <f>+Distribution!K703</f>
        <v>3677437259.0757861</v>
      </c>
      <c r="E47" s="23">
        <f>+Distribution!L703</f>
        <v>151240557.55969059</v>
      </c>
      <c r="F47" s="23">
        <f>+Distribution!M703</f>
        <v>1798782063.7792335</v>
      </c>
      <c r="G47" s="23">
        <f>+Distribution!P703</f>
        <v>399531140.62539381</v>
      </c>
      <c r="H47" s="23">
        <f>+Distribution!T703</f>
        <v>4331.62199193791</v>
      </c>
      <c r="I47" s="23">
        <f>+Distribution!U703</f>
        <v>293014687.03856689</v>
      </c>
      <c r="J47" s="23">
        <f>+Distribution!V703</f>
        <v>14835337.71585341</v>
      </c>
      <c r="K47" s="23">
        <f t="shared" si="0"/>
        <v>6334845377.4165163</v>
      </c>
    </row>
    <row r="48" spans="1:11" x14ac:dyDescent="0.2">
      <c r="A48" s="4">
        <f t="shared" si="1"/>
        <v>36</v>
      </c>
      <c r="B48" s="3" t="str">
        <f>+Distribution!B704</f>
        <v>Net Plant</v>
      </c>
      <c r="C48" s="3" t="str">
        <f>+Distribution!E704</f>
        <v>NPLT</v>
      </c>
      <c r="D48" s="23">
        <f>+Distribution!K704</f>
        <v>2766270292.5032372</v>
      </c>
      <c r="E48" s="23">
        <f>+Distribution!L704</f>
        <v>108262513.28756109</v>
      </c>
      <c r="F48" s="23">
        <f>+Distribution!M704</f>
        <v>1385688460.6544116</v>
      </c>
      <c r="G48" s="23">
        <f>+Distribution!P704</f>
        <v>310021812.83500201</v>
      </c>
      <c r="H48" s="23">
        <f>+Distribution!T704</f>
        <v>3096.0799648287075</v>
      </c>
      <c r="I48" s="23">
        <f>+Distribution!U704</f>
        <v>195329931.3740873</v>
      </c>
      <c r="J48" s="23">
        <f>+Distribution!V704</f>
        <v>11511729.682011461</v>
      </c>
      <c r="K48" s="23">
        <f t="shared" si="0"/>
        <v>4777087836.416275</v>
      </c>
    </row>
    <row r="49" spans="1:11" x14ac:dyDescent="0.2">
      <c r="A49" s="4">
        <f t="shared" si="1"/>
        <v>37</v>
      </c>
      <c r="B49" s="3" t="str">
        <f>+Distribution!B705</f>
        <v>Plant excluding General</v>
      </c>
      <c r="C49" s="3" t="str">
        <f>+Distribution!E705</f>
        <v>PLTXGENL</v>
      </c>
      <c r="D49" s="23">
        <f>+Distribution!K705</f>
        <v>3303008161.9886279</v>
      </c>
      <c r="E49" s="23">
        <f>+Distribution!L705</f>
        <v>137392527.89818981</v>
      </c>
      <c r="F49" s="23">
        <f>+Distribution!M705</f>
        <v>1606436781.6270642</v>
      </c>
      <c r="G49" s="23">
        <f>+Distribution!P705</f>
        <v>348805338.84484828</v>
      </c>
      <c r="H49" s="23">
        <f>+Distribution!T705</f>
        <v>820.99541515306419</v>
      </c>
      <c r="I49" s="23">
        <f>+Distribution!U705</f>
        <v>274710171.90159345</v>
      </c>
      <c r="J49" s="23">
        <f>+Distribution!V705</f>
        <v>12952246.693369254</v>
      </c>
      <c r="K49" s="23">
        <f t="shared" si="0"/>
        <v>5683306049.9491072</v>
      </c>
    </row>
    <row r="50" spans="1:11" x14ac:dyDescent="0.2">
      <c r="A50" s="4">
        <f t="shared" si="1"/>
        <v>38</v>
      </c>
      <c r="B50" s="3" t="str">
        <f>+Distribution!B706</f>
        <v>Production, Transmission and Distribution Plant</v>
      </c>
      <c r="C50" s="3" t="str">
        <f>+Distribution!E706</f>
        <v>PTDPLT</v>
      </c>
      <c r="D50" s="23">
        <f>+Distribution!K706</f>
        <v>3215444143.0635533</v>
      </c>
      <c r="E50" s="23">
        <f>+Distribution!L706</f>
        <v>134154026.56165403</v>
      </c>
      <c r="F50" s="23">
        <f>+Distribution!M706</f>
        <v>1561454898.387897</v>
      </c>
      <c r="G50" s="23">
        <f>+Distribution!P706</f>
        <v>336942598.7382285</v>
      </c>
      <c r="H50" s="23">
        <f>+Distribution!T706</f>
        <v>0</v>
      </c>
      <c r="I50" s="23">
        <f>+Distribution!U706</f>
        <v>270429476.51136535</v>
      </c>
      <c r="J50" s="23">
        <f>+Distribution!V706</f>
        <v>12511866.874564579</v>
      </c>
      <c r="K50" s="23">
        <f t="shared" si="0"/>
        <v>5530937010.1372623</v>
      </c>
    </row>
    <row r="51" spans="1:11" x14ac:dyDescent="0.2">
      <c r="A51" s="4">
        <f t="shared" si="1"/>
        <v>39</v>
      </c>
      <c r="B51" s="3" t="str">
        <f>+Distribution!B707</f>
        <v>Accounts 352</v>
      </c>
      <c r="C51" s="3" t="str">
        <f>+Distribution!E707</f>
        <v>PLT352</v>
      </c>
      <c r="D51" s="23">
        <f>+Distribution!K707</f>
        <v>0</v>
      </c>
      <c r="E51" s="23">
        <f>+Distribution!L707</f>
        <v>0</v>
      </c>
      <c r="F51" s="23">
        <f>+Distribution!M707</f>
        <v>0</v>
      </c>
      <c r="G51" s="23">
        <f>+Distribution!P707</f>
        <v>0</v>
      </c>
      <c r="H51" s="23">
        <f>+Distribution!T707</f>
        <v>0</v>
      </c>
      <c r="I51" s="23">
        <f>+Distribution!U707</f>
        <v>0</v>
      </c>
      <c r="J51" s="23">
        <f>+Distribution!V707</f>
        <v>0</v>
      </c>
      <c r="K51" s="23">
        <f t="shared" si="0"/>
        <v>0</v>
      </c>
    </row>
    <row r="52" spans="1:11" x14ac:dyDescent="0.2">
      <c r="A52" s="4">
        <f t="shared" si="1"/>
        <v>40</v>
      </c>
      <c r="B52" s="3" t="str">
        <f>+Distribution!B708</f>
        <v>Account 353</v>
      </c>
      <c r="C52" s="3" t="str">
        <f>+Distribution!E708</f>
        <v>PLT353</v>
      </c>
      <c r="D52" s="23">
        <f>+Distribution!K708</f>
        <v>0</v>
      </c>
      <c r="E52" s="23">
        <f>+Distribution!L708</f>
        <v>0</v>
      </c>
      <c r="F52" s="23">
        <f>+Distribution!M708</f>
        <v>0</v>
      </c>
      <c r="G52" s="23">
        <f>+Distribution!P708</f>
        <v>0</v>
      </c>
      <c r="H52" s="23">
        <f>+Distribution!T708</f>
        <v>0</v>
      </c>
      <c r="I52" s="23">
        <f>+Distribution!U708</f>
        <v>0</v>
      </c>
      <c r="J52" s="23">
        <f>+Distribution!V708</f>
        <v>0</v>
      </c>
      <c r="K52" s="23">
        <f t="shared" si="0"/>
        <v>0</v>
      </c>
    </row>
    <row r="53" spans="1:11" x14ac:dyDescent="0.2">
      <c r="A53" s="4">
        <f t="shared" si="1"/>
        <v>41</v>
      </c>
      <c r="B53" s="3" t="str">
        <f>+Distribution!B709</f>
        <v>Accounts 352 through 353</v>
      </c>
      <c r="C53" s="3" t="str">
        <f>+Distribution!E709</f>
        <v>PLT352_353</v>
      </c>
      <c r="D53" s="23">
        <f>+Distribution!K709</f>
        <v>0</v>
      </c>
      <c r="E53" s="23">
        <f>+Distribution!L709</f>
        <v>0</v>
      </c>
      <c r="F53" s="23">
        <f>+Distribution!M709</f>
        <v>0</v>
      </c>
      <c r="G53" s="23">
        <f>+Distribution!P709</f>
        <v>0</v>
      </c>
      <c r="H53" s="23">
        <f>+Distribution!T709</f>
        <v>0</v>
      </c>
      <c r="I53" s="23">
        <f>+Distribution!U709</f>
        <v>0</v>
      </c>
      <c r="J53" s="23">
        <f>+Distribution!V709</f>
        <v>0</v>
      </c>
      <c r="K53" s="23">
        <f t="shared" si="0"/>
        <v>0</v>
      </c>
    </row>
    <row r="54" spans="1:11" x14ac:dyDescent="0.2">
      <c r="A54" s="4">
        <f t="shared" si="1"/>
        <v>42</v>
      </c>
      <c r="B54" s="3" t="str">
        <f>+Distribution!B710</f>
        <v>Accounts 354 through 356</v>
      </c>
      <c r="C54" s="3" t="str">
        <f>+Distribution!E710</f>
        <v>PLT354_356</v>
      </c>
      <c r="D54" s="23">
        <f>+Distribution!K710</f>
        <v>0</v>
      </c>
      <c r="E54" s="23">
        <f>+Distribution!L710</f>
        <v>0</v>
      </c>
      <c r="F54" s="23">
        <f>+Distribution!M710</f>
        <v>0</v>
      </c>
      <c r="G54" s="23">
        <f>+Distribution!P710</f>
        <v>0</v>
      </c>
      <c r="H54" s="23">
        <f>+Distribution!T710</f>
        <v>0</v>
      </c>
      <c r="I54" s="23">
        <f>+Distribution!U710</f>
        <v>0</v>
      </c>
      <c r="J54" s="23">
        <f>+Distribution!V710</f>
        <v>0</v>
      </c>
      <c r="K54" s="23">
        <f t="shared" si="0"/>
        <v>0</v>
      </c>
    </row>
    <row r="55" spans="1:11" x14ac:dyDescent="0.2">
      <c r="A55" s="4">
        <f t="shared" si="1"/>
        <v>43</v>
      </c>
      <c r="B55" s="3" t="str">
        <f>+Distribution!B711</f>
        <v>Accounts 357 through 358</v>
      </c>
      <c r="C55" s="3" t="str">
        <f>+Distribution!E711</f>
        <v>PLT357_358</v>
      </c>
      <c r="D55" s="23">
        <f>+Distribution!K711</f>
        <v>0</v>
      </c>
      <c r="E55" s="23">
        <f>+Distribution!L711</f>
        <v>0</v>
      </c>
      <c r="F55" s="23">
        <f>+Distribution!M711</f>
        <v>0</v>
      </c>
      <c r="G55" s="23">
        <f>+Distribution!P711</f>
        <v>0</v>
      </c>
      <c r="H55" s="23">
        <f>+Distribution!T711</f>
        <v>0</v>
      </c>
      <c r="I55" s="23">
        <f>+Distribution!U711</f>
        <v>0</v>
      </c>
      <c r="J55" s="23">
        <f>+Distribution!V711</f>
        <v>0</v>
      </c>
      <c r="K55" s="23">
        <f t="shared" si="0"/>
        <v>0</v>
      </c>
    </row>
    <row r="56" spans="1:11" x14ac:dyDescent="0.2">
      <c r="A56" s="4">
        <f t="shared" si="1"/>
        <v>44</v>
      </c>
      <c r="B56" s="3" t="str">
        <f>+Distribution!B712</f>
        <v>Account 361</v>
      </c>
      <c r="C56" s="3" t="str">
        <f>+Distribution!E712</f>
        <v>PLT361</v>
      </c>
      <c r="D56" s="23">
        <f>+Distribution!K712</f>
        <v>49845726.115194902</v>
      </c>
      <c r="E56" s="23">
        <f>+Distribution!L712</f>
        <v>1738806.7366749418</v>
      </c>
      <c r="F56" s="23">
        <f>+Distribution!M712</f>
        <v>26223857.266618904</v>
      </c>
      <c r="G56" s="23">
        <f>+Distribution!P712</f>
        <v>9005805.7459107973</v>
      </c>
      <c r="H56" s="23">
        <f>+Distribution!T712</f>
        <v>0</v>
      </c>
      <c r="I56" s="23">
        <f>+Distribution!U712</f>
        <v>975828.18184649618</v>
      </c>
      <c r="J56" s="23">
        <f>+Distribution!V712</f>
        <v>334417.32512594986</v>
      </c>
      <c r="K56" s="23">
        <f t="shared" si="0"/>
        <v>88124441.371371984</v>
      </c>
    </row>
    <row r="57" spans="1:11" x14ac:dyDescent="0.2">
      <c r="A57" s="4">
        <f t="shared" si="1"/>
        <v>45</v>
      </c>
      <c r="B57" s="3" t="str">
        <f>+Distribution!B713</f>
        <v>Account 362</v>
      </c>
      <c r="C57" s="3" t="str">
        <f>+Distribution!E713</f>
        <v>PLT362</v>
      </c>
      <c r="D57" s="23">
        <f>+Distribution!K713</f>
        <v>530395645.25472832</v>
      </c>
      <c r="E57" s="23">
        <f>+Distribution!L713</f>
        <v>18502198.542370819</v>
      </c>
      <c r="F57" s="23">
        <f>+Distribution!M713</f>
        <v>279041369.84286445</v>
      </c>
      <c r="G57" s="23">
        <f>+Distribution!P713</f>
        <v>95828479.629369736</v>
      </c>
      <c r="H57" s="23">
        <f>+Distribution!T713</f>
        <v>0</v>
      </c>
      <c r="I57" s="23">
        <f>+Distribution!U713</f>
        <v>10383538.539936002</v>
      </c>
      <c r="J57" s="23">
        <f>+Distribution!V713</f>
        <v>3558449.3750702566</v>
      </c>
      <c r="K57" s="23">
        <f t="shared" si="0"/>
        <v>937709681.18433952</v>
      </c>
    </row>
    <row r="58" spans="1:11" x14ac:dyDescent="0.2">
      <c r="A58" s="4">
        <f t="shared" si="1"/>
        <v>46</v>
      </c>
      <c r="B58" s="3" t="str">
        <f>+Distribution!B714</f>
        <v>Accounts 364 through 365</v>
      </c>
      <c r="C58" s="3" t="str">
        <f>+Distribution!E714</f>
        <v>PLT364_365</v>
      </c>
      <c r="D58" s="23">
        <f>+Distribution!K714</f>
        <v>1338369641.2923756</v>
      </c>
      <c r="E58" s="23">
        <f>+Distribution!L714</f>
        <v>46687375.825607598</v>
      </c>
      <c r="F58" s="23">
        <f>+Distribution!M714</f>
        <v>704116825.62546134</v>
      </c>
      <c r="G58" s="23">
        <f>+Distribution!P714</f>
        <v>179816101.49179041</v>
      </c>
      <c r="H58" s="23">
        <f>+Distribution!T714</f>
        <v>0</v>
      </c>
      <c r="I58" s="23">
        <f>+Distribution!U714</f>
        <v>26201219.552557807</v>
      </c>
      <c r="J58" s="23">
        <f>+Distribution!V714</f>
        <v>6677205.946038234</v>
      </c>
      <c r="K58" s="23">
        <f t="shared" si="0"/>
        <v>2301868369.7338309</v>
      </c>
    </row>
    <row r="59" spans="1:11" x14ac:dyDescent="0.2">
      <c r="A59" s="4">
        <f t="shared" si="1"/>
        <v>47</v>
      </c>
      <c r="B59" s="3" t="str">
        <f>+Distribution!B715</f>
        <v>Accounts 366 through 367</v>
      </c>
      <c r="C59" s="3" t="str">
        <f>+Distribution!E715</f>
        <v>PLT366_367</v>
      </c>
      <c r="D59" s="23">
        <f>+Distribution!K715</f>
        <v>370301672.60715842</v>
      </c>
      <c r="E59" s="23">
        <f>+Distribution!L715</f>
        <v>12917517.570980784</v>
      </c>
      <c r="F59" s="23">
        <f>+Distribution!M715</f>
        <v>194815864.16453379</v>
      </c>
      <c r="G59" s="23">
        <f>+Distribution!P715</f>
        <v>38263420.931551084</v>
      </c>
      <c r="H59" s="23">
        <f>+Distribution!T715</f>
        <v>0</v>
      </c>
      <c r="I59" s="23">
        <f>+Distribution!U715</f>
        <v>7249383.9708517408</v>
      </c>
      <c r="J59" s="23">
        <f>+Distribution!V715</f>
        <v>1420855.7500707544</v>
      </c>
      <c r="K59" s="23">
        <f t="shared" si="0"/>
        <v>624968714.99514675</v>
      </c>
    </row>
    <row r="60" spans="1:11" x14ac:dyDescent="0.2">
      <c r="A60" s="4">
        <f t="shared" si="1"/>
        <v>48</v>
      </c>
      <c r="B60" s="3" t="str">
        <f>+Distribution!B716</f>
        <v>Account 368</v>
      </c>
      <c r="C60" s="3" t="str">
        <f>+Distribution!E716</f>
        <v>PLT368</v>
      </c>
      <c r="D60" s="23">
        <f>+Distribution!K716</f>
        <v>570370735.06458843</v>
      </c>
      <c r="E60" s="23">
        <f>+Distribution!L716</f>
        <v>19896680.293924268</v>
      </c>
      <c r="F60" s="23">
        <f>+Distribution!M716</f>
        <v>300072281.2387861</v>
      </c>
      <c r="G60" s="23">
        <f>+Distribution!P716</f>
        <v>9725850.6965656988</v>
      </c>
      <c r="H60" s="23">
        <f>+Distribution!T716</f>
        <v>0</v>
      </c>
      <c r="I60" s="23">
        <f>+Distribution!U716</f>
        <v>11166129.59133639</v>
      </c>
      <c r="J60" s="23">
        <f>+Distribution!V716</f>
        <v>361155.13328684604</v>
      </c>
      <c r="K60" s="23">
        <f t="shared" si="0"/>
        <v>911592832.01848769</v>
      </c>
    </row>
    <row r="61" spans="1:11" x14ac:dyDescent="0.2">
      <c r="A61" s="4">
        <f t="shared" si="1"/>
        <v>49</v>
      </c>
      <c r="B61" s="3" t="str">
        <f>+Distribution!B717</f>
        <v>Account 370</v>
      </c>
      <c r="C61" s="3" t="str">
        <f>+Distribution!E717</f>
        <v>PLT370</v>
      </c>
      <c r="D61" s="23">
        <f>+Distribution!K717</f>
        <v>0</v>
      </c>
      <c r="E61" s="23">
        <f>+Distribution!L717</f>
        <v>0</v>
      </c>
      <c r="F61" s="23">
        <f>+Distribution!M717</f>
        <v>0</v>
      </c>
      <c r="G61" s="23">
        <f>+Distribution!P717</f>
        <v>0</v>
      </c>
      <c r="H61" s="23">
        <f>+Distribution!T717</f>
        <v>0</v>
      </c>
      <c r="I61" s="23">
        <f>+Distribution!U717</f>
        <v>0</v>
      </c>
      <c r="J61" s="23">
        <f>+Distribution!V717</f>
        <v>0</v>
      </c>
      <c r="K61" s="23">
        <f t="shared" si="0"/>
        <v>0</v>
      </c>
    </row>
    <row r="62" spans="1:11" x14ac:dyDescent="0.2">
      <c r="A62" s="4">
        <f t="shared" si="1"/>
        <v>50</v>
      </c>
      <c r="B62" s="3" t="str">
        <f>+Distribution!B718</f>
        <v>Account 371</v>
      </c>
      <c r="C62" s="3" t="str">
        <f>+Distribution!E718</f>
        <v>PLT371</v>
      </c>
      <c r="D62" s="23">
        <f>+Distribution!K718</f>
        <v>0</v>
      </c>
      <c r="E62" s="23">
        <f>+Distribution!L718</f>
        <v>0</v>
      </c>
      <c r="F62" s="23">
        <f>+Distribution!M718</f>
        <v>0</v>
      </c>
      <c r="G62" s="23">
        <f>+Distribution!P718</f>
        <v>0</v>
      </c>
      <c r="H62" s="23">
        <f>+Distribution!T718</f>
        <v>0</v>
      </c>
      <c r="I62" s="23">
        <f>+Distribution!U718</f>
        <v>74059352.817488492</v>
      </c>
      <c r="J62" s="23">
        <f>+Distribution!V718</f>
        <v>0</v>
      </c>
      <c r="K62" s="23">
        <f t="shared" si="0"/>
        <v>74059352.817488492</v>
      </c>
    </row>
    <row r="63" spans="1:11" x14ac:dyDescent="0.2">
      <c r="A63" s="4">
        <f t="shared" si="1"/>
        <v>51</v>
      </c>
      <c r="B63" s="3" t="str">
        <f>+Distribution!B719</f>
        <v>Account 373</v>
      </c>
      <c r="C63" s="3" t="str">
        <f>+Distribution!E719</f>
        <v>PLT373</v>
      </c>
      <c r="D63" s="23">
        <f>+Distribution!K719</f>
        <v>0</v>
      </c>
      <c r="E63" s="23">
        <f>+Distribution!L719</f>
        <v>0</v>
      </c>
      <c r="F63" s="23">
        <f>+Distribution!M719</f>
        <v>0</v>
      </c>
      <c r="G63" s="23">
        <f>+Distribution!P719</f>
        <v>0</v>
      </c>
      <c r="H63" s="23">
        <f>+Distribution!T719</f>
        <v>0</v>
      </c>
      <c r="I63" s="23">
        <f>+Distribution!U719</f>
        <v>139927776.80823046</v>
      </c>
      <c r="J63" s="23">
        <f>+Distribution!V719</f>
        <v>0</v>
      </c>
      <c r="K63" s="23">
        <f t="shared" si="0"/>
        <v>139927776.80823046</v>
      </c>
    </row>
    <row r="64" spans="1:11" x14ac:dyDescent="0.2">
      <c r="A64" s="4">
        <f t="shared" si="1"/>
        <v>52</v>
      </c>
      <c r="B64" s="3" t="str">
        <f>+Distribution!B720</f>
        <v>Rate base</v>
      </c>
      <c r="C64" s="3" t="str">
        <f>+Distribution!E720</f>
        <v>RBX</v>
      </c>
      <c r="D64" s="23">
        <f>+Distribution!K720</f>
        <v>2382800423.3108196</v>
      </c>
      <c r="E64" s="23">
        <f>+Distribution!L720</f>
        <v>92202132.07032451</v>
      </c>
      <c r="F64" s="23">
        <f>+Distribution!M720</f>
        <v>1199828836.9994137</v>
      </c>
      <c r="G64" s="23">
        <f>+Distribution!P720</f>
        <v>270438088.45460773</v>
      </c>
      <c r="H64" s="23">
        <f>+Distribution!T720</f>
        <v>1609.1749737636198</v>
      </c>
      <c r="I64" s="23">
        <f>+Distribution!U720</f>
        <v>162550262.17138764</v>
      </c>
      <c r="J64" s="23">
        <f>+Distribution!V720</f>
        <v>10042074.48417134</v>
      </c>
      <c r="K64" s="23">
        <f t="shared" si="0"/>
        <v>4117863426.665699</v>
      </c>
    </row>
    <row r="65" spans="1:11" x14ac:dyDescent="0.2">
      <c r="A65" s="4">
        <f t="shared" si="1"/>
        <v>53</v>
      </c>
      <c r="B65" s="3" t="str">
        <f>+Distribution!B721</f>
        <v>Revenue - Curr tariff rev by func &amp; whsl rev req</v>
      </c>
      <c r="C65" s="3" t="str">
        <f>+Distribution!E721</f>
        <v>REVENUE</v>
      </c>
      <c r="D65" s="23">
        <f>+Distribution!K721</f>
        <v>274280246.75195694</v>
      </c>
      <c r="E65" s="23">
        <f>+Distribution!L721</f>
        <v>14156857.073246393</v>
      </c>
      <c r="F65" s="23">
        <f>+Distribution!M721</f>
        <v>153089024.09332699</v>
      </c>
      <c r="G65" s="23">
        <f>+Distribution!P721</f>
        <v>34155357.463968903</v>
      </c>
      <c r="H65" s="23">
        <f>+Distribution!T721</f>
        <v>8293460.5320387157</v>
      </c>
      <c r="I65" s="23">
        <f>+Distribution!U721</f>
        <v>21582477.125862662</v>
      </c>
      <c r="J65" s="23">
        <f>+Distribution!V721</f>
        <v>1</v>
      </c>
      <c r="K65" s="23">
        <f t="shared" si="0"/>
        <v>505557424.04040056</v>
      </c>
    </row>
    <row r="66" spans="1:11" x14ac:dyDescent="0.2">
      <c r="A66" s="4">
        <f t="shared" si="1"/>
        <v>54</v>
      </c>
      <c r="B66" s="3" t="str">
        <f>+Distribution!B722</f>
        <v>Retail Revenue</v>
      </c>
      <c r="C66" s="3" t="str">
        <f>+Distribution!E722</f>
        <v>TREVENUE</v>
      </c>
      <c r="D66" s="23">
        <f>+Distribution!K722</f>
        <v>274280246.75195694</v>
      </c>
      <c r="E66" s="23">
        <f>+Distribution!L722</f>
        <v>14156857.073246393</v>
      </c>
      <c r="F66" s="23">
        <f>+Distribution!M722</f>
        <v>153089024.09332699</v>
      </c>
      <c r="G66" s="23">
        <f>+Distribution!P722</f>
        <v>34155357.463968903</v>
      </c>
      <c r="H66" s="23">
        <f>+Distribution!T722</f>
        <v>8293460.5320387157</v>
      </c>
      <c r="I66" s="23">
        <f>+Distribution!U722</f>
        <v>21582477.125862662</v>
      </c>
      <c r="J66" s="23">
        <f>+Distribution!V722</f>
        <v>1</v>
      </c>
      <c r="K66" s="23">
        <f t="shared" si="0"/>
        <v>505557424.04040056</v>
      </c>
    </row>
    <row r="67" spans="1:11" x14ac:dyDescent="0.2">
      <c r="A67" s="4">
        <f t="shared" si="1"/>
        <v>55</v>
      </c>
      <c r="B67" s="3" t="str">
        <f>+Distribution!B723</f>
        <v>Wholesale Revenue</v>
      </c>
      <c r="C67" s="3" t="str">
        <f>+Distribution!E723</f>
        <v>OREVENUE</v>
      </c>
      <c r="D67" s="23">
        <f>+Distribution!K723</f>
        <v>0</v>
      </c>
      <c r="E67" s="23">
        <f>+Distribution!L723</f>
        <v>0</v>
      </c>
      <c r="F67" s="23">
        <f>+Distribution!M723</f>
        <v>0</v>
      </c>
      <c r="G67" s="23">
        <f>+Distribution!P723</f>
        <v>0</v>
      </c>
      <c r="H67" s="23">
        <f>+Distribution!T723</f>
        <v>0</v>
      </c>
      <c r="I67" s="23">
        <f>+Distribution!U723</f>
        <v>0</v>
      </c>
      <c r="J67" s="23">
        <f>+Distribution!V723</f>
        <v>0</v>
      </c>
      <c r="K67" s="23">
        <f t="shared" si="0"/>
        <v>0</v>
      </c>
    </row>
    <row r="68" spans="1:11" x14ac:dyDescent="0.2">
      <c r="A68" s="4">
        <f t="shared" si="1"/>
        <v>56</v>
      </c>
      <c r="B68" s="3" t="str">
        <f>+Distribution!B724</f>
        <v>Labor excluding A&amp;G</v>
      </c>
      <c r="C68" s="3" t="str">
        <f>+Distribution!E724</f>
        <v>LABOR</v>
      </c>
      <c r="D68" s="23">
        <f>+Distribution!K724</f>
        <v>25049964.956723634</v>
      </c>
      <c r="E68" s="23">
        <f>+Distribution!L724</f>
        <v>926457.53345263237</v>
      </c>
      <c r="F68" s="23">
        <f>+Distribution!M724</f>
        <v>12868237.578185307</v>
      </c>
      <c r="G68" s="23">
        <f>+Distribution!P724</f>
        <v>3393645.3306901804</v>
      </c>
      <c r="H68" s="23">
        <f>+Distribution!T724</f>
        <v>234.86709074891291</v>
      </c>
      <c r="I68" s="23">
        <f>+Distribution!U724</f>
        <v>1224604.2476348139</v>
      </c>
      <c r="J68" s="23">
        <f>+Distribution!V724</f>
        <v>125982.10045777667</v>
      </c>
      <c r="K68" s="23">
        <f t="shared" si="0"/>
        <v>43589126.614235096</v>
      </c>
    </row>
    <row r="69" spans="1:11" x14ac:dyDescent="0.2">
      <c r="A69" s="4">
        <f t="shared" si="1"/>
        <v>57</v>
      </c>
      <c r="B69" s="3" t="str">
        <f>+Distribution!B725</f>
        <v>Retail Labor excluding A&amp;G</v>
      </c>
      <c r="C69" s="3" t="str">
        <f>+Distribution!E725</f>
        <v>TLABOR</v>
      </c>
      <c r="D69" s="23">
        <f>+Distribution!K725</f>
        <v>25049964.956723634</v>
      </c>
      <c r="E69" s="23">
        <f>+Distribution!L725</f>
        <v>926457.53345263237</v>
      </c>
      <c r="F69" s="23">
        <f>+Distribution!M725</f>
        <v>12868237.578185307</v>
      </c>
      <c r="G69" s="23">
        <f>+Distribution!P725</f>
        <v>3393645.3306901804</v>
      </c>
      <c r="H69" s="23">
        <f>+Distribution!T725</f>
        <v>234.86709074891291</v>
      </c>
      <c r="I69" s="23">
        <f>+Distribution!U725</f>
        <v>1224604.2476348139</v>
      </c>
      <c r="J69" s="23">
        <f>+Distribution!V725</f>
        <v>125982.10045777667</v>
      </c>
      <c r="K69" s="23">
        <f t="shared" si="0"/>
        <v>43589126.614235096</v>
      </c>
    </row>
    <row r="70" spans="1:11" x14ac:dyDescent="0.2">
      <c r="A70" s="4">
        <f t="shared" si="1"/>
        <v>58</v>
      </c>
      <c r="B70" s="3" t="str">
        <f>+Distribution!B726</f>
        <v>Accounts 561 through 566 Labor</v>
      </c>
      <c r="C70" s="3" t="str">
        <f>+Distribution!E726</f>
        <v>LAB561_566</v>
      </c>
      <c r="D70" s="23">
        <f>+Distribution!K726</f>
        <v>-0.84349186062754056</v>
      </c>
      <c r="E70" s="23">
        <f>+Distribution!L726</f>
        <v>-3.3362650313717351E-2</v>
      </c>
      <c r="F70" s="23">
        <f>+Distribution!M726</f>
        <v>-0.4967924686764088</v>
      </c>
      <c r="G70" s="23">
        <f>+Distribution!P726</f>
        <v>-0.14075210830452201</v>
      </c>
      <c r="H70" s="23">
        <f>+Distribution!T726</f>
        <v>-0.22560089871475295</v>
      </c>
      <c r="I70" s="23">
        <f>+Distribution!U726</f>
        <v>7.0011691351187413E-10</v>
      </c>
      <c r="J70" s="23">
        <f>+Distribution!V726</f>
        <v>3.2392066617499311E-11</v>
      </c>
      <c r="K70" s="23">
        <f t="shared" si="0"/>
        <v>-1.7399999859044326</v>
      </c>
    </row>
    <row r="71" spans="1:11" x14ac:dyDescent="0.2">
      <c r="A71" s="4">
        <f t="shared" si="1"/>
        <v>59</v>
      </c>
      <c r="B71" s="3" t="str">
        <f>+Distribution!B727</f>
        <v>Accounts 569 through 573 Labor</v>
      </c>
      <c r="C71" s="3" t="str">
        <f>+Distribution!E727</f>
        <v>LAB569_573</v>
      </c>
      <c r="D71" s="23">
        <f>+Distribution!K727</f>
        <v>0</v>
      </c>
      <c r="E71" s="23">
        <f>+Distribution!L727</f>
        <v>0</v>
      </c>
      <c r="F71" s="23">
        <f>+Distribution!M727</f>
        <v>0</v>
      </c>
      <c r="G71" s="23">
        <f>+Distribution!P727</f>
        <v>0</v>
      </c>
      <c r="H71" s="23">
        <f>+Distribution!T727</f>
        <v>0</v>
      </c>
      <c r="I71" s="23">
        <f>+Distribution!U727</f>
        <v>0</v>
      </c>
      <c r="J71" s="23">
        <f>+Distribution!V727</f>
        <v>0</v>
      </c>
      <c r="K71" s="23">
        <f t="shared" si="0"/>
        <v>0</v>
      </c>
    </row>
    <row r="72" spans="1:11" x14ac:dyDescent="0.2">
      <c r="A72" s="4">
        <f t="shared" si="1"/>
        <v>60</v>
      </c>
      <c r="B72" s="3" t="str">
        <f>+Distribution!B728</f>
        <v>Accounts 581 through 588 Labor</v>
      </c>
      <c r="C72" s="3" t="str">
        <f>+Distribution!E728</f>
        <v>LAB581_588</v>
      </c>
      <c r="D72" s="23">
        <f>+Distribution!K728</f>
        <v>8399878.8463756237</v>
      </c>
      <c r="E72" s="23">
        <f>+Distribution!L728</f>
        <v>335413.60062546353</v>
      </c>
      <c r="F72" s="23">
        <f>+Distribution!M728</f>
        <v>4168153.6612913506</v>
      </c>
      <c r="G72" s="23">
        <f>+Distribution!P728</f>
        <v>1033588.3453657029</v>
      </c>
      <c r="H72" s="23">
        <f>+Distribution!T728</f>
        <v>0</v>
      </c>
      <c r="I72" s="23">
        <f>+Distribution!U728</f>
        <v>595921.29581457528</v>
      </c>
      <c r="J72" s="23">
        <f>+Distribution!V728</f>
        <v>38380.780075730785</v>
      </c>
      <c r="K72" s="23">
        <f t="shared" si="0"/>
        <v>14571336.529548448</v>
      </c>
    </row>
    <row r="73" spans="1:11" x14ac:dyDescent="0.2">
      <c r="A73" s="4">
        <f t="shared" si="1"/>
        <v>61</v>
      </c>
      <c r="B73" s="3" t="str">
        <f>+Distribution!B729</f>
        <v>Accounts 591 through 598 Labor</v>
      </c>
      <c r="C73" s="3" t="str">
        <f>+Distribution!E729</f>
        <v>LAB591_598</v>
      </c>
      <c r="D73" s="23">
        <f>+Distribution!K729</f>
        <v>14631237.235896317</v>
      </c>
      <c r="E73" s="23">
        <f>+Distribution!L729</f>
        <v>510689.07348078681</v>
      </c>
      <c r="F73" s="23">
        <f>+Distribution!M729</f>
        <v>7695745.0016261581</v>
      </c>
      <c r="G73" s="23">
        <f>+Distribution!P729</f>
        <v>2110155.5016160784</v>
      </c>
      <c r="H73" s="23">
        <f>+Distribution!T729</f>
        <v>0</v>
      </c>
      <c r="I73" s="23">
        <f>+Distribution!U729</f>
        <v>488015.37819083972</v>
      </c>
      <c r="J73" s="23">
        <f>+Distribution!V729</f>
        <v>78357.514958689368</v>
      </c>
      <c r="K73" s="23">
        <f t="shared" si="0"/>
        <v>25514199.705768872</v>
      </c>
    </row>
    <row r="74" spans="1:11" x14ac:dyDescent="0.2">
      <c r="A74" s="4">
        <f t="shared" si="1"/>
        <v>62</v>
      </c>
      <c r="B74" s="3" t="str">
        <f>+Distribution!B730</f>
        <v>Accounts 902 through 903 Labor</v>
      </c>
      <c r="C74" s="3" t="str">
        <f>+Distribution!E730</f>
        <v>LAB902_903</v>
      </c>
      <c r="D74" s="23">
        <f>+Distribution!K730</f>
        <v>0</v>
      </c>
      <c r="E74" s="23">
        <f>+Distribution!L730</f>
        <v>0</v>
      </c>
      <c r="F74" s="23">
        <f>+Distribution!M730</f>
        <v>0</v>
      </c>
      <c r="G74" s="23">
        <f>+Distribution!P730</f>
        <v>0</v>
      </c>
      <c r="H74" s="23">
        <f>+Distribution!T730</f>
        <v>0</v>
      </c>
      <c r="I74" s="23">
        <f>+Distribution!U730</f>
        <v>0</v>
      </c>
      <c r="J74" s="23">
        <f>+Distribution!V730</f>
        <v>0</v>
      </c>
      <c r="K74" s="23">
        <f t="shared" si="0"/>
        <v>0</v>
      </c>
    </row>
    <row r="75" spans="1:11" x14ac:dyDescent="0.2">
      <c r="A75" s="4">
        <f t="shared" si="1"/>
        <v>63</v>
      </c>
      <c r="B75" s="3" t="str">
        <f>+Distribution!B731</f>
        <v>Accounts 908 through 910 Labor</v>
      </c>
      <c r="C75" s="3" t="str">
        <f>+Distribution!E731</f>
        <v>LAB908_910</v>
      </c>
      <c r="D75" s="23">
        <f>+Distribution!K731</f>
        <v>0</v>
      </c>
      <c r="E75" s="23">
        <f>+Distribution!L731</f>
        <v>0</v>
      </c>
      <c r="F75" s="23">
        <f>+Distribution!M731</f>
        <v>0</v>
      </c>
      <c r="G75" s="23">
        <f>+Distribution!P731</f>
        <v>0</v>
      </c>
      <c r="H75" s="23">
        <f>+Distribution!T731</f>
        <v>0</v>
      </c>
      <c r="I75" s="23">
        <f>+Distribution!U731</f>
        <v>0</v>
      </c>
      <c r="J75" s="23">
        <f>+Distribution!V731</f>
        <v>0</v>
      </c>
      <c r="K75" s="23">
        <f t="shared" si="0"/>
        <v>0</v>
      </c>
    </row>
    <row r="76" spans="1:11" x14ac:dyDescent="0.2">
      <c r="A76" s="4">
        <f t="shared" si="1"/>
        <v>64</v>
      </c>
      <c r="B76" s="3" t="str">
        <f>+Distribution!B732</f>
        <v>Accounts 912 through 916 Labor</v>
      </c>
      <c r="C76" s="3" t="str">
        <f>+Distribution!E732</f>
        <v>LAB912_916</v>
      </c>
      <c r="D76" s="23">
        <f>+Distribution!K732</f>
        <v>0</v>
      </c>
      <c r="E76" s="23">
        <f>+Distribution!L732</f>
        <v>0</v>
      </c>
      <c r="F76" s="23">
        <f>+Distribution!M732</f>
        <v>0</v>
      </c>
      <c r="G76" s="23">
        <f>+Distribution!P732</f>
        <v>0</v>
      </c>
      <c r="H76" s="23">
        <f>+Distribution!T732</f>
        <v>0</v>
      </c>
      <c r="I76" s="23">
        <f>+Distribution!U732</f>
        <v>0</v>
      </c>
      <c r="J76" s="23">
        <f>+Distribution!V732</f>
        <v>0</v>
      </c>
      <c r="K76" s="23">
        <f t="shared" si="0"/>
        <v>0</v>
      </c>
    </row>
    <row r="77" spans="1:11" x14ac:dyDescent="0.2">
      <c r="A77" s="4">
        <f t="shared" si="1"/>
        <v>65</v>
      </c>
      <c r="B77" s="3" t="str">
        <f>+Distribution!B733</f>
        <v>Texas Retail Customers</v>
      </c>
      <c r="C77" s="3" t="str">
        <f>+Distribution!E733</f>
        <v>TCUSTOMERS</v>
      </c>
      <c r="D77" s="23">
        <f>+Distribution!K733</f>
        <v>935238</v>
      </c>
      <c r="E77" s="23">
        <f>+Distribution!L733</f>
        <v>99366</v>
      </c>
      <c r="F77" s="23">
        <f>+Distribution!M733</f>
        <v>72409</v>
      </c>
      <c r="G77" s="23">
        <f>+Distribution!P733</f>
        <v>1086</v>
      </c>
      <c r="H77" s="23">
        <f>+Distribution!T733</f>
        <v>123</v>
      </c>
      <c r="I77" s="23">
        <f>+Distribution!U733</f>
        <v>221390</v>
      </c>
      <c r="J77" s="23">
        <f>+Distribution!V733</f>
        <v>19</v>
      </c>
      <c r="K77" s="23">
        <f t="shared" si="0"/>
        <v>1329631</v>
      </c>
    </row>
    <row r="78" spans="1:11" x14ac:dyDescent="0.2">
      <c r="A78" s="4">
        <f t="shared" si="1"/>
        <v>66</v>
      </c>
      <c r="B78" s="3" t="str">
        <f>+Distribution!B734</f>
        <v>Texas Retail Generation Demand</v>
      </c>
      <c r="C78" s="3" t="str">
        <f>+Distribution!E734</f>
        <v>TDEMANDG</v>
      </c>
      <c r="D78" s="23">
        <f>+Distribution!K734</f>
        <v>3260753.0515910774</v>
      </c>
      <c r="E78" s="23">
        <f>+Distribution!L734</f>
        <v>128972.63027239306</v>
      </c>
      <c r="F78" s="23">
        <f>+Distribution!M734</f>
        <v>1920489.8482757821</v>
      </c>
      <c r="G78" s="23">
        <f>+Distribution!P734</f>
        <v>544116.5308285245</v>
      </c>
      <c r="H78" s="23">
        <f>+Distribution!T734</f>
        <v>872123.18933172501</v>
      </c>
      <c r="I78" s="23">
        <f>+Distribution!U734</f>
        <v>0</v>
      </c>
      <c r="J78" s="23">
        <f>+Distribution!V734</f>
        <v>0</v>
      </c>
      <c r="K78" s="23">
        <f t="shared" ref="K78:K83" si="2">SUM(D78:J78)</f>
        <v>6726455.2502995022</v>
      </c>
    </row>
    <row r="79" spans="1:11" x14ac:dyDescent="0.2">
      <c r="A79" s="4">
        <f>+A78+1</f>
        <v>67</v>
      </c>
      <c r="B79" s="3" t="str">
        <f>+Distribution!B735</f>
        <v>Texas Retail Transmission Demand</v>
      </c>
      <c r="C79" s="3" t="str">
        <f>+Distribution!E735</f>
        <v>TDEMANDT</v>
      </c>
      <c r="D79" s="23">
        <f>+Distribution!K735</f>
        <v>2576796</v>
      </c>
      <c r="E79" s="23">
        <f>+Distribution!L735</f>
        <v>95632</v>
      </c>
      <c r="F79" s="23">
        <f>+Distribution!M735</f>
        <v>1558412</v>
      </c>
      <c r="G79" s="23">
        <f>+Distribution!P735</f>
        <v>578236</v>
      </c>
      <c r="H79" s="23">
        <f>+Distribution!T735</f>
        <v>596099</v>
      </c>
      <c r="I79" s="23">
        <f>+Distribution!U735</f>
        <v>0</v>
      </c>
      <c r="J79" s="23">
        <f>+Distribution!V735</f>
        <v>0</v>
      </c>
      <c r="K79" s="23">
        <f t="shared" si="2"/>
        <v>5405175</v>
      </c>
    </row>
    <row r="80" spans="1:11" x14ac:dyDescent="0.2">
      <c r="A80" s="4">
        <f>+A79+1</f>
        <v>68</v>
      </c>
      <c r="B80" s="3" t="str">
        <f>+Distribution!B736</f>
        <v>Account 365 (Veg Mgmt)</v>
      </c>
      <c r="C80" s="3" t="str">
        <f>+Distribution!E736</f>
        <v>PLT365</v>
      </c>
      <c r="D80" s="23">
        <f>+Distribution!K736</f>
        <v>626132151.8292793</v>
      </c>
      <c r="E80" s="23">
        <f>+Distribution!L736</f>
        <v>21841848.609717488</v>
      </c>
      <c r="F80" s="23">
        <f>+Distribution!M736</f>
        <v>329408385.8195948</v>
      </c>
      <c r="G80" s="23">
        <f>+Distribution!P736</f>
        <v>92550126.620032385</v>
      </c>
      <c r="H80" s="23">
        <f>+Distribution!T736</f>
        <v>0</v>
      </c>
      <c r="I80" s="23">
        <f>+Distribution!U736</f>
        <v>12257769.059340563</v>
      </c>
      <c r="J80" s="23">
        <f>+Distribution!V736</f>
        <v>3436712.567156205</v>
      </c>
      <c r="K80" s="23">
        <f t="shared" si="2"/>
        <v>1085626994.505121</v>
      </c>
    </row>
    <row r="81" spans="1:11" x14ac:dyDescent="0.2">
      <c r="A81" s="4">
        <f>+A80+1</f>
        <v>69</v>
      </c>
      <c r="B81" s="3" t="str">
        <f>+Distribution!B737</f>
        <v>Total Retail O&amp;M</v>
      </c>
      <c r="C81" s="3" t="str">
        <f>+Distribution!E737</f>
        <v>O&amp;M</v>
      </c>
      <c r="D81" s="23">
        <f>+Distribution!K737</f>
        <v>92324347.864584744</v>
      </c>
      <c r="E81" s="23">
        <f>+Distribution!L737</f>
        <v>3443684.4664215827</v>
      </c>
      <c r="F81" s="23">
        <f>+Distribution!M737</f>
        <v>47318904.496448204</v>
      </c>
      <c r="G81" s="23">
        <f>+Distribution!P737</f>
        <v>12124188.671374973</v>
      </c>
      <c r="H81" s="23">
        <f>+Distribution!T737</f>
        <v>15644.302828717944</v>
      </c>
      <c r="I81" s="23">
        <f>+Distribution!U737</f>
        <v>4722172.2872654237</v>
      </c>
      <c r="J81" s="23">
        <f>+Distribution!V737</f>
        <v>447821.38808796508</v>
      </c>
      <c r="K81" s="23">
        <f t="shared" si="2"/>
        <v>160396763.47701162</v>
      </c>
    </row>
    <row r="82" spans="1:11" x14ac:dyDescent="0.2">
      <c r="A82" s="4">
        <f>+A81+1</f>
        <v>70</v>
      </c>
      <c r="B82" s="3" t="str">
        <f>+Distribution!B738</f>
        <v>Muni Franch Fee (MFF Total Inside City Limits KWH)</v>
      </c>
      <c r="C82" s="3" t="str">
        <f>+Distribution!E738</f>
        <v>MFF</v>
      </c>
      <c r="D82" s="23">
        <f>+Distribution!K738</f>
        <v>10406963633</v>
      </c>
      <c r="E82" s="23">
        <f>+Distribution!L738</f>
        <v>439655775</v>
      </c>
      <c r="F82" s="23">
        <f>+Distribution!M738</f>
        <v>7833127601</v>
      </c>
      <c r="G82" s="23">
        <f>+Distribution!P738</f>
        <v>2034106675</v>
      </c>
      <c r="H82" s="23">
        <f>+Distribution!T738</f>
        <v>2173288000</v>
      </c>
      <c r="I82" s="23">
        <f>+Distribution!U738</f>
        <v>211082001</v>
      </c>
      <c r="J82" s="23">
        <f>+Distribution!V738</f>
        <v>0</v>
      </c>
      <c r="K82" s="23">
        <f t="shared" si="2"/>
        <v>23098223685</v>
      </c>
    </row>
    <row r="83" spans="1:11" ht="12.75" customHeight="1" x14ac:dyDescent="0.2">
      <c r="A83" s="4">
        <f>+A82+1</f>
        <v>71</v>
      </c>
      <c r="B83" s="3" t="str">
        <f>+Distribution!B739</f>
        <v>Excess Mitigation Credit</v>
      </c>
      <c r="C83" s="3" t="str">
        <f>+Distribution!E739</f>
        <v>EMC</v>
      </c>
      <c r="D83" s="23">
        <f>+Distribution!K739</f>
        <v>0</v>
      </c>
      <c r="E83" s="23">
        <f>+Distribution!L739</f>
        <v>0</v>
      </c>
      <c r="F83" s="23">
        <f>+Distribution!M739</f>
        <v>0</v>
      </c>
      <c r="G83" s="23">
        <f>+Distribution!P739</f>
        <v>0</v>
      </c>
      <c r="H83" s="23">
        <f>+Distribution!T739</f>
        <v>0</v>
      </c>
      <c r="I83" s="23">
        <f>+Distribution!U739</f>
        <v>0</v>
      </c>
      <c r="J83" s="23">
        <f>+Distribution!V739</f>
        <v>0</v>
      </c>
      <c r="K83" s="23">
        <f t="shared" si="2"/>
        <v>0</v>
      </c>
    </row>
  </sheetData>
  <pageMargins left="0.7" right="0.7" top="0.75" bottom="0.75" header="0.3" footer="0.3"/>
  <pageSetup scale="64" orientation="landscape" r:id="rId1"/>
  <headerFooter>
    <oddHeader>&amp;RDocket No. 56165
&amp;F
&amp;A
Page &amp;P of &amp;N</oddHeader>
    <oddFooter>&amp;LSponsored by: Earlyne Reynolds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3"/>
  <sheetViews>
    <sheetView topLeftCell="A3" zoomScale="120" zoomScaleNormal="120" workbookViewId="0">
      <selection activeCell="K25" sqref="K25"/>
    </sheetView>
  </sheetViews>
  <sheetFormatPr defaultRowHeight="12.75" customHeight="1" x14ac:dyDescent="0.2"/>
  <cols>
    <col min="2" max="2" width="43.85546875" customWidth="1"/>
    <col min="3" max="11" width="15.7109375" customWidth="1"/>
    <col min="12" max="12" width="9.140625" customWidth="1"/>
  </cols>
  <sheetData>
    <row r="1" spans="1:11" ht="13.5" thickBot="1" x14ac:dyDescent="0.25"/>
    <row r="2" spans="1:11" x14ac:dyDescent="0.2">
      <c r="B2" s="99" t="s">
        <v>677</v>
      </c>
      <c r="C2" s="126"/>
    </row>
    <row r="3" spans="1:11" x14ac:dyDescent="0.2">
      <c r="B3" s="101" t="s">
        <v>686</v>
      </c>
      <c r="C3" s="104"/>
    </row>
    <row r="4" spans="1:11" x14ac:dyDescent="0.2">
      <c r="B4" s="102" t="s">
        <v>693</v>
      </c>
      <c r="C4" s="126"/>
    </row>
    <row r="5" spans="1:11" x14ac:dyDescent="0.2">
      <c r="B5" s="102" t="s">
        <v>822</v>
      </c>
      <c r="C5" s="126"/>
    </row>
    <row r="6" spans="1:11" ht="13.5" thickBot="1" x14ac:dyDescent="0.25">
      <c r="B6" s="103" t="s">
        <v>858</v>
      </c>
      <c r="C6" s="126"/>
    </row>
    <row r="7" spans="1:11" ht="13.5" thickBot="1" x14ac:dyDescent="0.25"/>
    <row r="8" spans="1:11" x14ac:dyDescent="0.2">
      <c r="A8" s="106"/>
      <c r="B8" s="106"/>
      <c r="C8" s="106"/>
      <c r="D8" s="107"/>
      <c r="E8" s="107"/>
      <c r="F8" s="107"/>
      <c r="G8" s="107"/>
      <c r="H8" s="107"/>
      <c r="I8" s="107"/>
      <c r="J8" s="107"/>
      <c r="K8" s="107"/>
    </row>
    <row r="9" spans="1:11" x14ac:dyDescent="0.2">
      <c r="A9" s="108" t="s">
        <v>0</v>
      </c>
      <c r="B9" s="108" t="s">
        <v>2</v>
      </c>
      <c r="C9" s="108" t="s">
        <v>695</v>
      </c>
      <c r="D9" s="108" t="s">
        <v>316</v>
      </c>
      <c r="E9" s="108" t="s">
        <v>317</v>
      </c>
      <c r="F9" s="108" t="s">
        <v>317</v>
      </c>
      <c r="G9" s="108" t="s">
        <v>320</v>
      </c>
      <c r="H9" s="108" t="s">
        <v>321</v>
      </c>
      <c r="I9" s="108" t="s">
        <v>318</v>
      </c>
      <c r="J9" s="108" t="s">
        <v>857</v>
      </c>
      <c r="K9" s="108" t="s">
        <v>466</v>
      </c>
    </row>
    <row r="10" spans="1:11" x14ac:dyDescent="0.2">
      <c r="A10" s="108" t="s">
        <v>7</v>
      </c>
      <c r="B10" s="108"/>
      <c r="C10" s="108" t="s">
        <v>696</v>
      </c>
      <c r="D10" s="108"/>
      <c r="E10" s="109" t="s">
        <v>681</v>
      </c>
      <c r="F10" s="109" t="s">
        <v>682</v>
      </c>
      <c r="G10" s="108"/>
      <c r="H10" s="108"/>
      <c r="I10" s="108"/>
      <c r="J10" s="108"/>
      <c r="K10" s="108" t="s">
        <v>863</v>
      </c>
    </row>
    <row r="11" spans="1:11" ht="13.5" thickBot="1" x14ac:dyDescent="0.25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</row>
    <row r="13" spans="1:11" x14ac:dyDescent="0.2">
      <c r="A13" s="4">
        <v>1</v>
      </c>
      <c r="B13" s="3" t="str">
        <f>+Distribution!B741</f>
        <v>Generation Demand TX 4CP</v>
      </c>
      <c r="C13" s="3" t="str">
        <f>+Distribution!E741</f>
        <v>DEMANDG</v>
      </c>
      <c r="D13" s="125">
        <f>+Distribution!K741</f>
        <v>0.48476544186418086</v>
      </c>
      <c r="E13" s="125">
        <f>+Distribution!L741</f>
        <v>1.9173937159048283E-2</v>
      </c>
      <c r="F13" s="125">
        <f>+Distribution!M741</f>
        <v>0.28551291531899664</v>
      </c>
      <c r="G13" s="125">
        <f>+Distribution!P741</f>
        <v>8.0892016757904861E-2</v>
      </c>
      <c r="H13" s="125">
        <f>+Distribution!T741</f>
        <v>0.12965568889986934</v>
      </c>
      <c r="I13" s="125">
        <f>+Distribution!U741</f>
        <v>0</v>
      </c>
      <c r="J13" s="125">
        <f>+Distribution!V741</f>
        <v>0</v>
      </c>
      <c r="K13" s="125">
        <f>SUM(D13:J13)</f>
        <v>0.99999999999999989</v>
      </c>
    </row>
    <row r="14" spans="1:11" x14ac:dyDescent="0.2">
      <c r="A14" s="4">
        <f>+A13+1</f>
        <v>2</v>
      </c>
      <c r="B14" s="3" t="str">
        <f>+Distribution!B742</f>
        <v>Retail Generation Demand</v>
      </c>
      <c r="C14" s="3" t="str">
        <f>+Distribution!E742</f>
        <v>TDEMANDG</v>
      </c>
      <c r="D14" s="125">
        <f>+Distribution!K742</f>
        <v>0.48476544186418086</v>
      </c>
      <c r="E14" s="125">
        <f>+Distribution!L742</f>
        <v>1.9173937159048283E-2</v>
      </c>
      <c r="F14" s="125">
        <f>+Distribution!M742</f>
        <v>0.28551291531899664</v>
      </c>
      <c r="G14" s="125">
        <f>+Distribution!P742</f>
        <v>8.0892016757904861E-2</v>
      </c>
      <c r="H14" s="125">
        <f>+Distribution!T742</f>
        <v>0.12965568889986934</v>
      </c>
      <c r="I14" s="125">
        <f>+Distribution!U742</f>
        <v>0</v>
      </c>
      <c r="J14" s="125">
        <f>+Distribution!V742</f>
        <v>0</v>
      </c>
      <c r="K14" s="125">
        <f t="shared" ref="K14:K77" si="0">SUM(D14:J14)</f>
        <v>0.99999999999999989</v>
      </c>
    </row>
    <row r="15" spans="1:11" x14ac:dyDescent="0.2">
      <c r="A15" s="4">
        <f t="shared" ref="A15:A78" si="1">+A14+1</f>
        <v>3</v>
      </c>
      <c r="B15" s="3" t="str">
        <f>+Distribution!B743</f>
        <v>Transmission Demands</v>
      </c>
      <c r="C15" s="3" t="str">
        <f>+Distribution!E743</f>
        <v>DEMANDT</v>
      </c>
      <c r="D15" s="125">
        <f>+Distribution!K743</f>
        <v>0.47672758051311936</v>
      </c>
      <c r="E15" s="125">
        <f>+Distribution!L743</f>
        <v>1.7692674150235652E-2</v>
      </c>
      <c r="F15" s="125">
        <f>+Distribution!M743</f>
        <v>0.28831850957647071</v>
      </c>
      <c r="G15" s="125">
        <f>+Distribution!P743</f>
        <v>0.10697821994662522</v>
      </c>
      <c r="H15" s="125">
        <f>+Distribution!T743</f>
        <v>0.11028301581354905</v>
      </c>
      <c r="I15" s="125">
        <f>+Distribution!U743</f>
        <v>0</v>
      </c>
      <c r="J15" s="125">
        <f>+Distribution!V743</f>
        <v>0</v>
      </c>
      <c r="K15" s="125">
        <f t="shared" si="0"/>
        <v>1</v>
      </c>
    </row>
    <row r="16" spans="1:11" x14ac:dyDescent="0.2">
      <c r="A16" s="4">
        <f t="shared" si="1"/>
        <v>4</v>
      </c>
      <c r="B16" s="3" t="str">
        <f>+Distribution!B744</f>
        <v>Distribution Primary Demands - MDD</v>
      </c>
      <c r="C16" s="3" t="str">
        <f>+Distribution!E744</f>
        <v>DEMANDDP</v>
      </c>
      <c r="D16" s="125">
        <f>+Distribution!K744</f>
        <v>0.56562884643019973</v>
      </c>
      <c r="E16" s="125">
        <f>+Distribution!L744</f>
        <v>1.97312653517689E-2</v>
      </c>
      <c r="F16" s="125">
        <f>+Distribution!M744</f>
        <v>0.29757757165355436</v>
      </c>
      <c r="G16" s="125">
        <f>+Distribution!P744</f>
        <v>0.10219418819302059</v>
      </c>
      <c r="H16" s="125">
        <f>+Distribution!T744</f>
        <v>0</v>
      </c>
      <c r="I16" s="125">
        <f>+Distribution!U744</f>
        <v>1.1073297789590332E-2</v>
      </c>
      <c r="J16" s="125">
        <f>+Distribution!V744</f>
        <v>3.7948305818661151E-3</v>
      </c>
      <c r="K16" s="125">
        <f t="shared" si="0"/>
        <v>1</v>
      </c>
    </row>
    <row r="17" spans="1:11" x14ac:dyDescent="0.2">
      <c r="A17" s="4">
        <f t="shared" si="1"/>
        <v>5</v>
      </c>
      <c r="B17" s="3" t="str">
        <f>+Distribution!B745</f>
        <v>Distribution Secondary Demand</v>
      </c>
      <c r="C17" s="3" t="str">
        <f>+Distribution!E745</f>
        <v>DEMANDDS</v>
      </c>
      <c r="D17" s="125">
        <f>+Distribution!K745</f>
        <v>0.6326866876457008</v>
      </c>
      <c r="E17" s="125">
        <f>+Distribution!L745</f>
        <v>2.2070495515312399E-2</v>
      </c>
      <c r="F17" s="125">
        <f>+Distribution!M745</f>
        <v>0.33285672984214043</v>
      </c>
      <c r="G17" s="125">
        <f>+Distribution!P745</f>
        <v>0</v>
      </c>
      <c r="H17" s="125">
        <f>+Distribution!T745</f>
        <v>0</v>
      </c>
      <c r="I17" s="125">
        <f>+Distribution!U745</f>
        <v>1.2386086996846474E-2</v>
      </c>
      <c r="J17" s="125">
        <f>+Distribution!V745</f>
        <v>0</v>
      </c>
      <c r="K17" s="125">
        <f t="shared" si="0"/>
        <v>1</v>
      </c>
    </row>
    <row r="18" spans="1:11" x14ac:dyDescent="0.2">
      <c r="A18" s="4">
        <f t="shared" si="1"/>
        <v>6</v>
      </c>
      <c r="B18" s="3" t="str">
        <f>+Distribution!B746</f>
        <v>Energy</v>
      </c>
      <c r="C18" s="3" t="str">
        <f>+Distribution!E746</f>
        <v>ENERGY</v>
      </c>
      <c r="D18" s="125">
        <f>+Distribution!K746</f>
        <v>0.32875363724630779</v>
      </c>
      <c r="E18" s="125">
        <f>+Distribution!L746</f>
        <v>1.7550231585104211E-2</v>
      </c>
      <c r="F18" s="125">
        <f>+Distribution!M746</f>
        <v>0.24036729688455627</v>
      </c>
      <c r="G18" s="125">
        <f>+Distribution!P746</f>
        <v>0.11816105168974292</v>
      </c>
      <c r="H18" s="125">
        <f>+Distribution!T746</f>
        <v>0.28816991991888952</v>
      </c>
      <c r="I18" s="125">
        <f>+Distribution!U746</f>
        <v>6.2248318684880741E-3</v>
      </c>
      <c r="J18" s="125">
        <f>+Distribution!V746</f>
        <v>7.7303080691135042E-4</v>
      </c>
      <c r="K18" s="125">
        <f t="shared" si="0"/>
        <v>1</v>
      </c>
    </row>
    <row r="19" spans="1:11" x14ac:dyDescent="0.2">
      <c r="A19" s="4">
        <f t="shared" si="1"/>
        <v>7</v>
      </c>
      <c r="B19" s="3" t="str">
        <f>+Distribution!B747</f>
        <v>Non-Coincident Peaks</v>
      </c>
      <c r="C19" s="3" t="str">
        <f>+Distribution!E747</f>
        <v>NCP</v>
      </c>
      <c r="D19" s="125">
        <f>+Distribution!K747</f>
        <v>0.52568966682427709</v>
      </c>
      <c r="E19" s="125">
        <f>+Distribution!L747</f>
        <v>1.9236199277309123E-2</v>
      </c>
      <c r="F19" s="125">
        <f>+Distribution!M747</f>
        <v>0.20596377091126875</v>
      </c>
      <c r="G19" s="125">
        <f>+Distribution!P747</f>
        <v>6.7649878469483865E-2</v>
      </c>
      <c r="H19" s="125">
        <f>+Distribution!T747</f>
        <v>0.17243152124247765</v>
      </c>
      <c r="I19" s="125">
        <f>+Distribution!U747</f>
        <v>5.3734293385046599E-3</v>
      </c>
      <c r="J19" s="125">
        <f>+Distribution!V747</f>
        <v>3.6555339366789582E-3</v>
      </c>
      <c r="K19" s="125">
        <f t="shared" si="0"/>
        <v>1.0000000000000002</v>
      </c>
    </row>
    <row r="20" spans="1:11" x14ac:dyDescent="0.2">
      <c r="A20" s="4">
        <f t="shared" si="1"/>
        <v>8</v>
      </c>
      <c r="B20" s="3" t="str">
        <f>+Distribution!B748</f>
        <v>Customers</v>
      </c>
      <c r="C20" s="3" t="str">
        <f>+Distribution!E748</f>
        <v>CUSTOMERS</v>
      </c>
      <c r="D20" s="125">
        <f>+Distribution!K748</f>
        <v>0.70338161489917128</v>
      </c>
      <c r="E20" s="125">
        <f>+Distribution!L748</f>
        <v>7.4732012114639326E-2</v>
      </c>
      <c r="F20" s="125">
        <f>+Distribution!M748</f>
        <v>5.4457966157527918E-2</v>
      </c>
      <c r="G20" s="125">
        <f>+Distribution!P748</f>
        <v>8.1676796043413547E-4</v>
      </c>
      <c r="H20" s="125">
        <f>+Distribution!T748</f>
        <v>9.2506868446960095E-5</v>
      </c>
      <c r="I20" s="125">
        <f>+Distribution!U748</f>
        <v>0.16650484232091459</v>
      </c>
      <c r="J20" s="125">
        <f>+Distribution!V748</f>
        <v>1.4289678865790585E-5</v>
      </c>
      <c r="K20" s="125">
        <f t="shared" si="0"/>
        <v>1</v>
      </c>
    </row>
    <row r="21" spans="1:11" x14ac:dyDescent="0.2">
      <c r="A21" s="4">
        <f t="shared" si="1"/>
        <v>9</v>
      </c>
      <c r="B21" s="3" t="str">
        <f>+Distribution!B749</f>
        <v>Distribution Customers</v>
      </c>
      <c r="C21" s="3" t="str">
        <f>+Distribution!E749</f>
        <v>DCUSTOMERS</v>
      </c>
      <c r="D21" s="125">
        <f>+Distribution!K749</f>
        <v>0.70405992396582229</v>
      </c>
      <c r="E21" s="125">
        <f>+Distribution!L749</f>
        <v>7.4804080249934124E-2</v>
      </c>
      <c r="F21" s="125">
        <f>+Distribution!M749</f>
        <v>5.4510482929950692E-2</v>
      </c>
      <c r="G21" s="125">
        <f>+Distribution!P749</f>
        <v>8.1755561410772764E-4</v>
      </c>
      <c r="H21" s="125">
        <f>+Distribution!T749</f>
        <v>0</v>
      </c>
      <c r="I21" s="125">
        <f>+Distribution!U749</f>
        <v>0.16579365378100652</v>
      </c>
      <c r="J21" s="125">
        <f>+Distribution!V749</f>
        <v>1.4303459178680319E-5</v>
      </c>
      <c r="K21" s="125">
        <f t="shared" si="0"/>
        <v>0.99999999999999989</v>
      </c>
    </row>
    <row r="22" spans="1:11" x14ac:dyDescent="0.2">
      <c r="A22" s="4">
        <f t="shared" si="1"/>
        <v>10</v>
      </c>
      <c r="B22" s="3" t="str">
        <f>+Distribution!B750</f>
        <v>Services Account 369</v>
      </c>
      <c r="C22" s="3" t="str">
        <f>+Distribution!E750</f>
        <v>SERVICES</v>
      </c>
      <c r="D22" s="125">
        <f>+Distribution!K750</f>
        <v>0.80945094244580651</v>
      </c>
      <c r="E22" s="125">
        <f>+Distribution!L750</f>
        <v>8.1788266900236981E-2</v>
      </c>
      <c r="F22" s="125">
        <f>+Distribution!M750</f>
        <v>0.10876079065395647</v>
      </c>
      <c r="G22" s="125">
        <f>+Distribution!P750</f>
        <v>0</v>
      </c>
      <c r="H22" s="125">
        <f>+Distribution!T750</f>
        <v>0</v>
      </c>
      <c r="I22" s="125">
        <f>+Distribution!U750</f>
        <v>0</v>
      </c>
      <c r="J22" s="125">
        <f>+Distribution!V750</f>
        <v>0</v>
      </c>
      <c r="K22" s="125">
        <f t="shared" si="0"/>
        <v>1</v>
      </c>
    </row>
    <row r="23" spans="1:11" x14ac:dyDescent="0.2">
      <c r="A23" s="4">
        <f t="shared" si="1"/>
        <v>11</v>
      </c>
      <c r="B23" s="3" t="str">
        <f>+Distribution!B751</f>
        <v>Meters Account 370</v>
      </c>
      <c r="C23" s="3" t="str">
        <f>+Distribution!E751</f>
        <v>METERS</v>
      </c>
      <c r="D23" s="125">
        <f>+Distribution!K751</f>
        <v>0.46880677347274763</v>
      </c>
      <c r="E23" s="125">
        <f>+Distribution!L751</f>
        <v>8.907830987981738E-2</v>
      </c>
      <c r="F23" s="125">
        <f>+Distribution!M751</f>
        <v>0.35363489466923814</v>
      </c>
      <c r="G23" s="125">
        <f>+Distribution!P751</f>
        <v>4.75584381554792E-2</v>
      </c>
      <c r="H23" s="125">
        <f>+Distribution!T751</f>
        <v>4.0089530116498309E-2</v>
      </c>
      <c r="I23" s="125">
        <f>+Distribution!U751</f>
        <v>0</v>
      </c>
      <c r="J23" s="125">
        <f>+Distribution!V751</f>
        <v>8.3205370621924945E-4</v>
      </c>
      <c r="K23" s="125">
        <f t="shared" si="0"/>
        <v>1</v>
      </c>
    </row>
    <row r="24" spans="1:11" x14ac:dyDescent="0.2">
      <c r="A24" s="4">
        <f t="shared" si="1"/>
        <v>12</v>
      </c>
      <c r="B24" s="3" t="str">
        <f>+Distribution!B752</f>
        <v>Non-Roadway Lighting Account 371</v>
      </c>
      <c r="C24" s="3" t="str">
        <f>+Distribution!E752</f>
        <v>NROADLIGHT</v>
      </c>
      <c r="D24" s="125">
        <f>+Distribution!K752</f>
        <v>0</v>
      </c>
      <c r="E24" s="125">
        <f>+Distribution!L752</f>
        <v>0</v>
      </c>
      <c r="F24" s="125">
        <f>+Distribution!M752</f>
        <v>0</v>
      </c>
      <c r="G24" s="125">
        <f>+Distribution!P752</f>
        <v>0</v>
      </c>
      <c r="H24" s="125">
        <f>+Distribution!T752</f>
        <v>0</v>
      </c>
      <c r="I24" s="125">
        <f>+Distribution!U752</f>
        <v>1</v>
      </c>
      <c r="J24" s="125">
        <f>+Distribution!V752</f>
        <v>0</v>
      </c>
      <c r="K24" s="125">
        <f t="shared" si="0"/>
        <v>1</v>
      </c>
    </row>
    <row r="25" spans="1:11" x14ac:dyDescent="0.2">
      <c r="A25" s="4">
        <f t="shared" si="1"/>
        <v>13</v>
      </c>
      <c r="B25" s="3" t="str">
        <f>+Distribution!B753</f>
        <v>Roadway Lighting Account 373</v>
      </c>
      <c r="C25" s="3" t="str">
        <f>+Distribution!E753</f>
        <v>ROADLIGHT</v>
      </c>
      <c r="D25" s="125">
        <f>+Distribution!K753</f>
        <v>0</v>
      </c>
      <c r="E25" s="125">
        <f>+Distribution!L753</f>
        <v>0</v>
      </c>
      <c r="F25" s="125">
        <f>+Distribution!M753</f>
        <v>0</v>
      </c>
      <c r="G25" s="125">
        <f>+Distribution!P753</f>
        <v>0</v>
      </c>
      <c r="H25" s="125">
        <f>+Distribution!T753</f>
        <v>0</v>
      </c>
      <c r="I25" s="125">
        <f>+Distribution!U753</f>
        <v>1</v>
      </c>
      <c r="J25" s="125">
        <f>+Distribution!V753</f>
        <v>0</v>
      </c>
      <c r="K25" s="125">
        <f t="shared" si="0"/>
        <v>1</v>
      </c>
    </row>
    <row r="26" spans="1:11" x14ac:dyDescent="0.2">
      <c r="A26" s="4">
        <f t="shared" si="1"/>
        <v>14</v>
      </c>
      <c r="B26" s="3" t="str">
        <f>+Distribution!B754</f>
        <v>Meter Reading Expense 902</v>
      </c>
      <c r="C26" s="3" t="str">
        <f>+Distribution!E754</f>
        <v>METEREAD</v>
      </c>
      <c r="D26" s="125">
        <f>+Distribution!K754</f>
        <v>0.84474701071787928</v>
      </c>
      <c r="E26" s="125">
        <f>+Distribution!L754</f>
        <v>8.8283856702332714E-2</v>
      </c>
      <c r="F26" s="125">
        <f>+Distribution!M754</f>
        <v>6.5942145490740858E-2</v>
      </c>
      <c r="G26" s="125">
        <f>+Distribution!P754</f>
        <v>1.0089222325994787E-3</v>
      </c>
      <c r="H26" s="125">
        <f>+Distribution!T754</f>
        <v>0</v>
      </c>
      <c r="I26" s="125">
        <f>+Distribution!U754</f>
        <v>0</v>
      </c>
      <c r="J26" s="125">
        <f>+Distribution!V754</f>
        <v>1.8064856447618241E-5</v>
      </c>
      <c r="K26" s="125">
        <f t="shared" si="0"/>
        <v>1</v>
      </c>
    </row>
    <row r="27" spans="1:11" x14ac:dyDescent="0.2">
      <c r="A27" s="4">
        <f t="shared" si="1"/>
        <v>15</v>
      </c>
      <c r="B27" s="3" t="str">
        <f>+Distribution!B755</f>
        <v>Billing 903</v>
      </c>
      <c r="C27" s="3" t="str">
        <f>+Distribution!E755</f>
        <v>BILLING</v>
      </c>
      <c r="D27" s="125">
        <f>+Distribution!K755</f>
        <v>0.84188236600260902</v>
      </c>
      <c r="E27" s="125">
        <f>+Distribution!L755</f>
        <v>8.9447267091601543E-2</v>
      </c>
      <c r="F27" s="125">
        <f>+Distribution!M755</f>
        <v>6.5181119928705761E-2</v>
      </c>
      <c r="G27" s="125">
        <f>+Distribution!P755</f>
        <v>9.9469869106353997E-4</v>
      </c>
      <c r="H27" s="125">
        <f>+Distribution!T755</f>
        <v>1.1177232652222281E-4</v>
      </c>
      <c r="I27" s="125">
        <f>+Distribution!U755</f>
        <v>2.365672543090482E-3</v>
      </c>
      <c r="J27" s="125">
        <f>+Distribution!V755</f>
        <v>1.7103416407427381E-5</v>
      </c>
      <c r="K27" s="125">
        <f t="shared" si="0"/>
        <v>1</v>
      </c>
    </row>
    <row r="28" spans="1:11" x14ac:dyDescent="0.2">
      <c r="A28" s="4">
        <f t="shared" si="1"/>
        <v>16</v>
      </c>
      <c r="B28" s="3" t="str">
        <f>+Distribution!B756</f>
        <v>Customer Deposits</v>
      </c>
      <c r="C28" s="3" t="str">
        <f>+Distribution!E756</f>
        <v>CUSTDEP</v>
      </c>
      <c r="D28" s="125">
        <f>+Distribution!K756</f>
        <v>0</v>
      </c>
      <c r="E28" s="125">
        <f>+Distribution!L756</f>
        <v>0</v>
      </c>
      <c r="F28" s="125">
        <f>+Distribution!M756</f>
        <v>0</v>
      </c>
      <c r="G28" s="125">
        <f>+Distribution!P756</f>
        <v>0</v>
      </c>
      <c r="H28" s="125">
        <f>+Distribution!T756</f>
        <v>0</v>
      </c>
      <c r="I28" s="125">
        <f>+Distribution!U756</f>
        <v>0</v>
      </c>
      <c r="J28" s="125">
        <f>+Distribution!V756</f>
        <v>0</v>
      </c>
      <c r="K28" s="125">
        <f t="shared" si="0"/>
        <v>0</v>
      </c>
    </row>
    <row r="29" spans="1:11" x14ac:dyDescent="0.2">
      <c r="A29" s="4">
        <f t="shared" si="1"/>
        <v>17</v>
      </c>
      <c r="B29" s="3" t="str">
        <f>+Distribution!B757</f>
        <v>Taxable Income</v>
      </c>
      <c r="C29" s="3" t="str">
        <f>+Distribution!E757</f>
        <v>TAXINC</v>
      </c>
      <c r="D29" s="125">
        <f ca="1">+Distribution!K757</f>
        <v>0.57863426384387395</v>
      </c>
      <c r="E29" s="125">
        <f ca="1">+Distribution!L757</f>
        <v>2.2384950833441799E-2</v>
      </c>
      <c r="F29" s="125">
        <f ca="1">+Distribution!M757</f>
        <v>0.29139490612159202</v>
      </c>
      <c r="G29" s="125">
        <f ca="1">+Distribution!P757</f>
        <v>6.5717176426097687E-2</v>
      </c>
      <c r="H29" s="125">
        <f ca="1">+Distribution!T757</f>
        <v>4.0576771950720634E-7</v>
      </c>
      <c r="I29" s="125">
        <f ca="1">+Distribution!U757</f>
        <v>3.9428048610820561E-2</v>
      </c>
      <c r="J29" s="125">
        <f ca="1">+Distribution!V757</f>
        <v>2.4402483964543246E-3</v>
      </c>
      <c r="K29" s="125">
        <f t="shared" ca="1" si="0"/>
        <v>0.99999999999999989</v>
      </c>
    </row>
    <row r="30" spans="1:11" x14ac:dyDescent="0.2">
      <c r="A30" s="4">
        <f t="shared" si="1"/>
        <v>18</v>
      </c>
      <c r="B30" s="3" t="str">
        <f>+Distribution!B758</f>
        <v>Large Cust Acct Rep Alloc to C&amp;I Cust</v>
      </c>
      <c r="C30" s="3" t="str">
        <f>+Distribution!E758</f>
        <v>LCUST</v>
      </c>
      <c r="D30" s="125">
        <f>+Distribution!K758</f>
        <v>0</v>
      </c>
      <c r="E30" s="125">
        <f>+Distribution!L758</f>
        <v>0</v>
      </c>
      <c r="F30" s="125">
        <f>+Distribution!M758</f>
        <v>0.98332360090715265</v>
      </c>
      <c r="G30" s="125">
        <f>+Distribution!P758</f>
        <v>1.474802069611744E-2</v>
      </c>
      <c r="H30" s="125">
        <f>+Distribution!T758</f>
        <v>1.6703559351956218E-3</v>
      </c>
      <c r="I30" s="125">
        <f>+Distribution!U758</f>
        <v>0</v>
      </c>
      <c r="J30" s="125">
        <f>+Distribution!V758</f>
        <v>2.5802246153428302E-4</v>
      </c>
      <c r="K30" s="125">
        <f t="shared" si="0"/>
        <v>1</v>
      </c>
    </row>
    <row r="31" spans="1:11" x14ac:dyDescent="0.2">
      <c r="A31" s="4">
        <f t="shared" si="1"/>
        <v>19</v>
      </c>
      <c r="B31" s="3" t="str">
        <f>+Distribution!B759</f>
        <v>Customers Excluding Large Cust Rep Alloc</v>
      </c>
      <c r="C31" s="3" t="str">
        <f>+Distribution!E759</f>
        <v>XCUST</v>
      </c>
      <c r="D31" s="125">
        <f>+Distribution!K759</f>
        <v>0.74461979913916787</v>
      </c>
      <c r="E31" s="125">
        <f>+Distribution!L759</f>
        <v>7.9113435255263959E-2</v>
      </c>
      <c r="F31" s="125">
        <f>+Distribution!M759</f>
        <v>0</v>
      </c>
      <c r="G31" s="125">
        <f>+Distribution!P759</f>
        <v>0</v>
      </c>
      <c r="H31" s="125">
        <f>+Distribution!T759</f>
        <v>0</v>
      </c>
      <c r="I31" s="125">
        <f>+Distribution!U759</f>
        <v>0.17626676560556817</v>
      </c>
      <c r="J31" s="125">
        <f>+Distribution!V759</f>
        <v>0</v>
      </c>
      <c r="K31" s="125">
        <f t="shared" si="0"/>
        <v>1</v>
      </c>
    </row>
    <row r="32" spans="1:11" x14ac:dyDescent="0.2">
      <c r="A32" s="4">
        <f t="shared" si="1"/>
        <v>20</v>
      </c>
      <c r="B32" s="3" t="str">
        <f>+Distribution!B760</f>
        <v>Energy @ Meter</v>
      </c>
      <c r="C32" s="3" t="str">
        <f>+Distribution!E760</f>
        <v>ENERGYM</v>
      </c>
      <c r="D32" s="125">
        <f>+Distribution!K760</f>
        <v>0.32875363724630779</v>
      </c>
      <c r="E32" s="125">
        <f>+Distribution!L760</f>
        <v>1.7550231585104211E-2</v>
      </c>
      <c r="F32" s="125">
        <f>+Distribution!M760</f>
        <v>0.24036729688455627</v>
      </c>
      <c r="G32" s="125">
        <f>+Distribution!P760</f>
        <v>0.11816105168974292</v>
      </c>
      <c r="H32" s="125">
        <f>+Distribution!T760</f>
        <v>0.28816991991888952</v>
      </c>
      <c r="I32" s="125">
        <f>+Distribution!U760</f>
        <v>6.2248318684880741E-3</v>
      </c>
      <c r="J32" s="125">
        <f>+Distribution!V760</f>
        <v>7.7303080691135042E-4</v>
      </c>
      <c r="K32" s="125">
        <f t="shared" si="0"/>
        <v>1</v>
      </c>
    </row>
    <row r="33" spans="1:11" x14ac:dyDescent="0.2">
      <c r="A33" s="4">
        <f t="shared" si="1"/>
        <v>21</v>
      </c>
      <c r="B33" s="3" t="str">
        <f>+Distribution!B761</f>
        <v>Retail Energy @ Meter</v>
      </c>
      <c r="C33" s="3" t="str">
        <f>+Distribution!E761</f>
        <v>TENERGYM</v>
      </c>
      <c r="D33" s="125">
        <f>+Distribution!K761</f>
        <v>0.32875363724630779</v>
      </c>
      <c r="E33" s="125">
        <f>+Distribution!L761</f>
        <v>1.7550231585104211E-2</v>
      </c>
      <c r="F33" s="125">
        <f>+Distribution!M761</f>
        <v>0.24036729688455627</v>
      </c>
      <c r="G33" s="125">
        <f>+Distribution!P761</f>
        <v>0.11816105168974292</v>
      </c>
      <c r="H33" s="125">
        <f>+Distribution!T761</f>
        <v>0.28816991991888952</v>
      </c>
      <c r="I33" s="125">
        <f>+Distribution!U761</f>
        <v>6.2248318684880741E-3</v>
      </c>
      <c r="J33" s="125">
        <f>+Distribution!V761</f>
        <v>7.7303080691135042E-4</v>
      </c>
      <c r="K33" s="125">
        <f t="shared" si="0"/>
        <v>1</v>
      </c>
    </row>
    <row r="34" spans="1:11" x14ac:dyDescent="0.2">
      <c r="A34" s="4">
        <f t="shared" si="1"/>
        <v>22</v>
      </c>
      <c r="B34" s="3" t="str">
        <f>+Distribution!B762</f>
        <v>Retail Energy @ Source</v>
      </c>
      <c r="C34" s="3" t="str">
        <f>+Distribution!E762</f>
        <v>TENERGY</v>
      </c>
      <c r="D34" s="125">
        <f>+Distribution!K762</f>
        <v>0.33485885624294592</v>
      </c>
      <c r="E34" s="125">
        <f>+Distribution!L762</f>
        <v>1.7876153476543234E-2</v>
      </c>
      <c r="F34" s="125">
        <f>+Distribution!M762</f>
        <v>0.24483111057617682</v>
      </c>
      <c r="G34" s="125">
        <f>+Distribution!P762</f>
        <v>0.11691171533474615</v>
      </c>
      <c r="H34" s="125">
        <f>+Distribution!T762</f>
        <v>0.27841687495119294</v>
      </c>
      <c r="I34" s="125">
        <f>+Distribution!U762</f>
        <v>6.3404319941405178E-3</v>
      </c>
      <c r="J34" s="125">
        <f>+Distribution!V762</f>
        <v>7.6485742425440924E-4</v>
      </c>
      <c r="K34" s="125">
        <f t="shared" si="0"/>
        <v>1</v>
      </c>
    </row>
    <row r="35" spans="1:11" x14ac:dyDescent="0.2">
      <c r="A35" s="4">
        <f t="shared" si="1"/>
        <v>23</v>
      </c>
      <c r="B35" s="3" t="str">
        <f>+Distribution!B763</f>
        <v>Transmission Plant</v>
      </c>
      <c r="C35" s="3" t="str">
        <f>+Distribution!E763</f>
        <v>TRANPLT</v>
      </c>
      <c r="D35" s="125">
        <f>+Distribution!K763</f>
        <v>0</v>
      </c>
      <c r="E35" s="125">
        <f>+Distribution!L763</f>
        <v>0</v>
      </c>
      <c r="F35" s="125">
        <f>+Distribution!M763</f>
        <v>0</v>
      </c>
      <c r="G35" s="125">
        <f>+Distribution!P763</f>
        <v>0</v>
      </c>
      <c r="H35" s="125">
        <f>+Distribution!T763</f>
        <v>0</v>
      </c>
      <c r="I35" s="125">
        <f>+Distribution!U763</f>
        <v>0</v>
      </c>
      <c r="J35" s="125">
        <f>+Distribution!V763</f>
        <v>0</v>
      </c>
      <c r="K35" s="125">
        <f t="shared" si="0"/>
        <v>0</v>
      </c>
    </row>
    <row r="36" spans="1:11" x14ac:dyDescent="0.2">
      <c r="A36" s="4">
        <f t="shared" si="1"/>
        <v>24</v>
      </c>
      <c r="B36" s="3" t="str">
        <f>+Distribution!B764</f>
        <v>Texas Transmission Plant</v>
      </c>
      <c r="C36" s="3" t="str">
        <f>+Distribution!E764</f>
        <v>TTRANPLT</v>
      </c>
      <c r="D36" s="125">
        <f>+Distribution!K764</f>
        <v>0</v>
      </c>
      <c r="E36" s="125">
        <f>+Distribution!L764</f>
        <v>0</v>
      </c>
      <c r="F36" s="125">
        <f>+Distribution!M764</f>
        <v>0</v>
      </c>
      <c r="G36" s="125">
        <f>+Distribution!P764</f>
        <v>0</v>
      </c>
      <c r="H36" s="125">
        <f>+Distribution!T764</f>
        <v>0</v>
      </c>
      <c r="I36" s="125">
        <f>+Distribution!U764</f>
        <v>0</v>
      </c>
      <c r="J36" s="125">
        <f>+Distribution!V764</f>
        <v>0</v>
      </c>
      <c r="K36" s="125">
        <f t="shared" si="0"/>
        <v>0</v>
      </c>
    </row>
    <row r="37" spans="1:11" x14ac:dyDescent="0.2">
      <c r="A37" s="4">
        <f t="shared" si="1"/>
        <v>25</v>
      </c>
      <c r="B37" s="3" t="str">
        <f>+Distribution!B765</f>
        <v>Other Jurisdiction Transmission Plant</v>
      </c>
      <c r="C37" s="3" t="str">
        <f>+Distribution!E765</f>
        <v>OTRANPLT</v>
      </c>
      <c r="D37" s="125">
        <f>+Distribution!K765</f>
        <v>0</v>
      </c>
      <c r="E37" s="125">
        <f>+Distribution!L765</f>
        <v>0</v>
      </c>
      <c r="F37" s="125">
        <f>+Distribution!M765</f>
        <v>0</v>
      </c>
      <c r="G37" s="125">
        <f>+Distribution!P765</f>
        <v>0</v>
      </c>
      <c r="H37" s="125">
        <f>+Distribution!T765</f>
        <v>0</v>
      </c>
      <c r="I37" s="125">
        <f>+Distribution!U765</f>
        <v>0</v>
      </c>
      <c r="J37" s="125">
        <f>+Distribution!V765</f>
        <v>0</v>
      </c>
      <c r="K37" s="125">
        <f t="shared" si="0"/>
        <v>0</v>
      </c>
    </row>
    <row r="38" spans="1:11" x14ac:dyDescent="0.2">
      <c r="A38" s="4">
        <f t="shared" si="1"/>
        <v>26</v>
      </c>
      <c r="B38" s="3" t="str">
        <f>+Distribution!B766</f>
        <v>Distribution Plant</v>
      </c>
      <c r="C38" s="3" t="str">
        <f>+Distribution!E766</f>
        <v>DISTPLT</v>
      </c>
      <c r="D38" s="125">
        <f>+Distribution!K766</f>
        <v>0.58135613136981923</v>
      </c>
      <c r="E38" s="125">
        <f>+Distribution!L766</f>
        <v>2.4255207809413239E-2</v>
      </c>
      <c r="F38" s="125">
        <f>+Distribution!M766</f>
        <v>0.28231290566607736</v>
      </c>
      <c r="G38" s="125">
        <f>+Distribution!P766</f>
        <v>6.0919623224902089E-2</v>
      </c>
      <c r="H38" s="125">
        <f>+Distribution!T766</f>
        <v>0</v>
      </c>
      <c r="I38" s="125">
        <f>+Distribution!U766</f>
        <v>4.8893971494470889E-2</v>
      </c>
      <c r="J38" s="125">
        <f>+Distribution!V766</f>
        <v>2.2621604353172827E-3</v>
      </c>
      <c r="K38" s="125">
        <f t="shared" si="0"/>
        <v>1</v>
      </c>
    </row>
    <row r="39" spans="1:11" x14ac:dyDescent="0.2">
      <c r="A39" s="4">
        <f t="shared" si="1"/>
        <v>27</v>
      </c>
      <c r="B39" s="3" t="str">
        <f>+Distribution!B767</f>
        <v>Texas Distribution Plant</v>
      </c>
      <c r="C39" s="3" t="str">
        <f>+Distribution!E767</f>
        <v>TDISTPLT</v>
      </c>
      <c r="D39" s="125">
        <f>+Distribution!K767</f>
        <v>0.58135613136981923</v>
      </c>
      <c r="E39" s="125">
        <f>+Distribution!L767</f>
        <v>2.4255207809413239E-2</v>
      </c>
      <c r="F39" s="125">
        <f>+Distribution!M767</f>
        <v>0.28231290566607736</v>
      </c>
      <c r="G39" s="125">
        <f>+Distribution!P767</f>
        <v>6.0919623224902089E-2</v>
      </c>
      <c r="H39" s="125">
        <f>+Distribution!T767</f>
        <v>0</v>
      </c>
      <c r="I39" s="125">
        <f>+Distribution!U767</f>
        <v>4.8893971494470889E-2</v>
      </c>
      <c r="J39" s="125">
        <f>+Distribution!V767</f>
        <v>2.2621604353172827E-3</v>
      </c>
      <c r="K39" s="125">
        <f t="shared" si="0"/>
        <v>1</v>
      </c>
    </row>
    <row r="40" spans="1:11" x14ac:dyDescent="0.2">
      <c r="A40" s="4">
        <f t="shared" si="1"/>
        <v>28</v>
      </c>
      <c r="B40" s="3" t="str">
        <f>+Distribution!B768</f>
        <v>Other Jurisdiction Distribution Plant</v>
      </c>
      <c r="C40" s="3" t="str">
        <f>+Distribution!E768</f>
        <v>ODISTPLT</v>
      </c>
      <c r="D40" s="125">
        <f>+Distribution!K768</f>
        <v>0</v>
      </c>
      <c r="E40" s="125">
        <f>+Distribution!L768</f>
        <v>0</v>
      </c>
      <c r="F40" s="125">
        <f>+Distribution!M768</f>
        <v>0</v>
      </c>
      <c r="G40" s="125">
        <f>+Distribution!P768</f>
        <v>0</v>
      </c>
      <c r="H40" s="125">
        <f>+Distribution!T768</f>
        <v>0</v>
      </c>
      <c r="I40" s="125">
        <f>+Distribution!U768</f>
        <v>0</v>
      </c>
      <c r="J40" s="125">
        <f>+Distribution!V768</f>
        <v>0</v>
      </c>
      <c r="K40" s="125">
        <f t="shared" si="0"/>
        <v>0</v>
      </c>
    </row>
    <row r="41" spans="1:11" x14ac:dyDescent="0.2">
      <c r="A41" s="4">
        <f t="shared" si="1"/>
        <v>29</v>
      </c>
      <c r="B41" s="3" t="str">
        <f>+Distribution!B769</f>
        <v>General Plant</v>
      </c>
      <c r="C41" s="3" t="str">
        <f>+Distribution!E769</f>
        <v>GENPLT</v>
      </c>
      <c r="D41" s="125">
        <f>+Distribution!K769</f>
        <v>0.57468380081152981</v>
      </c>
      <c r="E41" s="125">
        <f>+Distribution!L769</f>
        <v>2.1254326604242514E-2</v>
      </c>
      <c r="F41" s="125">
        <f>+Distribution!M769</f>
        <v>0.29521668768611825</v>
      </c>
      <c r="G41" s="125">
        <f>+Distribution!P769</f>
        <v>7.7855318385340239E-2</v>
      </c>
      <c r="H41" s="125">
        <f>+Distribution!T769</f>
        <v>5.3882036414148135E-6</v>
      </c>
      <c r="I41" s="125">
        <f>+Distribution!U769</f>
        <v>2.8094259801821529E-2</v>
      </c>
      <c r="J41" s="125">
        <f>+Distribution!V769</f>
        <v>2.8902185073062265E-3</v>
      </c>
      <c r="K41" s="125">
        <f t="shared" si="0"/>
        <v>1</v>
      </c>
    </row>
    <row r="42" spans="1:11" x14ac:dyDescent="0.2">
      <c r="A42" s="4">
        <f t="shared" si="1"/>
        <v>30</v>
      </c>
      <c r="B42" s="3" t="str">
        <f>+Distribution!B770</f>
        <v>Texas General Plant</v>
      </c>
      <c r="C42" s="3" t="str">
        <f>+Distribution!E770</f>
        <v>TGENPLT</v>
      </c>
      <c r="D42" s="125">
        <f>+Distribution!K770</f>
        <v>0.57468380081152981</v>
      </c>
      <c r="E42" s="125">
        <f>+Distribution!L770</f>
        <v>2.1254326604242514E-2</v>
      </c>
      <c r="F42" s="125">
        <f>+Distribution!M770</f>
        <v>0.29521668768611825</v>
      </c>
      <c r="G42" s="125">
        <f>+Distribution!P770</f>
        <v>7.7855318385340239E-2</v>
      </c>
      <c r="H42" s="125">
        <f>+Distribution!T770</f>
        <v>5.3882036414148135E-6</v>
      </c>
      <c r="I42" s="125">
        <f>+Distribution!U770</f>
        <v>2.8094259801821529E-2</v>
      </c>
      <c r="J42" s="125">
        <f>+Distribution!V770</f>
        <v>2.8902185073062265E-3</v>
      </c>
      <c r="K42" s="125">
        <f t="shared" si="0"/>
        <v>1</v>
      </c>
    </row>
    <row r="43" spans="1:11" x14ac:dyDescent="0.2">
      <c r="A43" s="4">
        <f t="shared" si="1"/>
        <v>31</v>
      </c>
      <c r="B43" s="3" t="str">
        <f>+Distribution!B771</f>
        <v>Other Jurisdiction General Plant</v>
      </c>
      <c r="C43" s="3" t="str">
        <f>+Distribution!E771</f>
        <v>OGENPLT</v>
      </c>
      <c r="D43" s="125">
        <f>+Distribution!K771</f>
        <v>0</v>
      </c>
      <c r="E43" s="125">
        <f>+Distribution!L771</f>
        <v>0</v>
      </c>
      <c r="F43" s="125">
        <f>+Distribution!M771</f>
        <v>0</v>
      </c>
      <c r="G43" s="125">
        <f>+Distribution!P771</f>
        <v>0</v>
      </c>
      <c r="H43" s="125">
        <f>+Distribution!T771</f>
        <v>0</v>
      </c>
      <c r="I43" s="125">
        <f>+Distribution!U771</f>
        <v>0</v>
      </c>
      <c r="J43" s="125">
        <f>+Distribution!V771</f>
        <v>0</v>
      </c>
      <c r="K43" s="125">
        <f t="shared" si="0"/>
        <v>0</v>
      </c>
    </row>
    <row r="44" spans="1:11" x14ac:dyDescent="0.2">
      <c r="A44" s="4">
        <f t="shared" si="1"/>
        <v>32</v>
      </c>
      <c r="B44" s="3" t="str">
        <f>+Distribution!B772</f>
        <v>Intangible Plant</v>
      </c>
      <c r="C44" s="3" t="str">
        <f>+Distribution!E772</f>
        <v>INTANPLT</v>
      </c>
      <c r="D44" s="125">
        <f>+Distribution!K772</f>
        <v>0.57468380081152981</v>
      </c>
      <c r="E44" s="125">
        <f>+Distribution!L772</f>
        <v>2.1254326604242514E-2</v>
      </c>
      <c r="F44" s="125">
        <f>+Distribution!M772</f>
        <v>0.29521668768611825</v>
      </c>
      <c r="G44" s="125">
        <f>+Distribution!P772</f>
        <v>7.7855318385340225E-2</v>
      </c>
      <c r="H44" s="125">
        <f>+Distribution!T772</f>
        <v>5.3882036414148135E-6</v>
      </c>
      <c r="I44" s="125">
        <f>+Distribution!U772</f>
        <v>2.8094259801821522E-2</v>
      </c>
      <c r="J44" s="125">
        <f>+Distribution!V772</f>
        <v>2.8902185073062265E-3</v>
      </c>
      <c r="K44" s="125">
        <f t="shared" si="0"/>
        <v>1</v>
      </c>
    </row>
    <row r="45" spans="1:11" x14ac:dyDescent="0.2">
      <c r="A45" s="4">
        <f t="shared" si="1"/>
        <v>33</v>
      </c>
      <c r="B45" s="3" t="str">
        <f>+Distribution!B773</f>
        <v>Texas Intangible Plant</v>
      </c>
      <c r="C45" s="3" t="str">
        <f>+Distribution!E773</f>
        <v>TINTANPLT</v>
      </c>
      <c r="D45" s="125">
        <f>+Distribution!K773</f>
        <v>0.57468380081152981</v>
      </c>
      <c r="E45" s="125">
        <f>+Distribution!L773</f>
        <v>2.1254326604242514E-2</v>
      </c>
      <c r="F45" s="125">
        <f>+Distribution!M773</f>
        <v>0.29521668768611825</v>
      </c>
      <c r="G45" s="125">
        <f>+Distribution!P773</f>
        <v>7.7855318385340225E-2</v>
      </c>
      <c r="H45" s="125">
        <f>+Distribution!T773</f>
        <v>5.3882036414148135E-6</v>
      </c>
      <c r="I45" s="125">
        <f>+Distribution!U773</f>
        <v>2.8094259801821522E-2</v>
      </c>
      <c r="J45" s="125">
        <f>+Distribution!V773</f>
        <v>2.8902185073062265E-3</v>
      </c>
      <c r="K45" s="125">
        <f t="shared" si="0"/>
        <v>1</v>
      </c>
    </row>
    <row r="46" spans="1:11" x14ac:dyDescent="0.2">
      <c r="A46" s="4">
        <f t="shared" si="1"/>
        <v>34</v>
      </c>
      <c r="B46" s="3" t="str">
        <f>+Distribution!B774</f>
        <v>Other Jurisdiction Intangible Plant</v>
      </c>
      <c r="C46" s="3" t="str">
        <f>+Distribution!E774</f>
        <v>OINTANPLT</v>
      </c>
      <c r="D46" s="125">
        <f>+Distribution!K774</f>
        <v>0</v>
      </c>
      <c r="E46" s="125">
        <f>+Distribution!L774</f>
        <v>0</v>
      </c>
      <c r="F46" s="125">
        <f>+Distribution!M774</f>
        <v>0</v>
      </c>
      <c r="G46" s="125">
        <f>+Distribution!P774</f>
        <v>0</v>
      </c>
      <c r="H46" s="125">
        <f>+Distribution!T774</f>
        <v>0</v>
      </c>
      <c r="I46" s="125">
        <f>+Distribution!U774</f>
        <v>0</v>
      </c>
      <c r="J46" s="125">
        <f>+Distribution!V774</f>
        <v>0</v>
      </c>
      <c r="K46" s="125">
        <f t="shared" si="0"/>
        <v>0</v>
      </c>
    </row>
    <row r="47" spans="1:11" x14ac:dyDescent="0.2">
      <c r="A47" s="4">
        <f t="shared" si="1"/>
        <v>35</v>
      </c>
      <c r="B47" s="3" t="str">
        <f>+Distribution!B775</f>
        <v>Plant in Service</v>
      </c>
      <c r="C47" s="3" t="str">
        <f>+Distribution!E775</f>
        <v>PLTSVC</v>
      </c>
      <c r="D47" s="125">
        <f>+Distribution!K775</f>
        <v>0.58050939525465151</v>
      </c>
      <c r="E47" s="125">
        <f>+Distribution!L775</f>
        <v>2.3874388173523137E-2</v>
      </c>
      <c r="F47" s="125">
        <f>+Distribution!M775</f>
        <v>0.28395042919150376</v>
      </c>
      <c r="G47" s="125">
        <f>+Distribution!P775</f>
        <v>6.306880702245822E-2</v>
      </c>
      <c r="H47" s="125">
        <f>+Distribution!T775</f>
        <v>6.837770669794054E-7</v>
      </c>
      <c r="I47" s="125">
        <f>+Distribution!U775</f>
        <v>4.6254433941379715E-2</v>
      </c>
      <c r="J47" s="125">
        <f>+Distribution!V775</f>
        <v>2.3418626394167137E-3</v>
      </c>
      <c r="K47" s="125">
        <f t="shared" si="0"/>
        <v>1</v>
      </c>
    </row>
    <row r="48" spans="1:11" x14ac:dyDescent="0.2">
      <c r="A48" s="4">
        <f t="shared" si="1"/>
        <v>36</v>
      </c>
      <c r="B48" s="3" t="str">
        <f>+Distribution!B776</f>
        <v>Net Plant</v>
      </c>
      <c r="C48" s="3" t="str">
        <f>+Distribution!E776</f>
        <v>NPLT</v>
      </c>
      <c r="D48" s="125">
        <f>+Distribution!K776</f>
        <v>0.57907042684366183</v>
      </c>
      <c r="E48" s="125">
        <f>+Distribution!L776</f>
        <v>2.2662868466069189E-2</v>
      </c>
      <c r="F48" s="125">
        <f>+Distribution!M776</f>
        <v>0.2900697052482798</v>
      </c>
      <c r="G48" s="125">
        <f>+Distribution!P776</f>
        <v>6.4897658040045034E-2</v>
      </c>
      <c r="H48" s="125">
        <f>+Distribution!T776</f>
        <v>6.4811032805948085E-7</v>
      </c>
      <c r="I48" s="125">
        <f>+Distribution!U776</f>
        <v>4.0888913510248939E-2</v>
      </c>
      <c r="J48" s="125">
        <f>+Distribution!V776</f>
        <v>2.4097797813672711E-3</v>
      </c>
      <c r="K48" s="125">
        <f t="shared" si="0"/>
        <v>1.0000000000000002</v>
      </c>
    </row>
    <row r="49" spans="1:11" x14ac:dyDescent="0.2">
      <c r="A49" s="4">
        <f t="shared" si="1"/>
        <v>37</v>
      </c>
      <c r="B49" s="3" t="str">
        <f>+Distribution!B777</f>
        <v>Plant excluding General</v>
      </c>
      <c r="C49" s="3" t="str">
        <f>+Distribution!E777</f>
        <v>PLTXGENL</v>
      </c>
      <c r="D49" s="125">
        <f>+Distribution!K777</f>
        <v>0.58117724665174519</v>
      </c>
      <c r="E49" s="125">
        <f>+Distribution!L777</f>
        <v>2.4174754393073754E-2</v>
      </c>
      <c r="F49" s="125">
        <f>+Distribution!M777</f>
        <v>0.28265885516431927</v>
      </c>
      <c r="G49" s="125">
        <f>+Distribution!P777</f>
        <v>6.1373668033938053E-2</v>
      </c>
      <c r="H49" s="125">
        <f>+Distribution!T777</f>
        <v>1.4445736476929939E-7</v>
      </c>
      <c r="I49" s="125">
        <f>+Distribution!U777</f>
        <v>4.8336332671025772E-2</v>
      </c>
      <c r="J49" s="125">
        <f>+Distribution!V777</f>
        <v>2.2789986285333408E-3</v>
      </c>
      <c r="K49" s="125">
        <f t="shared" si="0"/>
        <v>1.0000000000000002</v>
      </c>
    </row>
    <row r="50" spans="1:11" x14ac:dyDescent="0.2">
      <c r="A50" s="4">
        <f t="shared" si="1"/>
        <v>38</v>
      </c>
      <c r="B50" s="3" t="str">
        <f>+Distribution!B778</f>
        <v>Production, Transmission and Distribution Plant</v>
      </c>
      <c r="C50" s="3" t="str">
        <f>+Distribution!E778</f>
        <v>PTDPLT</v>
      </c>
      <c r="D50" s="125">
        <f>+Distribution!K778</f>
        <v>0.58135613136981923</v>
      </c>
      <c r="E50" s="125">
        <f>+Distribution!L778</f>
        <v>2.4255207809413239E-2</v>
      </c>
      <c r="F50" s="125">
        <f>+Distribution!M778</f>
        <v>0.28231290566607736</v>
      </c>
      <c r="G50" s="125">
        <f>+Distribution!P778</f>
        <v>6.0919623224902089E-2</v>
      </c>
      <c r="H50" s="125">
        <f>+Distribution!T778</f>
        <v>0</v>
      </c>
      <c r="I50" s="125">
        <f>+Distribution!U778</f>
        <v>4.8893971494470889E-2</v>
      </c>
      <c r="J50" s="125">
        <f>+Distribution!V778</f>
        <v>2.2621604353172827E-3</v>
      </c>
      <c r="K50" s="125">
        <f t="shared" si="0"/>
        <v>1</v>
      </c>
    </row>
    <row r="51" spans="1:11" x14ac:dyDescent="0.2">
      <c r="A51" s="4">
        <f t="shared" si="1"/>
        <v>39</v>
      </c>
      <c r="B51" s="3" t="str">
        <f>+Distribution!B779</f>
        <v>Accounts 352</v>
      </c>
      <c r="C51" s="3" t="str">
        <f>+Distribution!E779</f>
        <v>PLT352</v>
      </c>
      <c r="D51" s="125">
        <f>+Distribution!K779</f>
        <v>0</v>
      </c>
      <c r="E51" s="125">
        <f>+Distribution!L779</f>
        <v>0</v>
      </c>
      <c r="F51" s="125">
        <f>+Distribution!M779</f>
        <v>0</v>
      </c>
      <c r="G51" s="125">
        <f>+Distribution!P779</f>
        <v>0</v>
      </c>
      <c r="H51" s="125">
        <f>+Distribution!T779</f>
        <v>0</v>
      </c>
      <c r="I51" s="125">
        <f>+Distribution!U779</f>
        <v>0</v>
      </c>
      <c r="J51" s="125">
        <f>+Distribution!V779</f>
        <v>0</v>
      </c>
      <c r="K51" s="125">
        <f t="shared" si="0"/>
        <v>0</v>
      </c>
    </row>
    <row r="52" spans="1:11" x14ac:dyDescent="0.2">
      <c r="A52" s="4">
        <f t="shared" si="1"/>
        <v>40</v>
      </c>
      <c r="B52" s="3" t="str">
        <f>+Distribution!B780</f>
        <v>Account 353</v>
      </c>
      <c r="C52" s="3" t="str">
        <f>+Distribution!E780</f>
        <v>PLT353</v>
      </c>
      <c r="D52" s="125">
        <f>+Distribution!K780</f>
        <v>0</v>
      </c>
      <c r="E52" s="125">
        <f>+Distribution!L780</f>
        <v>0</v>
      </c>
      <c r="F52" s="125">
        <f>+Distribution!M780</f>
        <v>0</v>
      </c>
      <c r="G52" s="125">
        <f>+Distribution!P780</f>
        <v>0</v>
      </c>
      <c r="H52" s="125">
        <f>+Distribution!T780</f>
        <v>0</v>
      </c>
      <c r="I52" s="125">
        <f>+Distribution!U780</f>
        <v>0</v>
      </c>
      <c r="J52" s="125">
        <f>+Distribution!V780</f>
        <v>0</v>
      </c>
      <c r="K52" s="125">
        <f t="shared" si="0"/>
        <v>0</v>
      </c>
    </row>
    <row r="53" spans="1:11" x14ac:dyDescent="0.2">
      <c r="A53" s="4">
        <f t="shared" si="1"/>
        <v>41</v>
      </c>
      <c r="B53" s="3" t="str">
        <f>+Distribution!B781</f>
        <v>Accounts 352 through 353</v>
      </c>
      <c r="C53" s="3" t="str">
        <f>+Distribution!E781</f>
        <v>PLT352_353</v>
      </c>
      <c r="D53" s="125">
        <f>+Distribution!K781</f>
        <v>0</v>
      </c>
      <c r="E53" s="125">
        <f>+Distribution!L781</f>
        <v>0</v>
      </c>
      <c r="F53" s="125">
        <f>+Distribution!M781</f>
        <v>0</v>
      </c>
      <c r="G53" s="125">
        <f>+Distribution!P781</f>
        <v>0</v>
      </c>
      <c r="H53" s="125">
        <f>+Distribution!T781</f>
        <v>0</v>
      </c>
      <c r="I53" s="125">
        <f>+Distribution!U781</f>
        <v>0</v>
      </c>
      <c r="J53" s="125">
        <f>+Distribution!V781</f>
        <v>0</v>
      </c>
      <c r="K53" s="125">
        <f t="shared" si="0"/>
        <v>0</v>
      </c>
    </row>
    <row r="54" spans="1:11" x14ac:dyDescent="0.2">
      <c r="A54" s="4">
        <f t="shared" si="1"/>
        <v>42</v>
      </c>
      <c r="B54" s="3" t="str">
        <f>+Distribution!B782</f>
        <v>Accounts 354 through 356</v>
      </c>
      <c r="C54" s="3" t="str">
        <f>+Distribution!E782</f>
        <v>PLT354_356</v>
      </c>
      <c r="D54" s="125">
        <f>+Distribution!K782</f>
        <v>0</v>
      </c>
      <c r="E54" s="125">
        <f>+Distribution!L782</f>
        <v>0</v>
      </c>
      <c r="F54" s="125">
        <f>+Distribution!M782</f>
        <v>0</v>
      </c>
      <c r="G54" s="125">
        <f>+Distribution!P782</f>
        <v>0</v>
      </c>
      <c r="H54" s="125">
        <f>+Distribution!T782</f>
        <v>0</v>
      </c>
      <c r="I54" s="125">
        <f>+Distribution!U782</f>
        <v>0</v>
      </c>
      <c r="J54" s="125">
        <f>+Distribution!V782</f>
        <v>0</v>
      </c>
      <c r="K54" s="125">
        <f t="shared" si="0"/>
        <v>0</v>
      </c>
    </row>
    <row r="55" spans="1:11" x14ac:dyDescent="0.2">
      <c r="A55" s="4">
        <f t="shared" si="1"/>
        <v>43</v>
      </c>
      <c r="B55" s="3" t="str">
        <f>+Distribution!B783</f>
        <v>Accounts 357 through 358</v>
      </c>
      <c r="C55" s="3" t="str">
        <f>+Distribution!E783</f>
        <v>PLT357_358</v>
      </c>
      <c r="D55" s="125">
        <f>+Distribution!K783</f>
        <v>0</v>
      </c>
      <c r="E55" s="125">
        <f>+Distribution!L783</f>
        <v>0</v>
      </c>
      <c r="F55" s="125">
        <f>+Distribution!M783</f>
        <v>0</v>
      </c>
      <c r="G55" s="125">
        <f>+Distribution!P783</f>
        <v>0</v>
      </c>
      <c r="H55" s="125">
        <f>+Distribution!T783</f>
        <v>0</v>
      </c>
      <c r="I55" s="125">
        <f>+Distribution!U783</f>
        <v>0</v>
      </c>
      <c r="J55" s="125">
        <f>+Distribution!V783</f>
        <v>0</v>
      </c>
      <c r="K55" s="125">
        <f t="shared" si="0"/>
        <v>0</v>
      </c>
    </row>
    <row r="56" spans="1:11" x14ac:dyDescent="0.2">
      <c r="A56" s="4">
        <f t="shared" si="1"/>
        <v>44</v>
      </c>
      <c r="B56" s="3" t="str">
        <f>+Distribution!B784</f>
        <v>Account 361</v>
      </c>
      <c r="C56" s="3" t="str">
        <f>+Distribution!E784</f>
        <v>PLT361</v>
      </c>
      <c r="D56" s="125">
        <f>+Distribution!K784</f>
        <v>0.56562884643019973</v>
      </c>
      <c r="E56" s="125">
        <f>+Distribution!L784</f>
        <v>1.97312653517689E-2</v>
      </c>
      <c r="F56" s="125">
        <f>+Distribution!M784</f>
        <v>0.29757757165355442</v>
      </c>
      <c r="G56" s="125">
        <f>+Distribution!P784</f>
        <v>0.10219418819302058</v>
      </c>
      <c r="H56" s="125">
        <f>+Distribution!T784</f>
        <v>0</v>
      </c>
      <c r="I56" s="125">
        <f>+Distribution!U784</f>
        <v>1.1073297789590332E-2</v>
      </c>
      <c r="J56" s="125">
        <f>+Distribution!V784</f>
        <v>3.7948305818661147E-3</v>
      </c>
      <c r="K56" s="125">
        <f t="shared" si="0"/>
        <v>1.0000000000000002</v>
      </c>
    </row>
    <row r="57" spans="1:11" x14ac:dyDescent="0.2">
      <c r="A57" s="4">
        <f t="shared" si="1"/>
        <v>45</v>
      </c>
      <c r="B57" s="3" t="str">
        <f>+Distribution!B785</f>
        <v>Account 362</v>
      </c>
      <c r="C57" s="3" t="str">
        <f>+Distribution!E785</f>
        <v>PLT362</v>
      </c>
      <c r="D57" s="125">
        <f>+Distribution!K785</f>
        <v>0.56562884643019973</v>
      </c>
      <c r="E57" s="125">
        <f>+Distribution!L785</f>
        <v>1.97312653517689E-2</v>
      </c>
      <c r="F57" s="125">
        <f>+Distribution!M785</f>
        <v>0.29757757165355442</v>
      </c>
      <c r="G57" s="125">
        <f>+Distribution!P785</f>
        <v>0.10219418819302059</v>
      </c>
      <c r="H57" s="125">
        <f>+Distribution!T785</f>
        <v>0</v>
      </c>
      <c r="I57" s="125">
        <f>+Distribution!U785</f>
        <v>1.1073297789590333E-2</v>
      </c>
      <c r="J57" s="125">
        <f>+Distribution!V785</f>
        <v>3.7948305818661155E-3</v>
      </c>
      <c r="K57" s="125">
        <f t="shared" si="0"/>
        <v>1.0000000000000002</v>
      </c>
    </row>
    <row r="58" spans="1:11" x14ac:dyDescent="0.2">
      <c r="A58" s="4">
        <f t="shared" si="1"/>
        <v>46</v>
      </c>
      <c r="B58" s="3" t="str">
        <f>+Distribution!B786</f>
        <v>Accounts 364 through 365</v>
      </c>
      <c r="C58" s="3" t="str">
        <f>+Distribution!E786</f>
        <v>PLT364_365</v>
      </c>
      <c r="D58" s="125">
        <f>+Distribution!K786</f>
        <v>0.58142753030101957</v>
      </c>
      <c r="E58" s="125">
        <f>+Distribution!L786</f>
        <v>2.0282382971797009E-2</v>
      </c>
      <c r="F58" s="125">
        <f>+Distribution!M786</f>
        <v>0.30588926581708908</v>
      </c>
      <c r="G58" s="125">
        <f>+Distribution!P786</f>
        <v>7.8117456174343652E-2</v>
      </c>
      <c r="H58" s="125">
        <f>+Distribution!T786</f>
        <v>0</v>
      </c>
      <c r="I58" s="125">
        <f>+Distribution!U786</f>
        <v>1.1382588117142206E-2</v>
      </c>
      <c r="J58" s="125">
        <f>+Distribution!V786</f>
        <v>2.9007766186084443E-3</v>
      </c>
      <c r="K58" s="125">
        <f t="shared" si="0"/>
        <v>0.99999999999999989</v>
      </c>
    </row>
    <row r="59" spans="1:11" x14ac:dyDescent="0.2">
      <c r="A59" s="4">
        <f t="shared" si="1"/>
        <v>47</v>
      </c>
      <c r="B59" s="3" t="str">
        <f>+Distribution!B787</f>
        <v>Accounts 366 through 367</v>
      </c>
      <c r="C59" s="3" t="str">
        <f>+Distribution!E787</f>
        <v>PLT366_367</v>
      </c>
      <c r="D59" s="125">
        <f>+Distribution!K787</f>
        <v>0.59251233497349387</v>
      </c>
      <c r="E59" s="125">
        <f>+Distribution!L787</f>
        <v>2.0669062724333481E-2</v>
      </c>
      <c r="F59" s="125">
        <f>+Distribution!M787</f>
        <v>0.31172098617135846</v>
      </c>
      <c r="G59" s="125">
        <f>+Distribution!P787</f>
        <v>6.1224538146438613E-2</v>
      </c>
      <c r="H59" s="125">
        <f>+Distribution!T787</f>
        <v>0</v>
      </c>
      <c r="I59" s="125">
        <f>+Distribution!U787</f>
        <v>1.1599594982779316E-2</v>
      </c>
      <c r="J59" s="125">
        <f>+Distribution!V787</f>
        <v>2.2734830015959892E-3</v>
      </c>
      <c r="K59" s="125">
        <f t="shared" si="0"/>
        <v>0.99999999999999967</v>
      </c>
    </row>
    <row r="60" spans="1:11" x14ac:dyDescent="0.2">
      <c r="A60" s="4">
        <f t="shared" si="1"/>
        <v>48</v>
      </c>
      <c r="B60" s="3" t="str">
        <f>+Distribution!B788</f>
        <v>Account 368</v>
      </c>
      <c r="C60" s="3" t="str">
        <f>+Distribution!E788</f>
        <v>PLT368</v>
      </c>
      <c r="D60" s="125">
        <f>+Distribution!K788</f>
        <v>0.62568584902280244</v>
      </c>
      <c r="E60" s="125">
        <f>+Distribution!L788</f>
        <v>2.1826279886238455E-2</v>
      </c>
      <c r="F60" s="125">
        <f>+Distribution!M788</f>
        <v>0.32917358572725203</v>
      </c>
      <c r="G60" s="125">
        <f>+Distribution!P788</f>
        <v>1.0669073247351349E-2</v>
      </c>
      <c r="H60" s="125">
        <f>+Distribution!T788</f>
        <v>0</v>
      </c>
      <c r="I60" s="125">
        <f>+Distribution!U788</f>
        <v>1.2249031803608932E-2</v>
      </c>
      <c r="J60" s="125">
        <f>+Distribution!V788</f>
        <v>3.9618031274682246E-4</v>
      </c>
      <c r="K60" s="125">
        <f t="shared" si="0"/>
        <v>0.99999999999999989</v>
      </c>
    </row>
    <row r="61" spans="1:11" x14ac:dyDescent="0.2">
      <c r="A61" s="4">
        <f t="shared" si="1"/>
        <v>49</v>
      </c>
      <c r="B61" s="3" t="str">
        <f>+Distribution!B789</f>
        <v>Account 370</v>
      </c>
      <c r="C61" s="3" t="str">
        <f>+Distribution!E789</f>
        <v>PLT370</v>
      </c>
      <c r="D61" s="125">
        <f>+Distribution!K789</f>
        <v>0</v>
      </c>
      <c r="E61" s="125">
        <f>+Distribution!L789</f>
        <v>0</v>
      </c>
      <c r="F61" s="125">
        <f>+Distribution!M789</f>
        <v>0</v>
      </c>
      <c r="G61" s="125">
        <f>+Distribution!P789</f>
        <v>0</v>
      </c>
      <c r="H61" s="125">
        <f>+Distribution!T789</f>
        <v>0</v>
      </c>
      <c r="I61" s="125">
        <f>+Distribution!U789</f>
        <v>0</v>
      </c>
      <c r="J61" s="125">
        <f>+Distribution!V789</f>
        <v>0</v>
      </c>
      <c r="K61" s="125">
        <f t="shared" si="0"/>
        <v>0</v>
      </c>
    </row>
    <row r="62" spans="1:11" x14ac:dyDescent="0.2">
      <c r="A62" s="4">
        <f t="shared" si="1"/>
        <v>50</v>
      </c>
      <c r="B62" s="3" t="str">
        <f>+Distribution!B790</f>
        <v>Account 371</v>
      </c>
      <c r="C62" s="3" t="str">
        <f>+Distribution!E790</f>
        <v>PLT371</v>
      </c>
      <c r="D62" s="125">
        <f>+Distribution!K790</f>
        <v>0</v>
      </c>
      <c r="E62" s="125">
        <f>+Distribution!L790</f>
        <v>0</v>
      </c>
      <c r="F62" s="125">
        <f>+Distribution!M790</f>
        <v>0</v>
      </c>
      <c r="G62" s="125">
        <f>+Distribution!P790</f>
        <v>0</v>
      </c>
      <c r="H62" s="125">
        <f>+Distribution!T790</f>
        <v>0</v>
      </c>
      <c r="I62" s="125">
        <f>+Distribution!U790</f>
        <v>1</v>
      </c>
      <c r="J62" s="125">
        <f>+Distribution!V790</f>
        <v>0</v>
      </c>
      <c r="K62" s="125">
        <f t="shared" si="0"/>
        <v>1</v>
      </c>
    </row>
    <row r="63" spans="1:11" x14ac:dyDescent="0.2">
      <c r="A63" s="4">
        <f t="shared" si="1"/>
        <v>51</v>
      </c>
      <c r="B63" s="3" t="str">
        <f>+Distribution!B791</f>
        <v>Account 373</v>
      </c>
      <c r="C63" s="3" t="str">
        <f>+Distribution!E791</f>
        <v>PLT373</v>
      </c>
      <c r="D63" s="125">
        <f>+Distribution!K791</f>
        <v>0</v>
      </c>
      <c r="E63" s="125">
        <f>+Distribution!L791</f>
        <v>0</v>
      </c>
      <c r="F63" s="125">
        <f>+Distribution!M791</f>
        <v>0</v>
      </c>
      <c r="G63" s="125">
        <f>+Distribution!P791</f>
        <v>0</v>
      </c>
      <c r="H63" s="125">
        <f>+Distribution!T791</f>
        <v>0</v>
      </c>
      <c r="I63" s="125">
        <f>+Distribution!U791</f>
        <v>1</v>
      </c>
      <c r="J63" s="125">
        <f>+Distribution!V791</f>
        <v>0</v>
      </c>
      <c r="K63" s="125">
        <f t="shared" si="0"/>
        <v>1</v>
      </c>
    </row>
    <row r="64" spans="1:11" x14ac:dyDescent="0.2">
      <c r="A64" s="4">
        <f t="shared" si="1"/>
        <v>52</v>
      </c>
      <c r="B64" s="3" t="str">
        <f>+Distribution!B792</f>
        <v>Rate base</v>
      </c>
      <c r="C64" s="3" t="str">
        <f>+Distribution!E792</f>
        <v>RBX</v>
      </c>
      <c r="D64" s="125">
        <f>+Distribution!K792</f>
        <v>0.57864969680167655</v>
      </c>
      <c r="E64" s="125">
        <f>+Distribution!L792</f>
        <v>2.2390769803888828E-2</v>
      </c>
      <c r="F64" s="125">
        <f>+Distribution!M792</f>
        <v>0.29137169271564078</v>
      </c>
      <c r="G64" s="125">
        <f>+Distribution!P792</f>
        <v>6.5674370525101611E-2</v>
      </c>
      <c r="H64" s="125">
        <f>+Distribution!T792</f>
        <v>3.9077910242074126E-7</v>
      </c>
      <c r="I64" s="125">
        <f>+Distribution!U792</f>
        <v>3.9474418000066416E-2</v>
      </c>
      <c r="J64" s="125">
        <f>+Distribution!V792</f>
        <v>2.4386613745231885E-3</v>
      </c>
      <c r="K64" s="125">
        <f t="shared" si="0"/>
        <v>0.99999999999999989</v>
      </c>
    </row>
    <row r="65" spans="1:11" x14ac:dyDescent="0.2">
      <c r="A65" s="4">
        <f t="shared" si="1"/>
        <v>53</v>
      </c>
      <c r="B65" s="3" t="str">
        <f>+Distribution!B793</f>
        <v>Revenue - Curr tariff rev by func &amp; whsl rev req</v>
      </c>
      <c r="C65" s="3" t="str">
        <f>+Distribution!E793</f>
        <v>REVENUE</v>
      </c>
      <c r="D65" s="125">
        <f>+Distribution!K793</f>
        <v>0.54253035107251912</v>
      </c>
      <c r="E65" s="125">
        <f>+Distribution!L793</f>
        <v>2.8002470936150426E-2</v>
      </c>
      <c r="F65" s="125">
        <f>+Distribution!M793</f>
        <v>0.30281233508518945</v>
      </c>
      <c r="G65" s="125">
        <f>+Distribution!P793</f>
        <v>6.7559798036393684E-2</v>
      </c>
      <c r="H65" s="125">
        <f>+Distribution!T793</f>
        <v>1.6404586576451819E-2</v>
      </c>
      <c r="I65" s="125">
        <f>+Distribution!U793</f>
        <v>4.26904563152809E-2</v>
      </c>
      <c r="J65" s="125">
        <f>+Distribution!V793</f>
        <v>1.9780146674694802E-9</v>
      </c>
      <c r="K65" s="125">
        <f t="shared" si="0"/>
        <v>1</v>
      </c>
    </row>
    <row r="66" spans="1:11" x14ac:dyDescent="0.2">
      <c r="A66" s="4">
        <f t="shared" si="1"/>
        <v>54</v>
      </c>
      <c r="B66" s="3" t="str">
        <f>+Distribution!B794</f>
        <v>Retail Revenue</v>
      </c>
      <c r="C66" s="3" t="str">
        <f>+Distribution!E794</f>
        <v>TREVENUE</v>
      </c>
      <c r="D66" s="125">
        <f>+Distribution!K794</f>
        <v>0.54253035107251912</v>
      </c>
      <c r="E66" s="125">
        <f>+Distribution!L794</f>
        <v>2.8002470936150426E-2</v>
      </c>
      <c r="F66" s="125">
        <f>+Distribution!M794</f>
        <v>0.30281233508518945</v>
      </c>
      <c r="G66" s="125">
        <f>+Distribution!P794</f>
        <v>6.7559798036393684E-2</v>
      </c>
      <c r="H66" s="125">
        <f>+Distribution!T794</f>
        <v>1.6404586576451819E-2</v>
      </c>
      <c r="I66" s="125">
        <f>+Distribution!U794</f>
        <v>4.26904563152809E-2</v>
      </c>
      <c r="J66" s="125">
        <f>+Distribution!V794</f>
        <v>1.9780146674694802E-9</v>
      </c>
      <c r="K66" s="125">
        <f t="shared" si="0"/>
        <v>1</v>
      </c>
    </row>
    <row r="67" spans="1:11" x14ac:dyDescent="0.2">
      <c r="A67" s="4">
        <f t="shared" si="1"/>
        <v>55</v>
      </c>
      <c r="B67" s="3" t="str">
        <f>+Distribution!B795</f>
        <v>Wholesale Revenue</v>
      </c>
      <c r="C67" s="3" t="str">
        <f>+Distribution!E795</f>
        <v>OREVENUE</v>
      </c>
      <c r="D67" s="125">
        <f>+Distribution!K795</f>
        <v>0</v>
      </c>
      <c r="E67" s="125">
        <f>+Distribution!L795</f>
        <v>0</v>
      </c>
      <c r="F67" s="125">
        <f>+Distribution!M795</f>
        <v>0</v>
      </c>
      <c r="G67" s="125">
        <f>+Distribution!P795</f>
        <v>0</v>
      </c>
      <c r="H67" s="125">
        <f>+Distribution!T795</f>
        <v>0</v>
      </c>
      <c r="I67" s="125">
        <f>+Distribution!U795</f>
        <v>0</v>
      </c>
      <c r="J67" s="125">
        <f>+Distribution!V795</f>
        <v>0</v>
      </c>
      <c r="K67" s="125">
        <f t="shared" si="0"/>
        <v>0</v>
      </c>
    </row>
    <row r="68" spans="1:11" x14ac:dyDescent="0.2">
      <c r="A68" s="4">
        <f t="shared" si="1"/>
        <v>56</v>
      </c>
      <c r="B68" s="3" t="str">
        <f>+Distribution!B796</f>
        <v>Labor excluding A&amp;G</v>
      </c>
      <c r="C68" s="3" t="str">
        <f>+Distribution!E796</f>
        <v>LABOR</v>
      </c>
      <c r="D68" s="125">
        <f>+Distribution!K796</f>
        <v>0.57468380081152981</v>
      </c>
      <c r="E68" s="125">
        <f>+Distribution!L796</f>
        <v>2.1254326604242514E-2</v>
      </c>
      <c r="F68" s="125">
        <f>+Distribution!M796</f>
        <v>0.29521668768611825</v>
      </c>
      <c r="G68" s="125">
        <f>+Distribution!P796</f>
        <v>7.7855318385340225E-2</v>
      </c>
      <c r="H68" s="125">
        <f>+Distribution!T796</f>
        <v>5.3882036414148135E-6</v>
      </c>
      <c r="I68" s="125">
        <f>+Distribution!U796</f>
        <v>2.8094259801821526E-2</v>
      </c>
      <c r="J68" s="125">
        <f>+Distribution!V796</f>
        <v>2.8902185073062265E-3</v>
      </c>
      <c r="K68" s="125">
        <f t="shared" si="0"/>
        <v>1</v>
      </c>
    </row>
    <row r="69" spans="1:11" x14ac:dyDescent="0.2">
      <c r="A69" s="4">
        <f t="shared" si="1"/>
        <v>57</v>
      </c>
      <c r="B69" s="3" t="str">
        <f>+Distribution!B797</f>
        <v>Retail Labor excluding A&amp;G</v>
      </c>
      <c r="C69" s="3" t="str">
        <f>+Distribution!E797</f>
        <v>TLABOR</v>
      </c>
      <c r="D69" s="125">
        <f>+Distribution!K797</f>
        <v>0.57468380081152981</v>
      </c>
      <c r="E69" s="125">
        <f>+Distribution!L797</f>
        <v>2.1254326604242514E-2</v>
      </c>
      <c r="F69" s="125">
        <f>+Distribution!M797</f>
        <v>0.29521668768611825</v>
      </c>
      <c r="G69" s="125">
        <f>+Distribution!P797</f>
        <v>7.7855318385340225E-2</v>
      </c>
      <c r="H69" s="125">
        <f>+Distribution!T797</f>
        <v>5.3882036414148135E-6</v>
      </c>
      <c r="I69" s="125">
        <f>+Distribution!U797</f>
        <v>2.8094259801821526E-2</v>
      </c>
      <c r="J69" s="125">
        <f>+Distribution!V797</f>
        <v>2.8902185073062265E-3</v>
      </c>
      <c r="K69" s="125">
        <f t="shared" si="0"/>
        <v>1</v>
      </c>
    </row>
    <row r="70" spans="1:11" x14ac:dyDescent="0.2">
      <c r="A70" s="4">
        <f t="shared" si="1"/>
        <v>58</v>
      </c>
      <c r="B70" s="3" t="str">
        <f>+Distribution!B798</f>
        <v>Accounts 561 through 566 Labor</v>
      </c>
      <c r="C70" s="3" t="str">
        <f>+Distribution!E798</f>
        <v>LAB561_566</v>
      </c>
      <c r="D70" s="125">
        <f>+Distribution!K798</f>
        <v>0.48476544106930142</v>
      </c>
      <c r="E70" s="125">
        <f>+Distribution!L798</f>
        <v>1.9173937117232687E-2</v>
      </c>
      <c r="F70" s="125">
        <f>+Distribution!M798</f>
        <v>0.28551291534533063</v>
      </c>
      <c r="G70" s="125">
        <f>+Distribution!P798</f>
        <v>8.0892016922264873E-2</v>
      </c>
      <c r="H70" s="125">
        <f>+Distribution!T798</f>
        <v>0.12965568996685256</v>
      </c>
      <c r="I70" s="125">
        <f>+Distribution!U798</f>
        <v>-4.0236604550773094E-10</v>
      </c>
      <c r="J70" s="125">
        <f>+Distribution!V798</f>
        <v>-1.8616130390749557E-11</v>
      </c>
      <c r="K70" s="125">
        <f t="shared" si="0"/>
        <v>0.99999999999999989</v>
      </c>
    </row>
    <row r="71" spans="1:11" x14ac:dyDescent="0.2">
      <c r="A71" s="4">
        <f t="shared" si="1"/>
        <v>59</v>
      </c>
      <c r="B71" s="3" t="str">
        <f>+Distribution!B799</f>
        <v>Accounts 569 through 573 Labor</v>
      </c>
      <c r="C71" s="3" t="str">
        <f>+Distribution!E799</f>
        <v>LAB569_573</v>
      </c>
      <c r="D71" s="125">
        <f>+Distribution!K799</f>
        <v>0</v>
      </c>
      <c r="E71" s="125">
        <f>+Distribution!L799</f>
        <v>0</v>
      </c>
      <c r="F71" s="125">
        <f>+Distribution!M799</f>
        <v>0</v>
      </c>
      <c r="G71" s="125">
        <f>+Distribution!P799</f>
        <v>0</v>
      </c>
      <c r="H71" s="125">
        <f>+Distribution!T799</f>
        <v>0</v>
      </c>
      <c r="I71" s="125">
        <f>+Distribution!U799</f>
        <v>0</v>
      </c>
      <c r="J71" s="125">
        <f>+Distribution!V799</f>
        <v>0</v>
      </c>
      <c r="K71" s="125">
        <f t="shared" si="0"/>
        <v>0</v>
      </c>
    </row>
    <row r="72" spans="1:11" x14ac:dyDescent="0.2">
      <c r="A72" s="4">
        <f t="shared" si="1"/>
        <v>60</v>
      </c>
      <c r="B72" s="3" t="str">
        <f>+Distribution!B800</f>
        <v>Accounts 581 through 588 Labor</v>
      </c>
      <c r="C72" s="3" t="str">
        <f>+Distribution!E800</f>
        <v>LAB581_588</v>
      </c>
      <c r="D72" s="125">
        <f>+Distribution!K800</f>
        <v>0.57646591507525413</v>
      </c>
      <c r="E72" s="125">
        <f>+Distribution!L800</f>
        <v>2.3018725835155608E-2</v>
      </c>
      <c r="F72" s="125">
        <f>+Distribution!M800</f>
        <v>0.28605156794223857</v>
      </c>
      <c r="G72" s="125">
        <f>+Distribution!P800</f>
        <v>7.0932981560733521E-2</v>
      </c>
      <c r="H72" s="125">
        <f>+Distribution!T800</f>
        <v>0</v>
      </c>
      <c r="I72" s="125">
        <f>+Distribution!U800</f>
        <v>4.0896817845510448E-2</v>
      </c>
      <c r="J72" s="125">
        <f>+Distribution!V800</f>
        <v>2.6339917411076479E-3</v>
      </c>
      <c r="K72" s="125">
        <f t="shared" si="0"/>
        <v>1</v>
      </c>
    </row>
    <row r="73" spans="1:11" x14ac:dyDescent="0.2">
      <c r="A73" s="4">
        <f t="shared" si="1"/>
        <v>61</v>
      </c>
      <c r="B73" s="3" t="str">
        <f>+Distribution!B801</f>
        <v>Accounts 591 through 598 Labor</v>
      </c>
      <c r="C73" s="3" t="str">
        <f>+Distribution!E801</f>
        <v>LAB591_598</v>
      </c>
      <c r="D73" s="125">
        <f>+Distribution!K801</f>
        <v>0.57345468032015645</v>
      </c>
      <c r="E73" s="125">
        <f>+Distribution!L801</f>
        <v>2.001587662439272E-2</v>
      </c>
      <c r="F73" s="125">
        <f>+Distribution!M801</f>
        <v>0.30162596085214921</v>
      </c>
      <c r="G73" s="125">
        <f>+Distribution!P801</f>
        <v>8.2705141683866459E-2</v>
      </c>
      <c r="H73" s="125">
        <f>+Distribution!T801</f>
        <v>0</v>
      </c>
      <c r="I73" s="125">
        <f>+Distribution!U801</f>
        <v>1.9127206959993235E-2</v>
      </c>
      <c r="J73" s="125">
        <f>+Distribution!V801</f>
        <v>3.0711335594418975E-3</v>
      </c>
      <c r="K73" s="125">
        <f t="shared" si="0"/>
        <v>1</v>
      </c>
    </row>
    <row r="74" spans="1:11" x14ac:dyDescent="0.2">
      <c r="A74" s="4">
        <f t="shared" si="1"/>
        <v>62</v>
      </c>
      <c r="B74" s="3" t="str">
        <f>+Distribution!B802</f>
        <v>Accounts 902 through 903 Labor</v>
      </c>
      <c r="C74" s="3" t="str">
        <f>+Distribution!E802</f>
        <v>LAB902_903</v>
      </c>
      <c r="D74" s="125">
        <f>+Distribution!K802</f>
        <v>0</v>
      </c>
      <c r="E74" s="125">
        <f>+Distribution!L802</f>
        <v>0</v>
      </c>
      <c r="F74" s="125">
        <f>+Distribution!M802</f>
        <v>0</v>
      </c>
      <c r="G74" s="125">
        <f>+Distribution!P802</f>
        <v>0</v>
      </c>
      <c r="H74" s="125">
        <f>+Distribution!T802</f>
        <v>0</v>
      </c>
      <c r="I74" s="125">
        <f>+Distribution!U802</f>
        <v>0</v>
      </c>
      <c r="J74" s="125">
        <f>+Distribution!V802</f>
        <v>0</v>
      </c>
      <c r="K74" s="125">
        <f t="shared" si="0"/>
        <v>0</v>
      </c>
    </row>
    <row r="75" spans="1:11" x14ac:dyDescent="0.2">
      <c r="A75" s="4">
        <f t="shared" si="1"/>
        <v>63</v>
      </c>
      <c r="B75" s="3" t="str">
        <f>+Distribution!B803</f>
        <v>Accounts 908 through 910 Labor</v>
      </c>
      <c r="C75" s="3" t="str">
        <f>+Distribution!E803</f>
        <v>LAB908_910</v>
      </c>
      <c r="D75" s="125">
        <f>+Distribution!K803</f>
        <v>0</v>
      </c>
      <c r="E75" s="125">
        <f>+Distribution!L803</f>
        <v>0</v>
      </c>
      <c r="F75" s="125">
        <f>+Distribution!M803</f>
        <v>0</v>
      </c>
      <c r="G75" s="125">
        <f>+Distribution!P803</f>
        <v>0</v>
      </c>
      <c r="H75" s="125">
        <f>+Distribution!T803</f>
        <v>0</v>
      </c>
      <c r="I75" s="125">
        <f>+Distribution!U803</f>
        <v>0</v>
      </c>
      <c r="J75" s="125">
        <f>+Distribution!V803</f>
        <v>0</v>
      </c>
      <c r="K75" s="125">
        <f t="shared" si="0"/>
        <v>0</v>
      </c>
    </row>
    <row r="76" spans="1:11" x14ac:dyDescent="0.2">
      <c r="A76" s="4">
        <f t="shared" si="1"/>
        <v>64</v>
      </c>
      <c r="B76" s="3" t="str">
        <f>+Distribution!B804</f>
        <v>Accounts 912 through 916 Labor</v>
      </c>
      <c r="C76" s="3" t="str">
        <f>+Distribution!E804</f>
        <v>LAB912_916</v>
      </c>
      <c r="D76" s="125">
        <f>+Distribution!K804</f>
        <v>0</v>
      </c>
      <c r="E76" s="125">
        <f>+Distribution!L804</f>
        <v>0</v>
      </c>
      <c r="F76" s="125">
        <f>+Distribution!M804</f>
        <v>0</v>
      </c>
      <c r="G76" s="125">
        <f>+Distribution!P804</f>
        <v>0</v>
      </c>
      <c r="H76" s="125">
        <f>+Distribution!T804</f>
        <v>0</v>
      </c>
      <c r="I76" s="125">
        <f>+Distribution!U804</f>
        <v>0</v>
      </c>
      <c r="J76" s="125">
        <f>+Distribution!V804</f>
        <v>0</v>
      </c>
      <c r="K76" s="125">
        <f t="shared" si="0"/>
        <v>0</v>
      </c>
    </row>
    <row r="77" spans="1:11" x14ac:dyDescent="0.2">
      <c r="A77" s="4">
        <f t="shared" si="1"/>
        <v>65</v>
      </c>
      <c r="B77" s="3" t="str">
        <f>+Distribution!B805</f>
        <v>Texas Retail Customers</v>
      </c>
      <c r="C77" s="3" t="str">
        <f>+Distribution!E805</f>
        <v>TCUSTOMERS</v>
      </c>
      <c r="D77" s="125">
        <f>+Distribution!K805</f>
        <v>0.70338161489917128</v>
      </c>
      <c r="E77" s="125">
        <f>+Distribution!L805</f>
        <v>7.4732012114639326E-2</v>
      </c>
      <c r="F77" s="125">
        <f>+Distribution!M805</f>
        <v>5.4457966157527918E-2</v>
      </c>
      <c r="G77" s="125">
        <f>+Distribution!P805</f>
        <v>8.1676796043413547E-4</v>
      </c>
      <c r="H77" s="125">
        <f>+Distribution!T805</f>
        <v>9.2506868446960095E-5</v>
      </c>
      <c r="I77" s="125">
        <f>+Distribution!U805</f>
        <v>0.16650484232091459</v>
      </c>
      <c r="J77" s="125">
        <f>+Distribution!V805</f>
        <v>1.4289678865790585E-5</v>
      </c>
      <c r="K77" s="125">
        <f t="shared" si="0"/>
        <v>1</v>
      </c>
    </row>
    <row r="78" spans="1:11" x14ac:dyDescent="0.2">
      <c r="A78" s="4">
        <f t="shared" si="1"/>
        <v>66</v>
      </c>
      <c r="B78" s="3" t="str">
        <f>+Distribution!B806</f>
        <v>Texas Retail Generation Demand</v>
      </c>
      <c r="C78" s="3" t="str">
        <f>+Distribution!E806</f>
        <v>TDEMANDG</v>
      </c>
      <c r="D78" s="125">
        <f>+Distribution!K806</f>
        <v>0.48476544186418086</v>
      </c>
      <c r="E78" s="125">
        <f>+Distribution!L806</f>
        <v>1.9173937159048283E-2</v>
      </c>
      <c r="F78" s="125">
        <f>+Distribution!M806</f>
        <v>0.28551291531899664</v>
      </c>
      <c r="G78" s="125">
        <f>+Distribution!P806</f>
        <v>8.0892016757904861E-2</v>
      </c>
      <c r="H78" s="125">
        <f>+Distribution!T806</f>
        <v>0.12965568889986934</v>
      </c>
      <c r="I78" s="125">
        <f>+Distribution!U806</f>
        <v>0</v>
      </c>
      <c r="J78" s="125">
        <f>+Distribution!V806</f>
        <v>0</v>
      </c>
      <c r="K78" s="125">
        <f t="shared" ref="K78:K83" si="2">SUM(D78:J78)</f>
        <v>0.99999999999999989</v>
      </c>
    </row>
    <row r="79" spans="1:11" x14ac:dyDescent="0.2">
      <c r="A79" s="4">
        <f>+A78+1</f>
        <v>67</v>
      </c>
      <c r="B79" s="3" t="str">
        <f>+Distribution!B807</f>
        <v>Texas Retail Transmission Demand</v>
      </c>
      <c r="C79" s="3" t="str">
        <f>+Distribution!E807</f>
        <v>TDEMANDT</v>
      </c>
      <c r="D79" s="125">
        <f>+Distribution!K807</f>
        <v>0.47672758051311936</v>
      </c>
      <c r="E79" s="125">
        <f>+Distribution!L807</f>
        <v>1.7692674150235652E-2</v>
      </c>
      <c r="F79" s="125">
        <f>+Distribution!M807</f>
        <v>0.28831850957647071</v>
      </c>
      <c r="G79" s="125">
        <f>+Distribution!P807</f>
        <v>0.10697821994662522</v>
      </c>
      <c r="H79" s="125">
        <f>+Distribution!T807</f>
        <v>0.11028301581354905</v>
      </c>
      <c r="I79" s="125">
        <f>+Distribution!U807</f>
        <v>0</v>
      </c>
      <c r="J79" s="125">
        <f>+Distribution!V807</f>
        <v>0</v>
      </c>
      <c r="K79" s="125">
        <f t="shared" si="2"/>
        <v>1</v>
      </c>
    </row>
    <row r="80" spans="1:11" x14ac:dyDescent="0.2">
      <c r="A80" s="4">
        <f>+A79+1</f>
        <v>68</v>
      </c>
      <c r="B80" s="3" t="str">
        <f>+Distribution!B808</f>
        <v>Account 365 (Veg Mgmt)</v>
      </c>
      <c r="C80" s="3" t="str">
        <f>+Distribution!E808</f>
        <v>PLT365</v>
      </c>
      <c r="D80" s="125">
        <f>+Distribution!K808</f>
        <v>0.5767470365037296</v>
      </c>
      <c r="E80" s="125">
        <f>+Distribution!L808</f>
        <v>2.0119109712884407E-2</v>
      </c>
      <c r="F80" s="125">
        <f>+Distribution!M808</f>
        <v>0.30342685608122189</v>
      </c>
      <c r="G80" s="125">
        <f>+Distribution!P808</f>
        <v>8.5250391790617747E-2</v>
      </c>
      <c r="H80" s="125">
        <f>+Distribution!T808</f>
        <v>0</v>
      </c>
      <c r="I80" s="125">
        <f>+Distribution!U808</f>
        <v>1.1290958240153397E-2</v>
      </c>
      <c r="J80" s="125">
        <f>+Distribution!V808</f>
        <v>3.165647671392712E-3</v>
      </c>
      <c r="K80" s="125">
        <f t="shared" si="2"/>
        <v>0.99999999999999978</v>
      </c>
    </row>
    <row r="81" spans="1:11" x14ac:dyDescent="0.2">
      <c r="A81" s="4">
        <f>+A80+1</f>
        <v>69</v>
      </c>
      <c r="B81" s="3" t="str">
        <f>+Distribution!B809</f>
        <v>Total Retail O&amp;M</v>
      </c>
      <c r="C81" s="3" t="str">
        <f>+Distribution!E809</f>
        <v>O&amp;M</v>
      </c>
      <c r="D81" s="125">
        <f>+Distribution!K809</f>
        <v>0.57559981799643267</v>
      </c>
      <c r="E81" s="125">
        <f>+Distribution!L809</f>
        <v>2.1469787742413756E-2</v>
      </c>
      <c r="F81" s="125">
        <f>+Distribution!M809</f>
        <v>0.29501159169729785</v>
      </c>
      <c r="G81" s="125">
        <f>+Distribution!P809</f>
        <v>7.558873638440114E-2</v>
      </c>
      <c r="H81" s="125">
        <f>+Distribution!T809</f>
        <v>9.7535028074055349E-5</v>
      </c>
      <c r="I81" s="125">
        <f>+Distribution!U809</f>
        <v>2.9440570899937235E-2</v>
      </c>
      <c r="J81" s="125">
        <f>+Distribution!V809</f>
        <v>2.7919602514432764E-3</v>
      </c>
      <c r="K81" s="125">
        <f t="shared" si="2"/>
        <v>0.99999999999999989</v>
      </c>
    </row>
    <row r="82" spans="1:11" x14ac:dyDescent="0.2">
      <c r="A82" s="4">
        <f>+A81+1</f>
        <v>70</v>
      </c>
      <c r="B82" s="3" t="str">
        <f>+Distribution!B810</f>
        <v>Muni Franch Fee (MFF Total Inside City Limits KWH)</v>
      </c>
      <c r="C82" s="3" t="str">
        <f>+Distribution!E810</f>
        <v>MFF</v>
      </c>
      <c r="D82" s="125">
        <f>+Distribution!K810</f>
        <v>0.45055255221890889</v>
      </c>
      <c r="E82" s="125">
        <f>+Distribution!L810</f>
        <v>1.9034181199202461E-2</v>
      </c>
      <c r="F82" s="125">
        <f>+Distribution!M810</f>
        <v>0.33912251036372282</v>
      </c>
      <c r="G82" s="125">
        <f>+Distribution!P810</f>
        <v>8.8063337802073066E-2</v>
      </c>
      <c r="H82" s="125">
        <f>+Distribution!T810</f>
        <v>9.4088966737790075E-2</v>
      </c>
      <c r="I82" s="125">
        <f>+Distribution!U810</f>
        <v>9.1384516783027253E-3</v>
      </c>
      <c r="J82" s="125">
        <f>+Distribution!V810</f>
        <v>0</v>
      </c>
      <c r="K82" s="125">
        <f t="shared" si="2"/>
        <v>1</v>
      </c>
    </row>
    <row r="83" spans="1:11" ht="12.75" customHeight="1" x14ac:dyDescent="0.2">
      <c r="A83" s="4">
        <f>+A82+1</f>
        <v>71</v>
      </c>
      <c r="B83" s="3" t="str">
        <f>+Distribution!B811</f>
        <v>Excess Mitigation Credit</v>
      </c>
      <c r="C83" s="3" t="str">
        <f>+Distribution!E811</f>
        <v>EMC</v>
      </c>
      <c r="D83" s="125">
        <f>+Distribution!K811</f>
        <v>0</v>
      </c>
      <c r="E83" s="125">
        <f>+Distribution!L811</f>
        <v>0</v>
      </c>
      <c r="F83" s="125">
        <f>+Distribution!M811</f>
        <v>0</v>
      </c>
      <c r="G83" s="125">
        <f>+Distribution!P811</f>
        <v>0</v>
      </c>
      <c r="H83" s="125">
        <f>+Distribution!T811</f>
        <v>0</v>
      </c>
      <c r="I83" s="125">
        <f>+Distribution!U811</f>
        <v>0</v>
      </c>
      <c r="J83" s="125">
        <f>+Distribution!V811</f>
        <v>0</v>
      </c>
      <c r="K83" s="125">
        <f t="shared" si="2"/>
        <v>0</v>
      </c>
    </row>
  </sheetData>
  <pageMargins left="0.7" right="0.7" top="0.75" bottom="0.75" header="0.3" footer="0.3"/>
  <pageSetup scale="64" orientation="landscape" r:id="rId1"/>
  <headerFooter>
    <oddHeader>&amp;RDocket No. 56165
&amp;F
&amp;A
Page &amp;P of &amp;N</oddHeader>
    <oddFooter>&amp;LSponsored by: Earlyne Reynolds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9"/>
  <sheetViews>
    <sheetView topLeftCell="A25" zoomScaleNormal="100" workbookViewId="0">
      <selection activeCell="K25" sqref="K25"/>
    </sheetView>
  </sheetViews>
  <sheetFormatPr defaultRowHeight="12.75" customHeight="1" x14ac:dyDescent="0.2"/>
  <cols>
    <col min="2" max="2" width="43.85546875" customWidth="1"/>
    <col min="3" max="3" width="9.5703125" bestFit="1" customWidth="1"/>
    <col min="4" max="4" width="9.85546875" bestFit="1" customWidth="1"/>
    <col min="5" max="5" width="27.140625" bestFit="1" customWidth="1"/>
    <col min="6" max="6" width="23.5703125" bestFit="1" customWidth="1"/>
    <col min="7" max="7" width="9.140625" customWidth="1"/>
  </cols>
  <sheetData>
    <row r="1" spans="1:6" ht="13.5" thickBot="1" x14ac:dyDescent="0.25">
      <c r="A1" s="132"/>
      <c r="B1" s="132"/>
      <c r="C1" s="132"/>
      <c r="D1" s="132"/>
      <c r="E1" s="132"/>
      <c r="F1" s="132"/>
    </row>
    <row r="2" spans="1:6" x14ac:dyDescent="0.2">
      <c r="A2" s="132"/>
      <c r="B2" s="99" t="s">
        <v>677</v>
      </c>
      <c r="C2" s="126"/>
      <c r="D2" s="132"/>
      <c r="E2" s="132"/>
      <c r="F2" s="132"/>
    </row>
    <row r="3" spans="1:6" x14ac:dyDescent="0.2">
      <c r="A3" s="132"/>
      <c r="B3" s="101" t="s">
        <v>686</v>
      </c>
      <c r="C3" s="104"/>
      <c r="D3" s="132"/>
      <c r="E3" s="132"/>
      <c r="F3" s="132"/>
    </row>
    <row r="4" spans="1:6" x14ac:dyDescent="0.2">
      <c r="A4" s="132"/>
      <c r="B4" s="102" t="s">
        <v>698</v>
      </c>
      <c r="C4" s="126"/>
      <c r="D4" s="132"/>
      <c r="E4" s="132"/>
      <c r="F4" s="132"/>
    </row>
    <row r="5" spans="1:6" x14ac:dyDescent="0.2">
      <c r="A5" s="132"/>
      <c r="B5" s="102" t="s">
        <v>822</v>
      </c>
      <c r="C5" s="126"/>
      <c r="D5" s="132"/>
      <c r="E5" s="132"/>
      <c r="F5" s="132"/>
    </row>
    <row r="6" spans="1:6" ht="13.5" thickBot="1" x14ac:dyDescent="0.25">
      <c r="A6" s="132"/>
      <c r="B6" s="103" t="s">
        <v>858</v>
      </c>
      <c r="C6" s="126"/>
      <c r="D6" s="132"/>
      <c r="E6" s="132"/>
      <c r="F6" s="132"/>
    </row>
    <row r="7" spans="1:6" ht="13.5" thickBot="1" x14ac:dyDescent="0.25">
      <c r="A7" s="132"/>
      <c r="B7" s="132"/>
      <c r="C7" s="132"/>
      <c r="D7" s="132"/>
      <c r="E7" s="132"/>
      <c r="F7" s="132"/>
    </row>
    <row r="8" spans="1:6" x14ac:dyDescent="0.2">
      <c r="A8" s="106"/>
      <c r="B8" s="106"/>
      <c r="C8" s="106"/>
      <c r="D8" s="107"/>
      <c r="E8" s="107"/>
      <c r="F8" s="107"/>
    </row>
    <row r="9" spans="1:6" x14ac:dyDescent="0.2">
      <c r="A9" s="108" t="s">
        <v>699</v>
      </c>
      <c r="B9" s="108" t="s">
        <v>2</v>
      </c>
      <c r="C9" s="108" t="s">
        <v>697</v>
      </c>
      <c r="D9" s="108" t="s">
        <v>695</v>
      </c>
      <c r="E9" s="108" t="s">
        <v>706</v>
      </c>
      <c r="F9" s="108" t="s">
        <v>707</v>
      </c>
    </row>
    <row r="10" spans="1:6" x14ac:dyDescent="0.2">
      <c r="A10" s="108" t="s">
        <v>7</v>
      </c>
      <c r="B10" s="108"/>
      <c r="C10" s="108"/>
      <c r="D10" s="108" t="s">
        <v>704</v>
      </c>
      <c r="E10" s="109"/>
      <c r="F10" s="109"/>
    </row>
    <row r="11" spans="1:6" ht="13.5" thickBot="1" x14ac:dyDescent="0.25">
      <c r="A11" s="110"/>
      <c r="B11" s="110"/>
      <c r="C11" s="110"/>
      <c r="D11" s="110"/>
      <c r="E11" s="110"/>
      <c r="F11" s="110"/>
    </row>
    <row r="12" spans="1:6" x14ac:dyDescent="0.2">
      <c r="A12" s="132"/>
      <c r="B12" s="132"/>
      <c r="C12" s="132"/>
      <c r="D12" s="132"/>
      <c r="E12" s="132"/>
      <c r="F12" s="132"/>
    </row>
    <row r="13" spans="1:6" x14ac:dyDescent="0.2">
      <c r="A13" s="4"/>
      <c r="B13" s="128" t="s">
        <v>700</v>
      </c>
      <c r="C13" s="3"/>
      <c r="D13" s="125"/>
      <c r="E13" s="125"/>
      <c r="F13" s="125"/>
    </row>
    <row r="14" spans="1:6" x14ac:dyDescent="0.2">
      <c r="A14" s="4"/>
      <c r="B14" s="128" t="s">
        <v>376</v>
      </c>
      <c r="C14" s="3"/>
      <c r="D14" s="125"/>
      <c r="E14" s="125"/>
      <c r="F14" s="125"/>
    </row>
    <row r="15" spans="1:6" x14ac:dyDescent="0.2">
      <c r="A15" s="4">
        <v>301</v>
      </c>
      <c r="B15" s="37" t="s">
        <v>25</v>
      </c>
      <c r="C15" s="4" t="s">
        <v>701</v>
      </c>
      <c r="D15" s="127" t="s">
        <v>323</v>
      </c>
      <c r="E15" s="125" t="s">
        <v>710</v>
      </c>
      <c r="F15" s="125" t="s">
        <v>725</v>
      </c>
    </row>
    <row r="16" spans="1:6" x14ac:dyDescent="0.2">
      <c r="A16" s="4">
        <v>303</v>
      </c>
      <c r="B16" s="3" t="s">
        <v>705</v>
      </c>
      <c r="C16" s="4" t="s">
        <v>703</v>
      </c>
      <c r="D16" s="127" t="s">
        <v>323</v>
      </c>
      <c r="E16" s="125" t="s">
        <v>710</v>
      </c>
      <c r="F16" s="125" t="s">
        <v>725</v>
      </c>
    </row>
    <row r="17" spans="1:6" x14ac:dyDescent="0.2">
      <c r="A17" s="4">
        <v>303</v>
      </c>
      <c r="B17" s="3" t="s">
        <v>705</v>
      </c>
      <c r="C17" s="4" t="s">
        <v>702</v>
      </c>
      <c r="D17" s="127" t="s">
        <v>323</v>
      </c>
      <c r="E17" s="125" t="s">
        <v>710</v>
      </c>
      <c r="F17" s="125" t="s">
        <v>725</v>
      </c>
    </row>
    <row r="18" spans="1:6" x14ac:dyDescent="0.2">
      <c r="A18" s="4">
        <v>303</v>
      </c>
      <c r="B18" s="3" t="s">
        <v>705</v>
      </c>
      <c r="C18" s="4" t="s">
        <v>701</v>
      </c>
      <c r="D18" s="127" t="s">
        <v>323</v>
      </c>
      <c r="E18" s="125" t="s">
        <v>710</v>
      </c>
      <c r="F18" s="125" t="s">
        <v>725</v>
      </c>
    </row>
    <row r="19" spans="1:6" x14ac:dyDescent="0.2">
      <c r="A19" s="4"/>
      <c r="B19" s="3"/>
      <c r="C19" s="3"/>
      <c r="D19" s="125"/>
      <c r="E19" s="125"/>
      <c r="F19" s="125"/>
    </row>
    <row r="20" spans="1:6" x14ac:dyDescent="0.2">
      <c r="A20" s="4"/>
      <c r="B20" s="128" t="s">
        <v>33</v>
      </c>
      <c r="C20" s="3"/>
      <c r="D20" s="125"/>
      <c r="E20" s="125"/>
      <c r="F20" s="125"/>
    </row>
    <row r="21" spans="1:6" x14ac:dyDescent="0.2">
      <c r="A21" s="4" t="s">
        <v>708</v>
      </c>
      <c r="B21" s="18" t="s">
        <v>33</v>
      </c>
      <c r="C21" s="4" t="s">
        <v>726</v>
      </c>
      <c r="D21" s="127" t="s">
        <v>325</v>
      </c>
      <c r="E21" s="125" t="s">
        <v>709</v>
      </c>
      <c r="F21" s="125" t="s">
        <v>709</v>
      </c>
    </row>
    <row r="22" spans="1:6" x14ac:dyDescent="0.2">
      <c r="A22" s="4"/>
      <c r="B22" s="3"/>
      <c r="C22" s="3"/>
      <c r="D22" s="127"/>
      <c r="E22" s="125"/>
      <c r="F22" s="125"/>
    </row>
    <row r="23" spans="1:6" x14ac:dyDescent="0.2">
      <c r="A23" s="4"/>
      <c r="B23" s="128" t="s">
        <v>52</v>
      </c>
      <c r="C23" s="3"/>
      <c r="D23" s="127"/>
      <c r="E23" s="125"/>
      <c r="F23" s="125"/>
    </row>
    <row r="24" spans="1:6" x14ac:dyDescent="0.2">
      <c r="A24" s="4" t="s">
        <v>711</v>
      </c>
      <c r="B24" s="3" t="s">
        <v>712</v>
      </c>
      <c r="C24" s="4" t="s">
        <v>703</v>
      </c>
      <c r="D24" s="127" t="s">
        <v>368</v>
      </c>
      <c r="E24" s="3" t="s">
        <v>694</v>
      </c>
      <c r="F24" s="125" t="s">
        <v>727</v>
      </c>
    </row>
    <row r="25" spans="1:6" x14ac:dyDescent="0.2">
      <c r="A25" s="4">
        <v>364</v>
      </c>
      <c r="B25" s="3" t="s">
        <v>713</v>
      </c>
      <c r="C25" s="4" t="s">
        <v>703</v>
      </c>
      <c r="D25" s="127" t="s">
        <v>368</v>
      </c>
      <c r="E25" s="3" t="s">
        <v>694</v>
      </c>
      <c r="F25" s="125" t="s">
        <v>727</v>
      </c>
    </row>
    <row r="26" spans="1:6" x14ac:dyDescent="0.2">
      <c r="A26" s="4">
        <v>364</v>
      </c>
      <c r="B26" s="3" t="s">
        <v>714</v>
      </c>
      <c r="C26" s="4" t="s">
        <v>703</v>
      </c>
      <c r="D26" s="127" t="s">
        <v>368</v>
      </c>
      <c r="E26" s="3" t="s">
        <v>694</v>
      </c>
      <c r="F26" s="125" t="s">
        <v>727</v>
      </c>
    </row>
    <row r="27" spans="1:6" x14ac:dyDescent="0.2">
      <c r="A27" s="4">
        <v>365</v>
      </c>
      <c r="B27" s="3" t="s">
        <v>715</v>
      </c>
      <c r="C27" s="4" t="s">
        <v>703</v>
      </c>
      <c r="D27" s="129" t="s">
        <v>368</v>
      </c>
      <c r="E27" s="3" t="s">
        <v>694</v>
      </c>
      <c r="F27" s="125" t="s">
        <v>727</v>
      </c>
    </row>
    <row r="28" spans="1:6" x14ac:dyDescent="0.2">
      <c r="A28" s="4">
        <v>365</v>
      </c>
      <c r="B28" s="3" t="s">
        <v>716</v>
      </c>
      <c r="C28" s="4" t="s">
        <v>703</v>
      </c>
      <c r="D28" s="129" t="s">
        <v>369</v>
      </c>
      <c r="E28" s="3" t="s">
        <v>723</v>
      </c>
      <c r="F28" s="125" t="s">
        <v>727</v>
      </c>
    </row>
    <row r="29" spans="1:6" x14ac:dyDescent="0.2">
      <c r="A29" s="4">
        <v>366</v>
      </c>
      <c r="B29" s="3" t="s">
        <v>717</v>
      </c>
      <c r="C29" s="4" t="s">
        <v>703</v>
      </c>
      <c r="D29" s="129" t="s">
        <v>368</v>
      </c>
      <c r="E29" s="3" t="s">
        <v>694</v>
      </c>
      <c r="F29" s="125" t="s">
        <v>727</v>
      </c>
    </row>
    <row r="30" spans="1:6" x14ac:dyDescent="0.2">
      <c r="A30" s="4">
        <v>366</v>
      </c>
      <c r="B30" s="3" t="s">
        <v>718</v>
      </c>
      <c r="C30" s="4" t="s">
        <v>703</v>
      </c>
      <c r="D30" s="129" t="s">
        <v>369</v>
      </c>
      <c r="E30" s="3" t="s">
        <v>723</v>
      </c>
      <c r="F30" s="125" t="s">
        <v>727</v>
      </c>
    </row>
    <row r="31" spans="1:6" x14ac:dyDescent="0.2">
      <c r="A31" s="4">
        <v>367</v>
      </c>
      <c r="B31" s="3" t="s">
        <v>719</v>
      </c>
      <c r="C31" s="4" t="s">
        <v>703</v>
      </c>
      <c r="D31" s="129" t="s">
        <v>368</v>
      </c>
      <c r="E31" s="3" t="s">
        <v>694</v>
      </c>
      <c r="F31" s="125" t="s">
        <v>727</v>
      </c>
    </row>
    <row r="32" spans="1:6" x14ac:dyDescent="0.2">
      <c r="A32" s="4">
        <v>367</v>
      </c>
      <c r="B32" s="3" t="s">
        <v>720</v>
      </c>
      <c r="C32" s="4" t="s">
        <v>703</v>
      </c>
      <c r="D32" s="129" t="s">
        <v>369</v>
      </c>
      <c r="E32" s="3" t="s">
        <v>723</v>
      </c>
      <c r="F32" s="125" t="s">
        <v>727</v>
      </c>
    </row>
    <row r="33" spans="1:6" x14ac:dyDescent="0.2">
      <c r="A33" s="4">
        <v>368</v>
      </c>
      <c r="B33" s="3" t="s">
        <v>721</v>
      </c>
      <c r="C33" s="4" t="s">
        <v>703</v>
      </c>
      <c r="D33" s="129" t="s">
        <v>368</v>
      </c>
      <c r="E33" s="3" t="s">
        <v>694</v>
      </c>
      <c r="F33" s="125" t="s">
        <v>727</v>
      </c>
    </row>
    <row r="34" spans="1:6" x14ac:dyDescent="0.2">
      <c r="A34" s="4">
        <v>368</v>
      </c>
      <c r="B34" s="3" t="s">
        <v>722</v>
      </c>
      <c r="C34" s="4" t="s">
        <v>703</v>
      </c>
      <c r="D34" s="129" t="s">
        <v>369</v>
      </c>
      <c r="E34" s="3" t="s">
        <v>723</v>
      </c>
      <c r="F34" s="125" t="s">
        <v>727</v>
      </c>
    </row>
    <row r="35" spans="1:6" x14ac:dyDescent="0.2">
      <c r="A35" s="4">
        <v>369</v>
      </c>
      <c r="B35" s="3" t="s">
        <v>73</v>
      </c>
      <c r="C35" s="4" t="s">
        <v>703</v>
      </c>
      <c r="D35" s="129" t="s">
        <v>343</v>
      </c>
      <c r="E35" s="3" t="s">
        <v>347</v>
      </c>
      <c r="F35" s="125" t="s">
        <v>728</v>
      </c>
    </row>
    <row r="36" spans="1:6" x14ac:dyDescent="0.2">
      <c r="A36" s="4">
        <v>370</v>
      </c>
      <c r="B36" s="3" t="s">
        <v>75</v>
      </c>
      <c r="C36" s="4" t="s">
        <v>703</v>
      </c>
      <c r="D36" s="129" t="s">
        <v>344</v>
      </c>
      <c r="E36" s="3" t="s">
        <v>346</v>
      </c>
      <c r="F36" s="125" t="s">
        <v>728</v>
      </c>
    </row>
    <row r="37" spans="1:6" x14ac:dyDescent="0.2">
      <c r="A37" s="4">
        <v>371</v>
      </c>
      <c r="B37" s="3" t="s">
        <v>77</v>
      </c>
      <c r="C37" s="4" t="s">
        <v>702</v>
      </c>
      <c r="D37" s="129" t="s">
        <v>371</v>
      </c>
      <c r="E37" s="3" t="s">
        <v>348</v>
      </c>
      <c r="F37" s="125" t="s">
        <v>729</v>
      </c>
    </row>
    <row r="38" spans="1:6" x14ac:dyDescent="0.2">
      <c r="A38" s="4">
        <v>372</v>
      </c>
      <c r="B38" s="3" t="s">
        <v>79</v>
      </c>
      <c r="C38" s="4" t="s">
        <v>703</v>
      </c>
      <c r="D38" s="129" t="s">
        <v>368</v>
      </c>
      <c r="E38" s="3" t="s">
        <v>694</v>
      </c>
      <c r="F38" s="125" t="s">
        <v>727</v>
      </c>
    </row>
    <row r="39" spans="1:6" x14ac:dyDescent="0.2">
      <c r="A39" s="4">
        <v>373</v>
      </c>
      <c r="B39" s="3" t="s">
        <v>81</v>
      </c>
      <c r="C39" s="4" t="s">
        <v>703</v>
      </c>
      <c r="D39" s="129" t="s">
        <v>372</v>
      </c>
      <c r="E39" s="3" t="s">
        <v>349</v>
      </c>
      <c r="F39" s="125" t="s">
        <v>729</v>
      </c>
    </row>
    <row r="40" spans="1:6" x14ac:dyDescent="0.2">
      <c r="A40" s="4"/>
      <c r="B40" s="3"/>
      <c r="C40" s="3"/>
      <c r="D40" s="127"/>
      <c r="E40" s="125"/>
      <c r="F40" s="125"/>
    </row>
    <row r="41" spans="1:6" x14ac:dyDescent="0.2">
      <c r="A41" s="4"/>
      <c r="B41" s="128" t="s">
        <v>84</v>
      </c>
      <c r="C41" s="3"/>
      <c r="D41" s="127"/>
      <c r="E41" s="125"/>
      <c r="F41" s="125"/>
    </row>
    <row r="42" spans="1:6" x14ac:dyDescent="0.2">
      <c r="A42" s="4" t="s">
        <v>724</v>
      </c>
      <c r="B42" s="3" t="s">
        <v>84</v>
      </c>
      <c r="C42" s="4" t="s">
        <v>703</v>
      </c>
      <c r="D42" s="127" t="s">
        <v>323</v>
      </c>
      <c r="E42" s="125" t="s">
        <v>710</v>
      </c>
      <c r="F42" s="125" t="s">
        <v>725</v>
      </c>
    </row>
    <row r="43" spans="1:6" x14ac:dyDescent="0.2">
      <c r="A43" s="4" t="s">
        <v>724</v>
      </c>
      <c r="B43" s="3" t="s">
        <v>84</v>
      </c>
      <c r="C43" s="4" t="s">
        <v>702</v>
      </c>
      <c r="D43" s="127" t="s">
        <v>323</v>
      </c>
      <c r="E43" s="125" t="s">
        <v>710</v>
      </c>
      <c r="F43" s="125" t="s">
        <v>725</v>
      </c>
    </row>
    <row r="44" spans="1:6" x14ac:dyDescent="0.2">
      <c r="A44" s="4" t="s">
        <v>724</v>
      </c>
      <c r="B44" s="3" t="s">
        <v>84</v>
      </c>
      <c r="C44" s="4" t="s">
        <v>701</v>
      </c>
      <c r="D44" s="127" t="s">
        <v>323</v>
      </c>
      <c r="E44" s="125" t="s">
        <v>710</v>
      </c>
      <c r="F44" s="125" t="s">
        <v>725</v>
      </c>
    </row>
    <row r="45" spans="1:6" x14ac:dyDescent="0.2">
      <c r="A45" s="4">
        <v>397</v>
      </c>
      <c r="B45" s="3" t="s">
        <v>730</v>
      </c>
      <c r="C45" s="4" t="s">
        <v>703</v>
      </c>
      <c r="D45" s="127" t="s">
        <v>323</v>
      </c>
      <c r="E45" s="125" t="s">
        <v>710</v>
      </c>
      <c r="F45" s="125" t="s">
        <v>725</v>
      </c>
    </row>
    <row r="46" spans="1:6" x14ac:dyDescent="0.2">
      <c r="A46" s="4">
        <v>398</v>
      </c>
      <c r="B46" s="3" t="s">
        <v>730</v>
      </c>
      <c r="C46" s="4" t="s">
        <v>702</v>
      </c>
      <c r="D46" s="127" t="s">
        <v>323</v>
      </c>
      <c r="E46" s="125" t="s">
        <v>710</v>
      </c>
      <c r="F46" s="125" t="s">
        <v>725</v>
      </c>
    </row>
    <row r="47" spans="1:6" x14ac:dyDescent="0.2">
      <c r="A47" s="4">
        <v>399</v>
      </c>
      <c r="B47" s="3" t="s">
        <v>730</v>
      </c>
      <c r="C47" s="4" t="s">
        <v>701</v>
      </c>
      <c r="D47" s="127" t="s">
        <v>323</v>
      </c>
      <c r="E47" s="125" t="s">
        <v>710</v>
      </c>
      <c r="F47" s="125" t="s">
        <v>725</v>
      </c>
    </row>
    <row r="48" spans="1:6" x14ac:dyDescent="0.2">
      <c r="A48" s="4"/>
      <c r="B48" s="3"/>
      <c r="C48" s="3"/>
      <c r="D48" s="127"/>
      <c r="E48" s="125"/>
      <c r="F48" s="125"/>
    </row>
    <row r="49" spans="1:6" x14ac:dyDescent="0.2">
      <c r="A49" s="4"/>
      <c r="B49" s="128" t="s">
        <v>731</v>
      </c>
      <c r="C49" s="3"/>
      <c r="D49" s="127"/>
      <c r="E49" s="125"/>
      <c r="F49" s="125"/>
    </row>
    <row r="50" spans="1:6" x14ac:dyDescent="0.2">
      <c r="A50" s="4"/>
      <c r="B50" s="128" t="s">
        <v>732</v>
      </c>
      <c r="C50" s="3"/>
      <c r="D50" s="127"/>
      <c r="E50" s="125"/>
      <c r="F50" s="125"/>
    </row>
    <row r="51" spans="1:6" x14ac:dyDescent="0.2">
      <c r="A51" s="4">
        <v>303</v>
      </c>
      <c r="B51" s="3" t="s">
        <v>705</v>
      </c>
      <c r="C51" s="4" t="s">
        <v>703</v>
      </c>
      <c r="D51" s="127" t="s">
        <v>323</v>
      </c>
      <c r="E51" s="125" t="s">
        <v>710</v>
      </c>
      <c r="F51" s="125" t="s">
        <v>733</v>
      </c>
    </row>
    <row r="52" spans="1:6" x14ac:dyDescent="0.2">
      <c r="A52" s="4">
        <v>303</v>
      </c>
      <c r="B52" s="3" t="s">
        <v>705</v>
      </c>
      <c r="C52" s="4" t="s">
        <v>702</v>
      </c>
      <c r="D52" s="127" t="s">
        <v>323</v>
      </c>
      <c r="E52" s="125" t="s">
        <v>710</v>
      </c>
      <c r="F52" s="125" t="s">
        <v>733</v>
      </c>
    </row>
    <row r="53" spans="1:6" x14ac:dyDescent="0.2">
      <c r="A53" s="4">
        <v>303</v>
      </c>
      <c r="B53" s="3" t="s">
        <v>705</v>
      </c>
      <c r="C53" s="4" t="s">
        <v>701</v>
      </c>
      <c r="D53" s="127" t="s">
        <v>323</v>
      </c>
      <c r="E53" s="125" t="s">
        <v>710</v>
      </c>
      <c r="F53" s="125" t="s">
        <v>733</v>
      </c>
    </row>
    <row r="54" spans="1:6" x14ac:dyDescent="0.2">
      <c r="A54" s="4"/>
      <c r="B54" s="128" t="s">
        <v>734</v>
      </c>
      <c r="C54" s="3"/>
      <c r="D54" s="127"/>
      <c r="E54" s="125"/>
      <c r="F54" s="125"/>
    </row>
    <row r="55" spans="1:6" x14ac:dyDescent="0.2">
      <c r="A55" s="4" t="s">
        <v>708</v>
      </c>
      <c r="B55" s="18" t="s">
        <v>33</v>
      </c>
      <c r="C55" s="4" t="s">
        <v>726</v>
      </c>
      <c r="D55" s="127" t="s">
        <v>325</v>
      </c>
      <c r="E55" s="125" t="s">
        <v>709</v>
      </c>
      <c r="F55" s="125" t="s">
        <v>709</v>
      </c>
    </row>
    <row r="56" spans="1:6" x14ac:dyDescent="0.2">
      <c r="A56" s="4"/>
      <c r="B56" s="3"/>
      <c r="C56" s="3"/>
      <c r="D56" s="127"/>
      <c r="E56" s="125"/>
      <c r="F56" s="125"/>
    </row>
    <row r="57" spans="1:6" x14ac:dyDescent="0.2">
      <c r="A57" s="4"/>
      <c r="B57" s="128" t="s">
        <v>735</v>
      </c>
      <c r="C57" s="3"/>
      <c r="D57" s="127"/>
      <c r="E57" s="125"/>
      <c r="F57" s="125"/>
    </row>
    <row r="58" spans="1:6" x14ac:dyDescent="0.2">
      <c r="A58" s="4" t="s">
        <v>711</v>
      </c>
      <c r="B58" s="3" t="s">
        <v>712</v>
      </c>
      <c r="C58" s="4" t="s">
        <v>703</v>
      </c>
      <c r="D58" s="127" t="s">
        <v>368</v>
      </c>
      <c r="E58" s="3" t="s">
        <v>736</v>
      </c>
      <c r="F58" s="3" t="s">
        <v>736</v>
      </c>
    </row>
    <row r="59" spans="1:6" x14ac:dyDescent="0.2">
      <c r="A59" s="4">
        <v>364</v>
      </c>
      <c r="B59" s="3" t="s">
        <v>713</v>
      </c>
      <c r="C59" s="4" t="s">
        <v>703</v>
      </c>
      <c r="D59" s="127" t="s">
        <v>368</v>
      </c>
      <c r="E59" s="3" t="s">
        <v>736</v>
      </c>
      <c r="F59" s="3" t="s">
        <v>736</v>
      </c>
    </row>
    <row r="60" spans="1:6" x14ac:dyDescent="0.2">
      <c r="A60" s="4">
        <v>364</v>
      </c>
      <c r="B60" s="3" t="s">
        <v>714</v>
      </c>
      <c r="C60" s="4" t="s">
        <v>703</v>
      </c>
      <c r="D60" s="127" t="s">
        <v>368</v>
      </c>
      <c r="E60" s="3" t="s">
        <v>736</v>
      </c>
      <c r="F60" s="3" t="s">
        <v>736</v>
      </c>
    </row>
    <row r="61" spans="1:6" x14ac:dyDescent="0.2">
      <c r="A61" s="4">
        <v>365</v>
      </c>
      <c r="B61" s="3" t="s">
        <v>715</v>
      </c>
      <c r="C61" s="4" t="s">
        <v>703</v>
      </c>
      <c r="D61" s="129" t="s">
        <v>368</v>
      </c>
      <c r="E61" s="3" t="s">
        <v>736</v>
      </c>
      <c r="F61" s="3" t="s">
        <v>736</v>
      </c>
    </row>
    <row r="62" spans="1:6" x14ac:dyDescent="0.2">
      <c r="A62" s="4">
        <v>365</v>
      </c>
      <c r="B62" s="3" t="s">
        <v>716</v>
      </c>
      <c r="C62" s="4" t="s">
        <v>703</v>
      </c>
      <c r="D62" s="129" t="s">
        <v>369</v>
      </c>
      <c r="E62" s="3" t="s">
        <v>736</v>
      </c>
      <c r="F62" s="3" t="s">
        <v>736</v>
      </c>
    </row>
    <row r="63" spans="1:6" x14ac:dyDescent="0.2">
      <c r="A63" s="4">
        <v>366</v>
      </c>
      <c r="B63" s="3" t="s">
        <v>717</v>
      </c>
      <c r="C63" s="4" t="s">
        <v>703</v>
      </c>
      <c r="D63" s="129" t="s">
        <v>368</v>
      </c>
      <c r="E63" s="3" t="s">
        <v>736</v>
      </c>
      <c r="F63" s="3" t="s">
        <v>736</v>
      </c>
    </row>
    <row r="64" spans="1:6" x14ac:dyDescent="0.2">
      <c r="A64" s="4">
        <v>366</v>
      </c>
      <c r="B64" s="3" t="s">
        <v>718</v>
      </c>
      <c r="C64" s="4" t="s">
        <v>703</v>
      </c>
      <c r="D64" s="129" t="s">
        <v>369</v>
      </c>
      <c r="E64" s="3" t="s">
        <v>736</v>
      </c>
      <c r="F64" s="3" t="s">
        <v>736</v>
      </c>
    </row>
    <row r="65" spans="1:6" x14ac:dyDescent="0.2">
      <c r="A65" s="4">
        <v>367</v>
      </c>
      <c r="B65" s="3" t="s">
        <v>719</v>
      </c>
      <c r="C65" s="4" t="s">
        <v>703</v>
      </c>
      <c r="D65" s="129" t="s">
        <v>368</v>
      </c>
      <c r="E65" s="3" t="s">
        <v>736</v>
      </c>
      <c r="F65" s="3" t="s">
        <v>736</v>
      </c>
    </row>
    <row r="66" spans="1:6" x14ac:dyDescent="0.2">
      <c r="A66" s="4">
        <v>367</v>
      </c>
      <c r="B66" s="3" t="s">
        <v>720</v>
      </c>
      <c r="C66" s="4" t="s">
        <v>703</v>
      </c>
      <c r="D66" s="129" t="s">
        <v>369</v>
      </c>
      <c r="E66" s="3" t="s">
        <v>736</v>
      </c>
      <c r="F66" s="3" t="s">
        <v>736</v>
      </c>
    </row>
    <row r="67" spans="1:6" x14ac:dyDescent="0.2">
      <c r="A67" s="4">
        <v>368</v>
      </c>
      <c r="B67" s="3" t="s">
        <v>721</v>
      </c>
      <c r="C67" s="4" t="s">
        <v>703</v>
      </c>
      <c r="D67" s="129" t="s">
        <v>368</v>
      </c>
      <c r="E67" s="3" t="s">
        <v>736</v>
      </c>
      <c r="F67" s="3" t="s">
        <v>736</v>
      </c>
    </row>
    <row r="68" spans="1:6" x14ac:dyDescent="0.2">
      <c r="A68" s="4">
        <v>368</v>
      </c>
      <c r="B68" s="3" t="s">
        <v>722</v>
      </c>
      <c r="C68" s="4" t="s">
        <v>703</v>
      </c>
      <c r="D68" s="129" t="s">
        <v>369</v>
      </c>
      <c r="E68" s="3" t="s">
        <v>736</v>
      </c>
      <c r="F68" s="3" t="s">
        <v>736</v>
      </c>
    </row>
    <row r="69" spans="1:6" x14ac:dyDescent="0.2">
      <c r="A69" s="4">
        <v>369</v>
      </c>
      <c r="B69" s="3" t="s">
        <v>73</v>
      </c>
      <c r="C69" s="4" t="s">
        <v>703</v>
      </c>
      <c r="D69" s="129" t="s">
        <v>343</v>
      </c>
      <c r="E69" s="3" t="s">
        <v>736</v>
      </c>
      <c r="F69" s="3" t="s">
        <v>736</v>
      </c>
    </row>
    <row r="70" spans="1:6" x14ac:dyDescent="0.2">
      <c r="A70" s="4">
        <v>370</v>
      </c>
      <c r="B70" s="3" t="s">
        <v>75</v>
      </c>
      <c r="C70" s="4" t="s">
        <v>702</v>
      </c>
      <c r="D70" s="129" t="s">
        <v>344</v>
      </c>
      <c r="E70" s="3" t="s">
        <v>736</v>
      </c>
      <c r="F70" s="3" t="s">
        <v>736</v>
      </c>
    </row>
    <row r="71" spans="1:6" x14ac:dyDescent="0.2">
      <c r="A71" s="4">
        <v>371</v>
      </c>
      <c r="B71" s="3" t="s">
        <v>77</v>
      </c>
      <c r="C71" s="4" t="s">
        <v>703</v>
      </c>
      <c r="D71" s="129" t="s">
        <v>371</v>
      </c>
      <c r="E71" s="3" t="s">
        <v>736</v>
      </c>
      <c r="F71" s="3" t="s">
        <v>736</v>
      </c>
    </row>
    <row r="72" spans="1:6" x14ac:dyDescent="0.2">
      <c r="A72" s="4">
        <v>372</v>
      </c>
      <c r="B72" s="3" t="s">
        <v>79</v>
      </c>
      <c r="C72" s="4" t="s">
        <v>703</v>
      </c>
      <c r="D72" s="129" t="s">
        <v>368</v>
      </c>
      <c r="E72" s="3" t="s">
        <v>736</v>
      </c>
      <c r="F72" s="3" t="s">
        <v>736</v>
      </c>
    </row>
    <row r="73" spans="1:6" x14ac:dyDescent="0.2">
      <c r="A73" s="4">
        <v>373</v>
      </c>
      <c r="B73" s="3" t="s">
        <v>81</v>
      </c>
      <c r="C73" s="4" t="s">
        <v>703</v>
      </c>
      <c r="D73" s="129" t="s">
        <v>372</v>
      </c>
      <c r="E73" s="3" t="s">
        <v>736</v>
      </c>
      <c r="F73" s="3" t="s">
        <v>736</v>
      </c>
    </row>
    <row r="74" spans="1:6" x14ac:dyDescent="0.2">
      <c r="A74" s="4"/>
      <c r="B74" s="3"/>
      <c r="C74" s="3"/>
      <c r="D74" s="127"/>
      <c r="E74" s="125"/>
      <c r="F74" s="125"/>
    </row>
    <row r="75" spans="1:6" x14ac:dyDescent="0.2">
      <c r="A75" s="4"/>
      <c r="B75" s="128" t="s">
        <v>737</v>
      </c>
      <c r="C75" s="3"/>
      <c r="D75" s="127"/>
      <c r="E75" s="125"/>
      <c r="F75" s="125"/>
    </row>
    <row r="76" spans="1:6" x14ac:dyDescent="0.2">
      <c r="A76" s="4" t="s">
        <v>724</v>
      </c>
      <c r="B76" s="3" t="s">
        <v>84</v>
      </c>
      <c r="C76" s="4" t="s">
        <v>702</v>
      </c>
      <c r="D76" s="127" t="s">
        <v>323</v>
      </c>
      <c r="E76" s="3" t="s">
        <v>736</v>
      </c>
      <c r="F76" s="3" t="s">
        <v>736</v>
      </c>
    </row>
    <row r="77" spans="1:6" x14ac:dyDescent="0.2">
      <c r="A77" s="4" t="s">
        <v>724</v>
      </c>
      <c r="B77" s="3" t="s">
        <v>84</v>
      </c>
      <c r="C77" s="4" t="s">
        <v>701</v>
      </c>
      <c r="D77" s="127" t="s">
        <v>323</v>
      </c>
      <c r="E77" s="3" t="s">
        <v>736</v>
      </c>
      <c r="F77" s="3" t="s">
        <v>736</v>
      </c>
    </row>
    <row r="78" spans="1:6" x14ac:dyDescent="0.2">
      <c r="A78" s="4">
        <v>397</v>
      </c>
      <c r="B78" s="3" t="s">
        <v>730</v>
      </c>
      <c r="C78" s="4" t="s">
        <v>703</v>
      </c>
      <c r="D78" s="127" t="s">
        <v>323</v>
      </c>
      <c r="E78" s="3" t="s">
        <v>736</v>
      </c>
      <c r="F78" s="3" t="s">
        <v>736</v>
      </c>
    </row>
    <row r="79" spans="1:6" x14ac:dyDescent="0.2">
      <c r="A79" s="4">
        <v>398</v>
      </c>
      <c r="B79" s="3" t="s">
        <v>730</v>
      </c>
      <c r="C79" s="4" t="s">
        <v>702</v>
      </c>
      <c r="D79" s="127" t="s">
        <v>323</v>
      </c>
      <c r="E79" s="3" t="s">
        <v>736</v>
      </c>
      <c r="F79" s="3" t="s">
        <v>736</v>
      </c>
    </row>
    <row r="80" spans="1:6" x14ac:dyDescent="0.2">
      <c r="A80" s="4">
        <v>399</v>
      </c>
      <c r="B80" s="3" t="s">
        <v>730</v>
      </c>
      <c r="C80" s="4" t="s">
        <v>701</v>
      </c>
      <c r="D80" s="127" t="s">
        <v>323</v>
      </c>
      <c r="E80" s="3" t="s">
        <v>736</v>
      </c>
      <c r="F80" s="3" t="s">
        <v>736</v>
      </c>
    </row>
    <row r="81" spans="1:6" x14ac:dyDescent="0.2">
      <c r="A81" s="4"/>
      <c r="B81" s="3"/>
      <c r="C81" s="3"/>
      <c r="D81" s="125"/>
      <c r="E81" s="125"/>
      <c r="F81" s="125"/>
    </row>
    <row r="82" spans="1:6" x14ac:dyDescent="0.2">
      <c r="A82" s="4"/>
      <c r="B82" s="128" t="s">
        <v>738</v>
      </c>
      <c r="C82" s="3"/>
      <c r="D82" s="125"/>
      <c r="E82" s="125"/>
      <c r="F82" s="125"/>
    </row>
    <row r="83" spans="1:6" x14ac:dyDescent="0.2">
      <c r="A83" s="4">
        <v>105</v>
      </c>
      <c r="B83" s="3" t="s">
        <v>738</v>
      </c>
      <c r="C83" s="4" t="s">
        <v>703</v>
      </c>
      <c r="D83" s="129" t="s">
        <v>368</v>
      </c>
      <c r="E83" s="3" t="s">
        <v>694</v>
      </c>
      <c r="F83" s="125" t="s">
        <v>727</v>
      </c>
    </row>
    <row r="84" spans="1:6" x14ac:dyDescent="0.2">
      <c r="A84" s="4"/>
      <c r="B84" s="3"/>
      <c r="C84" s="4"/>
      <c r="D84" s="125"/>
      <c r="E84" s="125"/>
      <c r="F84" s="125"/>
    </row>
    <row r="85" spans="1:6" x14ac:dyDescent="0.2">
      <c r="A85" s="4"/>
      <c r="B85" s="128" t="s">
        <v>739</v>
      </c>
      <c r="C85" s="4"/>
      <c r="D85" s="125"/>
      <c r="E85" s="125"/>
      <c r="F85" s="125"/>
    </row>
    <row r="86" spans="1:6" x14ac:dyDescent="0.2">
      <c r="A86" s="4"/>
      <c r="B86" s="3" t="s">
        <v>652</v>
      </c>
      <c r="C86" s="4" t="s">
        <v>703</v>
      </c>
      <c r="D86" s="127" t="s">
        <v>331</v>
      </c>
      <c r="E86" s="125" t="s">
        <v>52</v>
      </c>
      <c r="F86" s="125" t="s">
        <v>740</v>
      </c>
    </row>
    <row r="87" spans="1:6" x14ac:dyDescent="0.2">
      <c r="A87" s="4"/>
      <c r="B87" s="3"/>
      <c r="C87" s="4"/>
      <c r="D87" s="125"/>
      <c r="E87" s="125"/>
      <c r="F87" s="125"/>
    </row>
    <row r="88" spans="1:6" x14ac:dyDescent="0.2">
      <c r="A88" s="4"/>
      <c r="B88" s="128" t="s">
        <v>558</v>
      </c>
      <c r="C88" s="4"/>
      <c r="D88" s="125"/>
      <c r="E88" s="125"/>
      <c r="F88" s="125"/>
    </row>
    <row r="89" spans="1:6" x14ac:dyDescent="0.2">
      <c r="A89" s="4">
        <v>154</v>
      </c>
      <c r="B89" s="3" t="s">
        <v>558</v>
      </c>
      <c r="C89" s="4" t="s">
        <v>703</v>
      </c>
      <c r="D89" s="4" t="s">
        <v>313</v>
      </c>
      <c r="E89" s="125" t="s">
        <v>429</v>
      </c>
      <c r="F89" s="125" t="s">
        <v>741</v>
      </c>
    </row>
    <row r="90" spans="1:6" x14ac:dyDescent="0.2">
      <c r="A90" s="4">
        <v>155</v>
      </c>
      <c r="B90" s="3" t="s">
        <v>558</v>
      </c>
      <c r="C90" s="4" t="s">
        <v>702</v>
      </c>
      <c r="D90" s="4" t="s">
        <v>313</v>
      </c>
      <c r="E90" s="125" t="s">
        <v>429</v>
      </c>
      <c r="F90" s="125" t="s">
        <v>741</v>
      </c>
    </row>
    <row r="91" spans="1:6" x14ac:dyDescent="0.2">
      <c r="A91" s="4">
        <v>156</v>
      </c>
      <c r="B91" s="3" t="s">
        <v>558</v>
      </c>
      <c r="C91" s="4" t="s">
        <v>701</v>
      </c>
      <c r="D91" s="4" t="s">
        <v>313</v>
      </c>
      <c r="E91" s="125" t="s">
        <v>429</v>
      </c>
      <c r="F91" s="125" t="s">
        <v>741</v>
      </c>
    </row>
    <row r="92" spans="1:6" x14ac:dyDescent="0.2">
      <c r="A92" s="132"/>
      <c r="B92" s="132"/>
      <c r="C92" s="4"/>
      <c r="D92" s="132"/>
      <c r="E92" s="132"/>
      <c r="F92" s="132"/>
    </row>
    <row r="93" spans="1:6" x14ac:dyDescent="0.2">
      <c r="A93" s="132"/>
      <c r="B93" s="128" t="s">
        <v>483</v>
      </c>
      <c r="C93" s="4"/>
      <c r="D93" s="132"/>
      <c r="E93" s="132"/>
      <c r="F93" s="132"/>
    </row>
    <row r="94" spans="1:6" x14ac:dyDescent="0.2">
      <c r="A94" s="132"/>
      <c r="B94" s="3" t="s">
        <v>560</v>
      </c>
      <c r="C94" s="4" t="s">
        <v>703</v>
      </c>
      <c r="D94" s="4" t="s">
        <v>476</v>
      </c>
      <c r="E94" s="3" t="s">
        <v>742</v>
      </c>
      <c r="F94" s="125" t="s">
        <v>743</v>
      </c>
    </row>
    <row r="95" spans="1:6" x14ac:dyDescent="0.2">
      <c r="A95" s="132"/>
      <c r="B95" s="3" t="s">
        <v>560</v>
      </c>
      <c r="C95" s="4" t="s">
        <v>702</v>
      </c>
      <c r="D95" s="4" t="s">
        <v>476</v>
      </c>
      <c r="E95" s="3" t="s">
        <v>742</v>
      </c>
      <c r="F95" s="125" t="s">
        <v>743</v>
      </c>
    </row>
    <row r="96" spans="1:6" x14ac:dyDescent="0.2">
      <c r="A96" s="132"/>
      <c r="B96" s="3" t="s">
        <v>134</v>
      </c>
      <c r="C96" s="4" t="s">
        <v>703</v>
      </c>
      <c r="D96" s="4" t="s">
        <v>342</v>
      </c>
      <c r="E96" s="3" t="s">
        <v>744</v>
      </c>
      <c r="F96" s="125" t="s">
        <v>727</v>
      </c>
    </row>
    <row r="97" spans="1:6" x14ac:dyDescent="0.2">
      <c r="A97" s="132"/>
      <c r="B97" s="132"/>
      <c r="C97" s="4"/>
      <c r="D97" s="132"/>
      <c r="E97" s="132"/>
      <c r="F97" s="132"/>
    </row>
    <row r="98" spans="1:6" x14ac:dyDescent="0.2">
      <c r="A98" s="132"/>
      <c r="B98" s="128" t="s">
        <v>484</v>
      </c>
      <c r="C98" s="4"/>
      <c r="D98" s="132"/>
      <c r="E98" s="132"/>
      <c r="F98" s="132"/>
    </row>
    <row r="99" spans="1:6" x14ac:dyDescent="0.2">
      <c r="A99" s="4">
        <v>165</v>
      </c>
      <c r="B99" s="3" t="s">
        <v>484</v>
      </c>
      <c r="C99" s="4" t="s">
        <v>703</v>
      </c>
      <c r="D99" s="4" t="s">
        <v>313</v>
      </c>
      <c r="E99" s="125" t="s">
        <v>429</v>
      </c>
      <c r="F99" s="125" t="s">
        <v>741</v>
      </c>
    </row>
    <row r="100" spans="1:6" x14ac:dyDescent="0.2">
      <c r="A100" s="4">
        <v>165</v>
      </c>
      <c r="B100" s="3" t="s">
        <v>484</v>
      </c>
      <c r="C100" s="4" t="s">
        <v>702</v>
      </c>
      <c r="D100" s="4" t="s">
        <v>313</v>
      </c>
      <c r="E100" s="125" t="s">
        <v>429</v>
      </c>
      <c r="F100" s="125" t="s">
        <v>741</v>
      </c>
    </row>
    <row r="101" spans="1:6" x14ac:dyDescent="0.2">
      <c r="A101" s="4">
        <v>165</v>
      </c>
      <c r="B101" s="3" t="s">
        <v>484</v>
      </c>
      <c r="C101" s="4" t="s">
        <v>701</v>
      </c>
      <c r="D101" s="4" t="s">
        <v>313</v>
      </c>
      <c r="E101" s="125" t="s">
        <v>429</v>
      </c>
      <c r="F101" s="125" t="s">
        <v>741</v>
      </c>
    </row>
    <row r="102" spans="1:6" x14ac:dyDescent="0.2">
      <c r="A102" s="132"/>
      <c r="B102" s="132"/>
      <c r="C102" s="4"/>
      <c r="D102" s="132"/>
      <c r="E102" s="132"/>
      <c r="F102" s="132"/>
    </row>
    <row r="103" spans="1:6" x14ac:dyDescent="0.2">
      <c r="A103" s="132"/>
      <c r="B103" s="128" t="s">
        <v>745</v>
      </c>
      <c r="C103" s="4"/>
      <c r="D103" s="132"/>
      <c r="E103" s="132"/>
      <c r="F103" s="132"/>
    </row>
    <row r="104" spans="1:6" x14ac:dyDescent="0.2">
      <c r="A104" s="4">
        <v>253</v>
      </c>
      <c r="B104" s="3" t="s">
        <v>667</v>
      </c>
      <c r="C104" s="4" t="s">
        <v>703</v>
      </c>
      <c r="D104" s="127" t="s">
        <v>331</v>
      </c>
      <c r="E104" s="125" t="s">
        <v>52</v>
      </c>
      <c r="F104" s="125" t="s">
        <v>741</v>
      </c>
    </row>
    <row r="105" spans="1:6" x14ac:dyDescent="0.2">
      <c r="A105" s="4">
        <v>182</v>
      </c>
      <c r="B105" s="3" t="s">
        <v>648</v>
      </c>
      <c r="C105" s="4" t="s">
        <v>703</v>
      </c>
      <c r="D105" s="127" t="s">
        <v>331</v>
      </c>
      <c r="E105" s="125" t="s">
        <v>52</v>
      </c>
      <c r="F105" s="125" t="s">
        <v>741</v>
      </c>
    </row>
    <row r="106" spans="1:6" x14ac:dyDescent="0.2">
      <c r="A106" s="4">
        <v>182</v>
      </c>
      <c r="B106" s="3" t="s">
        <v>648</v>
      </c>
      <c r="C106" s="4" t="s">
        <v>702</v>
      </c>
      <c r="D106" s="127" t="s">
        <v>331</v>
      </c>
      <c r="E106" s="125" t="s">
        <v>52</v>
      </c>
      <c r="F106" s="125" t="s">
        <v>741</v>
      </c>
    </row>
    <row r="107" spans="1:6" x14ac:dyDescent="0.2">
      <c r="A107" s="4">
        <v>182</v>
      </c>
      <c r="B107" s="3" t="s">
        <v>648</v>
      </c>
      <c r="C107" s="4" t="s">
        <v>701</v>
      </c>
      <c r="D107" s="4" t="s">
        <v>313</v>
      </c>
      <c r="E107" s="125" t="s">
        <v>746</v>
      </c>
      <c r="F107" s="125" t="s">
        <v>741</v>
      </c>
    </row>
    <row r="108" spans="1:6" x14ac:dyDescent="0.2">
      <c r="A108" s="4">
        <v>182</v>
      </c>
      <c r="B108" s="3" t="s">
        <v>660</v>
      </c>
      <c r="C108" s="4" t="s">
        <v>703</v>
      </c>
      <c r="D108" s="127" t="s">
        <v>331</v>
      </c>
      <c r="E108" s="125" t="s">
        <v>52</v>
      </c>
      <c r="F108" s="125" t="s">
        <v>741</v>
      </c>
    </row>
    <row r="109" spans="1:6" x14ac:dyDescent="0.2">
      <c r="A109" s="4">
        <v>182</v>
      </c>
      <c r="B109" s="3" t="s">
        <v>660</v>
      </c>
      <c r="C109" s="4" t="s">
        <v>702</v>
      </c>
      <c r="D109" s="127" t="s">
        <v>331</v>
      </c>
      <c r="E109" s="125" t="s">
        <v>52</v>
      </c>
      <c r="F109" s="125" t="s">
        <v>741</v>
      </c>
    </row>
    <row r="110" spans="1:6" x14ac:dyDescent="0.2">
      <c r="A110" s="4">
        <v>182</v>
      </c>
      <c r="B110" s="3" t="s">
        <v>659</v>
      </c>
      <c r="C110" s="4" t="s">
        <v>702</v>
      </c>
      <c r="D110" s="127" t="s">
        <v>331</v>
      </c>
      <c r="E110" s="125" t="s">
        <v>52</v>
      </c>
      <c r="F110" s="125" t="s">
        <v>741</v>
      </c>
    </row>
    <row r="111" spans="1:6" x14ac:dyDescent="0.2">
      <c r="A111" s="4" t="s">
        <v>747</v>
      </c>
      <c r="B111" s="3" t="s">
        <v>665</v>
      </c>
      <c r="C111" s="4" t="s">
        <v>703</v>
      </c>
      <c r="D111" s="127" t="s">
        <v>331</v>
      </c>
      <c r="E111" s="125" t="s">
        <v>52</v>
      </c>
      <c r="F111" s="125" t="s">
        <v>741</v>
      </c>
    </row>
    <row r="112" spans="1:6" x14ac:dyDescent="0.2">
      <c r="A112" s="4" t="s">
        <v>747</v>
      </c>
      <c r="B112" s="3" t="s">
        <v>665</v>
      </c>
      <c r="C112" s="4" t="s">
        <v>702</v>
      </c>
      <c r="D112" s="127" t="s">
        <v>331</v>
      </c>
      <c r="E112" s="125" t="s">
        <v>52</v>
      </c>
      <c r="F112" s="125" t="s">
        <v>741</v>
      </c>
    </row>
    <row r="113" spans="1:6" x14ac:dyDescent="0.2">
      <c r="A113" s="4" t="s">
        <v>747</v>
      </c>
      <c r="B113" s="3" t="s">
        <v>665</v>
      </c>
      <c r="C113" s="4" t="s">
        <v>701</v>
      </c>
      <c r="D113" s="4" t="s">
        <v>313</v>
      </c>
      <c r="E113" s="125" t="s">
        <v>746</v>
      </c>
      <c r="F113" s="125" t="s">
        <v>741</v>
      </c>
    </row>
    <row r="114" spans="1:6" x14ac:dyDescent="0.2">
      <c r="A114" s="4">
        <v>182</v>
      </c>
      <c r="B114" s="3" t="s">
        <v>649</v>
      </c>
      <c r="C114" s="4" t="s">
        <v>703</v>
      </c>
      <c r="D114" s="127" t="s">
        <v>331</v>
      </c>
      <c r="E114" s="125" t="s">
        <v>52</v>
      </c>
      <c r="F114" s="125" t="s">
        <v>741</v>
      </c>
    </row>
    <row r="115" spans="1:6" x14ac:dyDescent="0.2">
      <c r="A115" s="4">
        <v>182</v>
      </c>
      <c r="B115" s="3" t="s">
        <v>649</v>
      </c>
      <c r="C115" s="4" t="s">
        <v>702</v>
      </c>
      <c r="D115" s="127" t="s">
        <v>331</v>
      </c>
      <c r="E115" s="125" t="s">
        <v>52</v>
      </c>
      <c r="F115" s="125" t="s">
        <v>741</v>
      </c>
    </row>
    <row r="116" spans="1:6" x14ac:dyDescent="0.2">
      <c r="A116" s="4">
        <v>182</v>
      </c>
      <c r="B116" s="3" t="s">
        <v>649</v>
      </c>
      <c r="C116" s="4" t="s">
        <v>701</v>
      </c>
      <c r="D116" s="4" t="s">
        <v>323</v>
      </c>
      <c r="E116" s="125" t="s">
        <v>710</v>
      </c>
      <c r="F116" s="125" t="s">
        <v>741</v>
      </c>
    </row>
    <row r="117" spans="1:6" x14ac:dyDescent="0.2">
      <c r="A117" s="4">
        <v>182</v>
      </c>
      <c r="B117" s="3" t="s">
        <v>661</v>
      </c>
      <c r="C117" s="4" t="s">
        <v>703</v>
      </c>
      <c r="D117" s="127" t="s">
        <v>331</v>
      </c>
      <c r="E117" s="125" t="s">
        <v>52</v>
      </c>
      <c r="F117" s="125" t="s">
        <v>741</v>
      </c>
    </row>
    <row r="118" spans="1:6" x14ac:dyDescent="0.2">
      <c r="A118" s="4">
        <v>182</v>
      </c>
      <c r="B118" s="3" t="s">
        <v>661</v>
      </c>
      <c r="C118" s="4" t="s">
        <v>702</v>
      </c>
      <c r="D118" s="127" t="s">
        <v>331</v>
      </c>
      <c r="E118" s="125" t="s">
        <v>52</v>
      </c>
      <c r="F118" s="125" t="s">
        <v>741</v>
      </c>
    </row>
    <row r="119" spans="1:6" x14ac:dyDescent="0.2">
      <c r="A119" s="4">
        <v>182</v>
      </c>
      <c r="B119" s="3" t="s">
        <v>661</v>
      </c>
      <c r="C119" s="4" t="s">
        <v>701</v>
      </c>
      <c r="D119" s="4" t="s">
        <v>313</v>
      </c>
      <c r="E119" s="125" t="s">
        <v>746</v>
      </c>
      <c r="F119" s="125" t="s">
        <v>741</v>
      </c>
    </row>
    <row r="120" spans="1:6" x14ac:dyDescent="0.2">
      <c r="A120" s="4" t="s">
        <v>747</v>
      </c>
      <c r="B120" s="3" t="s">
        <v>663</v>
      </c>
      <c r="C120" s="4" t="s">
        <v>703</v>
      </c>
      <c r="D120" s="127" t="s">
        <v>331</v>
      </c>
      <c r="E120" s="125" t="s">
        <v>52</v>
      </c>
      <c r="F120" s="125" t="s">
        <v>741</v>
      </c>
    </row>
    <row r="121" spans="1:6" x14ac:dyDescent="0.2">
      <c r="A121" s="4" t="s">
        <v>747</v>
      </c>
      <c r="B121" s="3" t="s">
        <v>663</v>
      </c>
      <c r="C121" s="4" t="s">
        <v>702</v>
      </c>
      <c r="D121" s="127" t="s">
        <v>331</v>
      </c>
      <c r="E121" s="125" t="s">
        <v>52</v>
      </c>
      <c r="F121" s="125" t="s">
        <v>741</v>
      </c>
    </row>
    <row r="122" spans="1:6" x14ac:dyDescent="0.2">
      <c r="A122" s="4" t="s">
        <v>747</v>
      </c>
      <c r="B122" s="3" t="s">
        <v>663</v>
      </c>
      <c r="C122" s="4" t="s">
        <v>701</v>
      </c>
      <c r="D122" s="4" t="s">
        <v>313</v>
      </c>
      <c r="E122" s="125" t="s">
        <v>746</v>
      </c>
      <c r="F122" s="125" t="s">
        <v>741</v>
      </c>
    </row>
    <row r="123" spans="1:6" x14ac:dyDescent="0.2">
      <c r="A123" s="4">
        <v>253</v>
      </c>
      <c r="B123" s="3" t="s">
        <v>650</v>
      </c>
      <c r="C123" s="4" t="s">
        <v>703</v>
      </c>
      <c r="D123" s="127" t="s">
        <v>331</v>
      </c>
      <c r="E123" s="125" t="s">
        <v>52</v>
      </c>
      <c r="F123" s="125" t="s">
        <v>741</v>
      </c>
    </row>
    <row r="124" spans="1:6" x14ac:dyDescent="0.2">
      <c r="A124" s="4">
        <v>253</v>
      </c>
      <c r="B124" s="3" t="s">
        <v>651</v>
      </c>
      <c r="C124" s="4" t="s">
        <v>703</v>
      </c>
      <c r="D124" s="127" t="s">
        <v>331</v>
      </c>
      <c r="E124" s="125" t="s">
        <v>52</v>
      </c>
      <c r="F124" s="125" t="s">
        <v>741</v>
      </c>
    </row>
    <row r="125" spans="1:6" x14ac:dyDescent="0.2">
      <c r="A125" s="132"/>
      <c r="B125" s="132"/>
      <c r="C125" s="4"/>
      <c r="D125" s="132"/>
      <c r="E125" s="132"/>
      <c r="F125" s="132"/>
    </row>
    <row r="126" spans="1:6" x14ac:dyDescent="0.2">
      <c r="A126" s="132"/>
      <c r="B126" s="128" t="s">
        <v>748</v>
      </c>
      <c r="C126" s="4"/>
      <c r="D126" s="132"/>
      <c r="E126" s="132"/>
      <c r="F126" s="132"/>
    </row>
    <row r="127" spans="1:6" x14ac:dyDescent="0.2">
      <c r="A127" s="4">
        <v>190</v>
      </c>
      <c r="B127" s="3" t="s">
        <v>749</v>
      </c>
      <c r="C127" s="4" t="s">
        <v>703</v>
      </c>
      <c r="D127" s="4" t="s">
        <v>323</v>
      </c>
      <c r="E127" s="125" t="s">
        <v>710</v>
      </c>
      <c r="F127" s="125" t="s">
        <v>725</v>
      </c>
    </row>
    <row r="128" spans="1:6" x14ac:dyDescent="0.2">
      <c r="A128" s="4">
        <v>190</v>
      </c>
      <c r="B128" s="3" t="s">
        <v>749</v>
      </c>
      <c r="C128" s="4" t="s">
        <v>702</v>
      </c>
      <c r="D128" s="4" t="s">
        <v>323</v>
      </c>
      <c r="E128" s="125" t="s">
        <v>710</v>
      </c>
      <c r="F128" s="125" t="s">
        <v>725</v>
      </c>
    </row>
    <row r="129" spans="1:6" x14ac:dyDescent="0.2">
      <c r="A129" s="4">
        <v>190</v>
      </c>
      <c r="B129" s="3" t="s">
        <v>749</v>
      </c>
      <c r="C129" s="4" t="s">
        <v>701</v>
      </c>
      <c r="D129" s="4" t="s">
        <v>323</v>
      </c>
      <c r="E129" s="125" t="s">
        <v>710</v>
      </c>
      <c r="F129" s="125" t="s">
        <v>725</v>
      </c>
    </row>
    <row r="130" spans="1:6" x14ac:dyDescent="0.2">
      <c r="A130" s="4">
        <v>282</v>
      </c>
      <c r="B130" s="3" t="s">
        <v>749</v>
      </c>
      <c r="C130" s="4" t="s">
        <v>703</v>
      </c>
      <c r="D130" s="127" t="s">
        <v>331</v>
      </c>
      <c r="E130" s="125" t="s">
        <v>52</v>
      </c>
      <c r="F130" s="125" t="s">
        <v>741</v>
      </c>
    </row>
    <row r="131" spans="1:6" x14ac:dyDescent="0.2">
      <c r="A131" s="4">
        <v>282</v>
      </c>
      <c r="B131" s="3" t="s">
        <v>749</v>
      </c>
      <c r="C131" s="4" t="s">
        <v>702</v>
      </c>
      <c r="D131" s="127" t="s">
        <v>331</v>
      </c>
      <c r="E131" s="125" t="s">
        <v>52</v>
      </c>
      <c r="F131" s="125" t="s">
        <v>741</v>
      </c>
    </row>
    <row r="132" spans="1:6" x14ac:dyDescent="0.2">
      <c r="A132" s="4">
        <v>282</v>
      </c>
      <c r="B132" s="3" t="s">
        <v>749</v>
      </c>
      <c r="C132" s="4" t="s">
        <v>701</v>
      </c>
      <c r="D132" s="4" t="s">
        <v>313</v>
      </c>
      <c r="E132" s="125" t="s">
        <v>746</v>
      </c>
      <c r="F132" s="125" t="s">
        <v>741</v>
      </c>
    </row>
    <row r="133" spans="1:6" x14ac:dyDescent="0.2">
      <c r="A133" s="4">
        <v>283</v>
      </c>
      <c r="B133" s="3" t="s">
        <v>749</v>
      </c>
      <c r="C133" s="4" t="s">
        <v>703</v>
      </c>
      <c r="D133" s="4" t="s">
        <v>323</v>
      </c>
      <c r="E133" s="125" t="s">
        <v>710</v>
      </c>
      <c r="F133" s="125" t="s">
        <v>725</v>
      </c>
    </row>
    <row r="134" spans="1:6" x14ac:dyDescent="0.2">
      <c r="A134" s="4">
        <v>283</v>
      </c>
      <c r="B134" s="3" t="s">
        <v>749</v>
      </c>
      <c r="C134" s="4" t="s">
        <v>702</v>
      </c>
      <c r="D134" s="4" t="s">
        <v>323</v>
      </c>
      <c r="E134" s="125" t="s">
        <v>710</v>
      </c>
      <c r="F134" s="125" t="s">
        <v>725</v>
      </c>
    </row>
    <row r="135" spans="1:6" x14ac:dyDescent="0.2">
      <c r="A135" s="4">
        <v>283</v>
      </c>
      <c r="B135" s="3" t="s">
        <v>749</v>
      </c>
      <c r="C135" s="4" t="s">
        <v>701</v>
      </c>
      <c r="D135" s="4" t="s">
        <v>323</v>
      </c>
      <c r="E135" s="125" t="s">
        <v>710</v>
      </c>
      <c r="F135" s="125" t="s">
        <v>725</v>
      </c>
    </row>
    <row r="136" spans="1:6" x14ac:dyDescent="0.2">
      <c r="A136" s="132"/>
      <c r="B136" s="132"/>
      <c r="C136" s="4"/>
      <c r="D136" s="132"/>
      <c r="E136" s="132"/>
      <c r="F136" s="132"/>
    </row>
    <row r="137" spans="1:6" x14ac:dyDescent="0.2">
      <c r="A137" s="132"/>
      <c r="B137" s="128" t="s">
        <v>750</v>
      </c>
      <c r="C137" s="4"/>
      <c r="D137" s="132"/>
      <c r="E137" s="132"/>
      <c r="F137" s="132"/>
    </row>
    <row r="138" spans="1:6" x14ac:dyDescent="0.2">
      <c r="A138" s="132"/>
      <c r="B138" s="128" t="s">
        <v>751</v>
      </c>
      <c r="C138" s="4"/>
      <c r="D138" s="132"/>
      <c r="E138" s="132"/>
      <c r="F138" s="132"/>
    </row>
    <row r="139" spans="1:6" x14ac:dyDescent="0.2">
      <c r="A139" s="4">
        <v>565</v>
      </c>
      <c r="B139" s="3" t="s">
        <v>527</v>
      </c>
      <c r="C139" s="4" t="s">
        <v>703</v>
      </c>
      <c r="D139" s="127" t="s">
        <v>331</v>
      </c>
      <c r="E139" s="125" t="s">
        <v>52</v>
      </c>
      <c r="F139" s="125" t="s">
        <v>741</v>
      </c>
    </row>
    <row r="140" spans="1:6" x14ac:dyDescent="0.2">
      <c r="A140" s="132"/>
      <c r="B140" s="132"/>
      <c r="C140" s="4"/>
      <c r="D140" s="132"/>
      <c r="E140" s="132"/>
      <c r="F140" s="132"/>
    </row>
    <row r="141" spans="1:6" x14ac:dyDescent="0.2">
      <c r="A141" s="132"/>
      <c r="B141" s="128" t="s">
        <v>752</v>
      </c>
      <c r="C141" s="4"/>
      <c r="D141" s="132"/>
      <c r="E141" s="132"/>
      <c r="F141" s="132"/>
    </row>
    <row r="142" spans="1:6" x14ac:dyDescent="0.2">
      <c r="A142" s="4">
        <v>580</v>
      </c>
      <c r="B142" s="3" t="s">
        <v>145</v>
      </c>
      <c r="C142" s="4" t="s">
        <v>703</v>
      </c>
      <c r="D142" s="127" t="s">
        <v>360</v>
      </c>
      <c r="E142" s="3" t="s">
        <v>404</v>
      </c>
      <c r="F142" s="125" t="s">
        <v>725</v>
      </c>
    </row>
    <row r="143" spans="1:6" x14ac:dyDescent="0.2">
      <c r="A143" s="4">
        <v>580</v>
      </c>
      <c r="B143" s="3" t="s">
        <v>145</v>
      </c>
      <c r="C143" s="4" t="s">
        <v>702</v>
      </c>
      <c r="D143" s="127" t="s">
        <v>753</v>
      </c>
      <c r="E143" s="3" t="s">
        <v>404</v>
      </c>
      <c r="F143" s="125" t="s">
        <v>725</v>
      </c>
    </row>
    <row r="144" spans="1:6" s="132" customFormat="1" x14ac:dyDescent="0.2">
      <c r="A144" s="4">
        <v>581</v>
      </c>
      <c r="B144" s="3" t="s">
        <v>155</v>
      </c>
      <c r="C144" s="4" t="s">
        <v>703</v>
      </c>
      <c r="D144" s="127" t="s">
        <v>368</v>
      </c>
      <c r="E144" s="125" t="s">
        <v>799</v>
      </c>
      <c r="F144" s="125" t="s">
        <v>790</v>
      </c>
    </row>
    <row r="145" spans="1:6" x14ac:dyDescent="0.2">
      <c r="A145" s="4">
        <v>582</v>
      </c>
      <c r="B145" s="3" t="s">
        <v>180</v>
      </c>
      <c r="C145" s="4" t="s">
        <v>703</v>
      </c>
      <c r="D145" s="127" t="s">
        <v>332</v>
      </c>
      <c r="E145" s="3" t="s">
        <v>413</v>
      </c>
      <c r="F145" s="125" t="s">
        <v>741</v>
      </c>
    </row>
    <row r="146" spans="1:6" x14ac:dyDescent="0.2">
      <c r="A146" s="4">
        <v>583</v>
      </c>
      <c r="B146" s="3" t="s">
        <v>182</v>
      </c>
      <c r="C146" s="4" t="s">
        <v>703</v>
      </c>
      <c r="D146" s="127" t="s">
        <v>333</v>
      </c>
      <c r="E146" s="3" t="s">
        <v>414</v>
      </c>
      <c r="F146" s="125" t="s">
        <v>741</v>
      </c>
    </row>
    <row r="147" spans="1:6" x14ac:dyDescent="0.2">
      <c r="A147" s="4">
        <v>584</v>
      </c>
      <c r="B147" s="3" t="s">
        <v>160</v>
      </c>
      <c r="C147" s="4" t="s">
        <v>703</v>
      </c>
      <c r="D147" s="127" t="s">
        <v>421</v>
      </c>
      <c r="E147" s="3" t="s">
        <v>415</v>
      </c>
      <c r="F147" s="125" t="s">
        <v>741</v>
      </c>
    </row>
    <row r="148" spans="1:6" x14ac:dyDescent="0.2">
      <c r="A148" s="4">
        <v>585</v>
      </c>
      <c r="B148" s="3" t="s">
        <v>185</v>
      </c>
      <c r="C148" s="4" t="s">
        <v>703</v>
      </c>
      <c r="D148" s="127" t="s">
        <v>335</v>
      </c>
      <c r="E148" s="3" t="s">
        <v>419</v>
      </c>
      <c r="F148" s="125" t="s">
        <v>741</v>
      </c>
    </row>
    <row r="149" spans="1:6" x14ac:dyDescent="0.2">
      <c r="A149" s="4">
        <v>586</v>
      </c>
      <c r="B149" s="3" t="s">
        <v>187</v>
      </c>
      <c r="C149" s="4" t="s">
        <v>702</v>
      </c>
      <c r="D149" s="127" t="s">
        <v>344</v>
      </c>
      <c r="E149" s="3" t="s">
        <v>346</v>
      </c>
      <c r="F149" s="125" t="s">
        <v>741</v>
      </c>
    </row>
    <row r="150" spans="1:6" x14ac:dyDescent="0.2">
      <c r="A150" s="4">
        <v>587</v>
      </c>
      <c r="B150" s="3" t="s">
        <v>189</v>
      </c>
      <c r="C150" s="4" t="s">
        <v>703</v>
      </c>
      <c r="D150" s="127" t="s">
        <v>331</v>
      </c>
      <c r="E150" s="125" t="s">
        <v>52</v>
      </c>
      <c r="F150" s="125" t="s">
        <v>741</v>
      </c>
    </row>
    <row r="151" spans="1:6" x14ac:dyDescent="0.2">
      <c r="A151" s="4">
        <v>588</v>
      </c>
      <c r="B151" s="3" t="s">
        <v>191</v>
      </c>
      <c r="C151" s="4" t="s">
        <v>703</v>
      </c>
      <c r="D151" s="127" t="s">
        <v>331</v>
      </c>
      <c r="E151" s="125" t="s">
        <v>52</v>
      </c>
      <c r="F151" s="125" t="s">
        <v>741</v>
      </c>
    </row>
    <row r="152" spans="1:6" x14ac:dyDescent="0.2">
      <c r="A152" s="4">
        <v>588</v>
      </c>
      <c r="B152" s="3" t="s">
        <v>191</v>
      </c>
      <c r="C152" s="4" t="s">
        <v>702</v>
      </c>
      <c r="D152" s="127" t="s">
        <v>331</v>
      </c>
      <c r="E152" s="125" t="s">
        <v>52</v>
      </c>
      <c r="F152" s="125" t="s">
        <v>741</v>
      </c>
    </row>
    <row r="153" spans="1:6" x14ac:dyDescent="0.2">
      <c r="A153" s="4">
        <v>589</v>
      </c>
      <c r="B153" s="3" t="s">
        <v>141</v>
      </c>
      <c r="C153" s="4" t="s">
        <v>703</v>
      </c>
      <c r="D153" s="127" t="s">
        <v>331</v>
      </c>
      <c r="E153" s="125" t="s">
        <v>52</v>
      </c>
      <c r="F153" s="125" t="s">
        <v>741</v>
      </c>
    </row>
    <row r="154" spans="1:6" x14ac:dyDescent="0.2">
      <c r="A154" s="132"/>
      <c r="B154" s="132"/>
      <c r="C154" s="132"/>
      <c r="D154" s="132"/>
      <c r="E154" s="132"/>
      <c r="F154" s="132"/>
    </row>
    <row r="155" spans="1:6" x14ac:dyDescent="0.2">
      <c r="A155" s="132"/>
      <c r="B155" s="128" t="s">
        <v>754</v>
      </c>
      <c r="C155" s="132"/>
      <c r="D155" s="132"/>
      <c r="E155" s="132"/>
      <c r="F155" s="132"/>
    </row>
    <row r="156" spans="1:6" x14ac:dyDescent="0.2">
      <c r="A156" s="4">
        <v>590</v>
      </c>
      <c r="B156" s="3" t="s">
        <v>195</v>
      </c>
      <c r="C156" s="4" t="s">
        <v>703</v>
      </c>
      <c r="D156" s="127" t="s">
        <v>424</v>
      </c>
      <c r="E156" s="3" t="s">
        <v>405</v>
      </c>
      <c r="F156" s="125" t="s">
        <v>725</v>
      </c>
    </row>
    <row r="157" spans="1:6" x14ac:dyDescent="0.2">
      <c r="A157" s="4">
        <v>590</v>
      </c>
      <c r="B157" s="3" t="s">
        <v>195</v>
      </c>
      <c r="C157" s="4" t="s">
        <v>702</v>
      </c>
      <c r="D157" s="127" t="s">
        <v>424</v>
      </c>
      <c r="E157" s="3" t="s">
        <v>405</v>
      </c>
      <c r="F157" s="125" t="s">
        <v>725</v>
      </c>
    </row>
    <row r="158" spans="1:6" x14ac:dyDescent="0.2">
      <c r="A158" s="4">
        <v>591</v>
      </c>
      <c r="B158" s="3" t="s">
        <v>143</v>
      </c>
      <c r="C158" s="4" t="s">
        <v>703</v>
      </c>
      <c r="D158" s="127" t="s">
        <v>337</v>
      </c>
      <c r="E158" s="3" t="s">
        <v>412</v>
      </c>
      <c r="F158" s="125" t="s">
        <v>741</v>
      </c>
    </row>
    <row r="159" spans="1:6" x14ac:dyDescent="0.2">
      <c r="A159" s="4">
        <v>592</v>
      </c>
      <c r="B159" s="3" t="s">
        <v>168</v>
      </c>
      <c r="C159" s="4" t="s">
        <v>703</v>
      </c>
      <c r="D159" s="127" t="s">
        <v>332</v>
      </c>
      <c r="E159" s="3" t="s">
        <v>413</v>
      </c>
      <c r="F159" s="125" t="s">
        <v>741</v>
      </c>
    </row>
    <row r="160" spans="1:6" s="132" customFormat="1" x14ac:dyDescent="0.2">
      <c r="A160" s="4">
        <v>593</v>
      </c>
      <c r="B160" s="3" t="s">
        <v>170</v>
      </c>
      <c r="C160" s="4" t="s">
        <v>703</v>
      </c>
      <c r="D160" s="127" t="s">
        <v>792</v>
      </c>
      <c r="E160" s="3" t="s">
        <v>793</v>
      </c>
      <c r="F160" s="125" t="s">
        <v>741</v>
      </c>
    </row>
    <row r="161" spans="1:6" x14ac:dyDescent="0.2">
      <c r="A161" s="4">
        <v>594</v>
      </c>
      <c r="B161" s="3" t="s">
        <v>172</v>
      </c>
      <c r="C161" s="4" t="s">
        <v>703</v>
      </c>
      <c r="D161" s="127" t="s">
        <v>421</v>
      </c>
      <c r="E161" s="3" t="s">
        <v>415</v>
      </c>
      <c r="F161" s="125" t="s">
        <v>741</v>
      </c>
    </row>
    <row r="162" spans="1:6" x14ac:dyDescent="0.2">
      <c r="A162" s="4">
        <v>595</v>
      </c>
      <c r="B162" s="3" t="s">
        <v>201</v>
      </c>
      <c r="C162" s="4" t="s">
        <v>703</v>
      </c>
      <c r="D162" s="127" t="s">
        <v>338</v>
      </c>
      <c r="E162" s="3" t="s">
        <v>416</v>
      </c>
      <c r="F162" s="125" t="s">
        <v>741</v>
      </c>
    </row>
    <row r="163" spans="1:6" x14ac:dyDescent="0.2">
      <c r="A163" s="4">
        <v>596</v>
      </c>
      <c r="B163" s="3" t="s">
        <v>203</v>
      </c>
      <c r="C163" s="4" t="s">
        <v>703</v>
      </c>
      <c r="D163" s="127" t="s">
        <v>335</v>
      </c>
      <c r="E163" s="3" t="s">
        <v>419</v>
      </c>
      <c r="F163" s="125" t="s">
        <v>741</v>
      </c>
    </row>
    <row r="164" spans="1:6" x14ac:dyDescent="0.2">
      <c r="A164" s="4">
        <v>597</v>
      </c>
      <c r="B164" s="3" t="s">
        <v>205</v>
      </c>
      <c r="C164" s="4" t="s">
        <v>703</v>
      </c>
      <c r="D164" s="127" t="s">
        <v>334</v>
      </c>
      <c r="E164" s="3" t="s">
        <v>417</v>
      </c>
      <c r="F164" s="125" t="s">
        <v>741</v>
      </c>
    </row>
    <row r="165" spans="1:6" x14ac:dyDescent="0.2">
      <c r="A165" s="4">
        <v>597</v>
      </c>
      <c r="B165" s="3" t="s">
        <v>205</v>
      </c>
      <c r="C165" s="4" t="s">
        <v>702</v>
      </c>
      <c r="D165" s="127" t="s">
        <v>334</v>
      </c>
      <c r="E165" s="3" t="s">
        <v>417</v>
      </c>
      <c r="F165" s="125" t="s">
        <v>741</v>
      </c>
    </row>
    <row r="166" spans="1:6" x14ac:dyDescent="0.2">
      <c r="A166" s="4">
        <v>598.1</v>
      </c>
      <c r="B166" s="3" t="s">
        <v>755</v>
      </c>
      <c r="C166" s="4" t="s">
        <v>703</v>
      </c>
      <c r="D166" s="127" t="s">
        <v>331</v>
      </c>
      <c r="E166" s="125" t="s">
        <v>52</v>
      </c>
      <c r="F166" s="125" t="s">
        <v>741</v>
      </c>
    </row>
    <row r="167" spans="1:6" x14ac:dyDescent="0.2">
      <c r="A167" s="4">
        <v>598.1</v>
      </c>
      <c r="B167" s="3" t="s">
        <v>755</v>
      </c>
      <c r="C167" s="4" t="s">
        <v>702</v>
      </c>
      <c r="D167" s="127" t="s">
        <v>331</v>
      </c>
      <c r="E167" s="125" t="s">
        <v>52</v>
      </c>
      <c r="F167" s="125" t="s">
        <v>741</v>
      </c>
    </row>
    <row r="168" spans="1:6" x14ac:dyDescent="0.2">
      <c r="A168" s="132"/>
      <c r="B168" s="132"/>
      <c r="C168" s="132"/>
      <c r="D168" s="132"/>
      <c r="E168" s="132"/>
      <c r="F168" s="132"/>
    </row>
    <row r="169" spans="1:6" x14ac:dyDescent="0.2">
      <c r="A169" s="132"/>
      <c r="B169" s="128" t="s">
        <v>213</v>
      </c>
      <c r="C169" s="132"/>
      <c r="D169" s="132"/>
      <c r="E169" s="132"/>
      <c r="F169" s="132"/>
    </row>
    <row r="170" spans="1:6" x14ac:dyDescent="0.2">
      <c r="A170" s="4">
        <v>901</v>
      </c>
      <c r="B170" s="3" t="s">
        <v>215</v>
      </c>
      <c r="C170" s="4" t="s">
        <v>702</v>
      </c>
      <c r="D170" s="127" t="s">
        <v>339</v>
      </c>
      <c r="E170" s="3" t="s">
        <v>406</v>
      </c>
      <c r="F170" s="125" t="s">
        <v>725</v>
      </c>
    </row>
    <row r="171" spans="1:6" x14ac:dyDescent="0.2">
      <c r="A171" s="4">
        <v>901</v>
      </c>
      <c r="B171" s="3" t="s">
        <v>215</v>
      </c>
      <c r="C171" s="4" t="s">
        <v>701</v>
      </c>
      <c r="D171" s="127" t="s">
        <v>339</v>
      </c>
      <c r="E171" s="3" t="s">
        <v>406</v>
      </c>
      <c r="F171" s="125" t="s">
        <v>725</v>
      </c>
    </row>
    <row r="172" spans="1:6" s="132" customFormat="1" x14ac:dyDescent="0.2">
      <c r="A172" s="4">
        <v>902</v>
      </c>
      <c r="B172" s="3" t="s">
        <v>217</v>
      </c>
      <c r="C172" s="4" t="s">
        <v>702</v>
      </c>
      <c r="D172" s="127" t="s">
        <v>344</v>
      </c>
      <c r="E172" s="3" t="s">
        <v>794</v>
      </c>
      <c r="F172" s="125" t="s">
        <v>756</v>
      </c>
    </row>
    <row r="173" spans="1:6" x14ac:dyDescent="0.2">
      <c r="A173" s="4">
        <v>903</v>
      </c>
      <c r="B173" s="3" t="s">
        <v>219</v>
      </c>
      <c r="C173" s="4" t="s">
        <v>702</v>
      </c>
      <c r="D173" s="127" t="s">
        <v>374</v>
      </c>
      <c r="E173" s="3" t="s">
        <v>757</v>
      </c>
      <c r="F173" s="125" t="s">
        <v>756</v>
      </c>
    </row>
    <row r="174" spans="1:6" x14ac:dyDescent="0.2">
      <c r="A174" s="4">
        <v>903</v>
      </c>
      <c r="B174" s="3" t="s">
        <v>219</v>
      </c>
      <c r="C174" s="4" t="s">
        <v>701</v>
      </c>
      <c r="D174" s="127" t="s">
        <v>374</v>
      </c>
      <c r="E174" s="3" t="s">
        <v>757</v>
      </c>
      <c r="F174" s="125" t="s">
        <v>756</v>
      </c>
    </row>
    <row r="175" spans="1:6" x14ac:dyDescent="0.2">
      <c r="A175" s="4">
        <v>904</v>
      </c>
      <c r="B175" s="3" t="s">
        <v>221</v>
      </c>
      <c r="C175" s="4" t="s">
        <v>701</v>
      </c>
      <c r="D175" s="127" t="s">
        <v>324</v>
      </c>
      <c r="E175" s="3" t="s">
        <v>758</v>
      </c>
      <c r="F175" s="125" t="s">
        <v>759</v>
      </c>
    </row>
    <row r="176" spans="1:6" x14ac:dyDescent="0.2">
      <c r="A176" s="4">
        <v>905</v>
      </c>
      <c r="B176" s="3" t="s">
        <v>223</v>
      </c>
      <c r="C176" s="4" t="s">
        <v>702</v>
      </c>
      <c r="D176" s="127" t="s">
        <v>339</v>
      </c>
      <c r="E176" s="3" t="s">
        <v>406</v>
      </c>
      <c r="F176" s="125" t="s">
        <v>725</v>
      </c>
    </row>
    <row r="177" spans="1:6" x14ac:dyDescent="0.2">
      <c r="A177" s="4">
        <v>905</v>
      </c>
      <c r="B177" s="3" t="s">
        <v>223</v>
      </c>
      <c r="C177" s="4" t="s">
        <v>701</v>
      </c>
      <c r="D177" s="127" t="s">
        <v>339</v>
      </c>
      <c r="E177" s="3" t="s">
        <v>406</v>
      </c>
      <c r="F177" s="125" t="s">
        <v>725</v>
      </c>
    </row>
    <row r="178" spans="1:6" x14ac:dyDescent="0.2">
      <c r="A178" s="132"/>
      <c r="B178" s="132"/>
      <c r="C178" s="132"/>
      <c r="D178" s="132"/>
      <c r="E178" s="132"/>
      <c r="F178" s="132"/>
    </row>
    <row r="179" spans="1:6" x14ac:dyDescent="0.2">
      <c r="A179" s="132"/>
      <c r="B179" s="128" t="s">
        <v>224</v>
      </c>
      <c r="C179" s="132"/>
      <c r="D179" s="132"/>
      <c r="E179" s="132"/>
      <c r="F179" s="132"/>
    </row>
    <row r="180" spans="1:6" x14ac:dyDescent="0.2">
      <c r="A180" s="4">
        <v>907</v>
      </c>
      <c r="B180" s="3" t="s">
        <v>215</v>
      </c>
      <c r="C180" s="4" t="s">
        <v>701</v>
      </c>
      <c r="D180" s="127" t="s">
        <v>425</v>
      </c>
      <c r="E180" s="3" t="s">
        <v>407</v>
      </c>
      <c r="F180" s="125" t="s">
        <v>725</v>
      </c>
    </row>
    <row r="181" spans="1:6" x14ac:dyDescent="0.2">
      <c r="A181" s="4">
        <v>908</v>
      </c>
      <c r="B181" s="3" t="s">
        <v>230</v>
      </c>
      <c r="C181" s="4" t="s">
        <v>701</v>
      </c>
      <c r="D181" s="127" t="s">
        <v>434</v>
      </c>
      <c r="E181" s="3" t="s">
        <v>760</v>
      </c>
      <c r="F181" s="125" t="s">
        <v>728</v>
      </c>
    </row>
    <row r="182" spans="1:6" x14ac:dyDescent="0.2">
      <c r="A182" s="4">
        <v>909</v>
      </c>
      <c r="B182" s="3" t="s">
        <v>232</v>
      </c>
      <c r="C182" s="4" t="s">
        <v>701</v>
      </c>
      <c r="D182" s="127" t="s">
        <v>434</v>
      </c>
      <c r="E182" s="3" t="s">
        <v>760</v>
      </c>
      <c r="F182" s="125" t="s">
        <v>728</v>
      </c>
    </row>
    <row r="183" spans="1:6" x14ac:dyDescent="0.2">
      <c r="A183" s="4">
        <v>910</v>
      </c>
      <c r="B183" s="3" t="s">
        <v>234</v>
      </c>
      <c r="C183" s="4" t="s">
        <v>701</v>
      </c>
      <c r="D183" s="127" t="s">
        <v>434</v>
      </c>
      <c r="E183" s="3" t="s">
        <v>760</v>
      </c>
      <c r="F183" s="125" t="s">
        <v>728</v>
      </c>
    </row>
    <row r="184" spans="1:6" x14ac:dyDescent="0.2">
      <c r="A184" s="132"/>
      <c r="B184" s="132"/>
      <c r="C184" s="132"/>
      <c r="D184" s="132"/>
      <c r="E184" s="132"/>
      <c r="F184" s="132"/>
    </row>
    <row r="185" spans="1:6" x14ac:dyDescent="0.2">
      <c r="A185" s="132"/>
      <c r="B185" s="128" t="s">
        <v>247</v>
      </c>
      <c r="C185" s="132"/>
      <c r="D185" s="132"/>
      <c r="E185" s="132"/>
      <c r="F185" s="132"/>
    </row>
    <row r="186" spans="1:6" x14ac:dyDescent="0.2">
      <c r="A186" s="4">
        <v>920</v>
      </c>
      <c r="B186" s="3" t="s">
        <v>249</v>
      </c>
      <c r="C186" s="4" t="s">
        <v>703</v>
      </c>
      <c r="D186" s="4" t="s">
        <v>323</v>
      </c>
      <c r="E186" s="125" t="s">
        <v>710</v>
      </c>
      <c r="F186" s="125" t="s">
        <v>725</v>
      </c>
    </row>
    <row r="187" spans="1:6" x14ac:dyDescent="0.2">
      <c r="A187" s="4">
        <v>920</v>
      </c>
      <c r="B187" s="3" t="s">
        <v>249</v>
      </c>
      <c r="C187" s="4" t="s">
        <v>702</v>
      </c>
      <c r="D187" s="4" t="s">
        <v>323</v>
      </c>
      <c r="E187" s="125" t="s">
        <v>710</v>
      </c>
      <c r="F187" s="125" t="s">
        <v>725</v>
      </c>
    </row>
    <row r="188" spans="1:6" x14ac:dyDescent="0.2">
      <c r="A188" s="4">
        <v>920</v>
      </c>
      <c r="B188" s="3" t="s">
        <v>249</v>
      </c>
      <c r="C188" s="4" t="s">
        <v>701</v>
      </c>
      <c r="D188" s="4" t="s">
        <v>323</v>
      </c>
      <c r="E188" s="125" t="s">
        <v>710</v>
      </c>
      <c r="F188" s="125" t="s">
        <v>725</v>
      </c>
    </row>
    <row r="189" spans="1:6" ht="12" customHeight="1" x14ac:dyDescent="0.2">
      <c r="A189" s="4">
        <v>921</v>
      </c>
      <c r="B189" s="3" t="s">
        <v>251</v>
      </c>
      <c r="C189" s="4" t="s">
        <v>703</v>
      </c>
      <c r="D189" s="4" t="s">
        <v>323</v>
      </c>
      <c r="E189" s="125" t="s">
        <v>710</v>
      </c>
      <c r="F189" s="125" t="s">
        <v>725</v>
      </c>
    </row>
    <row r="190" spans="1:6" ht="12" customHeight="1" x14ac:dyDescent="0.2">
      <c r="A190" s="4">
        <v>921</v>
      </c>
      <c r="B190" s="3" t="s">
        <v>251</v>
      </c>
      <c r="C190" s="4" t="s">
        <v>702</v>
      </c>
      <c r="D190" s="4" t="s">
        <v>323</v>
      </c>
      <c r="E190" s="125" t="s">
        <v>710</v>
      </c>
      <c r="F190" s="125" t="s">
        <v>725</v>
      </c>
    </row>
    <row r="191" spans="1:6" ht="12" customHeight="1" x14ac:dyDescent="0.2">
      <c r="A191" s="4">
        <v>921</v>
      </c>
      <c r="B191" s="3" t="s">
        <v>251</v>
      </c>
      <c r="C191" s="4" t="s">
        <v>701</v>
      </c>
      <c r="D191" s="4" t="s">
        <v>323</v>
      </c>
      <c r="E191" s="125" t="s">
        <v>710</v>
      </c>
      <c r="F191" s="125" t="s">
        <v>725</v>
      </c>
    </row>
    <row r="192" spans="1:6" x14ac:dyDescent="0.2">
      <c r="A192" s="4">
        <v>922</v>
      </c>
      <c r="B192" s="3" t="s">
        <v>253</v>
      </c>
      <c r="C192" s="4" t="s">
        <v>703</v>
      </c>
      <c r="D192" s="4" t="s">
        <v>323</v>
      </c>
      <c r="E192" s="125" t="s">
        <v>710</v>
      </c>
      <c r="F192" s="125" t="s">
        <v>725</v>
      </c>
    </row>
    <row r="193" spans="1:6" x14ac:dyDescent="0.2">
      <c r="A193" s="4">
        <v>922</v>
      </c>
      <c r="B193" s="3" t="s">
        <v>253</v>
      </c>
      <c r="C193" s="4" t="s">
        <v>702</v>
      </c>
      <c r="D193" s="4" t="s">
        <v>323</v>
      </c>
      <c r="E193" s="125" t="s">
        <v>710</v>
      </c>
      <c r="F193" s="125" t="s">
        <v>725</v>
      </c>
    </row>
    <row r="194" spans="1:6" x14ac:dyDescent="0.2">
      <c r="A194" s="4">
        <v>922</v>
      </c>
      <c r="B194" s="3" t="s">
        <v>253</v>
      </c>
      <c r="C194" s="4" t="s">
        <v>701</v>
      </c>
      <c r="D194" s="4" t="s">
        <v>323</v>
      </c>
      <c r="E194" s="125" t="s">
        <v>710</v>
      </c>
      <c r="F194" s="125" t="s">
        <v>725</v>
      </c>
    </row>
    <row r="195" spans="1:6" x14ac:dyDescent="0.2">
      <c r="A195" s="4">
        <v>923</v>
      </c>
      <c r="B195" s="3" t="s">
        <v>255</v>
      </c>
      <c r="C195" s="4" t="s">
        <v>703</v>
      </c>
      <c r="D195" s="4" t="s">
        <v>323</v>
      </c>
      <c r="E195" s="125" t="s">
        <v>710</v>
      </c>
      <c r="F195" s="125" t="s">
        <v>725</v>
      </c>
    </row>
    <row r="196" spans="1:6" x14ac:dyDescent="0.2">
      <c r="A196" s="4">
        <v>923</v>
      </c>
      <c r="B196" s="3" t="s">
        <v>255</v>
      </c>
      <c r="C196" s="4" t="s">
        <v>702</v>
      </c>
      <c r="D196" s="4" t="s">
        <v>323</v>
      </c>
      <c r="E196" s="125" t="s">
        <v>710</v>
      </c>
      <c r="F196" s="125" t="s">
        <v>725</v>
      </c>
    </row>
    <row r="197" spans="1:6" x14ac:dyDescent="0.2">
      <c r="A197" s="4">
        <v>923</v>
      </c>
      <c r="B197" s="3" t="s">
        <v>255</v>
      </c>
      <c r="C197" s="4" t="s">
        <v>701</v>
      </c>
      <c r="D197" s="4" t="s">
        <v>323</v>
      </c>
      <c r="E197" s="125" t="s">
        <v>710</v>
      </c>
      <c r="F197" s="125" t="s">
        <v>725</v>
      </c>
    </row>
    <row r="198" spans="1:6" x14ac:dyDescent="0.2">
      <c r="A198" s="4">
        <v>924</v>
      </c>
      <c r="B198" s="3" t="s">
        <v>257</v>
      </c>
      <c r="C198" s="4" t="s">
        <v>703</v>
      </c>
      <c r="D198" s="4" t="s">
        <v>340</v>
      </c>
      <c r="E198" s="125" t="s">
        <v>761</v>
      </c>
      <c r="F198" s="125" t="s">
        <v>762</v>
      </c>
    </row>
    <row r="199" spans="1:6" x14ac:dyDescent="0.2">
      <c r="A199" s="4">
        <v>924</v>
      </c>
      <c r="B199" s="3" t="s">
        <v>257</v>
      </c>
      <c r="C199" s="4" t="s">
        <v>702</v>
      </c>
      <c r="D199" s="4" t="s">
        <v>340</v>
      </c>
      <c r="E199" s="125" t="s">
        <v>761</v>
      </c>
      <c r="F199" s="125" t="s">
        <v>762</v>
      </c>
    </row>
    <row r="200" spans="1:6" x14ac:dyDescent="0.2">
      <c r="A200" s="4">
        <v>924</v>
      </c>
      <c r="B200" s="3" t="s">
        <v>257</v>
      </c>
      <c r="C200" s="4" t="s">
        <v>701</v>
      </c>
      <c r="D200" s="4" t="s">
        <v>340</v>
      </c>
      <c r="E200" s="125" t="s">
        <v>761</v>
      </c>
      <c r="F200" s="125" t="s">
        <v>762</v>
      </c>
    </row>
    <row r="201" spans="1:6" x14ac:dyDescent="0.2">
      <c r="A201" s="4">
        <v>925</v>
      </c>
      <c r="B201" s="3" t="s">
        <v>259</v>
      </c>
      <c r="C201" s="4" t="s">
        <v>703</v>
      </c>
      <c r="D201" s="4" t="s">
        <v>323</v>
      </c>
      <c r="E201" s="125" t="s">
        <v>710</v>
      </c>
      <c r="F201" s="125" t="s">
        <v>725</v>
      </c>
    </row>
    <row r="202" spans="1:6" x14ac:dyDescent="0.2">
      <c r="A202" s="4">
        <v>925</v>
      </c>
      <c r="B202" s="3" t="s">
        <v>259</v>
      </c>
      <c r="C202" s="4" t="s">
        <v>702</v>
      </c>
      <c r="D202" s="4" t="s">
        <v>323</v>
      </c>
      <c r="E202" s="125" t="s">
        <v>710</v>
      </c>
      <c r="F202" s="125" t="s">
        <v>725</v>
      </c>
    </row>
    <row r="203" spans="1:6" x14ac:dyDescent="0.2">
      <c r="A203" s="4">
        <v>925</v>
      </c>
      <c r="B203" s="3" t="s">
        <v>259</v>
      </c>
      <c r="C203" s="4" t="s">
        <v>701</v>
      </c>
      <c r="D203" s="4" t="s">
        <v>323</v>
      </c>
      <c r="E203" s="125" t="s">
        <v>710</v>
      </c>
      <c r="F203" s="125" t="s">
        <v>725</v>
      </c>
    </row>
    <row r="204" spans="1:6" x14ac:dyDescent="0.2">
      <c r="A204" s="4">
        <v>926</v>
      </c>
      <c r="B204" s="3" t="s">
        <v>261</v>
      </c>
      <c r="C204" s="4" t="s">
        <v>703</v>
      </c>
      <c r="D204" s="4" t="s">
        <v>323</v>
      </c>
      <c r="E204" s="125" t="s">
        <v>710</v>
      </c>
      <c r="F204" s="125" t="s">
        <v>725</v>
      </c>
    </row>
    <row r="205" spans="1:6" x14ac:dyDescent="0.2">
      <c r="A205" s="4">
        <v>926</v>
      </c>
      <c r="B205" s="3" t="s">
        <v>261</v>
      </c>
      <c r="C205" s="4" t="s">
        <v>702</v>
      </c>
      <c r="D205" s="4" t="s">
        <v>323</v>
      </c>
      <c r="E205" s="125" t="s">
        <v>710</v>
      </c>
      <c r="F205" s="125" t="s">
        <v>725</v>
      </c>
    </row>
    <row r="206" spans="1:6" x14ac:dyDescent="0.2">
      <c r="A206" s="4">
        <v>926</v>
      </c>
      <c r="B206" s="3" t="s">
        <v>261</v>
      </c>
      <c r="C206" s="4" t="s">
        <v>701</v>
      </c>
      <c r="D206" s="4" t="s">
        <v>323</v>
      </c>
      <c r="E206" s="125" t="s">
        <v>710</v>
      </c>
      <c r="F206" s="125" t="s">
        <v>725</v>
      </c>
    </row>
    <row r="207" spans="1:6" x14ac:dyDescent="0.2">
      <c r="A207" s="4">
        <v>928</v>
      </c>
      <c r="B207" s="3" t="s">
        <v>265</v>
      </c>
      <c r="C207" s="4" t="s">
        <v>703</v>
      </c>
      <c r="D207" s="4" t="s">
        <v>323</v>
      </c>
      <c r="E207" s="125" t="s">
        <v>710</v>
      </c>
      <c r="F207" s="125" t="s">
        <v>725</v>
      </c>
    </row>
    <row r="208" spans="1:6" x14ac:dyDescent="0.2">
      <c r="A208" s="4">
        <v>928</v>
      </c>
      <c r="B208" s="3" t="s">
        <v>265</v>
      </c>
      <c r="C208" s="4" t="s">
        <v>702</v>
      </c>
      <c r="D208" s="4" t="s">
        <v>323</v>
      </c>
      <c r="E208" s="125" t="s">
        <v>710</v>
      </c>
      <c r="F208" s="125" t="s">
        <v>725</v>
      </c>
    </row>
    <row r="209" spans="1:6" x14ac:dyDescent="0.2">
      <c r="A209" s="4">
        <v>928</v>
      </c>
      <c r="B209" s="3" t="s">
        <v>265</v>
      </c>
      <c r="C209" s="4" t="s">
        <v>701</v>
      </c>
      <c r="D209" s="4" t="s">
        <v>323</v>
      </c>
      <c r="E209" s="125" t="s">
        <v>710</v>
      </c>
      <c r="F209" s="125" t="s">
        <v>725</v>
      </c>
    </row>
    <row r="210" spans="1:6" ht="11.25" customHeight="1" x14ac:dyDescent="0.2">
      <c r="A210" s="4">
        <v>930</v>
      </c>
      <c r="B210" s="3" t="s">
        <v>609</v>
      </c>
      <c r="C210" s="4" t="s">
        <v>703</v>
      </c>
      <c r="D210" s="4" t="s">
        <v>323</v>
      </c>
      <c r="E210" s="125" t="s">
        <v>710</v>
      </c>
      <c r="F210" s="125" t="s">
        <v>725</v>
      </c>
    </row>
    <row r="211" spans="1:6" ht="11.25" customHeight="1" x14ac:dyDescent="0.2">
      <c r="A211" s="4">
        <v>930</v>
      </c>
      <c r="B211" s="3" t="s">
        <v>609</v>
      </c>
      <c r="C211" s="4" t="s">
        <v>702</v>
      </c>
      <c r="D211" s="4" t="s">
        <v>323</v>
      </c>
      <c r="E211" s="125" t="s">
        <v>710</v>
      </c>
      <c r="F211" s="125" t="s">
        <v>725</v>
      </c>
    </row>
    <row r="212" spans="1:6" ht="11.25" customHeight="1" x14ac:dyDescent="0.2">
      <c r="A212" s="4">
        <v>930</v>
      </c>
      <c r="B212" s="3" t="s">
        <v>609</v>
      </c>
      <c r="C212" s="4" t="s">
        <v>701</v>
      </c>
      <c r="D212" s="4" t="s">
        <v>323</v>
      </c>
      <c r="E212" s="125" t="s">
        <v>710</v>
      </c>
      <c r="F212" s="125" t="s">
        <v>725</v>
      </c>
    </row>
    <row r="213" spans="1:6" x14ac:dyDescent="0.2">
      <c r="A213" s="4">
        <v>931</v>
      </c>
      <c r="B213" s="3" t="s">
        <v>141</v>
      </c>
      <c r="C213" s="4" t="s">
        <v>703</v>
      </c>
      <c r="D213" s="4" t="s">
        <v>375</v>
      </c>
      <c r="E213" s="125" t="s">
        <v>763</v>
      </c>
      <c r="F213" s="125" t="s">
        <v>741</v>
      </c>
    </row>
    <row r="214" spans="1:6" x14ac:dyDescent="0.2">
      <c r="A214" s="4">
        <v>931</v>
      </c>
      <c r="B214" s="3" t="s">
        <v>141</v>
      </c>
      <c r="C214" s="4" t="s">
        <v>702</v>
      </c>
      <c r="D214" s="4" t="s">
        <v>375</v>
      </c>
      <c r="E214" s="125" t="s">
        <v>763</v>
      </c>
      <c r="F214" s="125" t="s">
        <v>741</v>
      </c>
    </row>
    <row r="215" spans="1:6" x14ac:dyDescent="0.2">
      <c r="A215" s="4">
        <v>931</v>
      </c>
      <c r="B215" s="3" t="s">
        <v>141</v>
      </c>
      <c r="C215" s="4" t="s">
        <v>701</v>
      </c>
      <c r="D215" s="4" t="s">
        <v>375</v>
      </c>
      <c r="E215" s="125" t="s">
        <v>763</v>
      </c>
      <c r="F215" s="125" t="s">
        <v>741</v>
      </c>
    </row>
    <row r="216" spans="1:6" x14ac:dyDescent="0.2">
      <c r="A216" s="4">
        <v>935</v>
      </c>
      <c r="B216" s="3" t="s">
        <v>269</v>
      </c>
      <c r="C216" s="4" t="s">
        <v>703</v>
      </c>
      <c r="D216" s="4" t="s">
        <v>375</v>
      </c>
      <c r="E216" s="125" t="s">
        <v>763</v>
      </c>
      <c r="F216" s="125" t="s">
        <v>741</v>
      </c>
    </row>
    <row r="217" spans="1:6" x14ac:dyDescent="0.2">
      <c r="A217" s="4">
        <v>935</v>
      </c>
      <c r="B217" s="3" t="s">
        <v>269</v>
      </c>
      <c r="C217" s="4" t="s">
        <v>702</v>
      </c>
      <c r="D217" s="4" t="s">
        <v>375</v>
      </c>
      <c r="E217" s="125" t="s">
        <v>763</v>
      </c>
      <c r="F217" s="125" t="s">
        <v>741</v>
      </c>
    </row>
    <row r="218" spans="1:6" x14ac:dyDescent="0.2">
      <c r="A218" s="4">
        <v>935</v>
      </c>
      <c r="B218" s="3" t="s">
        <v>269</v>
      </c>
      <c r="C218" s="4" t="s">
        <v>701</v>
      </c>
      <c r="D218" s="4" t="s">
        <v>375</v>
      </c>
      <c r="E218" s="125" t="s">
        <v>763</v>
      </c>
      <c r="F218" s="125" t="s">
        <v>741</v>
      </c>
    </row>
    <row r="219" spans="1:6" x14ac:dyDescent="0.2">
      <c r="A219" s="132"/>
      <c r="B219" s="132"/>
      <c r="C219" s="132"/>
      <c r="D219" s="132"/>
      <c r="E219" s="132"/>
      <c r="F219" s="132"/>
    </row>
    <row r="220" spans="1:6" x14ac:dyDescent="0.2">
      <c r="A220" s="132"/>
      <c r="B220" s="133" t="s">
        <v>764</v>
      </c>
      <c r="C220" s="132"/>
      <c r="D220" s="132"/>
      <c r="E220" s="132"/>
      <c r="F220" s="132"/>
    </row>
    <row r="221" spans="1:6" x14ac:dyDescent="0.2">
      <c r="A221" s="132"/>
      <c r="B221" s="128" t="s">
        <v>376</v>
      </c>
      <c r="C221" s="132"/>
      <c r="D221" s="132"/>
      <c r="E221" s="132"/>
      <c r="F221" s="132"/>
    </row>
    <row r="222" spans="1:6" x14ac:dyDescent="0.2">
      <c r="A222" s="4">
        <v>303</v>
      </c>
      <c r="B222" s="3" t="s">
        <v>29</v>
      </c>
      <c r="C222" s="4" t="s">
        <v>703</v>
      </c>
      <c r="D222" s="4" t="s">
        <v>323</v>
      </c>
      <c r="E222" s="125" t="s">
        <v>710</v>
      </c>
      <c r="F222" s="125" t="s">
        <v>725</v>
      </c>
    </row>
    <row r="223" spans="1:6" x14ac:dyDescent="0.2">
      <c r="A223" s="4">
        <v>303</v>
      </c>
      <c r="B223" s="3" t="s">
        <v>29</v>
      </c>
      <c r="C223" s="4" t="s">
        <v>702</v>
      </c>
      <c r="D223" s="4" t="s">
        <v>323</v>
      </c>
      <c r="E223" s="125" t="s">
        <v>710</v>
      </c>
      <c r="F223" s="125" t="s">
        <v>725</v>
      </c>
    </row>
    <row r="224" spans="1:6" x14ac:dyDescent="0.2">
      <c r="A224" s="4">
        <v>303</v>
      </c>
      <c r="B224" s="3" t="s">
        <v>29</v>
      </c>
      <c r="C224" s="4" t="s">
        <v>701</v>
      </c>
      <c r="D224" s="4" t="s">
        <v>323</v>
      </c>
      <c r="E224" s="125" t="s">
        <v>710</v>
      </c>
      <c r="F224" s="125" t="s">
        <v>725</v>
      </c>
    </row>
    <row r="225" spans="1:6" x14ac:dyDescent="0.2">
      <c r="A225" s="132"/>
      <c r="B225" s="132"/>
      <c r="C225" s="132"/>
      <c r="D225" s="132"/>
      <c r="E225" s="132"/>
      <c r="F225" s="132"/>
    </row>
    <row r="226" spans="1:6" x14ac:dyDescent="0.2">
      <c r="A226" s="132"/>
      <c r="B226" s="128" t="s">
        <v>52</v>
      </c>
      <c r="C226" s="132"/>
      <c r="D226" s="132"/>
      <c r="E226" s="132"/>
      <c r="F226" s="132"/>
    </row>
    <row r="227" spans="1:6" x14ac:dyDescent="0.2">
      <c r="A227" s="4">
        <v>360</v>
      </c>
      <c r="B227" s="3" t="s">
        <v>35</v>
      </c>
      <c r="C227" s="4" t="s">
        <v>703</v>
      </c>
      <c r="D227" s="134" t="s">
        <v>368</v>
      </c>
      <c r="E227" s="3" t="s">
        <v>736</v>
      </c>
      <c r="F227" s="3" t="s">
        <v>736</v>
      </c>
    </row>
    <row r="228" spans="1:6" x14ac:dyDescent="0.2">
      <c r="A228" s="4">
        <v>361</v>
      </c>
      <c r="B228" s="3" t="s">
        <v>31</v>
      </c>
      <c r="C228" s="4" t="s">
        <v>703</v>
      </c>
      <c r="D228" s="134" t="s">
        <v>368</v>
      </c>
      <c r="E228" s="3" t="s">
        <v>736</v>
      </c>
      <c r="F228" s="3" t="s">
        <v>736</v>
      </c>
    </row>
    <row r="229" spans="1:6" x14ac:dyDescent="0.2">
      <c r="A229" s="4">
        <v>362</v>
      </c>
      <c r="B229" s="3" t="s">
        <v>38</v>
      </c>
      <c r="C229" s="4" t="s">
        <v>703</v>
      </c>
      <c r="D229" s="134" t="s">
        <v>368</v>
      </c>
      <c r="E229" s="3" t="s">
        <v>736</v>
      </c>
      <c r="F229" s="3" t="s">
        <v>736</v>
      </c>
    </row>
    <row r="230" spans="1:6" x14ac:dyDescent="0.2">
      <c r="A230" s="4">
        <v>363</v>
      </c>
      <c r="B230" s="3" t="s">
        <v>57</v>
      </c>
      <c r="C230" s="4" t="s">
        <v>703</v>
      </c>
      <c r="D230" s="134" t="s">
        <v>368</v>
      </c>
      <c r="E230" s="3" t="s">
        <v>736</v>
      </c>
      <c r="F230" s="3" t="s">
        <v>736</v>
      </c>
    </row>
    <row r="231" spans="1:6" x14ac:dyDescent="0.2">
      <c r="A231" s="4">
        <v>364</v>
      </c>
      <c r="B231" s="3" t="s">
        <v>59</v>
      </c>
      <c r="C231" s="4" t="s">
        <v>703</v>
      </c>
      <c r="D231" s="4" t="s">
        <v>58</v>
      </c>
      <c r="E231" s="3" t="s">
        <v>736</v>
      </c>
      <c r="F231" s="3" t="s">
        <v>736</v>
      </c>
    </row>
    <row r="232" spans="1:6" x14ac:dyDescent="0.2">
      <c r="A232" s="4">
        <v>365</v>
      </c>
      <c r="B232" s="3" t="s">
        <v>44</v>
      </c>
      <c r="C232" s="4" t="s">
        <v>703</v>
      </c>
      <c r="D232" s="4" t="s">
        <v>63</v>
      </c>
      <c r="E232" s="3" t="s">
        <v>736</v>
      </c>
      <c r="F232" s="3" t="s">
        <v>736</v>
      </c>
    </row>
    <row r="233" spans="1:6" x14ac:dyDescent="0.2">
      <c r="A233" s="4">
        <v>366</v>
      </c>
      <c r="B233" s="3" t="s">
        <v>65</v>
      </c>
      <c r="C233" s="4" t="s">
        <v>703</v>
      </c>
      <c r="D233" s="4" t="s">
        <v>64</v>
      </c>
      <c r="E233" s="3" t="s">
        <v>736</v>
      </c>
      <c r="F233" s="3" t="s">
        <v>736</v>
      </c>
    </row>
    <row r="234" spans="1:6" x14ac:dyDescent="0.2">
      <c r="A234" s="4">
        <v>367</v>
      </c>
      <c r="B234" s="3" t="s">
        <v>67</v>
      </c>
      <c r="C234" s="4" t="s">
        <v>703</v>
      </c>
      <c r="D234" s="4" t="s">
        <v>66</v>
      </c>
      <c r="E234" s="3" t="s">
        <v>736</v>
      </c>
      <c r="F234" s="3" t="s">
        <v>736</v>
      </c>
    </row>
    <row r="235" spans="1:6" x14ac:dyDescent="0.2">
      <c r="A235" s="4">
        <v>368</v>
      </c>
      <c r="B235" s="3" t="s">
        <v>70</v>
      </c>
      <c r="C235" s="4" t="s">
        <v>703</v>
      </c>
      <c r="D235" s="4" t="s">
        <v>69</v>
      </c>
      <c r="E235" s="3" t="s">
        <v>736</v>
      </c>
      <c r="F235" s="3" t="s">
        <v>736</v>
      </c>
    </row>
    <row r="236" spans="1:6" x14ac:dyDescent="0.2">
      <c r="A236" s="4">
        <v>369</v>
      </c>
      <c r="B236" s="3" t="s">
        <v>73</v>
      </c>
      <c r="C236" s="4" t="s">
        <v>703</v>
      </c>
      <c r="D236" s="134" t="s">
        <v>343</v>
      </c>
      <c r="E236" s="3" t="s">
        <v>736</v>
      </c>
      <c r="F236" s="3" t="s">
        <v>736</v>
      </c>
    </row>
    <row r="237" spans="1:6" x14ac:dyDescent="0.2">
      <c r="A237" s="4">
        <v>370</v>
      </c>
      <c r="B237" s="3" t="s">
        <v>75</v>
      </c>
      <c r="C237" s="4" t="s">
        <v>702</v>
      </c>
      <c r="D237" s="134" t="s">
        <v>344</v>
      </c>
      <c r="E237" s="3" t="s">
        <v>736</v>
      </c>
      <c r="F237" s="3" t="s">
        <v>736</v>
      </c>
    </row>
    <row r="238" spans="1:6" x14ac:dyDescent="0.2">
      <c r="A238" s="4">
        <v>371</v>
      </c>
      <c r="B238" s="3" t="s">
        <v>77</v>
      </c>
      <c r="C238" s="4" t="s">
        <v>703</v>
      </c>
      <c r="D238" s="134" t="s">
        <v>371</v>
      </c>
      <c r="E238" s="3" t="s">
        <v>736</v>
      </c>
      <c r="F238" s="3" t="s">
        <v>736</v>
      </c>
    </row>
    <row r="239" spans="1:6" x14ac:dyDescent="0.2">
      <c r="A239" s="4">
        <v>372</v>
      </c>
      <c r="B239" s="3" t="s">
        <v>79</v>
      </c>
      <c r="C239" s="4" t="s">
        <v>703</v>
      </c>
      <c r="D239" s="134" t="s">
        <v>368</v>
      </c>
      <c r="E239" s="3" t="s">
        <v>736</v>
      </c>
      <c r="F239" s="3" t="s">
        <v>736</v>
      </c>
    </row>
    <row r="240" spans="1:6" x14ac:dyDescent="0.2">
      <c r="A240" s="4">
        <v>373</v>
      </c>
      <c r="B240" s="3" t="s">
        <v>81</v>
      </c>
      <c r="C240" s="4" t="s">
        <v>703</v>
      </c>
      <c r="D240" s="129" t="s">
        <v>372</v>
      </c>
      <c r="E240" s="3" t="s">
        <v>736</v>
      </c>
      <c r="F240" s="3" t="s">
        <v>736</v>
      </c>
    </row>
    <row r="241" spans="1:6" x14ac:dyDescent="0.2">
      <c r="A241" s="132"/>
      <c r="B241" s="132"/>
      <c r="C241" s="132"/>
      <c r="D241" s="132"/>
      <c r="E241" s="3"/>
      <c r="F241" s="3"/>
    </row>
    <row r="242" spans="1:6" x14ac:dyDescent="0.2">
      <c r="A242" s="132"/>
      <c r="B242" s="128" t="s">
        <v>84</v>
      </c>
      <c r="C242" s="132"/>
      <c r="D242" s="132"/>
      <c r="E242" s="132"/>
      <c r="F242" s="132"/>
    </row>
    <row r="243" spans="1:6" x14ac:dyDescent="0.2">
      <c r="A243" s="4">
        <v>390</v>
      </c>
      <c r="B243" s="3" t="s">
        <v>31</v>
      </c>
      <c r="C243" s="4" t="s">
        <v>703</v>
      </c>
      <c r="D243" s="4" t="s">
        <v>323</v>
      </c>
      <c r="E243" s="125" t="s">
        <v>710</v>
      </c>
      <c r="F243" s="125" t="s">
        <v>725</v>
      </c>
    </row>
    <row r="244" spans="1:6" x14ac:dyDescent="0.2">
      <c r="A244" s="4">
        <v>390</v>
      </c>
      <c r="B244" s="3" t="s">
        <v>31</v>
      </c>
      <c r="C244" s="4" t="s">
        <v>702</v>
      </c>
      <c r="D244" s="4" t="s">
        <v>323</v>
      </c>
      <c r="E244" s="125" t="s">
        <v>710</v>
      </c>
      <c r="F244" s="125" t="s">
        <v>725</v>
      </c>
    </row>
    <row r="245" spans="1:6" x14ac:dyDescent="0.2">
      <c r="A245" s="4">
        <v>390</v>
      </c>
      <c r="B245" s="3" t="s">
        <v>31</v>
      </c>
      <c r="C245" s="4" t="s">
        <v>701</v>
      </c>
      <c r="D245" s="4" t="s">
        <v>323</v>
      </c>
      <c r="E245" s="125" t="s">
        <v>710</v>
      </c>
      <c r="F245" s="125" t="s">
        <v>725</v>
      </c>
    </row>
    <row r="246" spans="1:6" x14ac:dyDescent="0.2">
      <c r="A246" s="4">
        <v>391</v>
      </c>
      <c r="B246" s="3" t="s">
        <v>88</v>
      </c>
      <c r="C246" s="4" t="s">
        <v>703</v>
      </c>
      <c r="D246" s="4" t="s">
        <v>323</v>
      </c>
      <c r="E246" s="125" t="s">
        <v>710</v>
      </c>
      <c r="F246" s="125" t="s">
        <v>725</v>
      </c>
    </row>
    <row r="247" spans="1:6" x14ac:dyDescent="0.2">
      <c r="A247" s="4">
        <v>391</v>
      </c>
      <c r="B247" s="3" t="s">
        <v>88</v>
      </c>
      <c r="C247" s="4" t="s">
        <v>702</v>
      </c>
      <c r="D247" s="4" t="s">
        <v>323</v>
      </c>
      <c r="E247" s="125" t="s">
        <v>710</v>
      </c>
      <c r="F247" s="125" t="s">
        <v>725</v>
      </c>
    </row>
    <row r="248" spans="1:6" x14ac:dyDescent="0.2">
      <c r="A248" s="4">
        <v>391</v>
      </c>
      <c r="B248" s="3" t="s">
        <v>88</v>
      </c>
      <c r="C248" s="4" t="s">
        <v>701</v>
      </c>
      <c r="D248" s="4" t="s">
        <v>323</v>
      </c>
      <c r="E248" s="125" t="s">
        <v>710</v>
      </c>
      <c r="F248" s="125" t="s">
        <v>725</v>
      </c>
    </row>
    <row r="249" spans="1:6" x14ac:dyDescent="0.2">
      <c r="A249" s="4">
        <v>392</v>
      </c>
      <c r="B249" s="3" t="s">
        <v>90</v>
      </c>
      <c r="C249" s="4" t="s">
        <v>703</v>
      </c>
      <c r="D249" s="4" t="s">
        <v>323</v>
      </c>
      <c r="E249" s="125" t="s">
        <v>710</v>
      </c>
      <c r="F249" s="125" t="s">
        <v>725</v>
      </c>
    </row>
    <row r="250" spans="1:6" x14ac:dyDescent="0.2">
      <c r="A250" s="4">
        <v>392</v>
      </c>
      <c r="B250" s="3" t="s">
        <v>90</v>
      </c>
      <c r="C250" s="4" t="s">
        <v>702</v>
      </c>
      <c r="D250" s="4" t="s">
        <v>323</v>
      </c>
      <c r="E250" s="125" t="s">
        <v>710</v>
      </c>
      <c r="F250" s="125" t="s">
        <v>725</v>
      </c>
    </row>
    <row r="251" spans="1:6" x14ac:dyDescent="0.2">
      <c r="A251" s="4">
        <v>393</v>
      </c>
      <c r="B251" s="3" t="s">
        <v>114</v>
      </c>
      <c r="C251" s="4" t="s">
        <v>703</v>
      </c>
      <c r="D251" s="4" t="s">
        <v>323</v>
      </c>
      <c r="E251" s="125" t="s">
        <v>710</v>
      </c>
      <c r="F251" s="125" t="s">
        <v>725</v>
      </c>
    </row>
    <row r="252" spans="1:6" x14ac:dyDescent="0.2">
      <c r="A252" s="4">
        <v>393</v>
      </c>
      <c r="B252" s="3" t="s">
        <v>114</v>
      </c>
      <c r="C252" s="4" t="s">
        <v>702</v>
      </c>
      <c r="D252" s="4" t="s">
        <v>323</v>
      </c>
      <c r="E252" s="125" t="s">
        <v>710</v>
      </c>
      <c r="F252" s="125" t="s">
        <v>725</v>
      </c>
    </row>
    <row r="253" spans="1:6" x14ac:dyDescent="0.2">
      <c r="A253" s="4">
        <v>394</v>
      </c>
      <c r="B253" s="3" t="s">
        <v>94</v>
      </c>
      <c r="C253" s="4" t="s">
        <v>703</v>
      </c>
      <c r="D253" s="4" t="s">
        <v>323</v>
      </c>
      <c r="E253" s="125" t="s">
        <v>710</v>
      </c>
      <c r="F253" s="125" t="s">
        <v>725</v>
      </c>
    </row>
    <row r="254" spans="1:6" x14ac:dyDescent="0.2">
      <c r="A254" s="4">
        <v>394</v>
      </c>
      <c r="B254" s="3" t="s">
        <v>94</v>
      </c>
      <c r="C254" s="4" t="s">
        <v>702</v>
      </c>
      <c r="D254" s="4" t="s">
        <v>323</v>
      </c>
      <c r="E254" s="125" t="s">
        <v>710</v>
      </c>
      <c r="F254" s="125" t="s">
        <v>725</v>
      </c>
    </row>
    <row r="255" spans="1:6" x14ac:dyDescent="0.2">
      <c r="A255" s="4">
        <v>395</v>
      </c>
      <c r="B255" s="3" t="s">
        <v>96</v>
      </c>
      <c r="C255" s="4" t="s">
        <v>703</v>
      </c>
      <c r="D255" s="4" t="s">
        <v>323</v>
      </c>
      <c r="E255" s="125" t="s">
        <v>710</v>
      </c>
      <c r="F255" s="125" t="s">
        <v>725</v>
      </c>
    </row>
    <row r="256" spans="1:6" x14ac:dyDescent="0.2">
      <c r="A256" s="4">
        <v>395</v>
      </c>
      <c r="B256" s="3" t="s">
        <v>96</v>
      </c>
      <c r="C256" s="4" t="s">
        <v>702</v>
      </c>
      <c r="D256" s="4" t="s">
        <v>323</v>
      </c>
      <c r="E256" s="125" t="s">
        <v>710</v>
      </c>
      <c r="F256" s="125" t="s">
        <v>725</v>
      </c>
    </row>
    <row r="257" spans="1:6" x14ac:dyDescent="0.2">
      <c r="A257" s="4">
        <v>396</v>
      </c>
      <c r="B257" s="3" t="s">
        <v>98</v>
      </c>
      <c r="C257" s="4" t="s">
        <v>703</v>
      </c>
      <c r="D257" s="4" t="s">
        <v>323</v>
      </c>
      <c r="E257" s="125" t="s">
        <v>710</v>
      </c>
      <c r="F257" s="125" t="s">
        <v>725</v>
      </c>
    </row>
    <row r="258" spans="1:6" x14ac:dyDescent="0.2">
      <c r="A258" s="4">
        <v>396</v>
      </c>
      <c r="B258" s="3" t="s">
        <v>98</v>
      </c>
      <c r="C258" s="4" t="s">
        <v>702</v>
      </c>
      <c r="D258" s="4" t="s">
        <v>323</v>
      </c>
      <c r="E258" s="125" t="s">
        <v>710</v>
      </c>
      <c r="F258" s="125" t="s">
        <v>725</v>
      </c>
    </row>
    <row r="259" spans="1:6" x14ac:dyDescent="0.2">
      <c r="A259" s="4">
        <v>397</v>
      </c>
      <c r="B259" s="3" t="s">
        <v>106</v>
      </c>
      <c r="C259" s="4" t="s">
        <v>703</v>
      </c>
      <c r="D259" s="4" t="s">
        <v>323</v>
      </c>
      <c r="E259" s="125" t="s">
        <v>710</v>
      </c>
      <c r="F259" s="125" t="s">
        <v>725</v>
      </c>
    </row>
    <row r="260" spans="1:6" x14ac:dyDescent="0.2">
      <c r="A260" s="4">
        <v>397</v>
      </c>
      <c r="B260" s="3" t="s">
        <v>106</v>
      </c>
      <c r="C260" s="4" t="s">
        <v>702</v>
      </c>
      <c r="D260" s="4" t="s">
        <v>323</v>
      </c>
      <c r="E260" s="125" t="s">
        <v>710</v>
      </c>
      <c r="F260" s="125" t="s">
        <v>725</v>
      </c>
    </row>
    <row r="261" spans="1:6" x14ac:dyDescent="0.2">
      <c r="A261" s="4">
        <v>398</v>
      </c>
      <c r="B261" s="3" t="s">
        <v>100</v>
      </c>
      <c r="C261" s="4" t="s">
        <v>703</v>
      </c>
      <c r="D261" s="4" t="s">
        <v>323</v>
      </c>
      <c r="E261" s="125" t="s">
        <v>710</v>
      </c>
      <c r="F261" s="125" t="s">
        <v>725</v>
      </c>
    </row>
    <row r="262" spans="1:6" x14ac:dyDescent="0.2">
      <c r="A262" s="4">
        <v>398</v>
      </c>
      <c r="B262" s="3" t="s">
        <v>100</v>
      </c>
      <c r="C262" s="4" t="s">
        <v>702</v>
      </c>
      <c r="D262" s="4" t="s">
        <v>323</v>
      </c>
      <c r="E262" s="125" t="s">
        <v>710</v>
      </c>
      <c r="F262" s="125" t="s">
        <v>725</v>
      </c>
    </row>
    <row r="263" spans="1:6" x14ac:dyDescent="0.2">
      <c r="A263" s="4">
        <v>399</v>
      </c>
      <c r="B263" s="3" t="s">
        <v>115</v>
      </c>
      <c r="C263" s="4" t="s">
        <v>703</v>
      </c>
      <c r="D263" s="4" t="s">
        <v>323</v>
      </c>
      <c r="E263" s="125" t="s">
        <v>710</v>
      </c>
      <c r="F263" s="125" t="s">
        <v>725</v>
      </c>
    </row>
    <row r="264" spans="1:6" x14ac:dyDescent="0.2">
      <c r="A264" s="4">
        <v>399</v>
      </c>
      <c r="B264" s="3" t="s">
        <v>115</v>
      </c>
      <c r="C264" s="4" t="s">
        <v>702</v>
      </c>
      <c r="D264" s="4" t="s">
        <v>323</v>
      </c>
      <c r="E264" s="125" t="s">
        <v>710</v>
      </c>
      <c r="F264" s="125" t="s">
        <v>725</v>
      </c>
    </row>
    <row r="265" spans="1:6" x14ac:dyDescent="0.2">
      <c r="A265" s="132"/>
      <c r="B265" s="132"/>
      <c r="C265" s="132"/>
      <c r="D265" s="132"/>
      <c r="E265" s="132"/>
      <c r="F265" s="132"/>
    </row>
    <row r="266" spans="1:6" x14ac:dyDescent="0.2">
      <c r="A266" s="132"/>
      <c r="B266" s="128" t="s">
        <v>289</v>
      </c>
      <c r="C266" s="132"/>
      <c r="D266" s="132"/>
      <c r="E266" s="132"/>
      <c r="F266" s="132"/>
    </row>
    <row r="267" spans="1:6" x14ac:dyDescent="0.2">
      <c r="A267" s="132"/>
      <c r="B267" s="3" t="s">
        <v>765</v>
      </c>
      <c r="C267" s="4" t="s">
        <v>703</v>
      </c>
      <c r="D267" s="127" t="s">
        <v>324</v>
      </c>
      <c r="E267" s="3" t="s">
        <v>758</v>
      </c>
      <c r="F267" s="125" t="s">
        <v>759</v>
      </c>
    </row>
    <row r="268" spans="1:6" x14ac:dyDescent="0.2">
      <c r="A268" s="132"/>
      <c r="B268" s="3" t="s">
        <v>765</v>
      </c>
      <c r="C268" s="4" t="s">
        <v>702</v>
      </c>
      <c r="D268" s="127" t="s">
        <v>324</v>
      </c>
      <c r="E268" s="3" t="s">
        <v>758</v>
      </c>
      <c r="F268" s="125" t="s">
        <v>759</v>
      </c>
    </row>
    <row r="269" spans="1:6" x14ac:dyDescent="0.2">
      <c r="A269" s="132"/>
      <c r="B269" s="3" t="s">
        <v>765</v>
      </c>
      <c r="C269" s="4" t="s">
        <v>701</v>
      </c>
      <c r="D269" s="127" t="s">
        <v>324</v>
      </c>
      <c r="E269" s="3" t="s">
        <v>758</v>
      </c>
      <c r="F269" s="125" t="s">
        <v>759</v>
      </c>
    </row>
    <row r="270" spans="1:6" x14ac:dyDescent="0.2">
      <c r="A270" s="132"/>
      <c r="B270" s="3" t="s">
        <v>654</v>
      </c>
      <c r="C270" s="4" t="s">
        <v>703</v>
      </c>
      <c r="D270" s="127" t="s">
        <v>331</v>
      </c>
      <c r="E270" s="125" t="s">
        <v>52</v>
      </c>
      <c r="F270" s="125" t="s">
        <v>741</v>
      </c>
    </row>
    <row r="271" spans="1:6" x14ac:dyDescent="0.2">
      <c r="A271" s="132"/>
      <c r="B271" s="132"/>
      <c r="C271" s="132"/>
      <c r="D271" s="132"/>
      <c r="E271" s="132"/>
      <c r="F271" s="132"/>
    </row>
    <row r="272" spans="1:6" x14ac:dyDescent="0.2">
      <c r="A272" s="132"/>
      <c r="B272" s="133" t="s">
        <v>766</v>
      </c>
      <c r="C272" s="132"/>
      <c r="D272" s="132"/>
      <c r="E272" s="132"/>
      <c r="F272" s="132"/>
    </row>
    <row r="273" spans="1:6" x14ac:dyDescent="0.2">
      <c r="A273" s="132"/>
      <c r="B273" s="133" t="s">
        <v>294</v>
      </c>
      <c r="C273" s="132"/>
      <c r="D273" s="132"/>
      <c r="E273" s="132"/>
      <c r="F273" s="132"/>
    </row>
    <row r="274" spans="1:6" x14ac:dyDescent="0.2">
      <c r="A274" s="4">
        <v>408.1</v>
      </c>
      <c r="B274" s="3" t="s">
        <v>294</v>
      </c>
      <c r="C274" s="4" t="s">
        <v>703</v>
      </c>
      <c r="D274" s="4" t="s">
        <v>323</v>
      </c>
      <c r="E274" s="125" t="s">
        <v>710</v>
      </c>
      <c r="F274" s="125" t="s">
        <v>725</v>
      </c>
    </row>
    <row r="275" spans="1:6" x14ac:dyDescent="0.2">
      <c r="A275" s="4">
        <v>408.1</v>
      </c>
      <c r="B275" s="3" t="s">
        <v>294</v>
      </c>
      <c r="C275" s="4" t="s">
        <v>702</v>
      </c>
      <c r="D275" s="4" t="s">
        <v>323</v>
      </c>
      <c r="E275" s="125" t="s">
        <v>710</v>
      </c>
      <c r="F275" s="125" t="s">
        <v>725</v>
      </c>
    </row>
    <row r="276" spans="1:6" x14ac:dyDescent="0.2">
      <c r="A276" s="4">
        <v>408.1</v>
      </c>
      <c r="B276" s="3" t="s">
        <v>294</v>
      </c>
      <c r="C276" s="4" t="s">
        <v>701</v>
      </c>
      <c r="D276" s="4" t="s">
        <v>323</v>
      </c>
      <c r="E276" s="125" t="s">
        <v>710</v>
      </c>
      <c r="F276" s="125" t="s">
        <v>725</v>
      </c>
    </row>
    <row r="277" spans="1:6" x14ac:dyDescent="0.2">
      <c r="A277" s="4"/>
      <c r="B277" s="133" t="s">
        <v>767</v>
      </c>
      <c r="C277" s="4"/>
      <c r="D277" s="4"/>
      <c r="E277" s="125"/>
      <c r="F277" s="125"/>
    </row>
    <row r="278" spans="1:6" x14ac:dyDescent="0.2">
      <c r="A278" s="4">
        <v>408.1</v>
      </c>
      <c r="B278" s="3" t="s">
        <v>540</v>
      </c>
      <c r="C278" s="4" t="s">
        <v>703</v>
      </c>
      <c r="D278" s="4" t="s">
        <v>340</v>
      </c>
      <c r="E278" s="125" t="s">
        <v>768</v>
      </c>
      <c r="F278" s="125" t="s">
        <v>769</v>
      </c>
    </row>
    <row r="279" spans="1:6" x14ac:dyDescent="0.2">
      <c r="A279" s="4">
        <v>408.1</v>
      </c>
      <c r="B279" s="3" t="s">
        <v>540</v>
      </c>
      <c r="C279" s="4" t="s">
        <v>702</v>
      </c>
      <c r="D279" s="4" t="s">
        <v>340</v>
      </c>
      <c r="E279" s="125" t="s">
        <v>768</v>
      </c>
      <c r="F279" s="125" t="s">
        <v>769</v>
      </c>
    </row>
    <row r="280" spans="1:6" x14ac:dyDescent="0.2">
      <c r="A280" s="4">
        <v>408.1</v>
      </c>
      <c r="B280" s="3" t="s">
        <v>540</v>
      </c>
      <c r="C280" s="4" t="s">
        <v>701</v>
      </c>
      <c r="D280" s="4" t="s">
        <v>340</v>
      </c>
      <c r="E280" s="125" t="s">
        <v>768</v>
      </c>
      <c r="F280" s="125" t="s">
        <v>769</v>
      </c>
    </row>
    <row r="281" spans="1:6" x14ac:dyDescent="0.2">
      <c r="A281" s="4"/>
      <c r="B281" s="133" t="s">
        <v>322</v>
      </c>
      <c r="C281" s="4"/>
      <c r="D281" s="4"/>
      <c r="E281" s="125"/>
      <c r="F281" s="125"/>
    </row>
    <row r="282" spans="1:6" x14ac:dyDescent="0.2">
      <c r="A282" s="4">
        <v>408.1</v>
      </c>
      <c r="B282" s="3" t="s">
        <v>641</v>
      </c>
      <c r="C282" s="4" t="s">
        <v>703</v>
      </c>
      <c r="D282" s="4" t="s">
        <v>640</v>
      </c>
      <c r="E282" s="125" t="s">
        <v>770</v>
      </c>
      <c r="F282" s="125" t="s">
        <v>771</v>
      </c>
    </row>
    <row r="283" spans="1:6" x14ac:dyDescent="0.2">
      <c r="A283" s="4">
        <v>408.1</v>
      </c>
      <c r="B283" s="3" t="s">
        <v>641</v>
      </c>
      <c r="C283" s="4" t="s">
        <v>702</v>
      </c>
      <c r="D283" s="4" t="s">
        <v>640</v>
      </c>
      <c r="E283" s="125" t="s">
        <v>770</v>
      </c>
      <c r="F283" s="125" t="s">
        <v>771</v>
      </c>
    </row>
    <row r="284" spans="1:6" x14ac:dyDescent="0.2">
      <c r="A284" s="4">
        <v>408.1</v>
      </c>
      <c r="B284" s="3" t="s">
        <v>641</v>
      </c>
      <c r="C284" s="4" t="s">
        <v>701</v>
      </c>
      <c r="D284" s="4" t="s">
        <v>640</v>
      </c>
      <c r="E284" s="125" t="s">
        <v>770</v>
      </c>
      <c r="F284" s="125" t="s">
        <v>771</v>
      </c>
    </row>
    <row r="285" spans="1:6" x14ac:dyDescent="0.2">
      <c r="A285" s="4">
        <v>408.1</v>
      </c>
      <c r="B285" s="3" t="s">
        <v>358</v>
      </c>
      <c r="C285" s="4" t="s">
        <v>703</v>
      </c>
      <c r="D285" s="4" t="s">
        <v>370</v>
      </c>
      <c r="E285" s="125" t="s">
        <v>772</v>
      </c>
      <c r="F285" s="125" t="s">
        <v>773</v>
      </c>
    </row>
    <row r="286" spans="1:6" x14ac:dyDescent="0.2">
      <c r="A286" s="4">
        <v>408.1</v>
      </c>
      <c r="B286" s="3" t="s">
        <v>358</v>
      </c>
      <c r="C286" s="4" t="s">
        <v>702</v>
      </c>
      <c r="D286" s="4" t="s">
        <v>370</v>
      </c>
      <c r="E286" s="125" t="s">
        <v>772</v>
      </c>
      <c r="F286" s="125" t="s">
        <v>773</v>
      </c>
    </row>
    <row r="287" spans="1:6" x14ac:dyDescent="0.2">
      <c r="A287" s="4">
        <v>408.1</v>
      </c>
      <c r="B287" s="3" t="s">
        <v>358</v>
      </c>
      <c r="C287" s="4" t="s">
        <v>701</v>
      </c>
      <c r="D287" s="4" t="s">
        <v>370</v>
      </c>
      <c r="E287" s="125" t="s">
        <v>772</v>
      </c>
      <c r="F287" s="125" t="s">
        <v>773</v>
      </c>
    </row>
    <row r="288" spans="1:6" x14ac:dyDescent="0.2">
      <c r="A288" s="132"/>
      <c r="B288" s="132"/>
      <c r="C288" s="132"/>
      <c r="D288" s="132"/>
      <c r="E288" s="132"/>
      <c r="F288" s="125"/>
    </row>
    <row r="289" spans="1:6" x14ac:dyDescent="0.2">
      <c r="A289" s="132"/>
      <c r="B289" s="133" t="s">
        <v>774</v>
      </c>
      <c r="C289" s="132"/>
      <c r="D289" s="132"/>
      <c r="E289" s="132"/>
      <c r="F289" s="132"/>
    </row>
    <row r="290" spans="1:6" x14ac:dyDescent="0.2">
      <c r="A290" s="132"/>
      <c r="B290" s="133" t="s">
        <v>20</v>
      </c>
      <c r="C290" s="132"/>
      <c r="D290" s="132"/>
      <c r="E290" s="132"/>
      <c r="F290" s="132"/>
    </row>
    <row r="291" spans="1:6" x14ac:dyDescent="0.2">
      <c r="A291" s="132"/>
      <c r="B291" s="3" t="s">
        <v>20</v>
      </c>
      <c r="C291" s="4" t="s">
        <v>703</v>
      </c>
      <c r="D291" s="4" t="s">
        <v>775</v>
      </c>
      <c r="E291" s="125" t="s">
        <v>776</v>
      </c>
      <c r="F291" s="125" t="s">
        <v>777</v>
      </c>
    </row>
    <row r="292" spans="1:6" x14ac:dyDescent="0.2">
      <c r="A292" s="132"/>
      <c r="B292" s="3" t="s">
        <v>20</v>
      </c>
      <c r="C292" s="4" t="s">
        <v>702</v>
      </c>
      <c r="D292" s="4" t="s">
        <v>775</v>
      </c>
      <c r="E292" s="125" t="s">
        <v>776</v>
      </c>
      <c r="F292" s="125" t="s">
        <v>777</v>
      </c>
    </row>
    <row r="293" spans="1:6" x14ac:dyDescent="0.2">
      <c r="A293" s="132"/>
      <c r="B293" s="3" t="s">
        <v>20</v>
      </c>
      <c r="C293" s="4" t="s">
        <v>701</v>
      </c>
      <c r="D293" s="4" t="s">
        <v>775</v>
      </c>
      <c r="E293" s="125" t="s">
        <v>776</v>
      </c>
      <c r="F293" s="125" t="s">
        <v>777</v>
      </c>
    </row>
    <row r="294" spans="1:6" x14ac:dyDescent="0.2">
      <c r="A294" s="132"/>
      <c r="B294" s="133" t="s">
        <v>778</v>
      </c>
      <c r="C294" s="132"/>
      <c r="D294" s="132"/>
      <c r="E294" s="132"/>
      <c r="F294" s="132"/>
    </row>
    <row r="295" spans="1:6" x14ac:dyDescent="0.2">
      <c r="A295" s="132"/>
      <c r="B295" s="3" t="s">
        <v>552</v>
      </c>
      <c r="C295" s="4" t="s">
        <v>703</v>
      </c>
      <c r="D295" s="4" t="s">
        <v>312</v>
      </c>
      <c r="E295" s="125" t="s">
        <v>776</v>
      </c>
      <c r="F295" s="125" t="s">
        <v>777</v>
      </c>
    </row>
    <row r="296" spans="1:6" x14ac:dyDescent="0.2">
      <c r="A296" s="132"/>
      <c r="B296" s="3" t="s">
        <v>552</v>
      </c>
      <c r="C296" s="4" t="s">
        <v>702</v>
      </c>
      <c r="D296" s="4" t="s">
        <v>312</v>
      </c>
      <c r="E296" s="125" t="s">
        <v>776</v>
      </c>
      <c r="F296" s="125" t="s">
        <v>777</v>
      </c>
    </row>
    <row r="297" spans="1:6" x14ac:dyDescent="0.2">
      <c r="A297" s="132"/>
      <c r="B297" s="3" t="s">
        <v>552</v>
      </c>
      <c r="C297" s="4" t="s">
        <v>701</v>
      </c>
      <c r="D297" s="4" t="s">
        <v>312</v>
      </c>
      <c r="E297" s="125" t="s">
        <v>776</v>
      </c>
      <c r="F297" s="125" t="s">
        <v>777</v>
      </c>
    </row>
    <row r="298" spans="1:6" x14ac:dyDescent="0.2">
      <c r="A298" s="132"/>
      <c r="B298" s="3" t="s">
        <v>779</v>
      </c>
      <c r="C298" s="4" t="s">
        <v>703</v>
      </c>
      <c r="D298" s="4" t="s">
        <v>340</v>
      </c>
      <c r="E298" s="125" t="s">
        <v>780</v>
      </c>
      <c r="F298" s="125" t="s">
        <v>769</v>
      </c>
    </row>
    <row r="299" spans="1:6" x14ac:dyDescent="0.2">
      <c r="A299" s="132"/>
      <c r="B299" s="3" t="s">
        <v>779</v>
      </c>
      <c r="C299" s="4" t="s">
        <v>702</v>
      </c>
      <c r="D299" s="4" t="s">
        <v>340</v>
      </c>
      <c r="E299" s="125" t="s">
        <v>780</v>
      </c>
      <c r="F299" s="125" t="s">
        <v>769</v>
      </c>
    </row>
    <row r="300" spans="1:6" x14ac:dyDescent="0.2">
      <c r="A300" s="132"/>
      <c r="B300" s="3" t="s">
        <v>779</v>
      </c>
      <c r="C300" s="4" t="s">
        <v>701</v>
      </c>
      <c r="D300" s="4" t="s">
        <v>340</v>
      </c>
      <c r="E300" s="125" t="s">
        <v>780</v>
      </c>
      <c r="F300" s="125" t="s">
        <v>769</v>
      </c>
    </row>
    <row r="301" spans="1:6" x14ac:dyDescent="0.2">
      <c r="A301" s="132"/>
      <c r="B301" s="3" t="s">
        <v>781</v>
      </c>
      <c r="C301" s="4" t="s">
        <v>703</v>
      </c>
      <c r="D301" s="4" t="s">
        <v>331</v>
      </c>
      <c r="E301" s="125" t="s">
        <v>52</v>
      </c>
      <c r="F301" s="125" t="s">
        <v>741</v>
      </c>
    </row>
    <row r="302" spans="1:6" x14ac:dyDescent="0.2">
      <c r="A302" s="132"/>
      <c r="B302" s="3" t="s">
        <v>781</v>
      </c>
      <c r="C302" s="4" t="s">
        <v>702</v>
      </c>
      <c r="D302" s="4" t="s">
        <v>331</v>
      </c>
      <c r="E302" s="125" t="s">
        <v>52</v>
      </c>
      <c r="F302" s="125" t="s">
        <v>741</v>
      </c>
    </row>
    <row r="303" spans="1:6" x14ac:dyDescent="0.2">
      <c r="A303" s="132"/>
      <c r="B303" s="3" t="s">
        <v>781</v>
      </c>
      <c r="C303" s="4" t="s">
        <v>701</v>
      </c>
      <c r="D303" s="4" t="s">
        <v>313</v>
      </c>
      <c r="E303" s="125" t="s">
        <v>746</v>
      </c>
      <c r="F303" s="125" t="s">
        <v>741</v>
      </c>
    </row>
    <row r="304" spans="1:6" x14ac:dyDescent="0.2">
      <c r="A304" s="132"/>
      <c r="B304" s="133" t="s">
        <v>782</v>
      </c>
      <c r="C304" s="4"/>
      <c r="D304" s="4"/>
      <c r="E304" s="125"/>
      <c r="F304" s="125"/>
    </row>
    <row r="305" spans="1:6" x14ac:dyDescent="0.2">
      <c r="A305" s="132"/>
      <c r="B305" s="3" t="s">
        <v>554</v>
      </c>
      <c r="C305" s="4" t="s">
        <v>703</v>
      </c>
      <c r="D305" s="4" t="s">
        <v>331</v>
      </c>
      <c r="E305" s="125" t="s">
        <v>52</v>
      </c>
      <c r="F305" s="125" t="s">
        <v>741</v>
      </c>
    </row>
    <row r="306" spans="1:6" x14ac:dyDescent="0.2">
      <c r="A306" s="132"/>
      <c r="B306" s="3" t="s">
        <v>554</v>
      </c>
      <c r="C306" s="4" t="s">
        <v>702</v>
      </c>
      <c r="D306" s="4" t="s">
        <v>331</v>
      </c>
      <c r="E306" s="125" t="s">
        <v>52</v>
      </c>
      <c r="F306" s="125" t="s">
        <v>741</v>
      </c>
    </row>
    <row r="307" spans="1:6" x14ac:dyDescent="0.2">
      <c r="A307" s="132"/>
      <c r="B307" s="3" t="s">
        <v>554</v>
      </c>
      <c r="C307" s="4" t="s">
        <v>701</v>
      </c>
      <c r="D307" s="4" t="s">
        <v>331</v>
      </c>
      <c r="E307" s="125" t="s">
        <v>52</v>
      </c>
      <c r="F307" s="125" t="s">
        <v>741</v>
      </c>
    </row>
    <row r="308" spans="1:6" x14ac:dyDescent="0.2">
      <c r="A308" s="132"/>
      <c r="B308" s="3" t="s">
        <v>555</v>
      </c>
      <c r="C308" s="4" t="s">
        <v>703</v>
      </c>
      <c r="D308" s="4" t="s">
        <v>323</v>
      </c>
      <c r="E308" s="125" t="s">
        <v>710</v>
      </c>
      <c r="F308" s="125" t="s">
        <v>725</v>
      </c>
    </row>
    <row r="309" spans="1:6" x14ac:dyDescent="0.2">
      <c r="A309" s="132"/>
      <c r="B309" s="3" t="s">
        <v>555</v>
      </c>
      <c r="C309" s="4" t="s">
        <v>702</v>
      </c>
      <c r="D309" s="4" t="s">
        <v>323</v>
      </c>
      <c r="E309" s="125" t="s">
        <v>710</v>
      </c>
      <c r="F309" s="125" t="s">
        <v>725</v>
      </c>
    </row>
    <row r="310" spans="1:6" x14ac:dyDescent="0.2">
      <c r="A310" s="132"/>
      <c r="B310" s="3" t="s">
        <v>555</v>
      </c>
      <c r="C310" s="4" t="s">
        <v>701</v>
      </c>
      <c r="D310" s="4" t="s">
        <v>323</v>
      </c>
      <c r="E310" s="125" t="s">
        <v>710</v>
      </c>
      <c r="F310" s="125" t="s">
        <v>725</v>
      </c>
    </row>
    <row r="311" spans="1:6" x14ac:dyDescent="0.2">
      <c r="A311" s="132"/>
      <c r="B311" s="3" t="s">
        <v>670</v>
      </c>
      <c r="C311" s="4" t="s">
        <v>703</v>
      </c>
      <c r="D311" s="4" t="s">
        <v>312</v>
      </c>
      <c r="E311" s="125" t="s">
        <v>776</v>
      </c>
      <c r="F311" s="125" t="s">
        <v>777</v>
      </c>
    </row>
    <row r="312" spans="1:6" x14ac:dyDescent="0.2">
      <c r="A312" s="132"/>
      <c r="B312" s="132"/>
      <c r="C312" s="132"/>
      <c r="D312" s="132"/>
      <c r="E312" s="132"/>
      <c r="F312" s="132"/>
    </row>
    <row r="313" spans="1:6" x14ac:dyDescent="0.2">
      <c r="A313" s="132"/>
      <c r="B313" s="133" t="s">
        <v>783</v>
      </c>
      <c r="C313" s="132"/>
      <c r="D313" s="132"/>
      <c r="E313" s="132"/>
      <c r="F313" s="132"/>
    </row>
    <row r="314" spans="1:6" x14ac:dyDescent="0.2">
      <c r="A314" s="4">
        <v>450</v>
      </c>
      <c r="B314" s="3" t="s">
        <v>784</v>
      </c>
      <c r="C314" s="4" t="s">
        <v>703</v>
      </c>
      <c r="D314" s="4" t="s">
        <v>434</v>
      </c>
      <c r="E314" s="3" t="s">
        <v>760</v>
      </c>
      <c r="F314" s="125" t="s">
        <v>728</v>
      </c>
    </row>
    <row r="315" spans="1:6" x14ac:dyDescent="0.2">
      <c r="A315" s="4">
        <v>451</v>
      </c>
      <c r="B315" s="3" t="s">
        <v>785</v>
      </c>
      <c r="C315" s="4" t="s">
        <v>703</v>
      </c>
      <c r="D315" s="4" t="s">
        <v>331</v>
      </c>
      <c r="E315" s="125" t="s">
        <v>52</v>
      </c>
      <c r="F315" s="125" t="s">
        <v>741</v>
      </c>
    </row>
    <row r="316" spans="1:6" x14ac:dyDescent="0.2">
      <c r="A316" s="4">
        <v>451</v>
      </c>
      <c r="B316" s="3" t="s">
        <v>785</v>
      </c>
      <c r="C316" s="4" t="s">
        <v>702</v>
      </c>
      <c r="D316" s="4" t="s">
        <v>331</v>
      </c>
      <c r="E316" s="125" t="s">
        <v>52</v>
      </c>
      <c r="F316" s="125" t="s">
        <v>741</v>
      </c>
    </row>
    <row r="317" spans="1:6" x14ac:dyDescent="0.2">
      <c r="A317" s="4">
        <v>454</v>
      </c>
      <c r="B317" s="3" t="s">
        <v>786</v>
      </c>
      <c r="C317" s="4" t="s">
        <v>703</v>
      </c>
      <c r="D317" s="4" t="s">
        <v>333</v>
      </c>
      <c r="E317" s="125" t="s">
        <v>787</v>
      </c>
      <c r="F317" s="125" t="s">
        <v>741</v>
      </c>
    </row>
    <row r="318" spans="1:6" x14ac:dyDescent="0.2">
      <c r="A318" s="4">
        <v>456</v>
      </c>
      <c r="B318" s="3" t="s">
        <v>788</v>
      </c>
      <c r="C318" s="4" t="s">
        <v>703</v>
      </c>
      <c r="D318" s="4" t="s">
        <v>331</v>
      </c>
      <c r="E318" s="125" t="s">
        <v>52</v>
      </c>
      <c r="F318" s="125" t="s">
        <v>741</v>
      </c>
    </row>
    <row r="319" spans="1:6" x14ac:dyDescent="0.2">
      <c r="A319" s="4">
        <v>456</v>
      </c>
      <c r="B319" s="3" t="s">
        <v>788</v>
      </c>
      <c r="C319" s="4" t="s">
        <v>702</v>
      </c>
      <c r="D319" s="4" t="s">
        <v>331</v>
      </c>
      <c r="E319" s="125" t="s">
        <v>52</v>
      </c>
      <c r="F319" s="125" t="s">
        <v>741</v>
      </c>
    </row>
  </sheetData>
  <pageMargins left="0.7" right="0.7" top="0.75" bottom="0.75" header="0.3" footer="0.3"/>
  <pageSetup scale="74" orientation="landscape" r:id="rId1"/>
  <headerFooter>
    <oddHeader>&amp;RDocket No. 56165
&amp;F
&amp;A
Page &amp;P of &amp;N</oddHeader>
    <oddFooter>&amp;LSponsored by: Earlyne Reynolds</oddFooter>
  </headerFooter>
  <rowBreaks count="5" manualBreakCount="5">
    <brk id="40" max="5" man="1"/>
    <brk id="73" max="16383" man="1"/>
    <brk id="102" max="16383" man="1"/>
    <brk id="265" max="16383" man="1"/>
    <brk id="29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A693"/>
  <sheetViews>
    <sheetView showGridLines="0" zoomScale="110" zoomScaleNormal="110" zoomScaleSheetLayoutView="75" workbookViewId="0">
      <pane xSplit="3" ySplit="13" topLeftCell="D14" activePane="bottomRight" state="frozen"/>
      <selection activeCell="K25" sqref="K25"/>
      <selection pane="topRight" activeCell="K25" sqref="K25"/>
      <selection pane="bottomLeft" activeCell="K25" sqref="K25"/>
      <selection pane="bottomRight" activeCell="C22" sqref="C22"/>
    </sheetView>
  </sheetViews>
  <sheetFormatPr defaultColWidth="3.5703125" defaultRowHeight="12.75" customHeight="1" x14ac:dyDescent="0.2"/>
  <cols>
    <col min="1" max="1" width="2.42578125" style="172" customWidth="1"/>
    <col min="2" max="2" width="6.5703125" style="172" customWidth="1"/>
    <col min="3" max="3" width="38.85546875" style="172" customWidth="1"/>
    <col min="4" max="4" width="10.5703125" style="172" customWidth="1"/>
    <col min="5" max="5" width="12.140625" style="172" bestFit="1" customWidth="1"/>
    <col min="6" max="7" width="12.140625" style="172" customWidth="1"/>
    <col min="8" max="8" width="12.7109375" style="172" bestFit="1" customWidth="1"/>
    <col min="9" max="9" width="1.5703125" style="172" customWidth="1"/>
    <col min="10" max="10" width="12.7109375" style="172" hidden="1" customWidth="1"/>
    <col min="11" max="11" width="12.7109375" style="172" customWidth="1"/>
    <col min="12" max="12" width="11.28515625" style="172" bestFit="1" customWidth="1"/>
    <col min="13" max="13" width="11.85546875" style="172" bestFit="1" customWidth="1"/>
    <col min="14" max="14" width="10.42578125" style="172" bestFit="1" customWidth="1"/>
    <col min="15" max="15" width="7.7109375" style="172" bestFit="1" customWidth="1"/>
    <col min="16" max="16" width="7.85546875" style="172" customWidth="1"/>
    <col min="17" max="18" width="3.5703125" style="172" customWidth="1"/>
    <col min="19" max="19" width="7.42578125" style="172" customWidth="1"/>
    <col min="20" max="20" width="7" style="172" bestFit="1" customWidth="1"/>
    <col min="21" max="16384" width="3.5703125" style="172"/>
  </cols>
  <sheetData>
    <row r="1" spans="1:53" ht="8.25" customHeight="1" x14ac:dyDescent="0.2">
      <c r="A1" s="3"/>
      <c r="B1" s="3"/>
      <c r="C1" s="3"/>
      <c r="D1" s="130">
        <v>1</v>
      </c>
      <c r="E1" s="130">
        <v>2</v>
      </c>
      <c r="F1" s="130"/>
      <c r="G1" s="130"/>
      <c r="H1" s="130">
        <v>7</v>
      </c>
      <c r="I1" s="130"/>
      <c r="J1" s="130">
        <v>3</v>
      </c>
      <c r="K1" s="130">
        <f>J1+1</f>
        <v>4</v>
      </c>
      <c r="L1" s="130">
        <f>K1+1</f>
        <v>5</v>
      </c>
      <c r="M1" s="130">
        <f>L1+1</f>
        <v>6</v>
      </c>
      <c r="N1" s="2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x14ac:dyDescent="0.2">
      <c r="A2" s="3"/>
      <c r="B2" s="3"/>
      <c r="C2" s="3"/>
      <c r="D2" s="3"/>
      <c r="E2" s="3"/>
      <c r="F2" s="3"/>
      <c r="G2" s="3"/>
      <c r="H2" s="5"/>
      <c r="I2" s="5"/>
      <c r="J2" s="5"/>
      <c r="K2" s="5"/>
      <c r="L2" s="5"/>
      <c r="M2" s="5"/>
      <c r="N2" s="2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x14ac:dyDescent="0.2">
      <c r="A3" s="3"/>
      <c r="B3" s="3"/>
      <c r="C3" s="5"/>
      <c r="D3" s="5"/>
      <c r="E3" s="3"/>
      <c r="F3" s="3"/>
      <c r="G3" s="3"/>
      <c r="H3" s="5"/>
      <c r="I3" s="5"/>
      <c r="J3" s="5"/>
      <c r="K3" s="5"/>
      <c r="L3" s="5"/>
      <c r="M3" s="5"/>
      <c r="N3" s="2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x14ac:dyDescent="0.2">
      <c r="A4" s="3"/>
      <c r="B4" s="3" t="s">
        <v>691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x14ac:dyDescent="0.2">
      <c r="A5" s="3"/>
      <c r="B5" s="3" t="s">
        <v>686</v>
      </c>
      <c r="C5" s="3"/>
      <c r="D5" s="3"/>
      <c r="E5" s="3"/>
      <c r="F5" s="3"/>
      <c r="G5" s="3"/>
      <c r="H5" s="3"/>
      <c r="I5" s="5"/>
      <c r="J5" s="5"/>
      <c r="K5" s="5"/>
      <c r="L5" s="5"/>
      <c r="M5" s="5"/>
      <c r="N5" s="2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 x14ac:dyDescent="0.2">
      <c r="A6" s="3"/>
      <c r="B6" s="3" t="s">
        <v>692</v>
      </c>
      <c r="C6" s="3"/>
      <c r="D6" s="3"/>
      <c r="E6" s="3"/>
      <c r="F6" s="3"/>
      <c r="G6" s="3"/>
      <c r="H6" s="5"/>
      <c r="I6" s="5"/>
      <c r="J6" s="5"/>
      <c r="K6" s="38"/>
      <c r="L6" s="5"/>
      <c r="M6" s="5"/>
      <c r="N6" s="2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 x14ac:dyDescent="0.2">
      <c r="A7" s="3"/>
      <c r="B7" s="3" t="s">
        <v>822</v>
      </c>
      <c r="C7" s="3"/>
      <c r="D7" s="3"/>
      <c r="E7" s="3"/>
      <c r="F7" s="3"/>
      <c r="G7" s="3"/>
      <c r="H7" s="5"/>
      <c r="I7" s="5"/>
      <c r="J7" s="5"/>
      <c r="K7" s="5"/>
      <c r="L7" s="5"/>
      <c r="M7" s="5"/>
      <c r="N7" s="2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53" ht="12.95" customHeight="1" x14ac:dyDescent="0.2">
      <c r="A8" s="3"/>
      <c r="B8" s="3" t="s">
        <v>858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2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x14ac:dyDescent="0.2">
      <c r="A10" s="4" t="s">
        <v>0</v>
      </c>
      <c r="B10" s="4" t="s">
        <v>1</v>
      </c>
      <c r="C10" s="4" t="s">
        <v>2</v>
      </c>
      <c r="D10" s="4" t="s">
        <v>644</v>
      </c>
      <c r="E10" s="4" t="s">
        <v>3</v>
      </c>
      <c r="F10" s="4" t="s">
        <v>672</v>
      </c>
      <c r="G10" s="4" t="s">
        <v>646</v>
      </c>
      <c r="H10" s="4" t="s">
        <v>674</v>
      </c>
      <c r="I10" s="4"/>
      <c r="J10" s="4" t="s">
        <v>6</v>
      </c>
      <c r="K10" s="4" t="s">
        <v>6</v>
      </c>
      <c r="L10" s="4" t="s">
        <v>6</v>
      </c>
      <c r="M10" s="4" t="s">
        <v>6</v>
      </c>
      <c r="N10" s="13" t="s">
        <v>14</v>
      </c>
      <c r="O10" s="3"/>
      <c r="P10" s="3" t="s">
        <v>15</v>
      </c>
      <c r="Q10" s="3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x14ac:dyDescent="0.2">
      <c r="A11" s="4" t="s">
        <v>7</v>
      </c>
      <c r="B11" s="4" t="s">
        <v>7</v>
      </c>
      <c r="C11" s="4"/>
      <c r="D11" s="4" t="s">
        <v>352</v>
      </c>
      <c r="E11" s="4" t="s">
        <v>9</v>
      </c>
      <c r="F11" s="4" t="s">
        <v>645</v>
      </c>
      <c r="G11" s="4"/>
      <c r="H11" s="4"/>
      <c r="I11" s="4"/>
      <c r="J11" s="4" t="s">
        <v>10</v>
      </c>
      <c r="K11" s="4" t="s">
        <v>11</v>
      </c>
      <c r="L11" s="4" t="s">
        <v>12</v>
      </c>
      <c r="M11" s="4" t="s">
        <v>13</v>
      </c>
      <c r="N11" s="1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x14ac:dyDescent="0.2">
      <c r="A12" s="34" t="s">
        <v>435</v>
      </c>
      <c r="B12" s="34" t="s">
        <v>436</v>
      </c>
      <c r="C12" s="34" t="s">
        <v>437</v>
      </c>
      <c r="D12" s="34" t="s">
        <v>438</v>
      </c>
      <c r="E12" s="34" t="s">
        <v>439</v>
      </c>
      <c r="F12" s="34"/>
      <c r="G12" s="34"/>
      <c r="H12" s="34" t="s">
        <v>440</v>
      </c>
      <c r="I12" s="34"/>
      <c r="J12" s="34" t="s">
        <v>441</v>
      </c>
      <c r="K12" s="34" t="s">
        <v>442</v>
      </c>
      <c r="L12" s="13" t="s">
        <v>594</v>
      </c>
      <c r="M12" s="34" t="s">
        <v>443</v>
      </c>
      <c r="N12" s="1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x14ac:dyDescent="0.2">
      <c r="A13" s="3"/>
      <c r="B13" s="7" t="s">
        <v>465</v>
      </c>
      <c r="C13" s="3"/>
      <c r="D13" s="3"/>
      <c r="E13" s="49"/>
      <c r="F13" s="49"/>
      <c r="G13" s="49"/>
      <c r="H13" s="50"/>
      <c r="I13" s="51"/>
      <c r="J13" s="50"/>
      <c r="K13" s="50"/>
      <c r="L13" s="52"/>
      <c r="M13" s="52"/>
      <c r="N13" s="13" t="s">
        <v>14</v>
      </c>
      <c r="O13" s="3"/>
      <c r="P13" s="3" t="s">
        <v>15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x14ac:dyDescent="0.2">
      <c r="A14" s="3"/>
      <c r="B14" s="7"/>
      <c r="C14" s="3"/>
      <c r="D14" s="3"/>
      <c r="E14" s="49"/>
      <c r="F14" s="49"/>
      <c r="G14" s="49"/>
      <c r="H14" s="50"/>
      <c r="I14" s="51"/>
      <c r="J14" s="50"/>
      <c r="K14" s="50"/>
      <c r="L14" s="52"/>
      <c r="M14" s="52"/>
      <c r="N14" s="1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x14ac:dyDescent="0.2">
      <c r="A15" s="3"/>
      <c r="B15" s="7" t="s">
        <v>492</v>
      </c>
      <c r="C15" s="3"/>
      <c r="D15" s="3"/>
      <c r="E15" s="49"/>
      <c r="F15" s="49"/>
      <c r="G15" s="49"/>
      <c r="H15" s="50"/>
      <c r="I15" s="51"/>
      <c r="J15" s="50"/>
      <c r="K15" s="50"/>
      <c r="L15" s="52"/>
      <c r="M15" s="52"/>
      <c r="N15" s="1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53" x14ac:dyDescent="0.2">
      <c r="A16" s="3"/>
      <c r="B16" s="3"/>
      <c r="C16" s="3"/>
      <c r="D16" s="3"/>
      <c r="E16" s="49"/>
      <c r="F16" s="49"/>
      <c r="G16" s="49"/>
      <c r="H16" s="50"/>
      <c r="I16" s="51"/>
      <c r="J16" s="50"/>
      <c r="K16" s="50"/>
      <c r="L16" s="52"/>
      <c r="M16" s="52"/>
      <c r="N16" s="1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 ht="9.9499999999999993" customHeight="1" x14ac:dyDescent="0.2">
      <c r="A17" s="3">
        <v>1</v>
      </c>
      <c r="B17" s="48" t="s">
        <v>487</v>
      </c>
      <c r="C17" s="3"/>
      <c r="D17" s="3"/>
      <c r="E17" s="49"/>
      <c r="F17" s="49"/>
      <c r="G17" s="49"/>
      <c r="H17" s="50"/>
      <c r="I17" s="51"/>
      <c r="J17" s="50"/>
      <c r="K17" s="50"/>
      <c r="L17" s="50"/>
      <c r="M17" s="50"/>
      <c r="N17" s="1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9.9499999999999993" customHeight="1" x14ac:dyDescent="0.2">
      <c r="A18" s="3">
        <f>+A17+1</f>
        <v>2</v>
      </c>
      <c r="B18" s="3" t="s">
        <v>478</v>
      </c>
      <c r="C18" s="3"/>
      <c r="D18" s="3"/>
      <c r="E18" s="49"/>
      <c r="F18" s="49"/>
      <c r="G18" s="49"/>
      <c r="H18" s="50"/>
      <c r="I18" s="51"/>
      <c r="J18" s="50"/>
      <c r="K18" s="50"/>
      <c r="L18" s="50"/>
      <c r="M18" s="50"/>
      <c r="N18" s="1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9.9499999999999993" customHeight="1" x14ac:dyDescent="0.2">
      <c r="A19" s="3">
        <f t="shared" ref="A19:A53" si="0">+A18+1</f>
        <v>3</v>
      </c>
      <c r="B19" s="3"/>
      <c r="C19" s="3" t="s">
        <v>467</v>
      </c>
      <c r="D19" s="3"/>
      <c r="E19" s="53"/>
      <c r="F19" s="53">
        <f>+H19</f>
        <v>156067613.70000002</v>
      </c>
      <c r="G19" s="53">
        <f>+H19-F19</f>
        <v>0</v>
      </c>
      <c r="H19" s="50">
        <f>SUM(J19:M19)</f>
        <v>156067613.70000002</v>
      </c>
      <c r="I19" s="51"/>
      <c r="J19" s="50">
        <f>+J96</f>
        <v>0</v>
      </c>
      <c r="K19" s="50">
        <f>+K96</f>
        <v>152369039.81184542</v>
      </c>
      <c r="L19" s="50">
        <f>+L96</f>
        <v>3698361.6595619218</v>
      </c>
      <c r="M19" s="50">
        <f>+M96</f>
        <v>212.22859267176671</v>
      </c>
      <c r="N19" s="2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9.9499999999999993" customHeight="1" x14ac:dyDescent="0.2">
      <c r="A20" s="3">
        <f t="shared" si="0"/>
        <v>4</v>
      </c>
      <c r="B20" s="3"/>
      <c r="C20" s="3" t="s">
        <v>321</v>
      </c>
      <c r="D20" s="3"/>
      <c r="E20" s="49"/>
      <c r="F20" s="53">
        <f>+H20</f>
        <v>0</v>
      </c>
      <c r="G20" s="53">
        <f>+H20-F20</f>
        <v>0</v>
      </c>
      <c r="H20" s="50">
        <f>SUM(J20:M20)</f>
        <v>0</v>
      </c>
      <c r="I20" s="51"/>
      <c r="J20" s="51">
        <f>+J111</f>
        <v>0</v>
      </c>
      <c r="K20" s="51">
        <f>+K111</f>
        <v>0</v>
      </c>
      <c r="L20" s="51">
        <f>+L111</f>
        <v>0</v>
      </c>
      <c r="M20" s="51">
        <f>+M111</f>
        <v>0</v>
      </c>
      <c r="N20" s="2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9.9499999999999993" customHeight="1" x14ac:dyDescent="0.2">
      <c r="A21" s="3">
        <f t="shared" si="0"/>
        <v>5</v>
      </c>
      <c r="B21" s="3"/>
      <c r="C21" s="3" t="s">
        <v>176</v>
      </c>
      <c r="D21" s="3"/>
      <c r="E21" s="53"/>
      <c r="F21" s="53">
        <f>+H21</f>
        <v>5742458872.1283445</v>
      </c>
      <c r="G21" s="53">
        <f>+H21-F21</f>
        <v>0</v>
      </c>
      <c r="H21" s="50">
        <f>SUM(J21:M21)</f>
        <v>5742458872.1283445</v>
      </c>
      <c r="I21" s="54"/>
      <c r="J21" s="54">
        <f>+J147</f>
        <v>0</v>
      </c>
      <c r="K21" s="54">
        <f>+K147</f>
        <v>5530937010.1372633</v>
      </c>
      <c r="L21" s="54">
        <f>+L147</f>
        <v>211521861.99108091</v>
      </c>
      <c r="M21" s="54">
        <f>+M147</f>
        <v>0</v>
      </c>
      <c r="N21" s="2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9.9499999999999993" customHeight="1" x14ac:dyDescent="0.2">
      <c r="A22" s="3">
        <f t="shared" si="0"/>
        <v>6</v>
      </c>
      <c r="B22" s="3"/>
      <c r="C22" s="3" t="s">
        <v>468</v>
      </c>
      <c r="D22" s="3"/>
      <c r="E22" s="49"/>
      <c r="F22" s="53">
        <f>+H22</f>
        <v>666056699.43797612</v>
      </c>
      <c r="G22" s="53">
        <f>+H22-F22</f>
        <v>0</v>
      </c>
      <c r="H22" s="50">
        <f>SUM(J22:M22)</f>
        <v>666056699.43797612</v>
      </c>
      <c r="I22" s="54"/>
      <c r="J22" s="54">
        <f>+J162+J168</f>
        <v>0</v>
      </c>
      <c r="K22" s="54">
        <f>+K162+K168</f>
        <v>651539327.46740794</v>
      </c>
      <c r="L22" s="54">
        <f>+L162+L168</f>
        <v>9067590.5497018248</v>
      </c>
      <c r="M22" s="54">
        <f>+M162+M168</f>
        <v>5449781.4208663153</v>
      </c>
      <c r="N22" s="2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9.9499999999999993" customHeight="1" x14ac:dyDescent="0.2">
      <c r="A23" s="3">
        <f t="shared" si="0"/>
        <v>7</v>
      </c>
      <c r="B23" s="3"/>
      <c r="C23" s="3"/>
      <c r="D23" s="3"/>
      <c r="E23" s="49"/>
      <c r="F23" s="49"/>
      <c r="G23" s="49"/>
      <c r="H23" s="54"/>
      <c r="I23" s="54"/>
      <c r="J23" s="54"/>
      <c r="K23" s="54"/>
      <c r="L23" s="54"/>
      <c r="M23" s="54"/>
      <c r="N23" s="2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9.9499999999999993" customHeight="1" x14ac:dyDescent="0.2">
      <c r="A24" s="3">
        <f t="shared" si="0"/>
        <v>8</v>
      </c>
      <c r="B24" s="3" t="s">
        <v>479</v>
      </c>
      <c r="C24" s="3"/>
      <c r="D24" s="3"/>
      <c r="E24" s="49"/>
      <c r="F24" s="53">
        <f>SUM(F19:F23)</f>
        <v>6564583185.2663202</v>
      </c>
      <c r="G24" s="53">
        <f>SUM(G19:G23)</f>
        <v>0</v>
      </c>
      <c r="H24" s="50">
        <f>SUM(J24:M24)</f>
        <v>6564583185.2663212</v>
      </c>
      <c r="I24" s="54"/>
      <c r="J24" s="54">
        <f>SUM(J19:J23)</f>
        <v>0</v>
      </c>
      <c r="K24" s="54">
        <f>SUM(K19:K23)</f>
        <v>6334845377.4165173</v>
      </c>
      <c r="L24" s="54">
        <f>SUM(L19:L23)</f>
        <v>224287814.20034468</v>
      </c>
      <c r="M24" s="54">
        <f>SUM(M19:M23)</f>
        <v>5449993.6494589867</v>
      </c>
      <c r="N24" s="2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9.9499999999999993" customHeight="1" x14ac:dyDescent="0.2">
      <c r="A25" s="3">
        <f t="shared" si="0"/>
        <v>9</v>
      </c>
      <c r="B25" s="3"/>
      <c r="C25" s="3"/>
      <c r="D25" s="3"/>
      <c r="E25" s="49"/>
      <c r="F25" s="49"/>
      <c r="G25" s="49"/>
      <c r="H25" s="50"/>
      <c r="I25" s="54"/>
      <c r="J25" s="54"/>
      <c r="K25" s="54"/>
      <c r="L25" s="54"/>
      <c r="M25" s="54"/>
      <c r="N25" s="2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9.9499999999999993" customHeight="1" x14ac:dyDescent="0.2">
      <c r="A26" s="3">
        <f t="shared" si="0"/>
        <v>10</v>
      </c>
      <c r="B26" s="3"/>
      <c r="C26" s="3" t="s">
        <v>480</v>
      </c>
      <c r="D26" s="3"/>
      <c r="E26" s="49"/>
      <c r="F26" s="53">
        <f>+H26</f>
        <v>-1672599551.4004097</v>
      </c>
      <c r="G26" s="53">
        <f>+H26-F26</f>
        <v>0</v>
      </c>
      <c r="H26" s="50">
        <f>SUM(J26:M26)</f>
        <v>-1672599551.4004097</v>
      </c>
      <c r="I26" s="54"/>
      <c r="J26" s="54">
        <f>-J247</f>
        <v>0</v>
      </c>
      <c r="K26" s="54">
        <f>-K247</f>
        <v>-1557757541.0002408</v>
      </c>
      <c r="L26" s="54">
        <f>-L247</f>
        <v>-113811864.56270513</v>
      </c>
      <c r="M26" s="54">
        <f>-M247</f>
        <v>-1030145.8374639419</v>
      </c>
      <c r="N26" s="2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9.9499999999999993" customHeight="1" x14ac:dyDescent="0.2">
      <c r="A27" s="3">
        <f t="shared" si="0"/>
        <v>11</v>
      </c>
      <c r="B27" s="3"/>
      <c r="C27" s="3"/>
      <c r="D27" s="3"/>
      <c r="E27" s="49"/>
      <c r="F27" s="49"/>
      <c r="G27" s="49"/>
      <c r="H27" s="50"/>
      <c r="I27" s="54"/>
      <c r="J27" s="54"/>
      <c r="K27" s="54"/>
      <c r="L27" s="54"/>
      <c r="M27" s="54"/>
      <c r="N27" s="2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9.9499999999999993" customHeight="1" x14ac:dyDescent="0.2">
      <c r="A28" s="3">
        <f t="shared" si="0"/>
        <v>12</v>
      </c>
      <c r="B28" s="3" t="s">
        <v>481</v>
      </c>
      <c r="C28" s="3"/>
      <c r="D28" s="3"/>
      <c r="E28" s="49"/>
      <c r="F28" s="53">
        <f>SUM(F24:F26)</f>
        <v>4891983633.8659105</v>
      </c>
      <c r="G28" s="53">
        <f>SUM(G24:G26)</f>
        <v>0</v>
      </c>
      <c r="H28" s="50">
        <f>SUM(J28:M28)</f>
        <v>4891983633.8659124</v>
      </c>
      <c r="I28" s="54"/>
      <c r="J28" s="54">
        <f>+J24+J26</f>
        <v>0</v>
      </c>
      <c r="K28" s="54">
        <f>+K24+K26</f>
        <v>4777087836.4162769</v>
      </c>
      <c r="L28" s="54">
        <f>+L24+L26</f>
        <v>110475949.63763955</v>
      </c>
      <c r="M28" s="54">
        <f>+M24+M26</f>
        <v>4419847.8119950444</v>
      </c>
      <c r="N28" s="2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9.9499999999999993" customHeight="1" x14ac:dyDescent="0.2">
      <c r="A29" s="3">
        <f t="shared" si="0"/>
        <v>13</v>
      </c>
      <c r="B29" s="3"/>
      <c r="C29" s="3"/>
      <c r="D29" s="3"/>
      <c r="E29" s="49"/>
      <c r="F29" s="49"/>
      <c r="G29" s="49"/>
      <c r="H29" s="54"/>
      <c r="I29" s="54"/>
      <c r="J29" s="54"/>
      <c r="K29" s="54"/>
      <c r="L29" s="54"/>
      <c r="M29" s="54"/>
      <c r="N29" s="2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9.9499999999999993" customHeight="1" x14ac:dyDescent="0.2">
      <c r="A30" s="3">
        <f t="shared" si="0"/>
        <v>14</v>
      </c>
      <c r="B30" s="3" t="s">
        <v>482</v>
      </c>
      <c r="C30" s="3"/>
      <c r="D30" s="3"/>
      <c r="E30" s="49"/>
      <c r="F30" s="53">
        <f t="shared" ref="F30:F35" si="1">+H30</f>
        <v>118035459.57461536</v>
      </c>
      <c r="G30" s="53">
        <f t="shared" ref="G30:G35" si="2">+H30-F30</f>
        <v>0</v>
      </c>
      <c r="H30" s="50">
        <f t="shared" ref="H30:H36" si="3">SUM(J30:M30)</f>
        <v>118035459.57461536</v>
      </c>
      <c r="I30" s="54"/>
      <c r="J30" s="54">
        <f>+J266</f>
        <v>0</v>
      </c>
      <c r="K30" s="54">
        <f>+K266</f>
        <v>115238456.01426548</v>
      </c>
      <c r="L30" s="54">
        <f>+L266</f>
        <v>2797003.5603498793</v>
      </c>
      <c r="M30" s="54">
        <f>+M266</f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27"/>
    </row>
    <row r="31" spans="1:53" ht="9.9499999999999993" customHeight="1" x14ac:dyDescent="0.2">
      <c r="A31" s="3">
        <f t="shared" si="0"/>
        <v>15</v>
      </c>
      <c r="B31" s="3" t="s">
        <v>483</v>
      </c>
      <c r="C31" s="3"/>
      <c r="D31" s="3"/>
      <c r="E31" s="49"/>
      <c r="F31" s="53">
        <f t="shared" si="1"/>
        <v>-16937326.82778747</v>
      </c>
      <c r="G31" s="53">
        <f t="shared" si="2"/>
        <v>0</v>
      </c>
      <c r="H31" s="50">
        <f t="shared" si="3"/>
        <v>-16937326.82778747</v>
      </c>
      <c r="I31" s="55"/>
      <c r="J31" s="55">
        <f>+J270</f>
        <v>0</v>
      </c>
      <c r="K31" s="55">
        <f>+K270</f>
        <v>-16416705.709646022</v>
      </c>
      <c r="L31" s="55">
        <f>+L270</f>
        <v>-467377.97637930699</v>
      </c>
      <c r="M31" s="55">
        <f>+M270</f>
        <v>-53243.141762141597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27"/>
    </row>
    <row r="32" spans="1:53" ht="9.9499999999999993" customHeight="1" x14ac:dyDescent="0.2">
      <c r="A32" s="3">
        <f t="shared" si="0"/>
        <v>16</v>
      </c>
      <c r="B32" s="3" t="s">
        <v>484</v>
      </c>
      <c r="C32" s="3"/>
      <c r="D32" s="3"/>
      <c r="E32" s="49"/>
      <c r="F32" s="53">
        <f t="shared" si="1"/>
        <v>80201586.689826593</v>
      </c>
      <c r="G32" s="53">
        <f t="shared" si="2"/>
        <v>0</v>
      </c>
      <c r="H32" s="50">
        <f t="shared" si="3"/>
        <v>80201586.689826593</v>
      </c>
      <c r="I32" s="55"/>
      <c r="J32" s="55">
        <f>+J276</f>
        <v>0</v>
      </c>
      <c r="K32" s="55">
        <f>+K276</f>
        <v>57619309.015125185</v>
      </c>
      <c r="L32" s="55">
        <f>+L276</f>
        <v>12780986.103487629</v>
      </c>
      <c r="M32" s="55">
        <f>+M276</f>
        <v>9801291.5712137818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27"/>
    </row>
    <row r="33" spans="1:53" ht="9.9499999999999993" customHeight="1" x14ac:dyDescent="0.2">
      <c r="A33" s="3">
        <f t="shared" si="0"/>
        <v>17</v>
      </c>
      <c r="B33" s="3" t="s">
        <v>485</v>
      </c>
      <c r="C33" s="3"/>
      <c r="D33" s="3"/>
      <c r="E33" s="49"/>
      <c r="F33" s="53">
        <f t="shared" si="1"/>
        <v>-252065334.62236392</v>
      </c>
      <c r="G33" s="53">
        <f t="shared" si="2"/>
        <v>0</v>
      </c>
      <c r="H33" s="50">
        <f t="shared" si="3"/>
        <v>-252065334.62236392</v>
      </c>
      <c r="I33" s="55"/>
      <c r="J33" s="55">
        <f>+J253+J259+J292</f>
        <v>0</v>
      </c>
      <c r="K33" s="55">
        <f>+K253+K259+K292</f>
        <v>-259720593.73587534</v>
      </c>
      <c r="L33" s="55">
        <f>+L253+L259+L292</f>
        <v>7523261.755070556</v>
      </c>
      <c r="M33" s="55">
        <f>+M253+M259+M292</f>
        <v>131997.35844083762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27"/>
    </row>
    <row r="34" spans="1:53" ht="9.9499999999999993" customHeight="1" x14ac:dyDescent="0.2">
      <c r="A34" s="3">
        <f t="shared" si="0"/>
        <v>18</v>
      </c>
      <c r="B34" s="3" t="s">
        <v>486</v>
      </c>
      <c r="C34" s="3"/>
      <c r="D34" s="3"/>
      <c r="E34" s="49"/>
      <c r="F34" s="53">
        <f t="shared" si="1"/>
        <v>-572723128.86265326</v>
      </c>
      <c r="G34" s="53">
        <f t="shared" si="2"/>
        <v>0</v>
      </c>
      <c r="H34" s="50">
        <f t="shared" si="3"/>
        <v>-572723128.86265326</v>
      </c>
      <c r="I34" s="55"/>
      <c r="J34" s="55">
        <f>+J306</f>
        <v>0</v>
      </c>
      <c r="K34" s="55">
        <f>+K306</f>
        <v>-555902745.93647015</v>
      </c>
      <c r="L34" s="55">
        <f>+L306</f>
        <v>-15875664.841461696</v>
      </c>
      <c r="M34" s="55">
        <f>+M306</f>
        <v>-944718.08472143195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27"/>
    </row>
    <row r="35" spans="1:53" ht="9.9499999999999993" customHeight="1" x14ac:dyDescent="0.2">
      <c r="A35" s="3">
        <f t="shared" si="0"/>
        <v>19</v>
      </c>
      <c r="B35" s="3" t="s">
        <v>134</v>
      </c>
      <c r="C35" s="3"/>
      <c r="D35" s="3"/>
      <c r="E35" s="49"/>
      <c r="F35" s="53">
        <f t="shared" si="1"/>
        <v>-42130</v>
      </c>
      <c r="G35" s="53">
        <f t="shared" si="2"/>
        <v>0</v>
      </c>
      <c r="H35" s="50">
        <f t="shared" si="3"/>
        <v>-42130</v>
      </c>
      <c r="I35" s="54"/>
      <c r="J35" s="54"/>
      <c r="K35" s="54">
        <f>K271</f>
        <v>-42130</v>
      </c>
      <c r="L35" s="54">
        <f>L271</f>
        <v>0</v>
      </c>
      <c r="M35" s="54">
        <f>M271</f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27"/>
    </row>
    <row r="36" spans="1:53" s="173" customFormat="1" ht="9.9499999999999993" customHeight="1" x14ac:dyDescent="0.2">
      <c r="A36" s="3">
        <f t="shared" si="0"/>
        <v>20</v>
      </c>
      <c r="B36" s="3" t="s">
        <v>138</v>
      </c>
      <c r="C36" s="78"/>
      <c r="D36" s="3"/>
      <c r="E36" s="49"/>
      <c r="F36" s="53">
        <f>SUM(F28:F35)</f>
        <v>4248452759.8175483</v>
      </c>
      <c r="G36" s="53">
        <f>SUM(G28:G34)</f>
        <v>0</v>
      </c>
      <c r="H36" s="50">
        <f t="shared" si="3"/>
        <v>4248452759.8175488</v>
      </c>
      <c r="I36" s="54"/>
      <c r="J36" s="54">
        <f>SUM(J28:J35)</f>
        <v>0</v>
      </c>
      <c r="K36" s="54">
        <f>SUM(K28:K35)</f>
        <v>4117863426.0636759</v>
      </c>
      <c r="L36" s="54">
        <f>SUM(L28:L35)</f>
        <v>117234158.23870662</v>
      </c>
      <c r="M36" s="54">
        <f>SUM(M28:M35)</f>
        <v>13355175.515166091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27"/>
    </row>
    <row r="37" spans="1:53" ht="9.9499999999999993" customHeight="1" x14ac:dyDescent="0.2">
      <c r="A37" s="3">
        <f t="shared" si="0"/>
        <v>21</v>
      </c>
      <c r="B37" s="3"/>
      <c r="C37" s="78"/>
      <c r="D37" s="3"/>
      <c r="E37" s="49"/>
      <c r="F37" s="49"/>
      <c r="G37" s="49"/>
      <c r="H37" s="54"/>
      <c r="I37" s="54"/>
      <c r="J37" s="54"/>
      <c r="K37" s="54"/>
      <c r="L37" s="54"/>
      <c r="M37" s="54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27"/>
    </row>
    <row r="38" spans="1:53" x14ac:dyDescent="0.2">
      <c r="A38" s="3">
        <f t="shared" si="0"/>
        <v>22</v>
      </c>
      <c r="B38" s="3"/>
      <c r="C38" s="78"/>
      <c r="D38" s="3"/>
      <c r="E38" s="49"/>
      <c r="F38" s="49"/>
      <c r="G38" s="49"/>
      <c r="H38" s="54"/>
      <c r="I38" s="54"/>
      <c r="J38" s="54"/>
      <c r="K38" s="54"/>
      <c r="L38" s="54"/>
      <c r="M38" s="54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27"/>
    </row>
    <row r="39" spans="1:53" ht="9.9499999999999993" customHeight="1" x14ac:dyDescent="0.2">
      <c r="A39" s="3">
        <f t="shared" si="0"/>
        <v>23</v>
      </c>
      <c r="B39" s="3" t="s">
        <v>493</v>
      </c>
      <c r="C39" s="78"/>
      <c r="D39" s="3"/>
      <c r="E39" s="49"/>
      <c r="F39" s="53">
        <f>+H39</f>
        <v>581735869.09592366</v>
      </c>
      <c r="G39" s="53">
        <f>+H39-F39</f>
        <v>0</v>
      </c>
      <c r="H39" s="50">
        <f>SUM(J39:M39)</f>
        <v>581735869.09592366</v>
      </c>
      <c r="I39" s="54"/>
      <c r="J39" s="54"/>
      <c r="K39" s="54">
        <f>+'[2]II-H-4.1 Functions'!$F$213</f>
        <v>505557423.04040062</v>
      </c>
      <c r="L39" s="54">
        <f>+'[2]II-H-4.1 Functions'!$E$213</f>
        <v>56905339.492062181</v>
      </c>
      <c r="M39" s="54">
        <f>+'[2]II-H-4.1 Functions'!$D$213</f>
        <v>19273106.563460872</v>
      </c>
      <c r="N39" s="9" t="s">
        <v>805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27"/>
    </row>
    <row r="40" spans="1:53" ht="9.9499999999999993" customHeight="1" x14ac:dyDescent="0.2">
      <c r="A40" s="3">
        <f t="shared" si="0"/>
        <v>24</v>
      </c>
      <c r="B40" s="3" t="s">
        <v>494</v>
      </c>
      <c r="C40" s="78"/>
      <c r="D40" s="3"/>
      <c r="E40" s="49"/>
      <c r="F40" s="53">
        <f>+H40</f>
        <v>26846753.091000002</v>
      </c>
      <c r="G40" s="53">
        <f>+H40-F40</f>
        <v>0</v>
      </c>
      <c r="H40" s="50">
        <f>SUM(J40:M40)</f>
        <v>26846753.091000002</v>
      </c>
      <c r="I40" s="54"/>
      <c r="J40" s="54">
        <f>+J664</f>
        <v>0</v>
      </c>
      <c r="K40" s="54">
        <f>+K664</f>
        <v>25990115.611000001</v>
      </c>
      <c r="L40" s="54">
        <f>+L664</f>
        <v>856637.48</v>
      </c>
      <c r="M40" s="54">
        <f>+M664</f>
        <v>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27"/>
    </row>
    <row r="41" spans="1:53" ht="9.9499999999999993" customHeight="1" x14ac:dyDescent="0.2">
      <c r="A41" s="3">
        <f t="shared" si="0"/>
        <v>25</v>
      </c>
      <c r="B41" s="3" t="s">
        <v>495</v>
      </c>
      <c r="C41" s="78"/>
      <c r="D41" s="3"/>
      <c r="E41" s="49"/>
      <c r="F41" s="53">
        <f>+H41</f>
        <v>0</v>
      </c>
      <c r="G41" s="53">
        <f>+H41-F41</f>
        <v>0</v>
      </c>
      <c r="H41" s="50">
        <f>SUM(J41:M41)</f>
        <v>0</v>
      </c>
      <c r="I41" s="54"/>
      <c r="J41" s="54">
        <f>+J665</f>
        <v>0</v>
      </c>
      <c r="K41" s="54">
        <v>0</v>
      </c>
      <c r="L41" s="54">
        <f>+L665</f>
        <v>0</v>
      </c>
      <c r="M41" s="54">
        <f>+M665</f>
        <v>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27"/>
    </row>
    <row r="42" spans="1:53" ht="9.9499999999999993" customHeight="1" x14ac:dyDescent="0.2">
      <c r="A42" s="3">
        <f t="shared" si="0"/>
        <v>26</v>
      </c>
      <c r="B42" s="3" t="s">
        <v>517</v>
      </c>
      <c r="C42" s="78"/>
      <c r="D42" s="3"/>
      <c r="E42" s="49"/>
      <c r="F42" s="53">
        <f>+H42</f>
        <v>0</v>
      </c>
      <c r="G42" s="53">
        <f>+H42-F42</f>
        <v>0</v>
      </c>
      <c r="H42" s="50">
        <f>SUM(J42:M42)</f>
        <v>0</v>
      </c>
      <c r="I42" s="54"/>
      <c r="J42" s="54">
        <v>0</v>
      </c>
      <c r="K42" s="54"/>
      <c r="L42" s="54">
        <v>0</v>
      </c>
      <c r="M42" s="54">
        <v>0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27"/>
    </row>
    <row r="43" spans="1:53" ht="9.9499999999999993" customHeight="1" x14ac:dyDescent="0.2">
      <c r="A43" s="3">
        <f t="shared" si="0"/>
        <v>27</v>
      </c>
      <c r="B43" s="3" t="s">
        <v>496</v>
      </c>
      <c r="C43" s="78"/>
      <c r="D43" s="3"/>
      <c r="E43" s="53"/>
      <c r="F43" s="53">
        <f>SUM(F39:F42)</f>
        <v>608582622.18692362</v>
      </c>
      <c r="G43" s="53">
        <f>SUM(G39:G42)</f>
        <v>0</v>
      </c>
      <c r="H43" s="50">
        <f>SUM(J43:M43)</f>
        <v>608582622.18692362</v>
      </c>
      <c r="I43" s="54"/>
      <c r="J43" s="54">
        <f>SUM(J39:J42)</f>
        <v>0</v>
      </c>
      <c r="K43" s="54">
        <f>SUM(K39:K42)</f>
        <v>531547538.65140063</v>
      </c>
      <c r="L43" s="54">
        <f>SUM(L39:L42)</f>
        <v>57761976.972062178</v>
      </c>
      <c r="M43" s="54">
        <f>SUM(M39:M42)</f>
        <v>19273106.563460872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27"/>
    </row>
    <row r="44" spans="1:53" ht="9.9499999999999993" customHeight="1" x14ac:dyDescent="0.2">
      <c r="A44" s="3">
        <f t="shared" si="0"/>
        <v>28</v>
      </c>
      <c r="B44" s="3"/>
      <c r="C44" s="78"/>
      <c r="D44" s="3"/>
      <c r="E44" s="49"/>
      <c r="F44" s="49"/>
      <c r="G44" s="49"/>
      <c r="H44" s="54"/>
      <c r="I44" s="54"/>
      <c r="J44" s="54"/>
      <c r="K44" s="54"/>
      <c r="L44" s="54"/>
      <c r="M44" s="54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27"/>
    </row>
    <row r="45" spans="1:53" ht="9.9499999999999993" customHeight="1" x14ac:dyDescent="0.2">
      <c r="A45" s="3">
        <f t="shared" si="0"/>
        <v>29</v>
      </c>
      <c r="B45" s="3" t="s">
        <v>16</v>
      </c>
      <c r="C45" s="78"/>
      <c r="D45" s="3"/>
      <c r="E45" s="49"/>
      <c r="F45" s="53">
        <f>+H45</f>
        <v>201331348.60036153</v>
      </c>
      <c r="G45" s="53">
        <f>+H45-F45</f>
        <v>0</v>
      </c>
      <c r="H45" s="50">
        <f t="shared" ref="H45:H50" si="4">SUM(J45:M45)</f>
        <v>201331348.60036153</v>
      </c>
      <c r="I45" s="54"/>
      <c r="J45" s="54">
        <f>+J429</f>
        <v>0</v>
      </c>
      <c r="K45" s="54">
        <f>+K429</f>
        <v>160396737.2770116</v>
      </c>
      <c r="L45" s="54">
        <f>+L429</f>
        <v>24275502.986472659</v>
      </c>
      <c r="M45" s="54">
        <f>+M429</f>
        <v>16659108.336877264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27"/>
    </row>
    <row r="46" spans="1:53" ht="9.9499999999999993" customHeight="1" x14ac:dyDescent="0.2">
      <c r="A46" s="3">
        <f t="shared" si="0"/>
        <v>30</v>
      </c>
      <c r="B46" s="3" t="s">
        <v>18</v>
      </c>
      <c r="C46" s="78"/>
      <c r="D46" s="3"/>
      <c r="E46" s="49"/>
      <c r="F46" s="53">
        <f>+H46</f>
        <v>222732095.21411851</v>
      </c>
      <c r="G46" s="53">
        <f>+H46-F46</f>
        <v>0</v>
      </c>
      <c r="H46" s="50">
        <f t="shared" si="4"/>
        <v>222732095.21411851</v>
      </c>
      <c r="I46" s="54"/>
      <c r="J46" s="54">
        <f>+J597</f>
        <v>0</v>
      </c>
      <c r="K46" s="54">
        <f>+K597</f>
        <v>208304527.77060381</v>
      </c>
      <c r="L46" s="54">
        <f>+L597</f>
        <v>14340683.430836225</v>
      </c>
      <c r="M46" s="54">
        <f>+M597</f>
        <v>86884.012678476633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27"/>
    </row>
    <row r="47" spans="1:53" ht="9.9499999999999993" customHeight="1" x14ac:dyDescent="0.2">
      <c r="A47" s="3">
        <f t="shared" si="0"/>
        <v>31</v>
      </c>
      <c r="B47" s="3" t="s">
        <v>19</v>
      </c>
      <c r="C47" s="78"/>
      <c r="D47" s="3"/>
      <c r="E47" s="49"/>
      <c r="F47" s="53">
        <f>+H47</f>
        <v>114753188.38974544</v>
      </c>
      <c r="G47" s="53">
        <f>+H47-F47</f>
        <v>0</v>
      </c>
      <c r="H47" s="50">
        <f t="shared" si="4"/>
        <v>114753188.38974544</v>
      </c>
      <c r="I47" s="54"/>
      <c r="J47" s="54">
        <f>+J611</f>
        <v>0</v>
      </c>
      <c r="K47" s="54">
        <f>+K611</f>
        <v>111190107.17414141</v>
      </c>
      <c r="L47" s="54">
        <f>+L611</f>
        <v>2595480.6798721594</v>
      </c>
      <c r="M47" s="54">
        <f>+M611</f>
        <v>967600.53573187918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27"/>
    </row>
    <row r="48" spans="1:53" ht="9.9499999999999993" customHeight="1" x14ac:dyDescent="0.2">
      <c r="A48" s="3">
        <f t="shared" si="0"/>
        <v>32</v>
      </c>
      <c r="B48" s="3" t="s">
        <v>488</v>
      </c>
      <c r="C48" s="78"/>
      <c r="D48" s="3"/>
      <c r="E48" s="49"/>
      <c r="F48" s="53">
        <f ca="1">+H48</f>
        <v>-9476009.6814382225</v>
      </c>
      <c r="G48" s="53">
        <f ca="1">+H48-F48</f>
        <v>0</v>
      </c>
      <c r="H48" s="50">
        <f t="shared" ca="1" si="4"/>
        <v>-9476009.6814382244</v>
      </c>
      <c r="I48" s="54"/>
      <c r="J48" s="54">
        <f ca="1">+((J52+SUM(J626:J633))*J638)+SUM(J643:J645)</f>
        <v>0</v>
      </c>
      <c r="K48" s="54">
        <f ca="1">+((K52+SUM(K626:K634))*K638)+SUM(K643:K646)</f>
        <v>-12574044.927744618</v>
      </c>
      <c r="L48" s="54">
        <f ca="1">+((L52+SUM(L626:L634))*L638)+SUM(L643:L645)</f>
        <v>2829547.960800786</v>
      </c>
      <c r="M48" s="54">
        <f ca="1">+((M52+SUM(M626:M634))*M638)+SUM(M643:M645)</f>
        <v>268487.28550561034</v>
      </c>
      <c r="N48" s="9"/>
      <c r="O48" s="54">
        <f>+((O52+SUM(O626:O633))*O638)+SUM(O643:O645)</f>
        <v>0</v>
      </c>
      <c r="P48" s="54">
        <f>+((P52+SUM(P626:P633))*P638)+SUM(P643:P645)</f>
        <v>0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27"/>
    </row>
    <row r="49" spans="1:53" ht="9.9499999999999993" customHeight="1" x14ac:dyDescent="0.2">
      <c r="A49" s="3">
        <f t="shared" si="0"/>
        <v>33</v>
      </c>
      <c r="B49" s="3" t="s">
        <v>518</v>
      </c>
      <c r="C49" s="78"/>
      <c r="D49" s="3"/>
      <c r="E49" s="49"/>
      <c r="F49" s="53">
        <f>+H49</f>
        <v>0</v>
      </c>
      <c r="G49" s="53">
        <f>+H49-F49</f>
        <v>0</v>
      </c>
      <c r="H49" s="50">
        <f t="shared" si="4"/>
        <v>0</v>
      </c>
      <c r="I49" s="54"/>
      <c r="J49" s="54">
        <f>+J654</f>
        <v>0</v>
      </c>
      <c r="K49" s="54">
        <f>+K654</f>
        <v>0</v>
      </c>
      <c r="L49" s="54">
        <f>+L654</f>
        <v>0</v>
      </c>
      <c r="M49" s="54">
        <f>+M654</f>
        <v>0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27"/>
    </row>
    <row r="50" spans="1:53" ht="9.9499999999999993" customHeight="1" x14ac:dyDescent="0.2">
      <c r="A50" s="3">
        <f t="shared" si="0"/>
        <v>34</v>
      </c>
      <c r="B50" s="3" t="s">
        <v>497</v>
      </c>
      <c r="C50" s="78"/>
      <c r="D50" s="3"/>
      <c r="E50" s="53"/>
      <c r="F50" s="53">
        <f ca="1">SUM(F45:F49)</f>
        <v>529340622.52278733</v>
      </c>
      <c r="G50" s="53">
        <f ca="1">SUM(G45:G49)</f>
        <v>0</v>
      </c>
      <c r="H50" s="50">
        <f t="shared" ca="1" si="4"/>
        <v>529340622.52278727</v>
      </c>
      <c r="I50" s="54"/>
      <c r="J50" s="54">
        <f ca="1">SUM(J45:J49)</f>
        <v>0</v>
      </c>
      <c r="K50" s="54">
        <f ca="1">SUM(K45:K49)</f>
        <v>467317327.29401219</v>
      </c>
      <c r="L50" s="54">
        <f ca="1">SUM(L45:L49)</f>
        <v>44041215.057981834</v>
      </c>
      <c r="M50" s="54">
        <f ca="1">SUM(M45:M49)</f>
        <v>17982080.170793232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27"/>
    </row>
    <row r="51" spans="1:53" ht="9.9499999999999993" customHeight="1" x14ac:dyDescent="0.2">
      <c r="A51" s="3">
        <f t="shared" si="0"/>
        <v>35</v>
      </c>
      <c r="B51" s="3"/>
      <c r="C51" s="78"/>
      <c r="D51" s="3"/>
      <c r="E51" s="49"/>
      <c r="F51" s="49"/>
      <c r="G51" s="49"/>
      <c r="H51" s="54"/>
      <c r="I51" s="54"/>
      <c r="J51" s="54"/>
      <c r="K51" s="54"/>
      <c r="L51" s="54"/>
      <c r="M51" s="54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27"/>
    </row>
    <row r="52" spans="1:53" ht="9.9499999999999993" customHeight="1" x14ac:dyDescent="0.2">
      <c r="A52" s="3">
        <f t="shared" si="0"/>
        <v>36</v>
      </c>
      <c r="B52" s="3" t="s">
        <v>498</v>
      </c>
      <c r="C52" s="78"/>
      <c r="D52" s="3"/>
      <c r="E52" s="53"/>
      <c r="F52" s="53">
        <f ca="1">+F43-F50</f>
        <v>79241999.664136291</v>
      </c>
      <c r="G52" s="53">
        <f ca="1">+G43-G50</f>
        <v>0</v>
      </c>
      <c r="H52" s="50">
        <f ca="1">SUM(J52:M52)</f>
        <v>79241999.66413644</v>
      </c>
      <c r="I52" s="54"/>
      <c r="J52" s="54">
        <f ca="1">+J43-J50</f>
        <v>0</v>
      </c>
      <c r="K52" s="54">
        <f ca="1">+K43-K50</f>
        <v>64230211.357388437</v>
      </c>
      <c r="L52" s="54">
        <f ca="1">+L43-L50</f>
        <v>13720761.914080344</v>
      </c>
      <c r="M52" s="54">
        <f ca="1">+M43-M50</f>
        <v>1291026.39266764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27"/>
    </row>
    <row r="53" spans="1:53" ht="9.9499999999999993" customHeight="1" x14ac:dyDescent="0.2">
      <c r="A53" s="3">
        <f t="shared" si="0"/>
        <v>37</v>
      </c>
      <c r="B53" s="3" t="s">
        <v>499</v>
      </c>
      <c r="C53" s="78"/>
      <c r="D53" s="3"/>
      <c r="E53" s="60"/>
      <c r="F53" s="89">
        <v>5.3427980228707345E-2</v>
      </c>
      <c r="G53" s="89">
        <f ca="1">+F53-H53</f>
        <v>3.4776013467156371E-2</v>
      </c>
      <c r="H53" s="56">
        <f ca="1">+H52/H36</f>
        <v>1.8651966761550978E-2</v>
      </c>
      <c r="I53" s="54"/>
      <c r="J53" s="56"/>
      <c r="K53" s="56">
        <f ca="1">+K52/K36</f>
        <v>1.5597946000551798E-2</v>
      </c>
      <c r="L53" s="56">
        <f ca="1">+L52/L36</f>
        <v>0.11703723658886842</v>
      </c>
      <c r="M53" s="56">
        <f ca="1">+M52/M36</f>
        <v>9.666862043119949E-2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27"/>
    </row>
    <row r="54" spans="1:53" ht="9.9499999999999993" customHeight="1" x14ac:dyDescent="0.2">
      <c r="A54" s="3"/>
      <c r="B54" s="3"/>
      <c r="C54" s="78"/>
      <c r="D54" s="3"/>
      <c r="E54" s="53"/>
      <c r="F54" s="53"/>
      <c r="G54" s="53"/>
      <c r="H54" s="54"/>
      <c r="I54" s="54"/>
      <c r="J54" s="54"/>
      <c r="K54" s="54"/>
      <c r="L54" s="54"/>
      <c r="M54" s="54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27"/>
    </row>
    <row r="55" spans="1:53" ht="9.9499999999999993" customHeight="1" x14ac:dyDescent="0.2">
      <c r="A55" s="3"/>
      <c r="B55" s="64" t="s">
        <v>500</v>
      </c>
      <c r="C55" s="78"/>
      <c r="D55" s="3"/>
      <c r="E55" s="60"/>
      <c r="F55" s="60"/>
      <c r="G55" s="60"/>
      <c r="H55" s="54"/>
      <c r="I55" s="54"/>
      <c r="J55" s="54"/>
      <c r="K55" s="5"/>
      <c r="L55" s="5"/>
      <c r="M55" s="5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27"/>
    </row>
    <row r="56" spans="1:53" ht="9.9499999999999993" customHeight="1" x14ac:dyDescent="0.2">
      <c r="A56" s="3"/>
      <c r="B56" s="3"/>
      <c r="C56" s="78"/>
      <c r="D56" s="3"/>
      <c r="E56" s="53"/>
      <c r="F56" s="53"/>
      <c r="G56" s="53"/>
      <c r="H56" s="54"/>
      <c r="I56" s="54"/>
      <c r="J56" s="54"/>
      <c r="K56" s="54"/>
      <c r="L56" s="54"/>
      <c r="M56" s="54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27"/>
    </row>
    <row r="57" spans="1:53" ht="9.9499999999999993" customHeight="1" x14ac:dyDescent="0.2">
      <c r="A57" s="3">
        <v>1</v>
      </c>
      <c r="B57" s="3" t="s">
        <v>501</v>
      </c>
      <c r="C57" s="78"/>
      <c r="D57" s="3"/>
      <c r="E57" s="49"/>
      <c r="F57" s="53">
        <f>+H57</f>
        <v>4248452759.8175488</v>
      </c>
      <c r="G57" s="53">
        <f t="shared" ref="G57:G65" si="5">+H57-F57</f>
        <v>0</v>
      </c>
      <c r="H57" s="50">
        <f>SUM(J57:M57)</f>
        <v>4248452759.8175488</v>
      </c>
      <c r="I57" s="54"/>
      <c r="J57" s="54">
        <f>+J36</f>
        <v>0</v>
      </c>
      <c r="K57" s="54">
        <f>+K36</f>
        <v>4117863426.0636759</v>
      </c>
      <c r="L57" s="54">
        <f>+L36</f>
        <v>117234158.23870662</v>
      </c>
      <c r="M57" s="54">
        <f>+M36</f>
        <v>13355175.515166091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27"/>
    </row>
    <row r="58" spans="1:53" ht="9.9499999999999993" customHeight="1" x14ac:dyDescent="0.2">
      <c r="A58" s="3">
        <f>+A57+1</f>
        <v>2</v>
      </c>
      <c r="B58" s="3" t="s">
        <v>502</v>
      </c>
      <c r="C58" s="78"/>
      <c r="D58" s="3"/>
      <c r="E58" s="49"/>
      <c r="F58" s="89">
        <f>+H58</f>
        <v>7.1754999999999999E-2</v>
      </c>
      <c r="G58" s="89"/>
      <c r="H58" s="56">
        <f>+$N$58</f>
        <v>7.1754999999999999E-2</v>
      </c>
      <c r="I58" s="56"/>
      <c r="J58" s="56">
        <f>+$N$58</f>
        <v>7.1754999999999999E-2</v>
      </c>
      <c r="K58" s="56">
        <f>+$N$58</f>
        <v>7.1754999999999999E-2</v>
      </c>
      <c r="L58" s="56">
        <f>+$N$58</f>
        <v>7.1754999999999999E-2</v>
      </c>
      <c r="M58" s="56">
        <f>+$N$58</f>
        <v>7.1754999999999999E-2</v>
      </c>
      <c r="N58" s="125">
        <v>7.1754999999999999E-2</v>
      </c>
      <c r="O58" s="9" t="s">
        <v>806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27"/>
    </row>
    <row r="59" spans="1:53" ht="9.9499999999999993" customHeight="1" x14ac:dyDescent="0.2">
      <c r="A59" s="3">
        <f t="shared" ref="A59:A87" si="6">+A58+1</f>
        <v>3</v>
      </c>
      <c r="B59" s="3" t="s">
        <v>503</v>
      </c>
      <c r="C59" s="78"/>
      <c r="D59" s="3"/>
      <c r="E59" s="49"/>
      <c r="F59" s="53">
        <f>+H59</f>
        <v>304847727.78070819</v>
      </c>
      <c r="G59" s="53">
        <f t="shared" si="5"/>
        <v>0</v>
      </c>
      <c r="H59" s="50">
        <f>SUM(J59:M59)</f>
        <v>304847727.78070819</v>
      </c>
      <c r="I59" s="54"/>
      <c r="J59" s="54">
        <f>+J57*J58</f>
        <v>0</v>
      </c>
      <c r="K59" s="54">
        <f>+K57*K58</f>
        <v>295477290.13719904</v>
      </c>
      <c r="L59" s="54">
        <f>+L57*L58</f>
        <v>8412137.0244183931</v>
      </c>
      <c r="M59" s="54">
        <f>+M57*M58</f>
        <v>958300.61909074278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27"/>
    </row>
    <row r="60" spans="1:53" ht="9.9499999999999993" customHeight="1" x14ac:dyDescent="0.2">
      <c r="A60" s="3">
        <f t="shared" si="6"/>
        <v>4</v>
      </c>
      <c r="B60" s="3"/>
      <c r="C60" s="78"/>
      <c r="D60" s="3"/>
      <c r="E60" s="49"/>
      <c r="F60" s="49"/>
      <c r="G60" s="49"/>
      <c r="H60" s="54"/>
      <c r="I60" s="54"/>
      <c r="J60" s="54"/>
      <c r="K60" s="54"/>
      <c r="L60" s="54"/>
      <c r="M60" s="54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27"/>
    </row>
    <row r="61" spans="1:53" ht="9.9499999999999993" customHeight="1" x14ac:dyDescent="0.2">
      <c r="A61" s="3">
        <f t="shared" si="6"/>
        <v>5</v>
      </c>
      <c r="B61" s="3" t="s">
        <v>504</v>
      </c>
      <c r="C61" s="78"/>
      <c r="D61" s="3"/>
      <c r="E61" s="49"/>
      <c r="F61" s="53">
        <f>+H61</f>
        <v>201331348.60036153</v>
      </c>
      <c r="G61" s="53">
        <f t="shared" si="5"/>
        <v>0</v>
      </c>
      <c r="H61" s="50">
        <f t="shared" ref="H61:H66" si="7">SUM(J61:M61)</f>
        <v>201331348.60036153</v>
      </c>
      <c r="I61" s="54"/>
      <c r="J61" s="54">
        <f>+J429-J70</f>
        <v>0</v>
      </c>
      <c r="K61" s="54">
        <f>+K429-K70</f>
        <v>160396737.2770116</v>
      </c>
      <c r="L61" s="54">
        <f>+L429-L70</f>
        <v>24275502.986472659</v>
      </c>
      <c r="M61" s="54">
        <f>+M429-M70</f>
        <v>16659108.336877264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27"/>
    </row>
    <row r="62" spans="1:53" ht="9.9499999999999993" customHeight="1" x14ac:dyDescent="0.2">
      <c r="A62" s="3">
        <f t="shared" si="6"/>
        <v>6</v>
      </c>
      <c r="B62" s="3" t="s">
        <v>18</v>
      </c>
      <c r="C62" s="78"/>
      <c r="D62" s="3"/>
      <c r="E62" s="49"/>
      <c r="F62" s="53">
        <f>+H62</f>
        <v>222732095.21411851</v>
      </c>
      <c r="G62" s="53">
        <f t="shared" si="5"/>
        <v>0</v>
      </c>
      <c r="H62" s="50">
        <f t="shared" si="7"/>
        <v>222732095.21411851</v>
      </c>
      <c r="I62" s="54"/>
      <c r="J62" s="54">
        <f>+J597-J71</f>
        <v>0</v>
      </c>
      <c r="K62" s="54">
        <f>+K597-K71</f>
        <v>208304527.77060381</v>
      </c>
      <c r="L62" s="54">
        <f>+L597-L71</f>
        <v>14340683.430836225</v>
      </c>
      <c r="M62" s="54">
        <f>+M597-M71</f>
        <v>86884.012678476633</v>
      </c>
      <c r="N62" s="54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27"/>
    </row>
    <row r="63" spans="1:53" ht="9.9499999999999993" customHeight="1" x14ac:dyDescent="0.2">
      <c r="A63" s="3">
        <f t="shared" si="6"/>
        <v>7</v>
      </c>
      <c r="B63" s="3" t="s">
        <v>293</v>
      </c>
      <c r="C63" s="78"/>
      <c r="D63" s="11"/>
      <c r="E63" s="49"/>
      <c r="F63" s="53">
        <f>+H63</f>
        <v>62990895.476372153</v>
      </c>
      <c r="G63" s="53">
        <f t="shared" si="5"/>
        <v>0</v>
      </c>
      <c r="H63" s="50">
        <f t="shared" si="7"/>
        <v>62990895.476372153</v>
      </c>
      <c r="I63" s="54"/>
      <c r="J63" s="54">
        <f>+J611-J68</f>
        <v>0</v>
      </c>
      <c r="K63" s="54">
        <f>+K611-K68</f>
        <v>59427814.260768108</v>
      </c>
      <c r="L63" s="54">
        <f>+L611-L68</f>
        <v>2595480.6798721594</v>
      </c>
      <c r="M63" s="54">
        <f>+M611-M68</f>
        <v>967600.53573187918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27"/>
    </row>
    <row r="64" spans="1:53" ht="9.9499999999999993" customHeight="1" x14ac:dyDescent="0.2">
      <c r="A64" s="3">
        <f t="shared" si="6"/>
        <v>8</v>
      </c>
      <c r="B64" s="3" t="s">
        <v>304</v>
      </c>
      <c r="C64" s="78"/>
      <c r="D64" s="3"/>
      <c r="E64" s="49"/>
      <c r="F64" s="53">
        <f>+H64</f>
        <v>50495133.235625155</v>
      </c>
      <c r="G64" s="53">
        <f t="shared" si="5"/>
        <v>0</v>
      </c>
      <c r="H64" s="50">
        <f t="shared" si="7"/>
        <v>50495133.235625155</v>
      </c>
      <c r="I64" s="54"/>
      <c r="J64" s="54">
        <f>J647</f>
        <v>0</v>
      </c>
      <c r="K64" s="54">
        <f>K647</f>
        <v>48896697.532711372</v>
      </c>
      <c r="L64" s="54">
        <f>L647</f>
        <v>1418394.5091184932</v>
      </c>
      <c r="M64" s="54">
        <f>M647</f>
        <v>180041.19379529488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27"/>
    </row>
    <row r="65" spans="1:53" ht="9.9499999999999993" customHeight="1" x14ac:dyDescent="0.2">
      <c r="A65" s="3">
        <f t="shared" si="6"/>
        <v>9</v>
      </c>
      <c r="B65" s="3" t="s">
        <v>518</v>
      </c>
      <c r="C65" s="78"/>
      <c r="D65" s="11"/>
      <c r="E65" s="49"/>
      <c r="F65" s="53">
        <f>+H65</f>
        <v>0</v>
      </c>
      <c r="G65" s="53">
        <f t="shared" si="5"/>
        <v>0</v>
      </c>
      <c r="H65" s="50">
        <f t="shared" si="7"/>
        <v>0</v>
      </c>
      <c r="I65" s="54"/>
      <c r="J65" s="54">
        <f>+J654</f>
        <v>0</v>
      </c>
      <c r="K65" s="54">
        <f>+K654</f>
        <v>0</v>
      </c>
      <c r="L65" s="54">
        <f>+L654</f>
        <v>0</v>
      </c>
      <c r="M65" s="54">
        <f>+M654</f>
        <v>0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27"/>
    </row>
    <row r="66" spans="1:53" ht="9.9499999999999993" customHeight="1" x14ac:dyDescent="0.2">
      <c r="A66" s="3">
        <f t="shared" si="6"/>
        <v>10</v>
      </c>
      <c r="B66" s="3" t="s">
        <v>505</v>
      </c>
      <c r="C66" s="78"/>
      <c r="D66" s="3"/>
      <c r="E66" s="60"/>
      <c r="F66" s="60">
        <f>SUM(F61:F65)</f>
        <v>537549472.52647734</v>
      </c>
      <c r="G66" s="53">
        <f>SUM(G61:G65)</f>
        <v>0</v>
      </c>
      <c r="H66" s="50">
        <f t="shared" si="7"/>
        <v>537549472.52647734</v>
      </c>
      <c r="I66" s="54"/>
      <c r="J66" s="54">
        <f>SUM(J61:J65)</f>
        <v>0</v>
      </c>
      <c r="K66" s="54">
        <f>SUM(K61:K65)</f>
        <v>477025776.84109491</v>
      </c>
      <c r="L66" s="54">
        <f>SUM(L61:L65)</f>
        <v>42630061.606299534</v>
      </c>
      <c r="M66" s="54">
        <f>SUM(M61:M65)</f>
        <v>17893634.079082914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27"/>
    </row>
    <row r="67" spans="1:53" ht="9.9499999999999993" customHeight="1" x14ac:dyDescent="0.2">
      <c r="A67" s="3">
        <f t="shared" si="6"/>
        <v>11</v>
      </c>
      <c r="B67" s="3"/>
      <c r="C67" s="78"/>
      <c r="D67" s="3"/>
      <c r="E67" s="53"/>
      <c r="F67" s="53"/>
      <c r="G67" s="53"/>
      <c r="H67" s="50"/>
      <c r="I67" s="54"/>
      <c r="J67" s="54"/>
      <c r="K67" s="54"/>
      <c r="L67" s="54"/>
      <c r="M67" s="54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27"/>
    </row>
    <row r="68" spans="1:53" ht="9.9499999999999993" customHeight="1" x14ac:dyDescent="0.2">
      <c r="A68" s="3">
        <f t="shared" si="6"/>
        <v>12</v>
      </c>
      <c r="B68" s="3" t="s">
        <v>510</v>
      </c>
      <c r="C68" s="78"/>
      <c r="D68" s="11"/>
      <c r="E68" s="60"/>
      <c r="F68" s="53">
        <f>+H68</f>
        <v>51762292.913373299</v>
      </c>
      <c r="G68" s="53">
        <f>+H68-F68</f>
        <v>0</v>
      </c>
      <c r="H68" s="50">
        <f>SUM(J68:M68)</f>
        <v>51762292.913373299</v>
      </c>
      <c r="I68" s="54"/>
      <c r="J68" s="54">
        <f>+J607</f>
        <v>0</v>
      </c>
      <c r="K68" s="54">
        <f>+K607</f>
        <v>51762292.913373299</v>
      </c>
      <c r="L68" s="54">
        <f>+L607</f>
        <v>0</v>
      </c>
      <c r="M68" s="54">
        <f>+M607</f>
        <v>0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27"/>
    </row>
    <row r="69" spans="1:53" ht="9.9499999999999993" customHeight="1" x14ac:dyDescent="0.2">
      <c r="A69" s="3">
        <f t="shared" si="6"/>
        <v>13</v>
      </c>
      <c r="B69" s="3" t="s">
        <v>449</v>
      </c>
      <c r="C69" s="78"/>
      <c r="D69" s="3"/>
      <c r="E69" s="49"/>
      <c r="F69" s="53">
        <f>+H69</f>
        <v>0</v>
      </c>
      <c r="G69" s="53">
        <f>+H69-F69</f>
        <v>0</v>
      </c>
      <c r="H69" s="50">
        <f>SUM(J69:M69)</f>
        <v>0</v>
      </c>
      <c r="I69" s="54"/>
      <c r="J69" s="54">
        <f>+J652</f>
        <v>0</v>
      </c>
      <c r="K69" s="54">
        <v>0</v>
      </c>
      <c r="L69" s="54">
        <f>+L652</f>
        <v>0</v>
      </c>
      <c r="M69" s="54">
        <f>+M652</f>
        <v>0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27"/>
    </row>
    <row r="70" spans="1:53" ht="9.9499999999999993" customHeight="1" x14ac:dyDescent="0.2">
      <c r="A70" s="3">
        <f t="shared" si="6"/>
        <v>14</v>
      </c>
      <c r="B70" s="3" t="s">
        <v>541</v>
      </c>
      <c r="C70" s="78"/>
      <c r="D70" s="3"/>
      <c r="E70" s="49"/>
      <c r="F70" s="53">
        <f>+H70</f>
        <v>0</v>
      </c>
      <c r="G70" s="53">
        <f>+H70-F70</f>
        <v>0</v>
      </c>
      <c r="H70" s="50">
        <f>SUM(J70:M70)</f>
        <v>0</v>
      </c>
      <c r="I70" s="54"/>
      <c r="J70" s="54">
        <f>J393</f>
        <v>0</v>
      </c>
      <c r="K70" s="54">
        <v>0</v>
      </c>
      <c r="L70" s="54">
        <f>L393</f>
        <v>0</v>
      </c>
      <c r="M70" s="54">
        <v>0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27"/>
    </row>
    <row r="71" spans="1:53" ht="9.9499999999999993" customHeight="1" x14ac:dyDescent="0.2">
      <c r="A71" s="3">
        <f t="shared" si="6"/>
        <v>15</v>
      </c>
      <c r="B71" s="3" t="s">
        <v>557</v>
      </c>
      <c r="C71" s="78"/>
      <c r="D71" s="3"/>
      <c r="E71" s="53"/>
      <c r="F71" s="53">
        <f>+H71</f>
        <v>0</v>
      </c>
      <c r="G71" s="53">
        <f>+H71-F71</f>
        <v>0</v>
      </c>
      <c r="H71" s="50">
        <f>SUM(J71:M71)</f>
        <v>0</v>
      </c>
      <c r="I71" s="54"/>
      <c r="J71" s="54">
        <v>0</v>
      </c>
      <c r="K71" s="54">
        <v>0</v>
      </c>
      <c r="L71" s="54">
        <f>L590</f>
        <v>0</v>
      </c>
      <c r="M71" s="54">
        <f>M590</f>
        <v>0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27"/>
    </row>
    <row r="72" spans="1:53" ht="9.9499999999999993" customHeight="1" x14ac:dyDescent="0.2">
      <c r="A72" s="3">
        <f t="shared" si="6"/>
        <v>16</v>
      </c>
      <c r="B72" s="3"/>
      <c r="C72" s="78"/>
      <c r="D72" s="3"/>
      <c r="E72" s="53"/>
      <c r="F72" s="53"/>
      <c r="G72" s="53"/>
      <c r="H72" s="50"/>
      <c r="I72" s="54"/>
      <c r="J72" s="54"/>
      <c r="K72" s="54"/>
      <c r="L72" s="54"/>
      <c r="M72" s="54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27"/>
    </row>
    <row r="73" spans="1:53" ht="9.9499999999999993" customHeight="1" x14ac:dyDescent="0.2">
      <c r="A73" s="3">
        <f t="shared" si="6"/>
        <v>17</v>
      </c>
      <c r="B73" s="3"/>
      <c r="C73" s="78"/>
      <c r="D73" s="36"/>
      <c r="E73" s="49"/>
      <c r="F73" s="49"/>
      <c r="G73" s="49"/>
      <c r="H73" s="50"/>
      <c r="I73" s="54"/>
      <c r="J73" s="54"/>
      <c r="K73" s="54"/>
      <c r="L73" s="54"/>
      <c r="M73" s="54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27"/>
    </row>
    <row r="74" spans="1:53" ht="9.9499999999999993" customHeight="1" x14ac:dyDescent="0.2">
      <c r="A74" s="3">
        <f t="shared" si="6"/>
        <v>18</v>
      </c>
      <c r="B74" s="3" t="s">
        <v>606</v>
      </c>
      <c r="C74" s="78"/>
      <c r="D74" s="53"/>
      <c r="E74" s="3"/>
      <c r="F74" s="60">
        <f>SUM(F66:F71)+F59</f>
        <v>894159493.22055888</v>
      </c>
      <c r="G74" s="53">
        <f t="shared" ref="G74:G86" si="8">+H74-F74</f>
        <v>0</v>
      </c>
      <c r="H74" s="50">
        <f>SUM(J74:M74)</f>
        <v>894159493.22055876</v>
      </c>
      <c r="I74" s="54">
        <f>+I59+I66+I69+I70+I71+I68+I72</f>
        <v>0</v>
      </c>
      <c r="J74" s="54">
        <f>+J59+J66+J70+J71+J68-J72+J69</f>
        <v>0</v>
      </c>
      <c r="K74" s="54">
        <f>+K59+K66+K70+K71+K68-K72+K69</f>
        <v>824265359.89166725</v>
      </c>
      <c r="L74" s="54">
        <f>+L59+L66+L70+L71+L68-L72+L69</f>
        <v>51042198.630717926</v>
      </c>
      <c r="M74" s="54">
        <f>+M59+M66+M70+M71+M68-M72+M69</f>
        <v>18851934.698173657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27"/>
    </row>
    <row r="75" spans="1:53" ht="9.9499999999999993" customHeight="1" x14ac:dyDescent="0.2">
      <c r="A75" s="3">
        <f t="shared" si="6"/>
        <v>19</v>
      </c>
      <c r="B75" s="3" t="s">
        <v>607</v>
      </c>
      <c r="C75" s="78"/>
      <c r="D75" s="53"/>
      <c r="E75" s="3"/>
      <c r="F75" s="53">
        <f>+H75</f>
        <v>867312740.12955892</v>
      </c>
      <c r="G75" s="53">
        <f t="shared" si="8"/>
        <v>0</v>
      </c>
      <c r="H75" s="50">
        <f>SUM(J75:M75)</f>
        <v>867312740.12955892</v>
      </c>
      <c r="I75" s="54"/>
      <c r="J75" s="54">
        <f>+J74-J78</f>
        <v>0</v>
      </c>
      <c r="K75" s="54">
        <f>+K74-K78</f>
        <v>798275244.2806673</v>
      </c>
      <c r="L75" s="54">
        <f>+L74-L78</f>
        <v>50185561.150717929</v>
      </c>
      <c r="M75" s="54">
        <f>+M74-M78</f>
        <v>18851934.698173657</v>
      </c>
      <c r="N75" s="9">
        <f>SUM(K75:M75)</f>
        <v>867312740.12955892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27"/>
    </row>
    <row r="76" spans="1:53" ht="9.9499999999999993" customHeight="1" x14ac:dyDescent="0.2">
      <c r="A76" s="3">
        <f t="shared" si="6"/>
        <v>20</v>
      </c>
      <c r="B76" s="3"/>
      <c r="C76" s="78"/>
      <c r="D76" s="36"/>
      <c r="E76" s="53"/>
      <c r="F76" s="53"/>
      <c r="G76" s="53"/>
      <c r="H76" s="50"/>
      <c r="I76" s="54"/>
      <c r="J76" s="54"/>
      <c r="K76" s="54"/>
      <c r="L76" s="54"/>
      <c r="M76" s="54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27"/>
    </row>
    <row r="77" spans="1:53" ht="9.9499999999999993" customHeight="1" x14ac:dyDescent="0.2">
      <c r="A77" s="3">
        <f t="shared" si="6"/>
        <v>21</v>
      </c>
      <c r="B77" s="3" t="s">
        <v>506</v>
      </c>
      <c r="C77" s="78"/>
      <c r="D77" s="3"/>
      <c r="E77" s="53"/>
      <c r="F77" s="53">
        <f>+H77</f>
        <v>815550447.21618557</v>
      </c>
      <c r="G77" s="53">
        <f t="shared" si="8"/>
        <v>0</v>
      </c>
      <c r="H77" s="50">
        <f>SUM(J77:M77)</f>
        <v>815550447.21618557</v>
      </c>
      <c r="I77" s="54"/>
      <c r="J77" s="54">
        <f>+J74-J78-J80</f>
        <v>0</v>
      </c>
      <c r="K77" s="54">
        <f>+K74-K78-K80</f>
        <v>746512951.36729395</v>
      </c>
      <c r="L77" s="54">
        <f>+L74-L78-L80</f>
        <v>50185561.150717929</v>
      </c>
      <c r="M77" s="54">
        <f>+M74-M78-M80</f>
        <v>18851934.698173657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27"/>
    </row>
    <row r="78" spans="1:53" ht="9.9499999999999993" customHeight="1" x14ac:dyDescent="0.2">
      <c r="A78" s="3">
        <f t="shared" si="6"/>
        <v>22</v>
      </c>
      <c r="B78" s="3" t="s">
        <v>507</v>
      </c>
      <c r="C78" s="78"/>
      <c r="D78" s="3"/>
      <c r="E78" s="49"/>
      <c r="F78" s="53">
        <f>+H78</f>
        <v>26846753.091000002</v>
      </c>
      <c r="G78" s="53">
        <f t="shared" si="8"/>
        <v>0</v>
      </c>
      <c r="H78" s="50">
        <f>SUM(J78:M78)</f>
        <v>26846753.091000002</v>
      </c>
      <c r="I78" s="54"/>
      <c r="J78" s="54">
        <f>+J664</f>
        <v>0</v>
      </c>
      <c r="K78" s="54">
        <f>+K664</f>
        <v>25990115.611000001</v>
      </c>
      <c r="L78" s="54">
        <f>+L664</f>
        <v>856637.48</v>
      </c>
      <c r="M78" s="54">
        <f>+M664</f>
        <v>0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27"/>
    </row>
    <row r="79" spans="1:53" ht="9.9499999999999993" customHeight="1" x14ac:dyDescent="0.2">
      <c r="A79" s="3">
        <f t="shared" si="6"/>
        <v>23</v>
      </c>
      <c r="B79" s="3" t="s">
        <v>508</v>
      </c>
      <c r="C79" s="78"/>
      <c r="D79" s="3"/>
      <c r="E79" s="49"/>
      <c r="F79" s="53">
        <f>+H79</f>
        <v>0</v>
      </c>
      <c r="G79" s="53">
        <f t="shared" si="8"/>
        <v>0</v>
      </c>
      <c r="H79" s="50">
        <f>SUM(J79:M79)</f>
        <v>0</v>
      </c>
      <c r="I79" s="54"/>
      <c r="J79" s="54">
        <v>0</v>
      </c>
      <c r="K79" s="54">
        <v>0</v>
      </c>
      <c r="L79" s="54">
        <v>0</v>
      </c>
      <c r="M79" s="54">
        <v>0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27"/>
    </row>
    <row r="80" spans="1:53" ht="9.9499999999999993" customHeight="1" x14ac:dyDescent="0.2">
      <c r="A80" s="3">
        <f t="shared" si="6"/>
        <v>24</v>
      </c>
      <c r="B80" s="3" t="s">
        <v>511</v>
      </c>
      <c r="C80" s="78"/>
      <c r="D80" s="3"/>
      <c r="E80" s="49"/>
      <c r="F80" s="53">
        <f>+H80</f>
        <v>51762292.913373299</v>
      </c>
      <c r="G80" s="53">
        <f t="shared" si="8"/>
        <v>0</v>
      </c>
      <c r="H80" s="50">
        <f>SUM(J80:M80)</f>
        <v>51762292.913373299</v>
      </c>
      <c r="I80" s="54"/>
      <c r="J80" s="54">
        <f>+J69+J68+J70+J71</f>
        <v>0</v>
      </c>
      <c r="K80" s="54">
        <f>+K69+K68+K70+K71</f>
        <v>51762292.913373299</v>
      </c>
      <c r="L80" s="54">
        <f>+L69+L68+L70+L71</f>
        <v>0</v>
      </c>
      <c r="M80" s="54">
        <f>+M69+M68+M70+M71</f>
        <v>0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27"/>
    </row>
    <row r="81" spans="1:53" ht="9.9499999999999993" customHeight="1" x14ac:dyDescent="0.2">
      <c r="A81" s="3">
        <f t="shared" si="6"/>
        <v>25</v>
      </c>
      <c r="B81" s="3" t="s">
        <v>509</v>
      </c>
      <c r="C81" s="3"/>
      <c r="D81" s="3"/>
      <c r="E81" s="60"/>
      <c r="F81" s="60">
        <f>SUM(F77:F80)</f>
        <v>894159493.22055888</v>
      </c>
      <c r="G81" s="53">
        <f>SUM(G77:G80)</f>
        <v>0</v>
      </c>
      <c r="H81" s="50">
        <f>SUM(J81:M81)</f>
        <v>894159493.22055876</v>
      </c>
      <c r="I81" s="54">
        <f>SUM(I77:I80)</f>
        <v>0</v>
      </c>
      <c r="J81" s="54">
        <f>SUM(J77:J80)</f>
        <v>0</v>
      </c>
      <c r="K81" s="54">
        <f>SUM(K77:K80)</f>
        <v>824265359.89166725</v>
      </c>
      <c r="L81" s="54">
        <f>SUM(L77:L80)</f>
        <v>51042198.630717926</v>
      </c>
      <c r="M81" s="54">
        <f>SUM(M77:M80)</f>
        <v>18851934.698173657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27"/>
    </row>
    <row r="82" spans="1:53" ht="9.9499999999999993" customHeight="1" x14ac:dyDescent="0.2">
      <c r="A82" s="3">
        <f t="shared" si="6"/>
        <v>26</v>
      </c>
      <c r="B82" s="3"/>
      <c r="C82" s="3"/>
      <c r="D82" s="3"/>
      <c r="E82" s="49"/>
      <c r="F82" s="49"/>
      <c r="G82" s="49"/>
      <c r="H82" s="50"/>
      <c r="I82" s="54"/>
      <c r="J82" s="54"/>
      <c r="K82" s="54"/>
      <c r="L82" s="54"/>
      <c r="M82" s="54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27"/>
    </row>
    <row r="83" spans="1:53" ht="9.9499999999999993" customHeight="1" x14ac:dyDescent="0.2">
      <c r="A83" s="3">
        <f t="shared" si="6"/>
        <v>27</v>
      </c>
      <c r="B83" s="3" t="s">
        <v>512</v>
      </c>
      <c r="C83" s="3"/>
      <c r="D83" s="3"/>
      <c r="E83" s="49"/>
      <c r="F83" s="53">
        <f>+H83</f>
        <v>233814578.12026188</v>
      </c>
      <c r="G83" s="53">
        <f t="shared" si="8"/>
        <v>0</v>
      </c>
      <c r="H83" s="50">
        <f>SUM(J83:M83)</f>
        <v>233814578.12026188</v>
      </c>
      <c r="I83" s="54"/>
      <c r="J83" s="54">
        <f>+J77-J39</f>
        <v>0</v>
      </c>
      <c r="K83" s="54">
        <f>+K77-K39</f>
        <v>240955528.32689333</v>
      </c>
      <c r="L83" s="54">
        <f t="shared" ref="J83:M86" si="9">+L77-L39</f>
        <v>-6719778.3413442522</v>
      </c>
      <c r="M83" s="54">
        <f t="shared" si="9"/>
        <v>-421171.86528721452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27"/>
    </row>
    <row r="84" spans="1:53" ht="9.9499999999999993" customHeight="1" x14ac:dyDescent="0.2">
      <c r="A84" s="3">
        <f t="shared" si="6"/>
        <v>28</v>
      </c>
      <c r="B84" s="3" t="s">
        <v>513</v>
      </c>
      <c r="C84" s="3"/>
      <c r="D84" s="3"/>
      <c r="E84" s="49"/>
      <c r="F84" s="53">
        <f>+H84</f>
        <v>0</v>
      </c>
      <c r="G84" s="53">
        <f t="shared" si="8"/>
        <v>0</v>
      </c>
      <c r="H84" s="50">
        <f>SUM(J84:M84)</f>
        <v>0</v>
      </c>
      <c r="I84" s="54"/>
      <c r="J84" s="54">
        <f t="shared" si="9"/>
        <v>0</v>
      </c>
      <c r="K84" s="54">
        <f t="shared" si="9"/>
        <v>0</v>
      </c>
      <c r="L84" s="54">
        <f t="shared" si="9"/>
        <v>0</v>
      </c>
      <c r="M84" s="54">
        <f t="shared" si="9"/>
        <v>0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27"/>
    </row>
    <row r="85" spans="1:53" ht="9.9499999999999993" customHeight="1" x14ac:dyDescent="0.2">
      <c r="A85" s="3">
        <f t="shared" si="6"/>
        <v>29</v>
      </c>
      <c r="B85" s="3" t="s">
        <v>514</v>
      </c>
      <c r="C85" s="3"/>
      <c r="D85" s="3"/>
      <c r="E85" s="49"/>
      <c r="F85" s="53">
        <f>+H85</f>
        <v>0</v>
      </c>
      <c r="G85" s="53">
        <f t="shared" si="8"/>
        <v>0</v>
      </c>
      <c r="H85" s="50">
        <f>SUM(J85:M85)</f>
        <v>0</v>
      </c>
      <c r="I85" s="54"/>
      <c r="J85" s="54">
        <f t="shared" si="9"/>
        <v>0</v>
      </c>
      <c r="K85" s="54">
        <f t="shared" si="9"/>
        <v>0</v>
      </c>
      <c r="L85" s="54">
        <f t="shared" si="9"/>
        <v>0</v>
      </c>
      <c r="M85" s="54">
        <f t="shared" si="9"/>
        <v>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27"/>
    </row>
    <row r="86" spans="1:53" ht="9.9499999999999993" customHeight="1" x14ac:dyDescent="0.2">
      <c r="A86" s="3">
        <f t="shared" si="6"/>
        <v>30</v>
      </c>
      <c r="B86" s="3" t="s">
        <v>515</v>
      </c>
      <c r="C86" s="3"/>
      <c r="D86" s="3"/>
      <c r="E86" s="49"/>
      <c r="F86" s="53">
        <f>+H86</f>
        <v>51762292.913373299</v>
      </c>
      <c r="G86" s="53">
        <f t="shared" si="8"/>
        <v>0</v>
      </c>
      <c r="H86" s="50">
        <f>SUM(J86:M86)</f>
        <v>51762292.913373299</v>
      </c>
      <c r="I86" s="54"/>
      <c r="J86" s="54">
        <f t="shared" si="9"/>
        <v>0</v>
      </c>
      <c r="K86" s="54">
        <f t="shared" si="9"/>
        <v>51762292.913373299</v>
      </c>
      <c r="L86" s="54">
        <f t="shared" si="9"/>
        <v>0</v>
      </c>
      <c r="M86" s="54">
        <f t="shared" si="9"/>
        <v>0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27"/>
    </row>
    <row r="87" spans="1:53" s="173" customFormat="1" x14ac:dyDescent="0.2">
      <c r="A87" s="3">
        <f t="shared" si="6"/>
        <v>31</v>
      </c>
      <c r="B87" s="3" t="s">
        <v>516</v>
      </c>
      <c r="C87" s="3"/>
      <c r="D87" s="3"/>
      <c r="E87" s="49"/>
      <c r="F87" s="53">
        <f>SUM(F83:F86)</f>
        <v>285576871.0336352</v>
      </c>
      <c r="G87" s="53">
        <f>SUM(G83:G86)</f>
        <v>0</v>
      </c>
      <c r="H87" s="50">
        <f>SUM(J87:M87)</f>
        <v>285576871.03363514</v>
      </c>
      <c r="I87" s="55"/>
      <c r="J87" s="55">
        <f>SUM(J83:J86)</f>
        <v>0</v>
      </c>
      <c r="K87" s="55">
        <f>SUM(K83:K86)</f>
        <v>292717821.24026662</v>
      </c>
      <c r="L87" s="55">
        <f>SUM(L83:L86)</f>
        <v>-6719778.3413442522</v>
      </c>
      <c r="M87" s="55">
        <f>SUM(M83:M86)</f>
        <v>-421171.86528721452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</row>
    <row r="88" spans="1:53" x14ac:dyDescent="0.2">
      <c r="A88" s="3"/>
      <c r="B88" s="69"/>
      <c r="C88" s="4"/>
      <c r="D88" s="3"/>
      <c r="E88" s="49"/>
      <c r="F88" s="53"/>
      <c r="G88" s="53"/>
      <c r="H88" s="70"/>
      <c r="I88" s="70"/>
      <c r="J88" s="70"/>
      <c r="K88" s="70"/>
      <c r="L88" s="70"/>
      <c r="M88" s="70"/>
      <c r="N88" s="2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</row>
    <row r="89" spans="1:53" x14ac:dyDescent="0.2">
      <c r="A89" s="3"/>
      <c r="B89" s="4"/>
      <c r="C89" s="4"/>
      <c r="D89" s="3"/>
      <c r="E89" s="49"/>
      <c r="F89" s="53"/>
      <c r="G89" s="53"/>
      <c r="H89" s="71"/>
      <c r="I89" s="71"/>
      <c r="J89" s="71"/>
      <c r="K89" s="71"/>
      <c r="L89" s="71"/>
      <c r="M89" s="71"/>
      <c r="N89" s="2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</row>
    <row r="90" spans="1:53" x14ac:dyDescent="0.2">
      <c r="A90" s="3"/>
      <c r="B90" s="7" t="s">
        <v>22</v>
      </c>
      <c r="C90" s="3"/>
      <c r="D90" s="3"/>
      <c r="E90" s="49"/>
      <c r="F90" s="49"/>
      <c r="G90" s="49"/>
      <c r="H90" s="55"/>
      <c r="I90" s="55"/>
      <c r="J90" s="55"/>
      <c r="K90" s="55"/>
      <c r="L90" s="55"/>
      <c r="M90" s="55"/>
      <c r="N90" s="2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  <row r="91" spans="1:53" x14ac:dyDescent="0.2">
      <c r="A91" s="3"/>
      <c r="B91" s="3"/>
      <c r="C91" s="3"/>
      <c r="D91" s="3"/>
      <c r="E91" s="49"/>
      <c r="F91" s="49"/>
      <c r="G91" s="49"/>
      <c r="H91" s="55"/>
      <c r="I91" s="55"/>
      <c r="J91" s="55"/>
      <c r="K91" s="55"/>
      <c r="L91" s="55"/>
      <c r="M91" s="55"/>
      <c r="N91" s="2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</row>
    <row r="92" spans="1:53" x14ac:dyDescent="0.2">
      <c r="A92" s="3">
        <v>1</v>
      </c>
      <c r="B92" s="3" t="s">
        <v>23</v>
      </c>
      <c r="C92" s="3"/>
      <c r="D92" s="3"/>
      <c r="E92" s="49"/>
      <c r="F92" s="49"/>
      <c r="G92" s="49"/>
      <c r="H92" s="55"/>
      <c r="I92" s="55"/>
      <c r="J92" s="55"/>
      <c r="K92" s="55"/>
      <c r="L92" s="61"/>
      <c r="M92" s="55"/>
      <c r="N92" s="2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</row>
    <row r="93" spans="1:53" x14ac:dyDescent="0.2">
      <c r="A93" s="3">
        <f t="shared" ref="A93:A124" si="10">+A92+1</f>
        <v>2</v>
      </c>
      <c r="B93" s="3" t="s">
        <v>24</v>
      </c>
      <c r="C93" s="3" t="s">
        <v>25</v>
      </c>
      <c r="D93" s="78" t="s">
        <v>431</v>
      </c>
      <c r="E93" s="49" t="s">
        <v>616</v>
      </c>
      <c r="F93" s="53">
        <f>+H93</f>
        <v>18123.34</v>
      </c>
      <c r="G93" s="53">
        <f>+H93-F93</f>
        <v>0</v>
      </c>
      <c r="H93" s="72">
        <f>SUM(J93:M93)</f>
        <v>18123.34</v>
      </c>
      <c r="I93" s="57"/>
      <c r="J93" s="61"/>
      <c r="K93" s="61">
        <f>+'[1]II-B-1 Plant'!N15</f>
        <v>17344.857570852197</v>
      </c>
      <c r="L93" s="61">
        <f>+'[1]II-B-1 Plant'!O15</f>
        <v>566.25383647603655</v>
      </c>
      <c r="M93" s="61">
        <f>+'[1]II-B-1 Plant'!P15</f>
        <v>212.22859267176671</v>
      </c>
      <c r="N93" s="23"/>
      <c r="O93" s="3"/>
      <c r="P93" s="1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</row>
    <row r="94" spans="1:53" x14ac:dyDescent="0.2">
      <c r="A94" s="3">
        <f t="shared" si="10"/>
        <v>3</v>
      </c>
      <c r="B94" s="3" t="s">
        <v>26</v>
      </c>
      <c r="C94" s="3" t="s">
        <v>657</v>
      </c>
      <c r="D94" s="78" t="s">
        <v>431</v>
      </c>
      <c r="E94" s="49" t="s">
        <v>616</v>
      </c>
      <c r="F94" s="53">
        <f>+H94</f>
        <v>0</v>
      </c>
      <c r="G94" s="53">
        <f>+H94-F94</f>
        <v>0</v>
      </c>
      <c r="H94" s="72">
        <f>SUM(J94:M94)</f>
        <v>0</v>
      </c>
      <c r="I94" s="61"/>
      <c r="J94" s="61"/>
      <c r="K94" s="61">
        <f>+'[1]II-B-1 Plant'!N16</f>
        <v>0</v>
      </c>
      <c r="L94" s="61">
        <f>+'[1]II-B-1 Plant'!O16</f>
        <v>0</v>
      </c>
      <c r="M94" s="61">
        <f>+'[1]II-B-1 Plant'!P16</f>
        <v>0</v>
      </c>
      <c r="N94" s="23"/>
      <c r="O94" s="3"/>
      <c r="P94" s="1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 spans="1:53" x14ac:dyDescent="0.2">
      <c r="A95" s="3">
        <f t="shared" si="10"/>
        <v>4</v>
      </c>
      <c r="B95" s="3" t="s">
        <v>28</v>
      </c>
      <c r="C95" s="3" t="s">
        <v>29</v>
      </c>
      <c r="D95" s="78" t="s">
        <v>431</v>
      </c>
      <c r="E95" s="49" t="s">
        <v>616</v>
      </c>
      <c r="F95" s="53">
        <f>+H95</f>
        <v>156049490.36000001</v>
      </c>
      <c r="G95" s="53">
        <f>+H95-F95</f>
        <v>0</v>
      </c>
      <c r="H95" s="72">
        <f>SUM(J95:M95)</f>
        <v>156049490.36000001</v>
      </c>
      <c r="I95" s="61"/>
      <c r="J95" s="61"/>
      <c r="K95" s="61">
        <f>+'[1]II-B-1 Plant'!N17</f>
        <v>152351694.95427456</v>
      </c>
      <c r="L95" s="61">
        <f>+'[1]II-B-1 Plant'!O17</f>
        <v>3697795.4057254456</v>
      </c>
      <c r="M95" s="61">
        <f>+'[1]II-B-1 Plant'!P17</f>
        <v>0</v>
      </c>
      <c r="N95" s="23"/>
      <c r="O95" s="3"/>
      <c r="P95" s="1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</row>
    <row r="96" spans="1:53" x14ac:dyDescent="0.2">
      <c r="A96" s="3">
        <f t="shared" si="10"/>
        <v>5</v>
      </c>
      <c r="B96" s="3"/>
      <c r="C96" s="3" t="s">
        <v>30</v>
      </c>
      <c r="D96" s="3"/>
      <c r="E96" s="53"/>
      <c r="F96" s="53">
        <f>SUM(F93:F95)</f>
        <v>156067613.70000002</v>
      </c>
      <c r="G96" s="53">
        <f>SUM(G93:G95)</f>
        <v>0</v>
      </c>
      <c r="H96" s="55">
        <f>SUM(H93:H95)</f>
        <v>156067613.70000002</v>
      </c>
      <c r="I96" s="55"/>
      <c r="J96" s="55">
        <f>SUM(J93:J95)</f>
        <v>0</v>
      </c>
      <c r="K96" s="55">
        <f>SUM(K93:K95)</f>
        <v>152369039.81184542</v>
      </c>
      <c r="L96" s="55">
        <f>SUM(L93:L95)</f>
        <v>3698361.6595619218</v>
      </c>
      <c r="M96" s="55">
        <f>SUM(M93:M95)</f>
        <v>212.22859267176671</v>
      </c>
      <c r="N96" s="23"/>
      <c r="O96" s="3"/>
      <c r="P96" s="1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</row>
    <row r="97" spans="1:53" x14ac:dyDescent="0.2">
      <c r="A97" s="3">
        <f t="shared" si="10"/>
        <v>6</v>
      </c>
      <c r="B97" s="3"/>
      <c r="C97" s="3"/>
      <c r="D97" s="3"/>
      <c r="E97" s="49"/>
      <c r="F97" s="49"/>
      <c r="G97" s="49"/>
      <c r="H97" s="55"/>
      <c r="I97" s="55"/>
      <c r="J97" s="55"/>
      <c r="K97" s="55"/>
      <c r="L97" s="55"/>
      <c r="M97" s="55"/>
      <c r="N97" s="23"/>
      <c r="O97" s="3"/>
      <c r="P97" s="1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 spans="1:53" x14ac:dyDescent="0.2">
      <c r="A98" s="3">
        <f t="shared" si="10"/>
        <v>7</v>
      </c>
      <c r="B98" s="7" t="s">
        <v>32</v>
      </c>
      <c r="C98" s="3"/>
      <c r="D98" s="3"/>
      <c r="E98" s="49"/>
      <c r="F98" s="49"/>
      <c r="G98" s="49"/>
      <c r="H98" s="55"/>
      <c r="I98" s="55"/>
      <c r="J98" s="55"/>
      <c r="K98" s="55"/>
      <c r="L98" s="55"/>
      <c r="M98" s="55"/>
      <c r="N98" s="23"/>
      <c r="O98" s="3"/>
      <c r="P98" s="1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</row>
    <row r="99" spans="1:53" x14ac:dyDescent="0.2">
      <c r="A99" s="3">
        <f t="shared" si="10"/>
        <v>8</v>
      </c>
      <c r="B99" s="3"/>
      <c r="C99" s="3"/>
      <c r="D99" s="3"/>
      <c r="E99" s="49"/>
      <c r="F99" s="49"/>
      <c r="G99" s="49"/>
      <c r="H99" s="55"/>
      <c r="I99" s="55"/>
      <c r="J99" s="55"/>
      <c r="K99" s="55"/>
      <c r="L99" s="55"/>
      <c r="M99" s="55"/>
      <c r="N99" s="23"/>
      <c r="O99" s="3"/>
      <c r="P99" s="1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</row>
    <row r="100" spans="1:53" x14ac:dyDescent="0.2">
      <c r="A100" s="3">
        <f t="shared" si="10"/>
        <v>9</v>
      </c>
      <c r="B100" s="3" t="s">
        <v>33</v>
      </c>
      <c r="C100" s="3"/>
      <c r="D100" s="3"/>
      <c r="E100" s="49"/>
      <c r="F100" s="49"/>
      <c r="G100" s="49"/>
      <c r="H100" s="55"/>
      <c r="I100" s="55"/>
      <c r="J100" s="55"/>
      <c r="K100" s="55"/>
      <c r="L100" s="55"/>
      <c r="M100" s="55"/>
      <c r="N100" s="23"/>
      <c r="O100" s="3"/>
      <c r="P100" s="1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</row>
    <row r="101" spans="1:53" x14ac:dyDescent="0.2">
      <c r="A101" s="3">
        <f t="shared" si="10"/>
        <v>10</v>
      </c>
      <c r="B101" s="3" t="s">
        <v>34</v>
      </c>
      <c r="C101" s="3" t="s">
        <v>35</v>
      </c>
      <c r="D101" s="78" t="s">
        <v>431</v>
      </c>
      <c r="E101" s="49" t="s">
        <v>616</v>
      </c>
      <c r="F101" s="53">
        <f>+H101</f>
        <v>0</v>
      </c>
      <c r="G101" s="53">
        <f t="shared" ref="G101:G109" si="11">+H101-F101</f>
        <v>0</v>
      </c>
      <c r="H101" s="72">
        <f>SUM(J101:M101)</f>
        <v>0</v>
      </c>
      <c r="I101" s="61"/>
      <c r="J101" s="61"/>
      <c r="K101" s="61">
        <v>0</v>
      </c>
      <c r="L101" s="61">
        <v>0</v>
      </c>
      <c r="M101" s="61">
        <v>0</v>
      </c>
      <c r="N101" s="23"/>
      <c r="O101" s="3"/>
      <c r="P101" s="1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</row>
    <row r="102" spans="1:53" x14ac:dyDescent="0.2">
      <c r="A102" s="3">
        <f t="shared" si="10"/>
        <v>11</v>
      </c>
      <c r="B102" s="3" t="s">
        <v>36</v>
      </c>
      <c r="C102" s="3" t="s">
        <v>31</v>
      </c>
      <c r="D102" s="78" t="s">
        <v>431</v>
      </c>
      <c r="E102" s="49" t="s">
        <v>616</v>
      </c>
      <c r="F102" s="53">
        <f t="shared" ref="F102:F109" si="12">+H102</f>
        <v>0</v>
      </c>
      <c r="G102" s="53">
        <f t="shared" si="11"/>
        <v>0</v>
      </c>
      <c r="H102" s="72">
        <f>SUM(J102:M102)</f>
        <v>0</v>
      </c>
      <c r="I102" s="61"/>
      <c r="J102" s="61"/>
      <c r="K102" s="61">
        <v>0</v>
      </c>
      <c r="L102" s="61">
        <v>0</v>
      </c>
      <c r="M102" s="61">
        <v>0</v>
      </c>
      <c r="N102" s="23"/>
      <c r="O102" s="3"/>
      <c r="P102" s="1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</row>
    <row r="103" spans="1:53" x14ac:dyDescent="0.2">
      <c r="A103" s="3">
        <f t="shared" si="10"/>
        <v>12</v>
      </c>
      <c r="B103" s="3" t="s">
        <v>37</v>
      </c>
      <c r="C103" s="3" t="s">
        <v>38</v>
      </c>
      <c r="D103" s="78" t="s">
        <v>431</v>
      </c>
      <c r="E103" s="49" t="s">
        <v>616</v>
      </c>
      <c r="F103" s="53">
        <f t="shared" si="12"/>
        <v>0</v>
      </c>
      <c r="G103" s="53">
        <f t="shared" si="11"/>
        <v>0</v>
      </c>
      <c r="H103" s="72">
        <f t="shared" ref="H103:H109" si="13">SUM(J103:M103)</f>
        <v>0</v>
      </c>
      <c r="I103" s="61"/>
      <c r="J103" s="61"/>
      <c r="K103" s="61">
        <v>0</v>
      </c>
      <c r="L103" s="61">
        <v>0</v>
      </c>
      <c r="M103" s="61">
        <v>0</v>
      </c>
      <c r="N103" s="23"/>
      <c r="O103" s="3"/>
      <c r="P103" s="1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 spans="1:53" x14ac:dyDescent="0.2">
      <c r="A104" s="3">
        <f t="shared" si="10"/>
        <v>13</v>
      </c>
      <c r="B104" s="3" t="s">
        <v>39</v>
      </c>
      <c r="C104" s="3" t="s">
        <v>40</v>
      </c>
      <c r="D104" s="78" t="s">
        <v>431</v>
      </c>
      <c r="E104" s="49" t="s">
        <v>616</v>
      </c>
      <c r="F104" s="53">
        <f t="shared" si="12"/>
        <v>0</v>
      </c>
      <c r="G104" s="53">
        <f t="shared" si="11"/>
        <v>0</v>
      </c>
      <c r="H104" s="72">
        <f t="shared" si="13"/>
        <v>0</v>
      </c>
      <c r="I104" s="61"/>
      <c r="J104" s="61"/>
      <c r="K104" s="61">
        <v>0</v>
      </c>
      <c r="L104" s="61">
        <v>0</v>
      </c>
      <c r="M104" s="61">
        <v>0</v>
      </c>
      <c r="N104" s="23"/>
      <c r="O104" s="3"/>
      <c r="P104" s="1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spans="1:53" x14ac:dyDescent="0.2">
      <c r="A105" s="3">
        <f t="shared" si="10"/>
        <v>14</v>
      </c>
      <c r="B105" s="3" t="s">
        <v>41</v>
      </c>
      <c r="C105" s="3" t="s">
        <v>42</v>
      </c>
      <c r="D105" s="78" t="s">
        <v>431</v>
      </c>
      <c r="E105" s="49" t="s">
        <v>616</v>
      </c>
      <c r="F105" s="53">
        <f t="shared" si="12"/>
        <v>0</v>
      </c>
      <c r="G105" s="53">
        <f t="shared" si="11"/>
        <v>0</v>
      </c>
      <c r="H105" s="72">
        <f t="shared" si="13"/>
        <v>0</v>
      </c>
      <c r="I105" s="61"/>
      <c r="J105" s="61"/>
      <c r="K105" s="61">
        <v>0</v>
      </c>
      <c r="L105" s="61">
        <v>0</v>
      </c>
      <c r="M105" s="61">
        <v>0</v>
      </c>
      <c r="N105" s="23"/>
      <c r="O105" s="3"/>
      <c r="P105" s="1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</row>
    <row r="106" spans="1:53" x14ac:dyDescent="0.2">
      <c r="A106" s="3">
        <f t="shared" si="10"/>
        <v>15</v>
      </c>
      <c r="B106" s="3" t="s">
        <v>43</v>
      </c>
      <c r="C106" s="3" t="s">
        <v>44</v>
      </c>
      <c r="D106" s="78" t="s">
        <v>431</v>
      </c>
      <c r="E106" s="49" t="s">
        <v>616</v>
      </c>
      <c r="F106" s="53">
        <f t="shared" si="12"/>
        <v>0</v>
      </c>
      <c r="G106" s="53">
        <f t="shared" si="11"/>
        <v>0</v>
      </c>
      <c r="H106" s="72">
        <f t="shared" si="13"/>
        <v>0</v>
      </c>
      <c r="I106" s="61"/>
      <c r="J106" s="61"/>
      <c r="K106" s="61">
        <v>0</v>
      </c>
      <c r="L106" s="61">
        <v>0</v>
      </c>
      <c r="M106" s="61">
        <v>0</v>
      </c>
      <c r="N106" s="23"/>
      <c r="O106" s="3"/>
      <c r="P106" s="1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1:53" x14ac:dyDescent="0.2">
      <c r="A107" s="3">
        <f t="shared" si="10"/>
        <v>16</v>
      </c>
      <c r="B107" s="3" t="s">
        <v>45</v>
      </c>
      <c r="C107" s="3" t="s">
        <v>46</v>
      </c>
      <c r="D107" s="78" t="s">
        <v>431</v>
      </c>
      <c r="E107" s="49" t="s">
        <v>616</v>
      </c>
      <c r="F107" s="53">
        <f t="shared" si="12"/>
        <v>0</v>
      </c>
      <c r="G107" s="53">
        <f t="shared" si="11"/>
        <v>0</v>
      </c>
      <c r="H107" s="72">
        <f t="shared" si="13"/>
        <v>0</v>
      </c>
      <c r="I107" s="61"/>
      <c r="J107" s="61"/>
      <c r="K107" s="61">
        <v>0</v>
      </c>
      <c r="L107" s="61">
        <v>0</v>
      </c>
      <c r="M107" s="61">
        <v>0</v>
      </c>
      <c r="N107" s="23"/>
      <c r="O107" s="3"/>
      <c r="P107" s="1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</row>
    <row r="108" spans="1:53" x14ac:dyDescent="0.2">
      <c r="A108" s="3">
        <f t="shared" si="10"/>
        <v>17</v>
      </c>
      <c r="B108" s="3" t="s">
        <v>47</v>
      </c>
      <c r="C108" s="3" t="s">
        <v>48</v>
      </c>
      <c r="D108" s="78" t="s">
        <v>431</v>
      </c>
      <c r="E108" s="49" t="s">
        <v>616</v>
      </c>
      <c r="F108" s="53">
        <f t="shared" si="12"/>
        <v>0</v>
      </c>
      <c r="G108" s="53">
        <f t="shared" si="11"/>
        <v>0</v>
      </c>
      <c r="H108" s="72">
        <f t="shared" si="13"/>
        <v>0</v>
      </c>
      <c r="I108" s="61"/>
      <c r="J108" s="61"/>
      <c r="K108" s="61">
        <v>0</v>
      </c>
      <c r="L108" s="61">
        <v>0</v>
      </c>
      <c r="M108" s="61">
        <v>0</v>
      </c>
      <c r="N108" s="23"/>
      <c r="O108" s="3"/>
      <c r="P108" s="1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1:53" x14ac:dyDescent="0.2">
      <c r="A109" s="3">
        <f t="shared" si="10"/>
        <v>18</v>
      </c>
      <c r="B109" s="3" t="s">
        <v>49</v>
      </c>
      <c r="C109" s="3" t="s">
        <v>50</v>
      </c>
      <c r="D109" s="78" t="s">
        <v>431</v>
      </c>
      <c r="E109" s="49" t="s">
        <v>616</v>
      </c>
      <c r="F109" s="53">
        <f t="shared" si="12"/>
        <v>0</v>
      </c>
      <c r="G109" s="53">
        <f t="shared" si="11"/>
        <v>0</v>
      </c>
      <c r="H109" s="72">
        <f t="shared" si="13"/>
        <v>0</v>
      </c>
      <c r="I109" s="61"/>
      <c r="J109" s="61"/>
      <c r="K109" s="61">
        <v>0</v>
      </c>
      <c r="L109" s="61">
        <v>0</v>
      </c>
      <c r="M109" s="61">
        <v>0</v>
      </c>
      <c r="N109" s="23"/>
      <c r="O109" s="3"/>
      <c r="P109" s="1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spans="1:53" x14ac:dyDescent="0.2">
      <c r="A110" s="3">
        <f t="shared" si="10"/>
        <v>19</v>
      </c>
      <c r="B110" s="3"/>
      <c r="C110" s="3"/>
      <c r="D110" s="78"/>
      <c r="E110" s="49"/>
      <c r="F110" s="49"/>
      <c r="G110" s="49"/>
      <c r="H110" s="72"/>
      <c r="I110" s="61"/>
      <c r="J110" s="61"/>
      <c r="K110" s="61"/>
      <c r="L110" s="61"/>
      <c r="M110" s="61"/>
      <c r="N110" s="23"/>
      <c r="O110" s="3"/>
      <c r="P110" s="1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1:53" x14ac:dyDescent="0.2">
      <c r="A111" s="3">
        <f t="shared" si="10"/>
        <v>20</v>
      </c>
      <c r="B111" s="3"/>
      <c r="C111" s="3" t="s">
        <v>51</v>
      </c>
      <c r="D111" s="3"/>
      <c r="E111" s="53"/>
      <c r="F111" s="53">
        <f>SUM(F101:F110)</f>
        <v>0</v>
      </c>
      <c r="G111" s="53">
        <f>SUM(G101:G110)</f>
        <v>0</v>
      </c>
      <c r="H111" s="55">
        <f>SUM(H101:H109)</f>
        <v>0</v>
      </c>
      <c r="I111" s="55"/>
      <c r="J111" s="55">
        <f>SUM(J101:J109)</f>
        <v>0</v>
      </c>
      <c r="K111" s="55">
        <f>SUM(K101:K109)</f>
        <v>0</v>
      </c>
      <c r="L111" s="55">
        <f>SUM(L101:L109)</f>
        <v>0</v>
      </c>
      <c r="M111" s="55">
        <f>SUM(M101:M109)</f>
        <v>0</v>
      </c>
      <c r="N111" s="23"/>
      <c r="O111" s="3"/>
      <c r="P111" s="1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spans="1:53" x14ac:dyDescent="0.2">
      <c r="A112" s="3">
        <f t="shared" si="10"/>
        <v>21</v>
      </c>
      <c r="B112" s="3"/>
      <c r="C112" s="3"/>
      <c r="D112" s="3"/>
      <c r="E112" s="53"/>
      <c r="F112" s="53"/>
      <c r="G112" s="53"/>
      <c r="H112" s="55"/>
      <c r="I112" s="55"/>
      <c r="J112" s="55"/>
      <c r="K112" s="55"/>
      <c r="L112" s="55"/>
      <c r="M112" s="55"/>
      <c r="N112" s="23"/>
      <c r="O112" s="3"/>
      <c r="P112" s="1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1:53" x14ac:dyDescent="0.2">
      <c r="A113" s="3">
        <f t="shared" si="10"/>
        <v>22</v>
      </c>
      <c r="B113" s="3" t="s">
        <v>52</v>
      </c>
      <c r="C113" s="3"/>
      <c r="D113" s="3"/>
      <c r="E113" s="53"/>
      <c r="F113" s="53"/>
      <c r="G113" s="53"/>
      <c r="H113" s="55"/>
      <c r="I113" s="55"/>
      <c r="J113" s="55"/>
      <c r="K113" s="55"/>
      <c r="L113" s="55"/>
      <c r="M113" s="55"/>
      <c r="N113" s="23"/>
      <c r="O113" s="3"/>
      <c r="P113" s="1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spans="1:53" x14ac:dyDescent="0.2">
      <c r="A114" s="3">
        <f t="shared" si="10"/>
        <v>23</v>
      </c>
      <c r="B114" s="3" t="s">
        <v>53</v>
      </c>
      <c r="C114" s="3" t="s">
        <v>35</v>
      </c>
      <c r="D114" s="78" t="s">
        <v>431</v>
      </c>
      <c r="E114" s="49" t="s">
        <v>616</v>
      </c>
      <c r="F114" s="53">
        <f>+H114</f>
        <v>42018494.529999994</v>
      </c>
      <c r="G114" s="53">
        <f>+H114-F114</f>
        <v>0</v>
      </c>
      <c r="H114" s="72">
        <f>SUM(J114:M114)</f>
        <v>42018494.529999994</v>
      </c>
      <c r="I114" s="61"/>
      <c r="J114" s="61"/>
      <c r="K114" s="61">
        <f>+'[1]II-B-1 Plant'!$N$34</f>
        <v>42018494.529999994</v>
      </c>
      <c r="L114" s="61">
        <v>0</v>
      </c>
      <c r="M114" s="61">
        <v>0</v>
      </c>
      <c r="N114" s="23"/>
      <c r="O114" s="3"/>
      <c r="P114" s="1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 spans="1:53" x14ac:dyDescent="0.2">
      <c r="A115" s="3">
        <f t="shared" si="10"/>
        <v>24</v>
      </c>
      <c r="B115" s="3" t="s">
        <v>54</v>
      </c>
      <c r="C115" s="3" t="s">
        <v>31</v>
      </c>
      <c r="D115" s="78" t="s">
        <v>431</v>
      </c>
      <c r="E115" s="49" t="s">
        <v>616</v>
      </c>
      <c r="F115" s="53">
        <f>+H115</f>
        <v>88124441.371371984</v>
      </c>
      <c r="G115" s="53">
        <f>+H115-F115</f>
        <v>0</v>
      </c>
      <c r="H115" s="72">
        <f>SUM(J115:M115)</f>
        <v>88124441.371371984</v>
      </c>
      <c r="I115" s="61"/>
      <c r="J115" s="61"/>
      <c r="K115" s="61">
        <f>+'[1]II-B-1 Plant'!$N$35</f>
        <v>88124441.371371984</v>
      </c>
      <c r="L115" s="61">
        <v>0</v>
      </c>
      <c r="M115" s="61">
        <v>0</v>
      </c>
      <c r="N115" s="23"/>
      <c r="O115" s="3"/>
      <c r="P115" s="1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spans="1:53" x14ac:dyDescent="0.2">
      <c r="A116" s="3">
        <f t="shared" si="10"/>
        <v>25</v>
      </c>
      <c r="B116" s="3" t="s">
        <v>55</v>
      </c>
      <c r="C116" s="3" t="s">
        <v>38</v>
      </c>
      <c r="D116" s="78" t="s">
        <v>431</v>
      </c>
      <c r="E116" s="49" t="s">
        <v>616</v>
      </c>
      <c r="F116" s="53">
        <f>+H116</f>
        <v>937709681.18433952</v>
      </c>
      <c r="G116" s="53">
        <f>+H116-F116</f>
        <v>0</v>
      </c>
      <c r="H116" s="72">
        <f>SUM(J116:M116)</f>
        <v>937709681.18433952</v>
      </c>
      <c r="I116" s="61"/>
      <c r="J116" s="61"/>
      <c r="K116" s="61">
        <f>+'[1]II-B-1 Plant'!$N$36</f>
        <v>937709681.18433952</v>
      </c>
      <c r="L116" s="61">
        <v>0</v>
      </c>
      <c r="M116" s="61">
        <v>0</v>
      </c>
      <c r="N116" s="23"/>
      <c r="O116" s="3"/>
      <c r="P116" s="1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1:53" x14ac:dyDescent="0.2">
      <c r="A117" s="3">
        <f t="shared" si="10"/>
        <v>26</v>
      </c>
      <c r="B117" s="3" t="s">
        <v>56</v>
      </c>
      <c r="C117" s="3" t="s">
        <v>57</v>
      </c>
      <c r="D117" s="78" t="s">
        <v>431</v>
      </c>
      <c r="E117" s="49" t="s">
        <v>616</v>
      </c>
      <c r="F117" s="53">
        <f>+H117</f>
        <v>0</v>
      </c>
      <c r="G117" s="53">
        <f>+H117-F117</f>
        <v>0</v>
      </c>
      <c r="H117" s="72">
        <f>SUM(J117:M117)</f>
        <v>0</v>
      </c>
      <c r="I117" s="61"/>
      <c r="J117" s="61"/>
      <c r="K117" s="61">
        <v>0</v>
      </c>
      <c r="L117" s="61">
        <v>0</v>
      </c>
      <c r="M117" s="61">
        <v>0</v>
      </c>
      <c r="N117" s="23"/>
      <c r="O117" s="3"/>
      <c r="P117" s="1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</row>
    <row r="118" spans="1:53" x14ac:dyDescent="0.2">
      <c r="A118" s="3">
        <f t="shared" si="10"/>
        <v>27</v>
      </c>
      <c r="B118" s="3" t="s">
        <v>58</v>
      </c>
      <c r="C118" s="3" t="s">
        <v>59</v>
      </c>
      <c r="D118" s="3"/>
      <c r="E118" s="49"/>
      <c r="F118" s="53"/>
      <c r="G118" s="49"/>
      <c r="H118" s="72"/>
      <c r="I118" s="55"/>
      <c r="J118" s="55"/>
      <c r="K118" s="55"/>
      <c r="L118" s="55"/>
      <c r="M118" s="55"/>
      <c r="N118" s="23"/>
      <c r="O118" s="3"/>
      <c r="P118" s="1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</row>
    <row r="119" spans="1:53" x14ac:dyDescent="0.2">
      <c r="A119" s="3">
        <f t="shared" si="10"/>
        <v>28</v>
      </c>
      <c r="B119" s="3"/>
      <c r="C119" s="3" t="s">
        <v>60</v>
      </c>
      <c r="D119" s="78" t="s">
        <v>431</v>
      </c>
      <c r="E119" s="49" t="s">
        <v>616</v>
      </c>
      <c r="F119" s="53">
        <f>+H119</f>
        <v>853923069.54807723</v>
      </c>
      <c r="G119" s="53">
        <f>+H119-F119</f>
        <v>0</v>
      </c>
      <c r="H119" s="72">
        <f>SUM(J119:M119)</f>
        <v>853923069.54807723</v>
      </c>
      <c r="I119" s="61"/>
      <c r="J119" s="61"/>
      <c r="K119" s="61">
        <f>K121*0.7021</f>
        <v>853923069.54807723</v>
      </c>
      <c r="L119" s="61">
        <v>0</v>
      </c>
      <c r="M119" s="61">
        <v>0</v>
      </c>
      <c r="N119" s="23">
        <f>+H119+H123</f>
        <v>1759553108.3642488</v>
      </c>
      <c r="O119" s="25">
        <f>+N119/N121</f>
        <v>0.76440214023519915</v>
      </c>
      <c r="P119" s="11"/>
      <c r="Q119" s="3"/>
      <c r="R119" s="3"/>
      <c r="S119" s="139"/>
      <c r="T119" s="139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</row>
    <row r="120" spans="1:53" x14ac:dyDescent="0.2">
      <c r="A120" s="3">
        <f t="shared" si="10"/>
        <v>29</v>
      </c>
      <c r="B120" s="3"/>
      <c r="C120" s="3" t="s">
        <v>61</v>
      </c>
      <c r="D120" s="78" t="s">
        <v>431</v>
      </c>
      <c r="E120" s="49" t="s">
        <v>616</v>
      </c>
      <c r="F120" s="53">
        <f>+H120</f>
        <v>362318305.68063271</v>
      </c>
      <c r="G120" s="53">
        <f>+H120-F120</f>
        <v>0</v>
      </c>
      <c r="H120" s="72">
        <f>SUM(J120:M120)</f>
        <v>362318305.68063271</v>
      </c>
      <c r="I120" s="61"/>
      <c r="J120" s="61"/>
      <c r="K120" s="61">
        <f>K121*0.2979</f>
        <v>362318305.68063271</v>
      </c>
      <c r="L120" s="61">
        <v>0</v>
      </c>
      <c r="M120" s="61">
        <v>0</v>
      </c>
      <c r="N120" s="23">
        <f>+H120+H124</f>
        <v>542315261.3695817</v>
      </c>
      <c r="O120" s="25">
        <f>+N120/N121</f>
        <v>0.23559785976480083</v>
      </c>
      <c r="P120" s="1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spans="1:53" x14ac:dyDescent="0.2">
      <c r="A121" s="3">
        <f t="shared" si="10"/>
        <v>30</v>
      </c>
      <c r="B121" s="3"/>
      <c r="C121" s="3" t="s">
        <v>62</v>
      </c>
      <c r="D121" s="3"/>
      <c r="E121" s="49"/>
      <c r="F121" s="53">
        <f>SUM(F119:F120)</f>
        <v>1216241375.2287099</v>
      </c>
      <c r="G121" s="53">
        <f>SUM(G119:G120)</f>
        <v>0</v>
      </c>
      <c r="H121" s="55">
        <f>SUM(H119:H120)</f>
        <v>1216241375.2287099</v>
      </c>
      <c r="I121" s="55"/>
      <c r="J121" s="55">
        <v>0</v>
      </c>
      <c r="K121" s="55">
        <f>+'[1]II-B-1 Plant'!$N$38</f>
        <v>1216241375.2287099</v>
      </c>
      <c r="L121" s="55">
        <v>0</v>
      </c>
      <c r="M121" s="55">
        <v>0</v>
      </c>
      <c r="N121" s="23">
        <f>SUM(N119:N120)</f>
        <v>2301868369.7338305</v>
      </c>
      <c r="O121" s="3"/>
      <c r="P121" s="1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</row>
    <row r="122" spans="1:53" x14ac:dyDescent="0.2">
      <c r="A122" s="3">
        <f t="shared" si="10"/>
        <v>31</v>
      </c>
      <c r="B122" s="3" t="s">
        <v>63</v>
      </c>
      <c r="C122" s="3" t="s">
        <v>44</v>
      </c>
      <c r="D122" s="3"/>
      <c r="E122" s="49"/>
      <c r="F122" s="53"/>
      <c r="G122" s="49"/>
      <c r="H122" s="55"/>
      <c r="I122" s="55"/>
      <c r="J122" s="55"/>
      <c r="K122" s="55"/>
      <c r="L122" s="55"/>
      <c r="M122" s="55"/>
      <c r="N122" s="23"/>
      <c r="O122" s="3"/>
      <c r="P122" s="1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spans="1:53" x14ac:dyDescent="0.2">
      <c r="A123" s="3">
        <f t="shared" si="10"/>
        <v>32</v>
      </c>
      <c r="B123" s="3"/>
      <c r="C123" s="3" t="s">
        <v>60</v>
      </c>
      <c r="D123" s="78" t="s">
        <v>431</v>
      </c>
      <c r="E123" s="49" t="s">
        <v>616</v>
      </c>
      <c r="F123" s="53">
        <f>+H123</f>
        <v>905630038.81617165</v>
      </c>
      <c r="G123" s="53">
        <f>+H123-F123</f>
        <v>0</v>
      </c>
      <c r="H123" s="72">
        <f>SUM(J123:M123)</f>
        <v>905630038.81617165</v>
      </c>
      <c r="I123" s="61"/>
      <c r="J123" s="61"/>
      <c r="K123" s="61">
        <f>K125*0.8342</f>
        <v>905630038.81617165</v>
      </c>
      <c r="L123" s="61">
        <v>0</v>
      </c>
      <c r="M123" s="61">
        <v>0</v>
      </c>
      <c r="N123" s="23"/>
      <c r="O123" s="3"/>
      <c r="P123" s="1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</row>
    <row r="124" spans="1:53" x14ac:dyDescent="0.2">
      <c r="A124" s="3">
        <f t="shared" si="10"/>
        <v>33</v>
      </c>
      <c r="B124" s="3"/>
      <c r="C124" s="3" t="s">
        <v>61</v>
      </c>
      <c r="D124" s="78" t="s">
        <v>431</v>
      </c>
      <c r="E124" s="49" t="s">
        <v>616</v>
      </c>
      <c r="F124" s="53">
        <f>+H124</f>
        <v>179996955.68894899</v>
      </c>
      <c r="G124" s="53">
        <f>+H124-F124</f>
        <v>0</v>
      </c>
      <c r="H124" s="72">
        <f>SUM(J124:M124)</f>
        <v>179996955.68894899</v>
      </c>
      <c r="I124" s="61"/>
      <c r="J124" s="61"/>
      <c r="K124" s="61">
        <f>K125*0.1658</f>
        <v>179996955.68894899</v>
      </c>
      <c r="L124" s="61">
        <v>0</v>
      </c>
      <c r="M124" s="61">
        <v>0</v>
      </c>
      <c r="N124" s="23"/>
      <c r="O124" s="3"/>
      <c r="P124" s="1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 spans="1:53" x14ac:dyDescent="0.2">
      <c r="A125" s="3">
        <f t="shared" ref="A125:A147" si="14">+A124+1</f>
        <v>34</v>
      </c>
      <c r="B125" s="3"/>
      <c r="C125" s="3" t="s">
        <v>432</v>
      </c>
      <c r="D125" s="3"/>
      <c r="E125" s="49"/>
      <c r="F125" s="53">
        <f>SUM(F123:F124)</f>
        <v>1085626994.5051208</v>
      </c>
      <c r="G125" s="53">
        <f>SUM(G123:G124)</f>
        <v>0</v>
      </c>
      <c r="H125" s="55">
        <f>SUM(H123:H124)</f>
        <v>1085626994.5051208</v>
      </c>
      <c r="I125" s="55"/>
      <c r="J125" s="55">
        <v>0</v>
      </c>
      <c r="K125" s="55">
        <f>+'[1]II-B-1 Plant'!$N$39</f>
        <v>1085626994.5051205</v>
      </c>
      <c r="L125" s="55">
        <v>0</v>
      </c>
      <c r="M125" s="55">
        <v>0</v>
      </c>
      <c r="N125" s="23"/>
      <c r="O125" s="3"/>
      <c r="P125" s="1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</row>
    <row r="126" spans="1:53" x14ac:dyDescent="0.2">
      <c r="A126" s="3">
        <f t="shared" si="14"/>
        <v>35</v>
      </c>
      <c r="B126" s="3"/>
      <c r="C126" s="3"/>
      <c r="D126" s="3"/>
      <c r="E126" s="49"/>
      <c r="F126" s="53"/>
      <c r="G126" s="49"/>
      <c r="H126" s="55"/>
      <c r="I126" s="55"/>
      <c r="J126" s="55"/>
      <c r="K126" s="55"/>
      <c r="L126" s="55"/>
      <c r="M126" s="55"/>
      <c r="N126" s="23"/>
      <c r="O126" s="3"/>
      <c r="P126" s="1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spans="1:53" x14ac:dyDescent="0.2">
      <c r="A127" s="3">
        <f t="shared" si="14"/>
        <v>36</v>
      </c>
      <c r="B127" s="3" t="s">
        <v>64</v>
      </c>
      <c r="C127" s="3" t="s">
        <v>65</v>
      </c>
      <c r="D127" s="3"/>
      <c r="E127" s="49"/>
      <c r="F127" s="53"/>
      <c r="G127" s="49"/>
      <c r="H127" s="72"/>
      <c r="I127" s="61"/>
      <c r="J127" s="61"/>
      <c r="K127" s="61"/>
      <c r="L127" s="61"/>
      <c r="M127" s="61"/>
      <c r="N127" s="23"/>
      <c r="O127" s="3"/>
      <c r="P127" s="1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</row>
    <row r="128" spans="1:53" x14ac:dyDescent="0.2">
      <c r="A128" s="3">
        <f t="shared" si="14"/>
        <v>37</v>
      </c>
      <c r="B128" s="3"/>
      <c r="C128" s="3" t="s">
        <v>60</v>
      </c>
      <c r="D128" s="78" t="s">
        <v>431</v>
      </c>
      <c r="E128" s="49" t="s">
        <v>616</v>
      </c>
      <c r="F128" s="53">
        <f>+H128</f>
        <v>74685543.970560044</v>
      </c>
      <c r="G128" s="53">
        <f>+H128-F128</f>
        <v>0</v>
      </c>
      <c r="H128" s="72">
        <f>SUM(J128:M128)</f>
        <v>74685543.970560044</v>
      </c>
      <c r="I128" s="61"/>
      <c r="J128" s="61"/>
      <c r="K128" s="61">
        <f>K130*0.5991</f>
        <v>74685543.970560044</v>
      </c>
      <c r="L128" s="61">
        <v>0</v>
      </c>
      <c r="M128" s="61">
        <v>0</v>
      </c>
      <c r="N128" s="23"/>
      <c r="O128" s="3"/>
      <c r="P128" s="1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spans="1:53" x14ac:dyDescent="0.2">
      <c r="A129" s="3">
        <f t="shared" si="14"/>
        <v>38</v>
      </c>
      <c r="B129" s="3"/>
      <c r="C129" s="3" t="s">
        <v>61</v>
      </c>
      <c r="D129" s="78" t="s">
        <v>431</v>
      </c>
      <c r="E129" s="49" t="s">
        <v>616</v>
      </c>
      <c r="F129" s="53">
        <f>+H129</f>
        <v>49977356.998493612</v>
      </c>
      <c r="G129" s="53">
        <f>+H129-F129</f>
        <v>0</v>
      </c>
      <c r="H129" s="72">
        <f>SUM(J129:M129)</f>
        <v>49977356.998493612</v>
      </c>
      <c r="I129" s="61"/>
      <c r="J129" s="61"/>
      <c r="K129" s="61">
        <f>K130*0.4009</f>
        <v>49977356.998493612</v>
      </c>
      <c r="L129" s="61">
        <v>0</v>
      </c>
      <c r="M129" s="61">
        <v>0</v>
      </c>
      <c r="N129" s="23"/>
      <c r="O129" s="3"/>
      <c r="P129" s="1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</row>
    <row r="130" spans="1:53" x14ac:dyDescent="0.2">
      <c r="A130" s="3">
        <f t="shared" si="14"/>
        <v>39</v>
      </c>
      <c r="B130" s="3"/>
      <c r="C130" s="3" t="s">
        <v>359</v>
      </c>
      <c r="D130" s="3"/>
      <c r="E130" s="49"/>
      <c r="F130" s="53">
        <f>SUM(F128:F129)</f>
        <v>124662900.96905366</v>
      </c>
      <c r="G130" s="53">
        <f>SUM(G128:G129)</f>
        <v>0</v>
      </c>
      <c r="H130" s="72">
        <f>+H129+H128</f>
        <v>124662900.96905366</v>
      </c>
      <c r="I130" s="72"/>
      <c r="J130" s="72">
        <v>0</v>
      </c>
      <c r="K130" s="72">
        <f>+'[1]II-B-1 Plant'!$N$40</f>
        <v>124662900.96905367</v>
      </c>
      <c r="L130" s="72">
        <v>0</v>
      </c>
      <c r="M130" s="72">
        <v>0</v>
      </c>
      <c r="N130" s="23"/>
      <c r="O130" s="3"/>
      <c r="P130" s="1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spans="1:53" x14ac:dyDescent="0.2">
      <c r="A131" s="3">
        <f t="shared" si="14"/>
        <v>40</v>
      </c>
      <c r="B131" s="3"/>
      <c r="C131" s="3"/>
      <c r="D131" s="3"/>
      <c r="E131" s="49"/>
      <c r="F131" s="53"/>
      <c r="G131" s="49"/>
      <c r="H131" s="55"/>
      <c r="I131" s="55"/>
      <c r="J131" s="55"/>
      <c r="K131" s="55"/>
      <c r="L131" s="55"/>
      <c r="M131" s="55"/>
      <c r="N131" s="23"/>
      <c r="O131" s="3"/>
      <c r="P131" s="1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</row>
    <row r="132" spans="1:53" x14ac:dyDescent="0.2">
      <c r="A132" s="3">
        <f t="shared" si="14"/>
        <v>41</v>
      </c>
      <c r="B132" s="3" t="s">
        <v>66</v>
      </c>
      <c r="C132" s="3" t="s">
        <v>67</v>
      </c>
      <c r="D132" s="3"/>
      <c r="E132" s="49"/>
      <c r="F132" s="53"/>
      <c r="G132" s="49"/>
      <c r="H132" s="55"/>
      <c r="I132" s="55"/>
      <c r="J132" s="55"/>
      <c r="K132" s="55"/>
      <c r="L132" s="55"/>
      <c r="M132" s="55"/>
      <c r="N132" s="23"/>
      <c r="O132" s="3"/>
      <c r="P132" s="1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spans="1:53" x14ac:dyDescent="0.2">
      <c r="A133" s="3">
        <f t="shared" si="14"/>
        <v>42</v>
      </c>
      <c r="B133" s="3"/>
      <c r="C133" s="3" t="s">
        <v>60</v>
      </c>
      <c r="D133" s="78" t="s">
        <v>431</v>
      </c>
      <c r="E133" s="49" t="s">
        <v>616</v>
      </c>
      <c r="F133" s="53">
        <f>+H133</f>
        <v>299733213.18303227</v>
      </c>
      <c r="G133" s="53">
        <f>+H133-F133</f>
        <v>0</v>
      </c>
      <c r="H133" s="72">
        <f>SUM(J133:M133)</f>
        <v>299733213.18303227</v>
      </c>
      <c r="I133" s="61"/>
      <c r="J133" s="61"/>
      <c r="K133" s="61">
        <f>K135*0.5991</f>
        <v>299733213.18303227</v>
      </c>
      <c r="L133" s="61">
        <v>0</v>
      </c>
      <c r="M133" s="61">
        <v>0</v>
      </c>
      <c r="N133" s="23"/>
      <c r="O133" s="3"/>
      <c r="P133" s="1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</row>
    <row r="134" spans="1:53" x14ac:dyDescent="0.2">
      <c r="A134" s="3">
        <f t="shared" si="14"/>
        <v>43</v>
      </c>
      <c r="B134" s="3"/>
      <c r="C134" s="3" t="s">
        <v>61</v>
      </c>
      <c r="D134" s="78" t="s">
        <v>431</v>
      </c>
      <c r="E134" s="49" t="s">
        <v>616</v>
      </c>
      <c r="F134" s="53">
        <f>+H134</f>
        <v>200572600.84306064</v>
      </c>
      <c r="G134" s="53">
        <f>+H134-F134</f>
        <v>0</v>
      </c>
      <c r="H134" s="174">
        <f>SUM(J134:M134)</f>
        <v>200572600.84306064</v>
      </c>
      <c r="I134" s="62"/>
      <c r="J134" s="62"/>
      <c r="K134" s="62">
        <f>K135*0.4009</f>
        <v>200572600.84306064</v>
      </c>
      <c r="L134" s="62">
        <v>0</v>
      </c>
      <c r="M134" s="62">
        <v>0</v>
      </c>
      <c r="N134" s="23"/>
      <c r="O134" s="3"/>
      <c r="P134" s="1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spans="1:53" x14ac:dyDescent="0.2">
      <c r="A135" s="3">
        <f t="shared" si="14"/>
        <v>44</v>
      </c>
      <c r="B135" s="3"/>
      <c r="C135" s="3" t="s">
        <v>68</v>
      </c>
      <c r="D135" s="3"/>
      <c r="E135" s="49"/>
      <c r="F135" s="53">
        <f>SUM(F133:F134)</f>
        <v>500305814.02609289</v>
      </c>
      <c r="G135" s="53">
        <f>SUM(G133:G134)</f>
        <v>0</v>
      </c>
      <c r="H135" s="55">
        <f>SUM(H133:H134)</f>
        <v>500305814.02609289</v>
      </c>
      <c r="I135" s="55"/>
      <c r="J135" s="55">
        <v>0</v>
      </c>
      <c r="K135" s="55">
        <f>+'[1]II-B-1 Plant'!$N$41</f>
        <v>500305814.02609295</v>
      </c>
      <c r="L135" s="55">
        <v>0</v>
      </c>
      <c r="M135" s="55">
        <v>0</v>
      </c>
      <c r="N135" s="23"/>
      <c r="O135" s="3"/>
      <c r="P135" s="1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</row>
    <row r="136" spans="1:53" x14ac:dyDescent="0.2">
      <c r="A136" s="3">
        <f t="shared" si="14"/>
        <v>45</v>
      </c>
      <c r="B136" s="3" t="s">
        <v>69</v>
      </c>
      <c r="C136" s="3" t="s">
        <v>70</v>
      </c>
      <c r="D136" s="78"/>
      <c r="E136" s="49"/>
      <c r="F136" s="53"/>
      <c r="G136" s="49"/>
      <c r="H136" s="72"/>
      <c r="I136" s="61"/>
      <c r="J136" s="61"/>
      <c r="K136" s="61"/>
      <c r="L136" s="61"/>
      <c r="M136" s="61"/>
      <c r="N136" s="23"/>
      <c r="O136" s="3"/>
      <c r="P136" s="1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</row>
    <row r="137" spans="1:53" x14ac:dyDescent="0.2">
      <c r="A137" s="3">
        <f t="shared" si="14"/>
        <v>46</v>
      </c>
      <c r="B137" s="3"/>
      <c r="C137" s="3" t="s">
        <v>60</v>
      </c>
      <c r="D137" s="78" t="s">
        <v>431</v>
      </c>
      <c r="E137" s="49" t="s">
        <v>616</v>
      </c>
      <c r="F137" s="53">
        <f>+H137</f>
        <v>95170291.662730128</v>
      </c>
      <c r="G137" s="53">
        <f>+H137-F137</f>
        <v>0</v>
      </c>
      <c r="H137" s="72">
        <f>SUM(J137:M137)</f>
        <v>95170291.662730128</v>
      </c>
      <c r="I137" s="61"/>
      <c r="J137" s="61"/>
      <c r="K137" s="61">
        <f>K139*0.1044</f>
        <v>95170291.662730128</v>
      </c>
      <c r="L137" s="61">
        <v>0</v>
      </c>
      <c r="M137" s="61">
        <v>0</v>
      </c>
      <c r="N137" s="23"/>
      <c r="O137" s="3"/>
      <c r="P137" s="1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</row>
    <row r="138" spans="1:53" x14ac:dyDescent="0.2">
      <c r="A138" s="3">
        <f t="shared" si="14"/>
        <v>47</v>
      </c>
      <c r="B138" s="3"/>
      <c r="C138" s="3" t="s">
        <v>61</v>
      </c>
      <c r="D138" s="78" t="s">
        <v>431</v>
      </c>
      <c r="E138" s="49" t="s">
        <v>616</v>
      </c>
      <c r="F138" s="53">
        <f>+H138</f>
        <v>816422540.35575747</v>
      </c>
      <c r="G138" s="53">
        <f>+H138-F138</f>
        <v>0</v>
      </c>
      <c r="H138" s="72">
        <f>SUM(J138:M138)</f>
        <v>816422540.35575747</v>
      </c>
      <c r="I138" s="61"/>
      <c r="J138" s="61"/>
      <c r="K138" s="61">
        <f>K139*0.8956</f>
        <v>816422540.35575747</v>
      </c>
      <c r="L138" s="61">
        <v>0</v>
      </c>
      <c r="M138" s="61">
        <v>0</v>
      </c>
      <c r="N138" s="23"/>
      <c r="O138" s="3"/>
      <c r="P138" s="1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 spans="1:53" x14ac:dyDescent="0.2">
      <c r="A139" s="3">
        <f t="shared" si="14"/>
        <v>48</v>
      </c>
      <c r="B139" s="3"/>
      <c r="C139" s="3" t="s">
        <v>71</v>
      </c>
      <c r="D139" s="3"/>
      <c r="E139" s="49"/>
      <c r="F139" s="53">
        <f>SUM(F137:F138)</f>
        <v>911592832.01848757</v>
      </c>
      <c r="G139" s="53">
        <f>SUM(G137:G138)</f>
        <v>0</v>
      </c>
      <c r="H139" s="55">
        <f>SUM(H137:H138)</f>
        <v>911592832.01848757</v>
      </c>
      <c r="I139" s="55"/>
      <c r="J139" s="55">
        <v>0</v>
      </c>
      <c r="K139" s="55">
        <f>+'[1]II-B-1 Plant'!$N$42</f>
        <v>911592832.01848769</v>
      </c>
      <c r="L139" s="55">
        <v>0</v>
      </c>
      <c r="M139" s="55">
        <v>0</v>
      </c>
      <c r="N139" s="23"/>
      <c r="O139" s="3"/>
      <c r="P139" s="1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</row>
    <row r="140" spans="1:53" x14ac:dyDescent="0.2">
      <c r="A140" s="3">
        <f t="shared" si="14"/>
        <v>49</v>
      </c>
      <c r="B140" s="3"/>
      <c r="C140" s="3"/>
      <c r="D140" s="3"/>
      <c r="E140" s="49"/>
      <c r="F140" s="53"/>
      <c r="G140" s="49"/>
      <c r="H140" s="55"/>
      <c r="I140" s="55"/>
      <c r="J140" s="55"/>
      <c r="K140" s="55"/>
      <c r="L140" s="55"/>
      <c r="M140" s="55"/>
      <c r="N140" s="23"/>
      <c r="O140" s="3"/>
      <c r="P140" s="1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:53" x14ac:dyDescent="0.2">
      <c r="A141" s="3">
        <f t="shared" si="14"/>
        <v>50</v>
      </c>
      <c r="B141" s="3" t="s">
        <v>72</v>
      </c>
      <c r="C141" s="3" t="s">
        <v>73</v>
      </c>
      <c r="D141" s="78" t="s">
        <v>431</v>
      </c>
      <c r="E141" s="49" t="s">
        <v>616</v>
      </c>
      <c r="F141" s="53">
        <f t="shared" ref="F141:F146" si="15">+H141</f>
        <v>410580313.29993504</v>
      </c>
      <c r="G141" s="53">
        <f>+H141-F141</f>
        <v>0</v>
      </c>
      <c r="H141" s="72">
        <f t="shared" ref="H141:H146" si="16">SUM(J141:M141)</f>
        <v>410580313.29993504</v>
      </c>
      <c r="I141" s="61"/>
      <c r="J141" s="61"/>
      <c r="K141" s="61">
        <f>+'[1]II-B-1 Plant'!$N$43</f>
        <v>410580313.29993504</v>
      </c>
      <c r="L141" s="61">
        <v>0</v>
      </c>
      <c r="M141" s="61">
        <v>0</v>
      </c>
      <c r="N141" s="23"/>
      <c r="O141" s="3"/>
      <c r="P141" s="1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1:53" x14ac:dyDescent="0.2">
      <c r="A142" s="3">
        <f t="shared" si="14"/>
        <v>51</v>
      </c>
      <c r="B142" s="3" t="s">
        <v>74</v>
      </c>
      <c r="C142" s="3" t="s">
        <v>75</v>
      </c>
      <c r="D142" s="78" t="s">
        <v>431</v>
      </c>
      <c r="E142" s="49" t="s">
        <v>616</v>
      </c>
      <c r="F142" s="53">
        <f t="shared" si="15"/>
        <v>48515731.413830578</v>
      </c>
      <c r="G142" s="53">
        <f>+H142-F142</f>
        <v>0</v>
      </c>
      <c r="H142" s="72">
        <f t="shared" si="16"/>
        <v>48515731.413830578</v>
      </c>
      <c r="I142" s="61"/>
      <c r="J142" s="61"/>
      <c r="K142" s="61">
        <v>0</v>
      </c>
      <c r="L142" s="61">
        <f>+'[1]II-B-1 Plant'!$O$44</f>
        <v>48515731.413830578</v>
      </c>
      <c r="M142" s="61">
        <v>0</v>
      </c>
      <c r="N142" s="23"/>
      <c r="O142" s="3"/>
      <c r="P142" s="1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1:53" x14ac:dyDescent="0.2">
      <c r="A143" s="3">
        <f t="shared" si="14"/>
        <v>52</v>
      </c>
      <c r="B143" s="3" t="s">
        <v>76</v>
      </c>
      <c r="C143" s="3" t="s">
        <v>77</v>
      </c>
      <c r="D143" s="78" t="s">
        <v>431</v>
      </c>
      <c r="E143" s="49" t="s">
        <v>616</v>
      </c>
      <c r="F143" s="53">
        <f t="shared" si="15"/>
        <v>74059352.817488492</v>
      </c>
      <c r="G143" s="53">
        <f>+H143-F143</f>
        <v>0</v>
      </c>
      <c r="H143" s="72">
        <f t="shared" si="16"/>
        <v>74059352.817488492</v>
      </c>
      <c r="I143" s="61"/>
      <c r="J143" s="61"/>
      <c r="K143" s="61">
        <f>+'[1]II-B-1 Plant'!$N$46</f>
        <v>74059352.817488492</v>
      </c>
      <c r="L143" s="61">
        <v>0</v>
      </c>
      <c r="M143" s="61">
        <v>0</v>
      </c>
      <c r="N143" s="23"/>
      <c r="O143" s="3"/>
      <c r="P143" s="1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</row>
    <row r="144" spans="1:53" x14ac:dyDescent="0.2">
      <c r="A144" s="3">
        <f t="shared" si="14"/>
        <v>53</v>
      </c>
      <c r="B144" s="3" t="s">
        <v>78</v>
      </c>
      <c r="C144" s="3" t="s">
        <v>79</v>
      </c>
      <c r="D144" s="78" t="s">
        <v>431</v>
      </c>
      <c r="E144" s="49" t="s">
        <v>616</v>
      </c>
      <c r="F144" s="53">
        <f t="shared" si="15"/>
        <v>87033.378432706901</v>
      </c>
      <c r="G144" s="53">
        <f>+H144-F144</f>
        <v>0</v>
      </c>
      <c r="H144" s="72">
        <f t="shared" si="16"/>
        <v>87033.378432706901</v>
      </c>
      <c r="I144" s="61"/>
      <c r="J144" s="61"/>
      <c r="K144" s="61">
        <f>+'[1]II-B-1 Plant'!$N$47</f>
        <v>87033.378432706901</v>
      </c>
      <c r="L144" s="61">
        <v>0</v>
      </c>
      <c r="M144" s="61">
        <v>0</v>
      </c>
      <c r="N144" s="23"/>
      <c r="O144" s="3"/>
      <c r="P144" s="1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:53" x14ac:dyDescent="0.2">
      <c r="A145" s="3">
        <f t="shared" si="14"/>
        <v>54</v>
      </c>
      <c r="B145" s="3" t="s">
        <v>80</v>
      </c>
      <c r="C145" s="3" t="s">
        <v>81</v>
      </c>
      <c r="D145" s="78" t="s">
        <v>431</v>
      </c>
      <c r="E145" s="49" t="s">
        <v>616</v>
      </c>
      <c r="F145" s="53">
        <f t="shared" si="15"/>
        <v>139927776.80823046</v>
      </c>
      <c r="G145" s="53">
        <f>+H145-F145</f>
        <v>0</v>
      </c>
      <c r="H145" s="72">
        <f t="shared" si="16"/>
        <v>139927776.80823046</v>
      </c>
      <c r="I145" s="61"/>
      <c r="J145" s="61"/>
      <c r="K145" s="61">
        <f>+'[1]II-B-1 Plant'!$N$48</f>
        <v>139927776.80823046</v>
      </c>
      <c r="L145" s="61">
        <v>0</v>
      </c>
      <c r="M145" s="61">
        <v>0</v>
      </c>
      <c r="N145" s="23"/>
      <c r="O145" s="3"/>
      <c r="P145" s="1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:53" x14ac:dyDescent="0.2">
      <c r="A146" s="3">
        <f t="shared" si="14"/>
        <v>55</v>
      </c>
      <c r="B146" s="3" t="s">
        <v>818</v>
      </c>
      <c r="C146" s="3" t="s">
        <v>817</v>
      </c>
      <c r="D146" s="78" t="s">
        <v>431</v>
      </c>
      <c r="E146" s="49" t="s">
        <v>617</v>
      </c>
      <c r="F146" s="53">
        <f t="shared" si="15"/>
        <v>163006130.57725033</v>
      </c>
      <c r="G146" s="49"/>
      <c r="H146" s="72">
        <f t="shared" si="16"/>
        <v>163006130.57725033</v>
      </c>
      <c r="I146" s="61"/>
      <c r="J146" s="61"/>
      <c r="K146" s="61">
        <f>+'[1]II-B-1 Plant'!$N$49</f>
        <v>0</v>
      </c>
      <c r="L146" s="61">
        <f>+'[1]II-B-1 Plant'!$O$45</f>
        <v>163006130.57725033</v>
      </c>
      <c r="M146" s="61"/>
      <c r="N146" s="23"/>
      <c r="O146" s="3"/>
      <c r="P146" s="1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 x14ac:dyDescent="0.2">
      <c r="A147" s="3">
        <f t="shared" si="14"/>
        <v>56</v>
      </c>
      <c r="B147" s="3"/>
      <c r="C147" s="3" t="s">
        <v>82</v>
      </c>
      <c r="D147" s="3"/>
      <c r="E147" s="60"/>
      <c r="F147" s="60">
        <f>SUM(F114:F117,F121,F125,F130,F135,F139,F141:F145)</f>
        <v>5579452741.5510941</v>
      </c>
      <c r="G147" s="53">
        <f>SUM(G114:G117,G121,G125,G130,G135,G139,G141:G145)</f>
        <v>0</v>
      </c>
      <c r="H147" s="55">
        <f>SUM(I147:M147)</f>
        <v>5742458872.1283445</v>
      </c>
      <c r="I147" s="55"/>
      <c r="J147" s="55">
        <f>SUM(J114:J117,J121,J125,J130,J135,J139,J141:J145)</f>
        <v>0</v>
      </c>
      <c r="K147" s="55">
        <f>SUM(K114:K117,K121,K125,K130,K135,K139,K141:K146)</f>
        <v>5530937010.1372633</v>
      </c>
      <c r="L147" s="55">
        <f>SUM(L114:L117,L121,L125,L130,L135,L139,L141:L146)</f>
        <v>211521861.99108091</v>
      </c>
      <c r="M147" s="55">
        <f>SUM(M114:M117,M121,M125,M130,M135,M139,M141:M146)</f>
        <v>0</v>
      </c>
      <c r="N147" s="23"/>
      <c r="O147" s="3"/>
      <c r="P147" s="1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spans="1:53" x14ac:dyDescent="0.2">
      <c r="A148" s="3"/>
      <c r="B148" s="7" t="s">
        <v>83</v>
      </c>
      <c r="C148" s="3"/>
      <c r="D148" s="3"/>
      <c r="E148" s="83"/>
      <c r="F148" s="83"/>
      <c r="G148" s="83"/>
      <c r="H148" s="55"/>
      <c r="I148" s="55"/>
      <c r="J148" s="55"/>
      <c r="K148" s="55"/>
      <c r="L148" s="55"/>
      <c r="M148" s="55"/>
      <c r="N148" s="23"/>
      <c r="O148" s="3"/>
      <c r="P148" s="1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 x14ac:dyDescent="0.2">
      <c r="A149" s="3"/>
      <c r="B149" s="3"/>
      <c r="C149" s="3"/>
      <c r="D149" s="3"/>
      <c r="E149" s="83"/>
      <c r="F149" s="83"/>
      <c r="G149" s="83"/>
      <c r="H149" s="55"/>
      <c r="I149" s="55"/>
      <c r="J149" s="55"/>
      <c r="K149" s="55"/>
      <c r="L149" s="55"/>
      <c r="M149" s="55"/>
      <c r="N149" s="23"/>
      <c r="O149" s="3"/>
      <c r="P149" s="1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:53" x14ac:dyDescent="0.2">
      <c r="A150" s="3">
        <v>1</v>
      </c>
      <c r="B150" s="3" t="s">
        <v>84</v>
      </c>
      <c r="C150" s="3"/>
      <c r="D150" s="3"/>
      <c r="E150" s="49"/>
      <c r="F150" s="49"/>
      <c r="G150" s="49"/>
      <c r="H150" s="55"/>
      <c r="I150" s="55"/>
      <c r="J150" s="55"/>
      <c r="K150" s="55"/>
      <c r="L150" s="55"/>
      <c r="M150" s="55"/>
      <c r="N150" s="23"/>
      <c r="O150" s="3"/>
      <c r="P150" s="1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 x14ac:dyDescent="0.2">
      <c r="A151" s="3">
        <f t="shared" ref="A151:A191" si="17">+A150+1</f>
        <v>2</v>
      </c>
      <c r="B151" s="3" t="s">
        <v>85</v>
      </c>
      <c r="C151" s="3" t="s">
        <v>35</v>
      </c>
      <c r="D151" s="78" t="s">
        <v>431</v>
      </c>
      <c r="E151" s="49" t="s">
        <v>617</v>
      </c>
      <c r="F151" s="53">
        <f>+H151</f>
        <v>32445048.250000007</v>
      </c>
      <c r="G151" s="53">
        <f t="shared" ref="G151:G160" si="18">+H151-F151</f>
        <v>0</v>
      </c>
      <c r="H151" s="72">
        <f t="shared" ref="H151:H160" si="19">SUM(J151:M151)</f>
        <v>32445048.250000007</v>
      </c>
      <c r="I151" s="61"/>
      <c r="J151" s="61"/>
      <c r="K151" s="61">
        <f>+'[1]II-B-2 General Plant'!N16</f>
        <v>31789028.747508913</v>
      </c>
      <c r="L151" s="61">
        <f>+'[1]II-B-2 General Plant'!O16</f>
        <v>170309.80331436262</v>
      </c>
      <c r="M151" s="61">
        <f>+'[1]II-B-2 General Plant'!P16</f>
        <v>485709.69917673239</v>
      </c>
      <c r="N151" s="23"/>
      <c r="O151" s="3"/>
      <c r="P151" s="1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:53" x14ac:dyDescent="0.2">
      <c r="A152" s="3">
        <f t="shared" si="17"/>
        <v>3</v>
      </c>
      <c r="B152" s="3" t="s">
        <v>86</v>
      </c>
      <c r="C152" s="3" t="s">
        <v>31</v>
      </c>
      <c r="D152" s="78" t="s">
        <v>431</v>
      </c>
      <c r="E152" s="49" t="s">
        <v>617</v>
      </c>
      <c r="F152" s="53">
        <f t="shared" ref="F152:F160" si="20">+H152</f>
        <v>323884100.13079816</v>
      </c>
      <c r="G152" s="53">
        <f t="shared" si="18"/>
        <v>0</v>
      </c>
      <c r="H152" s="72">
        <f t="shared" si="19"/>
        <v>323884100.13079816</v>
      </c>
      <c r="I152" s="61"/>
      <c r="J152" s="61"/>
      <c r="K152" s="61">
        <f>+'[1]II-B-2 General Plant'!N17</f>
        <v>317335357.01920229</v>
      </c>
      <c r="L152" s="61">
        <f>+'[1]II-B-2 General Plant'!O17</f>
        <v>1700124.9917982647</v>
      </c>
      <c r="M152" s="61">
        <f>+'[1]II-B-2 General Plant'!P17</f>
        <v>4848618.1197975753</v>
      </c>
      <c r="N152" s="23"/>
      <c r="O152" s="3"/>
      <c r="P152" s="1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 x14ac:dyDescent="0.2">
      <c r="A153" s="3">
        <f t="shared" si="17"/>
        <v>4</v>
      </c>
      <c r="B153" s="3" t="s">
        <v>87</v>
      </c>
      <c r="C153" s="3" t="s">
        <v>88</v>
      </c>
      <c r="D153" s="78" t="s">
        <v>431</v>
      </c>
      <c r="E153" s="49" t="s">
        <v>617</v>
      </c>
      <c r="F153" s="53">
        <f t="shared" si="20"/>
        <v>7711246.1874785684</v>
      </c>
      <c r="G153" s="53">
        <f t="shared" si="18"/>
        <v>0</v>
      </c>
      <c r="H153" s="72">
        <f t="shared" si="19"/>
        <v>7711246.1874785684</v>
      </c>
      <c r="I153" s="61"/>
      <c r="J153" s="61"/>
      <c r="K153" s="61">
        <f>+'[1]II-B-2 General Plant'!N18</f>
        <v>7555329.3939969605</v>
      </c>
      <c r="L153" s="61">
        <f>+'[1]II-B-2 General Plant'!O18</f>
        <v>40477.696669725352</v>
      </c>
      <c r="M153" s="61">
        <f>+'[1]II-B-2 General Plant'!P18</f>
        <v>115439.09681188221</v>
      </c>
      <c r="N153" s="23"/>
      <c r="O153" s="3"/>
      <c r="P153" s="1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spans="1:53" x14ac:dyDescent="0.2">
      <c r="A154" s="3">
        <f t="shared" si="17"/>
        <v>5</v>
      </c>
      <c r="B154" s="3" t="s">
        <v>89</v>
      </c>
      <c r="C154" s="3" t="s">
        <v>90</v>
      </c>
      <c r="D154" s="78" t="s">
        <v>431</v>
      </c>
      <c r="E154" s="49" t="s">
        <v>617</v>
      </c>
      <c r="F154" s="53">
        <f t="shared" si="20"/>
        <v>185899.15467102142</v>
      </c>
      <c r="G154" s="53">
        <f t="shared" si="18"/>
        <v>0</v>
      </c>
      <c r="H154" s="72">
        <f t="shared" si="19"/>
        <v>185899.15467102142</v>
      </c>
      <c r="I154" s="61"/>
      <c r="J154" s="61"/>
      <c r="K154" s="61">
        <f>+'[1]II-B-2 General Plant'!N19</f>
        <v>181494.0178874397</v>
      </c>
      <c r="L154" s="61">
        <f>+'[1]II-B-2 General Plant'!O19</f>
        <v>4405.1277825915577</v>
      </c>
      <c r="M154" s="61">
        <f>+'[1]II-B-2 General Plant'!P19</f>
        <v>9.0009901734431959E-3</v>
      </c>
      <c r="N154" s="23"/>
      <c r="O154" s="3"/>
      <c r="P154" s="1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 x14ac:dyDescent="0.2">
      <c r="A155" s="3">
        <f t="shared" si="17"/>
        <v>6</v>
      </c>
      <c r="B155" s="3" t="s">
        <v>91</v>
      </c>
      <c r="C155" s="3" t="s">
        <v>92</v>
      </c>
      <c r="D155" s="78" t="s">
        <v>431</v>
      </c>
      <c r="E155" s="49" t="s">
        <v>617</v>
      </c>
      <c r="F155" s="53">
        <f t="shared" si="20"/>
        <v>2440138.0455671074</v>
      </c>
      <c r="G155" s="53">
        <f t="shared" si="18"/>
        <v>0</v>
      </c>
      <c r="H155" s="72">
        <f t="shared" si="19"/>
        <v>2440138.0455671074</v>
      </c>
      <c r="I155" s="61"/>
      <c r="J155" s="61"/>
      <c r="K155" s="61">
        <f>+'[1]II-B-2 General Plant'!N20</f>
        <v>2382315.8044728371</v>
      </c>
      <c r="L155" s="61">
        <f>+'[1]II-B-2 General Plant'!O20</f>
        <v>57822.241094270219</v>
      </c>
      <c r="M155" s="61">
        <f>+'[1]II-B-2 General Plant'!P20</f>
        <v>0</v>
      </c>
      <c r="N155" s="23"/>
      <c r="O155" s="3"/>
      <c r="P155" s="1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spans="1:53" x14ac:dyDescent="0.2">
      <c r="A156" s="3">
        <f t="shared" si="17"/>
        <v>7</v>
      </c>
      <c r="B156" s="3" t="s">
        <v>93</v>
      </c>
      <c r="C156" s="3" t="s">
        <v>94</v>
      </c>
      <c r="D156" s="78" t="s">
        <v>431</v>
      </c>
      <c r="E156" s="49" t="s">
        <v>617</v>
      </c>
      <c r="F156" s="53">
        <f t="shared" si="20"/>
        <v>39443279.26026161</v>
      </c>
      <c r="G156" s="53">
        <f t="shared" si="18"/>
        <v>0</v>
      </c>
      <c r="H156" s="72">
        <f t="shared" si="19"/>
        <v>39443279.26026161</v>
      </c>
      <c r="I156" s="61"/>
      <c r="J156" s="61"/>
      <c r="K156" s="61">
        <f>+'[1]II-B-2 General Plant'!N21</f>
        <v>38508616.374666736</v>
      </c>
      <c r="L156" s="61">
        <f>+'[1]II-B-2 General Plant'!O21</f>
        <v>934660.97580367827</v>
      </c>
      <c r="M156" s="61">
        <f>+'[1]II-B-2 General Plant'!P21</f>
        <v>1.9097911965133514</v>
      </c>
      <c r="N156" s="23"/>
      <c r="O156" s="3"/>
      <c r="P156" s="1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 x14ac:dyDescent="0.2">
      <c r="A157" s="3">
        <f t="shared" si="17"/>
        <v>8</v>
      </c>
      <c r="B157" s="3" t="s">
        <v>95</v>
      </c>
      <c r="C157" s="3" t="s">
        <v>96</v>
      </c>
      <c r="D157" s="78" t="s">
        <v>431</v>
      </c>
      <c r="E157" s="49" t="s">
        <v>617</v>
      </c>
      <c r="F157" s="53">
        <f t="shared" si="20"/>
        <v>365677.13170073042</v>
      </c>
      <c r="G157" s="53">
        <f t="shared" si="18"/>
        <v>0</v>
      </c>
      <c r="H157" s="72">
        <f t="shared" si="19"/>
        <v>365677.13170073042</v>
      </c>
      <c r="I157" s="61"/>
      <c r="J157" s="61"/>
      <c r="K157" s="61">
        <f>+'[1]II-B-2 General Plant'!N22</f>
        <v>357011.90787752252</v>
      </c>
      <c r="L157" s="61">
        <f>+'[1]II-B-2 General Plant'!O22</f>
        <v>8665.2061176068655</v>
      </c>
      <c r="M157" s="61">
        <f>+'[1]II-B-2 General Plant'!P22</f>
        <v>1.7705601055130839E-2</v>
      </c>
      <c r="N157" s="23"/>
      <c r="O157" s="3"/>
      <c r="P157" s="1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:53" x14ac:dyDescent="0.2">
      <c r="A158" s="3">
        <f t="shared" si="17"/>
        <v>9</v>
      </c>
      <c r="B158" s="3" t="s">
        <v>97</v>
      </c>
      <c r="C158" s="3" t="s">
        <v>98</v>
      </c>
      <c r="D158" s="78" t="s">
        <v>431</v>
      </c>
      <c r="E158" s="49" t="s">
        <v>617</v>
      </c>
      <c r="F158" s="53">
        <f t="shared" si="20"/>
        <v>21837.098990962058</v>
      </c>
      <c r="G158" s="53">
        <f t="shared" si="18"/>
        <v>0</v>
      </c>
      <c r="H158" s="72">
        <f t="shared" si="19"/>
        <v>21837.098990962058</v>
      </c>
      <c r="I158" s="61"/>
      <c r="J158" s="61"/>
      <c r="K158" s="61">
        <f>+'[1]II-B-2 General Plant'!N23</f>
        <v>21319.638821861045</v>
      </c>
      <c r="L158" s="61">
        <f>+'[1]II-B-2 General Plant'!O23</f>
        <v>517.45911177768392</v>
      </c>
      <c r="M158" s="61">
        <f>+'[1]II-B-2 General Plant'!P23</f>
        <v>1.0573233309317223E-3</v>
      </c>
      <c r="N158" s="23"/>
      <c r="O158" s="3"/>
      <c r="P158" s="1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:53" x14ac:dyDescent="0.2">
      <c r="A159" s="3">
        <f>+A158+1</f>
        <v>10</v>
      </c>
      <c r="B159" s="3" t="s">
        <v>99</v>
      </c>
      <c r="C159" s="3" t="s">
        <v>100</v>
      </c>
      <c r="D159" s="78" t="s">
        <v>431</v>
      </c>
      <c r="E159" s="49" t="s">
        <v>617</v>
      </c>
      <c r="F159" s="53">
        <f t="shared" si="20"/>
        <v>7411308.8235920947</v>
      </c>
      <c r="G159" s="53">
        <f t="shared" si="18"/>
        <v>0</v>
      </c>
      <c r="H159" s="72">
        <f>SUM(J159:M159)</f>
        <v>7411308.8235920947</v>
      </c>
      <c r="I159" s="61"/>
      <c r="J159" s="61"/>
      <c r="K159" s="61">
        <f>+'[1]II-B-2 General Plant'!N26</f>
        <v>7235687.6424680334</v>
      </c>
      <c r="L159" s="61">
        <f>+'[1]II-B-2 General Plant'!O26</f>
        <v>175620.82227833138</v>
      </c>
      <c r="M159" s="61">
        <f>+'[1]II-B-2 General Plant'!P26</f>
        <v>0.35884573015707283</v>
      </c>
      <c r="N159" s="23"/>
      <c r="O159" s="3"/>
      <c r="P159" s="1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 x14ac:dyDescent="0.2">
      <c r="A160" s="3">
        <f t="shared" si="17"/>
        <v>11</v>
      </c>
      <c r="B160" s="3" t="s">
        <v>101</v>
      </c>
      <c r="C160" s="3" t="s">
        <v>807</v>
      </c>
      <c r="D160" s="78" t="s">
        <v>431</v>
      </c>
      <c r="E160" s="49" t="s">
        <v>617</v>
      </c>
      <c r="F160" s="53">
        <f t="shared" si="20"/>
        <v>1287227.5499999998</v>
      </c>
      <c r="G160" s="53">
        <f t="shared" si="18"/>
        <v>0</v>
      </c>
      <c r="H160" s="72">
        <f t="shared" si="19"/>
        <v>1287227.5499999998</v>
      </c>
      <c r="I160" s="61"/>
      <c r="J160" s="61"/>
      <c r="K160" s="61">
        <f>+'[1]II-B-2 General Plant'!N27</f>
        <v>1256724.9184018117</v>
      </c>
      <c r="L160" s="61">
        <f>+'[1]II-B-2 General Plant'!O27</f>
        <v>30502.569272339919</v>
      </c>
      <c r="M160" s="61">
        <f>+'[1]II-B-2 General Plant'!P27</f>
        <v>6.232584838290002E-2</v>
      </c>
      <c r="N160" s="23"/>
      <c r="O160" s="3"/>
      <c r="P160" s="1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 x14ac:dyDescent="0.2">
      <c r="A161" s="3">
        <f t="shared" si="17"/>
        <v>12</v>
      </c>
      <c r="B161" s="3"/>
      <c r="C161" s="3"/>
      <c r="D161" s="78"/>
      <c r="E161" s="49"/>
      <c r="F161" s="49"/>
      <c r="G161" s="49"/>
      <c r="H161" s="72"/>
      <c r="I161" s="61"/>
      <c r="J161" s="61"/>
      <c r="K161" s="61"/>
      <c r="L161" s="61"/>
      <c r="M161" s="61"/>
      <c r="N161" s="23"/>
      <c r="O161" s="3"/>
      <c r="P161" s="1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spans="1:53" x14ac:dyDescent="0.2">
      <c r="A162" s="3">
        <f t="shared" si="17"/>
        <v>13</v>
      </c>
      <c r="B162" s="3"/>
      <c r="C162" s="3" t="s">
        <v>103</v>
      </c>
      <c r="D162" s="78"/>
      <c r="E162" s="49"/>
      <c r="F162" s="53">
        <f>SUM(F151:F161)</f>
        <v>415195761.63306022</v>
      </c>
      <c r="G162" s="53">
        <f>SUM(G151:G161)</f>
        <v>0</v>
      </c>
      <c r="H162" s="55">
        <f>SUM(H151:H160)</f>
        <v>415195761.63306022</v>
      </c>
      <c r="I162" s="55"/>
      <c r="J162" s="55">
        <f>SUM(J151:J160)</f>
        <v>0</v>
      </c>
      <c r="K162" s="55">
        <f>SUM(K151:K160)</f>
        <v>406622885.46530443</v>
      </c>
      <c r="L162" s="55">
        <f>SUM(L151:L160)</f>
        <v>3123106.8932429487</v>
      </c>
      <c r="M162" s="55">
        <f>SUM(M151:M160)</f>
        <v>5449769.2745128796</v>
      </c>
      <c r="N162" s="23"/>
      <c r="O162" s="3"/>
      <c r="P162" s="1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 x14ac:dyDescent="0.2">
      <c r="A163" s="3">
        <f t="shared" si="17"/>
        <v>14</v>
      </c>
      <c r="B163" s="3"/>
      <c r="C163" s="3"/>
      <c r="D163" s="3"/>
      <c r="E163" s="49"/>
      <c r="F163" s="49"/>
      <c r="G163" s="49"/>
      <c r="H163" s="55"/>
      <c r="I163" s="55"/>
      <c r="J163" s="55"/>
      <c r="K163" s="55"/>
      <c r="L163" s="55"/>
      <c r="M163" s="55"/>
      <c r="N163" s="23"/>
      <c r="O163" s="3"/>
      <c r="P163" s="1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spans="1:53" x14ac:dyDescent="0.2">
      <c r="A164" s="3">
        <f t="shared" si="17"/>
        <v>15</v>
      </c>
      <c r="B164" s="3"/>
      <c r="C164" s="3"/>
      <c r="D164" s="3"/>
      <c r="E164" s="49"/>
      <c r="F164" s="49"/>
      <c r="G164" s="49"/>
      <c r="H164" s="55"/>
      <c r="I164" s="55"/>
      <c r="J164" s="55"/>
      <c r="K164" s="55"/>
      <c r="L164" s="55"/>
      <c r="M164" s="55"/>
      <c r="N164" s="23"/>
      <c r="O164" s="3"/>
      <c r="P164" s="1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spans="1:53" x14ac:dyDescent="0.2">
      <c r="A165" s="3">
        <f t="shared" si="17"/>
        <v>16</v>
      </c>
      <c r="B165" s="3"/>
      <c r="C165" s="3"/>
      <c r="D165" s="3"/>
      <c r="E165" s="49"/>
      <c r="F165" s="49"/>
      <c r="G165" s="49"/>
      <c r="H165" s="55"/>
      <c r="I165" s="55"/>
      <c r="J165" s="55"/>
      <c r="K165" s="55"/>
      <c r="L165" s="55"/>
      <c r="M165" s="55"/>
      <c r="N165" s="23"/>
      <c r="O165" s="3"/>
      <c r="P165" s="1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 spans="1:53" x14ac:dyDescent="0.2">
      <c r="A166" s="3">
        <f t="shared" si="17"/>
        <v>17</v>
      </c>
      <c r="B166" s="7" t="s">
        <v>104</v>
      </c>
      <c r="C166" s="3"/>
      <c r="D166" s="3"/>
      <c r="E166" s="49"/>
      <c r="F166" s="49"/>
      <c r="G166" s="49"/>
      <c r="H166" s="55"/>
      <c r="I166" s="55"/>
      <c r="J166" s="55"/>
      <c r="K166" s="55"/>
      <c r="L166" s="55"/>
      <c r="M166" s="55"/>
      <c r="N166" s="23"/>
      <c r="O166" s="3"/>
      <c r="P166" s="1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spans="1:53" x14ac:dyDescent="0.2">
      <c r="A167" s="3">
        <f t="shared" si="17"/>
        <v>18</v>
      </c>
      <c r="B167" s="3"/>
      <c r="C167" s="3"/>
      <c r="D167" s="3"/>
      <c r="E167" s="49"/>
      <c r="F167" s="49"/>
      <c r="G167" s="49"/>
      <c r="H167" s="55"/>
      <c r="I167" s="55"/>
      <c r="J167" s="55"/>
      <c r="K167" s="55"/>
      <c r="L167" s="55"/>
      <c r="M167" s="55"/>
      <c r="N167" s="23"/>
      <c r="O167" s="3"/>
      <c r="P167" s="1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 spans="1:53" x14ac:dyDescent="0.2">
      <c r="A168" s="3">
        <f t="shared" si="17"/>
        <v>19</v>
      </c>
      <c r="B168" s="3" t="s">
        <v>105</v>
      </c>
      <c r="C168" s="3" t="s">
        <v>106</v>
      </c>
      <c r="D168" s="78" t="s">
        <v>431</v>
      </c>
      <c r="E168" s="49" t="s">
        <v>618</v>
      </c>
      <c r="F168" s="53">
        <f>+H168</f>
        <v>250860937.80491582</v>
      </c>
      <c r="G168" s="53">
        <f>+H168-F168</f>
        <v>0</v>
      </c>
      <c r="H168" s="72">
        <f>SUM(J168:M168)</f>
        <v>250860937.80491582</v>
      </c>
      <c r="I168" s="61"/>
      <c r="J168" s="61"/>
      <c r="K168" s="61">
        <f>+'[1]II-B-3 Comm. Equip.'!N17</f>
        <v>244916442.00210351</v>
      </c>
      <c r="L168" s="61">
        <f>+'[1]II-B-3 Comm. Equip.'!O17</f>
        <v>5944483.6564588752</v>
      </c>
      <c r="M168" s="61">
        <f>+'[1]II-B-3 Comm. Equip.'!P17</f>
        <v>12.146353435972758</v>
      </c>
      <c r="N168" s="23"/>
      <c r="O168" s="3"/>
      <c r="P168" s="1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</row>
    <row r="169" spans="1:53" x14ac:dyDescent="0.2">
      <c r="A169" s="3">
        <f t="shared" si="17"/>
        <v>20</v>
      </c>
      <c r="B169" s="3"/>
      <c r="C169" s="3"/>
      <c r="D169" s="3"/>
      <c r="E169" s="49"/>
      <c r="F169" s="49"/>
      <c r="G169" s="49"/>
      <c r="H169" s="55"/>
      <c r="I169" s="55"/>
      <c r="J169" s="55"/>
      <c r="K169" s="55"/>
      <c r="L169" s="55"/>
      <c r="M169" s="55"/>
      <c r="N169" s="23"/>
      <c r="O169" s="3"/>
      <c r="P169" s="1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</row>
    <row r="170" spans="1:53" x14ac:dyDescent="0.2">
      <c r="A170" s="3">
        <f t="shared" si="17"/>
        <v>21</v>
      </c>
      <c r="B170" s="3"/>
      <c r="C170" s="3"/>
      <c r="D170" s="3"/>
      <c r="E170" s="49"/>
      <c r="F170" s="49"/>
      <c r="G170" s="49"/>
      <c r="H170" s="55"/>
      <c r="I170" s="55"/>
      <c r="J170" s="55"/>
      <c r="K170" s="55"/>
      <c r="L170" s="55"/>
      <c r="M170" s="55"/>
      <c r="N170" s="23"/>
      <c r="O170" s="3"/>
      <c r="P170" s="1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spans="1:53" x14ac:dyDescent="0.2">
      <c r="A171" s="3">
        <f t="shared" si="17"/>
        <v>22</v>
      </c>
      <c r="B171" s="3" t="s">
        <v>107</v>
      </c>
      <c r="C171" s="3"/>
      <c r="D171" s="3"/>
      <c r="E171" s="49"/>
      <c r="F171" s="53">
        <f>+F168+F162+F147+F111+F96</f>
        <v>6401577054.6890697</v>
      </c>
      <c r="G171" s="53">
        <f>+G168+G162+G147+G111+G96</f>
        <v>0</v>
      </c>
      <c r="H171" s="55">
        <f>+H96+H111+H147+H162+H168</f>
        <v>6564583185.2663202</v>
      </c>
      <c r="I171" s="55"/>
      <c r="J171" s="55">
        <f>+J96+J111+J147+J162+J168</f>
        <v>0</v>
      </c>
      <c r="K171" s="55">
        <f>+K96+K111+K147+K162+K168</f>
        <v>6334845377.4165173</v>
      </c>
      <c r="L171" s="55">
        <f>+L96+L111+L147+L162+L168</f>
        <v>224287814.20034468</v>
      </c>
      <c r="M171" s="55">
        <f>+M96+M111+M147+M162+M168</f>
        <v>5449993.6494589867</v>
      </c>
      <c r="N171" s="23"/>
      <c r="O171" s="3"/>
      <c r="P171" s="1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</row>
    <row r="172" spans="1:53" x14ac:dyDescent="0.2">
      <c r="A172" s="3">
        <f t="shared" si="17"/>
        <v>23</v>
      </c>
      <c r="B172" s="3"/>
      <c r="C172" s="3"/>
      <c r="D172" s="3"/>
      <c r="E172" s="49"/>
      <c r="F172" s="49"/>
      <c r="G172" s="49"/>
      <c r="H172" s="55"/>
      <c r="I172" s="55"/>
      <c r="J172" s="55"/>
      <c r="K172" s="55"/>
      <c r="L172" s="55"/>
      <c r="M172" s="55"/>
      <c r="N172" s="23"/>
      <c r="O172" s="3"/>
      <c r="P172" s="1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spans="1:53" x14ac:dyDescent="0.2">
      <c r="A173" s="3">
        <f t="shared" si="17"/>
        <v>24</v>
      </c>
      <c r="B173" s="3"/>
      <c r="C173" s="3"/>
      <c r="D173" s="3"/>
      <c r="E173" s="49"/>
      <c r="F173" s="49"/>
      <c r="G173" s="49"/>
      <c r="H173" s="55"/>
      <c r="I173" s="55"/>
      <c r="J173" s="55"/>
      <c r="K173" s="55"/>
      <c r="L173" s="55"/>
      <c r="M173" s="55"/>
      <c r="N173" s="23"/>
      <c r="O173" s="3"/>
      <c r="P173" s="1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</row>
    <row r="174" spans="1:53" x14ac:dyDescent="0.2">
      <c r="A174" s="3">
        <f t="shared" si="17"/>
        <v>25</v>
      </c>
      <c r="B174" s="7" t="s">
        <v>108</v>
      </c>
      <c r="C174" s="3"/>
      <c r="D174" s="3"/>
      <c r="E174" s="49"/>
      <c r="F174" s="49"/>
      <c r="G174" s="49"/>
      <c r="H174" s="55"/>
      <c r="I174" s="55"/>
      <c r="J174" s="55"/>
      <c r="K174" s="55"/>
      <c r="L174" s="55"/>
      <c r="M174" s="55"/>
      <c r="N174" s="23"/>
      <c r="O174" s="3"/>
      <c r="P174" s="1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spans="1:53" x14ac:dyDescent="0.2">
      <c r="A175" s="3">
        <f t="shared" si="17"/>
        <v>26</v>
      </c>
      <c r="B175" s="3"/>
      <c r="C175" s="3"/>
      <c r="D175" s="3"/>
      <c r="E175" s="49"/>
      <c r="F175" s="49"/>
      <c r="G175" s="49"/>
      <c r="H175" s="55"/>
      <c r="I175" s="55"/>
      <c r="J175" s="55"/>
      <c r="K175" s="55"/>
      <c r="L175" s="55"/>
      <c r="M175" s="55"/>
      <c r="N175" s="23"/>
      <c r="O175" s="3"/>
      <c r="P175" s="1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</row>
    <row r="176" spans="1:53" x14ac:dyDescent="0.2">
      <c r="A176" s="3">
        <f t="shared" si="17"/>
        <v>27</v>
      </c>
      <c r="B176" s="3" t="s">
        <v>109</v>
      </c>
      <c r="C176" s="3"/>
      <c r="D176" s="3"/>
      <c r="E176" s="49"/>
      <c r="F176" s="53"/>
      <c r="G176" s="53"/>
      <c r="H176" s="55"/>
      <c r="I176" s="55"/>
      <c r="J176" s="55"/>
      <c r="K176" s="55"/>
      <c r="L176" s="55"/>
      <c r="M176" s="55"/>
      <c r="N176" s="23"/>
      <c r="O176" s="3"/>
      <c r="P176" s="1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</row>
    <row r="177" spans="1:53" x14ac:dyDescent="0.2">
      <c r="A177" s="3">
        <f t="shared" si="17"/>
        <v>28</v>
      </c>
      <c r="B177" s="3" t="s">
        <v>110</v>
      </c>
      <c r="C177" s="3"/>
      <c r="D177" s="78" t="s">
        <v>431</v>
      </c>
      <c r="E177" s="49" t="s">
        <v>619</v>
      </c>
      <c r="F177" s="53">
        <f>+H177</f>
        <v>0</v>
      </c>
      <c r="G177" s="53">
        <f>+H177-F177</f>
        <v>0</v>
      </c>
      <c r="H177" s="72">
        <f>SUM(I177:M177)</f>
        <v>0</v>
      </c>
      <c r="I177" s="175"/>
      <c r="J177" s="175">
        <v>0</v>
      </c>
      <c r="K177" s="175">
        <v>0</v>
      </c>
      <c r="L177" s="175">
        <v>0</v>
      </c>
      <c r="M177" s="175">
        <v>0</v>
      </c>
      <c r="N177" s="23"/>
      <c r="O177" s="3"/>
      <c r="P177" s="1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 spans="1:53" x14ac:dyDescent="0.2">
      <c r="A178" s="3">
        <f t="shared" si="17"/>
        <v>29</v>
      </c>
      <c r="B178" s="3"/>
      <c r="C178" s="3"/>
      <c r="D178" s="3"/>
      <c r="E178" s="49"/>
      <c r="F178" s="49"/>
      <c r="G178" s="49"/>
      <c r="H178" s="55"/>
      <c r="I178" s="55"/>
      <c r="J178" s="55"/>
      <c r="K178" s="55"/>
      <c r="L178" s="55"/>
      <c r="M178" s="55"/>
      <c r="N178" s="23"/>
      <c r="O178" s="3"/>
      <c r="P178" s="1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</row>
    <row r="179" spans="1:53" x14ac:dyDescent="0.2">
      <c r="A179" s="3">
        <f t="shared" si="17"/>
        <v>30</v>
      </c>
      <c r="B179" s="3"/>
      <c r="C179" s="3"/>
      <c r="D179" s="3"/>
      <c r="E179" s="49"/>
      <c r="F179" s="49"/>
      <c r="G179" s="49"/>
      <c r="H179" s="55"/>
      <c r="I179" s="55"/>
      <c r="J179" s="55"/>
      <c r="K179" s="55"/>
      <c r="L179" s="55"/>
      <c r="M179" s="55"/>
      <c r="N179" s="23"/>
      <c r="O179" s="3"/>
      <c r="P179" s="1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 spans="1:53" x14ac:dyDescent="0.2">
      <c r="A180" s="3">
        <f t="shared" si="17"/>
        <v>31</v>
      </c>
      <c r="B180" s="3"/>
      <c r="C180" s="3"/>
      <c r="D180" s="3"/>
      <c r="E180" s="49"/>
      <c r="F180" s="49"/>
      <c r="G180" s="49"/>
      <c r="H180" s="55"/>
      <c r="I180" s="55"/>
      <c r="J180" s="55"/>
      <c r="K180" s="55"/>
      <c r="L180" s="55"/>
      <c r="M180" s="55"/>
      <c r="N180" s="23"/>
      <c r="O180" s="3"/>
      <c r="P180" s="1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spans="1:53" x14ac:dyDescent="0.2">
      <c r="A181" s="3">
        <f t="shared" si="17"/>
        <v>32</v>
      </c>
      <c r="B181" s="3"/>
      <c r="C181" s="3"/>
      <c r="D181" s="3"/>
      <c r="E181" s="49"/>
      <c r="F181" s="49"/>
      <c r="G181" s="49"/>
      <c r="H181" s="55"/>
      <c r="I181" s="55"/>
      <c r="J181" s="55"/>
      <c r="K181" s="55"/>
      <c r="L181" s="55"/>
      <c r="M181" s="55"/>
      <c r="N181" s="23"/>
      <c r="O181" s="3"/>
      <c r="P181" s="1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 spans="1:53" x14ac:dyDescent="0.2">
      <c r="A182" s="3">
        <f t="shared" si="17"/>
        <v>33</v>
      </c>
      <c r="B182" s="3"/>
      <c r="C182" s="3"/>
      <c r="D182" s="3"/>
      <c r="E182" s="49"/>
      <c r="F182" s="49"/>
      <c r="G182" s="49"/>
      <c r="H182" s="55"/>
      <c r="I182" s="55"/>
      <c r="J182" s="55"/>
      <c r="K182" s="55"/>
      <c r="L182" s="55"/>
      <c r="M182" s="55"/>
      <c r="N182" s="23"/>
      <c r="O182" s="3"/>
      <c r="P182" s="1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spans="1:53" x14ac:dyDescent="0.2">
      <c r="A183" s="3">
        <f t="shared" si="17"/>
        <v>34</v>
      </c>
      <c r="B183" s="7" t="s">
        <v>111</v>
      </c>
      <c r="C183" s="3"/>
      <c r="D183" s="3"/>
      <c r="E183" s="49"/>
      <c r="F183" s="49"/>
      <c r="G183" s="49"/>
      <c r="H183" s="55"/>
      <c r="I183" s="55"/>
      <c r="J183" s="55"/>
      <c r="K183" s="55"/>
      <c r="L183" s="55"/>
      <c r="M183" s="55"/>
      <c r="N183" s="23"/>
      <c r="O183" s="3"/>
      <c r="P183" s="1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</row>
    <row r="184" spans="1:53" x14ac:dyDescent="0.2">
      <c r="A184" s="3">
        <f t="shared" si="17"/>
        <v>35</v>
      </c>
      <c r="B184" s="3"/>
      <c r="C184" s="3"/>
      <c r="D184" s="3"/>
      <c r="E184" s="49"/>
      <c r="F184" s="49"/>
      <c r="G184" s="49"/>
      <c r="H184" s="55"/>
      <c r="I184" s="55"/>
      <c r="J184" s="55"/>
      <c r="K184" s="55"/>
      <c r="L184" s="55"/>
      <c r="M184" s="55"/>
      <c r="N184" s="23"/>
      <c r="O184" s="3"/>
      <c r="P184" s="1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</row>
    <row r="185" spans="1:53" x14ac:dyDescent="0.2">
      <c r="A185" s="3">
        <f t="shared" si="17"/>
        <v>36</v>
      </c>
      <c r="B185" s="3" t="s">
        <v>112</v>
      </c>
      <c r="C185" s="3"/>
      <c r="D185" s="3"/>
      <c r="E185" s="49"/>
      <c r="F185" s="49"/>
      <c r="G185" s="49"/>
      <c r="H185" s="55"/>
      <c r="I185" s="55"/>
      <c r="J185" s="55"/>
      <c r="K185" s="55"/>
      <c r="L185" s="55"/>
      <c r="M185" s="55"/>
      <c r="N185" s="23"/>
      <c r="O185" s="3"/>
      <c r="P185" s="1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</row>
    <row r="186" spans="1:53" x14ac:dyDescent="0.2">
      <c r="A186" s="3">
        <f t="shared" si="17"/>
        <v>37</v>
      </c>
      <c r="B186" s="3"/>
      <c r="C186" s="3"/>
      <c r="D186" s="3"/>
      <c r="E186" s="49"/>
      <c r="F186" s="49"/>
      <c r="G186" s="49"/>
      <c r="H186" s="55"/>
      <c r="I186" s="55"/>
      <c r="J186" s="55"/>
      <c r="K186" s="55"/>
      <c r="L186" s="55"/>
      <c r="M186" s="55"/>
      <c r="N186" s="23"/>
      <c r="O186" s="3"/>
      <c r="P186" s="1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</row>
    <row r="187" spans="1:53" x14ac:dyDescent="0.2">
      <c r="A187" s="3">
        <f t="shared" si="17"/>
        <v>38</v>
      </c>
      <c r="B187" s="3" t="s">
        <v>23</v>
      </c>
      <c r="C187" s="3"/>
      <c r="D187" s="3"/>
      <c r="E187" s="49"/>
      <c r="F187" s="49"/>
      <c r="G187" s="49"/>
      <c r="H187" s="55"/>
      <c r="I187" s="55"/>
      <c r="J187" s="55"/>
      <c r="K187" s="55"/>
      <c r="L187" s="55"/>
      <c r="M187" s="55"/>
      <c r="N187" s="23"/>
      <c r="O187" s="3"/>
      <c r="P187" s="1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</row>
    <row r="188" spans="1:53" x14ac:dyDescent="0.2">
      <c r="A188" s="3">
        <f t="shared" si="17"/>
        <v>39</v>
      </c>
      <c r="B188" s="3" t="s">
        <v>24</v>
      </c>
      <c r="C188" s="3" t="s">
        <v>25</v>
      </c>
      <c r="D188" s="176" t="str">
        <f>D93</f>
        <v>Direct Assign</v>
      </c>
      <c r="E188" s="49" t="s">
        <v>620</v>
      </c>
      <c r="F188" s="53">
        <f>+H188</f>
        <v>0</v>
      </c>
      <c r="G188" s="53">
        <f>+H188-F188</f>
        <v>0</v>
      </c>
      <c r="H188" s="72">
        <f>SUM(J188:M188)</f>
        <v>0</v>
      </c>
      <c r="I188" s="61"/>
      <c r="J188" s="81"/>
      <c r="K188" s="81"/>
      <c r="L188" s="81"/>
      <c r="M188" s="81"/>
      <c r="N188" s="23"/>
      <c r="O188" s="3"/>
      <c r="P188" s="1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</row>
    <row r="189" spans="1:53" x14ac:dyDescent="0.2">
      <c r="A189" s="3">
        <f t="shared" si="17"/>
        <v>40</v>
      </c>
      <c r="B189" s="3" t="s">
        <v>26</v>
      </c>
      <c r="C189" s="3" t="s">
        <v>27</v>
      </c>
      <c r="D189" s="176" t="str">
        <f>D94</f>
        <v>Direct Assign</v>
      </c>
      <c r="E189" s="49" t="s">
        <v>620</v>
      </c>
      <c r="F189" s="53">
        <f>+H189</f>
        <v>0</v>
      </c>
      <c r="G189" s="53">
        <f>+H189-F189</f>
        <v>0</v>
      </c>
      <c r="H189" s="72">
        <f>SUM(J189:M189)</f>
        <v>0</v>
      </c>
      <c r="I189" s="61"/>
      <c r="J189" s="81"/>
      <c r="K189" s="81"/>
      <c r="L189" s="81"/>
      <c r="M189" s="81"/>
      <c r="N189" s="23"/>
      <c r="O189" s="3"/>
      <c r="P189" s="1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</row>
    <row r="190" spans="1:53" x14ac:dyDescent="0.2">
      <c r="A190" s="3">
        <f t="shared" si="17"/>
        <v>41</v>
      </c>
      <c r="B190" s="3" t="s">
        <v>28</v>
      </c>
      <c r="C190" s="3" t="s">
        <v>29</v>
      </c>
      <c r="D190" s="176" t="str">
        <f>D95</f>
        <v>Direct Assign</v>
      </c>
      <c r="E190" s="49" t="s">
        <v>620</v>
      </c>
      <c r="F190" s="53">
        <f>+H190</f>
        <v>77355124.780000001</v>
      </c>
      <c r="G190" s="53">
        <f>+H190-F190</f>
        <v>0</v>
      </c>
      <c r="H190" s="72">
        <f>SUM(J190:M190)</f>
        <v>77355124.780000001</v>
      </c>
      <c r="I190" s="61"/>
      <c r="J190" s="61"/>
      <c r="K190" s="61">
        <f>+'[1]II-B-5 Depreciation'!N18</f>
        <v>75522094.602452412</v>
      </c>
      <c r="L190" s="61">
        <f>+'[1]II-B-5 Depreciation'!O18</f>
        <v>1833030.1775475952</v>
      </c>
      <c r="M190" s="61">
        <f>+'[1]II-B-5 Depreciation'!P18</f>
        <v>0</v>
      </c>
      <c r="N190" s="23"/>
      <c r="O190" s="3"/>
      <c r="P190" s="1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</row>
    <row r="191" spans="1:53" x14ac:dyDescent="0.2">
      <c r="A191" s="3">
        <f t="shared" si="17"/>
        <v>42</v>
      </c>
      <c r="B191" s="3"/>
      <c r="C191" s="3" t="s">
        <v>30</v>
      </c>
      <c r="D191" s="3"/>
      <c r="E191" s="49"/>
      <c r="F191" s="53">
        <f>SUM(F188:F190)</f>
        <v>77355124.780000001</v>
      </c>
      <c r="G191" s="53">
        <f>SUM(G188:G190)</f>
        <v>0</v>
      </c>
      <c r="H191" s="55">
        <f>SUM(H188:H190)</f>
        <v>77355124.780000001</v>
      </c>
      <c r="I191" s="55"/>
      <c r="J191" s="55">
        <f>SUM(J188:J190)</f>
        <v>0</v>
      </c>
      <c r="K191" s="55">
        <f>SUM(K188:K190)</f>
        <v>75522094.602452412</v>
      </c>
      <c r="L191" s="55">
        <f>SUM(L188:L190)</f>
        <v>1833030.1775475952</v>
      </c>
      <c r="M191" s="55">
        <f>SUM(M188:M190)</f>
        <v>0</v>
      </c>
      <c r="N191" s="23"/>
      <c r="O191" s="3"/>
      <c r="P191" s="1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</row>
    <row r="192" spans="1:53" x14ac:dyDescent="0.2">
      <c r="A192" s="3"/>
      <c r="B192" s="3"/>
      <c r="C192" s="3"/>
      <c r="D192" s="3"/>
      <c r="E192" s="49"/>
      <c r="F192" s="49"/>
      <c r="G192" s="49"/>
      <c r="H192" s="55"/>
      <c r="I192" s="55"/>
      <c r="J192" s="55"/>
      <c r="K192" s="55"/>
      <c r="L192" s="55"/>
      <c r="M192" s="55"/>
      <c r="N192" s="23"/>
      <c r="O192" s="3"/>
      <c r="P192" s="1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</row>
    <row r="193" spans="1:53" x14ac:dyDescent="0.2">
      <c r="A193" s="3"/>
      <c r="B193" s="7" t="s">
        <v>113</v>
      </c>
      <c r="C193" s="3"/>
      <c r="D193" s="3"/>
      <c r="E193" s="49"/>
      <c r="F193" s="49"/>
      <c r="G193" s="49"/>
      <c r="H193" s="55"/>
      <c r="I193" s="55"/>
      <c r="J193" s="55"/>
      <c r="K193" s="55"/>
      <c r="L193" s="55"/>
      <c r="M193" s="55"/>
      <c r="N193" s="23"/>
      <c r="O193" s="3"/>
      <c r="P193" s="1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</row>
    <row r="194" spans="1:53" x14ac:dyDescent="0.2">
      <c r="A194" s="3"/>
      <c r="B194" s="3"/>
      <c r="C194" s="3"/>
      <c r="D194" s="3"/>
      <c r="E194" s="49"/>
      <c r="F194" s="49"/>
      <c r="G194" s="49"/>
      <c r="H194" s="55"/>
      <c r="I194" s="55"/>
      <c r="J194" s="55"/>
      <c r="K194" s="55"/>
      <c r="L194" s="55"/>
      <c r="M194" s="55"/>
      <c r="N194" s="23"/>
      <c r="O194" s="3"/>
      <c r="P194" s="1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</row>
    <row r="195" spans="1:53" x14ac:dyDescent="0.2">
      <c r="A195" s="3">
        <v>1</v>
      </c>
      <c r="B195" s="3" t="s">
        <v>112</v>
      </c>
      <c r="C195" s="3"/>
      <c r="D195" s="3"/>
      <c r="E195" s="49"/>
      <c r="F195" s="49"/>
      <c r="G195" s="49"/>
      <c r="H195" s="55"/>
      <c r="I195" s="55"/>
      <c r="J195" s="55"/>
      <c r="K195" s="55"/>
      <c r="L195" s="55"/>
      <c r="M195" s="55"/>
      <c r="N195" s="23"/>
      <c r="O195" s="3"/>
      <c r="P195" s="1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</row>
    <row r="196" spans="1:53" x14ac:dyDescent="0.2">
      <c r="A196" s="3">
        <f t="shared" ref="A196:A249" si="21">+A195+1</f>
        <v>2</v>
      </c>
      <c r="B196" s="3"/>
      <c r="C196" s="3"/>
      <c r="D196" s="3"/>
      <c r="E196" s="49"/>
      <c r="F196" s="49"/>
      <c r="G196" s="49"/>
      <c r="H196" s="55"/>
      <c r="I196" s="55"/>
      <c r="J196" s="55"/>
      <c r="K196" s="55"/>
      <c r="L196" s="55"/>
      <c r="M196" s="55"/>
      <c r="N196" s="23"/>
      <c r="O196" s="3"/>
      <c r="P196" s="1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</row>
    <row r="197" spans="1:53" x14ac:dyDescent="0.2">
      <c r="A197" s="3">
        <f t="shared" si="21"/>
        <v>3</v>
      </c>
      <c r="B197" s="3" t="s">
        <v>33</v>
      </c>
      <c r="C197" s="3"/>
      <c r="D197" s="3"/>
      <c r="E197" s="49"/>
      <c r="F197" s="49"/>
      <c r="G197" s="49"/>
      <c r="H197" s="55"/>
      <c r="I197" s="55"/>
      <c r="J197" s="55"/>
      <c r="K197" s="55"/>
      <c r="L197" s="55"/>
      <c r="M197" s="55"/>
      <c r="N197" s="23"/>
      <c r="O197" s="3"/>
      <c r="P197" s="1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</row>
    <row r="198" spans="1:53" x14ac:dyDescent="0.2">
      <c r="A198" s="3">
        <f t="shared" si="21"/>
        <v>4</v>
      </c>
      <c r="B198" s="3" t="s">
        <v>34</v>
      </c>
      <c r="C198" s="3" t="s">
        <v>35</v>
      </c>
      <c r="D198" s="78" t="s">
        <v>431</v>
      </c>
      <c r="E198" s="49" t="s">
        <v>620</v>
      </c>
      <c r="F198" s="53">
        <f>+H198</f>
        <v>0</v>
      </c>
      <c r="G198" s="53">
        <f t="shared" ref="G198:G206" si="22">+H198-F198</f>
        <v>0</v>
      </c>
      <c r="H198" s="72">
        <f>SUM(J198:M198)</f>
        <v>0</v>
      </c>
      <c r="I198" s="61"/>
      <c r="J198" s="61"/>
      <c r="K198" s="61">
        <v>0</v>
      </c>
      <c r="L198" s="61">
        <v>0</v>
      </c>
      <c r="M198" s="61">
        <v>0</v>
      </c>
      <c r="N198" s="23"/>
      <c r="O198" s="3"/>
      <c r="P198" s="1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</row>
    <row r="199" spans="1:53" x14ac:dyDescent="0.2">
      <c r="A199" s="3">
        <f t="shared" si="21"/>
        <v>5</v>
      </c>
      <c r="B199" s="3" t="s">
        <v>36</v>
      </c>
      <c r="C199" s="3" t="s">
        <v>31</v>
      </c>
      <c r="D199" s="78" t="s">
        <v>431</v>
      </c>
      <c r="E199" s="49" t="s">
        <v>620</v>
      </c>
      <c r="F199" s="53">
        <f t="shared" ref="F199:F206" si="23">+H199</f>
        <v>0</v>
      </c>
      <c r="G199" s="53">
        <f t="shared" si="22"/>
        <v>0</v>
      </c>
      <c r="H199" s="72">
        <f t="shared" ref="H199:H206" si="24">SUM(J199:M199)</f>
        <v>0</v>
      </c>
      <c r="I199" s="61"/>
      <c r="J199" s="61"/>
      <c r="K199" s="61">
        <v>0</v>
      </c>
      <c r="L199" s="61">
        <v>0</v>
      </c>
      <c r="M199" s="61">
        <v>0</v>
      </c>
      <c r="N199" s="23"/>
      <c r="O199" s="3"/>
      <c r="P199" s="1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</row>
    <row r="200" spans="1:53" x14ac:dyDescent="0.2">
      <c r="A200" s="3">
        <f t="shared" si="21"/>
        <v>6</v>
      </c>
      <c r="B200" s="3" t="s">
        <v>37</v>
      </c>
      <c r="C200" s="3" t="s">
        <v>38</v>
      </c>
      <c r="D200" s="78" t="s">
        <v>431</v>
      </c>
      <c r="E200" s="49" t="s">
        <v>620</v>
      </c>
      <c r="F200" s="53">
        <f t="shared" si="23"/>
        <v>0</v>
      </c>
      <c r="G200" s="53">
        <f t="shared" si="22"/>
        <v>0</v>
      </c>
      <c r="H200" s="72">
        <f t="shared" si="24"/>
        <v>0</v>
      </c>
      <c r="I200" s="61"/>
      <c r="J200" s="61"/>
      <c r="K200" s="61">
        <v>0</v>
      </c>
      <c r="L200" s="61">
        <v>0</v>
      </c>
      <c r="M200" s="61">
        <v>0</v>
      </c>
      <c r="N200" s="23"/>
      <c r="O200" s="3"/>
      <c r="P200" s="1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</row>
    <row r="201" spans="1:53" x14ac:dyDescent="0.2">
      <c r="A201" s="3">
        <f t="shared" si="21"/>
        <v>7</v>
      </c>
      <c r="B201" s="3" t="s">
        <v>39</v>
      </c>
      <c r="C201" s="3" t="s">
        <v>40</v>
      </c>
      <c r="D201" s="3" t="str">
        <f>D104</f>
        <v>Direct Assign</v>
      </c>
      <c r="E201" s="49" t="s">
        <v>620</v>
      </c>
      <c r="F201" s="53">
        <f t="shared" si="23"/>
        <v>0</v>
      </c>
      <c r="G201" s="53">
        <f t="shared" si="22"/>
        <v>0</v>
      </c>
      <c r="H201" s="72">
        <f t="shared" si="24"/>
        <v>0</v>
      </c>
      <c r="I201" s="61"/>
      <c r="J201" s="61"/>
      <c r="K201" s="61">
        <v>0</v>
      </c>
      <c r="L201" s="61">
        <v>0</v>
      </c>
      <c r="M201" s="61">
        <v>0</v>
      </c>
      <c r="N201" s="23"/>
      <c r="O201" s="3"/>
      <c r="P201" s="1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</row>
    <row r="202" spans="1:53" x14ac:dyDescent="0.2">
      <c r="A202" s="3">
        <f t="shared" si="21"/>
        <v>8</v>
      </c>
      <c r="B202" s="3" t="s">
        <v>41</v>
      </c>
      <c r="C202" s="3" t="s">
        <v>42</v>
      </c>
      <c r="D202" s="3" t="str">
        <f>D105</f>
        <v>Direct Assign</v>
      </c>
      <c r="E202" s="49" t="s">
        <v>620</v>
      </c>
      <c r="F202" s="53">
        <f t="shared" si="23"/>
        <v>0</v>
      </c>
      <c r="G202" s="53">
        <f t="shared" si="22"/>
        <v>0</v>
      </c>
      <c r="H202" s="72">
        <f t="shared" si="24"/>
        <v>0</v>
      </c>
      <c r="I202" s="61"/>
      <c r="J202" s="61"/>
      <c r="K202" s="61">
        <v>0</v>
      </c>
      <c r="L202" s="61">
        <v>0</v>
      </c>
      <c r="M202" s="61">
        <v>0</v>
      </c>
      <c r="N202" s="23"/>
      <c r="O202" s="3"/>
      <c r="P202" s="1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</row>
    <row r="203" spans="1:53" x14ac:dyDescent="0.2">
      <c r="A203" s="3">
        <f t="shared" si="21"/>
        <v>9</v>
      </c>
      <c r="B203" s="3" t="s">
        <v>43</v>
      </c>
      <c r="C203" s="3" t="s">
        <v>44</v>
      </c>
      <c r="D203" s="3" t="str">
        <f>D106</f>
        <v>Direct Assign</v>
      </c>
      <c r="E203" s="49" t="s">
        <v>620</v>
      </c>
      <c r="F203" s="53">
        <f t="shared" si="23"/>
        <v>0</v>
      </c>
      <c r="G203" s="53">
        <f t="shared" si="22"/>
        <v>0</v>
      </c>
      <c r="H203" s="72">
        <f t="shared" si="24"/>
        <v>0</v>
      </c>
      <c r="I203" s="61"/>
      <c r="J203" s="61"/>
      <c r="K203" s="61">
        <v>0</v>
      </c>
      <c r="L203" s="61">
        <v>0</v>
      </c>
      <c r="M203" s="61">
        <v>0</v>
      </c>
      <c r="N203" s="23"/>
      <c r="O203" s="3"/>
      <c r="P203" s="1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</row>
    <row r="204" spans="1:53" x14ac:dyDescent="0.2">
      <c r="A204" s="3">
        <f t="shared" si="21"/>
        <v>10</v>
      </c>
      <c r="B204" s="3" t="s">
        <v>45</v>
      </c>
      <c r="C204" s="3" t="s">
        <v>46</v>
      </c>
      <c r="D204" s="3" t="str">
        <f>D107</f>
        <v>Direct Assign</v>
      </c>
      <c r="E204" s="49" t="s">
        <v>620</v>
      </c>
      <c r="F204" s="53">
        <f t="shared" si="23"/>
        <v>0</v>
      </c>
      <c r="G204" s="53">
        <f t="shared" si="22"/>
        <v>0</v>
      </c>
      <c r="H204" s="72">
        <f t="shared" si="24"/>
        <v>0</v>
      </c>
      <c r="I204" s="61"/>
      <c r="J204" s="61"/>
      <c r="K204" s="61">
        <v>0</v>
      </c>
      <c r="L204" s="61">
        <v>0</v>
      </c>
      <c r="M204" s="61">
        <v>0</v>
      </c>
      <c r="N204" s="23"/>
      <c r="O204" s="3"/>
      <c r="P204" s="1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</row>
    <row r="205" spans="1:53" x14ac:dyDescent="0.2">
      <c r="A205" s="3">
        <f t="shared" si="21"/>
        <v>11</v>
      </c>
      <c r="B205" s="3" t="s">
        <v>47</v>
      </c>
      <c r="C205" s="3" t="s">
        <v>48</v>
      </c>
      <c r="D205" s="3" t="str">
        <f>D108</f>
        <v>Direct Assign</v>
      </c>
      <c r="E205" s="49" t="s">
        <v>620</v>
      </c>
      <c r="F205" s="53">
        <f t="shared" si="23"/>
        <v>0</v>
      </c>
      <c r="G205" s="53">
        <f t="shared" si="22"/>
        <v>0</v>
      </c>
      <c r="H205" s="72">
        <f t="shared" si="24"/>
        <v>0</v>
      </c>
      <c r="I205" s="61"/>
      <c r="J205" s="61"/>
      <c r="K205" s="61">
        <v>0</v>
      </c>
      <c r="L205" s="61">
        <v>0</v>
      </c>
      <c r="M205" s="61">
        <v>0</v>
      </c>
      <c r="N205" s="23"/>
      <c r="O205" s="3"/>
      <c r="P205" s="1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</row>
    <row r="206" spans="1:53" x14ac:dyDescent="0.2">
      <c r="A206" s="3">
        <f t="shared" si="21"/>
        <v>12</v>
      </c>
      <c r="B206" s="3" t="s">
        <v>49</v>
      </c>
      <c r="C206" s="3" t="s">
        <v>50</v>
      </c>
      <c r="D206" s="78" t="s">
        <v>431</v>
      </c>
      <c r="E206" s="49" t="s">
        <v>620</v>
      </c>
      <c r="F206" s="53">
        <f t="shared" si="23"/>
        <v>0</v>
      </c>
      <c r="G206" s="53">
        <f t="shared" si="22"/>
        <v>0</v>
      </c>
      <c r="H206" s="72">
        <f t="shared" si="24"/>
        <v>0</v>
      </c>
      <c r="I206" s="61"/>
      <c r="J206" s="61"/>
      <c r="K206" s="61">
        <v>0</v>
      </c>
      <c r="L206" s="61">
        <v>0</v>
      </c>
      <c r="M206" s="61">
        <v>0</v>
      </c>
      <c r="N206" s="23"/>
      <c r="O206" s="3"/>
      <c r="P206" s="1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</row>
    <row r="207" spans="1:53" x14ac:dyDescent="0.2">
      <c r="A207" s="3">
        <f t="shared" si="21"/>
        <v>13</v>
      </c>
      <c r="B207" s="3"/>
      <c r="C207" s="3"/>
      <c r="D207" s="3"/>
      <c r="E207" s="49"/>
      <c r="F207" s="49"/>
      <c r="G207" s="49"/>
      <c r="H207" s="72"/>
      <c r="I207" s="61"/>
      <c r="J207" s="61"/>
      <c r="K207" s="61"/>
      <c r="L207" s="61"/>
      <c r="M207" s="61"/>
      <c r="N207" s="23"/>
      <c r="O207" s="3"/>
      <c r="P207" s="1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</row>
    <row r="208" spans="1:53" x14ac:dyDescent="0.2">
      <c r="A208" s="3">
        <f t="shared" si="21"/>
        <v>14</v>
      </c>
      <c r="B208" s="3"/>
      <c r="C208" s="3" t="s">
        <v>51</v>
      </c>
      <c r="D208" s="3"/>
      <c r="E208" s="49"/>
      <c r="F208" s="53">
        <f>SUM(F198:F207)</f>
        <v>0</v>
      </c>
      <c r="G208" s="53">
        <f>SUM(G198:G207)</f>
        <v>0</v>
      </c>
      <c r="H208" s="55">
        <f>SUM(H198:H206)</f>
        <v>0</v>
      </c>
      <c r="I208" s="55"/>
      <c r="J208" s="55">
        <f>SUM(J198:J206)</f>
        <v>0</v>
      </c>
      <c r="K208" s="55">
        <f>SUM(K198:K206)</f>
        <v>0</v>
      </c>
      <c r="L208" s="55">
        <f>SUM(L198:L206)</f>
        <v>0</v>
      </c>
      <c r="M208" s="55">
        <f>SUM(M198:M206)</f>
        <v>0</v>
      </c>
      <c r="N208" s="23"/>
      <c r="O208" s="3"/>
      <c r="P208" s="1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</row>
    <row r="209" spans="1:53" x14ac:dyDescent="0.2">
      <c r="A209" s="3">
        <f t="shared" si="21"/>
        <v>15</v>
      </c>
      <c r="B209" s="3"/>
      <c r="C209" s="3"/>
      <c r="D209" s="3"/>
      <c r="E209" s="49"/>
      <c r="F209" s="49"/>
      <c r="G209" s="49"/>
      <c r="H209" s="55"/>
      <c r="I209" s="55"/>
      <c r="J209" s="55"/>
      <c r="K209" s="55"/>
      <c r="L209" s="55"/>
      <c r="M209" s="55"/>
      <c r="N209" s="23"/>
      <c r="O209" s="3"/>
      <c r="P209" s="1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</row>
    <row r="210" spans="1:53" x14ac:dyDescent="0.2">
      <c r="A210" s="3">
        <f t="shared" si="21"/>
        <v>16</v>
      </c>
      <c r="B210" s="3" t="s">
        <v>52</v>
      </c>
      <c r="C210" s="3"/>
      <c r="D210" s="3"/>
      <c r="E210" s="49"/>
      <c r="F210" s="49"/>
      <c r="G210" s="49"/>
      <c r="H210" s="55"/>
      <c r="I210" s="55"/>
      <c r="J210" s="55"/>
      <c r="K210" s="55"/>
      <c r="L210" s="55"/>
      <c r="M210" s="55"/>
      <c r="N210" s="23"/>
      <c r="O210" s="3"/>
      <c r="P210" s="1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</row>
    <row r="211" spans="1:53" x14ac:dyDescent="0.2">
      <c r="A211" s="3">
        <f t="shared" si="21"/>
        <v>17</v>
      </c>
      <c r="B211" s="3" t="s">
        <v>53</v>
      </c>
      <c r="C211" s="3" t="s">
        <v>35</v>
      </c>
      <c r="D211" s="78" t="s">
        <v>431</v>
      </c>
      <c r="E211" s="49" t="s">
        <v>620</v>
      </c>
      <c r="F211" s="53">
        <f>+H211</f>
        <v>1348532.2799999998</v>
      </c>
      <c r="G211" s="53">
        <f t="shared" ref="G211:G225" si="25">+H211-F211</f>
        <v>0</v>
      </c>
      <c r="H211" s="72">
        <f t="shared" ref="H211:H225" si="26">SUM(J211:M211)</f>
        <v>1348532.2799999998</v>
      </c>
      <c r="I211" s="61"/>
      <c r="J211" s="61"/>
      <c r="K211" s="61">
        <f>+'[1]II-B-5 Depreciation'!N37</f>
        <v>1348532.2799999998</v>
      </c>
      <c r="L211" s="61">
        <v>0</v>
      </c>
      <c r="M211" s="61">
        <v>0</v>
      </c>
      <c r="N211" s="23"/>
      <c r="O211" s="3"/>
      <c r="P211" s="1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</row>
    <row r="212" spans="1:53" x14ac:dyDescent="0.2">
      <c r="A212" s="3">
        <f t="shared" si="21"/>
        <v>18</v>
      </c>
      <c r="B212" s="3" t="s">
        <v>54</v>
      </c>
      <c r="C212" s="3" t="s">
        <v>31</v>
      </c>
      <c r="D212" s="78" t="s">
        <v>431</v>
      </c>
      <c r="E212" s="49" t="s">
        <v>620</v>
      </c>
      <c r="F212" s="53">
        <f t="shared" ref="F212:F225" si="27">+H212</f>
        <v>4920819.7878222782</v>
      </c>
      <c r="G212" s="53">
        <f t="shared" si="25"/>
        <v>0</v>
      </c>
      <c r="H212" s="72">
        <f t="shared" si="26"/>
        <v>4920819.7878222782</v>
      </c>
      <c r="I212" s="61"/>
      <c r="J212" s="61"/>
      <c r="K212" s="61">
        <f>+'[1]II-B-5 Depreciation'!N38</f>
        <v>4920819.7878222782</v>
      </c>
      <c r="L212" s="61">
        <v>0</v>
      </c>
      <c r="M212" s="61">
        <v>0</v>
      </c>
      <c r="N212" s="23"/>
      <c r="O212" s="3"/>
      <c r="P212" s="1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</row>
    <row r="213" spans="1:53" x14ac:dyDescent="0.2">
      <c r="A213" s="3">
        <f t="shared" si="21"/>
        <v>19</v>
      </c>
      <c r="B213" s="3" t="s">
        <v>55</v>
      </c>
      <c r="C213" s="3" t="s">
        <v>38</v>
      </c>
      <c r="D213" s="78" t="s">
        <v>431</v>
      </c>
      <c r="E213" s="49" t="s">
        <v>620</v>
      </c>
      <c r="F213" s="53">
        <f t="shared" si="27"/>
        <v>97006634.035425827</v>
      </c>
      <c r="G213" s="53">
        <f t="shared" si="25"/>
        <v>0</v>
      </c>
      <c r="H213" s="72">
        <f t="shared" si="26"/>
        <v>97006634.035425827</v>
      </c>
      <c r="I213" s="61"/>
      <c r="J213" s="61"/>
      <c r="K213" s="61">
        <f>+'[1]II-B-5 Depreciation'!N39</f>
        <v>97006634.035425827</v>
      </c>
      <c r="L213" s="61"/>
      <c r="M213" s="61">
        <v>0</v>
      </c>
      <c r="N213" s="23"/>
      <c r="O213" s="3"/>
      <c r="P213" s="1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</row>
    <row r="214" spans="1:53" x14ac:dyDescent="0.2">
      <c r="A214" s="3">
        <f t="shared" si="21"/>
        <v>20</v>
      </c>
      <c r="B214" s="3" t="s">
        <v>56</v>
      </c>
      <c r="C214" s="3" t="s">
        <v>57</v>
      </c>
      <c r="D214" s="3" t="str">
        <f>D117</f>
        <v>Direct Assign</v>
      </c>
      <c r="E214" s="49" t="s">
        <v>620</v>
      </c>
      <c r="F214" s="53">
        <f t="shared" si="27"/>
        <v>0</v>
      </c>
      <c r="G214" s="53">
        <f t="shared" si="25"/>
        <v>0</v>
      </c>
      <c r="H214" s="72">
        <f t="shared" si="26"/>
        <v>0</v>
      </c>
      <c r="I214" s="61"/>
      <c r="J214" s="61"/>
      <c r="K214" s="61">
        <f>+'[1]II-B-5 Depreciation'!N40</f>
        <v>0</v>
      </c>
      <c r="L214" s="61">
        <v>0</v>
      </c>
      <c r="M214" s="61">
        <v>0</v>
      </c>
      <c r="N214" s="23"/>
      <c r="O214" s="3"/>
      <c r="P214" s="1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</row>
    <row r="215" spans="1:53" x14ac:dyDescent="0.2">
      <c r="A215" s="3">
        <f t="shared" si="21"/>
        <v>21</v>
      </c>
      <c r="B215" s="3" t="s">
        <v>58</v>
      </c>
      <c r="C215" s="3" t="s">
        <v>59</v>
      </c>
      <c r="D215" s="3" t="str">
        <f>D119</f>
        <v>Direct Assign</v>
      </c>
      <c r="E215" s="49" t="s">
        <v>620</v>
      </c>
      <c r="F215" s="53">
        <f t="shared" si="27"/>
        <v>367132765.50797564</v>
      </c>
      <c r="G215" s="53">
        <f t="shared" si="25"/>
        <v>0</v>
      </c>
      <c r="H215" s="72">
        <f t="shared" si="26"/>
        <v>367132765.50797564</v>
      </c>
      <c r="I215" s="61"/>
      <c r="J215" s="61"/>
      <c r="K215" s="61">
        <f>+'[1]II-B-5 Depreciation'!N41</f>
        <v>367132765.50797564</v>
      </c>
      <c r="L215" s="61">
        <v>0</v>
      </c>
      <c r="M215" s="61">
        <v>0</v>
      </c>
      <c r="N215" s="23"/>
      <c r="O215" s="3"/>
      <c r="P215" s="1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</row>
    <row r="216" spans="1:53" x14ac:dyDescent="0.2">
      <c r="A216" s="3">
        <f t="shared" si="21"/>
        <v>22</v>
      </c>
      <c r="B216" s="3" t="s">
        <v>63</v>
      </c>
      <c r="C216" s="3" t="s">
        <v>44</v>
      </c>
      <c r="D216" s="3" t="str">
        <f>D123</f>
        <v>Direct Assign</v>
      </c>
      <c r="E216" s="49" t="s">
        <v>620</v>
      </c>
      <c r="F216" s="53">
        <f t="shared" si="27"/>
        <v>275873011.18854189</v>
      </c>
      <c r="G216" s="53">
        <f t="shared" si="25"/>
        <v>0</v>
      </c>
      <c r="H216" s="72">
        <f t="shared" si="26"/>
        <v>275873011.18854189</v>
      </c>
      <c r="I216" s="61"/>
      <c r="J216" s="61"/>
      <c r="K216" s="61">
        <f>+'[1]II-B-5 Depreciation'!N42</f>
        <v>275873011.18854189</v>
      </c>
      <c r="L216" s="61">
        <v>0</v>
      </c>
      <c r="M216" s="61">
        <v>0</v>
      </c>
      <c r="N216" s="23"/>
      <c r="O216" s="3"/>
      <c r="P216" s="1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</row>
    <row r="217" spans="1:53" x14ac:dyDescent="0.2">
      <c r="A217" s="3">
        <f t="shared" si="21"/>
        <v>23</v>
      </c>
      <c r="B217" s="3" t="s">
        <v>64</v>
      </c>
      <c r="C217" s="3" t="s">
        <v>65</v>
      </c>
      <c r="D217" s="3" t="str">
        <f>D128</f>
        <v>Direct Assign</v>
      </c>
      <c r="E217" s="49" t="s">
        <v>620</v>
      </c>
      <c r="F217" s="53">
        <f t="shared" si="27"/>
        <v>31144883.420259144</v>
      </c>
      <c r="G217" s="53">
        <f t="shared" si="25"/>
        <v>0</v>
      </c>
      <c r="H217" s="72">
        <f t="shared" si="26"/>
        <v>31144883.420259144</v>
      </c>
      <c r="I217" s="61"/>
      <c r="J217" s="61"/>
      <c r="K217" s="61">
        <f>+'[1]II-B-5 Depreciation'!N43</f>
        <v>31144883.420259144</v>
      </c>
      <c r="L217" s="61">
        <v>0</v>
      </c>
      <c r="M217" s="61">
        <v>0</v>
      </c>
      <c r="N217" s="23"/>
      <c r="O217" s="3"/>
      <c r="P217" s="1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</row>
    <row r="218" spans="1:53" x14ac:dyDescent="0.2">
      <c r="A218" s="3">
        <f t="shared" si="21"/>
        <v>24</v>
      </c>
      <c r="B218" s="3" t="s">
        <v>66</v>
      </c>
      <c r="C218" s="3" t="s">
        <v>67</v>
      </c>
      <c r="D218" s="3" t="str">
        <f>D134</f>
        <v>Direct Assign</v>
      </c>
      <c r="E218" s="49" t="s">
        <v>620</v>
      </c>
      <c r="F218" s="53">
        <f t="shared" si="27"/>
        <v>127965713.43418217</v>
      </c>
      <c r="G218" s="53">
        <f t="shared" si="25"/>
        <v>0</v>
      </c>
      <c r="H218" s="72">
        <f t="shared" si="26"/>
        <v>127965713.43418217</v>
      </c>
      <c r="I218" s="61"/>
      <c r="J218" s="61"/>
      <c r="K218" s="61">
        <f>+'[1]II-B-5 Depreciation'!N44</f>
        <v>127965713.43418217</v>
      </c>
      <c r="L218" s="61">
        <v>0</v>
      </c>
      <c r="M218" s="61">
        <v>0</v>
      </c>
      <c r="N218" s="23"/>
      <c r="O218" s="3"/>
      <c r="P218" s="1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</row>
    <row r="219" spans="1:53" x14ac:dyDescent="0.2">
      <c r="A219" s="3">
        <f t="shared" si="21"/>
        <v>25</v>
      </c>
      <c r="B219" s="3" t="s">
        <v>69</v>
      </c>
      <c r="C219" s="3" t="s">
        <v>70</v>
      </c>
      <c r="D219" s="3" t="str">
        <f>D137</f>
        <v>Direct Assign</v>
      </c>
      <c r="E219" s="49" t="s">
        <v>620</v>
      </c>
      <c r="F219" s="53">
        <f t="shared" si="27"/>
        <v>139921230.22590226</v>
      </c>
      <c r="G219" s="53">
        <f t="shared" si="25"/>
        <v>0</v>
      </c>
      <c r="H219" s="72">
        <f t="shared" si="26"/>
        <v>139921230.22590226</v>
      </c>
      <c r="I219" s="61"/>
      <c r="J219" s="61"/>
      <c r="K219" s="61">
        <f>+'[1]II-B-5 Depreciation'!N45</f>
        <v>139921230.22590226</v>
      </c>
      <c r="L219" s="61">
        <v>0</v>
      </c>
      <c r="M219" s="61">
        <v>0</v>
      </c>
      <c r="N219" s="23"/>
      <c r="O219" s="3"/>
      <c r="P219" s="1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</row>
    <row r="220" spans="1:53" x14ac:dyDescent="0.2">
      <c r="A220" s="3">
        <f t="shared" si="21"/>
        <v>26</v>
      </c>
      <c r="B220" s="3" t="s">
        <v>72</v>
      </c>
      <c r="C220" s="3" t="s">
        <v>73</v>
      </c>
      <c r="D220" s="3" t="str">
        <f t="shared" ref="D220:D225" si="28">D141</f>
        <v>Direct Assign</v>
      </c>
      <c r="E220" s="49" t="s">
        <v>620</v>
      </c>
      <c r="F220" s="53">
        <f t="shared" si="27"/>
        <v>203846366.4653798</v>
      </c>
      <c r="G220" s="53">
        <f t="shared" si="25"/>
        <v>0</v>
      </c>
      <c r="H220" s="72">
        <f t="shared" si="26"/>
        <v>203846366.4653798</v>
      </c>
      <c r="I220" s="61"/>
      <c r="J220" s="61"/>
      <c r="K220" s="61">
        <f>+'[1]II-B-5 Depreciation'!N46</f>
        <v>203846366.4653798</v>
      </c>
      <c r="L220" s="61">
        <v>0</v>
      </c>
      <c r="M220" s="61">
        <v>0</v>
      </c>
      <c r="N220" s="23"/>
      <c r="O220" s="3"/>
      <c r="P220" s="1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</row>
    <row r="221" spans="1:53" x14ac:dyDescent="0.2">
      <c r="A221" s="3">
        <f t="shared" si="21"/>
        <v>27</v>
      </c>
      <c r="B221" s="3" t="s">
        <v>74</v>
      </c>
      <c r="C221" s="3" t="s">
        <v>75</v>
      </c>
      <c r="D221" s="3" t="str">
        <f t="shared" si="28"/>
        <v>Direct Assign</v>
      </c>
      <c r="E221" s="49" t="s">
        <v>620</v>
      </c>
      <c r="F221" s="53">
        <f t="shared" si="27"/>
        <v>8477322.4175511915</v>
      </c>
      <c r="G221" s="53">
        <f t="shared" si="25"/>
        <v>0</v>
      </c>
      <c r="H221" s="72">
        <f t="shared" si="26"/>
        <v>8477322.4175511915</v>
      </c>
      <c r="I221" s="61"/>
      <c r="J221" s="61"/>
      <c r="K221" s="61">
        <f>+'[1]II-B-5 Depreciation'!N47</f>
        <v>0</v>
      </c>
      <c r="L221" s="61">
        <f>+'[1]II-B-5 Depreciation'!$O$47</f>
        <v>8477322.4175511915</v>
      </c>
      <c r="M221" s="61">
        <v>0</v>
      </c>
      <c r="N221" s="23"/>
      <c r="O221" s="3"/>
      <c r="P221" s="1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</row>
    <row r="222" spans="1:53" x14ac:dyDescent="0.2">
      <c r="A222" s="3">
        <f t="shared" si="21"/>
        <v>28</v>
      </c>
      <c r="B222" s="3" t="s">
        <v>76</v>
      </c>
      <c r="C222" s="3" t="s">
        <v>77</v>
      </c>
      <c r="D222" s="3" t="str">
        <f t="shared" si="28"/>
        <v>Direct Assign</v>
      </c>
      <c r="E222" s="49" t="s">
        <v>620</v>
      </c>
      <c r="F222" s="53">
        <f t="shared" si="27"/>
        <v>46747583.655845068</v>
      </c>
      <c r="G222" s="53">
        <f t="shared" si="25"/>
        <v>0</v>
      </c>
      <c r="H222" s="72">
        <f t="shared" si="26"/>
        <v>46747583.655845068</v>
      </c>
      <c r="I222" s="61"/>
      <c r="J222" s="61"/>
      <c r="K222" s="61">
        <f>+'[1]II-B-5 Depreciation'!$N$49</f>
        <v>46747583.655845068</v>
      </c>
      <c r="L222" s="61">
        <v>0</v>
      </c>
      <c r="M222" s="61">
        <v>0</v>
      </c>
      <c r="N222" s="23"/>
      <c r="O222" s="3"/>
      <c r="P222" s="1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</row>
    <row r="223" spans="1:53" x14ac:dyDescent="0.2">
      <c r="A223" s="3">
        <f t="shared" si="21"/>
        <v>29</v>
      </c>
      <c r="B223" s="3" t="s">
        <v>78</v>
      </c>
      <c r="C223" s="3" t="s">
        <v>79</v>
      </c>
      <c r="D223" s="3" t="str">
        <f t="shared" si="28"/>
        <v>Direct Assign</v>
      </c>
      <c r="E223" s="49" t="s">
        <v>620</v>
      </c>
      <c r="F223" s="53">
        <f t="shared" si="27"/>
        <v>77789.387252660585</v>
      </c>
      <c r="G223" s="53">
        <f t="shared" si="25"/>
        <v>0</v>
      </c>
      <c r="H223" s="72">
        <f t="shared" si="26"/>
        <v>77789.387252660585</v>
      </c>
      <c r="I223" s="61"/>
      <c r="J223" s="61"/>
      <c r="K223" s="61">
        <f>+'[1]II-B-5 Depreciation'!$N$50</f>
        <v>77789.387252660585</v>
      </c>
      <c r="L223" s="61">
        <v>0</v>
      </c>
      <c r="M223" s="61">
        <v>0</v>
      </c>
      <c r="N223" s="23"/>
      <c r="O223" s="3"/>
      <c r="P223" s="1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</row>
    <row r="224" spans="1:53" x14ac:dyDescent="0.2">
      <c r="A224" s="3">
        <f t="shared" si="21"/>
        <v>30</v>
      </c>
      <c r="B224" s="3" t="s">
        <v>80</v>
      </c>
      <c r="C224" s="3" t="s">
        <v>81</v>
      </c>
      <c r="D224" s="3" t="str">
        <f t="shared" si="28"/>
        <v>Direct Assign</v>
      </c>
      <c r="E224" s="49" t="s">
        <v>620</v>
      </c>
      <c r="F224" s="53">
        <f t="shared" si="27"/>
        <v>32467213.260705013</v>
      </c>
      <c r="G224" s="53">
        <f t="shared" si="25"/>
        <v>0</v>
      </c>
      <c r="H224" s="72">
        <f t="shared" si="26"/>
        <v>32467213.260705013</v>
      </c>
      <c r="I224" s="61"/>
      <c r="J224" s="61"/>
      <c r="K224" s="61">
        <f>+'[1]II-B-5 Depreciation'!$N$51</f>
        <v>32467213.260705013</v>
      </c>
      <c r="L224" s="61">
        <v>0</v>
      </c>
      <c r="M224" s="61">
        <v>0</v>
      </c>
      <c r="N224" s="23"/>
      <c r="O224" s="3"/>
      <c r="P224" s="1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</row>
    <row r="225" spans="1:53" x14ac:dyDescent="0.2">
      <c r="A225" s="3">
        <f t="shared" si="21"/>
        <v>31</v>
      </c>
      <c r="B225" s="3" t="s">
        <v>818</v>
      </c>
      <c r="C225" s="3" t="s">
        <v>817</v>
      </c>
      <c r="D225" s="3" t="str">
        <f t="shared" si="28"/>
        <v>Direct Assign</v>
      </c>
      <c r="E225" s="49" t="s">
        <v>621</v>
      </c>
      <c r="F225" s="53">
        <f t="shared" si="27"/>
        <v>101044179.4123016</v>
      </c>
      <c r="G225" s="53">
        <f t="shared" si="25"/>
        <v>0</v>
      </c>
      <c r="H225" s="72">
        <f t="shared" si="26"/>
        <v>101044179.4123016</v>
      </c>
      <c r="I225" s="61"/>
      <c r="J225" s="61"/>
      <c r="K225" s="61">
        <v>0</v>
      </c>
      <c r="L225" s="61">
        <f>+'[1]II-B-5 Depreciation'!$O$48</f>
        <v>101044179.4123016</v>
      </c>
      <c r="M225" s="61">
        <v>0</v>
      </c>
      <c r="N225" s="23"/>
      <c r="O225" s="3"/>
      <c r="P225" s="1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</row>
    <row r="226" spans="1:53" x14ac:dyDescent="0.2">
      <c r="A226" s="3">
        <f t="shared" si="21"/>
        <v>32</v>
      </c>
      <c r="B226" s="3"/>
      <c r="C226" s="3" t="s">
        <v>82</v>
      </c>
      <c r="D226" s="3"/>
      <c r="E226" s="49"/>
      <c r="F226" s="53">
        <f>SUM(F211:F225)</f>
        <v>1437974044.4791443</v>
      </c>
      <c r="G226" s="53">
        <f>SUM(G211:G225)</f>
        <v>0</v>
      </c>
      <c r="H226" s="55">
        <f>SUM(H211:H225)</f>
        <v>1437974044.4791443</v>
      </c>
      <c r="I226" s="55"/>
      <c r="J226" s="55">
        <f>SUM(J211:J224)</f>
        <v>0</v>
      </c>
      <c r="K226" s="55">
        <f>SUM(K211:K225)</f>
        <v>1328452542.6492915</v>
      </c>
      <c r="L226" s="55">
        <f>SUM(L211:L225)</f>
        <v>109521501.82985279</v>
      </c>
      <c r="M226" s="55">
        <f>SUM(M211:M225)</f>
        <v>0</v>
      </c>
      <c r="N226" s="23"/>
      <c r="O226" s="3"/>
      <c r="P226" s="1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</row>
    <row r="227" spans="1:53" x14ac:dyDescent="0.2">
      <c r="A227" s="3">
        <f t="shared" si="21"/>
        <v>33</v>
      </c>
      <c r="B227" s="3"/>
      <c r="C227" s="3"/>
      <c r="D227" s="3"/>
      <c r="E227" s="49"/>
      <c r="F227" s="49"/>
      <c r="G227" s="49"/>
      <c r="H227" s="55"/>
      <c r="I227" s="55"/>
      <c r="J227" s="55"/>
      <c r="K227" s="55"/>
      <c r="L227" s="55"/>
      <c r="M227" s="55"/>
      <c r="N227" s="23"/>
      <c r="O227" s="3"/>
      <c r="P227" s="1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</row>
    <row r="228" spans="1:53" x14ac:dyDescent="0.2">
      <c r="A228" s="3">
        <f t="shared" si="21"/>
        <v>34</v>
      </c>
      <c r="B228" s="7" t="s">
        <v>113</v>
      </c>
      <c r="C228" s="3"/>
      <c r="D228" s="3"/>
      <c r="E228" s="49"/>
      <c r="F228" s="49"/>
      <c r="G228" s="49"/>
      <c r="H228" s="55"/>
      <c r="I228" s="55"/>
      <c r="J228" s="55"/>
      <c r="K228" s="55"/>
      <c r="L228" s="55"/>
      <c r="M228" s="55"/>
      <c r="N228" s="23"/>
      <c r="O228" s="3"/>
      <c r="P228" s="1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</row>
    <row r="229" spans="1:53" x14ac:dyDescent="0.2">
      <c r="A229" s="3">
        <f t="shared" si="21"/>
        <v>35</v>
      </c>
      <c r="B229" s="3"/>
      <c r="C229" s="3"/>
      <c r="D229" s="3"/>
      <c r="E229" s="49"/>
      <c r="F229" s="49"/>
      <c r="G229" s="49"/>
      <c r="H229" s="82"/>
      <c r="I229" s="55"/>
      <c r="J229" s="55"/>
      <c r="K229" s="55"/>
      <c r="L229" s="55"/>
      <c r="M229" s="55"/>
      <c r="N229" s="23"/>
      <c r="O229" s="3"/>
      <c r="P229" s="1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</row>
    <row r="230" spans="1:53" x14ac:dyDescent="0.2">
      <c r="A230" s="3">
        <f t="shared" si="21"/>
        <v>36</v>
      </c>
      <c r="B230" s="3" t="s">
        <v>112</v>
      </c>
      <c r="C230" s="3"/>
      <c r="D230" s="3"/>
      <c r="E230" s="49"/>
      <c r="F230" s="49"/>
      <c r="G230" s="49"/>
      <c r="H230" s="82"/>
      <c r="I230" s="55"/>
      <c r="J230" s="55"/>
      <c r="K230" s="55"/>
      <c r="L230" s="55"/>
      <c r="M230" s="55"/>
      <c r="N230" s="23"/>
      <c r="O230" s="3"/>
      <c r="P230" s="1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</row>
    <row r="231" spans="1:53" x14ac:dyDescent="0.2">
      <c r="A231" s="3">
        <f t="shared" si="21"/>
        <v>37</v>
      </c>
      <c r="B231" s="3"/>
      <c r="C231" s="3"/>
      <c r="D231" s="3"/>
      <c r="E231" s="49"/>
      <c r="F231" s="49"/>
      <c r="G231" s="49"/>
      <c r="H231" s="55"/>
      <c r="I231" s="55"/>
      <c r="J231" s="55"/>
      <c r="K231" s="55"/>
      <c r="L231" s="55"/>
      <c r="M231" s="55"/>
      <c r="N231" s="23"/>
      <c r="O231" s="3"/>
      <c r="P231" s="1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</row>
    <row r="232" spans="1:53" x14ac:dyDescent="0.2">
      <c r="A232" s="3">
        <f t="shared" si="21"/>
        <v>38</v>
      </c>
      <c r="B232" s="3" t="s">
        <v>84</v>
      </c>
      <c r="C232" s="3"/>
      <c r="D232" s="3"/>
      <c r="E232" s="49"/>
      <c r="F232" s="49"/>
      <c r="G232" s="49"/>
      <c r="H232" s="55"/>
      <c r="I232" s="55"/>
      <c r="J232" s="55"/>
      <c r="K232" s="55"/>
      <c r="L232" s="55"/>
      <c r="M232" s="55"/>
      <c r="N232" s="23"/>
      <c r="O232" s="3"/>
      <c r="P232" s="1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</row>
    <row r="233" spans="1:53" x14ac:dyDescent="0.2">
      <c r="A233" s="3">
        <f t="shared" si="21"/>
        <v>39</v>
      </c>
      <c r="B233" s="3" t="s">
        <v>85</v>
      </c>
      <c r="C233" s="3" t="s">
        <v>35</v>
      </c>
      <c r="D233" s="78" t="s">
        <v>431</v>
      </c>
      <c r="E233" s="49" t="s">
        <v>620</v>
      </c>
      <c r="F233" s="53">
        <f>+H233</f>
        <v>1798127.1300000001</v>
      </c>
      <c r="G233" s="53">
        <f t="shared" ref="G233:G243" si="29">+H233-F233</f>
        <v>0</v>
      </c>
      <c r="H233" s="72">
        <f t="shared" ref="H233:H243" si="30">SUM(J233:M233)</f>
        <v>1798127.1300000001</v>
      </c>
      <c r="I233" s="61"/>
      <c r="J233" s="61"/>
      <c r="K233" s="61">
        <f>+'[1]II-B-5 Depreciation'!N65</f>
        <v>1761770.0731033951</v>
      </c>
      <c r="L233" s="61">
        <f>+'[1]II-B-5 Depreciation'!O65</f>
        <v>9438.6877000412314</v>
      </c>
      <c r="M233" s="61">
        <f>+'[1]II-B-5 Depreciation'!P65</f>
        <v>26918.369196563639</v>
      </c>
      <c r="N233" s="23"/>
      <c r="O233" s="3"/>
      <c r="P233" s="1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34" spans="1:53" x14ac:dyDescent="0.2">
      <c r="A234" s="3">
        <f t="shared" si="21"/>
        <v>40</v>
      </c>
      <c r="B234" s="3" t="s">
        <v>86</v>
      </c>
      <c r="C234" s="3" t="s">
        <v>31</v>
      </c>
      <c r="D234" s="78" t="s">
        <v>431</v>
      </c>
      <c r="E234" s="49" t="s">
        <v>620</v>
      </c>
      <c r="F234" s="53">
        <f t="shared" ref="F234:F243" si="31">+H234</f>
        <v>67508536.372994602</v>
      </c>
      <c r="G234" s="53">
        <f t="shared" si="29"/>
        <v>0</v>
      </c>
      <c r="H234" s="72">
        <f t="shared" si="30"/>
        <v>67508536.372994602</v>
      </c>
      <c r="I234" s="61"/>
      <c r="J234" s="61"/>
      <c r="K234" s="61">
        <f>+'[1]II-B-5 Depreciation'!N66</f>
        <v>66143554.077265888</v>
      </c>
      <c r="L234" s="61">
        <f>+'[1]II-B-5 Depreciation'!O66</f>
        <v>354364.2611696595</v>
      </c>
      <c r="M234" s="61">
        <f>+'[1]II-B-5 Depreciation'!P66</f>
        <v>1010618.0345590548</v>
      </c>
      <c r="N234" s="23"/>
      <c r="O234" s="3"/>
      <c r="P234" s="1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</row>
    <row r="235" spans="1:53" x14ac:dyDescent="0.2">
      <c r="A235" s="3">
        <f t="shared" si="21"/>
        <v>41</v>
      </c>
      <c r="B235" s="3" t="s">
        <v>87</v>
      </c>
      <c r="C235" s="3" t="s">
        <v>88</v>
      </c>
      <c r="D235" s="78" t="s">
        <v>431</v>
      </c>
      <c r="E235" s="49" t="s">
        <v>620</v>
      </c>
      <c r="F235" s="53">
        <f t="shared" si="31"/>
        <v>-493967.69841010269</v>
      </c>
      <c r="G235" s="53">
        <f t="shared" si="29"/>
        <v>0</v>
      </c>
      <c r="H235" s="72">
        <f t="shared" si="30"/>
        <v>-493967.69841010269</v>
      </c>
      <c r="I235" s="61"/>
      <c r="J235" s="61"/>
      <c r="K235" s="61">
        <f>+'[1]II-B-5 Depreciation'!N67</f>
        <v>-483979.96649918874</v>
      </c>
      <c r="L235" s="61">
        <f>+'[1]II-B-5 Depreciation'!O67</f>
        <v>-2592.9239158974888</v>
      </c>
      <c r="M235" s="61">
        <f>+'[1]II-B-5 Depreciation'!P67</f>
        <v>-7394.8079950164292</v>
      </c>
      <c r="N235" s="23"/>
      <c r="O235" s="3"/>
      <c r="P235" s="1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</row>
    <row r="236" spans="1:53" x14ac:dyDescent="0.2">
      <c r="A236" s="3">
        <f t="shared" si="21"/>
        <v>42</v>
      </c>
      <c r="B236" s="3" t="s">
        <v>89</v>
      </c>
      <c r="C236" s="3" t="s">
        <v>90</v>
      </c>
      <c r="D236" s="78" t="s">
        <v>431</v>
      </c>
      <c r="E236" s="49" t="s">
        <v>620</v>
      </c>
      <c r="F236" s="53">
        <f t="shared" si="31"/>
        <v>119433.22331494735</v>
      </c>
      <c r="G236" s="53">
        <f t="shared" si="29"/>
        <v>0</v>
      </c>
      <c r="H236" s="72">
        <f t="shared" si="30"/>
        <v>119433.22331494735</v>
      </c>
      <c r="I236" s="61"/>
      <c r="J236" s="61"/>
      <c r="K236" s="61">
        <f>+'[1]II-B-5 Depreciation'!N68</f>
        <v>116603.08841660712</v>
      </c>
      <c r="L236" s="61">
        <f>+'[1]II-B-5 Depreciation'!O68</f>
        <v>2830.1291155421777</v>
      </c>
      <c r="M236" s="61">
        <f>+'[1]II-B-5 Depreciation'!P68</f>
        <v>5.7827980516797113E-3</v>
      </c>
      <c r="N236" s="23"/>
      <c r="O236" s="3"/>
      <c r="P236" s="1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</row>
    <row r="237" spans="1:53" x14ac:dyDescent="0.2">
      <c r="A237" s="3">
        <f t="shared" si="21"/>
        <v>43</v>
      </c>
      <c r="B237" s="3" t="s">
        <v>91</v>
      </c>
      <c r="C237" s="3" t="s">
        <v>114</v>
      </c>
      <c r="D237" s="78" t="s">
        <v>431</v>
      </c>
      <c r="E237" s="49" t="s">
        <v>620</v>
      </c>
      <c r="F237" s="53">
        <f t="shared" si="31"/>
        <v>852983.9042865485</v>
      </c>
      <c r="G237" s="53">
        <f t="shared" si="29"/>
        <v>0</v>
      </c>
      <c r="H237" s="72">
        <f t="shared" si="30"/>
        <v>852983.9042865485</v>
      </c>
      <c r="I237" s="61"/>
      <c r="J237" s="61"/>
      <c r="K237" s="61">
        <f>+'[1]II-B-5 Depreciation'!N69</f>
        <v>832771.34252071357</v>
      </c>
      <c r="L237" s="61">
        <f>+'[1]II-B-5 Depreciation'!O69</f>
        <v>20212.561765834864</v>
      </c>
      <c r="M237" s="61">
        <f>+'[1]II-B-5 Depreciation'!P69</f>
        <v>0</v>
      </c>
      <c r="N237" s="23"/>
      <c r="O237" s="3"/>
      <c r="P237" s="1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</row>
    <row r="238" spans="1:53" x14ac:dyDescent="0.2">
      <c r="A238" s="3">
        <f t="shared" si="21"/>
        <v>44</v>
      </c>
      <c r="B238" s="3" t="s">
        <v>93</v>
      </c>
      <c r="C238" s="3" t="s">
        <v>94</v>
      </c>
      <c r="D238" s="78" t="s">
        <v>431</v>
      </c>
      <c r="E238" s="49" t="s">
        <v>620</v>
      </c>
      <c r="F238" s="53">
        <f t="shared" si="31"/>
        <v>18785206.46925801</v>
      </c>
      <c r="G238" s="53">
        <f t="shared" si="29"/>
        <v>0</v>
      </c>
      <c r="H238" s="72">
        <f t="shared" si="30"/>
        <v>18785206.46925801</v>
      </c>
      <c r="I238" s="61"/>
      <c r="J238" s="61"/>
      <c r="K238" s="61">
        <f>+'[1]II-B-5 Depreciation'!N70</f>
        <v>18340065.10134083</v>
      </c>
      <c r="L238" s="61">
        <f>+'[1]II-B-5 Depreciation'!O70</f>
        <v>445140.45836243202</v>
      </c>
      <c r="M238" s="61">
        <f>+'[1]II-B-5 Depreciation'!P70</f>
        <v>0.90955474829951188</v>
      </c>
      <c r="N238" s="23"/>
      <c r="O238" s="3"/>
      <c r="P238" s="1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</row>
    <row r="239" spans="1:53" x14ac:dyDescent="0.2">
      <c r="A239" s="3">
        <f t="shared" si="21"/>
        <v>45</v>
      </c>
      <c r="B239" s="3" t="s">
        <v>95</v>
      </c>
      <c r="C239" s="3" t="s">
        <v>96</v>
      </c>
      <c r="D239" s="78" t="s">
        <v>431</v>
      </c>
      <c r="E239" s="49" t="s">
        <v>620</v>
      </c>
      <c r="F239" s="53">
        <f t="shared" si="31"/>
        <v>69937.054311017389</v>
      </c>
      <c r="G239" s="53">
        <f t="shared" si="29"/>
        <v>0</v>
      </c>
      <c r="H239" s="72">
        <f t="shared" si="30"/>
        <v>69937.054311017389</v>
      </c>
      <c r="I239" s="61"/>
      <c r="J239" s="61"/>
      <c r="K239" s="61">
        <f>+'[1]II-B-5 Depreciation'!N71</f>
        <v>68279.799381450779</v>
      </c>
      <c r="L239" s="61">
        <f>+'[1]II-B-5 Depreciation'!O71</f>
        <v>1657.2515433073249</v>
      </c>
      <c r="M239" s="61">
        <f>+'[1]II-B-5 Depreciation'!P71</f>
        <v>3.3862592851863012E-3</v>
      </c>
      <c r="N239" s="23"/>
      <c r="O239" s="3"/>
      <c r="P239" s="1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</row>
    <row r="240" spans="1:53" x14ac:dyDescent="0.2">
      <c r="A240" s="3">
        <f t="shared" si="21"/>
        <v>46</v>
      </c>
      <c r="B240" s="3" t="s">
        <v>97</v>
      </c>
      <c r="C240" s="3" t="s">
        <v>98</v>
      </c>
      <c r="D240" s="78" t="s">
        <v>431</v>
      </c>
      <c r="E240" s="49" t="s">
        <v>620</v>
      </c>
      <c r="F240" s="53">
        <f t="shared" si="31"/>
        <v>-380425.55898227391</v>
      </c>
      <c r="G240" s="53">
        <f t="shared" si="29"/>
        <v>0</v>
      </c>
      <c r="H240" s="72">
        <f t="shared" si="30"/>
        <v>-380425.55898227391</v>
      </c>
      <c r="I240" s="61"/>
      <c r="J240" s="61"/>
      <c r="K240" s="61">
        <f>+'[1]II-B-5 Depreciation'!N72</f>
        <v>-371410.85083982378</v>
      </c>
      <c r="L240" s="61">
        <f>+'[1]II-B-5 Depreciation'!O72</f>
        <v>-9014.6897227498321</v>
      </c>
      <c r="M240" s="61">
        <f>+'[1]II-B-5 Depreciation'!P72</f>
        <v>-1.8419700316474108E-2</v>
      </c>
      <c r="N240" s="23"/>
      <c r="O240" s="3"/>
      <c r="P240" s="1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</row>
    <row r="241" spans="1:53" x14ac:dyDescent="0.2">
      <c r="A241" s="3">
        <f t="shared" si="21"/>
        <v>47</v>
      </c>
      <c r="B241" s="3" t="s">
        <v>105</v>
      </c>
      <c r="C241" s="3" t="s">
        <v>106</v>
      </c>
      <c r="D241" s="78" t="s">
        <v>431</v>
      </c>
      <c r="E241" s="49" t="s">
        <v>620</v>
      </c>
      <c r="F241" s="53">
        <f t="shared" si="31"/>
        <v>63711572.88317164</v>
      </c>
      <c r="G241" s="53">
        <f t="shared" si="29"/>
        <v>0</v>
      </c>
      <c r="H241" s="72">
        <f t="shared" si="30"/>
        <v>63711572.88317164</v>
      </c>
      <c r="I241" s="61"/>
      <c r="J241" s="61"/>
      <c r="K241" s="61">
        <f>+'[1]II-B-5 Depreciation'!N75</f>
        <v>62201839.319594242</v>
      </c>
      <c r="L241" s="61">
        <f>+'[1]II-B-5 Depreciation'!O75</f>
        <v>1509730.4787476591</v>
      </c>
      <c r="M241" s="61">
        <f>+'[1]II-B-5 Depreciation'!P75</f>
        <v>3.0848297426143807</v>
      </c>
      <c r="N241" s="23"/>
      <c r="O241" s="3"/>
      <c r="P241" s="1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</row>
    <row r="242" spans="1:53" x14ac:dyDescent="0.2">
      <c r="A242" s="3">
        <f t="shared" si="21"/>
        <v>48</v>
      </c>
      <c r="B242" s="3" t="s">
        <v>99</v>
      </c>
      <c r="C242" s="3" t="s">
        <v>100</v>
      </c>
      <c r="D242" s="78" t="s">
        <v>431</v>
      </c>
      <c r="E242" s="49" t="s">
        <v>620</v>
      </c>
      <c r="F242" s="53">
        <f t="shared" si="31"/>
        <v>4185529.2774093361</v>
      </c>
      <c r="G242" s="53">
        <f t="shared" si="29"/>
        <v>0</v>
      </c>
      <c r="H242" s="72">
        <f t="shared" si="30"/>
        <v>4185529.2774093361</v>
      </c>
      <c r="I242" s="61"/>
      <c r="J242" s="61"/>
      <c r="K242" s="61">
        <f>+'[1]II-B-5 Depreciation'!N76</f>
        <v>4086347.3902657237</v>
      </c>
      <c r="L242" s="61">
        <f>+'[1]II-B-5 Depreciation'!O76</f>
        <v>99181.684485843318</v>
      </c>
      <c r="M242" s="61">
        <f>+'[1]II-B-5 Depreciation'!P76</f>
        <v>0.20265776874182295</v>
      </c>
      <c r="N242" s="23"/>
      <c r="O242" s="3"/>
      <c r="P242" s="1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</row>
    <row r="243" spans="1:53" x14ac:dyDescent="0.2">
      <c r="A243" s="3">
        <f t="shared" si="21"/>
        <v>49</v>
      </c>
      <c r="B243" s="3" t="s">
        <v>101</v>
      </c>
      <c r="C243" s="3" t="s">
        <v>819</v>
      </c>
      <c r="D243" s="78" t="s">
        <v>431</v>
      </c>
      <c r="E243" s="49" t="s">
        <v>620</v>
      </c>
      <c r="F243" s="53">
        <f t="shared" si="31"/>
        <v>1113449.0839117232</v>
      </c>
      <c r="G243" s="53">
        <f t="shared" si="29"/>
        <v>0</v>
      </c>
      <c r="H243" s="72">
        <f t="shared" si="30"/>
        <v>1113449.0839117232</v>
      </c>
      <c r="I243" s="61"/>
      <c r="J243" s="61"/>
      <c r="K243" s="61">
        <f>+'[1]II-B-5 Depreciation'!N78</f>
        <v>1087064.3739469233</v>
      </c>
      <c r="L243" s="61">
        <f>+'[1]II-B-5 Depreciation'!O78</f>
        <v>26384.656053076775</v>
      </c>
      <c r="M243" s="61">
        <f>+'[1]II-B-5 Depreciation'!P78</f>
        <v>5.3911723242613237E-2</v>
      </c>
      <c r="N243" s="23"/>
      <c r="O243" s="3"/>
      <c r="P243" s="1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</row>
    <row r="244" spans="1:53" x14ac:dyDescent="0.2">
      <c r="A244" s="3">
        <f t="shared" si="21"/>
        <v>50</v>
      </c>
      <c r="B244" s="3"/>
      <c r="C244" s="3"/>
      <c r="D244" s="3"/>
      <c r="E244" s="49"/>
      <c r="F244" s="49"/>
      <c r="G244" s="49"/>
      <c r="H244" s="72"/>
      <c r="I244" s="61"/>
      <c r="J244" s="61"/>
      <c r="K244" s="61"/>
      <c r="L244" s="61"/>
      <c r="M244" s="61"/>
      <c r="N244" s="23"/>
      <c r="O244" s="3"/>
      <c r="P244" s="1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</row>
    <row r="245" spans="1:53" x14ac:dyDescent="0.2">
      <c r="A245" s="3">
        <f t="shared" si="21"/>
        <v>51</v>
      </c>
      <c r="B245" s="3"/>
      <c r="C245" s="3" t="s">
        <v>103</v>
      </c>
      <c r="D245" s="3"/>
      <c r="E245" s="49"/>
      <c r="F245" s="53">
        <f>SUM(F233:F244)</f>
        <v>157270382.14126545</v>
      </c>
      <c r="G245" s="53">
        <f>SUM(G233:G244)</f>
        <v>0</v>
      </c>
      <c r="H245" s="55">
        <f>SUM(H233:H243)</f>
        <v>157270382.14126545</v>
      </c>
      <c r="I245" s="55"/>
      <c r="J245" s="55">
        <f>SUM(J233:J243)</f>
        <v>0</v>
      </c>
      <c r="K245" s="55">
        <f>SUM(K233:K243)</f>
        <v>153782903.74849677</v>
      </c>
      <c r="L245" s="55">
        <f>SUM(L233:L243)</f>
        <v>2457332.5553047494</v>
      </c>
      <c r="M245" s="55">
        <f>SUM(M233:M243)</f>
        <v>1030145.8374639419</v>
      </c>
      <c r="N245" s="23"/>
      <c r="O245" s="3"/>
      <c r="P245" s="1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</row>
    <row r="246" spans="1:53" x14ac:dyDescent="0.2">
      <c r="A246" s="3">
        <f t="shared" si="21"/>
        <v>52</v>
      </c>
      <c r="B246" s="3"/>
      <c r="C246" s="3"/>
      <c r="D246" s="3"/>
      <c r="E246" s="49"/>
      <c r="F246" s="49"/>
      <c r="G246" s="49"/>
      <c r="H246" s="72"/>
      <c r="I246" s="61"/>
      <c r="J246" s="61"/>
      <c r="K246" s="61"/>
      <c r="L246" s="61"/>
      <c r="M246" s="61"/>
      <c r="N246" s="23"/>
      <c r="O246" s="3"/>
      <c r="P246" s="1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</row>
    <row r="247" spans="1:53" x14ac:dyDescent="0.2">
      <c r="A247" s="3">
        <f t="shared" si="21"/>
        <v>53</v>
      </c>
      <c r="B247" s="3" t="s">
        <v>116</v>
      </c>
      <c r="C247" s="3"/>
      <c r="D247" s="3"/>
      <c r="E247" s="49"/>
      <c r="F247" s="53">
        <f>+F245+F226+F208+F191</f>
        <v>1672599551.4004097</v>
      </c>
      <c r="G247" s="53">
        <f>+G245+G226+G208+G191</f>
        <v>0</v>
      </c>
      <c r="H247" s="55">
        <f>+H191+H208+H226+H245</f>
        <v>1672599551.4004097</v>
      </c>
      <c r="I247" s="55"/>
      <c r="J247" s="55">
        <f>+J191+J208+J226+J245</f>
        <v>0</v>
      </c>
      <c r="K247" s="55">
        <f>+K191+K208+K226+K245</f>
        <v>1557757541.0002408</v>
      </c>
      <c r="L247" s="55">
        <f>+L191+L208+L226+L245</f>
        <v>113811864.56270513</v>
      </c>
      <c r="M247" s="55">
        <f>+M191+M208+M226+M245</f>
        <v>1030145.8374639419</v>
      </c>
      <c r="N247" s="23"/>
      <c r="O247" s="3"/>
      <c r="P247" s="1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</row>
    <row r="248" spans="1:53" x14ac:dyDescent="0.2">
      <c r="A248" s="3">
        <f t="shared" si="21"/>
        <v>54</v>
      </c>
      <c r="B248" s="3"/>
      <c r="C248" s="3"/>
      <c r="D248" s="3"/>
      <c r="E248" s="49"/>
      <c r="F248" s="49"/>
      <c r="G248" s="49"/>
      <c r="H248" s="55"/>
      <c r="I248" s="55"/>
      <c r="J248" s="55"/>
      <c r="K248" s="55"/>
      <c r="L248" s="55"/>
      <c r="M248" s="55"/>
      <c r="N248" s="23"/>
      <c r="O248" s="3"/>
      <c r="P248" s="1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</row>
    <row r="249" spans="1:53" x14ac:dyDescent="0.2">
      <c r="A249" s="3">
        <f t="shared" si="21"/>
        <v>55</v>
      </c>
      <c r="B249" s="3" t="s">
        <v>117</v>
      </c>
      <c r="C249" s="3"/>
      <c r="D249" s="8"/>
      <c r="E249" s="49"/>
      <c r="F249" s="53">
        <f>+F171-F247</f>
        <v>4728977503.28866</v>
      </c>
      <c r="G249" s="53">
        <f>+G171-G247</f>
        <v>0</v>
      </c>
      <c r="H249" s="55">
        <f>H171-H247</f>
        <v>4891983633.8659105</v>
      </c>
      <c r="I249" s="55"/>
      <c r="J249" s="55">
        <f>J171-J247</f>
        <v>0</v>
      </c>
      <c r="K249" s="55">
        <f>K171-K247</f>
        <v>4777087836.4162769</v>
      </c>
      <c r="L249" s="55">
        <f>L171-L247</f>
        <v>110475949.63763955</v>
      </c>
      <c r="M249" s="55">
        <f>M171-M247</f>
        <v>4419847.8119950444</v>
      </c>
      <c r="N249" s="23"/>
      <c r="O249" s="3"/>
      <c r="P249" s="1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</row>
    <row r="250" spans="1:53" x14ac:dyDescent="0.2">
      <c r="A250" s="3"/>
      <c r="B250" s="3"/>
      <c r="C250" s="3"/>
      <c r="D250" s="3"/>
      <c r="E250" s="49"/>
      <c r="F250" s="49"/>
      <c r="G250" s="53"/>
      <c r="H250" s="55"/>
      <c r="I250" s="55"/>
      <c r="J250" s="55"/>
      <c r="K250" s="55"/>
      <c r="L250" s="55"/>
      <c r="M250" s="55"/>
      <c r="N250" s="23"/>
      <c r="O250" s="3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</row>
    <row r="251" spans="1:53" x14ac:dyDescent="0.2">
      <c r="A251" s="3"/>
      <c r="B251" s="7" t="s">
        <v>118</v>
      </c>
      <c r="C251" s="3"/>
      <c r="D251" s="3"/>
      <c r="E251" s="49"/>
      <c r="F251" s="49"/>
      <c r="G251" s="49"/>
      <c r="H251" s="55"/>
      <c r="I251" s="55"/>
      <c r="J251" s="55"/>
      <c r="K251" s="55"/>
      <c r="L251" s="55"/>
      <c r="M251" s="55"/>
      <c r="N251" s="23"/>
      <c r="O251" s="3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</row>
    <row r="252" spans="1:53" x14ac:dyDescent="0.2">
      <c r="A252" s="3"/>
      <c r="B252" s="3"/>
      <c r="C252" s="3"/>
      <c r="D252" s="3"/>
      <c r="E252" s="49"/>
      <c r="F252" s="49"/>
      <c r="G252" s="49"/>
      <c r="H252" s="55"/>
      <c r="I252" s="55"/>
      <c r="J252" s="55"/>
      <c r="K252" s="55"/>
      <c r="L252" s="55"/>
      <c r="M252" s="55"/>
      <c r="N252" s="23"/>
      <c r="O252" s="3"/>
      <c r="P252" s="1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</row>
    <row r="253" spans="1:53" x14ac:dyDescent="0.2">
      <c r="A253" s="3">
        <v>1</v>
      </c>
      <c r="B253" s="3" t="s">
        <v>119</v>
      </c>
      <c r="C253" s="3" t="s">
        <v>120</v>
      </c>
      <c r="D253" s="78"/>
      <c r="E253" s="49" t="s">
        <v>621</v>
      </c>
      <c r="F253" s="53">
        <f>+H253</f>
        <v>10756415.889999999</v>
      </c>
      <c r="G253" s="53">
        <f>+H253-F253</f>
        <v>0</v>
      </c>
      <c r="H253" s="72">
        <f>SUM(J253:M253)</f>
        <v>10756415.889999999</v>
      </c>
      <c r="I253" s="175"/>
      <c r="J253" s="175"/>
      <c r="K253" s="175">
        <f>+'[1]II-B-6 Plant Future'!$N$20</f>
        <v>10727226.12272645</v>
      </c>
      <c r="L253" s="175">
        <f>+'[1]II-B-6 Plant Future'!$O$20</f>
        <v>7577.9813012768091</v>
      </c>
      <c r="M253" s="175">
        <f>+'[1]II-B-6 Plant Future'!$P$20</f>
        <v>21611.785972273858</v>
      </c>
      <c r="N253" s="23"/>
      <c r="O253" s="3"/>
      <c r="P253" s="1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</row>
    <row r="254" spans="1:53" x14ac:dyDescent="0.2">
      <c r="A254" s="3">
        <f t="shared" ref="A254:A294" si="32">+A253+1</f>
        <v>2</v>
      </c>
      <c r="B254" s="3"/>
      <c r="C254" s="3"/>
      <c r="D254" s="78"/>
      <c r="E254" s="49"/>
      <c r="F254" s="49"/>
      <c r="G254" s="49"/>
      <c r="H254" s="72"/>
      <c r="I254" s="61"/>
      <c r="J254" s="61"/>
      <c r="K254" s="61"/>
      <c r="L254" s="61"/>
      <c r="M254" s="61"/>
      <c r="N254" s="23"/>
      <c r="O254" s="3"/>
      <c r="P254" s="1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</row>
    <row r="255" spans="1:53" x14ac:dyDescent="0.2">
      <c r="A255" s="3">
        <f t="shared" si="32"/>
        <v>3</v>
      </c>
      <c r="B255" s="7" t="s">
        <v>121</v>
      </c>
      <c r="C255" s="3"/>
      <c r="D255" s="78"/>
      <c r="E255" s="49"/>
      <c r="F255" s="49"/>
      <c r="G255" s="49"/>
      <c r="H255" s="72"/>
      <c r="I255" s="61"/>
      <c r="J255" s="61"/>
      <c r="K255" s="61"/>
      <c r="L255" s="61"/>
      <c r="M255" s="61"/>
      <c r="N255" s="23"/>
      <c r="O255" s="3"/>
      <c r="P255" s="1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</row>
    <row r="256" spans="1:53" x14ac:dyDescent="0.2">
      <c r="A256" s="3">
        <f t="shared" si="32"/>
        <v>4</v>
      </c>
      <c r="B256" s="3" t="s">
        <v>122</v>
      </c>
      <c r="C256" s="3" t="s">
        <v>123</v>
      </c>
      <c r="D256" s="78" t="s">
        <v>431</v>
      </c>
      <c r="E256" s="49" t="s">
        <v>622</v>
      </c>
      <c r="F256" s="53">
        <f>+H256</f>
        <v>0</v>
      </c>
      <c r="G256" s="53">
        <f>+H256-F256</f>
        <v>0</v>
      </c>
      <c r="H256" s="72">
        <f>SUM(J256:M256)</f>
        <v>0</v>
      </c>
      <c r="I256" s="61"/>
      <c r="J256" s="61"/>
      <c r="K256" s="175">
        <v>0</v>
      </c>
      <c r="L256" s="175">
        <v>0</v>
      </c>
      <c r="M256" s="61">
        <v>0</v>
      </c>
      <c r="N256" s="23"/>
      <c r="O256" s="3"/>
      <c r="P256" s="1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</row>
    <row r="257" spans="1:53" x14ac:dyDescent="0.2">
      <c r="A257" s="3">
        <f t="shared" si="32"/>
        <v>5</v>
      </c>
      <c r="B257" s="3" t="s">
        <v>528</v>
      </c>
      <c r="C257" s="3" t="s">
        <v>529</v>
      </c>
      <c r="D257" s="78" t="s">
        <v>431</v>
      </c>
      <c r="E257" s="49" t="s">
        <v>622</v>
      </c>
      <c r="F257" s="53">
        <f>+H257</f>
        <v>0</v>
      </c>
      <c r="G257" s="53">
        <f>+H257-F257</f>
        <v>0</v>
      </c>
      <c r="H257" s="72">
        <f>SUM(J257:M257)</f>
        <v>0</v>
      </c>
      <c r="I257" s="61"/>
      <c r="J257" s="61"/>
      <c r="K257" s="175">
        <f>+'[1]II-B-7 Accum. Provisions'!$N$18</f>
        <v>0</v>
      </c>
      <c r="L257" s="175">
        <v>0</v>
      </c>
      <c r="M257" s="61">
        <v>0</v>
      </c>
      <c r="N257" s="23"/>
      <c r="O257" s="3"/>
      <c r="P257" s="1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</row>
    <row r="258" spans="1:53" x14ac:dyDescent="0.2">
      <c r="A258" s="3">
        <f t="shared" si="32"/>
        <v>6</v>
      </c>
      <c r="B258" s="3" t="s">
        <v>658</v>
      </c>
      <c r="C258" s="3" t="s">
        <v>652</v>
      </c>
      <c r="D258" s="78" t="s">
        <v>431</v>
      </c>
      <c r="E258" s="49" t="s">
        <v>622</v>
      </c>
      <c r="F258" s="53">
        <f>+H258</f>
        <v>-3696803.1100000008</v>
      </c>
      <c r="G258" s="53">
        <f>+H258-F258</f>
        <v>0</v>
      </c>
      <c r="H258" s="72">
        <f>SUM(J258:M258)</f>
        <v>-3696803.1100000008</v>
      </c>
      <c r="I258" s="61"/>
      <c r="J258" s="61"/>
      <c r="K258" s="175">
        <f>+'[1]II-B-7 Accum. Provisions'!$N$15</f>
        <v>-3696803.1100000008</v>
      </c>
      <c r="L258" s="175">
        <v>0</v>
      </c>
      <c r="M258" s="61">
        <v>0</v>
      </c>
      <c r="N258" s="23"/>
      <c r="O258" s="3"/>
      <c r="P258" s="1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</row>
    <row r="259" spans="1:53" x14ac:dyDescent="0.2">
      <c r="A259" s="3">
        <f t="shared" si="32"/>
        <v>7</v>
      </c>
      <c r="B259" s="3"/>
      <c r="C259" s="3" t="s">
        <v>124</v>
      </c>
      <c r="D259" s="78"/>
      <c r="E259" s="49"/>
      <c r="F259" s="53">
        <f>SUM(F256:F258)</f>
        <v>-3696803.1100000008</v>
      </c>
      <c r="G259" s="53">
        <f>SUM(G256:G258)</f>
        <v>0</v>
      </c>
      <c r="H259" s="175">
        <f t="shared" ref="H259:M259" si="33">SUM(H256:H258)</f>
        <v>-3696803.1100000008</v>
      </c>
      <c r="I259" s="175">
        <f t="shared" si="33"/>
        <v>0</v>
      </c>
      <c r="J259" s="175">
        <f t="shared" si="33"/>
        <v>0</v>
      </c>
      <c r="K259" s="175">
        <f t="shared" si="33"/>
        <v>-3696803.1100000008</v>
      </c>
      <c r="L259" s="175">
        <f t="shared" si="33"/>
        <v>0</v>
      </c>
      <c r="M259" s="175">
        <f t="shared" si="33"/>
        <v>0</v>
      </c>
      <c r="N259" s="23"/>
      <c r="O259" s="3"/>
      <c r="P259" s="1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</row>
    <row r="260" spans="1:53" x14ac:dyDescent="0.2">
      <c r="A260" s="3">
        <f t="shared" si="32"/>
        <v>8</v>
      </c>
      <c r="B260" s="7" t="s">
        <v>125</v>
      </c>
      <c r="C260" s="3"/>
      <c r="D260" s="78"/>
      <c r="E260" s="49"/>
      <c r="F260" s="49"/>
      <c r="G260" s="49"/>
      <c r="H260" s="72"/>
      <c r="I260" s="61"/>
      <c r="J260" s="61"/>
      <c r="K260" s="61"/>
      <c r="L260" s="61"/>
      <c r="M260" s="61"/>
      <c r="N260" s="23"/>
      <c r="O260" s="3"/>
      <c r="P260" s="1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</row>
    <row r="261" spans="1:53" x14ac:dyDescent="0.2">
      <c r="A261" s="3">
        <f t="shared" si="32"/>
        <v>9</v>
      </c>
      <c r="B261" s="3"/>
      <c r="C261" s="3"/>
      <c r="D261" s="78"/>
      <c r="E261" s="49"/>
      <c r="F261" s="49"/>
      <c r="G261" s="49"/>
      <c r="H261" s="72"/>
      <c r="I261" s="61"/>
      <c r="J261" s="61"/>
      <c r="K261" s="61"/>
      <c r="L261" s="61"/>
      <c r="M261" s="61"/>
      <c r="N261" s="23"/>
      <c r="O261" s="3"/>
      <c r="P261" s="1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</row>
    <row r="262" spans="1:53" x14ac:dyDescent="0.2">
      <c r="A262" s="3">
        <f t="shared" si="32"/>
        <v>10</v>
      </c>
      <c r="B262" s="3"/>
      <c r="C262" s="3" t="s">
        <v>126</v>
      </c>
      <c r="D262" s="78"/>
      <c r="E262" s="49"/>
      <c r="F262" s="49"/>
      <c r="G262" s="49"/>
      <c r="H262" s="55"/>
      <c r="I262" s="55"/>
      <c r="J262" s="55"/>
      <c r="K262" s="55"/>
      <c r="L262" s="55"/>
      <c r="M262" s="55"/>
      <c r="N262" s="23"/>
      <c r="O262" s="3"/>
      <c r="P262" s="1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</row>
    <row r="263" spans="1:53" x14ac:dyDescent="0.2">
      <c r="A263" s="3">
        <f t="shared" si="32"/>
        <v>11</v>
      </c>
      <c r="B263" s="3"/>
      <c r="C263" s="3"/>
      <c r="D263" s="78"/>
      <c r="E263" s="49"/>
      <c r="F263" s="49"/>
      <c r="G263" s="49"/>
      <c r="H263" s="72"/>
      <c r="I263" s="61"/>
      <c r="J263" s="61"/>
      <c r="K263" s="61"/>
      <c r="L263" s="61"/>
      <c r="M263" s="61"/>
      <c r="N263" s="23"/>
      <c r="O263" s="3"/>
      <c r="P263" s="1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</row>
    <row r="264" spans="1:53" x14ac:dyDescent="0.2">
      <c r="A264" s="3">
        <f t="shared" si="32"/>
        <v>12</v>
      </c>
      <c r="B264" s="3" t="s">
        <v>127</v>
      </c>
      <c r="C264" s="3" t="s">
        <v>558</v>
      </c>
      <c r="D264" s="78" t="s">
        <v>431</v>
      </c>
      <c r="E264" s="49" t="s">
        <v>623</v>
      </c>
      <c r="F264" s="53">
        <f>+H264</f>
        <v>118035459.57461536</v>
      </c>
      <c r="G264" s="53">
        <f>+H264-F264</f>
        <v>0</v>
      </c>
      <c r="H264" s="72">
        <f>SUM(J264:M264)</f>
        <v>118035459.57461536</v>
      </c>
      <c r="I264" s="61"/>
      <c r="J264" s="61"/>
      <c r="K264" s="61">
        <f>+'[1]II-B-8 M&amp;S'!N21</f>
        <v>115238456.01426548</v>
      </c>
      <c r="L264" s="61">
        <f>+'[1]II-B-8 M&amp;S'!O21</f>
        <v>2797003.5603498793</v>
      </c>
      <c r="M264" s="61">
        <f>+'[1]II-B-8 M&amp;S'!P21</f>
        <v>0</v>
      </c>
      <c r="N264" s="23"/>
      <c r="O264" s="3"/>
      <c r="P264" s="1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</row>
    <row r="265" spans="1:53" x14ac:dyDescent="0.2">
      <c r="A265" s="3">
        <f t="shared" si="32"/>
        <v>13</v>
      </c>
      <c r="B265" s="3" t="s">
        <v>128</v>
      </c>
      <c r="C265" s="3" t="s">
        <v>559</v>
      </c>
      <c r="D265" s="78" t="s">
        <v>431</v>
      </c>
      <c r="E265" s="49" t="s">
        <v>623</v>
      </c>
      <c r="F265" s="53">
        <f>+H265</f>
        <v>0</v>
      </c>
      <c r="G265" s="53">
        <f>+H265-F265</f>
        <v>0</v>
      </c>
      <c r="H265" s="72">
        <f>SUM(J265:M265)</f>
        <v>0</v>
      </c>
      <c r="I265" s="61"/>
      <c r="J265" s="61"/>
      <c r="K265" s="61">
        <v>0</v>
      </c>
      <c r="L265" s="61">
        <v>0</v>
      </c>
      <c r="M265" s="61">
        <v>0</v>
      </c>
      <c r="N265" s="23"/>
      <c r="O265" s="3"/>
      <c r="P265" s="1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</row>
    <row r="266" spans="1:53" x14ac:dyDescent="0.2">
      <c r="A266" s="3">
        <f t="shared" si="32"/>
        <v>14</v>
      </c>
      <c r="B266" s="3"/>
      <c r="C266" s="3" t="s">
        <v>129</v>
      </c>
      <c r="D266" s="78"/>
      <c r="E266" s="49"/>
      <c r="F266" s="53">
        <f>SUM(F264:F265)</f>
        <v>118035459.57461536</v>
      </c>
      <c r="G266" s="53">
        <f>SUM(G264:G265)</f>
        <v>0</v>
      </c>
      <c r="H266" s="175">
        <f>SUM(H263:H265)</f>
        <v>118035459.57461536</v>
      </c>
      <c r="I266" s="175"/>
      <c r="J266" s="175">
        <f>SUM(J263:J265)</f>
        <v>0</v>
      </c>
      <c r="K266" s="175">
        <f>SUM(K263:K265)</f>
        <v>115238456.01426548</v>
      </c>
      <c r="L266" s="175">
        <f>SUM(L263:L265)</f>
        <v>2797003.5603498793</v>
      </c>
      <c r="M266" s="175">
        <f>SUM(M263:M265)</f>
        <v>0</v>
      </c>
      <c r="N266" s="23"/>
      <c r="O266" s="3"/>
      <c r="P266" s="1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</row>
    <row r="267" spans="1:53" x14ac:dyDescent="0.2">
      <c r="A267" s="3">
        <f t="shared" si="32"/>
        <v>15</v>
      </c>
      <c r="B267" s="3"/>
      <c r="C267" s="3"/>
      <c r="D267" s="78"/>
      <c r="E267" s="49"/>
      <c r="F267" s="49"/>
      <c r="G267" s="49"/>
      <c r="H267" s="72"/>
      <c r="I267" s="61"/>
      <c r="J267" s="61"/>
      <c r="K267" s="61"/>
      <c r="L267" s="61"/>
      <c r="M267" s="61"/>
      <c r="N267" s="23"/>
      <c r="O267" s="3"/>
      <c r="P267" s="1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</row>
    <row r="268" spans="1:53" x14ac:dyDescent="0.2">
      <c r="A268" s="3">
        <f t="shared" si="32"/>
        <v>16</v>
      </c>
      <c r="B268" s="7" t="s">
        <v>130</v>
      </c>
      <c r="C268" s="3"/>
      <c r="D268" s="78"/>
      <c r="E268" s="49"/>
      <c r="F268" s="49"/>
      <c r="G268" s="49"/>
      <c r="H268" s="72"/>
      <c r="I268" s="61"/>
      <c r="J268" s="61"/>
      <c r="K268" s="61"/>
      <c r="L268" s="61"/>
      <c r="M268" s="61"/>
      <c r="N268" s="23"/>
      <c r="O268" s="3"/>
      <c r="P268" s="1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</row>
    <row r="269" spans="1:53" x14ac:dyDescent="0.2">
      <c r="A269" s="3">
        <f t="shared" si="32"/>
        <v>17</v>
      </c>
      <c r="B269" s="3"/>
      <c r="C269" s="3"/>
      <c r="D269" s="78"/>
      <c r="E269" s="49"/>
      <c r="F269" s="49"/>
      <c r="G269" s="49"/>
      <c r="H269" s="72"/>
      <c r="I269" s="61"/>
      <c r="J269" s="61"/>
      <c r="K269" s="61"/>
      <c r="L269" s="61"/>
      <c r="M269" s="61"/>
      <c r="N269" s="23"/>
      <c r="O269" s="3"/>
      <c r="P269" s="1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</row>
    <row r="270" spans="1:53" x14ac:dyDescent="0.2">
      <c r="A270" s="3">
        <f t="shared" si="32"/>
        <v>18</v>
      </c>
      <c r="B270" s="3"/>
      <c r="C270" s="3" t="s">
        <v>560</v>
      </c>
      <c r="D270" s="78" t="s">
        <v>556</v>
      </c>
      <c r="E270" s="49" t="s">
        <v>624</v>
      </c>
      <c r="F270" s="53">
        <f>+H270</f>
        <v>-16937326.82778747</v>
      </c>
      <c r="G270" s="53">
        <f>+H270-F270</f>
        <v>0</v>
      </c>
      <c r="H270" s="72">
        <f>SUM(J270:M270)</f>
        <v>-16937326.82778747</v>
      </c>
      <c r="I270" s="72"/>
      <c r="J270" s="72"/>
      <c r="K270" s="72">
        <f>+'[1]II-B-9 CWCapital'!N20</f>
        <v>-16416705.709646022</v>
      </c>
      <c r="L270" s="72">
        <f>+'[1]II-B-9 CWCapital'!O20</f>
        <v>-467377.97637930699</v>
      </c>
      <c r="M270" s="72">
        <f>+'[1]II-B-9 CWCapital'!P20</f>
        <v>-53243.141762141597</v>
      </c>
      <c r="N270" s="23"/>
      <c r="O270" s="3"/>
      <c r="P270" s="1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</row>
    <row r="271" spans="1:53" x14ac:dyDescent="0.2">
      <c r="A271" s="3">
        <f t="shared" si="32"/>
        <v>19</v>
      </c>
      <c r="B271" s="3"/>
      <c r="C271" s="3" t="s">
        <v>134</v>
      </c>
      <c r="D271" s="78" t="s">
        <v>556</v>
      </c>
      <c r="E271" s="49" t="s">
        <v>625</v>
      </c>
      <c r="F271" s="53">
        <f>+H271</f>
        <v>-42130</v>
      </c>
      <c r="G271" s="53">
        <f>+H271-F271</f>
        <v>0</v>
      </c>
      <c r="H271" s="72">
        <f>SUM(J271:M271)</f>
        <v>-42130</v>
      </c>
      <c r="I271" s="61"/>
      <c r="J271" s="61"/>
      <c r="K271" s="72">
        <f>+'[1]II-B-7 Accum. Provisions'!$N$16</f>
        <v>-42130</v>
      </c>
      <c r="L271" s="72"/>
      <c r="M271" s="72"/>
      <c r="N271" s="23"/>
      <c r="O271" s="3"/>
      <c r="P271" s="1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</row>
    <row r="272" spans="1:53" x14ac:dyDescent="0.2">
      <c r="A272" s="3">
        <f t="shared" si="32"/>
        <v>20</v>
      </c>
      <c r="B272" s="3"/>
      <c r="C272" s="3"/>
      <c r="D272" s="78"/>
      <c r="E272" s="49"/>
      <c r="F272" s="49"/>
      <c r="G272" s="49"/>
      <c r="H272" s="72"/>
      <c r="I272" s="61"/>
      <c r="J272" s="61"/>
      <c r="K272" s="61"/>
      <c r="L272" s="61"/>
      <c r="M272" s="61"/>
      <c r="N272" s="23"/>
      <c r="O272" s="3"/>
      <c r="P272" s="1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</row>
    <row r="273" spans="1:53" x14ac:dyDescent="0.2">
      <c r="A273" s="3">
        <f t="shared" si="32"/>
        <v>21</v>
      </c>
      <c r="B273" s="3"/>
      <c r="C273" s="3"/>
      <c r="D273" s="78"/>
      <c r="E273" s="49"/>
      <c r="F273" s="49"/>
      <c r="G273" s="49"/>
      <c r="H273" s="72"/>
      <c r="I273" s="61"/>
      <c r="J273" s="61"/>
      <c r="K273" s="61"/>
      <c r="L273" s="61"/>
      <c r="M273" s="61"/>
      <c r="N273" s="23"/>
      <c r="O273" s="3"/>
      <c r="P273" s="1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</row>
    <row r="274" spans="1:53" x14ac:dyDescent="0.2">
      <c r="A274" s="3">
        <f t="shared" si="32"/>
        <v>22</v>
      </c>
      <c r="B274" s="7" t="s">
        <v>131</v>
      </c>
      <c r="C274" s="3"/>
      <c r="D274" s="78"/>
      <c r="E274" s="49"/>
      <c r="F274" s="49"/>
      <c r="G274" s="49"/>
      <c r="H274" s="72"/>
      <c r="I274" s="61"/>
      <c r="J274" s="61"/>
      <c r="K274" s="61"/>
      <c r="L274" s="61"/>
      <c r="M274" s="61"/>
      <c r="N274" s="23"/>
      <c r="O274" s="3"/>
      <c r="P274" s="1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</row>
    <row r="275" spans="1:53" x14ac:dyDescent="0.2">
      <c r="A275" s="3">
        <f t="shared" si="32"/>
        <v>23</v>
      </c>
      <c r="B275" s="3"/>
      <c r="C275" s="3"/>
      <c r="D275" s="78"/>
      <c r="E275" s="49"/>
      <c r="F275" s="49"/>
      <c r="G275" s="49"/>
      <c r="H275" s="72"/>
      <c r="I275" s="61"/>
      <c r="J275" s="61"/>
      <c r="K275" s="61"/>
      <c r="L275" s="61"/>
      <c r="M275" s="61"/>
      <c r="N275" s="23"/>
      <c r="O275" s="3"/>
      <c r="P275" s="1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</row>
    <row r="276" spans="1:53" x14ac:dyDescent="0.2">
      <c r="A276" s="3">
        <f t="shared" si="32"/>
        <v>24</v>
      </c>
      <c r="B276" s="3" t="s">
        <v>132</v>
      </c>
      <c r="C276" s="3" t="s">
        <v>561</v>
      </c>
      <c r="D276" s="78" t="s">
        <v>431</v>
      </c>
      <c r="E276" s="49" t="s">
        <v>625</v>
      </c>
      <c r="F276" s="53">
        <f>+H276</f>
        <v>80201586.689826593</v>
      </c>
      <c r="G276" s="53">
        <f>+H276-F276</f>
        <v>0</v>
      </c>
      <c r="H276" s="72">
        <f>SUM(J276:M276)</f>
        <v>80201586.689826593</v>
      </c>
      <c r="I276" s="61"/>
      <c r="J276" s="61"/>
      <c r="K276" s="61">
        <f>+'[1]II-B-10 Prepayments'!N34</f>
        <v>57619309.015125185</v>
      </c>
      <c r="L276" s="61">
        <f>+'[1]II-B-10 Prepayments'!O34</f>
        <v>12780986.103487629</v>
      </c>
      <c r="M276" s="61">
        <f>+'[1]II-B-10 Prepayments'!P34</f>
        <v>9801291.5712137818</v>
      </c>
      <c r="N276" s="23"/>
      <c r="O276" s="3"/>
      <c r="P276" s="1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</row>
    <row r="277" spans="1:53" x14ac:dyDescent="0.2">
      <c r="A277" s="3">
        <f t="shared" si="32"/>
        <v>25</v>
      </c>
      <c r="B277" s="3"/>
      <c r="C277" s="3"/>
      <c r="D277" s="78"/>
      <c r="E277" s="49"/>
      <c r="F277" s="49"/>
      <c r="G277" s="49"/>
      <c r="H277" s="72"/>
      <c r="I277" s="61"/>
      <c r="J277" s="61"/>
      <c r="K277" s="61"/>
      <c r="L277" s="61"/>
      <c r="M277" s="61"/>
      <c r="N277" s="23"/>
      <c r="O277" s="3"/>
      <c r="P277" s="1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</row>
    <row r="278" spans="1:53" x14ac:dyDescent="0.2">
      <c r="A278" s="3">
        <f t="shared" si="32"/>
        <v>26</v>
      </c>
      <c r="B278" s="3"/>
      <c r="C278" s="3"/>
      <c r="D278" s="78"/>
      <c r="E278" s="49"/>
      <c r="F278" s="49"/>
      <c r="G278" s="49"/>
      <c r="H278" s="72"/>
      <c r="I278" s="61"/>
      <c r="J278" s="61"/>
      <c r="K278" s="61"/>
      <c r="L278" s="61"/>
      <c r="M278" s="61"/>
      <c r="N278" s="23"/>
      <c r="O278" s="3"/>
      <c r="P278" s="1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</row>
    <row r="279" spans="1:53" x14ac:dyDescent="0.2">
      <c r="A279" s="3">
        <f t="shared" si="32"/>
        <v>27</v>
      </c>
      <c r="B279" s="3"/>
      <c r="C279" s="3"/>
      <c r="D279" s="78"/>
      <c r="E279" s="49"/>
      <c r="F279" s="49"/>
      <c r="G279" s="49"/>
      <c r="H279" s="72"/>
      <c r="I279" s="61"/>
      <c r="J279" s="61"/>
      <c r="K279" s="61"/>
      <c r="L279" s="61"/>
      <c r="M279" s="61"/>
      <c r="N279" s="23"/>
      <c r="O279" s="3"/>
      <c r="P279" s="1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</row>
    <row r="280" spans="1:53" x14ac:dyDescent="0.2">
      <c r="A280" s="3">
        <f t="shared" si="32"/>
        <v>28</v>
      </c>
      <c r="B280" s="7" t="s">
        <v>133</v>
      </c>
      <c r="C280" s="3"/>
      <c r="D280" s="78"/>
      <c r="E280" s="49"/>
      <c r="F280" s="49"/>
      <c r="G280" s="49"/>
      <c r="H280" s="72"/>
      <c r="I280" s="61"/>
      <c r="J280" s="61"/>
      <c r="K280" s="61"/>
      <c r="L280" s="61"/>
      <c r="M280" s="61"/>
      <c r="N280" s="23"/>
      <c r="O280" s="3"/>
      <c r="P280" s="1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</row>
    <row r="281" spans="1:53" x14ac:dyDescent="0.2">
      <c r="A281" s="3">
        <f t="shared" si="32"/>
        <v>29</v>
      </c>
      <c r="B281" s="7" t="s">
        <v>584</v>
      </c>
      <c r="C281" s="3"/>
      <c r="D281" s="78"/>
      <c r="E281" s="49"/>
      <c r="F281" s="49"/>
      <c r="G281" s="49"/>
      <c r="H281" s="72"/>
      <c r="I281" s="61"/>
      <c r="J281" s="61"/>
      <c r="K281" s="61"/>
      <c r="L281" s="61"/>
      <c r="M281" s="61"/>
      <c r="N281" s="23"/>
      <c r="O281" s="3"/>
      <c r="P281" s="1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</row>
    <row r="282" spans="1:53" x14ac:dyDescent="0.2">
      <c r="A282" s="3">
        <f t="shared" si="32"/>
        <v>30</v>
      </c>
      <c r="B282" s="140" t="s">
        <v>803</v>
      </c>
      <c r="C282" s="140" t="s">
        <v>804</v>
      </c>
      <c r="E282" s="49" t="s">
        <v>627</v>
      </c>
      <c r="F282" s="53">
        <f>+H282</f>
        <v>-37499421.997000001</v>
      </c>
      <c r="G282" s="53">
        <f>+H282-F282</f>
        <v>0</v>
      </c>
      <c r="H282" s="72">
        <f>SUM(J282:M282)</f>
        <v>-37499421.997000001</v>
      </c>
      <c r="I282" s="61"/>
      <c r="J282" s="61"/>
      <c r="K282" s="61">
        <f>+SUM('[1]II-B-11 Rate Base Other'!N16:N20)+'[1]II-B-11 Rate Base Other'!N24+'[1]II-B-11 Rate Base Other'!N27+'[1]II-B-11 Rate Base Other'!N28+'[1]II-B-11 Rate Base Other'!N26</f>
        <v>-37113914.470681794</v>
      </c>
      <c r="L282" s="61">
        <f>+SUM('[1]II-B-11 Rate Base Other'!O16:O20)+'[1]II-B-11 Rate Base Other'!O24+'[1]II-B-11 Rate Base Other'!O27+'[1]II-B-11 Rate Base Other'!O28+'[1]II-B-11 Rate Base Other'!O26</f>
        <v>-384476.38556487835</v>
      </c>
      <c r="M282" s="61">
        <f>+SUM('[1]II-B-11 Rate Base Other'!P16:P20)+'[1]II-B-11 Rate Base Other'!P24+'[1]II-B-11 Rate Base Other'!P27+'[1]II-B-11 Rate Base Other'!P28+'[1]II-B-11 Rate Base Other'!P26</f>
        <v>-1031.1407533303036</v>
      </c>
      <c r="N282" s="61"/>
      <c r="O282" s="3"/>
      <c r="P282" s="1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</row>
    <row r="283" spans="1:53" x14ac:dyDescent="0.2">
      <c r="A283" s="3">
        <f t="shared" si="32"/>
        <v>31</v>
      </c>
      <c r="B283" s="140" t="s">
        <v>666</v>
      </c>
      <c r="C283" s="140" t="s">
        <v>667</v>
      </c>
      <c r="E283" s="49" t="s">
        <v>626</v>
      </c>
      <c r="F283" s="53">
        <f>+H283</f>
        <v>-98610</v>
      </c>
      <c r="G283" s="53">
        <f t="shared" ref="G283:G289" si="34">+H283-F283</f>
        <v>0</v>
      </c>
      <c r="H283" s="72">
        <f t="shared" ref="H283:H289" si="35">SUM(J283:M283)</f>
        <v>-98610</v>
      </c>
      <c r="I283" s="61"/>
      <c r="J283" s="61"/>
      <c r="K283" s="61">
        <f>+'[1]II-B-11 Rate Base Other'!N33</f>
        <v>-70298.504458301148</v>
      </c>
      <c r="L283" s="61">
        <f>+'[1]II-B-11 Rate Base Other'!O33</f>
        <v>-16013.117528219296</v>
      </c>
      <c r="M283" s="61">
        <f>+'[1]II-B-11 Rate Base Other'!P33</f>
        <v>-12298.378013479556</v>
      </c>
      <c r="N283" s="12"/>
      <c r="O283" s="3"/>
      <c r="P283" s="1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</row>
    <row r="284" spans="1:53" x14ac:dyDescent="0.2">
      <c r="A284" s="3">
        <f t="shared" si="32"/>
        <v>32</v>
      </c>
      <c r="B284" s="140" t="s">
        <v>662</v>
      </c>
      <c r="C284" s="140" t="s">
        <v>663</v>
      </c>
      <c r="E284" s="49" t="s">
        <v>626</v>
      </c>
      <c r="F284" s="53">
        <f t="shared" ref="F284:F291" si="36">+H284</f>
        <v>-218883143.72</v>
      </c>
      <c r="G284" s="53">
        <f t="shared" si="34"/>
        <v>0</v>
      </c>
      <c r="H284" s="72">
        <f t="shared" si="35"/>
        <v>-218883143.72</v>
      </c>
      <c r="I284" s="61"/>
      <c r="J284" s="61"/>
      <c r="K284" s="61">
        <f>+'[1]II-B-11 Rate Base Other'!N22+'[1]II-B-11 Rate Base Other'!N23</f>
        <v>-213742334.75001609</v>
      </c>
      <c r="L284" s="61">
        <f>+'[1]II-B-11 Rate Base Other'!O22+'[1]II-B-11 Rate Base Other'!O23</f>
        <v>-4943050.7074345099</v>
      </c>
      <c r="M284" s="61">
        <f>+'[1]II-B-11 Rate Base Other'!P22+'[1]II-B-11 Rate Base Other'!P23</f>
        <v>-197758.26254940327</v>
      </c>
      <c r="N284" s="23"/>
      <c r="O284" s="3"/>
      <c r="P284" s="1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</row>
    <row r="285" spans="1:53" x14ac:dyDescent="0.2">
      <c r="A285" s="3">
        <f t="shared" si="32"/>
        <v>33</v>
      </c>
      <c r="B285" s="140" t="s">
        <v>666</v>
      </c>
      <c r="C285" s="140" t="s">
        <v>650</v>
      </c>
      <c r="E285" s="49" t="s">
        <v>626</v>
      </c>
      <c r="F285" s="53">
        <f t="shared" si="36"/>
        <v>-7513138.1799999997</v>
      </c>
      <c r="G285" s="53">
        <f t="shared" si="34"/>
        <v>0</v>
      </c>
      <c r="H285" s="72">
        <f t="shared" si="35"/>
        <v>-7513138.1799999997</v>
      </c>
      <c r="I285" s="61"/>
      <c r="J285" s="61"/>
      <c r="K285" s="61">
        <f>+'[1]II-B-11 Rate Base Other'!N31</f>
        <v>-7513138.1799999997</v>
      </c>
      <c r="L285" s="61">
        <f>+'[1]II-B-11 Rate Base Other'!O31</f>
        <v>0</v>
      </c>
      <c r="M285" s="61">
        <f>+'[1]II-B-11 Rate Base Other'!P31</f>
        <v>0</v>
      </c>
      <c r="N285" s="23"/>
      <c r="O285" s="3"/>
      <c r="P285" s="1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</row>
    <row r="286" spans="1:53" x14ac:dyDescent="0.2">
      <c r="A286" s="3">
        <f t="shared" si="32"/>
        <v>34</v>
      </c>
      <c r="B286" s="140" t="s">
        <v>676</v>
      </c>
      <c r="C286" s="140" t="s">
        <v>651</v>
      </c>
      <c r="E286" s="49" t="s">
        <v>626</v>
      </c>
      <c r="F286" s="53">
        <f t="shared" si="36"/>
        <v>-27072127.530000009</v>
      </c>
      <c r="G286" s="53">
        <f t="shared" si="34"/>
        <v>0</v>
      </c>
      <c r="H286" s="72">
        <f t="shared" si="35"/>
        <v>-27072127.530000009</v>
      </c>
      <c r="I286" s="61"/>
      <c r="J286" s="61"/>
      <c r="K286" s="61">
        <f>+'[1]II-B-11 Rate Base Other'!N34</f>
        <v>-27072127.530000009</v>
      </c>
      <c r="L286" s="61">
        <f>+'[1]II-B-11 Rate Base Other'!O34</f>
        <v>0</v>
      </c>
      <c r="M286" s="61">
        <f>+'[1]II-B-11 Rate Base Other'!P34</f>
        <v>0</v>
      </c>
      <c r="N286" s="23"/>
      <c r="O286" s="3"/>
      <c r="P286" s="1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</row>
    <row r="287" spans="1:53" x14ac:dyDescent="0.2">
      <c r="A287" s="3">
        <f t="shared" si="32"/>
        <v>35</v>
      </c>
      <c r="B287" s="140" t="s">
        <v>664</v>
      </c>
      <c r="C287" s="140" t="s">
        <v>665</v>
      </c>
      <c r="E287" s="49" t="s">
        <v>627</v>
      </c>
      <c r="F287" s="53">
        <f t="shared" si="36"/>
        <v>-65260115.293999992</v>
      </c>
      <c r="G287" s="53">
        <f t="shared" si="34"/>
        <v>0</v>
      </c>
      <c r="H287" s="72">
        <f>SUM(J287:M287)</f>
        <v>-65260115.293999992</v>
      </c>
      <c r="I287" s="61"/>
      <c r="J287" s="61"/>
      <c r="K287" s="61">
        <f>+'[1]II-B-11 Rate Base Other'!N25+'[1]II-B-11 Rate Base Other'!N30+'[1]II-B-11 Rate Base Other'!N32</f>
        <v>-63727380.610169128</v>
      </c>
      <c r="L287" s="61">
        <f>+'[1]II-B-11 Rate Base Other'!O25+'[1]II-B-11 Rate Base Other'!O30+'[1]II-B-11 Rate Base Other'!O32</f>
        <v>-1473772.962087573</v>
      </c>
      <c r="M287" s="61">
        <f>+'[1]II-B-11 Rate Base Other'!P25+'[1]II-B-11 Rate Base Other'!P30+'[1]II-B-11 Rate Base Other'!P32</f>
        <v>-58961.721743289934</v>
      </c>
      <c r="N287" s="23"/>
      <c r="O287" s="3"/>
      <c r="P287" s="1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</row>
    <row r="288" spans="1:53" s="173" customFormat="1" x14ac:dyDescent="0.2">
      <c r="A288" s="3">
        <f t="shared" si="32"/>
        <v>36</v>
      </c>
      <c r="B288" s="3" t="s">
        <v>675</v>
      </c>
      <c r="C288" s="3" t="s">
        <v>802</v>
      </c>
      <c r="E288" s="49" t="s">
        <v>627</v>
      </c>
      <c r="F288" s="53">
        <f t="shared" si="36"/>
        <v>14455418.849999998</v>
      </c>
      <c r="G288" s="53">
        <f t="shared" si="34"/>
        <v>0</v>
      </c>
      <c r="H288" s="72">
        <f t="shared" si="35"/>
        <v>14455418.849999998</v>
      </c>
      <c r="I288" s="61"/>
      <c r="J288" s="62"/>
      <c r="K288" s="61">
        <f>+'[1]II-B-12 Reg. Assets'!N17+'[1]II-B-12 Reg. Assets'!N23+'[1]II-B-12 Reg. Assets'!N24+'[1]II-B-12 Reg. Assets'!N27+'[1]II-B-12 Reg. Assets'!N28+'[1]II-B-12 Reg. Assets'!N29</f>
        <v>13619332.575743353</v>
      </c>
      <c r="L288" s="61">
        <f>+'[1]II-B-12 Reg. Assets'!O17+'[1]II-B-12 Reg. Assets'!O23+'[1]II-B-12 Reg. Assets'!O24+'[1]II-B-12 Reg. Assets'!O27+'[1]II-B-12 Reg. Assets'!O28+'[1]II-B-12 Reg. Assets'!O29</f>
        <v>526047.56374522764</v>
      </c>
      <c r="M288" s="61">
        <f>+'[1]II-B-12 Reg. Assets'!P17+'[1]II-B-12 Reg. Assets'!P23+'[1]II-B-12 Reg. Assets'!P24+'[1]II-B-12 Reg. Assets'!P27+'[1]II-B-12 Reg. Assets'!P28+'[1]II-B-12 Reg. Assets'!P29</f>
        <v>310038.71051141666</v>
      </c>
      <c r="N288" s="23"/>
      <c r="O288" s="3"/>
      <c r="P288" s="1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</row>
    <row r="289" spans="1:53" x14ac:dyDescent="0.2">
      <c r="A289" s="3">
        <f t="shared" si="32"/>
        <v>37</v>
      </c>
      <c r="B289" s="140" t="s">
        <v>675</v>
      </c>
      <c r="C289" s="140" t="s">
        <v>661</v>
      </c>
      <c r="E289" s="49" t="s">
        <v>627</v>
      </c>
      <c r="F289" s="53">
        <f t="shared" si="36"/>
        <v>30217929.29000001</v>
      </c>
      <c r="G289" s="53">
        <f t="shared" si="34"/>
        <v>0</v>
      </c>
      <c r="H289" s="72">
        <f t="shared" si="35"/>
        <v>30217929.29000001</v>
      </c>
      <c r="I289" s="61"/>
      <c r="J289" s="61"/>
      <c r="K289" s="61">
        <f>+'[1]II-B-12 Reg. Assets'!N21+'[1]II-B-12 Reg. Assets'!N22</f>
        <v>28387998.447314709</v>
      </c>
      <c r="L289" s="61">
        <f>+'[1]II-B-12 Reg. Assets'!O21+'[1]II-B-12 Reg. Assets'!O22</f>
        <v>1759536.4852703537</v>
      </c>
      <c r="M289" s="61">
        <f>+'[1]II-B-12 Reg. Assets'!P21+'[1]II-B-12 Reg. Assets'!P22</f>
        <v>70394.357414946455</v>
      </c>
      <c r="N289" s="23"/>
      <c r="O289" s="3"/>
      <c r="P289" s="1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</row>
    <row r="290" spans="1:53" x14ac:dyDescent="0.2">
      <c r="A290" s="3">
        <f t="shared" si="32"/>
        <v>38</v>
      </c>
      <c r="B290" s="140" t="s">
        <v>675</v>
      </c>
      <c r="C290" s="140" t="s">
        <v>660</v>
      </c>
      <c r="E290" s="49" t="s">
        <v>626</v>
      </c>
      <c r="F290" s="53">
        <f t="shared" si="36"/>
        <v>41463378.188635968</v>
      </c>
      <c r="G290" s="53">
        <f>+H290-F290</f>
        <v>0</v>
      </c>
      <c r="H290" s="72">
        <f>SUM(J290:M290)</f>
        <v>41463378.188635968</v>
      </c>
      <c r="I290" s="61"/>
      <c r="J290" s="61"/>
      <c r="K290" s="61">
        <f>+'[1]II-B-12 Reg. Assets'!N18</f>
        <v>40480846.273665443</v>
      </c>
      <c r="L290" s="61">
        <f>+'[1]II-B-12 Reg. Assets'!O18</f>
        <v>982529.90736882284</v>
      </c>
      <c r="M290" s="61">
        <f>+'[1]II-B-12 Reg. Assets'!P18</f>
        <v>2.0076017036985956</v>
      </c>
      <c r="N290" s="23"/>
      <c r="O290" s="3"/>
      <c r="P290" s="1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</row>
    <row r="291" spans="1:53" x14ac:dyDescent="0.2">
      <c r="A291" s="3">
        <f t="shared" si="32"/>
        <v>39</v>
      </c>
      <c r="B291" s="140" t="s">
        <v>675</v>
      </c>
      <c r="C291" s="140" t="s">
        <v>659</v>
      </c>
      <c r="E291" s="49" t="s">
        <v>655</v>
      </c>
      <c r="F291" s="53">
        <f t="shared" si="36"/>
        <v>11064882.990000054</v>
      </c>
      <c r="G291" s="53">
        <f>+H291-F291</f>
        <v>0</v>
      </c>
      <c r="H291" s="72">
        <f>SUM(J291:M291)</f>
        <v>11064882.990000054</v>
      </c>
      <c r="I291" s="61"/>
      <c r="J291" s="61"/>
      <c r="K291" s="61">
        <f>+'[1]II-B-12 Reg. Assets'!N19+'[1]II-B-12 Reg. Assets'!N20</f>
        <v>0</v>
      </c>
      <c r="L291" s="61">
        <f>+'[1]II-B-12 Reg. Assets'!O19+'[1]II-B-12 Reg. Assets'!O20</f>
        <v>11064882.990000054</v>
      </c>
      <c r="M291" s="61">
        <f>+'[1]II-B-12 Reg. Assets'!P19+'[1]II-B-12 Reg. Assets'!P20</f>
        <v>0</v>
      </c>
      <c r="N291" s="23"/>
      <c r="O291" s="3"/>
      <c r="P291" s="1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</row>
    <row r="292" spans="1:53" x14ac:dyDescent="0.2">
      <c r="A292" s="3">
        <f t="shared" si="32"/>
        <v>40</v>
      </c>
      <c r="B292" s="3"/>
      <c r="C292" s="3" t="s">
        <v>135</v>
      </c>
      <c r="D292" s="3"/>
      <c r="E292" s="49"/>
      <c r="F292" s="53">
        <f>SUM(F282:F291)</f>
        <v>-259124947.40236396</v>
      </c>
      <c r="G292" s="53">
        <f t="shared" ref="G292:M292" si="37">SUM(G282:G291)</f>
        <v>0</v>
      </c>
      <c r="H292" s="53">
        <f t="shared" si="37"/>
        <v>-259124947.40236396</v>
      </c>
      <c r="I292" s="53"/>
      <c r="J292" s="53"/>
      <c r="K292" s="61">
        <f t="shared" si="37"/>
        <v>-266751016.74860179</v>
      </c>
      <c r="L292" s="53">
        <f t="shared" si="37"/>
        <v>7515683.773769279</v>
      </c>
      <c r="M292" s="53">
        <f t="shared" si="37"/>
        <v>110385.57246856377</v>
      </c>
      <c r="N292" s="23"/>
      <c r="O292" s="3"/>
      <c r="P292" s="1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</row>
    <row r="293" spans="1:53" x14ac:dyDescent="0.2">
      <c r="A293" s="3">
        <f t="shared" si="32"/>
        <v>41</v>
      </c>
      <c r="B293" s="3"/>
      <c r="C293" s="3"/>
      <c r="D293" s="3"/>
      <c r="E293" s="60"/>
      <c r="F293" s="60"/>
      <c r="G293" s="60"/>
      <c r="H293" s="55"/>
      <c r="I293" s="55"/>
      <c r="J293" s="55"/>
      <c r="K293" s="55"/>
      <c r="L293" s="55"/>
      <c r="M293" s="55"/>
      <c r="N293" s="23"/>
      <c r="O293" s="3"/>
      <c r="P293" s="1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</row>
    <row r="294" spans="1:53" x14ac:dyDescent="0.2">
      <c r="A294" s="3">
        <f t="shared" si="32"/>
        <v>42</v>
      </c>
      <c r="B294" s="3"/>
      <c r="C294" s="3"/>
      <c r="D294" s="3"/>
      <c r="E294" s="49"/>
      <c r="F294" s="49"/>
      <c r="G294" s="49"/>
      <c r="H294" s="55"/>
      <c r="I294" s="55"/>
      <c r="J294" s="55"/>
      <c r="K294" s="55"/>
      <c r="L294" s="55"/>
      <c r="M294" s="55"/>
      <c r="N294" s="23"/>
      <c r="O294" s="3"/>
      <c r="P294" s="1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</row>
    <row r="295" spans="1:53" x14ac:dyDescent="0.2">
      <c r="A295" s="3">
        <f t="shared" ref="A295:A308" si="38">+A294+1</f>
        <v>43</v>
      </c>
      <c r="B295" s="3" t="s">
        <v>136</v>
      </c>
      <c r="C295" s="3"/>
      <c r="D295" s="3"/>
      <c r="E295" s="49"/>
      <c r="F295" s="49"/>
      <c r="G295" s="49"/>
      <c r="H295" s="55"/>
      <c r="I295" s="55"/>
      <c r="J295" s="55"/>
      <c r="K295" s="55"/>
      <c r="L295" s="55"/>
      <c r="M295" s="55"/>
      <c r="N295" s="23"/>
      <c r="O295" s="3"/>
      <c r="P295" s="1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</row>
    <row r="296" spans="1:53" x14ac:dyDescent="0.2">
      <c r="A296" s="3">
        <f t="shared" si="38"/>
        <v>44</v>
      </c>
      <c r="B296" s="3" t="s">
        <v>542</v>
      </c>
      <c r="C296" s="3" t="s">
        <v>562</v>
      </c>
      <c r="D296" s="78" t="s">
        <v>431</v>
      </c>
      <c r="E296" s="49" t="s">
        <v>668</v>
      </c>
      <c r="F296" s="53">
        <f>+H296</f>
        <v>0</v>
      </c>
      <c r="G296" s="53">
        <f t="shared" ref="G296:G304" si="39">+H296-F296</f>
        <v>0</v>
      </c>
      <c r="H296" s="72">
        <f t="shared" ref="H296:H304" si="40">SUM(J296:M296)</f>
        <v>0</v>
      </c>
      <c r="I296" s="61"/>
      <c r="J296" s="61"/>
      <c r="K296" s="61"/>
      <c r="L296" s="61"/>
      <c r="M296" s="61"/>
      <c r="N296" s="23"/>
      <c r="O296" s="3"/>
      <c r="P296" s="1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</row>
    <row r="297" spans="1:53" x14ac:dyDescent="0.2">
      <c r="A297" s="3">
        <f t="shared" si="38"/>
        <v>45</v>
      </c>
      <c r="B297" s="3" t="s">
        <v>542</v>
      </c>
      <c r="C297" s="3" t="s">
        <v>563</v>
      </c>
      <c r="D297" s="78" t="s">
        <v>431</v>
      </c>
      <c r="E297" s="49" t="s">
        <v>668</v>
      </c>
      <c r="F297" s="53">
        <f t="shared" ref="F297:F304" si="41">+H297</f>
        <v>0</v>
      </c>
      <c r="G297" s="53">
        <f t="shared" si="39"/>
        <v>0</v>
      </c>
      <c r="H297" s="72">
        <f t="shared" si="40"/>
        <v>0</v>
      </c>
      <c r="I297" s="61"/>
      <c r="J297" s="61"/>
      <c r="K297" s="61">
        <f>+'[1]II-E-3.5 ADFIT'!O62</f>
        <v>0</v>
      </c>
      <c r="L297" s="61"/>
      <c r="M297" s="61"/>
      <c r="N297" s="23"/>
      <c r="O297" s="3"/>
      <c r="P297" s="1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:53" x14ac:dyDescent="0.2">
      <c r="A298" s="3">
        <f t="shared" si="38"/>
        <v>46</v>
      </c>
      <c r="B298" s="3" t="s">
        <v>542</v>
      </c>
      <c r="C298" s="3" t="s">
        <v>564</v>
      </c>
      <c r="D298" s="78" t="s">
        <v>431</v>
      </c>
      <c r="E298" s="49" t="s">
        <v>668</v>
      </c>
      <c r="F298" s="53">
        <f t="shared" si="41"/>
        <v>60251201.533721358</v>
      </c>
      <c r="G298" s="53">
        <f t="shared" si="39"/>
        <v>0</v>
      </c>
      <c r="H298" s="72">
        <f t="shared" si="40"/>
        <v>60251201.533721358</v>
      </c>
      <c r="I298" s="61"/>
      <c r="J298" s="61"/>
      <c r="K298" s="53">
        <f>+'[1]II-E-3.5 ADFIT'!O80</f>
        <v>58769671.941945471</v>
      </c>
      <c r="L298" s="53">
        <f>+'[1]II-E-3.5 ADFIT'!P80</f>
        <v>1302543.2304664068</v>
      </c>
      <c r="M298" s="53">
        <f>+'[1]II-E-3.5 ADFIT'!Q80</f>
        <v>178986.36130948566</v>
      </c>
      <c r="N298" s="23"/>
      <c r="O298" s="3"/>
      <c r="P298" s="1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:53" x14ac:dyDescent="0.2">
      <c r="A299" s="3">
        <f t="shared" si="38"/>
        <v>47</v>
      </c>
      <c r="B299" s="3" t="s">
        <v>543</v>
      </c>
      <c r="C299" s="3" t="s">
        <v>565</v>
      </c>
      <c r="D299" s="78" t="s">
        <v>431</v>
      </c>
      <c r="E299" s="49" t="s">
        <v>668</v>
      </c>
      <c r="F299" s="53">
        <f t="shared" si="41"/>
        <v>-586241102.59000003</v>
      </c>
      <c r="G299" s="53">
        <f t="shared" si="39"/>
        <v>0</v>
      </c>
      <c r="H299" s="72">
        <f t="shared" si="40"/>
        <v>-586241102.59000003</v>
      </c>
      <c r="I299" s="61"/>
      <c r="J299" s="62"/>
      <c r="K299" s="61">
        <f>+'[1]II-E-3.5 ADFIT'!O95</f>
        <v>-572472324.11054254</v>
      </c>
      <c r="L299" s="61">
        <f>+'[1]II-E-3.5 ADFIT'!P95</f>
        <v>-13239116.761734929</v>
      </c>
      <c r="M299" s="61">
        <f>+'[1]II-E-3.5 ADFIT'!Q95</f>
        <v>-529661.7177225406</v>
      </c>
      <c r="N299" s="23"/>
      <c r="O299" s="3"/>
      <c r="P299" s="1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:53" x14ac:dyDescent="0.2">
      <c r="A300" s="3">
        <f t="shared" si="38"/>
        <v>48</v>
      </c>
      <c r="B300" s="3" t="s">
        <v>544</v>
      </c>
      <c r="C300" s="3" t="s">
        <v>566</v>
      </c>
      <c r="D300" s="78" t="s">
        <v>431</v>
      </c>
      <c r="E300" s="49" t="s">
        <v>668</v>
      </c>
      <c r="F300" s="53">
        <f t="shared" si="41"/>
        <v>0</v>
      </c>
      <c r="G300" s="53">
        <f t="shared" si="39"/>
        <v>0</v>
      </c>
      <c r="H300" s="72">
        <f t="shared" si="40"/>
        <v>0</v>
      </c>
      <c r="I300" s="61"/>
      <c r="J300" s="61"/>
      <c r="K300" s="61"/>
      <c r="L300" s="61"/>
      <c r="M300" s="61"/>
      <c r="N300" s="23"/>
      <c r="O300" s="3"/>
      <c r="P300" s="1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:53" x14ac:dyDescent="0.2">
      <c r="A301" s="3">
        <f t="shared" si="38"/>
        <v>49</v>
      </c>
      <c r="B301" s="3" t="s">
        <v>544</v>
      </c>
      <c r="C301" s="3" t="s">
        <v>568</v>
      </c>
      <c r="D301" s="78" t="s">
        <v>431</v>
      </c>
      <c r="E301" s="49" t="s">
        <v>668</v>
      </c>
      <c r="F301" s="53">
        <f t="shared" si="41"/>
        <v>0</v>
      </c>
      <c r="G301" s="53">
        <f t="shared" si="39"/>
        <v>0</v>
      </c>
      <c r="H301" s="72">
        <f t="shared" si="40"/>
        <v>0</v>
      </c>
      <c r="I301" s="61"/>
      <c r="J301" s="61"/>
      <c r="K301" s="61"/>
      <c r="L301" s="61"/>
      <c r="M301" s="61"/>
      <c r="N301" s="23"/>
      <c r="O301" s="3"/>
      <c r="P301" s="1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:53" x14ac:dyDescent="0.2">
      <c r="A302" s="3">
        <f t="shared" si="38"/>
        <v>50</v>
      </c>
      <c r="B302" s="3" t="s">
        <v>544</v>
      </c>
      <c r="C302" s="3" t="s">
        <v>567</v>
      </c>
      <c r="D302" s="78" t="s">
        <v>431</v>
      </c>
      <c r="E302" s="49" t="s">
        <v>668</v>
      </c>
      <c r="F302" s="53">
        <f t="shared" si="41"/>
        <v>-4533134.0385015514</v>
      </c>
      <c r="G302" s="53">
        <f t="shared" si="39"/>
        <v>0</v>
      </c>
      <c r="H302" s="72">
        <f t="shared" si="40"/>
        <v>-4533134.0385015514</v>
      </c>
      <c r="I302" s="61"/>
      <c r="J302" s="61"/>
      <c r="L302" s="61">
        <f>+'[1]II-E-3.5 ADFIT'!P149</f>
        <v>-3939091.3101931741</v>
      </c>
      <c r="M302" s="61">
        <f>+'[1]II-E-3.5 ADFIT'!Q149</f>
        <v>-594042.72830837697</v>
      </c>
      <c r="N302" s="23"/>
      <c r="O302" s="3"/>
      <c r="P302" s="1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03" spans="1:53" x14ac:dyDescent="0.2">
      <c r="A303" s="3">
        <f t="shared" si="38"/>
        <v>51</v>
      </c>
      <c r="B303" s="3" t="s">
        <v>544</v>
      </c>
      <c r="C303" s="3" t="s">
        <v>546</v>
      </c>
      <c r="D303" s="78" t="s">
        <v>431</v>
      </c>
      <c r="E303" s="49" t="s">
        <v>668</v>
      </c>
      <c r="F303" s="53">
        <f t="shared" si="41"/>
        <v>-42200093.767873086</v>
      </c>
      <c r="G303" s="53">
        <f t="shared" si="39"/>
        <v>0</v>
      </c>
      <c r="H303" s="72">
        <f t="shared" si="40"/>
        <v>-42200093.767873086</v>
      </c>
      <c r="I303" s="61"/>
      <c r="J303" s="61"/>
      <c r="K303" s="61">
        <f>+'[1]II-E-3.5 ADFIT'!O149</f>
        <v>-42200093.767873086</v>
      </c>
      <c r="L303" s="61"/>
      <c r="M303" s="61"/>
      <c r="N303" s="23"/>
      <c r="O303" s="3"/>
      <c r="P303" s="1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</row>
    <row r="304" spans="1:53" x14ac:dyDescent="0.2">
      <c r="A304" s="3">
        <f t="shared" si="38"/>
        <v>52</v>
      </c>
      <c r="B304" s="3"/>
      <c r="C304" s="3" t="s">
        <v>545</v>
      </c>
      <c r="D304" s="78" t="s">
        <v>431</v>
      </c>
      <c r="E304" s="49" t="s">
        <v>669</v>
      </c>
      <c r="F304" s="53">
        <f t="shared" si="41"/>
        <v>0</v>
      </c>
      <c r="G304" s="53">
        <f t="shared" si="39"/>
        <v>0</v>
      </c>
      <c r="H304" s="72">
        <f t="shared" si="40"/>
        <v>0</v>
      </c>
      <c r="I304" s="61"/>
      <c r="J304" s="61"/>
      <c r="K304" s="61"/>
      <c r="L304" s="61"/>
      <c r="M304" s="61"/>
      <c r="N304" s="23"/>
      <c r="O304" s="3"/>
      <c r="P304" s="1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</row>
    <row r="305" spans="1:53" x14ac:dyDescent="0.2">
      <c r="A305" s="3">
        <f t="shared" si="38"/>
        <v>53</v>
      </c>
      <c r="B305" s="3"/>
      <c r="C305" s="3"/>
      <c r="D305" s="78"/>
      <c r="E305" s="49"/>
      <c r="F305" s="49"/>
      <c r="G305" s="49"/>
      <c r="H305" s="72"/>
      <c r="I305" s="61"/>
      <c r="J305" s="61"/>
      <c r="K305" s="61"/>
      <c r="L305" s="61"/>
      <c r="M305" s="61"/>
      <c r="N305" s="23"/>
      <c r="O305" s="3"/>
      <c r="P305" s="1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</row>
    <row r="306" spans="1:53" x14ac:dyDescent="0.2">
      <c r="A306" s="3">
        <f t="shared" si="38"/>
        <v>54</v>
      </c>
      <c r="B306" s="3"/>
      <c r="C306" s="3" t="s">
        <v>137</v>
      </c>
      <c r="D306" s="78"/>
      <c r="E306" s="49"/>
      <c r="F306" s="53">
        <f>SUM(F296:F305)</f>
        <v>-572723128.86265337</v>
      </c>
      <c r="G306" s="53">
        <f>SUM(G296:G305)</f>
        <v>0</v>
      </c>
      <c r="H306" s="55">
        <f>SUM(J306:M306)</f>
        <v>-572723128.86265326</v>
      </c>
      <c r="I306" s="55"/>
      <c r="J306" s="55">
        <f>SUM(J296:J304)</f>
        <v>0</v>
      </c>
      <c r="K306" s="55">
        <f>SUM(K296:K304)</f>
        <v>-555902745.93647015</v>
      </c>
      <c r="L306" s="55">
        <f>SUM(L296:L304)</f>
        <v>-15875664.841461696</v>
      </c>
      <c r="M306" s="55">
        <f>SUM(M296:M304)</f>
        <v>-944718.08472143195</v>
      </c>
      <c r="N306" s="23">
        <f>SUM(K306:M306)</f>
        <v>-572723128.86265326</v>
      </c>
      <c r="O306" s="3"/>
      <c r="P306" s="1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</row>
    <row r="307" spans="1:53" x14ac:dyDescent="0.2">
      <c r="A307" s="3">
        <f t="shared" si="38"/>
        <v>55</v>
      </c>
      <c r="B307" s="3"/>
      <c r="C307" s="3"/>
      <c r="D307" s="78"/>
      <c r="E307" s="49"/>
      <c r="F307" s="49"/>
      <c r="G307" s="49"/>
      <c r="H307" s="55"/>
      <c r="I307" s="55"/>
      <c r="J307" s="55"/>
      <c r="K307" s="55"/>
      <c r="L307" s="55"/>
      <c r="M307" s="55"/>
      <c r="N307" s="23"/>
      <c r="O307" s="3"/>
      <c r="P307" s="1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</row>
    <row r="308" spans="1:53" x14ac:dyDescent="0.2">
      <c r="A308" s="3">
        <f t="shared" si="38"/>
        <v>56</v>
      </c>
      <c r="B308" s="3"/>
      <c r="C308" s="3" t="s">
        <v>138</v>
      </c>
      <c r="D308" s="3"/>
      <c r="E308" s="49"/>
      <c r="F308" s="53">
        <f>+F306+F292+F276+F270+F266+F259+F253+F249</f>
        <v>4085488759.2402973</v>
      </c>
      <c r="G308" s="53">
        <f>+G306+G292+G276+G270+G266+G259+G253+G249</f>
        <v>0</v>
      </c>
      <c r="H308" s="55">
        <f>H249+H253+H259+H266+H270+H271++H276+H292+H306</f>
        <v>4248452759.8175492</v>
      </c>
      <c r="I308" s="55"/>
      <c r="J308" s="55">
        <f>J249+J253+J259+J266+J270+J276+J292+J306</f>
        <v>0</v>
      </c>
      <c r="K308" s="55">
        <f>K249+K253+K259+K266+K270+K271+K276+K292+K306</f>
        <v>4117863426.0636759</v>
      </c>
      <c r="L308" s="55">
        <f t="shared" ref="L308:M308" si="42">L249+L253+L259+L266+L270+L271+L276+L292+L306</f>
        <v>117234158.23870662</v>
      </c>
      <c r="M308" s="55">
        <f t="shared" si="42"/>
        <v>13355175.515166093</v>
      </c>
      <c r="N308" s="23"/>
      <c r="O308" s="3"/>
      <c r="P308" s="1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</row>
    <row r="309" spans="1:53" x14ac:dyDescent="0.2">
      <c r="A309" s="3"/>
      <c r="B309" s="3"/>
      <c r="C309" s="3"/>
      <c r="D309" s="3"/>
      <c r="E309" s="49"/>
      <c r="F309" s="49"/>
      <c r="G309" s="49"/>
      <c r="H309" s="55"/>
      <c r="I309" s="55"/>
      <c r="J309" s="55"/>
      <c r="K309" s="55"/>
      <c r="L309" s="55"/>
      <c r="M309" s="55"/>
      <c r="N309" s="23"/>
      <c r="O309" s="3"/>
      <c r="P309" s="1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</row>
    <row r="310" spans="1:53" x14ac:dyDescent="0.2">
      <c r="A310" s="3"/>
      <c r="B310" s="3"/>
      <c r="C310" s="3"/>
      <c r="D310" s="3"/>
      <c r="E310" s="49"/>
      <c r="F310" s="49"/>
      <c r="G310" s="49"/>
      <c r="H310" s="55"/>
      <c r="I310" s="55"/>
      <c r="J310" s="55"/>
      <c r="K310" s="55"/>
      <c r="L310" s="55"/>
      <c r="M310" s="55"/>
      <c r="N310" s="23"/>
      <c r="O310" s="3"/>
      <c r="P310" s="1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</row>
    <row r="311" spans="1:53" x14ac:dyDescent="0.2">
      <c r="A311" s="3"/>
      <c r="B311" s="3"/>
      <c r="C311" s="18"/>
      <c r="D311" s="177"/>
      <c r="E311" s="49"/>
      <c r="F311" s="49"/>
      <c r="G311" s="49"/>
      <c r="H311" s="63"/>
      <c r="I311" s="63"/>
      <c r="J311" s="63"/>
      <c r="K311" s="63"/>
      <c r="L311" s="63"/>
      <c r="M311" s="63"/>
      <c r="N311" s="25"/>
      <c r="O311" s="3"/>
      <c r="P311" s="1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</row>
    <row r="312" spans="1:53" x14ac:dyDescent="0.2">
      <c r="A312" s="3"/>
      <c r="B312" s="3"/>
      <c r="C312" s="18"/>
      <c r="D312" s="21"/>
      <c r="E312" s="58"/>
      <c r="F312" s="58"/>
      <c r="G312" s="58"/>
      <c r="H312" s="55"/>
      <c r="I312" s="58"/>
      <c r="J312" s="58"/>
      <c r="K312" s="58"/>
      <c r="L312" s="58"/>
      <c r="M312" s="58"/>
      <c r="N312" s="23"/>
      <c r="O312" s="3"/>
      <c r="P312" s="1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</row>
    <row r="313" spans="1:53" x14ac:dyDescent="0.2">
      <c r="A313" s="3"/>
      <c r="B313" s="3"/>
      <c r="C313" s="18"/>
      <c r="D313" s="18"/>
      <c r="E313" s="58"/>
      <c r="F313" s="58"/>
      <c r="G313" s="58"/>
      <c r="H313" s="58"/>
      <c r="I313" s="58"/>
      <c r="J313" s="58"/>
      <c r="K313" s="58"/>
      <c r="L313" s="58"/>
      <c r="M313" s="58"/>
      <c r="N313" s="23"/>
      <c r="O313" s="3"/>
      <c r="P313" s="1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</row>
    <row r="314" spans="1:53" x14ac:dyDescent="0.2">
      <c r="A314" s="3"/>
      <c r="B314" s="3"/>
      <c r="C314" s="18"/>
      <c r="D314" s="18"/>
      <c r="E314" s="58"/>
      <c r="F314" s="58"/>
      <c r="G314" s="58"/>
      <c r="H314" s="58"/>
      <c r="I314" s="58"/>
      <c r="J314" s="58"/>
      <c r="K314" s="58"/>
      <c r="L314" s="58"/>
      <c r="M314" s="58"/>
      <c r="N314" s="23"/>
      <c r="O314" s="3"/>
      <c r="P314" s="1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</row>
    <row r="315" spans="1:53" x14ac:dyDescent="0.2">
      <c r="A315" s="3"/>
      <c r="B315" s="7" t="s">
        <v>139</v>
      </c>
      <c r="C315" s="18"/>
      <c r="D315" s="18"/>
      <c r="E315" s="58"/>
      <c r="F315" s="58"/>
      <c r="G315" s="58"/>
      <c r="H315" s="58"/>
      <c r="I315" s="58"/>
      <c r="J315" s="58"/>
      <c r="K315" s="58"/>
      <c r="L315" s="58"/>
      <c r="M315" s="58"/>
      <c r="N315" s="23"/>
      <c r="O315" s="3"/>
      <c r="P315" s="1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</row>
    <row r="316" spans="1:53" x14ac:dyDescent="0.2">
      <c r="A316" s="3">
        <f>1+A315</f>
        <v>1</v>
      </c>
      <c r="B316" s="3" t="s">
        <v>147</v>
      </c>
      <c r="C316" s="3" t="s">
        <v>148</v>
      </c>
      <c r="D316" s="78" t="s">
        <v>431</v>
      </c>
      <c r="E316" s="49" t="s">
        <v>628</v>
      </c>
      <c r="F316" s="53">
        <f>+H316</f>
        <v>0</v>
      </c>
      <c r="G316" s="53">
        <f>+H316-F316</f>
        <v>0</v>
      </c>
      <c r="H316" s="72">
        <f>SUM(J316:M316)</f>
        <v>0</v>
      </c>
      <c r="I316" s="61"/>
      <c r="J316" s="61"/>
      <c r="K316" s="61">
        <v>0</v>
      </c>
      <c r="L316" s="61">
        <v>0</v>
      </c>
      <c r="M316" s="61">
        <v>0</v>
      </c>
      <c r="N316" s="23"/>
      <c r="O316" s="3"/>
      <c r="P316" s="1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</row>
    <row r="317" spans="1:53" x14ac:dyDescent="0.2">
      <c r="A317" s="3">
        <f>1+A316</f>
        <v>2</v>
      </c>
      <c r="B317" s="3" t="s">
        <v>149</v>
      </c>
      <c r="C317" s="3" t="s">
        <v>150</v>
      </c>
      <c r="D317" s="78" t="s">
        <v>431</v>
      </c>
      <c r="E317" s="49" t="s">
        <v>628</v>
      </c>
      <c r="F317" s="53">
        <f>+H317</f>
        <v>0</v>
      </c>
      <c r="G317" s="53">
        <f>+H317-F317</f>
        <v>0</v>
      </c>
      <c r="H317" s="72">
        <f>SUM(J317:M317)</f>
        <v>0</v>
      </c>
      <c r="I317" s="61"/>
      <c r="J317" s="61"/>
      <c r="K317" s="61">
        <v>0</v>
      </c>
      <c r="L317" s="61">
        <v>0</v>
      </c>
      <c r="M317" s="61">
        <v>0</v>
      </c>
      <c r="N317" s="23"/>
      <c r="O317" s="3"/>
      <c r="P317" s="1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</row>
    <row r="318" spans="1:53" x14ac:dyDescent="0.2">
      <c r="A318" s="3">
        <f t="shared" ref="A318:A325" si="43">1+A317</f>
        <v>3</v>
      </c>
      <c r="B318" s="3"/>
      <c r="C318" s="3" t="s">
        <v>135</v>
      </c>
      <c r="D318" s="3"/>
      <c r="E318" s="49"/>
      <c r="F318" s="53">
        <f>SUM(F316:F317)</f>
        <v>0</v>
      </c>
      <c r="G318" s="53">
        <f>SUM(G316:G317)</f>
        <v>0</v>
      </c>
      <c r="H318" s="55">
        <f>SUM(H316:H317)</f>
        <v>0</v>
      </c>
      <c r="I318" s="55"/>
      <c r="J318" s="55"/>
      <c r="K318" s="55">
        <f>SUM(K316:K317)</f>
        <v>0</v>
      </c>
      <c r="L318" s="55">
        <f>SUM(L316:L317)</f>
        <v>0</v>
      </c>
      <c r="M318" s="55">
        <f>SUM(M316:M317)</f>
        <v>0</v>
      </c>
      <c r="N318" s="23"/>
      <c r="O318" s="3"/>
      <c r="P318" s="1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</row>
    <row r="319" spans="1:53" x14ac:dyDescent="0.2">
      <c r="A319" s="3">
        <f t="shared" si="43"/>
        <v>4</v>
      </c>
      <c r="B319" s="3"/>
      <c r="C319" s="3"/>
      <c r="D319" s="3"/>
      <c r="E319" s="49"/>
      <c r="F319" s="49"/>
      <c r="G319" s="49"/>
      <c r="H319" s="55"/>
      <c r="I319" s="55"/>
      <c r="J319" s="55"/>
      <c r="K319" s="55"/>
      <c r="L319" s="55"/>
      <c r="M319" s="55"/>
      <c r="N319" s="23"/>
      <c r="O319" s="3"/>
      <c r="P319" s="1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</row>
    <row r="320" spans="1:53" x14ac:dyDescent="0.2">
      <c r="A320" s="3">
        <f t="shared" si="43"/>
        <v>5</v>
      </c>
      <c r="B320" s="3"/>
      <c r="C320" s="3" t="s">
        <v>151</v>
      </c>
      <c r="D320" s="3"/>
      <c r="E320" s="49"/>
      <c r="F320" s="49"/>
      <c r="G320" s="49"/>
      <c r="H320" s="55">
        <f>+H318</f>
        <v>0</v>
      </c>
      <c r="I320" s="55"/>
      <c r="J320" s="55">
        <f>+J318</f>
        <v>0</v>
      </c>
      <c r="K320" s="55">
        <f>+K318</f>
        <v>0</v>
      </c>
      <c r="L320" s="55">
        <f>+L318</f>
        <v>0</v>
      </c>
      <c r="M320" s="55">
        <f>+M318</f>
        <v>0</v>
      </c>
      <c r="N320" s="23"/>
      <c r="O320" s="3"/>
      <c r="P320" s="1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</row>
    <row r="321" spans="1:53" x14ac:dyDescent="0.2">
      <c r="A321" s="3">
        <f t="shared" si="43"/>
        <v>6</v>
      </c>
      <c r="B321" s="3"/>
      <c r="C321" s="3"/>
      <c r="D321" s="3"/>
      <c r="E321" s="49"/>
      <c r="F321" s="49"/>
      <c r="G321" s="49"/>
      <c r="H321" s="55"/>
      <c r="I321" s="55"/>
      <c r="J321" s="55"/>
      <c r="K321" s="55"/>
      <c r="L321" s="55"/>
      <c r="M321" s="55"/>
      <c r="N321" s="23"/>
      <c r="O321" s="3"/>
      <c r="P321" s="1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</row>
    <row r="322" spans="1:53" x14ac:dyDescent="0.2">
      <c r="A322" s="3">
        <f t="shared" si="43"/>
        <v>7</v>
      </c>
      <c r="B322" s="7" t="s">
        <v>144</v>
      </c>
      <c r="C322" s="3"/>
      <c r="D322" s="3"/>
      <c r="E322" s="49"/>
      <c r="F322" s="49"/>
      <c r="G322" s="49"/>
      <c r="H322" s="55"/>
      <c r="I322" s="55"/>
      <c r="J322" s="55"/>
      <c r="K322" s="55"/>
      <c r="L322" s="55"/>
      <c r="M322" s="55"/>
      <c r="N322" s="23"/>
      <c r="O322" s="3"/>
      <c r="P322" s="1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</row>
    <row r="323" spans="1:53" x14ac:dyDescent="0.2">
      <c r="A323" s="3">
        <f t="shared" si="43"/>
        <v>8</v>
      </c>
      <c r="B323" s="3"/>
      <c r="C323" s="3"/>
      <c r="D323" s="3"/>
      <c r="E323" s="49"/>
      <c r="F323" s="49"/>
      <c r="G323" s="49"/>
      <c r="H323" s="55"/>
      <c r="I323" s="55"/>
      <c r="J323" s="55"/>
      <c r="K323" s="55"/>
      <c r="L323" s="55"/>
      <c r="M323" s="55"/>
      <c r="N323" s="23"/>
      <c r="O323" s="3"/>
      <c r="P323" s="1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</row>
    <row r="324" spans="1:53" x14ac:dyDescent="0.2">
      <c r="A324" s="3">
        <f t="shared" si="43"/>
        <v>9</v>
      </c>
      <c r="B324" s="3" t="s">
        <v>152</v>
      </c>
      <c r="C324" s="3"/>
      <c r="D324" s="3"/>
      <c r="E324" s="49"/>
      <c r="F324" s="49"/>
      <c r="G324" s="49"/>
      <c r="H324" s="55"/>
      <c r="I324" s="55"/>
      <c r="J324" s="55"/>
      <c r="K324" s="55"/>
      <c r="L324" s="55"/>
      <c r="M324" s="55"/>
      <c r="N324" s="23"/>
      <c r="O324" s="3"/>
      <c r="P324" s="1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</row>
    <row r="325" spans="1:53" x14ac:dyDescent="0.2">
      <c r="A325" s="3">
        <f t="shared" si="43"/>
        <v>10</v>
      </c>
      <c r="B325" s="3"/>
      <c r="C325" s="3" t="s">
        <v>140</v>
      </c>
      <c r="D325" s="3"/>
      <c r="E325" s="49"/>
      <c r="F325" s="49"/>
      <c r="G325" s="49"/>
      <c r="H325" s="55"/>
      <c r="I325" s="55"/>
      <c r="J325" s="55"/>
      <c r="K325" s="55"/>
      <c r="L325" s="55"/>
      <c r="M325" s="55"/>
      <c r="N325" s="23"/>
      <c r="O325" s="3"/>
      <c r="P325" s="1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</row>
    <row r="326" spans="1:53" x14ac:dyDescent="0.2">
      <c r="A326" s="3">
        <f t="shared" ref="A326:A336" si="44">+A325+1</f>
        <v>11</v>
      </c>
      <c r="B326" s="3" t="s">
        <v>153</v>
      </c>
      <c r="C326" s="3" t="s">
        <v>145</v>
      </c>
      <c r="D326" s="78" t="s">
        <v>431</v>
      </c>
      <c r="E326" s="49" t="s">
        <v>628</v>
      </c>
      <c r="F326" s="53">
        <f>+H326</f>
        <v>0</v>
      </c>
      <c r="G326" s="53">
        <f t="shared" ref="G326:G334" si="45">+H326-F326</f>
        <v>0</v>
      </c>
      <c r="H326" s="72">
        <f t="shared" ref="H326:H334" si="46">SUM(J326:M326)</f>
        <v>0</v>
      </c>
      <c r="I326" s="61"/>
      <c r="J326" s="61"/>
      <c r="K326" s="61">
        <v>0</v>
      </c>
      <c r="L326" s="61">
        <v>0</v>
      </c>
      <c r="M326" s="61">
        <v>0</v>
      </c>
      <c r="N326" s="23"/>
      <c r="O326" s="3"/>
      <c r="P326" s="1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</row>
    <row r="327" spans="1:53" x14ac:dyDescent="0.2">
      <c r="A327" s="3">
        <f t="shared" si="44"/>
        <v>12</v>
      </c>
      <c r="B327" s="3" t="s">
        <v>154</v>
      </c>
      <c r="C327" s="3" t="s">
        <v>155</v>
      </c>
      <c r="D327" s="78" t="s">
        <v>431</v>
      </c>
      <c r="E327" s="49" t="s">
        <v>628</v>
      </c>
      <c r="F327" s="53">
        <f t="shared" ref="F327:F334" si="47">+H327</f>
        <v>0</v>
      </c>
      <c r="G327" s="53">
        <f t="shared" si="45"/>
        <v>0</v>
      </c>
      <c r="H327" s="72">
        <f t="shared" si="46"/>
        <v>0</v>
      </c>
      <c r="I327" s="61"/>
      <c r="J327" s="61"/>
      <c r="K327" s="61">
        <v>0</v>
      </c>
      <c r="L327" s="61">
        <v>0</v>
      </c>
      <c r="M327" s="61">
        <v>0</v>
      </c>
      <c r="N327" s="23"/>
      <c r="O327" s="3"/>
      <c r="P327" s="1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</row>
    <row r="328" spans="1:53" x14ac:dyDescent="0.2">
      <c r="A328" s="3">
        <f t="shared" si="44"/>
        <v>13</v>
      </c>
      <c r="B328" s="3" t="s">
        <v>156</v>
      </c>
      <c r="C328" s="3" t="s">
        <v>38</v>
      </c>
      <c r="D328" s="78" t="s">
        <v>431</v>
      </c>
      <c r="E328" s="49" t="s">
        <v>628</v>
      </c>
      <c r="F328" s="53">
        <f t="shared" si="47"/>
        <v>0</v>
      </c>
      <c r="G328" s="53">
        <f t="shared" si="45"/>
        <v>0</v>
      </c>
      <c r="H328" s="72">
        <f t="shared" si="46"/>
        <v>0</v>
      </c>
      <c r="I328" s="61"/>
      <c r="J328" s="61"/>
      <c r="K328" s="61">
        <v>0</v>
      </c>
      <c r="L328" s="61">
        <v>0</v>
      </c>
      <c r="M328" s="61">
        <v>0</v>
      </c>
      <c r="N328" s="23"/>
      <c r="O328" s="3"/>
      <c r="P328" s="1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</row>
    <row r="329" spans="1:53" x14ac:dyDescent="0.2">
      <c r="A329" s="3">
        <f t="shared" si="44"/>
        <v>14</v>
      </c>
      <c r="B329" s="3" t="s">
        <v>157</v>
      </c>
      <c r="C329" s="3" t="s">
        <v>158</v>
      </c>
      <c r="D329" s="78" t="s">
        <v>431</v>
      </c>
      <c r="E329" s="49" t="s">
        <v>628</v>
      </c>
      <c r="F329" s="53">
        <f t="shared" si="47"/>
        <v>0</v>
      </c>
      <c r="G329" s="53">
        <f t="shared" si="45"/>
        <v>0</v>
      </c>
      <c r="H329" s="72">
        <f t="shared" si="46"/>
        <v>0</v>
      </c>
      <c r="I329" s="61"/>
      <c r="J329" s="61"/>
      <c r="K329" s="61">
        <v>0</v>
      </c>
      <c r="L329" s="61">
        <v>0</v>
      </c>
      <c r="M329" s="61">
        <v>0</v>
      </c>
      <c r="N329" s="23"/>
      <c r="O329" s="3"/>
      <c r="P329" s="1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</row>
    <row r="330" spans="1:53" x14ac:dyDescent="0.2">
      <c r="A330" s="3">
        <f t="shared" si="44"/>
        <v>15</v>
      </c>
      <c r="B330" s="3" t="s">
        <v>159</v>
      </c>
      <c r="C330" s="3" t="s">
        <v>160</v>
      </c>
      <c r="D330" s="78" t="s">
        <v>431</v>
      </c>
      <c r="E330" s="49" t="s">
        <v>628</v>
      </c>
      <c r="F330" s="53">
        <f t="shared" si="47"/>
        <v>0</v>
      </c>
      <c r="G330" s="53">
        <f t="shared" si="45"/>
        <v>0</v>
      </c>
      <c r="H330" s="72">
        <f t="shared" si="46"/>
        <v>0</v>
      </c>
      <c r="I330" s="61"/>
      <c r="J330" s="61"/>
      <c r="K330" s="61">
        <f>+'[1]II-D-1 O&amp;M'!N21</f>
        <v>0</v>
      </c>
      <c r="L330" s="61">
        <f>+'[1]II-D-1 O&amp;M'!O21</f>
        <v>0</v>
      </c>
      <c r="M330" s="61">
        <f>+'[1]II-D-1 O&amp;M'!P21</f>
        <v>0</v>
      </c>
      <c r="N330" s="23"/>
      <c r="O330" s="3"/>
      <c r="P330" s="1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</row>
    <row r="331" spans="1:53" x14ac:dyDescent="0.2">
      <c r="A331" s="3">
        <f t="shared" si="44"/>
        <v>16</v>
      </c>
      <c r="B331" s="3" t="s">
        <v>161</v>
      </c>
      <c r="C331" s="3" t="s">
        <v>527</v>
      </c>
      <c r="D331" s="78" t="s">
        <v>431</v>
      </c>
      <c r="E331" s="49" t="s">
        <v>628</v>
      </c>
      <c r="F331" s="53">
        <f t="shared" si="47"/>
        <v>1.4319084584712982E-8</v>
      </c>
      <c r="G331" s="53">
        <f t="shared" si="45"/>
        <v>0</v>
      </c>
      <c r="H331" s="72">
        <f t="shared" si="46"/>
        <v>1.4319084584712982E-8</v>
      </c>
      <c r="I331" s="61"/>
      <c r="J331" s="61"/>
      <c r="K331" s="61">
        <f>+'[1]II-D-1 O&amp;M'!N22</f>
        <v>1.4319084584712982E-8</v>
      </c>
      <c r="L331" s="61">
        <f>+'[1]II-D-1 O&amp;M'!O22</f>
        <v>0</v>
      </c>
      <c r="M331" s="61">
        <f>+'[1]II-D-1 O&amp;M'!P22</f>
        <v>0</v>
      </c>
      <c r="N331" s="23">
        <f>SUM(H331:H332)</f>
        <v>1.4319084584712982E-8</v>
      </c>
      <c r="O331" s="3"/>
      <c r="P331" s="1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</row>
    <row r="332" spans="1:53" x14ac:dyDescent="0.2">
      <c r="A332" s="3">
        <f t="shared" si="44"/>
        <v>17</v>
      </c>
      <c r="B332" s="3" t="s">
        <v>161</v>
      </c>
      <c r="C332" s="3" t="s">
        <v>577</v>
      </c>
      <c r="D332" s="78" t="s">
        <v>431</v>
      </c>
      <c r="E332" s="49" t="s">
        <v>629</v>
      </c>
      <c r="F332" s="53">
        <f t="shared" si="47"/>
        <v>0</v>
      </c>
      <c r="G332" s="53">
        <f t="shared" si="45"/>
        <v>0</v>
      </c>
      <c r="H332" s="72">
        <f t="shared" si="46"/>
        <v>0</v>
      </c>
      <c r="I332" s="61"/>
      <c r="J332" s="61"/>
      <c r="K332" s="61">
        <v>0</v>
      </c>
      <c r="L332" s="61"/>
      <c r="M332" s="61"/>
      <c r="N332" s="23"/>
      <c r="O332" s="3"/>
      <c r="P332" s="1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</row>
    <row r="333" spans="1:53" x14ac:dyDescent="0.2">
      <c r="A333" s="3">
        <f t="shared" si="44"/>
        <v>18</v>
      </c>
      <c r="B333" s="3" t="s">
        <v>162</v>
      </c>
      <c r="C333" s="3" t="s">
        <v>470</v>
      </c>
      <c r="D333" s="78" t="s">
        <v>431</v>
      </c>
      <c r="E333" s="49" t="s">
        <v>628</v>
      </c>
      <c r="F333" s="53">
        <f t="shared" si="47"/>
        <v>-1.7400000002235174</v>
      </c>
      <c r="G333" s="53">
        <f t="shared" si="45"/>
        <v>0</v>
      </c>
      <c r="H333" s="72">
        <f t="shared" si="46"/>
        <v>-1.7400000002235174</v>
      </c>
      <c r="I333" s="61"/>
      <c r="J333" s="61"/>
      <c r="K333" s="61">
        <f>+'[1]II-D-1 O&amp;M'!N26</f>
        <v>-1.7400000002235174</v>
      </c>
      <c r="L333" s="61">
        <f>+'[1]II-D-1 O&amp;M'!O26</f>
        <v>0</v>
      </c>
      <c r="M333" s="61">
        <f>+'[1]II-D-1 O&amp;M'!P26</f>
        <v>0</v>
      </c>
      <c r="N333" s="23"/>
      <c r="O333" s="3"/>
      <c r="P333" s="1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</row>
    <row r="334" spans="1:53" x14ac:dyDescent="0.2">
      <c r="A334" s="3">
        <f t="shared" si="44"/>
        <v>19</v>
      </c>
      <c r="B334" s="3" t="s">
        <v>164</v>
      </c>
      <c r="C334" s="3" t="s">
        <v>141</v>
      </c>
      <c r="D334" s="78" t="s">
        <v>431</v>
      </c>
      <c r="E334" s="49" t="s">
        <v>628</v>
      </c>
      <c r="F334" s="53">
        <f t="shared" si="47"/>
        <v>3.6800000006332994</v>
      </c>
      <c r="G334" s="53">
        <f t="shared" si="45"/>
        <v>0</v>
      </c>
      <c r="H334" s="72">
        <f t="shared" si="46"/>
        <v>3.6800000006332994</v>
      </c>
      <c r="I334" s="61"/>
      <c r="J334" s="61"/>
      <c r="K334" s="61">
        <f>+'[1]II-D-1 O&amp;M'!N27</f>
        <v>3.6800000006332994</v>
      </c>
      <c r="L334" s="61">
        <f>+'[1]II-D-1 O&amp;M'!O27</f>
        <v>0</v>
      </c>
      <c r="M334" s="61">
        <f>+'[1]II-D-1 O&amp;M'!P27</f>
        <v>0</v>
      </c>
      <c r="N334" s="23"/>
      <c r="O334" s="3"/>
      <c r="P334" s="1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</row>
    <row r="335" spans="1:53" x14ac:dyDescent="0.2">
      <c r="A335" s="3">
        <f t="shared" si="44"/>
        <v>20</v>
      </c>
      <c r="B335" s="3"/>
      <c r="C335" s="3" t="s">
        <v>135</v>
      </c>
      <c r="D335" s="3"/>
      <c r="E335" s="49"/>
      <c r="F335" s="53">
        <f t="shared" ref="F335:M335" si="48">SUM(F326:F334)</f>
        <v>1.9400000147288665</v>
      </c>
      <c r="G335" s="53">
        <f t="shared" si="48"/>
        <v>0</v>
      </c>
      <c r="H335" s="55">
        <f t="shared" si="48"/>
        <v>1.9400000147288665</v>
      </c>
      <c r="I335" s="55">
        <f t="shared" si="48"/>
        <v>0</v>
      </c>
      <c r="J335" s="55">
        <f t="shared" si="48"/>
        <v>0</v>
      </c>
      <c r="K335" s="55">
        <f t="shared" si="48"/>
        <v>1.9400000147288665</v>
      </c>
      <c r="L335" s="55">
        <f t="shared" si="48"/>
        <v>0</v>
      </c>
      <c r="M335" s="55">
        <f t="shared" si="48"/>
        <v>0</v>
      </c>
      <c r="N335" s="23"/>
      <c r="O335" s="3"/>
      <c r="P335" s="1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</row>
    <row r="336" spans="1:53" x14ac:dyDescent="0.2">
      <c r="A336" s="3">
        <f t="shared" si="44"/>
        <v>21</v>
      </c>
      <c r="B336" s="3"/>
      <c r="C336" s="3" t="s">
        <v>586</v>
      </c>
      <c r="D336" s="3"/>
      <c r="E336" s="49"/>
      <c r="F336" s="53">
        <f>+F335+F318</f>
        <v>1.9400000147288665</v>
      </c>
      <c r="G336" s="53">
        <f>+G335+G318</f>
        <v>0</v>
      </c>
      <c r="H336" s="55">
        <f t="shared" ref="H336:M336" si="49">+H335+H320</f>
        <v>1.9400000147288665</v>
      </c>
      <c r="I336" s="55">
        <f t="shared" si="49"/>
        <v>0</v>
      </c>
      <c r="J336" s="55">
        <f t="shared" si="49"/>
        <v>0</v>
      </c>
      <c r="K336" s="55">
        <f t="shared" si="49"/>
        <v>1.9400000147288665</v>
      </c>
      <c r="L336" s="55">
        <f t="shared" si="49"/>
        <v>0</v>
      </c>
      <c r="M336" s="55">
        <f t="shared" si="49"/>
        <v>0</v>
      </c>
      <c r="N336" s="23"/>
      <c r="O336" s="3"/>
      <c r="P336" s="1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</row>
    <row r="337" spans="1:53" x14ac:dyDescent="0.2">
      <c r="A337" s="3">
        <f t="shared" ref="A337:A404" si="50">+A336+1</f>
        <v>22</v>
      </c>
      <c r="B337" s="3"/>
      <c r="C337" s="3" t="s">
        <v>142</v>
      </c>
      <c r="D337" s="3"/>
      <c r="E337" s="49"/>
      <c r="F337" s="49"/>
      <c r="G337" s="49"/>
      <c r="H337" s="55"/>
      <c r="I337" s="55"/>
      <c r="J337" s="55"/>
      <c r="K337" s="55"/>
      <c r="L337" s="55"/>
      <c r="M337" s="55"/>
      <c r="N337" s="23"/>
      <c r="O337" s="3"/>
      <c r="P337" s="1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:53" x14ac:dyDescent="0.2">
      <c r="A338" s="3">
        <f t="shared" si="50"/>
        <v>23</v>
      </c>
      <c r="B338" s="3" t="s">
        <v>165</v>
      </c>
      <c r="C338" s="3" t="s">
        <v>146</v>
      </c>
      <c r="D338" s="78" t="s">
        <v>431</v>
      </c>
      <c r="E338" s="49" t="s">
        <v>628</v>
      </c>
      <c r="F338" s="53">
        <f t="shared" ref="F338:F343" si="51">+H338</f>
        <v>0</v>
      </c>
      <c r="G338" s="53">
        <f t="shared" ref="G338:G343" si="52">+H338-F338</f>
        <v>0</v>
      </c>
      <c r="H338" s="72">
        <f t="shared" ref="H338:H343" si="53">SUM(J338:M338)</f>
        <v>0</v>
      </c>
      <c r="I338" s="61"/>
      <c r="J338" s="61"/>
      <c r="K338" s="61">
        <v>0</v>
      </c>
      <c r="L338" s="61">
        <v>0</v>
      </c>
      <c r="M338" s="61">
        <v>0</v>
      </c>
      <c r="N338" s="23"/>
      <c r="O338" s="3"/>
      <c r="P338" s="1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39" spans="1:53" x14ac:dyDescent="0.2">
      <c r="A339" s="3">
        <f t="shared" si="50"/>
        <v>24</v>
      </c>
      <c r="B339" s="3" t="s">
        <v>166</v>
      </c>
      <c r="C339" s="3" t="s">
        <v>143</v>
      </c>
      <c r="D339" s="78" t="s">
        <v>431</v>
      </c>
      <c r="E339" s="49" t="s">
        <v>628</v>
      </c>
      <c r="F339" s="53">
        <f t="shared" si="51"/>
        <v>2.3283064365386963E-10</v>
      </c>
      <c r="G339" s="53">
        <f t="shared" si="52"/>
        <v>0</v>
      </c>
      <c r="H339" s="72">
        <f t="shared" si="53"/>
        <v>2.3283064365386963E-10</v>
      </c>
      <c r="I339" s="61"/>
      <c r="J339" s="61"/>
      <c r="K339" s="61">
        <f>+'[1]II-D-1 O&amp;M'!N33</f>
        <v>2.3283064365386963E-10</v>
      </c>
      <c r="L339" s="61">
        <f>+'[1]II-D-1 O&amp;M'!O33</f>
        <v>0</v>
      </c>
      <c r="M339" s="61">
        <f>+'[1]II-D-1 O&amp;M'!P33</f>
        <v>0</v>
      </c>
      <c r="N339" s="23"/>
      <c r="O339" s="3"/>
      <c r="P339" s="1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</row>
    <row r="340" spans="1:53" x14ac:dyDescent="0.2">
      <c r="A340" s="3">
        <f t="shared" si="50"/>
        <v>25</v>
      </c>
      <c r="B340" s="3" t="s">
        <v>167</v>
      </c>
      <c r="C340" s="3" t="s">
        <v>168</v>
      </c>
      <c r="D340" s="78" t="s">
        <v>431</v>
      </c>
      <c r="E340" s="49" t="s">
        <v>628</v>
      </c>
      <c r="F340" s="53">
        <f t="shared" si="51"/>
        <v>1.7299999995157123</v>
      </c>
      <c r="G340" s="53">
        <f t="shared" si="52"/>
        <v>0</v>
      </c>
      <c r="H340" s="72">
        <f t="shared" si="53"/>
        <v>1.7299999995157123</v>
      </c>
      <c r="I340" s="61"/>
      <c r="J340" s="61"/>
      <c r="K340" s="61">
        <f>+'[1]II-D-1 O&amp;M'!N34</f>
        <v>1.7299999995157123</v>
      </c>
      <c r="L340" s="61">
        <f>+'[1]II-D-1 O&amp;M'!O34</f>
        <v>0</v>
      </c>
      <c r="M340" s="61">
        <f>+'[1]II-D-1 O&amp;M'!P34</f>
        <v>0</v>
      </c>
      <c r="N340" s="23"/>
      <c r="O340" s="3"/>
      <c r="P340" s="1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</row>
    <row r="341" spans="1:53" x14ac:dyDescent="0.2">
      <c r="A341" s="3">
        <f t="shared" si="50"/>
        <v>26</v>
      </c>
      <c r="B341" s="3" t="s">
        <v>169</v>
      </c>
      <c r="C341" s="3" t="s">
        <v>170</v>
      </c>
      <c r="D341" s="78" t="s">
        <v>431</v>
      </c>
      <c r="E341" s="49" t="s">
        <v>628</v>
      </c>
      <c r="F341" s="53">
        <f t="shared" si="51"/>
        <v>-27.849999997764826</v>
      </c>
      <c r="G341" s="53">
        <f t="shared" si="52"/>
        <v>0</v>
      </c>
      <c r="H341" s="72">
        <f t="shared" si="53"/>
        <v>-27.849999997764826</v>
      </c>
      <c r="I341" s="61"/>
      <c r="J341" s="61"/>
      <c r="K341" s="61">
        <f>+'[1]II-D-1 O&amp;M'!N35</f>
        <v>-27.849999997764826</v>
      </c>
      <c r="L341" s="61">
        <f>+'[1]II-D-1 O&amp;M'!O35</f>
        <v>0</v>
      </c>
      <c r="M341" s="61">
        <f>+'[1]II-D-1 O&amp;M'!P35</f>
        <v>0</v>
      </c>
      <c r="N341" s="23"/>
      <c r="O341" s="3"/>
      <c r="P341" s="1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:53" x14ac:dyDescent="0.2">
      <c r="A342" s="3">
        <f t="shared" si="50"/>
        <v>27</v>
      </c>
      <c r="B342" s="3" t="s">
        <v>171</v>
      </c>
      <c r="C342" s="3" t="s">
        <v>172</v>
      </c>
      <c r="D342" s="78" t="s">
        <v>431</v>
      </c>
      <c r="E342" s="49" t="s">
        <v>628</v>
      </c>
      <c r="F342" s="53">
        <f t="shared" si="51"/>
        <v>0</v>
      </c>
      <c r="G342" s="53">
        <f t="shared" si="52"/>
        <v>0</v>
      </c>
      <c r="H342" s="72">
        <f t="shared" si="53"/>
        <v>0</v>
      </c>
      <c r="I342" s="61"/>
      <c r="J342" s="61"/>
      <c r="K342" s="61">
        <f>+'[1]II-D-1 O&amp;M'!N36</f>
        <v>0</v>
      </c>
      <c r="L342" s="61">
        <f>+'[1]II-D-1 O&amp;M'!O36</f>
        <v>0</v>
      </c>
      <c r="M342" s="61">
        <f>+'[1]II-D-1 O&amp;M'!P36</f>
        <v>0</v>
      </c>
      <c r="N342" s="23"/>
      <c r="O342" s="3"/>
      <c r="P342" s="1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:53" x14ac:dyDescent="0.2">
      <c r="A343" s="3">
        <f t="shared" si="50"/>
        <v>28</v>
      </c>
      <c r="B343" s="3" t="s">
        <v>173</v>
      </c>
      <c r="C343" s="3" t="s">
        <v>174</v>
      </c>
      <c r="D343" s="78" t="s">
        <v>431</v>
      </c>
      <c r="E343" s="49" t="s">
        <v>628</v>
      </c>
      <c r="F343" s="53">
        <f t="shared" si="51"/>
        <v>-1.5499999999992724</v>
      </c>
      <c r="G343" s="53">
        <f t="shared" si="52"/>
        <v>0</v>
      </c>
      <c r="H343" s="72">
        <f t="shared" si="53"/>
        <v>-1.5499999999992724</v>
      </c>
      <c r="I343" s="61"/>
      <c r="J343" s="61"/>
      <c r="K343" s="61">
        <f>+'[1]II-D-1 O&amp;M'!N37</f>
        <v>-1.5499999999992724</v>
      </c>
      <c r="L343" s="61">
        <f>+'[1]II-D-1 O&amp;M'!O37</f>
        <v>0</v>
      </c>
      <c r="M343" s="61">
        <f>+'[1]II-D-1 O&amp;M'!P37</f>
        <v>0</v>
      </c>
      <c r="N343" s="23"/>
      <c r="O343" s="3"/>
      <c r="P343" s="1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:53" x14ac:dyDescent="0.2">
      <c r="A344" s="3">
        <f t="shared" si="50"/>
        <v>29</v>
      </c>
      <c r="B344" s="3"/>
      <c r="C344" s="3" t="s">
        <v>135</v>
      </c>
      <c r="D344" s="3"/>
      <c r="E344" s="49"/>
      <c r="F344" s="53">
        <f>SUM(F338:F343)</f>
        <v>-27.669999998015555</v>
      </c>
      <c r="G344" s="53">
        <f>SUM(G338:G343)</f>
        <v>0</v>
      </c>
      <c r="H344" s="55">
        <f>SUM(H338:H343)</f>
        <v>-27.669999998015555</v>
      </c>
      <c r="I344" s="55"/>
      <c r="J344" s="55">
        <f>SUM(J338:J343)</f>
        <v>0</v>
      </c>
      <c r="K344" s="55">
        <f>SUM(K338:K343)</f>
        <v>-27.669999998015555</v>
      </c>
      <c r="L344" s="55">
        <f>SUM(L338:L343)</f>
        <v>0</v>
      </c>
      <c r="M344" s="55">
        <f>SUM(M338:M343)</f>
        <v>0</v>
      </c>
      <c r="N344" s="23"/>
      <c r="O344" s="3"/>
      <c r="P344" s="1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:53" x14ac:dyDescent="0.2">
      <c r="A345" s="3">
        <f t="shared" si="50"/>
        <v>30</v>
      </c>
      <c r="B345" s="3"/>
      <c r="C345" s="3"/>
      <c r="D345" s="3"/>
      <c r="E345" s="49"/>
      <c r="F345" s="49"/>
      <c r="G345" s="49"/>
      <c r="H345" s="55"/>
      <c r="I345" s="55"/>
      <c r="J345" s="55"/>
      <c r="K345" s="55"/>
      <c r="L345" s="55"/>
      <c r="M345" s="55"/>
      <c r="N345" s="23"/>
      <c r="O345" s="3"/>
      <c r="P345" s="1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:53" x14ac:dyDescent="0.2">
      <c r="A346" s="3">
        <f t="shared" si="50"/>
        <v>31</v>
      </c>
      <c r="B346" s="3"/>
      <c r="C346" s="3" t="s">
        <v>175</v>
      </c>
      <c r="D346" s="3"/>
      <c r="E346" s="49"/>
      <c r="F346" s="53">
        <f>+F344+F335</f>
        <v>-25.729999983286689</v>
      </c>
      <c r="G346" s="53">
        <f>+G344+G335</f>
        <v>0</v>
      </c>
      <c r="H346" s="55">
        <f>H335+H344</f>
        <v>-25.729999983286689</v>
      </c>
      <c r="I346" s="55"/>
      <c r="J346" s="55">
        <f>J335+J344</f>
        <v>0</v>
      </c>
      <c r="K346" s="55">
        <f>K335+K344</f>
        <v>-25.729999983286689</v>
      </c>
      <c r="L346" s="55">
        <f>L335+L344</f>
        <v>0</v>
      </c>
      <c r="M346" s="55">
        <f>M335+M344</f>
        <v>0</v>
      </c>
      <c r="N346" s="23"/>
      <c r="O346" s="3"/>
      <c r="P346" s="1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7" spans="1:53" x14ac:dyDescent="0.2">
      <c r="A347" s="3">
        <f t="shared" si="50"/>
        <v>32</v>
      </c>
      <c r="B347" s="3"/>
      <c r="C347" s="3" t="s">
        <v>585</v>
      </c>
      <c r="D347" s="3"/>
      <c r="E347" s="49"/>
      <c r="F347" s="53">
        <f>+F346+F318</f>
        <v>-25.729999983286689</v>
      </c>
      <c r="G347" s="53">
        <f>+G346+G318</f>
        <v>0</v>
      </c>
      <c r="H347" s="55">
        <f>H336+H344</f>
        <v>-25.729999983286689</v>
      </c>
      <c r="I347" s="55"/>
      <c r="J347" s="55">
        <f>J336+J344</f>
        <v>0</v>
      </c>
      <c r="K347" s="55">
        <f>K336+K344</f>
        <v>-25.729999983286689</v>
      </c>
      <c r="L347" s="55">
        <f>L336+L344</f>
        <v>0</v>
      </c>
      <c r="M347" s="55">
        <f>M336+M344</f>
        <v>0</v>
      </c>
      <c r="N347" s="23"/>
      <c r="O347" s="3"/>
      <c r="P347" s="1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</row>
    <row r="348" spans="1:53" x14ac:dyDescent="0.2">
      <c r="A348" s="3">
        <f t="shared" si="50"/>
        <v>33</v>
      </c>
      <c r="B348" s="7" t="s">
        <v>144</v>
      </c>
      <c r="C348" s="3"/>
      <c r="D348" s="3"/>
      <c r="E348" s="49"/>
      <c r="F348" s="49"/>
      <c r="G348" s="49"/>
      <c r="H348" s="55"/>
      <c r="I348" s="55"/>
      <c r="J348" s="55"/>
      <c r="K348" s="55"/>
      <c r="L348" s="55"/>
      <c r="M348" s="55"/>
      <c r="N348" s="23"/>
      <c r="O348" s="3"/>
      <c r="P348" s="1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</row>
    <row r="349" spans="1:53" x14ac:dyDescent="0.2">
      <c r="A349" s="3">
        <f t="shared" si="50"/>
        <v>34</v>
      </c>
      <c r="B349" s="3" t="s">
        <v>176</v>
      </c>
      <c r="C349" s="3"/>
      <c r="D349" s="3"/>
      <c r="E349" s="49"/>
      <c r="F349" s="49"/>
      <c r="G349" s="49"/>
      <c r="H349" s="55"/>
      <c r="I349" s="55"/>
      <c r="J349" s="55"/>
      <c r="K349" s="55"/>
      <c r="L349" s="55"/>
      <c r="M349" s="55"/>
      <c r="N349" s="23"/>
      <c r="O349" s="3"/>
      <c r="P349" s="1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:53" x14ac:dyDescent="0.2">
      <c r="A350" s="3">
        <f t="shared" si="50"/>
        <v>35</v>
      </c>
      <c r="B350" s="3"/>
      <c r="C350" s="3" t="s">
        <v>140</v>
      </c>
      <c r="D350" s="3"/>
      <c r="E350" s="49"/>
      <c r="F350" s="49"/>
      <c r="G350" s="49"/>
      <c r="H350" s="55"/>
      <c r="I350" s="55"/>
      <c r="J350" s="55"/>
      <c r="K350" s="55"/>
      <c r="L350" s="55"/>
      <c r="M350" s="55"/>
      <c r="N350" s="23"/>
      <c r="O350" s="3"/>
      <c r="P350" s="1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:53" x14ac:dyDescent="0.2">
      <c r="A351" s="3">
        <f t="shared" si="50"/>
        <v>36</v>
      </c>
      <c r="B351" s="3" t="s">
        <v>177</v>
      </c>
      <c r="C351" s="3" t="s">
        <v>145</v>
      </c>
      <c r="D351" s="78" t="s">
        <v>431</v>
      </c>
      <c r="E351" s="49" t="s">
        <v>628</v>
      </c>
      <c r="F351" s="53">
        <f>+H351</f>
        <v>6567911.4890609728</v>
      </c>
      <c r="G351" s="53">
        <f t="shared" ref="G351:G362" si="54">+H351-F351</f>
        <v>0</v>
      </c>
      <c r="H351" s="72">
        <f t="shared" ref="H351:H362" si="55">SUM(J351:M351)</f>
        <v>6567911.4890609728</v>
      </c>
      <c r="I351" s="61"/>
      <c r="J351" s="61"/>
      <c r="K351" s="61">
        <f>+'[1]II-D-1 O&amp;M'!N45</f>
        <v>4712954.031479043</v>
      </c>
      <c r="L351" s="61">
        <f>+'[1]II-D-1 O&amp;M'!O45</f>
        <v>1854957.4575819296</v>
      </c>
      <c r="M351" s="61">
        <f>+'[1]II-D-1 O&amp;M'!P45</f>
        <v>0</v>
      </c>
      <c r="N351" s="23"/>
      <c r="O351" s="3"/>
      <c r="P351" s="1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:53" s="173" customFormat="1" x14ac:dyDescent="0.2">
      <c r="A352" s="3">
        <f t="shared" si="50"/>
        <v>37</v>
      </c>
      <c r="B352" s="3" t="s">
        <v>178</v>
      </c>
      <c r="C352" s="3" t="s">
        <v>155</v>
      </c>
      <c r="D352" s="78" t="s">
        <v>431</v>
      </c>
      <c r="E352" s="49" t="s">
        <v>628</v>
      </c>
      <c r="F352" s="53">
        <f t="shared" ref="F352:F362" si="56">+H352</f>
        <v>3401462.8271823106</v>
      </c>
      <c r="G352" s="53">
        <f t="shared" si="54"/>
        <v>0</v>
      </c>
      <c r="H352" s="72">
        <f t="shared" si="55"/>
        <v>3401462.8271823106</v>
      </c>
      <c r="I352" s="61"/>
      <c r="J352" s="61"/>
      <c r="K352" s="61">
        <f>+'[1]II-D-1 O&amp;M'!N46</f>
        <v>3401462.8271823106</v>
      </c>
      <c r="L352" s="61">
        <f>+'[1]II-D-1 O&amp;M'!O46</f>
        <v>0</v>
      </c>
      <c r="M352" s="61">
        <f>+'[1]II-D-1 O&amp;M'!P46</f>
        <v>0</v>
      </c>
      <c r="N352" s="23"/>
      <c r="O352" s="3"/>
      <c r="P352" s="1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3" spans="1:53" x14ac:dyDescent="0.2">
      <c r="A353" s="3">
        <f t="shared" si="50"/>
        <v>38</v>
      </c>
      <c r="B353" s="3" t="s">
        <v>179</v>
      </c>
      <c r="C353" s="3" t="s">
        <v>180</v>
      </c>
      <c r="D353" s="78" t="s">
        <v>431</v>
      </c>
      <c r="E353" s="49" t="s">
        <v>628</v>
      </c>
      <c r="F353" s="53">
        <f t="shared" si="56"/>
        <v>2244671.5476247608</v>
      </c>
      <c r="G353" s="53">
        <f t="shared" si="54"/>
        <v>0</v>
      </c>
      <c r="H353" s="72">
        <f t="shared" si="55"/>
        <v>2244671.5476247608</v>
      </c>
      <c r="I353" s="61"/>
      <c r="J353" s="61"/>
      <c r="K353" s="61">
        <f>+'[1]II-D-1 O&amp;M'!N47</f>
        <v>2244671.5476247608</v>
      </c>
      <c r="L353" s="61">
        <f>+'[1]II-D-1 O&amp;M'!O47</f>
        <v>0</v>
      </c>
      <c r="M353" s="61">
        <f>+'[1]II-D-1 O&amp;M'!P47</f>
        <v>0</v>
      </c>
      <c r="N353" s="23"/>
      <c r="O353" s="3"/>
      <c r="P353" s="1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</row>
    <row r="354" spans="1:53" x14ac:dyDescent="0.2">
      <c r="A354" s="3">
        <f t="shared" si="50"/>
        <v>39</v>
      </c>
      <c r="B354" s="3" t="s">
        <v>181</v>
      </c>
      <c r="C354" s="3" t="s">
        <v>182</v>
      </c>
      <c r="D354" s="78" t="s">
        <v>431</v>
      </c>
      <c r="E354" s="49" t="s">
        <v>628</v>
      </c>
      <c r="F354" s="53">
        <f t="shared" si="56"/>
        <v>8782875.3498802762</v>
      </c>
      <c r="G354" s="53">
        <f t="shared" si="54"/>
        <v>0</v>
      </c>
      <c r="H354" s="72">
        <f t="shared" si="55"/>
        <v>8782875.3498802762</v>
      </c>
      <c r="I354" s="61"/>
      <c r="J354" s="61"/>
      <c r="K354" s="61">
        <f>+'[1]II-D-1 O&amp;M'!N48</f>
        <v>8782875.3498802762</v>
      </c>
      <c r="L354" s="61">
        <f>+'[1]II-D-1 O&amp;M'!O48</f>
        <v>0</v>
      </c>
      <c r="M354" s="61">
        <f>+'[1]II-D-1 O&amp;M'!P48</f>
        <v>0</v>
      </c>
      <c r="N354" s="23"/>
      <c r="O354" s="3"/>
      <c r="P354" s="1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</row>
    <row r="355" spans="1:53" x14ac:dyDescent="0.2">
      <c r="A355" s="3">
        <f t="shared" si="50"/>
        <v>40</v>
      </c>
      <c r="B355" s="3" t="s">
        <v>183</v>
      </c>
      <c r="C355" s="3" t="s">
        <v>160</v>
      </c>
      <c r="D355" s="78" t="s">
        <v>431</v>
      </c>
      <c r="E355" s="49" t="s">
        <v>628</v>
      </c>
      <c r="F355" s="53">
        <f t="shared" si="56"/>
        <v>3730823.1062993715</v>
      </c>
      <c r="G355" s="53">
        <f t="shared" si="54"/>
        <v>0</v>
      </c>
      <c r="H355" s="72">
        <f t="shared" si="55"/>
        <v>3730823.1062993715</v>
      </c>
      <c r="I355" s="61"/>
      <c r="J355" s="61"/>
      <c r="K355" s="61">
        <f>+'[1]II-D-1 O&amp;M'!N49</f>
        <v>3730823.1062993715</v>
      </c>
      <c r="L355" s="61">
        <f>+'[1]II-D-1 O&amp;M'!O49</f>
        <v>0</v>
      </c>
      <c r="M355" s="61">
        <f>+'[1]II-D-1 O&amp;M'!P49</f>
        <v>0</v>
      </c>
      <c r="N355" s="23"/>
      <c r="O355" s="3"/>
      <c r="P355" s="1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</row>
    <row r="356" spans="1:53" x14ac:dyDescent="0.2">
      <c r="A356" s="3">
        <f t="shared" si="50"/>
        <v>41</v>
      </c>
      <c r="B356" s="3" t="s">
        <v>184</v>
      </c>
      <c r="C356" s="3" t="s">
        <v>185</v>
      </c>
      <c r="D356" s="78" t="s">
        <v>431</v>
      </c>
      <c r="E356" s="49" t="s">
        <v>628</v>
      </c>
      <c r="F356" s="53">
        <f t="shared" si="56"/>
        <v>38394.809101184015</v>
      </c>
      <c r="G356" s="53">
        <f t="shared" si="54"/>
        <v>0</v>
      </c>
      <c r="H356" s="72">
        <f t="shared" si="55"/>
        <v>38394.809101184015</v>
      </c>
      <c r="I356" s="61"/>
      <c r="J356" s="61"/>
      <c r="K356" s="61">
        <f>+'[1]II-D-1 O&amp;M'!N50</f>
        <v>38394.809101184015</v>
      </c>
      <c r="L356" s="61">
        <f>+'[1]II-D-1 O&amp;M'!O50</f>
        <v>0</v>
      </c>
      <c r="M356" s="61">
        <f>+'[1]II-D-1 O&amp;M'!P50</f>
        <v>0</v>
      </c>
      <c r="N356" s="23"/>
      <c r="O356" s="3"/>
      <c r="P356" s="1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</row>
    <row r="357" spans="1:53" x14ac:dyDescent="0.2">
      <c r="A357" s="3">
        <f t="shared" si="50"/>
        <v>42</v>
      </c>
      <c r="B357" s="3" t="s">
        <v>186</v>
      </c>
      <c r="C357" s="3" t="s">
        <v>187</v>
      </c>
      <c r="D357" s="78" t="s">
        <v>431</v>
      </c>
      <c r="E357" s="49" t="s">
        <v>628</v>
      </c>
      <c r="F357" s="53">
        <f t="shared" si="56"/>
        <v>9014635.3253094368</v>
      </c>
      <c r="G357" s="53">
        <f t="shared" si="54"/>
        <v>0</v>
      </c>
      <c r="H357" s="72">
        <f t="shared" si="55"/>
        <v>9014635.3253094368</v>
      </c>
      <c r="I357" s="61"/>
      <c r="J357" s="61"/>
      <c r="K357" s="61">
        <f>+'[1]II-D-1 O&amp;M'!N51</f>
        <v>0.63000000081956387</v>
      </c>
      <c r="L357" s="61">
        <f>+'[1]II-D-1 O&amp;M'!O51</f>
        <v>9014634.6953094359</v>
      </c>
      <c r="M357" s="61">
        <f>+'[1]II-D-1 O&amp;M'!P50</f>
        <v>0</v>
      </c>
      <c r="N357" s="23"/>
      <c r="O357" s="3"/>
      <c r="P357" s="1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:53" x14ac:dyDescent="0.2">
      <c r="A358" s="3">
        <f>+A357+1</f>
        <v>43</v>
      </c>
      <c r="B358" s="3" t="s">
        <v>186</v>
      </c>
      <c r="C358" s="3" t="s">
        <v>472</v>
      </c>
      <c r="D358" s="78" t="s">
        <v>431</v>
      </c>
      <c r="E358" s="49" t="s">
        <v>628</v>
      </c>
      <c r="F358" s="53">
        <f t="shared" si="56"/>
        <v>0</v>
      </c>
      <c r="G358" s="53">
        <f t="shared" si="54"/>
        <v>0</v>
      </c>
      <c r="H358" s="72">
        <f t="shared" si="55"/>
        <v>0</v>
      </c>
      <c r="I358" s="61"/>
      <c r="J358" s="61"/>
      <c r="K358" s="61"/>
      <c r="L358" s="61"/>
      <c r="M358" s="61"/>
      <c r="N358" s="23"/>
      <c r="O358" s="3"/>
      <c r="P358" s="1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:53" x14ac:dyDescent="0.2">
      <c r="A359" s="3">
        <f>+A357+1</f>
        <v>43</v>
      </c>
      <c r="B359" s="3" t="s">
        <v>188</v>
      </c>
      <c r="C359" s="3" t="s">
        <v>189</v>
      </c>
      <c r="D359" s="78" t="s">
        <v>431</v>
      </c>
      <c r="E359" s="49" t="s">
        <v>628</v>
      </c>
      <c r="F359" s="53">
        <f t="shared" si="56"/>
        <v>1281767.7809011489</v>
      </c>
      <c r="G359" s="53">
        <f t="shared" si="54"/>
        <v>0</v>
      </c>
      <c r="H359" s="72">
        <f t="shared" si="55"/>
        <v>1281767.7809011489</v>
      </c>
      <c r="I359" s="61"/>
      <c r="J359" s="61"/>
      <c r="K359" s="61">
        <f>+'[1]II-D-1 O&amp;M'!N52</f>
        <v>1281767.7809011489</v>
      </c>
      <c r="L359" s="61">
        <f>+'[1]II-D-1 O&amp;M'!O52</f>
        <v>0</v>
      </c>
      <c r="M359" s="61">
        <f>+'[1]II-D-1 O&amp;M'!P52</f>
        <v>0</v>
      </c>
      <c r="N359" s="23"/>
      <c r="O359" s="3"/>
      <c r="P359" s="1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:53" x14ac:dyDescent="0.2">
      <c r="A360" s="3">
        <f t="shared" si="50"/>
        <v>44</v>
      </c>
      <c r="B360" s="3" t="s">
        <v>190</v>
      </c>
      <c r="C360" s="3" t="s">
        <v>191</v>
      </c>
      <c r="D360" s="78" t="s">
        <v>431</v>
      </c>
      <c r="E360" s="49" t="s">
        <v>628</v>
      </c>
      <c r="F360" s="53">
        <f t="shared" si="56"/>
        <v>33022422.905798979</v>
      </c>
      <c r="G360" s="53">
        <f t="shared" si="54"/>
        <v>0</v>
      </c>
      <c r="H360" s="72">
        <f t="shared" si="55"/>
        <v>33022422.905798979</v>
      </c>
      <c r="I360" s="61"/>
      <c r="J360" s="61"/>
      <c r="K360" s="61">
        <f>+'[1]II-D-1 O&amp;M'!N53</f>
        <v>23695989.421036243</v>
      </c>
      <c r="L360" s="61">
        <f>+'[1]II-D-1 O&amp;M'!O53</f>
        <v>9326433.4847627375</v>
      </c>
      <c r="M360" s="61">
        <f>+'[1]II-D-1 O&amp;M'!P53</f>
        <v>0</v>
      </c>
      <c r="N360" s="23"/>
      <c r="O360" s="3"/>
      <c r="P360" s="1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61" spans="1:53" x14ac:dyDescent="0.2">
      <c r="A361" s="3">
        <f>+A360+1</f>
        <v>45</v>
      </c>
      <c r="B361" s="3" t="s">
        <v>190</v>
      </c>
      <c r="C361" s="3" t="s">
        <v>473</v>
      </c>
      <c r="D361" s="78" t="s">
        <v>431</v>
      </c>
      <c r="E361" s="49" t="s">
        <v>628</v>
      </c>
      <c r="F361" s="53">
        <f t="shared" si="56"/>
        <v>0</v>
      </c>
      <c r="G361" s="53">
        <f t="shared" si="54"/>
        <v>0</v>
      </c>
      <c r="H361" s="72">
        <f t="shared" si="55"/>
        <v>0</v>
      </c>
      <c r="I361" s="61"/>
      <c r="J361" s="61"/>
      <c r="K361" s="61"/>
      <c r="L361" s="61">
        <f>+'[1]II-D-1 O&amp;M'!O54</f>
        <v>0</v>
      </c>
      <c r="M361" s="61">
        <f>+'[1]II-D-1 O&amp;M'!P54</f>
        <v>0</v>
      </c>
      <c r="N361" s="23"/>
      <c r="O361" s="3"/>
      <c r="P361" s="1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</row>
    <row r="362" spans="1:53" x14ac:dyDescent="0.2">
      <c r="A362" s="3">
        <f>+A360+1</f>
        <v>45</v>
      </c>
      <c r="B362" s="3" t="s">
        <v>192</v>
      </c>
      <c r="C362" s="3" t="s">
        <v>141</v>
      </c>
      <c r="D362" s="78" t="s">
        <v>431</v>
      </c>
      <c r="E362" s="49" t="s">
        <v>628</v>
      </c>
      <c r="F362" s="53">
        <f t="shared" si="56"/>
        <v>3423795.4920000006</v>
      </c>
      <c r="G362" s="53">
        <f t="shared" si="54"/>
        <v>0</v>
      </c>
      <c r="H362" s="72">
        <f t="shared" si="55"/>
        <v>3423795.4920000006</v>
      </c>
      <c r="I362" s="61"/>
      <c r="J362" s="61"/>
      <c r="K362" s="61">
        <f>+'[1]II-D-1 O&amp;M'!N54</f>
        <v>3423795.4920000006</v>
      </c>
      <c r="L362" s="61">
        <f>+'[1]II-D-1 O&amp;M'!O54</f>
        <v>0</v>
      </c>
      <c r="M362" s="61">
        <f>+'[1]II-D-1 O&amp;M'!P55</f>
        <v>0</v>
      </c>
      <c r="N362" s="23"/>
      <c r="O362" s="3"/>
      <c r="P362" s="1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</row>
    <row r="363" spans="1:53" x14ac:dyDescent="0.2">
      <c r="A363" s="3">
        <f t="shared" si="50"/>
        <v>46</v>
      </c>
      <c r="B363" s="3"/>
      <c r="C363" s="3" t="s">
        <v>193</v>
      </c>
      <c r="D363" s="3"/>
      <c r="E363" s="49"/>
      <c r="F363" s="53">
        <f>SUM(F351:F362)</f>
        <v>71508760.63315843</v>
      </c>
      <c r="G363" s="53">
        <f>SUM(G351:G362)</f>
        <v>0</v>
      </c>
      <c r="H363" s="55">
        <f>SUM(H351:H362)</f>
        <v>71508760.63315843</v>
      </c>
      <c r="I363" s="55"/>
      <c r="J363" s="55">
        <f>SUM(J351:J362)</f>
        <v>0</v>
      </c>
      <c r="K363" s="55">
        <f>SUM(K351:K362)</f>
        <v>51312734.995504335</v>
      </c>
      <c r="L363" s="55">
        <f>SUM(L351:L362)</f>
        <v>20196025.637654103</v>
      </c>
      <c r="M363" s="55">
        <f>SUM(M351:M362)</f>
        <v>0</v>
      </c>
      <c r="N363" s="23"/>
      <c r="O363" s="3"/>
      <c r="P363" s="1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</row>
    <row r="364" spans="1:53" x14ac:dyDescent="0.2">
      <c r="A364" s="3">
        <f t="shared" si="50"/>
        <v>47</v>
      </c>
      <c r="B364" s="3" t="s">
        <v>142</v>
      </c>
      <c r="C364" s="3"/>
      <c r="D364" s="3"/>
      <c r="E364" s="49"/>
      <c r="F364" s="49"/>
      <c r="G364" s="49"/>
      <c r="H364" s="55"/>
      <c r="I364" s="55"/>
      <c r="J364" s="55"/>
      <c r="K364" s="55"/>
      <c r="L364" s="55"/>
      <c r="M364" s="55"/>
      <c r="N364" s="23"/>
      <c r="O364" s="3"/>
      <c r="P364" s="1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</row>
    <row r="365" spans="1:53" x14ac:dyDescent="0.2">
      <c r="A365" s="3">
        <f t="shared" si="50"/>
        <v>48</v>
      </c>
      <c r="B365" s="3" t="s">
        <v>194</v>
      </c>
      <c r="C365" s="3" t="s">
        <v>195</v>
      </c>
      <c r="D365" s="78" t="s">
        <v>431</v>
      </c>
      <c r="E365" s="49" t="s">
        <v>628</v>
      </c>
      <c r="F365" s="53">
        <f>+H365</f>
        <v>140056.27341455725</v>
      </c>
      <c r="G365" s="53">
        <f t="shared" ref="G365:G373" si="57">+H365-F365</f>
        <v>0</v>
      </c>
      <c r="H365" s="72">
        <f t="shared" ref="H365:H373" si="58">SUM(J365:M365)</f>
        <v>140056.27341455725</v>
      </c>
      <c r="I365" s="61"/>
      <c r="J365" s="61"/>
      <c r="K365" s="61">
        <f>+'[1]II-D-1 O&amp;M'!N61</f>
        <v>139190.37234480635</v>
      </c>
      <c r="L365" s="61">
        <f>+'[1]II-D-1 O&amp;M'!O61</f>
        <v>865.90106975088929</v>
      </c>
      <c r="M365" s="61">
        <f>+'[1]II-D-1 O&amp;M'!P61</f>
        <v>0</v>
      </c>
      <c r="N365" s="23"/>
      <c r="O365" s="3"/>
      <c r="P365" s="1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</row>
    <row r="366" spans="1:53" x14ac:dyDescent="0.2">
      <c r="A366" s="3">
        <f t="shared" si="50"/>
        <v>49</v>
      </c>
      <c r="B366" s="3" t="s">
        <v>196</v>
      </c>
      <c r="C366" s="3" t="s">
        <v>143</v>
      </c>
      <c r="D366" s="78" t="s">
        <v>431</v>
      </c>
      <c r="E366" s="49" t="s">
        <v>628</v>
      </c>
      <c r="F366" s="53">
        <f t="shared" ref="F366:F373" si="59">+H366</f>
        <v>117593.9</v>
      </c>
      <c r="G366" s="53">
        <f t="shared" si="57"/>
        <v>0</v>
      </c>
      <c r="H366" s="72">
        <f t="shared" si="58"/>
        <v>117593.9</v>
      </c>
      <c r="I366" s="61"/>
      <c r="J366" s="61"/>
      <c r="K366" s="61">
        <f>+'[1]II-D-1 O&amp;M'!N62</f>
        <v>117593.9</v>
      </c>
      <c r="L366" s="61">
        <f>+'[1]II-D-1 O&amp;M'!O62</f>
        <v>0</v>
      </c>
      <c r="M366" s="61">
        <f>+'[1]II-D-1 O&amp;M'!P62</f>
        <v>0</v>
      </c>
      <c r="N366" s="23"/>
      <c r="O366" s="3"/>
      <c r="P366" s="1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</row>
    <row r="367" spans="1:53" x14ac:dyDescent="0.2">
      <c r="A367" s="3">
        <f t="shared" si="50"/>
        <v>50</v>
      </c>
      <c r="B367" s="3" t="s">
        <v>197</v>
      </c>
      <c r="C367" s="3" t="s">
        <v>168</v>
      </c>
      <c r="D367" s="78" t="s">
        <v>431</v>
      </c>
      <c r="E367" s="49" t="s">
        <v>628</v>
      </c>
      <c r="F367" s="53">
        <f t="shared" si="59"/>
        <v>4320275.617439731</v>
      </c>
      <c r="G367" s="53">
        <f t="shared" si="57"/>
        <v>0</v>
      </c>
      <c r="H367" s="72">
        <f t="shared" si="58"/>
        <v>4320275.617439731</v>
      </c>
      <c r="I367" s="61"/>
      <c r="J367" s="61"/>
      <c r="K367" s="61">
        <f>+'[1]II-D-1 O&amp;M'!N63</f>
        <v>4320275.617439731</v>
      </c>
      <c r="L367" s="61">
        <f>+'[1]II-D-1 O&amp;M'!O63</f>
        <v>0</v>
      </c>
      <c r="M367" s="61">
        <f>+'[1]II-D-1 O&amp;M'!P63</f>
        <v>0</v>
      </c>
      <c r="N367" s="23"/>
      <c r="O367" s="3"/>
      <c r="P367" s="1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</row>
    <row r="368" spans="1:53" s="173" customFormat="1" x14ac:dyDescent="0.2">
      <c r="A368" s="3">
        <f t="shared" si="50"/>
        <v>51</v>
      </c>
      <c r="B368" s="3" t="s">
        <v>198</v>
      </c>
      <c r="C368" s="3" t="s">
        <v>170</v>
      </c>
      <c r="D368" s="78" t="s">
        <v>431</v>
      </c>
      <c r="E368" s="49" t="s">
        <v>628</v>
      </c>
      <c r="F368" s="53">
        <f t="shared" si="59"/>
        <v>49463463.055214621</v>
      </c>
      <c r="G368" s="53">
        <f t="shared" si="57"/>
        <v>0</v>
      </c>
      <c r="H368" s="72">
        <f t="shared" si="58"/>
        <v>49463463.055214621</v>
      </c>
      <c r="I368" s="61"/>
      <c r="J368" s="61"/>
      <c r="K368" s="61">
        <f>+'[1]II-D-1 O&amp;M'!N64</f>
        <v>49463463.055214621</v>
      </c>
      <c r="L368" s="61">
        <f>+'[1]II-D-1 O&amp;M'!O64</f>
        <v>0</v>
      </c>
      <c r="M368" s="61">
        <f>+'[1]II-D-1 O&amp;M'!P64</f>
        <v>0</v>
      </c>
      <c r="N368" s="23"/>
      <c r="O368" s="3"/>
      <c r="P368" s="1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</row>
    <row r="369" spans="1:53" x14ac:dyDescent="0.2">
      <c r="A369" s="3">
        <f t="shared" si="50"/>
        <v>52</v>
      </c>
      <c r="B369" s="3" t="s">
        <v>199</v>
      </c>
      <c r="C369" s="3" t="s">
        <v>172</v>
      </c>
      <c r="D369" s="78" t="s">
        <v>431</v>
      </c>
      <c r="E369" s="49" t="s">
        <v>628</v>
      </c>
      <c r="F369" s="53">
        <f t="shared" si="59"/>
        <v>1423254.9632468971</v>
      </c>
      <c r="G369" s="53">
        <f t="shared" si="57"/>
        <v>0</v>
      </c>
      <c r="H369" s="72">
        <f t="shared" si="58"/>
        <v>1423254.9632468971</v>
      </c>
      <c r="I369" s="61"/>
      <c r="J369" s="61"/>
      <c r="K369" s="61">
        <f>+'[1]II-D-1 O&amp;M'!N65</f>
        <v>1423254.9632468971</v>
      </c>
      <c r="L369" s="61">
        <f>+'[1]II-D-1 O&amp;M'!O65</f>
        <v>0</v>
      </c>
      <c r="M369" s="61">
        <f>+'[1]II-D-1 O&amp;M'!P65</f>
        <v>0</v>
      </c>
      <c r="N369" s="23"/>
      <c r="O369" s="3"/>
      <c r="P369" s="1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</row>
    <row r="370" spans="1:53" x14ac:dyDescent="0.2">
      <c r="A370" s="3">
        <f t="shared" si="50"/>
        <v>53</v>
      </c>
      <c r="B370" s="3" t="s">
        <v>200</v>
      </c>
      <c r="C370" s="3" t="s">
        <v>201</v>
      </c>
      <c r="D370" s="78" t="s">
        <v>431</v>
      </c>
      <c r="E370" s="49" t="s">
        <v>628</v>
      </c>
      <c r="F370" s="53">
        <f t="shared" si="59"/>
        <v>876088.1675364715</v>
      </c>
      <c r="G370" s="53">
        <f t="shared" si="57"/>
        <v>0</v>
      </c>
      <c r="H370" s="72">
        <f t="shared" si="58"/>
        <v>876088.1675364715</v>
      </c>
      <c r="I370" s="61"/>
      <c r="J370" s="61"/>
      <c r="K370" s="61">
        <f>+'[1]II-D-1 O&amp;M'!N66</f>
        <v>876088.1675364715</v>
      </c>
      <c r="L370" s="61">
        <f>+'[1]II-D-1 O&amp;M'!O66</f>
        <v>0</v>
      </c>
      <c r="M370" s="61">
        <f>+'[1]II-D-1 O&amp;M'!P66</f>
        <v>0</v>
      </c>
      <c r="N370" s="23"/>
      <c r="O370" s="3"/>
      <c r="P370" s="1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</row>
    <row r="371" spans="1:53" x14ac:dyDescent="0.2">
      <c r="A371" s="3">
        <f t="shared" si="50"/>
        <v>54</v>
      </c>
      <c r="B371" s="3" t="s">
        <v>202</v>
      </c>
      <c r="C371" s="3" t="s">
        <v>203</v>
      </c>
      <c r="D371" s="78" t="s">
        <v>431</v>
      </c>
      <c r="E371" s="49" t="s">
        <v>628</v>
      </c>
      <c r="F371" s="53">
        <f t="shared" si="59"/>
        <v>514029.09911640646</v>
      </c>
      <c r="G371" s="53">
        <f t="shared" si="57"/>
        <v>0</v>
      </c>
      <c r="H371" s="72">
        <f t="shared" si="58"/>
        <v>514029.09911640646</v>
      </c>
      <c r="I371" s="61"/>
      <c r="J371" s="61"/>
      <c r="K371" s="61">
        <f>+'[1]II-D-1 O&amp;M'!N67</f>
        <v>514029.09911640646</v>
      </c>
      <c r="L371" s="61">
        <f>+'[1]II-D-1 O&amp;M'!O67</f>
        <v>0</v>
      </c>
      <c r="M371" s="61">
        <f>+'[1]II-D-1 O&amp;M'!P67</f>
        <v>0</v>
      </c>
      <c r="N371" s="23"/>
      <c r="O371" s="3"/>
      <c r="P371" s="1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</row>
    <row r="372" spans="1:53" x14ac:dyDescent="0.2">
      <c r="A372" s="3">
        <f t="shared" si="50"/>
        <v>55</v>
      </c>
      <c r="B372" s="3" t="s">
        <v>204</v>
      </c>
      <c r="C372" s="3" t="s">
        <v>205</v>
      </c>
      <c r="D372" s="78" t="s">
        <v>431</v>
      </c>
      <c r="E372" s="49" t="s">
        <v>628</v>
      </c>
      <c r="F372" s="53">
        <f t="shared" si="59"/>
        <v>352819.04349762795</v>
      </c>
      <c r="G372" s="53">
        <f t="shared" si="57"/>
        <v>0</v>
      </c>
      <c r="H372" s="72">
        <f t="shared" si="58"/>
        <v>352819.04349762795</v>
      </c>
      <c r="I372" s="61"/>
      <c r="J372" s="61"/>
      <c r="K372" s="61">
        <f>+'[1]II-D-1 O&amp;M'!N68</f>
        <v>-2.2100000000209548</v>
      </c>
      <c r="L372" s="61">
        <f>+'[1]II-D-1 O&amp;M'!O68</f>
        <v>352821.25349762797</v>
      </c>
      <c r="M372" s="61">
        <f>+'[1]II-D-1 O&amp;M'!P68</f>
        <v>0</v>
      </c>
      <c r="N372" s="23"/>
      <c r="O372" s="3"/>
      <c r="P372" s="1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</row>
    <row r="373" spans="1:53" x14ac:dyDescent="0.2">
      <c r="A373" s="3">
        <f t="shared" si="50"/>
        <v>56</v>
      </c>
      <c r="B373" s="3" t="s">
        <v>207</v>
      </c>
      <c r="C373" s="3" t="s">
        <v>208</v>
      </c>
      <c r="D373" s="78" t="s">
        <v>431</v>
      </c>
      <c r="E373" s="49" t="s">
        <v>628</v>
      </c>
      <c r="F373" s="53">
        <f t="shared" si="59"/>
        <v>107034.27806319279</v>
      </c>
      <c r="G373" s="53">
        <f t="shared" si="57"/>
        <v>0</v>
      </c>
      <c r="H373" s="72">
        <f t="shared" si="58"/>
        <v>107034.27806319279</v>
      </c>
      <c r="I373" s="61"/>
      <c r="J373" s="61"/>
      <c r="K373" s="61">
        <f>+'[1]II-D-1 O&amp;M'!N69</f>
        <v>106372.53622460621</v>
      </c>
      <c r="L373" s="61">
        <f>+'[1]II-D-1 O&amp;M'!O69</f>
        <v>661.74183858657227</v>
      </c>
      <c r="M373" s="61">
        <f>+'[1]II-D-1 O&amp;M'!P69</f>
        <v>0</v>
      </c>
      <c r="N373" s="23"/>
      <c r="O373" s="3"/>
      <c r="P373" s="1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</row>
    <row r="374" spans="1:53" x14ac:dyDescent="0.2">
      <c r="A374" s="3">
        <f t="shared" si="50"/>
        <v>57</v>
      </c>
      <c r="B374" s="3"/>
      <c r="C374" s="3" t="s">
        <v>209</v>
      </c>
      <c r="D374" s="3"/>
      <c r="E374" s="49"/>
      <c r="F374" s="53">
        <f>SUM(F365:F373)</f>
        <v>57314614.397529513</v>
      </c>
      <c r="G374" s="53">
        <f>SUM(G365:G373)</f>
        <v>0</v>
      </c>
      <c r="H374" s="55">
        <f>SUM(H365:H373)</f>
        <v>57314614.397529513</v>
      </c>
      <c r="I374" s="55"/>
      <c r="J374" s="55">
        <f>SUM(J365:J373)</f>
        <v>0</v>
      </c>
      <c r="K374" s="55">
        <f>SUM(K365:K373)</f>
        <v>56960265.50112354</v>
      </c>
      <c r="L374" s="55">
        <f>SUM(L365:L373)</f>
        <v>354348.89640596544</v>
      </c>
      <c r="M374" s="55">
        <f>SUM(M365:M373)</f>
        <v>0</v>
      </c>
      <c r="N374" s="23"/>
      <c r="O374" s="3"/>
      <c r="P374" s="1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</row>
    <row r="375" spans="1:53" x14ac:dyDescent="0.2">
      <c r="A375" s="3">
        <f t="shared" si="50"/>
        <v>58</v>
      </c>
      <c r="B375" s="3" t="s">
        <v>210</v>
      </c>
      <c r="C375" s="3"/>
      <c r="D375" s="3"/>
      <c r="E375" s="49"/>
      <c r="F375" s="53">
        <f>+F374+F363</f>
        <v>128823375.03068794</v>
      </c>
      <c r="G375" s="53">
        <f>+G374+G363</f>
        <v>0</v>
      </c>
      <c r="H375" s="55">
        <f>H363+H374</f>
        <v>128823375.03068794</v>
      </c>
      <c r="I375" s="55"/>
      <c r="J375" s="55">
        <f>J363+J374</f>
        <v>0</v>
      </c>
      <c r="K375" s="55">
        <f>K363+K374</f>
        <v>108273000.49662787</v>
      </c>
      <c r="L375" s="55">
        <f>L363+L374</f>
        <v>20550374.534060068</v>
      </c>
      <c r="M375" s="55">
        <f>M363+M374</f>
        <v>0</v>
      </c>
      <c r="N375" s="23"/>
      <c r="O375" s="3"/>
      <c r="P375" s="1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</row>
    <row r="376" spans="1:53" x14ac:dyDescent="0.2">
      <c r="A376" s="3">
        <f t="shared" si="50"/>
        <v>59</v>
      </c>
      <c r="B376" s="3"/>
      <c r="C376" s="3"/>
      <c r="D376" s="3"/>
      <c r="E376" s="49"/>
      <c r="F376" s="49"/>
      <c r="G376" s="49"/>
      <c r="H376" s="55"/>
      <c r="I376" s="55"/>
      <c r="J376" s="55"/>
      <c r="K376" s="55"/>
      <c r="L376" s="55"/>
      <c r="M376" s="55"/>
      <c r="N376" s="23"/>
      <c r="O376" s="3"/>
      <c r="P376" s="1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</row>
    <row r="377" spans="1:53" x14ac:dyDescent="0.2">
      <c r="A377" s="3">
        <f t="shared" si="50"/>
        <v>60</v>
      </c>
      <c r="B377" s="3" t="s">
        <v>211</v>
      </c>
      <c r="C377" s="3"/>
      <c r="D377" s="3"/>
      <c r="E377" s="49"/>
      <c r="F377" s="53">
        <f>+F375+F347</f>
        <v>128823349.30068795</v>
      </c>
      <c r="G377" s="53">
        <f>+G375+G347</f>
        <v>0</v>
      </c>
      <c r="H377" s="55">
        <f>H320+H346+H375</f>
        <v>128823349.30068795</v>
      </c>
      <c r="I377" s="55"/>
      <c r="J377" s="55">
        <f>J320+J346+J375</f>
        <v>0</v>
      </c>
      <c r="K377" s="55">
        <f>K320+K346+K375</f>
        <v>108272974.76662788</v>
      </c>
      <c r="L377" s="55">
        <f>L320+L346+L375</f>
        <v>20550374.534060068</v>
      </c>
      <c r="M377" s="55">
        <f>M320+M346+M375</f>
        <v>0</v>
      </c>
      <c r="N377" s="23"/>
      <c r="O377" s="3"/>
      <c r="P377" s="1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</row>
    <row r="378" spans="1:53" x14ac:dyDescent="0.2">
      <c r="A378" s="3"/>
      <c r="B378" s="7" t="s">
        <v>144</v>
      </c>
      <c r="C378" s="3"/>
      <c r="D378" s="3"/>
      <c r="E378" s="49"/>
      <c r="F378" s="49"/>
      <c r="G378" s="49"/>
      <c r="H378" s="55"/>
      <c r="I378" s="55"/>
      <c r="J378" s="55"/>
      <c r="K378" s="55"/>
      <c r="L378" s="55"/>
      <c r="M378" s="55"/>
      <c r="N378" s="23"/>
      <c r="O378" s="3"/>
      <c r="P378" s="1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</row>
    <row r="379" spans="1:53" x14ac:dyDescent="0.2">
      <c r="A379" s="3"/>
      <c r="B379" s="3"/>
      <c r="C379" s="3"/>
      <c r="D379" s="3"/>
      <c r="E379" s="49"/>
      <c r="F379" s="49"/>
      <c r="G379" s="49"/>
      <c r="H379" s="55"/>
      <c r="I379" s="55"/>
      <c r="J379" s="55"/>
      <c r="K379" s="55"/>
      <c r="L379" s="55"/>
      <c r="M379" s="55"/>
      <c r="N379" s="23"/>
      <c r="O379" s="3"/>
      <c r="P379" s="1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</row>
    <row r="380" spans="1:53" x14ac:dyDescent="0.2">
      <c r="A380" s="3">
        <v>1</v>
      </c>
      <c r="B380" s="3" t="s">
        <v>212</v>
      </c>
      <c r="C380" s="3"/>
      <c r="D380" s="3"/>
      <c r="E380" s="49"/>
      <c r="F380" s="49"/>
      <c r="G380" s="49"/>
      <c r="H380" s="55"/>
      <c r="I380" s="55"/>
      <c r="J380" s="55"/>
      <c r="K380" s="55"/>
      <c r="L380" s="55"/>
      <c r="M380" s="55"/>
      <c r="N380" s="23"/>
      <c r="O380" s="3"/>
      <c r="P380" s="1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</row>
    <row r="381" spans="1:53" x14ac:dyDescent="0.2">
      <c r="A381" s="3">
        <f t="shared" si="50"/>
        <v>2</v>
      </c>
      <c r="B381" s="3"/>
      <c r="C381" s="3" t="s">
        <v>213</v>
      </c>
      <c r="D381" s="3"/>
      <c r="E381" s="49"/>
      <c r="F381" s="49"/>
      <c r="G381" s="49"/>
      <c r="H381" s="55"/>
      <c r="I381" s="55"/>
      <c r="J381" s="55"/>
      <c r="K381" s="55"/>
      <c r="L381" s="55"/>
      <c r="M381" s="55"/>
      <c r="N381" s="23"/>
      <c r="O381" s="3"/>
      <c r="P381" s="1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</row>
    <row r="382" spans="1:53" x14ac:dyDescent="0.2">
      <c r="A382" s="3">
        <f t="shared" si="50"/>
        <v>3</v>
      </c>
      <c r="B382" s="3" t="s">
        <v>214</v>
      </c>
      <c r="C382" s="3" t="s">
        <v>215</v>
      </c>
      <c r="D382" s="78" t="s">
        <v>431</v>
      </c>
      <c r="E382" s="49" t="s">
        <v>628</v>
      </c>
      <c r="F382" s="53">
        <f t="shared" ref="F382:F387" si="60">+H382</f>
        <v>421620.87930305389</v>
      </c>
      <c r="G382" s="53">
        <f t="shared" ref="G382:G387" si="61">+H382-F382</f>
        <v>0</v>
      </c>
      <c r="H382" s="72">
        <f t="shared" ref="H382:H387" si="62">SUM(J382:M382)</f>
        <v>421620.87930305389</v>
      </c>
      <c r="I382" s="61"/>
      <c r="J382" s="61"/>
      <c r="K382" s="61">
        <f>+'[1]II-D-1 O&amp;M'!N76</f>
        <v>0</v>
      </c>
      <c r="L382" s="61">
        <f>+'[1]II-D-1 O&amp;M'!O76</f>
        <v>23150.041596700488</v>
      </c>
      <c r="M382" s="61">
        <f>+'[1]II-D-1 O&amp;M'!P76</f>
        <v>398470.8377063534</v>
      </c>
      <c r="N382" s="23"/>
      <c r="O382" s="3"/>
      <c r="P382" s="1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</row>
    <row r="383" spans="1:53" x14ac:dyDescent="0.2">
      <c r="A383" s="3">
        <f t="shared" si="50"/>
        <v>4</v>
      </c>
      <c r="B383" s="3" t="s">
        <v>216</v>
      </c>
      <c r="C383" s="3" t="s">
        <v>217</v>
      </c>
      <c r="D383" s="78" t="s">
        <v>431</v>
      </c>
      <c r="E383" s="49" t="s">
        <v>628</v>
      </c>
      <c r="F383" s="53">
        <f t="shared" si="60"/>
        <v>744517.32627847185</v>
      </c>
      <c r="G383" s="53">
        <f t="shared" si="61"/>
        <v>0</v>
      </c>
      <c r="H383" s="72">
        <f t="shared" si="62"/>
        <v>744517.32627847185</v>
      </c>
      <c r="I383" s="61"/>
      <c r="J383" s="61"/>
      <c r="K383" s="61">
        <f>+'[1]II-D-1 O&amp;M'!N77</f>
        <v>0</v>
      </c>
      <c r="L383" s="61">
        <f>+'[1]II-D-1 O&amp;M'!O77</f>
        <v>744517.32627847185</v>
      </c>
      <c r="M383" s="61">
        <f>+'[1]II-D-1 O&amp;M'!P77</f>
        <v>0</v>
      </c>
      <c r="N383" s="23"/>
      <c r="O383" s="3"/>
      <c r="P383" s="1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84" spans="1:53" x14ac:dyDescent="0.2">
      <c r="A384" s="3">
        <f t="shared" si="50"/>
        <v>5</v>
      </c>
      <c r="B384" s="3" t="s">
        <v>218</v>
      </c>
      <c r="C384" s="3" t="s">
        <v>219</v>
      </c>
      <c r="D384" s="78" t="s">
        <v>431</v>
      </c>
      <c r="E384" s="49" t="s">
        <v>628</v>
      </c>
      <c r="F384" s="53">
        <f t="shared" si="60"/>
        <v>12815028.49357128</v>
      </c>
      <c r="G384" s="53">
        <f t="shared" si="61"/>
        <v>0</v>
      </c>
      <c r="H384" s="72">
        <f t="shared" si="62"/>
        <v>12815028.49357128</v>
      </c>
      <c r="I384" s="61"/>
      <c r="J384" s="61"/>
      <c r="K384" s="61">
        <f>+'[1]II-D-1 O&amp;M'!N78</f>
        <v>0</v>
      </c>
      <c r="L384" s="61">
        <f>+'[1]II-D-1 O&amp;M'!O78</f>
        <v>0</v>
      </c>
      <c r="M384" s="61">
        <f>+'[1]II-D-1 O&amp;M'!P78</f>
        <v>12815028.49357128</v>
      </c>
      <c r="N384" s="23"/>
      <c r="O384" s="3"/>
      <c r="P384" s="1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</row>
    <row r="385" spans="1:53" x14ac:dyDescent="0.2">
      <c r="A385" s="3">
        <f t="shared" si="50"/>
        <v>6</v>
      </c>
      <c r="B385" s="3" t="s">
        <v>218</v>
      </c>
      <c r="C385" s="3" t="s">
        <v>17</v>
      </c>
      <c r="D385" s="78" t="s">
        <v>431</v>
      </c>
      <c r="E385" s="49" t="s">
        <v>628</v>
      </c>
      <c r="F385" s="53">
        <f t="shared" si="60"/>
        <v>0</v>
      </c>
      <c r="G385" s="53">
        <f t="shared" si="61"/>
        <v>0</v>
      </c>
      <c r="H385" s="72">
        <f t="shared" si="62"/>
        <v>0</v>
      </c>
      <c r="I385" s="61"/>
      <c r="J385" s="61"/>
      <c r="K385" s="61">
        <f>+'[1]II-D-1 O&amp;M'!N78</f>
        <v>0</v>
      </c>
      <c r="L385" s="61"/>
      <c r="M385" s="61"/>
      <c r="N385" s="23"/>
      <c r="O385" s="3"/>
      <c r="P385" s="1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</row>
    <row r="386" spans="1:53" s="173" customFormat="1" x14ac:dyDescent="0.2">
      <c r="A386" s="3">
        <f t="shared" si="50"/>
        <v>7</v>
      </c>
      <c r="B386" s="3" t="s">
        <v>220</v>
      </c>
      <c r="C386" s="3" t="s">
        <v>221</v>
      </c>
      <c r="D386" s="78" t="s">
        <v>431</v>
      </c>
      <c r="E386" s="49" t="s">
        <v>628</v>
      </c>
      <c r="F386" s="53">
        <f t="shared" si="60"/>
        <v>942767.34192110959</v>
      </c>
      <c r="G386" s="53">
        <f t="shared" si="61"/>
        <v>0</v>
      </c>
      <c r="H386" s="72">
        <f t="shared" si="62"/>
        <v>942767.34192110959</v>
      </c>
      <c r="I386" s="61"/>
      <c r="J386" s="61"/>
      <c r="K386" s="61">
        <f>+'[1]II-D-1 O&amp;M'!N79</f>
        <v>942767.34192110959</v>
      </c>
      <c r="L386" s="61">
        <f>+'[1]II-D-1 O&amp;M'!O79</f>
        <v>0</v>
      </c>
      <c r="M386" s="61">
        <f>+'[1]II-D-1 O&amp;M'!P79</f>
        <v>0</v>
      </c>
      <c r="N386" s="23"/>
      <c r="O386" s="3"/>
      <c r="P386" s="1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</row>
    <row r="387" spans="1:53" x14ac:dyDescent="0.2">
      <c r="A387" s="3">
        <f t="shared" si="50"/>
        <v>8</v>
      </c>
      <c r="B387" s="3" t="s">
        <v>222</v>
      </c>
      <c r="C387" s="3" t="s">
        <v>223</v>
      </c>
      <c r="D387" s="78" t="s">
        <v>431</v>
      </c>
      <c r="E387" s="49" t="s">
        <v>628</v>
      </c>
      <c r="F387" s="53">
        <f t="shared" si="60"/>
        <v>217281.62314889499</v>
      </c>
      <c r="G387" s="53">
        <f t="shared" si="61"/>
        <v>0</v>
      </c>
      <c r="H387" s="72">
        <f t="shared" si="62"/>
        <v>217281.62314889499</v>
      </c>
      <c r="I387" s="61"/>
      <c r="J387" s="61"/>
      <c r="K387" s="61">
        <f>+'[1]II-D-1 O&amp;M'!N80</f>
        <v>0</v>
      </c>
      <c r="L387" s="61">
        <f>+'[1]II-D-1 O&amp;M'!O80</f>
        <v>11930.335666512341</v>
      </c>
      <c r="M387" s="61">
        <f>+'[1]II-D-1 O&amp;M'!P80</f>
        <v>205351.28748238264</v>
      </c>
      <c r="N387" s="23"/>
      <c r="O387" s="3"/>
      <c r="P387" s="1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</row>
    <row r="388" spans="1:53" x14ac:dyDescent="0.2">
      <c r="A388" s="3">
        <f t="shared" si="50"/>
        <v>9</v>
      </c>
      <c r="B388" s="3"/>
      <c r="C388" s="3" t="s">
        <v>135</v>
      </c>
      <c r="D388" s="3"/>
      <c r="E388" s="49"/>
      <c r="F388" s="53">
        <f>SUM(F382:F387)</f>
        <v>15141215.66422281</v>
      </c>
      <c r="G388" s="53">
        <f>SUM(G382:G387)</f>
        <v>0</v>
      </c>
      <c r="H388" s="55">
        <f>SUM(H382:H387)</f>
        <v>15141215.66422281</v>
      </c>
      <c r="I388" s="55"/>
      <c r="J388" s="55">
        <f>SUM(J382:J387)</f>
        <v>0</v>
      </c>
      <c r="K388" s="55">
        <f>SUM(K382:K387)</f>
        <v>942767.34192110959</v>
      </c>
      <c r="L388" s="55">
        <f>SUM(L382:L387)</f>
        <v>779597.70354168466</v>
      </c>
      <c r="M388" s="55">
        <f>SUM(M382:M387)</f>
        <v>13418850.618760016</v>
      </c>
      <c r="N388" s="23"/>
      <c r="O388" s="3"/>
      <c r="P388" s="1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</row>
    <row r="389" spans="1:53" x14ac:dyDescent="0.2">
      <c r="A389" s="3">
        <f t="shared" si="50"/>
        <v>10</v>
      </c>
      <c r="B389" s="3"/>
      <c r="C389" s="3"/>
      <c r="D389" s="3"/>
      <c r="E389" s="49"/>
      <c r="F389" s="49"/>
      <c r="G389" s="49"/>
      <c r="H389" s="55"/>
      <c r="I389" s="55"/>
      <c r="J389" s="55"/>
      <c r="K389" s="55"/>
      <c r="L389" s="55"/>
      <c r="M389" s="55"/>
      <c r="N389" s="23"/>
      <c r="O389" s="3"/>
      <c r="P389" s="1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</row>
    <row r="390" spans="1:53" x14ac:dyDescent="0.2">
      <c r="A390" s="3">
        <f t="shared" si="50"/>
        <v>11</v>
      </c>
      <c r="B390" s="3"/>
      <c r="C390" s="3" t="s">
        <v>224</v>
      </c>
      <c r="D390" s="3"/>
      <c r="E390" s="49"/>
      <c r="F390" s="49"/>
      <c r="G390" s="49"/>
      <c r="H390" s="55"/>
      <c r="I390" s="55"/>
      <c r="J390" s="55"/>
      <c r="K390" s="55"/>
      <c r="L390" s="55"/>
      <c r="M390" s="55"/>
      <c r="N390" s="23"/>
      <c r="O390" s="3"/>
      <c r="P390" s="1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</row>
    <row r="391" spans="1:53" x14ac:dyDescent="0.2">
      <c r="A391" s="3">
        <f t="shared" si="50"/>
        <v>12</v>
      </c>
      <c r="B391" s="3" t="s">
        <v>227</v>
      </c>
      <c r="C391" s="3" t="s">
        <v>541</v>
      </c>
      <c r="D391" s="78" t="s">
        <v>431</v>
      </c>
      <c r="E391" s="49" t="s">
        <v>628</v>
      </c>
      <c r="F391" s="53">
        <f>+H391</f>
        <v>-434358.33105465025</v>
      </c>
      <c r="G391" s="53">
        <f t="shared" ref="G391:G397" si="63">+H391-F391</f>
        <v>0</v>
      </c>
      <c r="H391" s="72">
        <f t="shared" ref="H391:H397" si="64">SUM(J391:M391)</f>
        <v>-434358.33105465025</v>
      </c>
      <c r="I391" s="61"/>
      <c r="J391" s="61"/>
      <c r="K391" s="61">
        <f>+'[1]II-D-1 O&amp;M'!N83</f>
        <v>0</v>
      </c>
      <c r="L391" s="61">
        <f>+'[1]II-D-1 O&amp;M'!O83</f>
        <v>0</v>
      </c>
      <c r="M391" s="61">
        <f>+'[1]II-D-1 O&amp;M'!P83</f>
        <v>-434358.33105465025</v>
      </c>
      <c r="N391" s="23"/>
      <c r="O391" s="3"/>
      <c r="P391" s="1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</row>
    <row r="392" spans="1:53" x14ac:dyDescent="0.2">
      <c r="A392" s="3">
        <f>+A390+1</f>
        <v>12</v>
      </c>
      <c r="B392" s="3" t="s">
        <v>227</v>
      </c>
      <c r="C392" s="3" t="s">
        <v>215</v>
      </c>
      <c r="D392" s="78" t="s">
        <v>431</v>
      </c>
      <c r="E392" s="49" t="s">
        <v>628</v>
      </c>
      <c r="F392" s="53">
        <f t="shared" ref="F392:F397" si="65">+H392</f>
        <v>587001.34</v>
      </c>
      <c r="G392" s="53">
        <f t="shared" si="63"/>
        <v>0</v>
      </c>
      <c r="H392" s="72">
        <f>SUM(J392:M392)</f>
        <v>587001.34</v>
      </c>
      <c r="I392" s="61"/>
      <c r="J392" s="61"/>
      <c r="K392" s="61">
        <f>+'[1]II-D-1 O&amp;M'!N84</f>
        <v>0</v>
      </c>
      <c r="L392" s="61">
        <f>+'[1]II-D-1 O&amp;M'!O84</f>
        <v>0</v>
      </c>
      <c r="M392" s="61">
        <f>+'[1]II-D-1 O&amp;M'!P84</f>
        <v>587001.34</v>
      </c>
      <c r="N392" s="23"/>
      <c r="O392" s="3"/>
      <c r="P392" s="1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</row>
    <row r="393" spans="1:53" x14ac:dyDescent="0.2">
      <c r="A393" s="3">
        <f>+A391+1</f>
        <v>13</v>
      </c>
      <c r="B393" s="3" t="s">
        <v>229</v>
      </c>
      <c r="C393" s="3" t="s">
        <v>798</v>
      </c>
      <c r="D393" s="78" t="s">
        <v>431</v>
      </c>
      <c r="E393" s="49" t="s">
        <v>628</v>
      </c>
      <c r="F393" s="53">
        <f t="shared" si="65"/>
        <v>900522</v>
      </c>
      <c r="G393" s="53">
        <f t="shared" si="63"/>
        <v>0</v>
      </c>
      <c r="H393" s="72">
        <f t="shared" si="64"/>
        <v>900522</v>
      </c>
      <c r="I393" s="61"/>
      <c r="J393" s="61"/>
      <c r="K393" s="61">
        <v>0</v>
      </c>
      <c r="L393" s="61">
        <v>0</v>
      </c>
      <c r="M393" s="61">
        <v>900522</v>
      </c>
      <c r="N393" s="23"/>
      <c r="O393" s="3"/>
      <c r="P393" s="1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</row>
    <row r="394" spans="1:53" x14ac:dyDescent="0.2">
      <c r="A394" s="3">
        <f t="shared" si="50"/>
        <v>14</v>
      </c>
      <c r="B394" s="3" t="s">
        <v>229</v>
      </c>
      <c r="C394" s="3" t="s">
        <v>230</v>
      </c>
      <c r="D394" s="78" t="s">
        <v>431</v>
      </c>
      <c r="E394" s="49" t="s">
        <v>628</v>
      </c>
      <c r="F394" s="53">
        <f t="shared" si="65"/>
        <v>395286.71970338468</v>
      </c>
      <c r="G394" s="53">
        <f t="shared" si="63"/>
        <v>0</v>
      </c>
      <c r="H394" s="72">
        <f t="shared" si="64"/>
        <v>395286.71970338468</v>
      </c>
      <c r="I394" s="61"/>
      <c r="J394" s="61"/>
      <c r="K394" s="61">
        <f>+'[1]II-D-1 O&amp;M'!N85</f>
        <v>0</v>
      </c>
      <c r="L394" s="61">
        <f>+'[1]II-D-1 O&amp;M'!O85</f>
        <v>0</v>
      </c>
      <c r="M394" s="61">
        <f>+'[1]II-D-1 O&amp;M'!P85-M393</f>
        <v>395286.71970338468</v>
      </c>
      <c r="N394" s="23"/>
      <c r="O394" s="3"/>
      <c r="P394" s="1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</row>
    <row r="395" spans="1:53" x14ac:dyDescent="0.2">
      <c r="A395" s="3">
        <f t="shared" si="50"/>
        <v>15</v>
      </c>
      <c r="B395" s="3" t="s">
        <v>231</v>
      </c>
      <c r="C395" s="3" t="s">
        <v>232</v>
      </c>
      <c r="D395" s="78" t="s">
        <v>431</v>
      </c>
      <c r="E395" s="49" t="s">
        <v>628</v>
      </c>
      <c r="F395" s="53">
        <f t="shared" si="65"/>
        <v>0</v>
      </c>
      <c r="G395" s="53">
        <f t="shared" si="63"/>
        <v>0</v>
      </c>
      <c r="H395" s="72">
        <f t="shared" si="64"/>
        <v>0</v>
      </c>
      <c r="I395" s="61"/>
      <c r="J395" s="61"/>
      <c r="K395" s="61">
        <f>+'[1]II-D-1 O&amp;M'!N86</f>
        <v>0</v>
      </c>
      <c r="L395" s="61">
        <f>+'[1]II-D-1 O&amp;M'!O86</f>
        <v>0</v>
      </c>
      <c r="M395" s="61">
        <f>+'[1]II-D-1 O&amp;M'!P86</f>
        <v>0</v>
      </c>
      <c r="N395" s="23"/>
      <c r="O395" s="3"/>
      <c r="P395" s="1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:53" x14ac:dyDescent="0.2">
      <c r="A396" s="3">
        <f>+A394+1</f>
        <v>15</v>
      </c>
      <c r="B396" s="3" t="s">
        <v>233</v>
      </c>
      <c r="C396" s="3" t="s">
        <v>234</v>
      </c>
      <c r="D396" s="78" t="s">
        <v>431</v>
      </c>
      <c r="E396" s="49" t="s">
        <v>628</v>
      </c>
      <c r="F396" s="53">
        <f t="shared" si="65"/>
        <v>17429.5</v>
      </c>
      <c r="G396" s="53">
        <f t="shared" si="63"/>
        <v>0</v>
      </c>
      <c r="H396" s="72">
        <f t="shared" si="64"/>
        <v>17429.5</v>
      </c>
      <c r="I396" s="61"/>
      <c r="J396" s="61"/>
      <c r="K396" s="61">
        <f>+'[1]II-D-1 O&amp;M'!N87</f>
        <v>0</v>
      </c>
      <c r="L396" s="61">
        <f>+'[1]II-D-1 O&amp;M'!O87</f>
        <v>0</v>
      </c>
      <c r="M396" s="61">
        <f>+'[1]II-D-1 O&amp;M'!P87</f>
        <v>17429.5</v>
      </c>
      <c r="N396" s="23"/>
      <c r="O396" s="3"/>
      <c r="P396" s="1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:53" x14ac:dyDescent="0.2">
      <c r="A397" s="3">
        <f>+A395+1</f>
        <v>16</v>
      </c>
      <c r="B397" s="3" t="s">
        <v>233</v>
      </c>
      <c r="C397" s="3" t="s">
        <v>234</v>
      </c>
      <c r="D397" s="78" t="s">
        <v>431</v>
      </c>
      <c r="E397" s="49" t="s">
        <v>628</v>
      </c>
      <c r="F397" s="53">
        <f t="shared" si="65"/>
        <v>0</v>
      </c>
      <c r="G397" s="53">
        <f t="shared" si="63"/>
        <v>0</v>
      </c>
      <c r="H397" s="72">
        <f t="shared" si="64"/>
        <v>0</v>
      </c>
      <c r="I397" s="61"/>
      <c r="J397" s="61"/>
      <c r="K397" s="61">
        <v>0</v>
      </c>
      <c r="L397" s="61">
        <v>0</v>
      </c>
      <c r="M397" s="61">
        <v>0</v>
      </c>
      <c r="N397" s="23"/>
      <c r="O397" s="3"/>
      <c r="P397" s="1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8" spans="1:53" x14ac:dyDescent="0.2">
      <c r="A398" s="3">
        <f t="shared" si="50"/>
        <v>17</v>
      </c>
      <c r="B398" s="3"/>
      <c r="C398" s="3" t="s">
        <v>135</v>
      </c>
      <c r="D398" s="3"/>
      <c r="E398" s="49"/>
      <c r="F398" s="53">
        <f>SUM(F391:F397)</f>
        <v>1465881.2286487343</v>
      </c>
      <c r="G398" s="53">
        <f>SUM(G391:G397)</f>
        <v>0</v>
      </c>
      <c r="H398" s="55">
        <f>SUM(H391:H397)</f>
        <v>1465881.2286487343</v>
      </c>
      <c r="I398" s="55"/>
      <c r="J398" s="55"/>
      <c r="K398" s="55">
        <f>SUM(K391:K397)</f>
        <v>0</v>
      </c>
      <c r="L398" s="55">
        <f>SUM(L391:L397)</f>
        <v>0</v>
      </c>
      <c r="M398" s="55">
        <f>SUM(M391:M397)</f>
        <v>1465881.2286487343</v>
      </c>
      <c r="N398" s="23"/>
      <c r="O398" s="3"/>
      <c r="P398" s="1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</row>
    <row r="399" spans="1:53" x14ac:dyDescent="0.2">
      <c r="A399" s="3">
        <f t="shared" si="50"/>
        <v>18</v>
      </c>
      <c r="B399" s="3"/>
      <c r="C399" s="3"/>
      <c r="D399" s="3"/>
      <c r="E399" s="49"/>
      <c r="F399" s="49"/>
      <c r="G399" s="49"/>
      <c r="H399" s="55"/>
      <c r="I399" s="55"/>
      <c r="J399" s="55"/>
      <c r="K399" s="55"/>
      <c r="L399" s="55"/>
      <c r="M399" s="55"/>
      <c r="N399" s="23"/>
      <c r="O399" s="3"/>
      <c r="P399" s="1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0" spans="1:53" x14ac:dyDescent="0.2">
      <c r="A400" s="3">
        <f t="shared" si="50"/>
        <v>19</v>
      </c>
      <c r="B400" s="3"/>
      <c r="C400" s="3" t="s">
        <v>235</v>
      </c>
      <c r="D400" s="3"/>
      <c r="E400" s="49"/>
      <c r="F400" s="49"/>
      <c r="G400" s="49"/>
      <c r="H400" s="55"/>
      <c r="I400" s="55"/>
      <c r="J400" s="55"/>
      <c r="K400" s="55"/>
      <c r="L400" s="55"/>
      <c r="M400" s="55"/>
      <c r="N400" s="23"/>
      <c r="O400" s="3"/>
      <c r="P400" s="1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</row>
    <row r="401" spans="1:53" x14ac:dyDescent="0.2">
      <c r="A401" s="3">
        <f t="shared" si="50"/>
        <v>20</v>
      </c>
      <c r="B401" s="3" t="s">
        <v>236</v>
      </c>
      <c r="C401" s="3" t="s">
        <v>228</v>
      </c>
      <c r="D401" s="78" t="s">
        <v>431</v>
      </c>
      <c r="E401" s="49" t="s">
        <v>628</v>
      </c>
      <c r="F401" s="53">
        <f t="shared" ref="F401:F406" si="66">+H401</f>
        <v>0</v>
      </c>
      <c r="G401" s="53">
        <f>+H401-F401</f>
        <v>0</v>
      </c>
      <c r="H401" s="72">
        <f t="shared" ref="H401:H406" si="67">SUM(J401:M401)</f>
        <v>0</v>
      </c>
      <c r="I401" s="61"/>
      <c r="J401" s="61"/>
      <c r="K401" s="61">
        <f>+'[1]II-D-1 O&amp;M'!N93</f>
        <v>0</v>
      </c>
      <c r="L401" s="61">
        <f>+'[1]II-D-1 O&amp;M'!O93</f>
        <v>0</v>
      </c>
      <c r="M401" s="61">
        <f>+'[1]II-D-1 O&amp;M'!P93</f>
        <v>0</v>
      </c>
      <c r="N401" s="23"/>
      <c r="O401" s="3"/>
      <c r="P401" s="1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</row>
    <row r="402" spans="1:53" x14ac:dyDescent="0.2">
      <c r="A402" s="3">
        <f t="shared" si="50"/>
        <v>21</v>
      </c>
      <c r="B402" s="3" t="s">
        <v>237</v>
      </c>
      <c r="C402" s="3" t="s">
        <v>238</v>
      </c>
      <c r="D402" s="78" t="s">
        <v>431</v>
      </c>
      <c r="E402" s="49" t="s">
        <v>628</v>
      </c>
      <c r="F402" s="53">
        <f t="shared" si="66"/>
        <v>0</v>
      </c>
      <c r="G402" s="53">
        <f>+H402-F402</f>
        <v>0</v>
      </c>
      <c r="H402" s="72">
        <f t="shared" si="67"/>
        <v>0</v>
      </c>
      <c r="I402" s="61"/>
      <c r="J402" s="61"/>
      <c r="K402" s="61">
        <f>+'[1]II-D-1 O&amp;M'!N94</f>
        <v>0</v>
      </c>
      <c r="L402" s="61">
        <f>+'[1]II-D-1 O&amp;M'!O94</f>
        <v>0</v>
      </c>
      <c r="M402" s="61">
        <f>+'[1]II-D-1 O&amp;M'!P94</f>
        <v>0</v>
      </c>
      <c r="N402" s="23"/>
      <c r="O402" s="3"/>
      <c r="P402" s="1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</row>
    <row r="403" spans="1:53" x14ac:dyDescent="0.2">
      <c r="A403" s="3">
        <f t="shared" si="50"/>
        <v>22</v>
      </c>
      <c r="B403" s="3" t="s">
        <v>239</v>
      </c>
      <c r="C403" s="3" t="s">
        <v>240</v>
      </c>
      <c r="D403" s="78" t="s">
        <v>431</v>
      </c>
      <c r="E403" s="49" t="s">
        <v>628</v>
      </c>
      <c r="F403" s="53">
        <f t="shared" si="66"/>
        <v>-17.48000000003492</v>
      </c>
      <c r="G403" s="53">
        <f>+H403-F403</f>
        <v>0</v>
      </c>
      <c r="H403" s="72">
        <f t="shared" si="67"/>
        <v>-17.48000000003492</v>
      </c>
      <c r="I403" s="61"/>
      <c r="J403" s="61"/>
      <c r="K403" s="61">
        <f>+'[1]II-D-1 O&amp;M'!N95</f>
        <v>-17.48000000003492</v>
      </c>
      <c r="L403" s="61">
        <f>+'[1]II-D-1 O&amp;M'!O95</f>
        <v>0</v>
      </c>
      <c r="M403" s="61">
        <f>+'[1]II-D-1 O&amp;M'!P95</f>
        <v>0</v>
      </c>
      <c r="N403" s="23"/>
      <c r="O403" s="3"/>
      <c r="P403" s="1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</row>
    <row r="404" spans="1:53" x14ac:dyDescent="0.2">
      <c r="A404" s="3">
        <f t="shared" si="50"/>
        <v>23</v>
      </c>
      <c r="B404" s="3" t="s">
        <v>241</v>
      </c>
      <c r="C404" s="3" t="s">
        <v>242</v>
      </c>
      <c r="D404" s="78" t="s">
        <v>431</v>
      </c>
      <c r="E404" s="49" t="s">
        <v>628</v>
      </c>
      <c r="F404" s="53">
        <f t="shared" si="66"/>
        <v>0</v>
      </c>
      <c r="G404" s="53">
        <f>+H404-F404</f>
        <v>0</v>
      </c>
      <c r="H404" s="72">
        <f t="shared" si="67"/>
        <v>0</v>
      </c>
      <c r="I404" s="61"/>
      <c r="J404" s="61"/>
      <c r="K404" s="61">
        <v>0</v>
      </c>
      <c r="L404" s="61">
        <v>0</v>
      </c>
      <c r="M404" s="61">
        <v>0</v>
      </c>
      <c r="N404" s="23"/>
      <c r="O404" s="3"/>
      <c r="P404" s="1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:53" x14ac:dyDescent="0.2">
      <c r="A405" s="3">
        <f t="shared" ref="A405:A429" si="68">+A404+1</f>
        <v>24</v>
      </c>
      <c r="B405" s="3" t="s">
        <v>243</v>
      </c>
      <c r="C405" s="3" t="s">
        <v>244</v>
      </c>
      <c r="D405" s="78" t="s">
        <v>431</v>
      </c>
      <c r="E405" s="49" t="s">
        <v>628</v>
      </c>
      <c r="F405" s="53">
        <f t="shared" si="66"/>
        <v>0</v>
      </c>
      <c r="G405" s="53">
        <f>+H405-F405</f>
        <v>0</v>
      </c>
      <c r="H405" s="72">
        <f t="shared" si="67"/>
        <v>0</v>
      </c>
      <c r="I405" s="61"/>
      <c r="J405" s="61"/>
      <c r="K405" s="61">
        <v>0</v>
      </c>
      <c r="L405" s="61">
        <v>0</v>
      </c>
      <c r="M405" s="61">
        <v>0</v>
      </c>
      <c r="N405" s="23"/>
      <c r="O405" s="3"/>
      <c r="P405" s="1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:53" x14ac:dyDescent="0.2">
      <c r="A406" s="3">
        <f t="shared" si="68"/>
        <v>25</v>
      </c>
      <c r="B406" s="3"/>
      <c r="C406" s="3" t="s">
        <v>135</v>
      </c>
      <c r="D406" s="3"/>
      <c r="E406" s="49"/>
      <c r="F406" s="53">
        <f t="shared" si="66"/>
        <v>-17.48000000003492</v>
      </c>
      <c r="G406" s="53">
        <f>SUM(G401:G405)</f>
        <v>0</v>
      </c>
      <c r="H406" s="72">
        <f t="shared" si="67"/>
        <v>-17.48000000003492</v>
      </c>
      <c r="I406" s="55"/>
      <c r="J406" s="55">
        <f>SUM(J401:J405)</f>
        <v>0</v>
      </c>
      <c r="K406" s="55">
        <f>SUM(K401:K405)</f>
        <v>-17.48000000003492</v>
      </c>
      <c r="L406" s="55">
        <f>SUM(L401:L405)</f>
        <v>0</v>
      </c>
      <c r="M406" s="55">
        <f>SUM(M401:M405)</f>
        <v>0</v>
      </c>
      <c r="N406" s="23"/>
      <c r="O406" s="3"/>
      <c r="P406" s="1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:53" x14ac:dyDescent="0.2">
      <c r="A407" s="3">
        <f t="shared" si="68"/>
        <v>26</v>
      </c>
      <c r="B407" s="3"/>
      <c r="C407" s="3" t="s">
        <v>245</v>
      </c>
      <c r="D407" s="3"/>
      <c r="E407" s="49"/>
      <c r="F407" s="53">
        <f>+F406+F398+F388</f>
        <v>16607079.412871545</v>
      </c>
      <c r="G407" s="53">
        <f>+G406+G398+G388</f>
        <v>0</v>
      </c>
      <c r="H407" s="55">
        <f>H388+H398+H406</f>
        <v>16607079.412871543</v>
      </c>
      <c r="I407" s="55"/>
      <c r="J407" s="55">
        <f>J388+J398+J406</f>
        <v>0</v>
      </c>
      <c r="K407" s="55">
        <f>K388+K398+K406</f>
        <v>942749.86192110961</v>
      </c>
      <c r="L407" s="55">
        <f>L388+L398+L406</f>
        <v>779597.70354168466</v>
      </c>
      <c r="M407" s="55">
        <f>M388+M398+M406</f>
        <v>14884731.847408749</v>
      </c>
      <c r="N407" s="23"/>
      <c r="O407" s="3"/>
      <c r="P407" s="1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08" spans="1:53" x14ac:dyDescent="0.2">
      <c r="A408" s="3">
        <f t="shared" si="68"/>
        <v>27</v>
      </c>
      <c r="B408" s="3"/>
      <c r="C408" s="3" t="s">
        <v>587</v>
      </c>
      <c r="D408" s="3"/>
      <c r="E408" s="49"/>
      <c r="F408" s="53">
        <f t="shared" ref="F408:M408" si="69">+F407+F377</f>
        <v>145430428.71355951</v>
      </c>
      <c r="G408" s="53">
        <f t="shared" si="69"/>
        <v>0</v>
      </c>
      <c r="H408" s="55">
        <f t="shared" si="69"/>
        <v>145430428.71355951</v>
      </c>
      <c r="I408" s="55">
        <f t="shared" si="69"/>
        <v>0</v>
      </c>
      <c r="J408" s="55">
        <f t="shared" si="69"/>
        <v>0</v>
      </c>
      <c r="K408" s="55">
        <f t="shared" si="69"/>
        <v>109215724.62854899</v>
      </c>
      <c r="L408" s="55">
        <f t="shared" si="69"/>
        <v>21329972.237601753</v>
      </c>
      <c r="M408" s="55">
        <f t="shared" si="69"/>
        <v>14884731.847408749</v>
      </c>
      <c r="N408" s="23"/>
      <c r="O408" s="3"/>
      <c r="P408" s="1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</row>
    <row r="409" spans="1:53" x14ac:dyDescent="0.2">
      <c r="A409" s="3">
        <f t="shared" si="68"/>
        <v>28</v>
      </c>
      <c r="B409" s="7" t="s">
        <v>246</v>
      </c>
      <c r="C409" s="3"/>
      <c r="D409" s="3"/>
      <c r="E409" s="49"/>
      <c r="F409" s="49"/>
      <c r="G409" s="49"/>
      <c r="H409" s="55"/>
      <c r="I409" s="55"/>
      <c r="J409" s="55"/>
      <c r="K409" s="55"/>
      <c r="L409" s="55"/>
      <c r="M409" s="55"/>
      <c r="N409" s="23"/>
      <c r="O409" s="3"/>
      <c r="P409" s="1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</row>
    <row r="410" spans="1:53" x14ac:dyDescent="0.2">
      <c r="A410" s="3">
        <f t="shared" si="68"/>
        <v>29</v>
      </c>
      <c r="B410" s="3"/>
      <c r="C410" s="3"/>
      <c r="D410" s="3"/>
      <c r="E410" s="49"/>
      <c r="F410" s="49"/>
      <c r="G410" s="49"/>
      <c r="H410" s="55"/>
      <c r="I410" s="55"/>
      <c r="J410" s="55"/>
      <c r="K410" s="55"/>
      <c r="L410" s="55"/>
      <c r="M410" s="55"/>
      <c r="N410" s="23"/>
      <c r="O410" s="3"/>
      <c r="P410" s="1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</row>
    <row r="411" spans="1:53" x14ac:dyDescent="0.2">
      <c r="A411" s="3">
        <f t="shared" si="68"/>
        <v>30</v>
      </c>
      <c r="B411" s="3" t="s">
        <v>247</v>
      </c>
      <c r="C411" s="3"/>
      <c r="D411" s="3"/>
      <c r="E411" s="49"/>
      <c r="F411" s="49"/>
      <c r="G411" s="49"/>
      <c r="H411" s="55"/>
      <c r="I411" s="55"/>
      <c r="J411" s="55"/>
      <c r="K411" s="55"/>
      <c r="L411" s="55"/>
      <c r="M411" s="55"/>
      <c r="N411" s="23"/>
      <c r="O411" s="3"/>
      <c r="P411" s="1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</row>
    <row r="412" spans="1:53" x14ac:dyDescent="0.2">
      <c r="A412" s="3">
        <f t="shared" si="68"/>
        <v>31</v>
      </c>
      <c r="B412" s="3" t="s">
        <v>248</v>
      </c>
      <c r="C412" s="3" t="s">
        <v>249</v>
      </c>
      <c r="D412" s="78" t="s">
        <v>431</v>
      </c>
      <c r="E412" s="49" t="s">
        <v>630</v>
      </c>
      <c r="F412" s="53">
        <f>+H412</f>
        <v>24310029.180640928</v>
      </c>
      <c r="G412" s="53">
        <f t="shared" ref="G412:G426" si="70">+H412-F412</f>
        <v>0</v>
      </c>
      <c r="H412" s="72">
        <f t="shared" ref="H412:H426" si="71">SUM(J412:M412)</f>
        <v>24310029.180640928</v>
      </c>
      <c r="I412" s="61"/>
      <c r="J412" s="61"/>
      <c r="K412" s="61">
        <f>+'[1]II-D-2 A&amp;G'!N15</f>
        <v>17330480.628097732</v>
      </c>
      <c r="L412" s="61">
        <f>+'[1]II-D-2 A&amp;G'!O15</f>
        <v>3947666.1026675166</v>
      </c>
      <c r="M412" s="61">
        <f>+'[1]II-D-2 A&amp;G'!P15</f>
        <v>3031882.4498756798</v>
      </c>
      <c r="N412" s="23"/>
      <c r="O412" s="3"/>
      <c r="P412" s="1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</row>
    <row r="413" spans="1:53" x14ac:dyDescent="0.2">
      <c r="A413" s="3">
        <f>+A412+1</f>
        <v>32</v>
      </c>
      <c r="B413" s="3" t="s">
        <v>248</v>
      </c>
      <c r="C413" s="3" t="s">
        <v>538</v>
      </c>
      <c r="D413" s="78" t="s">
        <v>431</v>
      </c>
      <c r="E413" s="49" t="s">
        <v>630</v>
      </c>
      <c r="F413" s="53">
        <f t="shared" ref="F413:F426" si="72">+H413</f>
        <v>0</v>
      </c>
      <c r="G413" s="53">
        <f t="shared" si="70"/>
        <v>0</v>
      </c>
      <c r="H413" s="72">
        <f>SUM(J413:M413)</f>
        <v>0</v>
      </c>
      <c r="I413" s="61"/>
      <c r="J413" s="61"/>
      <c r="K413" s="61">
        <v>0</v>
      </c>
      <c r="L413" s="61">
        <v>0</v>
      </c>
      <c r="M413" s="61">
        <v>0</v>
      </c>
      <c r="N413" s="23"/>
      <c r="O413" s="3"/>
      <c r="P413" s="1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</row>
    <row r="414" spans="1:53" x14ac:dyDescent="0.2">
      <c r="A414" s="3">
        <f>+A412+1</f>
        <v>32</v>
      </c>
      <c r="B414" s="3" t="s">
        <v>250</v>
      </c>
      <c r="C414" s="3" t="s">
        <v>251</v>
      </c>
      <c r="D414" s="78" t="s">
        <v>431</v>
      </c>
      <c r="E414" s="49" t="s">
        <v>630</v>
      </c>
      <c r="F414" s="53">
        <f t="shared" si="72"/>
        <v>269666.50000000128</v>
      </c>
      <c r="G414" s="53">
        <f t="shared" si="70"/>
        <v>0</v>
      </c>
      <c r="H414" s="72">
        <f t="shared" si="71"/>
        <v>269666.50000000128</v>
      </c>
      <c r="I414" s="61"/>
      <c r="J414" s="61"/>
      <c r="K414" s="61">
        <f>+'[1]II-D-2 A&amp;G'!N16</f>
        <v>192243.70401079563</v>
      </c>
      <c r="L414" s="61">
        <f>+'[1]II-D-2 A&amp;G'!O16</f>
        <v>43790.70436997839</v>
      </c>
      <c r="M414" s="61">
        <f>+'[1]II-D-2 A&amp;G'!P16</f>
        <v>33632.091619227263</v>
      </c>
      <c r="N414" s="23"/>
      <c r="O414" s="3"/>
      <c r="P414" s="1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</row>
    <row r="415" spans="1:53" x14ac:dyDescent="0.2">
      <c r="A415" s="3">
        <f t="shared" si="68"/>
        <v>33</v>
      </c>
      <c r="B415" s="3" t="s">
        <v>252</v>
      </c>
      <c r="C415" s="3" t="s">
        <v>253</v>
      </c>
      <c r="D415" s="78" t="s">
        <v>431</v>
      </c>
      <c r="E415" s="49" t="s">
        <v>630</v>
      </c>
      <c r="F415" s="53">
        <f t="shared" si="72"/>
        <v>-10278469.693509083</v>
      </c>
      <c r="G415" s="53">
        <f t="shared" si="70"/>
        <v>0</v>
      </c>
      <c r="H415" s="72">
        <f t="shared" si="71"/>
        <v>-10278469.693509083</v>
      </c>
      <c r="I415" s="61"/>
      <c r="J415" s="61"/>
      <c r="K415" s="61">
        <f>+'[1]II-D-2 A&amp;G'!N17</f>
        <v>-7327462.2003210783</v>
      </c>
      <c r="L415" s="61">
        <f>+'[1]II-D-2 A&amp;G'!O17</f>
        <v>-1669103.9774100101</v>
      </c>
      <c r="M415" s="61">
        <f>+'[1]II-D-2 A&amp;G'!P17</f>
        <v>-1281903.5157779944</v>
      </c>
      <c r="N415" s="23"/>
      <c r="O415" s="3"/>
      <c r="P415" s="1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</row>
    <row r="416" spans="1:53" x14ac:dyDescent="0.2">
      <c r="A416" s="3">
        <f>+A414+1</f>
        <v>33</v>
      </c>
      <c r="B416" s="3" t="s">
        <v>254</v>
      </c>
      <c r="C416" s="3" t="s">
        <v>255</v>
      </c>
      <c r="D416" s="78" t="s">
        <v>431</v>
      </c>
      <c r="E416" s="49" t="s">
        <v>630</v>
      </c>
      <c r="F416" s="53">
        <f t="shared" si="72"/>
        <v>4857774.4120000033</v>
      </c>
      <c r="G416" s="53">
        <f t="shared" si="70"/>
        <v>0</v>
      </c>
      <c r="H416" s="72">
        <f t="shared" si="71"/>
        <v>4857774.4120000033</v>
      </c>
      <c r="I416" s="61"/>
      <c r="J416" s="61"/>
      <c r="K416" s="61">
        <f>+'[1]II-D-2 A&amp;G'!N18</f>
        <v>3648104.1587524759</v>
      </c>
      <c r="L416" s="61">
        <f>+'[1]II-D-2 A&amp;G'!O18</f>
        <v>712479.46297874511</v>
      </c>
      <c r="M416" s="61">
        <f>+'[1]II-D-2 A&amp;G'!P18</f>
        <v>497190.79026878258</v>
      </c>
      <c r="N416" s="23"/>
      <c r="O416" s="3"/>
      <c r="P416" s="1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</row>
    <row r="417" spans="1:53" x14ac:dyDescent="0.2">
      <c r="A417" s="3">
        <f>+A415+1</f>
        <v>34</v>
      </c>
      <c r="B417" s="3" t="s">
        <v>254</v>
      </c>
      <c r="C417" s="3" t="s">
        <v>471</v>
      </c>
      <c r="D417" s="78" t="s">
        <v>431</v>
      </c>
      <c r="E417" s="49" t="s">
        <v>630</v>
      </c>
      <c r="F417" s="53">
        <f t="shared" si="72"/>
        <v>0</v>
      </c>
      <c r="G417" s="53">
        <f t="shared" si="70"/>
        <v>0</v>
      </c>
      <c r="H417" s="72">
        <f t="shared" si="71"/>
        <v>0</v>
      </c>
      <c r="I417" s="61"/>
      <c r="J417" s="61"/>
      <c r="K417" s="61">
        <v>0</v>
      </c>
      <c r="L417" s="61">
        <v>0</v>
      </c>
      <c r="M417" s="61">
        <v>0</v>
      </c>
      <c r="N417" s="23"/>
      <c r="O417" s="3"/>
      <c r="P417" s="1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</row>
    <row r="418" spans="1:53" x14ac:dyDescent="0.2">
      <c r="A418" s="3">
        <f t="shared" si="68"/>
        <v>35</v>
      </c>
      <c r="B418" s="3" t="s">
        <v>256</v>
      </c>
      <c r="C418" s="3" t="s">
        <v>257</v>
      </c>
      <c r="D418" s="78" t="s">
        <v>431</v>
      </c>
      <c r="E418" s="49" t="s">
        <v>630</v>
      </c>
      <c r="F418" s="53">
        <f t="shared" si="72"/>
        <v>20945577.553682309</v>
      </c>
      <c r="G418" s="53">
        <f t="shared" si="70"/>
        <v>0</v>
      </c>
      <c r="H418" s="72">
        <f t="shared" si="71"/>
        <v>20945577.553682309</v>
      </c>
      <c r="I418" s="61"/>
      <c r="J418" s="61"/>
      <c r="K418" s="61">
        <f>+'[1]II-D-2 A&amp;G'!N19</f>
        <v>20453638.288102284</v>
      </c>
      <c r="L418" s="61">
        <f>+'[1]II-D-2 A&amp;G'!O19</f>
        <v>473015.19059319614</v>
      </c>
      <c r="M418" s="61">
        <f>+'[1]II-D-2 A&amp;G'!P19</f>
        <v>18924.074986828291</v>
      </c>
      <c r="N418" s="23"/>
      <c r="O418" s="3"/>
      <c r="P418" s="1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</row>
    <row r="419" spans="1:53" x14ac:dyDescent="0.2">
      <c r="A419" s="3">
        <f t="shared" si="68"/>
        <v>36</v>
      </c>
      <c r="B419" s="3" t="s">
        <v>258</v>
      </c>
      <c r="C419" s="3" t="s">
        <v>259</v>
      </c>
      <c r="D419" s="78" t="s">
        <v>431</v>
      </c>
      <c r="E419" s="49" t="s">
        <v>630</v>
      </c>
      <c r="F419" s="53">
        <f t="shared" si="72"/>
        <v>2053960.3999999997</v>
      </c>
      <c r="G419" s="53">
        <f t="shared" si="70"/>
        <v>0</v>
      </c>
      <c r="H419" s="72">
        <f t="shared" si="71"/>
        <v>2053960.3999999997</v>
      </c>
      <c r="I419" s="61"/>
      <c r="J419" s="61"/>
      <c r="K419" s="61">
        <f>+'[1]II-D-2 A&amp;G'!N20</f>
        <v>1464256.6102481897</v>
      </c>
      <c r="L419" s="61">
        <f>+'[1]II-D-2 A&amp;G'!O20</f>
        <v>333539.28895150911</v>
      </c>
      <c r="M419" s="61">
        <f>+'[1]II-D-2 A&amp;G'!P20</f>
        <v>256164.50080030086</v>
      </c>
      <c r="N419" s="23"/>
      <c r="O419" s="3"/>
      <c r="P419" s="1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</row>
    <row r="420" spans="1:53" x14ac:dyDescent="0.2">
      <c r="A420" s="3">
        <f t="shared" si="68"/>
        <v>37</v>
      </c>
      <c r="B420" s="3" t="s">
        <v>260</v>
      </c>
      <c r="C420" s="3" t="s">
        <v>261</v>
      </c>
      <c r="D420" s="78" t="s">
        <v>431</v>
      </c>
      <c r="E420" s="49" t="s">
        <v>630</v>
      </c>
      <c r="F420" s="53">
        <f t="shared" si="72"/>
        <v>-8694295.1598385256</v>
      </c>
      <c r="G420" s="53">
        <f t="shared" si="70"/>
        <v>0</v>
      </c>
      <c r="H420" s="72">
        <f t="shared" si="71"/>
        <v>-8694295.1598385256</v>
      </c>
      <c r="I420" s="61"/>
      <c r="J420" s="61"/>
      <c r="K420" s="61">
        <f>+'[1]II-D-2 A&amp;G'!N21</f>
        <v>-6198113.2446576888</v>
      </c>
      <c r="L420" s="61">
        <f>+'[1]II-D-2 A&amp;G'!O21</f>
        <v>-1411852.4512678478</v>
      </c>
      <c r="M420" s="61">
        <f>+'[1]II-D-2 A&amp;G'!P21</f>
        <v>-1084329.463912989</v>
      </c>
      <c r="N420" s="23"/>
      <c r="O420" s="3"/>
      <c r="P420" s="1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</row>
    <row r="421" spans="1:53" x14ac:dyDescent="0.2">
      <c r="A421" s="3">
        <f t="shared" si="68"/>
        <v>38</v>
      </c>
      <c r="B421" s="3" t="s">
        <v>262</v>
      </c>
      <c r="C421" s="3" t="s">
        <v>263</v>
      </c>
      <c r="D421" s="78" t="s">
        <v>431</v>
      </c>
      <c r="E421" s="49" t="s">
        <v>630</v>
      </c>
      <c r="F421" s="53">
        <f t="shared" si="72"/>
        <v>0</v>
      </c>
      <c r="G421" s="53">
        <f t="shared" si="70"/>
        <v>0</v>
      </c>
      <c r="H421" s="72">
        <f t="shared" si="71"/>
        <v>0</v>
      </c>
      <c r="I421" s="61"/>
      <c r="J421" s="61"/>
      <c r="K421" s="61">
        <v>0</v>
      </c>
      <c r="L421" s="61">
        <v>0</v>
      </c>
      <c r="M421" s="61">
        <v>0</v>
      </c>
      <c r="N421" s="23"/>
      <c r="O421" s="3"/>
      <c r="P421" s="1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</row>
    <row r="422" spans="1:53" x14ac:dyDescent="0.2">
      <c r="A422" s="3">
        <f t="shared" si="68"/>
        <v>39</v>
      </c>
      <c r="B422" s="3" t="s">
        <v>264</v>
      </c>
      <c r="C422" s="3" t="s">
        <v>265</v>
      </c>
      <c r="D422" s="78" t="s">
        <v>431</v>
      </c>
      <c r="E422" s="49" t="s">
        <v>630</v>
      </c>
      <c r="F422" s="53">
        <f t="shared" si="72"/>
        <v>299114.8612627245</v>
      </c>
      <c r="G422" s="53">
        <f t="shared" si="70"/>
        <v>0</v>
      </c>
      <c r="H422" s="72">
        <f t="shared" si="71"/>
        <v>299114.8612627245</v>
      </c>
      <c r="I422" s="61"/>
      <c r="J422" s="61"/>
      <c r="K422" s="61">
        <f>+'[1]II-D-2 A&amp;G'!N22</f>
        <v>275266.24926529755</v>
      </c>
      <c r="L422" s="61">
        <f>+'[1]II-D-2 A&amp;G'!O22</f>
        <v>17347.042826585737</v>
      </c>
      <c r="M422" s="61">
        <f>+'[1]II-D-2 A&amp;G'!P22</f>
        <v>6501.5691708412069</v>
      </c>
      <c r="N422" s="23"/>
      <c r="O422" s="3"/>
      <c r="P422" s="1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</row>
    <row r="423" spans="1:53" x14ac:dyDescent="0.2">
      <c r="A423" s="3">
        <f t="shared" si="68"/>
        <v>40</v>
      </c>
      <c r="B423" s="3" t="s">
        <v>264</v>
      </c>
      <c r="C423" s="3" t="s">
        <v>266</v>
      </c>
      <c r="D423" s="78" t="s">
        <v>431</v>
      </c>
      <c r="E423" s="49" t="s">
        <v>630</v>
      </c>
      <c r="F423" s="53">
        <f t="shared" si="72"/>
        <v>0</v>
      </c>
      <c r="G423" s="53">
        <f t="shared" si="70"/>
        <v>0</v>
      </c>
      <c r="H423" s="72">
        <f t="shared" si="71"/>
        <v>0</v>
      </c>
      <c r="I423" s="61"/>
      <c r="J423" s="61"/>
      <c r="K423" s="61">
        <v>0</v>
      </c>
      <c r="L423" s="61">
        <v>0</v>
      </c>
      <c r="M423" s="61">
        <v>0</v>
      </c>
      <c r="N423" s="23"/>
      <c r="O423" s="3"/>
      <c r="P423" s="1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:53" x14ac:dyDescent="0.2">
      <c r="A424" s="3">
        <f t="shared" si="68"/>
        <v>41</v>
      </c>
      <c r="B424" s="3" t="s">
        <v>608</v>
      </c>
      <c r="C424" s="3" t="s">
        <v>609</v>
      </c>
      <c r="D424" s="78" t="s">
        <v>431</v>
      </c>
      <c r="E424" s="49" t="s">
        <v>630</v>
      </c>
      <c r="F424" s="53">
        <f t="shared" si="72"/>
        <v>3931786.1512891548</v>
      </c>
      <c r="G424" s="53">
        <f t="shared" si="70"/>
        <v>0</v>
      </c>
      <c r="H424" s="72">
        <f t="shared" si="71"/>
        <v>3931786.1512891548</v>
      </c>
      <c r="I424" s="61"/>
      <c r="J424" s="61"/>
      <c r="K424" s="61">
        <f>+'[1]II-D-2 A&amp;G'!N23</f>
        <v>3839442.0759479213</v>
      </c>
      <c r="L424" s="61">
        <f>+'[1]II-D-2 A&amp;G'!O23</f>
        <v>88791.754295491832</v>
      </c>
      <c r="M424" s="61">
        <f>+'[1]II-D-2 A&amp;G'!P23</f>
        <v>3552.3210457420992</v>
      </c>
      <c r="N424" s="23"/>
      <c r="O424" s="3"/>
      <c r="P424" s="1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:53" x14ac:dyDescent="0.2">
      <c r="A425" s="3">
        <f t="shared" si="68"/>
        <v>42</v>
      </c>
      <c r="B425" s="3" t="s">
        <v>267</v>
      </c>
      <c r="C425" s="3" t="s">
        <v>141</v>
      </c>
      <c r="D425" s="78" t="s">
        <v>431</v>
      </c>
      <c r="E425" s="49" t="s">
        <v>630</v>
      </c>
      <c r="F425" s="53">
        <f t="shared" si="72"/>
        <v>1160166.2899999996</v>
      </c>
      <c r="G425" s="53">
        <f t="shared" si="70"/>
        <v>0</v>
      </c>
      <c r="H425" s="72">
        <f t="shared" si="71"/>
        <v>1160166.2899999996</v>
      </c>
      <c r="I425" s="61"/>
      <c r="J425" s="61"/>
      <c r="K425" s="61">
        <f>+'[1]II-D-2 A&amp;G'!N24</f>
        <v>827075.90619547374</v>
      </c>
      <c r="L425" s="61">
        <f>+'[1]II-D-2 A&amp;G'!O24</f>
        <v>188397.51702715896</v>
      </c>
      <c r="M425" s="61">
        <f>+'[1]II-D-2 A&amp;G'!P24</f>
        <v>144692.86677736681</v>
      </c>
      <c r="N425" s="23"/>
      <c r="O425" s="3"/>
      <c r="P425" s="1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26" spans="1:53" x14ac:dyDescent="0.2">
      <c r="A426" s="3">
        <f t="shared" si="68"/>
        <v>43</v>
      </c>
      <c r="B426" s="3" t="s">
        <v>268</v>
      </c>
      <c r="C426" s="3" t="s">
        <v>269</v>
      </c>
      <c r="D426" s="78" t="s">
        <v>431</v>
      </c>
      <c r="E426" s="49" t="s">
        <v>630</v>
      </c>
      <c r="F426" s="53">
        <f t="shared" si="72"/>
        <v>17045609.391274527</v>
      </c>
      <c r="G426" s="53">
        <f t="shared" si="70"/>
        <v>0</v>
      </c>
      <c r="H426" s="72">
        <f t="shared" si="71"/>
        <v>17045609.391274527</v>
      </c>
      <c r="I426" s="61"/>
      <c r="J426" s="61"/>
      <c r="K426" s="61">
        <f>+'[1]II-D-2 A&amp;G'!N25</f>
        <v>16676080.472821213</v>
      </c>
      <c r="L426" s="61">
        <f>+'[1]II-D-2 A&amp;G'!O25</f>
        <v>221460.11383858175</v>
      </c>
      <c r="M426" s="61">
        <f>+'[1]II-D-2 A&amp;G'!P25</f>
        <v>148068.80461472977</v>
      </c>
      <c r="N426" s="23"/>
      <c r="O426" s="3"/>
      <c r="P426" s="1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</row>
    <row r="427" spans="1:53" x14ac:dyDescent="0.2">
      <c r="A427" s="3">
        <f t="shared" si="68"/>
        <v>44</v>
      </c>
      <c r="B427" s="3"/>
      <c r="C427" s="3" t="s">
        <v>270</v>
      </c>
      <c r="D427" s="3"/>
      <c r="E427" s="49"/>
      <c r="F427" s="53">
        <f>SUM(F412:F426)</f>
        <v>55900919.88680204</v>
      </c>
      <c r="G427" s="53">
        <f>SUM(G412:G426)</f>
        <v>0</v>
      </c>
      <c r="H427" s="55">
        <f>SUM(H412:H426)</f>
        <v>55900919.88680204</v>
      </c>
      <c r="I427" s="55"/>
      <c r="J427" s="55">
        <f>SUM(J412:J426)</f>
        <v>0</v>
      </c>
      <c r="K427" s="55">
        <f>SUM(K412:K426)</f>
        <v>51181012.648462616</v>
      </c>
      <c r="L427" s="55">
        <f>SUM(L412:L426)</f>
        <v>2945530.7488709055</v>
      </c>
      <c r="M427" s="55">
        <f>SUM(M412:M426)</f>
        <v>1774376.4894685152</v>
      </c>
      <c r="N427" s="23"/>
      <c r="O427" s="3"/>
      <c r="P427" s="1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</row>
    <row r="428" spans="1:53" x14ac:dyDescent="0.2">
      <c r="A428" s="3">
        <f t="shared" si="68"/>
        <v>45</v>
      </c>
      <c r="B428" s="3"/>
      <c r="C428" s="3"/>
      <c r="D428" s="3"/>
      <c r="E428" s="49"/>
      <c r="F428" s="49"/>
      <c r="G428" s="49"/>
      <c r="H428" s="55"/>
      <c r="I428" s="55"/>
      <c r="J428" s="55"/>
      <c r="K428" s="55"/>
      <c r="L428" s="55"/>
      <c r="M428" s="55"/>
      <c r="N428" s="23"/>
      <c r="O428" s="3"/>
      <c r="P428" s="1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</row>
    <row r="429" spans="1:53" x14ac:dyDescent="0.2">
      <c r="A429" s="3">
        <f t="shared" si="68"/>
        <v>46</v>
      </c>
      <c r="B429" s="3"/>
      <c r="C429" s="3" t="s">
        <v>271</v>
      </c>
      <c r="D429" s="3"/>
      <c r="E429" s="49"/>
      <c r="F429" s="53">
        <f>+F427+F407+F377</f>
        <v>201331348.60036153</v>
      </c>
      <c r="G429" s="53">
        <f>+G427+G407+G377</f>
        <v>0</v>
      </c>
      <c r="H429" s="55">
        <f>H377+H407+H427</f>
        <v>201331348.60036156</v>
      </c>
      <c r="I429" s="55"/>
      <c r="J429" s="55">
        <f>J377+J407+J427</f>
        <v>0</v>
      </c>
      <c r="K429" s="55">
        <f>K377+K407+K427</f>
        <v>160396737.2770116</v>
      </c>
      <c r="L429" s="55">
        <f>L377+L407+L427</f>
        <v>24275502.986472659</v>
      </c>
      <c r="M429" s="55">
        <f>M377+M407+M427</f>
        <v>16659108.336877264</v>
      </c>
      <c r="N429" s="23"/>
      <c r="O429" s="3"/>
      <c r="P429" s="1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</row>
    <row r="430" spans="1:53" x14ac:dyDescent="0.2">
      <c r="A430" s="3"/>
      <c r="B430" s="3"/>
      <c r="C430" s="3"/>
      <c r="D430" s="3"/>
      <c r="E430" s="49"/>
      <c r="F430" s="49"/>
      <c r="G430" s="49"/>
      <c r="H430" s="55"/>
      <c r="I430" s="55"/>
      <c r="J430" s="55"/>
      <c r="K430" s="55"/>
      <c r="L430" s="55"/>
      <c r="M430" s="55"/>
      <c r="N430" s="23"/>
      <c r="O430" s="3"/>
      <c r="P430" s="1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</row>
    <row r="431" spans="1:53" x14ac:dyDescent="0.2">
      <c r="A431" s="3"/>
      <c r="B431" s="3"/>
      <c r="C431" s="3"/>
      <c r="D431" s="3"/>
      <c r="E431" s="49"/>
      <c r="F431" s="49"/>
      <c r="G431" s="49"/>
      <c r="H431" s="55"/>
      <c r="I431" s="55"/>
      <c r="J431" s="55"/>
      <c r="K431" s="55"/>
      <c r="L431" s="55"/>
      <c r="M431" s="55"/>
      <c r="N431" s="23"/>
      <c r="O431" s="3"/>
      <c r="P431" s="1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</row>
    <row r="432" spans="1:53" s="173" customFormat="1" x14ac:dyDescent="0.2">
      <c r="A432" s="3"/>
      <c r="B432" s="7" t="s">
        <v>272</v>
      </c>
      <c r="C432" s="18"/>
      <c r="D432" s="18"/>
      <c r="E432" s="58"/>
      <c r="F432" s="58"/>
      <c r="G432" s="58"/>
      <c r="H432" s="58"/>
      <c r="I432" s="58"/>
      <c r="J432" s="58"/>
      <c r="K432" s="58"/>
      <c r="L432" s="58"/>
      <c r="M432" s="58"/>
      <c r="N432" s="23"/>
      <c r="O432" s="3"/>
      <c r="P432" s="1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</row>
    <row r="433" spans="1:53" x14ac:dyDescent="0.2">
      <c r="A433" s="3"/>
      <c r="B433" s="3"/>
      <c r="C433" s="3"/>
      <c r="D433" s="3"/>
      <c r="E433" s="49"/>
      <c r="F433" s="49"/>
      <c r="G433" s="49"/>
      <c r="H433" s="55"/>
      <c r="I433" s="55"/>
      <c r="J433" s="55"/>
      <c r="K433" s="55"/>
      <c r="L433" s="55"/>
      <c r="M433" s="55"/>
      <c r="N433" s="23"/>
      <c r="O433" s="3"/>
      <c r="P433" s="1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</row>
    <row r="434" spans="1:53" x14ac:dyDescent="0.2">
      <c r="A434" s="3">
        <v>1</v>
      </c>
      <c r="B434" s="3" t="s">
        <v>273</v>
      </c>
      <c r="C434" s="3"/>
      <c r="D434" s="3"/>
      <c r="E434" s="49"/>
      <c r="F434" s="49"/>
      <c r="G434" s="49"/>
      <c r="H434" s="55"/>
      <c r="I434" s="55"/>
      <c r="J434" s="55"/>
      <c r="K434" s="55"/>
      <c r="L434" s="55"/>
      <c r="M434" s="55"/>
      <c r="N434" s="23"/>
      <c r="O434" s="3"/>
      <c r="P434" s="1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</row>
    <row r="435" spans="1:53" x14ac:dyDescent="0.2">
      <c r="A435" s="3">
        <f>1+A434</f>
        <v>2</v>
      </c>
      <c r="B435" s="3" t="s">
        <v>147</v>
      </c>
      <c r="C435" s="3" t="s">
        <v>148</v>
      </c>
      <c r="D435" s="78" t="s">
        <v>431</v>
      </c>
      <c r="E435" s="49" t="s">
        <v>631</v>
      </c>
      <c r="F435" s="53">
        <f>+H435</f>
        <v>0</v>
      </c>
      <c r="G435" s="53">
        <f>+H435-F435</f>
        <v>0</v>
      </c>
      <c r="H435" s="72">
        <f>SUM(J435:M435)</f>
        <v>0</v>
      </c>
      <c r="I435" s="61"/>
      <c r="J435" s="61"/>
      <c r="K435" s="61">
        <v>0</v>
      </c>
      <c r="L435" s="61">
        <v>0</v>
      </c>
      <c r="M435" s="61">
        <v>0</v>
      </c>
      <c r="N435" s="23"/>
      <c r="O435" s="3"/>
      <c r="P435" s="1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</row>
    <row r="436" spans="1:53" x14ac:dyDescent="0.2">
      <c r="A436" s="3">
        <f t="shared" ref="A436:A495" si="73">1+A435</f>
        <v>3</v>
      </c>
      <c r="B436" s="3" t="s">
        <v>149</v>
      </c>
      <c r="C436" s="3" t="s">
        <v>150</v>
      </c>
      <c r="D436" s="78" t="s">
        <v>431</v>
      </c>
      <c r="E436" s="49" t="s">
        <v>631</v>
      </c>
      <c r="F436" s="53">
        <f>+H436</f>
        <v>0</v>
      </c>
      <c r="G436" s="53">
        <f>+H436-F436</f>
        <v>0</v>
      </c>
      <c r="H436" s="72">
        <f>SUM(J436:M436)</f>
        <v>0</v>
      </c>
      <c r="I436" s="61"/>
      <c r="J436" s="61"/>
      <c r="K436" s="61">
        <v>0</v>
      </c>
      <c r="L436" s="61">
        <v>0</v>
      </c>
      <c r="M436" s="61">
        <v>0</v>
      </c>
      <c r="N436" s="23"/>
      <c r="O436" s="3"/>
      <c r="P436" s="1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</row>
    <row r="437" spans="1:53" x14ac:dyDescent="0.2">
      <c r="A437" s="3">
        <f t="shared" si="73"/>
        <v>4</v>
      </c>
      <c r="B437" s="3"/>
      <c r="C437" s="3" t="s">
        <v>308</v>
      </c>
      <c r="D437" s="3"/>
      <c r="E437" s="49"/>
      <c r="F437" s="53">
        <f>SUM(F435:F436)</f>
        <v>0</v>
      </c>
      <c r="G437" s="53">
        <f>SUM(G435:G436)</f>
        <v>0</v>
      </c>
      <c r="H437" s="55">
        <f>+H435+H436</f>
        <v>0</v>
      </c>
      <c r="I437" s="55"/>
      <c r="J437" s="55">
        <f>+J435+J436</f>
        <v>0</v>
      </c>
      <c r="K437" s="55">
        <f>+K435+K436</f>
        <v>0</v>
      </c>
      <c r="L437" s="55">
        <f>+L435+L436</f>
        <v>0</v>
      </c>
      <c r="M437" s="55">
        <f>+M435+M436</f>
        <v>0</v>
      </c>
      <c r="N437" s="23"/>
      <c r="O437" s="3"/>
      <c r="P437" s="1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</row>
    <row r="438" spans="1:53" x14ac:dyDescent="0.2">
      <c r="A438" s="3">
        <f t="shared" si="73"/>
        <v>5</v>
      </c>
      <c r="B438" s="3"/>
      <c r="C438" s="3"/>
      <c r="D438" s="3"/>
      <c r="E438" s="49"/>
      <c r="F438" s="53"/>
      <c r="G438" s="53"/>
      <c r="H438" s="55"/>
      <c r="I438" s="55"/>
      <c r="J438" s="55"/>
      <c r="K438" s="55"/>
      <c r="L438" s="55"/>
      <c r="M438" s="55"/>
      <c r="N438" s="23"/>
      <c r="O438" s="3"/>
      <c r="P438" s="9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</row>
    <row r="439" spans="1:53" x14ac:dyDescent="0.2">
      <c r="A439" s="3">
        <f t="shared" si="73"/>
        <v>6</v>
      </c>
      <c r="B439" s="3"/>
      <c r="C439" s="3" t="s">
        <v>275</v>
      </c>
      <c r="D439" s="3"/>
      <c r="E439" s="49"/>
      <c r="F439" s="53">
        <f>+F437</f>
        <v>0</v>
      </c>
      <c r="G439" s="53">
        <f>+G437</f>
        <v>0</v>
      </c>
      <c r="H439" s="55">
        <f>+H437</f>
        <v>0</v>
      </c>
      <c r="I439" s="55"/>
      <c r="J439" s="55">
        <f>+J437</f>
        <v>0</v>
      </c>
      <c r="K439" s="55">
        <f>+K437</f>
        <v>0</v>
      </c>
      <c r="L439" s="55">
        <f>+L437</f>
        <v>0</v>
      </c>
      <c r="M439" s="55">
        <f>+M437</f>
        <v>0</v>
      </c>
      <c r="N439" s="23"/>
      <c r="O439" s="3"/>
      <c r="P439" s="9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</row>
    <row r="440" spans="1:53" x14ac:dyDescent="0.2">
      <c r="A440" s="3">
        <f t="shared" si="73"/>
        <v>7</v>
      </c>
      <c r="B440" s="3"/>
      <c r="C440" s="3"/>
      <c r="D440" s="3"/>
      <c r="E440" s="49"/>
      <c r="F440" s="53"/>
      <c r="G440" s="53"/>
      <c r="H440" s="55"/>
      <c r="I440" s="55"/>
      <c r="J440" s="55"/>
      <c r="K440" s="55"/>
      <c r="L440" s="55"/>
      <c r="M440" s="55"/>
      <c r="N440" s="23"/>
      <c r="O440" s="3"/>
      <c r="P440" s="9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</row>
    <row r="441" spans="1:53" x14ac:dyDescent="0.2">
      <c r="A441" s="3">
        <f t="shared" si="73"/>
        <v>8</v>
      </c>
      <c r="B441" s="3"/>
      <c r="C441" s="3"/>
      <c r="D441" s="3"/>
      <c r="E441" s="49"/>
      <c r="F441" s="53"/>
      <c r="G441" s="53"/>
      <c r="H441" s="55"/>
      <c r="I441" s="55"/>
      <c r="J441" s="55"/>
      <c r="K441" s="55"/>
      <c r="L441" s="55"/>
      <c r="M441" s="55"/>
      <c r="N441" s="23"/>
      <c r="O441" s="3"/>
      <c r="P441" s="9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</row>
    <row r="442" spans="1:53" x14ac:dyDescent="0.2">
      <c r="A442" s="3">
        <f t="shared" si="73"/>
        <v>9</v>
      </c>
      <c r="B442" s="7" t="s">
        <v>274</v>
      </c>
      <c r="C442" s="3"/>
      <c r="D442" s="3"/>
      <c r="E442" s="49"/>
      <c r="F442" s="53"/>
      <c r="G442" s="53"/>
      <c r="H442" s="55"/>
      <c r="I442" s="55"/>
      <c r="J442" s="55"/>
      <c r="K442" s="55"/>
      <c r="L442" s="55"/>
      <c r="M442" s="55"/>
      <c r="N442" s="23"/>
      <c r="O442" s="3"/>
      <c r="P442" s="9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</row>
    <row r="443" spans="1:53" x14ac:dyDescent="0.2">
      <c r="A443" s="3">
        <f t="shared" si="73"/>
        <v>10</v>
      </c>
      <c r="B443" s="7"/>
      <c r="C443" s="3"/>
      <c r="D443" s="3"/>
      <c r="E443" s="49"/>
      <c r="F443" s="53"/>
      <c r="G443" s="53"/>
      <c r="H443" s="55"/>
      <c r="I443" s="55"/>
      <c r="J443" s="55"/>
      <c r="K443" s="55"/>
      <c r="L443" s="55"/>
      <c r="M443" s="55"/>
      <c r="N443" s="23"/>
      <c r="O443" s="3"/>
      <c r="P443" s="1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</row>
    <row r="444" spans="1:53" x14ac:dyDescent="0.2">
      <c r="A444" s="3">
        <f t="shared" si="73"/>
        <v>11</v>
      </c>
      <c r="B444" s="3" t="s">
        <v>276</v>
      </c>
      <c r="C444" s="3"/>
      <c r="D444" s="3"/>
      <c r="E444" s="49"/>
      <c r="F444" s="53"/>
      <c r="G444" s="53"/>
      <c r="H444" s="55"/>
      <c r="I444" s="55"/>
      <c r="J444" s="55"/>
      <c r="K444" s="55"/>
      <c r="L444" s="55"/>
      <c r="M444" s="55"/>
      <c r="N444" s="23"/>
      <c r="O444" s="3"/>
      <c r="P444" s="1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</row>
    <row r="445" spans="1:53" x14ac:dyDescent="0.2">
      <c r="A445" s="3">
        <f t="shared" si="73"/>
        <v>12</v>
      </c>
      <c r="B445" s="3"/>
      <c r="C445" s="3" t="s">
        <v>140</v>
      </c>
      <c r="D445" s="3"/>
      <c r="E445" s="49"/>
      <c r="F445" s="53"/>
      <c r="G445" s="53"/>
      <c r="H445" s="55"/>
      <c r="I445" s="55"/>
      <c r="J445" s="55"/>
      <c r="K445" s="55"/>
      <c r="L445" s="55"/>
      <c r="M445" s="55"/>
      <c r="N445" s="23"/>
      <c r="O445" s="3"/>
      <c r="P445" s="1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</row>
    <row r="446" spans="1:53" x14ac:dyDescent="0.2">
      <c r="A446" s="3">
        <f t="shared" si="73"/>
        <v>13</v>
      </c>
      <c r="B446" s="3" t="s">
        <v>153</v>
      </c>
      <c r="C446" s="3" t="s">
        <v>145</v>
      </c>
      <c r="D446" s="176" t="str">
        <f>D326</f>
        <v>Direct Assign</v>
      </c>
      <c r="E446" s="49" t="s">
        <v>631</v>
      </c>
      <c r="F446" s="53">
        <f>+H446</f>
        <v>0</v>
      </c>
      <c r="G446" s="53">
        <f t="shared" ref="G446:G453" si="74">+H446-F446</f>
        <v>0</v>
      </c>
      <c r="H446" s="72">
        <f t="shared" ref="H446:H453" si="75">SUM(J446:M446)</f>
        <v>0</v>
      </c>
      <c r="I446" s="61"/>
      <c r="J446" s="61"/>
      <c r="K446" s="61">
        <v>0</v>
      </c>
      <c r="L446" s="61">
        <v>0</v>
      </c>
      <c r="M446" s="61">
        <v>0</v>
      </c>
      <c r="N446" s="23"/>
      <c r="O446" s="3"/>
      <c r="P446" s="1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</row>
    <row r="447" spans="1:53" x14ac:dyDescent="0.2">
      <c r="A447" s="3">
        <f t="shared" si="73"/>
        <v>14</v>
      </c>
      <c r="B447" s="3" t="s">
        <v>154</v>
      </c>
      <c r="C447" s="3" t="s">
        <v>155</v>
      </c>
      <c r="D447" s="176" t="str">
        <f t="shared" ref="D447:D452" si="76">D326</f>
        <v>Direct Assign</v>
      </c>
      <c r="E447" s="49" t="s">
        <v>631</v>
      </c>
      <c r="F447" s="53">
        <f t="shared" ref="F447:F453" si="77">+H447</f>
        <v>0</v>
      </c>
      <c r="G447" s="53">
        <f t="shared" si="74"/>
        <v>0</v>
      </c>
      <c r="H447" s="72">
        <f t="shared" si="75"/>
        <v>0</v>
      </c>
      <c r="I447" s="61"/>
      <c r="J447" s="61"/>
      <c r="K447" s="61">
        <v>0</v>
      </c>
      <c r="L447" s="61">
        <v>0</v>
      </c>
      <c r="M447" s="61">
        <v>0</v>
      </c>
      <c r="N447" s="23"/>
      <c r="O447" s="3"/>
      <c r="P447" s="1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</row>
    <row r="448" spans="1:53" x14ac:dyDescent="0.2">
      <c r="A448" s="3">
        <f t="shared" si="73"/>
        <v>15</v>
      </c>
      <c r="B448" s="3" t="s">
        <v>156</v>
      </c>
      <c r="C448" s="3" t="s">
        <v>38</v>
      </c>
      <c r="D448" s="176" t="str">
        <f t="shared" si="76"/>
        <v>Direct Assign</v>
      </c>
      <c r="E448" s="49" t="s">
        <v>631</v>
      </c>
      <c r="F448" s="53">
        <f t="shared" si="77"/>
        <v>0</v>
      </c>
      <c r="G448" s="53">
        <f t="shared" si="74"/>
        <v>0</v>
      </c>
      <c r="H448" s="72">
        <f t="shared" si="75"/>
        <v>0</v>
      </c>
      <c r="I448" s="61"/>
      <c r="J448" s="61"/>
      <c r="K448" s="61">
        <v>0</v>
      </c>
      <c r="L448" s="61">
        <v>0</v>
      </c>
      <c r="M448" s="61">
        <v>0</v>
      </c>
      <c r="N448" s="23"/>
      <c r="O448" s="3"/>
      <c r="P448" s="1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</row>
    <row r="449" spans="1:53" x14ac:dyDescent="0.2">
      <c r="A449" s="3">
        <f t="shared" si="73"/>
        <v>16</v>
      </c>
      <c r="B449" s="3" t="s">
        <v>157</v>
      </c>
      <c r="C449" s="3" t="s">
        <v>158</v>
      </c>
      <c r="D449" s="176" t="str">
        <f t="shared" si="76"/>
        <v>Direct Assign</v>
      </c>
      <c r="E449" s="49" t="s">
        <v>631</v>
      </c>
      <c r="F449" s="53">
        <f t="shared" si="77"/>
        <v>0</v>
      </c>
      <c r="G449" s="53">
        <f t="shared" si="74"/>
        <v>0</v>
      </c>
      <c r="H449" s="72">
        <f t="shared" si="75"/>
        <v>0</v>
      </c>
      <c r="I449" s="61"/>
      <c r="J449" s="61"/>
      <c r="K449" s="61">
        <v>0</v>
      </c>
      <c r="L449" s="61">
        <v>0</v>
      </c>
      <c r="M449" s="61">
        <v>0</v>
      </c>
      <c r="N449" s="23"/>
      <c r="O449" s="3"/>
      <c r="P449" s="1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</row>
    <row r="450" spans="1:53" x14ac:dyDescent="0.2">
      <c r="A450" s="3">
        <f t="shared" si="73"/>
        <v>17</v>
      </c>
      <c r="B450" s="3" t="s">
        <v>159</v>
      </c>
      <c r="C450" s="3" t="s">
        <v>160</v>
      </c>
      <c r="D450" s="176" t="str">
        <f t="shared" si="76"/>
        <v>Direct Assign</v>
      </c>
      <c r="E450" s="49" t="s">
        <v>631</v>
      </c>
      <c r="F450" s="53">
        <f t="shared" si="77"/>
        <v>0</v>
      </c>
      <c r="G450" s="53">
        <f t="shared" si="74"/>
        <v>0</v>
      </c>
      <c r="H450" s="72">
        <f t="shared" si="75"/>
        <v>0</v>
      </c>
      <c r="I450" s="61"/>
      <c r="J450" s="61"/>
      <c r="K450" s="61">
        <v>0</v>
      </c>
      <c r="L450" s="61">
        <v>0</v>
      </c>
      <c r="M450" s="61">
        <v>0</v>
      </c>
      <c r="N450" s="23"/>
      <c r="O450" s="3"/>
      <c r="P450" s="1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</row>
    <row r="451" spans="1:53" x14ac:dyDescent="0.2">
      <c r="A451" s="3">
        <f t="shared" si="73"/>
        <v>18</v>
      </c>
      <c r="B451" s="3" t="s">
        <v>161</v>
      </c>
      <c r="C451" s="3" t="s">
        <v>277</v>
      </c>
      <c r="D451" s="176" t="str">
        <f t="shared" si="76"/>
        <v>Direct Assign</v>
      </c>
      <c r="E451" s="49" t="s">
        <v>631</v>
      </c>
      <c r="F451" s="53">
        <f t="shared" si="77"/>
        <v>0</v>
      </c>
      <c r="G451" s="53">
        <f t="shared" si="74"/>
        <v>0</v>
      </c>
      <c r="H451" s="72">
        <f t="shared" si="75"/>
        <v>0</v>
      </c>
      <c r="I451" s="61"/>
      <c r="J451" s="61"/>
      <c r="K451" s="61">
        <v>0</v>
      </c>
      <c r="L451" s="61">
        <v>0</v>
      </c>
      <c r="M451" s="61">
        <v>0</v>
      </c>
      <c r="N451" s="23"/>
      <c r="O451" s="3"/>
      <c r="P451" s="1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</row>
    <row r="452" spans="1:53" x14ac:dyDescent="0.2">
      <c r="A452" s="3">
        <f t="shared" si="73"/>
        <v>19</v>
      </c>
      <c r="B452" s="3" t="s">
        <v>162</v>
      </c>
      <c r="C452" s="3" t="s">
        <v>163</v>
      </c>
      <c r="D452" s="176" t="str">
        <f t="shared" si="76"/>
        <v>Direct Assign</v>
      </c>
      <c r="E452" s="49" t="s">
        <v>631</v>
      </c>
      <c r="F452" s="53">
        <f t="shared" si="77"/>
        <v>0</v>
      </c>
      <c r="G452" s="53">
        <f t="shared" si="74"/>
        <v>0</v>
      </c>
      <c r="H452" s="72">
        <f t="shared" si="75"/>
        <v>0</v>
      </c>
      <c r="I452" s="61"/>
      <c r="J452" s="61"/>
      <c r="K452" s="61">
        <v>0</v>
      </c>
      <c r="L452" s="61">
        <v>0</v>
      </c>
      <c r="M452" s="61">
        <v>0</v>
      </c>
      <c r="N452" s="23"/>
      <c r="O452" s="3"/>
      <c r="P452" s="1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</row>
    <row r="453" spans="1:53" x14ac:dyDescent="0.2">
      <c r="A453" s="3">
        <f t="shared" si="73"/>
        <v>20</v>
      </c>
      <c r="B453" s="3" t="s">
        <v>164</v>
      </c>
      <c r="C453" s="3" t="s">
        <v>141</v>
      </c>
      <c r="D453" s="176" t="str">
        <f>D333</f>
        <v>Direct Assign</v>
      </c>
      <c r="E453" s="49" t="s">
        <v>631</v>
      </c>
      <c r="F453" s="53">
        <f t="shared" si="77"/>
        <v>0</v>
      </c>
      <c r="G453" s="53">
        <f t="shared" si="74"/>
        <v>0</v>
      </c>
      <c r="H453" s="72">
        <f t="shared" si="75"/>
        <v>0</v>
      </c>
      <c r="I453" s="61"/>
      <c r="J453" s="61"/>
      <c r="K453" s="61">
        <v>0</v>
      </c>
      <c r="L453" s="61">
        <v>0</v>
      </c>
      <c r="M453" s="61">
        <v>0</v>
      </c>
      <c r="N453" s="23"/>
      <c r="O453" s="3"/>
      <c r="P453" s="1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</row>
    <row r="454" spans="1:53" x14ac:dyDescent="0.2">
      <c r="A454" s="3">
        <f t="shared" si="73"/>
        <v>21</v>
      </c>
      <c r="B454" s="3"/>
      <c r="C454" s="3" t="s">
        <v>135</v>
      </c>
      <c r="D454" s="3"/>
      <c r="E454" s="49"/>
      <c r="F454" s="53">
        <f>SUM(F446:F453)</f>
        <v>0</v>
      </c>
      <c r="G454" s="53">
        <f>SUM(G446:G453)</f>
        <v>0</v>
      </c>
      <c r="H454" s="55">
        <f>SUM(H446:H453)</f>
        <v>0</v>
      </c>
      <c r="I454" s="55"/>
      <c r="J454" s="55">
        <f>SUM(J446:J453)</f>
        <v>0</v>
      </c>
      <c r="K454" s="55">
        <f>SUM(K446:K453)</f>
        <v>0</v>
      </c>
      <c r="L454" s="55">
        <f>SUM(L446:L453)</f>
        <v>0</v>
      </c>
      <c r="M454" s="55">
        <f>SUM(M446:M453)</f>
        <v>0</v>
      </c>
      <c r="N454" s="23"/>
      <c r="O454" s="3"/>
      <c r="P454" s="1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</row>
    <row r="455" spans="1:53" x14ac:dyDescent="0.2">
      <c r="A455" s="3">
        <f t="shared" si="73"/>
        <v>22</v>
      </c>
      <c r="B455" s="3"/>
      <c r="C455" s="3"/>
      <c r="D455" s="3"/>
      <c r="E455" s="49"/>
      <c r="F455" s="53"/>
      <c r="G455" s="53"/>
      <c r="H455" s="55"/>
      <c r="I455" s="55"/>
      <c r="J455" s="55"/>
      <c r="K455" s="55"/>
      <c r="L455" s="55"/>
      <c r="M455" s="55"/>
      <c r="N455" s="23"/>
      <c r="O455" s="3"/>
      <c r="P455" s="1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</row>
    <row r="456" spans="1:53" x14ac:dyDescent="0.2">
      <c r="A456" s="3">
        <f t="shared" si="73"/>
        <v>23</v>
      </c>
      <c r="B456" s="3"/>
      <c r="C456" s="3" t="s">
        <v>142</v>
      </c>
      <c r="D456" s="3"/>
      <c r="E456" s="49"/>
      <c r="F456" s="53"/>
      <c r="G456" s="53"/>
      <c r="H456" s="55"/>
      <c r="I456" s="55"/>
      <c r="J456" s="55"/>
      <c r="K456" s="55"/>
      <c r="L456" s="55"/>
      <c r="M456" s="55"/>
      <c r="N456" s="23"/>
      <c r="O456" s="3"/>
      <c r="P456" s="1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</row>
    <row r="457" spans="1:53" x14ac:dyDescent="0.2">
      <c r="A457" s="3">
        <f t="shared" si="73"/>
        <v>24</v>
      </c>
      <c r="B457" s="3" t="s">
        <v>165</v>
      </c>
      <c r="C457" s="3" t="s">
        <v>146</v>
      </c>
      <c r="D457" s="176" t="str">
        <f t="shared" ref="D457:D462" si="78">D338</f>
        <v>Direct Assign</v>
      </c>
      <c r="E457" s="49" t="s">
        <v>631</v>
      </c>
      <c r="F457" s="53">
        <f t="shared" ref="F457:F462" si="79">+H457</f>
        <v>0</v>
      </c>
      <c r="G457" s="53">
        <f t="shared" ref="G457:G462" si="80">+H457-F457</f>
        <v>0</v>
      </c>
      <c r="H457" s="72">
        <f t="shared" ref="H457:H462" si="81">SUM(J457:M457)</f>
        <v>0</v>
      </c>
      <c r="I457" s="61"/>
      <c r="J457" s="61"/>
      <c r="K457" s="61">
        <v>0</v>
      </c>
      <c r="L457" s="61">
        <v>0</v>
      </c>
      <c r="M457" s="61">
        <v>0</v>
      </c>
      <c r="N457" s="23"/>
      <c r="O457" s="3"/>
      <c r="P457" s="1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</row>
    <row r="458" spans="1:53" x14ac:dyDescent="0.2">
      <c r="A458" s="3">
        <f t="shared" si="73"/>
        <v>25</v>
      </c>
      <c r="B458" s="3" t="s">
        <v>166</v>
      </c>
      <c r="C458" s="3" t="s">
        <v>143</v>
      </c>
      <c r="D458" s="176" t="str">
        <f t="shared" si="78"/>
        <v>Direct Assign</v>
      </c>
      <c r="E458" s="49" t="s">
        <v>631</v>
      </c>
      <c r="F458" s="53">
        <f t="shared" si="79"/>
        <v>0</v>
      </c>
      <c r="G458" s="53">
        <f t="shared" si="80"/>
        <v>0</v>
      </c>
      <c r="H458" s="72">
        <f t="shared" si="81"/>
        <v>0</v>
      </c>
      <c r="I458" s="61"/>
      <c r="J458" s="61"/>
      <c r="K458" s="61">
        <v>0</v>
      </c>
      <c r="L458" s="61">
        <v>0</v>
      </c>
      <c r="M458" s="61">
        <v>0</v>
      </c>
      <c r="N458" s="23"/>
      <c r="O458" s="3"/>
      <c r="P458" s="1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</row>
    <row r="459" spans="1:53" x14ac:dyDescent="0.2">
      <c r="A459" s="3">
        <f t="shared" si="73"/>
        <v>26</v>
      </c>
      <c r="B459" s="3" t="s">
        <v>167</v>
      </c>
      <c r="C459" s="3" t="s">
        <v>168</v>
      </c>
      <c r="D459" s="176" t="str">
        <f t="shared" si="78"/>
        <v>Direct Assign</v>
      </c>
      <c r="E459" s="49" t="s">
        <v>631</v>
      </c>
      <c r="F459" s="53">
        <f t="shared" si="79"/>
        <v>0</v>
      </c>
      <c r="G459" s="53">
        <f t="shared" si="80"/>
        <v>0</v>
      </c>
      <c r="H459" s="72">
        <f t="shared" si="81"/>
        <v>0</v>
      </c>
      <c r="I459" s="61"/>
      <c r="J459" s="61">
        <v>0</v>
      </c>
      <c r="K459" s="61">
        <v>0</v>
      </c>
      <c r="L459" s="61">
        <v>0</v>
      </c>
      <c r="M459" s="61">
        <v>0</v>
      </c>
      <c r="N459" s="23"/>
      <c r="O459" s="3"/>
      <c r="P459" s="1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</row>
    <row r="460" spans="1:53" x14ac:dyDescent="0.2">
      <c r="A460" s="3">
        <f t="shared" si="73"/>
        <v>27</v>
      </c>
      <c r="B460" s="3" t="s">
        <v>169</v>
      </c>
      <c r="C460" s="3" t="s">
        <v>170</v>
      </c>
      <c r="D460" s="176" t="str">
        <f t="shared" si="78"/>
        <v>Direct Assign</v>
      </c>
      <c r="E460" s="49" t="s">
        <v>631</v>
      </c>
      <c r="F460" s="53">
        <f t="shared" si="79"/>
        <v>0</v>
      </c>
      <c r="G460" s="53">
        <f t="shared" si="80"/>
        <v>0</v>
      </c>
      <c r="H460" s="72">
        <f t="shared" si="81"/>
        <v>0</v>
      </c>
      <c r="I460" s="61"/>
      <c r="J460" s="61"/>
      <c r="K460" s="61">
        <v>0</v>
      </c>
      <c r="L460" s="61">
        <v>0</v>
      </c>
      <c r="M460" s="61">
        <v>0</v>
      </c>
      <c r="N460" s="23"/>
      <c r="O460" s="3"/>
      <c r="P460" s="1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</row>
    <row r="461" spans="1:53" x14ac:dyDescent="0.2">
      <c r="A461" s="3">
        <f t="shared" si="73"/>
        <v>28</v>
      </c>
      <c r="B461" s="3" t="s">
        <v>171</v>
      </c>
      <c r="C461" s="3" t="s">
        <v>172</v>
      </c>
      <c r="D461" s="176" t="str">
        <f t="shared" si="78"/>
        <v>Direct Assign</v>
      </c>
      <c r="E461" s="49" t="s">
        <v>631</v>
      </c>
      <c r="F461" s="53">
        <f t="shared" si="79"/>
        <v>0</v>
      </c>
      <c r="G461" s="53">
        <f t="shared" si="80"/>
        <v>0</v>
      </c>
      <c r="H461" s="72">
        <f t="shared" si="81"/>
        <v>0</v>
      </c>
      <c r="I461" s="61"/>
      <c r="J461" s="61"/>
      <c r="K461" s="61">
        <v>0</v>
      </c>
      <c r="L461" s="61">
        <v>0</v>
      </c>
      <c r="M461" s="61">
        <v>0</v>
      </c>
      <c r="N461" s="23"/>
      <c r="O461" s="3"/>
      <c r="P461" s="1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</row>
    <row r="462" spans="1:53" x14ac:dyDescent="0.2">
      <c r="A462" s="3">
        <f t="shared" si="73"/>
        <v>29</v>
      </c>
      <c r="B462" s="3" t="s">
        <v>173</v>
      </c>
      <c r="C462" s="3" t="s">
        <v>174</v>
      </c>
      <c r="D462" s="176" t="str">
        <f t="shared" si="78"/>
        <v>Direct Assign</v>
      </c>
      <c r="E462" s="49" t="s">
        <v>631</v>
      </c>
      <c r="F462" s="53">
        <f t="shared" si="79"/>
        <v>0</v>
      </c>
      <c r="G462" s="53">
        <f t="shared" si="80"/>
        <v>0</v>
      </c>
      <c r="H462" s="72">
        <f t="shared" si="81"/>
        <v>0</v>
      </c>
      <c r="I462" s="61"/>
      <c r="J462" s="61"/>
      <c r="K462" s="61">
        <v>0</v>
      </c>
      <c r="L462" s="61">
        <v>0</v>
      </c>
      <c r="M462" s="61">
        <v>0</v>
      </c>
      <c r="N462" s="23"/>
      <c r="O462" s="3"/>
      <c r="P462" s="1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</row>
    <row r="463" spans="1:53" x14ac:dyDescent="0.2">
      <c r="A463" s="3">
        <f t="shared" si="73"/>
        <v>30</v>
      </c>
      <c r="B463" s="3"/>
      <c r="C463" s="3" t="s">
        <v>135</v>
      </c>
      <c r="D463" s="3"/>
      <c r="E463" s="49"/>
      <c r="F463" s="53">
        <f>SUM(F457:F462)</f>
        <v>0</v>
      </c>
      <c r="G463" s="53">
        <f>SUM(G457:G462)</f>
        <v>0</v>
      </c>
      <c r="H463" s="55">
        <f>SUM(H457:H462)</f>
        <v>0</v>
      </c>
      <c r="I463" s="55"/>
      <c r="J463" s="55">
        <f>SUM(J457:J462)</f>
        <v>0</v>
      </c>
      <c r="K463" s="55">
        <f>SUM(K457:K462)</f>
        <v>0</v>
      </c>
      <c r="L463" s="55">
        <f>SUM(L457:L462)</f>
        <v>0</v>
      </c>
      <c r="M463" s="55">
        <f>SUM(M457:M462)</f>
        <v>0</v>
      </c>
      <c r="N463" s="23"/>
      <c r="O463" s="3"/>
      <c r="P463" s="1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</row>
    <row r="464" spans="1:53" x14ac:dyDescent="0.2">
      <c r="A464" s="3">
        <f t="shared" si="73"/>
        <v>31</v>
      </c>
      <c r="B464" s="3"/>
      <c r="C464" s="3"/>
      <c r="D464" s="3"/>
      <c r="E464" s="49"/>
      <c r="F464" s="53"/>
      <c r="G464" s="53"/>
      <c r="H464" s="55"/>
      <c r="I464" s="55"/>
      <c r="J464" s="55"/>
      <c r="K464" s="55"/>
      <c r="L464" s="55"/>
      <c r="M464" s="55"/>
      <c r="N464" s="23"/>
      <c r="O464" s="3"/>
      <c r="P464" s="1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</row>
    <row r="465" spans="1:53" x14ac:dyDescent="0.2">
      <c r="A465" s="3">
        <f t="shared" si="73"/>
        <v>32</v>
      </c>
      <c r="B465" s="3"/>
      <c r="C465" s="3" t="s">
        <v>278</v>
      </c>
      <c r="D465" s="3"/>
      <c r="E465" s="49"/>
      <c r="F465" s="53">
        <f>+F463+F454</f>
        <v>0</v>
      </c>
      <c r="G465" s="53">
        <f>+G463+G454</f>
        <v>0</v>
      </c>
      <c r="H465" s="55">
        <f>H454+H463</f>
        <v>0</v>
      </c>
      <c r="I465" s="55"/>
      <c r="J465" s="55">
        <f>J454+J463</f>
        <v>0</v>
      </c>
      <c r="K465" s="55">
        <f>K454+K463</f>
        <v>0</v>
      </c>
      <c r="L465" s="55">
        <f>L454+L463</f>
        <v>0</v>
      </c>
      <c r="M465" s="55">
        <f>M454+M463</f>
        <v>0</v>
      </c>
      <c r="N465" s="23"/>
      <c r="O465" s="3"/>
      <c r="P465" s="1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</row>
    <row r="466" spans="1:53" x14ac:dyDescent="0.2">
      <c r="A466" s="3">
        <f t="shared" si="73"/>
        <v>33</v>
      </c>
      <c r="B466" s="3"/>
      <c r="C466" s="3"/>
      <c r="D466" s="3"/>
      <c r="E466" s="49"/>
      <c r="F466" s="53"/>
      <c r="G466" s="53"/>
      <c r="H466" s="55"/>
      <c r="I466" s="55"/>
      <c r="J466" s="55"/>
      <c r="K466" s="55"/>
      <c r="L466" s="55"/>
      <c r="M466" s="55"/>
      <c r="N466" s="23"/>
      <c r="O466" s="3"/>
      <c r="P466" s="1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</row>
    <row r="467" spans="1:53" x14ac:dyDescent="0.2">
      <c r="A467" s="3">
        <f t="shared" si="73"/>
        <v>34</v>
      </c>
      <c r="B467" s="7" t="s">
        <v>274</v>
      </c>
      <c r="C467" s="3"/>
      <c r="D467" s="3"/>
      <c r="E467" s="49"/>
      <c r="F467" s="53"/>
      <c r="G467" s="53"/>
      <c r="H467" s="55"/>
      <c r="I467" s="55"/>
      <c r="J467" s="55"/>
      <c r="K467" s="55"/>
      <c r="L467" s="55"/>
      <c r="M467" s="55"/>
      <c r="N467" s="23"/>
      <c r="O467" s="3"/>
      <c r="P467" s="1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:53" x14ac:dyDescent="0.2">
      <c r="A468" s="3">
        <f t="shared" si="73"/>
        <v>35</v>
      </c>
      <c r="B468" s="3" t="s">
        <v>279</v>
      </c>
      <c r="C468" s="3"/>
      <c r="D468" s="3"/>
      <c r="E468" s="49"/>
      <c r="F468" s="53"/>
      <c r="G468" s="53"/>
      <c r="H468" s="55"/>
      <c r="I468" s="55"/>
      <c r="J468" s="55"/>
      <c r="K468" s="55"/>
      <c r="L468" s="55"/>
      <c r="M468" s="55"/>
      <c r="N468" s="23"/>
      <c r="O468" s="3"/>
      <c r="P468" s="1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69" spans="1:53" x14ac:dyDescent="0.2">
      <c r="A469" s="3">
        <f t="shared" si="73"/>
        <v>36</v>
      </c>
      <c r="B469" s="3"/>
      <c r="C469" s="3" t="s">
        <v>140</v>
      </c>
      <c r="D469" s="3"/>
      <c r="E469" s="49"/>
      <c r="F469" s="53"/>
      <c r="G469" s="53"/>
      <c r="H469" s="55"/>
      <c r="I469" s="55"/>
      <c r="J469" s="55"/>
      <c r="K469" s="96"/>
      <c r="L469" s="96"/>
      <c r="M469" s="55"/>
      <c r="N469" s="23"/>
      <c r="O469" s="3"/>
      <c r="P469" s="1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</row>
    <row r="470" spans="1:53" x14ac:dyDescent="0.2">
      <c r="A470" s="3">
        <f t="shared" si="73"/>
        <v>37</v>
      </c>
      <c r="B470" s="3" t="s">
        <v>177</v>
      </c>
      <c r="C470" s="3" t="s">
        <v>145</v>
      </c>
      <c r="D470" s="176" t="str">
        <f t="shared" ref="D470:D476" si="82">D351</f>
        <v>Direct Assign</v>
      </c>
      <c r="E470" s="49" t="s">
        <v>631</v>
      </c>
      <c r="F470" s="53">
        <f>+H470</f>
        <v>4693362.0656182375</v>
      </c>
      <c r="G470" s="53">
        <f t="shared" ref="G470:G479" si="83">+H470-F470</f>
        <v>0</v>
      </c>
      <c r="H470" s="72">
        <f t="shared" ref="H470:H479" si="84">SUM(J470:M470)</f>
        <v>4693362.0656182375</v>
      </c>
      <c r="I470" s="61"/>
      <c r="J470" s="61"/>
      <c r="K470" s="61">
        <v>3367828.5258848341</v>
      </c>
      <c r="L470" s="61">
        <v>1325533.5397334034</v>
      </c>
      <c r="M470" s="61">
        <v>0</v>
      </c>
      <c r="N470" s="23"/>
      <c r="O470" s="3"/>
      <c r="P470" s="1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</row>
    <row r="471" spans="1:53" x14ac:dyDescent="0.2">
      <c r="A471" s="3">
        <f t="shared" si="73"/>
        <v>38</v>
      </c>
      <c r="B471" s="3" t="s">
        <v>178</v>
      </c>
      <c r="C471" s="3" t="s">
        <v>155</v>
      </c>
      <c r="D471" s="176" t="str">
        <f t="shared" si="82"/>
        <v>Direct Assign</v>
      </c>
      <c r="E471" s="49" t="s">
        <v>631</v>
      </c>
      <c r="F471" s="53">
        <f t="shared" ref="F471:F479" si="85">+H471</f>
        <v>2908699.0754324696</v>
      </c>
      <c r="G471" s="53">
        <f t="shared" si="83"/>
        <v>0</v>
      </c>
      <c r="H471" s="72">
        <f t="shared" si="84"/>
        <v>2908699.0754324696</v>
      </c>
      <c r="I471" s="61"/>
      <c r="J471" s="61"/>
      <c r="K471" s="61">
        <v>2908699.0754324696</v>
      </c>
      <c r="L471" s="61">
        <v>0</v>
      </c>
      <c r="M471" s="61">
        <v>0</v>
      </c>
      <c r="N471" s="23"/>
      <c r="O471" s="3"/>
      <c r="P471" s="1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</row>
    <row r="472" spans="1:53" x14ac:dyDescent="0.2">
      <c r="A472" s="3">
        <f t="shared" si="73"/>
        <v>39</v>
      </c>
      <c r="B472" s="3" t="s">
        <v>179</v>
      </c>
      <c r="C472" s="3" t="s">
        <v>180</v>
      </c>
      <c r="D472" s="176" t="str">
        <f t="shared" si="82"/>
        <v>Direct Assign</v>
      </c>
      <c r="E472" s="49" t="s">
        <v>631</v>
      </c>
      <c r="F472" s="53">
        <f t="shared" si="85"/>
        <v>724165.27887784538</v>
      </c>
      <c r="G472" s="53">
        <f t="shared" si="83"/>
        <v>0</v>
      </c>
      <c r="H472" s="72">
        <f t="shared" si="84"/>
        <v>724165.27887784538</v>
      </c>
      <c r="I472" s="61"/>
      <c r="J472" s="61"/>
      <c r="K472" s="61">
        <v>724165.27887784538</v>
      </c>
      <c r="L472" s="61">
        <v>0</v>
      </c>
      <c r="M472" s="61">
        <v>0</v>
      </c>
      <c r="N472" s="23"/>
      <c r="O472" s="3"/>
      <c r="P472" s="1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</row>
    <row r="473" spans="1:53" x14ac:dyDescent="0.2">
      <c r="A473" s="3">
        <f t="shared" si="73"/>
        <v>40</v>
      </c>
      <c r="B473" s="3" t="s">
        <v>181</v>
      </c>
      <c r="C473" s="3" t="s">
        <v>182</v>
      </c>
      <c r="D473" s="176" t="str">
        <f t="shared" si="82"/>
        <v>Direct Assign</v>
      </c>
      <c r="E473" s="49" t="s">
        <v>631</v>
      </c>
      <c r="F473" s="53">
        <f t="shared" si="85"/>
        <v>-130014.80035380283</v>
      </c>
      <c r="G473" s="53">
        <f t="shared" si="83"/>
        <v>0</v>
      </c>
      <c r="H473" s="72">
        <f t="shared" si="84"/>
        <v>-130014.80035380283</v>
      </c>
      <c r="I473" s="61"/>
      <c r="J473" s="61"/>
      <c r="K473" s="61">
        <v>-130014.80035380283</v>
      </c>
      <c r="L473" s="61">
        <v>0</v>
      </c>
      <c r="M473" s="61">
        <v>0</v>
      </c>
      <c r="N473" s="23"/>
      <c r="O473" s="3"/>
      <c r="P473" s="1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</row>
    <row r="474" spans="1:53" x14ac:dyDescent="0.2">
      <c r="A474" s="3">
        <f t="shared" si="73"/>
        <v>41</v>
      </c>
      <c r="B474" s="3" t="s">
        <v>183</v>
      </c>
      <c r="C474" s="3" t="s">
        <v>160</v>
      </c>
      <c r="D474" s="176" t="str">
        <f t="shared" si="82"/>
        <v>Direct Assign</v>
      </c>
      <c r="E474" s="49" t="s">
        <v>631</v>
      </c>
      <c r="F474" s="53">
        <f t="shared" si="85"/>
        <v>372704.09553017747</v>
      </c>
      <c r="G474" s="53">
        <f t="shared" si="83"/>
        <v>0</v>
      </c>
      <c r="H474" s="72">
        <f t="shared" si="84"/>
        <v>372704.09553017747</v>
      </c>
      <c r="I474" s="61"/>
      <c r="J474" s="61"/>
      <c r="K474" s="61">
        <v>372704.09553017747</v>
      </c>
      <c r="L474" s="61">
        <v>0</v>
      </c>
      <c r="M474" s="61">
        <v>0</v>
      </c>
      <c r="N474" s="23"/>
      <c r="O474" s="3"/>
      <c r="P474" s="1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</row>
    <row r="475" spans="1:53" x14ac:dyDescent="0.2">
      <c r="A475" s="3">
        <f t="shared" si="73"/>
        <v>42</v>
      </c>
      <c r="B475" s="3" t="s">
        <v>184</v>
      </c>
      <c r="C475" s="3" t="s">
        <v>185</v>
      </c>
      <c r="D475" s="176" t="str">
        <f t="shared" si="82"/>
        <v>Direct Assign</v>
      </c>
      <c r="E475" s="49" t="s">
        <v>631</v>
      </c>
      <c r="F475" s="53">
        <f t="shared" si="85"/>
        <v>31427.507775630671</v>
      </c>
      <c r="G475" s="53">
        <f t="shared" si="83"/>
        <v>0</v>
      </c>
      <c r="H475" s="72">
        <f t="shared" si="84"/>
        <v>31427.507775630671</v>
      </c>
      <c r="I475" s="61"/>
      <c r="J475" s="61"/>
      <c r="K475" s="61">
        <v>31427.507775630671</v>
      </c>
      <c r="L475" s="61">
        <v>0</v>
      </c>
      <c r="M475" s="61">
        <v>0</v>
      </c>
      <c r="N475" s="23"/>
      <c r="O475" s="3"/>
      <c r="P475" s="1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6" spans="1:53" x14ac:dyDescent="0.2">
      <c r="A476" s="3">
        <f t="shared" si="73"/>
        <v>43</v>
      </c>
      <c r="B476" s="3" t="s">
        <v>186</v>
      </c>
      <c r="C476" s="3" t="s">
        <v>187</v>
      </c>
      <c r="D476" s="176" t="str">
        <f t="shared" si="82"/>
        <v>Direct Assign</v>
      </c>
      <c r="E476" s="49" t="s">
        <v>631</v>
      </c>
      <c r="F476" s="53">
        <f t="shared" si="85"/>
        <v>4839068.1090679318</v>
      </c>
      <c r="G476" s="53">
        <f t="shared" si="83"/>
        <v>0</v>
      </c>
      <c r="H476" s="72">
        <f t="shared" si="84"/>
        <v>4839068.1090679318</v>
      </c>
      <c r="I476" s="61"/>
      <c r="J476" s="61"/>
      <c r="K476" s="61">
        <v>0</v>
      </c>
      <c r="L476" s="61">
        <v>4839068.1090679318</v>
      </c>
      <c r="M476" s="61">
        <v>0</v>
      </c>
      <c r="N476" s="23"/>
      <c r="O476" s="3"/>
      <c r="P476" s="1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</row>
    <row r="477" spans="1:53" x14ac:dyDescent="0.2">
      <c r="A477" s="3">
        <f t="shared" si="73"/>
        <v>44</v>
      </c>
      <c r="B477" s="3" t="s">
        <v>188</v>
      </c>
      <c r="C477" s="3" t="s">
        <v>189</v>
      </c>
      <c r="D477" s="176" t="str">
        <f>D359</f>
        <v>Direct Assign</v>
      </c>
      <c r="E477" s="49" t="s">
        <v>631</v>
      </c>
      <c r="F477" s="53">
        <f t="shared" si="85"/>
        <v>617636.7945847403</v>
      </c>
      <c r="G477" s="53">
        <f t="shared" si="83"/>
        <v>0</v>
      </c>
      <c r="H477" s="72">
        <f t="shared" si="84"/>
        <v>617636.7945847403</v>
      </c>
      <c r="I477" s="61"/>
      <c r="J477" s="61"/>
      <c r="K477" s="61">
        <v>617636.7945847403</v>
      </c>
      <c r="L477" s="61">
        <v>0</v>
      </c>
      <c r="M477" s="61">
        <v>0</v>
      </c>
      <c r="N477" s="23"/>
      <c r="O477" s="3"/>
      <c r="P477" s="1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</row>
    <row r="478" spans="1:53" x14ac:dyDescent="0.2">
      <c r="A478" s="3">
        <f t="shared" si="73"/>
        <v>45</v>
      </c>
      <c r="B478" s="3" t="s">
        <v>190</v>
      </c>
      <c r="C478" s="3" t="s">
        <v>191</v>
      </c>
      <c r="D478" s="176" t="str">
        <f>D360</f>
        <v>Direct Assign</v>
      </c>
      <c r="E478" s="49" t="s">
        <v>631</v>
      </c>
      <c r="F478" s="53">
        <f t="shared" si="85"/>
        <v>14000976.443459857</v>
      </c>
      <c r="G478" s="53">
        <f t="shared" si="83"/>
        <v>0</v>
      </c>
      <c r="H478" s="72">
        <f t="shared" si="84"/>
        <v>14000976.443459857</v>
      </c>
      <c r="I478" s="61"/>
      <c r="J478" s="61"/>
      <c r="K478" s="61">
        <v>10046718.577701386</v>
      </c>
      <c r="L478" s="61">
        <v>3954257.8657584707</v>
      </c>
      <c r="M478" s="61">
        <v>0</v>
      </c>
      <c r="N478" s="23"/>
      <c r="O478" s="3"/>
      <c r="P478" s="1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</row>
    <row r="479" spans="1:53" x14ac:dyDescent="0.2">
      <c r="A479" s="3">
        <f t="shared" si="73"/>
        <v>46</v>
      </c>
      <c r="B479" s="3" t="s">
        <v>192</v>
      </c>
      <c r="C479" s="3" t="s">
        <v>141</v>
      </c>
      <c r="D479" s="176" t="str">
        <f>D362</f>
        <v>Direct Assign</v>
      </c>
      <c r="E479" s="49" t="s">
        <v>631</v>
      </c>
      <c r="F479" s="53">
        <f t="shared" si="85"/>
        <v>0</v>
      </c>
      <c r="G479" s="53">
        <f t="shared" si="83"/>
        <v>0</v>
      </c>
      <c r="H479" s="72">
        <f t="shared" si="84"/>
        <v>0</v>
      </c>
      <c r="I479" s="61"/>
      <c r="J479" s="61"/>
      <c r="K479" s="61">
        <v>0</v>
      </c>
      <c r="L479" s="61">
        <v>0</v>
      </c>
      <c r="M479" s="61">
        <v>0</v>
      </c>
      <c r="N479" s="23"/>
      <c r="O479" s="3"/>
      <c r="P479" s="1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80" spans="1:53" x14ac:dyDescent="0.2">
      <c r="A480" s="3">
        <f t="shared" si="73"/>
        <v>47</v>
      </c>
      <c r="B480" s="3"/>
      <c r="C480" s="3" t="s">
        <v>193</v>
      </c>
      <c r="D480" s="3"/>
      <c r="E480" s="49"/>
      <c r="F480" s="53">
        <f>SUM(F470:F479)</f>
        <v>28058024.569993086</v>
      </c>
      <c r="G480" s="53">
        <f>SUM(G470:G479)</f>
        <v>0</v>
      </c>
      <c r="H480" s="55">
        <f>SUM(H470:H479)</f>
        <v>28058024.569993086</v>
      </c>
      <c r="I480" s="55"/>
      <c r="J480" s="55">
        <f>SUM(J470:J479)</f>
        <v>0</v>
      </c>
      <c r="K480" s="55">
        <f>SUM(K470:K479)</f>
        <v>17939165.055433281</v>
      </c>
      <c r="L480" s="55">
        <f>SUM(L470:L479)</f>
        <v>10118859.514559805</v>
      </c>
      <c r="M480" s="55">
        <v>0</v>
      </c>
      <c r="N480" s="23"/>
      <c r="O480" s="3"/>
      <c r="P480" s="1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</row>
    <row r="481" spans="1:53" x14ac:dyDescent="0.2">
      <c r="A481" s="3">
        <f t="shared" si="73"/>
        <v>48</v>
      </c>
      <c r="B481" s="3" t="s">
        <v>142</v>
      </c>
      <c r="C481" s="3"/>
      <c r="D481" s="3"/>
      <c r="E481" s="49"/>
      <c r="F481" s="53"/>
      <c r="G481" s="53"/>
      <c r="H481" s="55"/>
      <c r="I481" s="55"/>
      <c r="J481" s="55"/>
      <c r="K481" s="55"/>
      <c r="L481" s="55"/>
      <c r="M481" s="55"/>
      <c r="N481" s="23"/>
      <c r="O481" s="3"/>
      <c r="P481" s="1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</row>
    <row r="482" spans="1:53" x14ac:dyDescent="0.2">
      <c r="A482" s="3">
        <f t="shared" si="73"/>
        <v>49</v>
      </c>
      <c r="B482" s="3" t="s">
        <v>194</v>
      </c>
      <c r="C482" s="3" t="s">
        <v>195</v>
      </c>
      <c r="D482" s="176" t="str">
        <f t="shared" ref="D482:D490" si="86">D365</f>
        <v>Direct Assign</v>
      </c>
      <c r="E482" s="49" t="s">
        <v>631</v>
      </c>
      <c r="F482" s="53">
        <f>+H482</f>
        <v>122200.19851684399</v>
      </c>
      <c r="G482" s="53">
        <f t="shared" ref="G482:G490" si="87">+H482-F482</f>
        <v>0</v>
      </c>
      <c r="H482" s="72">
        <f t="shared" ref="H482:H490" si="88">SUM(J482:M482)</f>
        <v>122200.19851684399</v>
      </c>
      <c r="I482" s="61"/>
      <c r="J482" s="61"/>
      <c r="K482" s="61">
        <v>121444.69303294248</v>
      </c>
      <c r="L482" s="61">
        <v>755.50548390150254</v>
      </c>
      <c r="M482" s="61">
        <v>0</v>
      </c>
      <c r="N482" s="23"/>
      <c r="O482" s="3"/>
      <c r="P482" s="1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</row>
    <row r="483" spans="1:53" x14ac:dyDescent="0.2">
      <c r="A483" s="3">
        <f t="shared" si="73"/>
        <v>50</v>
      </c>
      <c r="B483" s="3" t="s">
        <v>196</v>
      </c>
      <c r="C483" s="3" t="s">
        <v>143</v>
      </c>
      <c r="D483" s="176" t="str">
        <f t="shared" si="86"/>
        <v>Direct Assign</v>
      </c>
      <c r="E483" s="49" t="s">
        <v>631</v>
      </c>
      <c r="F483" s="53">
        <f t="shared" ref="F483:F490" si="89">+H483</f>
        <v>0</v>
      </c>
      <c r="G483" s="53">
        <f t="shared" si="87"/>
        <v>0</v>
      </c>
      <c r="H483" s="72">
        <f t="shared" si="88"/>
        <v>0</v>
      </c>
      <c r="I483" s="61"/>
      <c r="J483" s="61"/>
      <c r="K483" s="61">
        <v>0</v>
      </c>
      <c r="L483" s="61">
        <v>0</v>
      </c>
      <c r="M483" s="61">
        <v>0</v>
      </c>
      <c r="N483" s="23"/>
      <c r="O483" s="3"/>
      <c r="P483" s="1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</row>
    <row r="484" spans="1:53" x14ac:dyDescent="0.2">
      <c r="A484" s="3">
        <f t="shared" si="73"/>
        <v>51</v>
      </c>
      <c r="B484" s="3" t="s">
        <v>197</v>
      </c>
      <c r="C484" s="3" t="s">
        <v>168</v>
      </c>
      <c r="D484" s="176" t="str">
        <f t="shared" si="86"/>
        <v>Direct Assign</v>
      </c>
      <c r="E484" s="49" t="s">
        <v>631</v>
      </c>
      <c r="F484" s="53">
        <f t="shared" si="89"/>
        <v>253736.49789774086</v>
      </c>
      <c r="G484" s="53">
        <f t="shared" si="87"/>
        <v>0</v>
      </c>
      <c r="H484" s="72">
        <f t="shared" si="88"/>
        <v>253736.49789774086</v>
      </c>
      <c r="I484" s="61"/>
      <c r="J484" s="61"/>
      <c r="K484" s="61">
        <v>253736.49789774086</v>
      </c>
      <c r="L484" s="61">
        <v>0</v>
      </c>
      <c r="M484" s="61">
        <v>0</v>
      </c>
      <c r="N484" s="23"/>
      <c r="O484" s="3"/>
      <c r="P484" s="1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</row>
    <row r="485" spans="1:53" x14ac:dyDescent="0.2">
      <c r="A485" s="3">
        <f t="shared" si="73"/>
        <v>52</v>
      </c>
      <c r="B485" s="3" t="s">
        <v>198</v>
      </c>
      <c r="C485" s="3" t="s">
        <v>170</v>
      </c>
      <c r="D485" s="176" t="str">
        <f t="shared" si="86"/>
        <v>Direct Assign</v>
      </c>
      <c r="E485" s="49" t="s">
        <v>631</v>
      </c>
      <c r="F485" s="53">
        <f t="shared" si="89"/>
        <v>24216684.38848288</v>
      </c>
      <c r="G485" s="53">
        <f t="shared" si="87"/>
        <v>0</v>
      </c>
      <c r="H485" s="72">
        <f t="shared" si="88"/>
        <v>24216684.38848288</v>
      </c>
      <c r="I485" s="61"/>
      <c r="J485" s="61"/>
      <c r="K485" s="61">
        <v>24216684.38848288</v>
      </c>
      <c r="L485" s="61">
        <v>0</v>
      </c>
      <c r="M485" s="61">
        <v>0</v>
      </c>
      <c r="N485" s="23"/>
      <c r="O485" s="3"/>
      <c r="P485" s="1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</row>
    <row r="486" spans="1:53" x14ac:dyDescent="0.2">
      <c r="A486" s="3">
        <f t="shared" si="73"/>
        <v>53</v>
      </c>
      <c r="B486" s="3" t="s">
        <v>199</v>
      </c>
      <c r="C486" s="3" t="s">
        <v>172</v>
      </c>
      <c r="D486" s="176" t="str">
        <f t="shared" si="86"/>
        <v>Direct Assign</v>
      </c>
      <c r="E486" s="49" t="s">
        <v>631</v>
      </c>
      <c r="F486" s="53">
        <f t="shared" si="89"/>
        <v>138093.55144080854</v>
      </c>
      <c r="G486" s="53">
        <f t="shared" si="87"/>
        <v>0</v>
      </c>
      <c r="H486" s="72">
        <f t="shared" si="88"/>
        <v>138093.55144080854</v>
      </c>
      <c r="I486" s="61"/>
      <c r="J486" s="61"/>
      <c r="K486" s="61">
        <v>138093.55144080854</v>
      </c>
      <c r="L486" s="61">
        <v>0</v>
      </c>
      <c r="M486" s="61">
        <v>0</v>
      </c>
      <c r="N486" s="23"/>
      <c r="O486" s="3"/>
      <c r="P486" s="1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</row>
    <row r="487" spans="1:53" x14ac:dyDescent="0.2">
      <c r="A487" s="3">
        <f t="shared" si="73"/>
        <v>54</v>
      </c>
      <c r="B487" s="3" t="s">
        <v>200</v>
      </c>
      <c r="C487" s="3" t="s">
        <v>201</v>
      </c>
      <c r="D487" s="176" t="str">
        <f t="shared" si="86"/>
        <v>Direct Assign</v>
      </c>
      <c r="E487" s="49" t="s">
        <v>631</v>
      </c>
      <c r="F487" s="53">
        <f t="shared" si="89"/>
        <v>632344.21496128733</v>
      </c>
      <c r="G487" s="53">
        <f t="shared" si="87"/>
        <v>0</v>
      </c>
      <c r="H487" s="72">
        <f t="shared" si="88"/>
        <v>632344.21496128733</v>
      </c>
      <c r="I487" s="61"/>
      <c r="J487" s="61"/>
      <c r="K487" s="61">
        <v>632344.21496128733</v>
      </c>
      <c r="L487" s="61">
        <v>0</v>
      </c>
      <c r="M487" s="61">
        <v>0</v>
      </c>
      <c r="N487" s="23"/>
      <c r="O487" s="3"/>
      <c r="P487" s="1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</row>
    <row r="488" spans="1:53" x14ac:dyDescent="0.2">
      <c r="A488" s="3">
        <f t="shared" si="73"/>
        <v>55</v>
      </c>
      <c r="B488" s="3" t="s">
        <v>202</v>
      </c>
      <c r="C488" s="3" t="s">
        <v>203</v>
      </c>
      <c r="D488" s="176" t="str">
        <f t="shared" si="86"/>
        <v>Direct Assign</v>
      </c>
      <c r="E488" s="49" t="s">
        <v>631</v>
      </c>
      <c r="F488" s="53">
        <f t="shared" si="89"/>
        <v>198783.2452518057</v>
      </c>
      <c r="G488" s="53">
        <f t="shared" si="87"/>
        <v>0</v>
      </c>
      <c r="H488" s="72">
        <f t="shared" si="88"/>
        <v>198783.2452518057</v>
      </c>
      <c r="I488" s="61"/>
      <c r="J488" s="61"/>
      <c r="K488" s="61">
        <v>198783.2452518057</v>
      </c>
      <c r="L488" s="61">
        <v>0</v>
      </c>
      <c r="M488" s="61">
        <v>0</v>
      </c>
      <c r="N488" s="23"/>
      <c r="O488" s="3"/>
      <c r="P488" s="1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</row>
    <row r="489" spans="1:53" x14ac:dyDescent="0.2">
      <c r="A489" s="3">
        <f t="shared" si="73"/>
        <v>56</v>
      </c>
      <c r="B489" s="3" t="s">
        <v>204</v>
      </c>
      <c r="C489" s="3" t="s">
        <v>205</v>
      </c>
      <c r="D489" s="176" t="str">
        <f t="shared" si="86"/>
        <v>Direct Assign</v>
      </c>
      <c r="E489" s="49" t="s">
        <v>631</v>
      </c>
      <c r="F489" s="53">
        <f t="shared" si="89"/>
        <v>294104.39664804225</v>
      </c>
      <c r="G489" s="53">
        <f t="shared" si="87"/>
        <v>0</v>
      </c>
      <c r="H489" s="72">
        <f t="shared" si="88"/>
        <v>294104.39664804225</v>
      </c>
      <c r="I489" s="61"/>
      <c r="J489" s="61"/>
      <c r="K489" s="61">
        <v>0</v>
      </c>
      <c r="L489" s="61">
        <v>294104.39664804225</v>
      </c>
      <c r="M489" s="61">
        <v>0</v>
      </c>
      <c r="N489" s="23"/>
      <c r="O489" s="3"/>
      <c r="P489" s="1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</row>
    <row r="490" spans="1:53" x14ac:dyDescent="0.2">
      <c r="A490" s="3">
        <f t="shared" si="73"/>
        <v>57</v>
      </c>
      <c r="B490" s="3" t="s">
        <v>309</v>
      </c>
      <c r="C490" s="3" t="s">
        <v>206</v>
      </c>
      <c r="D490" s="176" t="str">
        <f t="shared" si="86"/>
        <v>Direct Assign</v>
      </c>
      <c r="E490" s="49" t="s">
        <v>631</v>
      </c>
      <c r="F490" s="53">
        <f t="shared" si="89"/>
        <v>75021.630658222668</v>
      </c>
      <c r="G490" s="53">
        <f t="shared" si="87"/>
        <v>0</v>
      </c>
      <c r="H490" s="72">
        <f t="shared" si="88"/>
        <v>75021.630658222668</v>
      </c>
      <c r="I490" s="61"/>
      <c r="J490" s="61"/>
      <c r="K490" s="61">
        <v>74557.807734353133</v>
      </c>
      <c r="L490" s="61">
        <v>463.82292386953611</v>
      </c>
      <c r="M490" s="61">
        <v>0</v>
      </c>
      <c r="N490" s="23"/>
      <c r="O490" s="3"/>
      <c r="P490" s="1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</row>
    <row r="491" spans="1:53" x14ac:dyDescent="0.2">
      <c r="A491" s="3">
        <f t="shared" si="73"/>
        <v>58</v>
      </c>
      <c r="B491" s="3"/>
      <c r="C491" s="3" t="s">
        <v>280</v>
      </c>
      <c r="D491" s="3"/>
      <c r="E491" s="49"/>
      <c r="F491" s="53">
        <f>SUM(F482:F490)</f>
        <v>25930968.123857632</v>
      </c>
      <c r="G491" s="53">
        <f>SUM(G482:G490)</f>
        <v>0</v>
      </c>
      <c r="H491" s="55">
        <f>SUM(H482:H490)</f>
        <v>25930968.123857632</v>
      </c>
      <c r="I491" s="55"/>
      <c r="J491" s="55">
        <f>SUM(J482:J490)</f>
        <v>0</v>
      </c>
      <c r="K491" s="55">
        <f>SUM(K482:K490)</f>
        <v>25635644.398801815</v>
      </c>
      <c r="L491" s="55">
        <f>SUM(L482:L490)</f>
        <v>295323.72505581327</v>
      </c>
      <c r="M491" s="55">
        <f>SUM(M482:M490)</f>
        <v>0</v>
      </c>
      <c r="N491" s="23"/>
      <c r="O491" s="3"/>
      <c r="P491" s="1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</row>
    <row r="492" spans="1:53" x14ac:dyDescent="0.2">
      <c r="A492" s="3">
        <f t="shared" si="73"/>
        <v>59</v>
      </c>
      <c r="B492" s="3"/>
      <c r="C492" s="3"/>
      <c r="D492" s="3"/>
      <c r="E492" s="49"/>
      <c r="F492" s="53"/>
      <c r="G492" s="53"/>
      <c r="H492" s="55"/>
      <c r="I492" s="55"/>
      <c r="J492" s="55"/>
      <c r="K492" s="55"/>
      <c r="L492" s="55"/>
      <c r="M492" s="55"/>
      <c r="N492" s="23"/>
      <c r="O492" s="3"/>
      <c r="P492" s="1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</row>
    <row r="493" spans="1:53" x14ac:dyDescent="0.2">
      <c r="A493" s="3">
        <f t="shared" si="73"/>
        <v>60</v>
      </c>
      <c r="B493" s="3"/>
      <c r="C493" s="3" t="s">
        <v>281</v>
      </c>
      <c r="D493" s="3"/>
      <c r="E493" s="49"/>
      <c r="F493" s="53">
        <f>+F491+F480</f>
        <v>53988992.693850718</v>
      </c>
      <c r="G493" s="53">
        <f>+G491+G480</f>
        <v>0</v>
      </c>
      <c r="H493" s="55">
        <f>H480+H491</f>
        <v>53988992.693850718</v>
      </c>
      <c r="I493" s="55"/>
      <c r="J493" s="55">
        <f>J480+J491</f>
        <v>0</v>
      </c>
      <c r="K493" s="55">
        <f>K480+K491</f>
        <v>43574809.454235092</v>
      </c>
      <c r="L493" s="55">
        <f>L480+L491</f>
        <v>10414183.239615619</v>
      </c>
      <c r="M493" s="55">
        <f>M480+M491</f>
        <v>0</v>
      </c>
      <c r="N493" s="23"/>
      <c r="O493" s="3"/>
      <c r="P493" s="1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</row>
    <row r="494" spans="1:53" x14ac:dyDescent="0.2">
      <c r="A494" s="3">
        <f t="shared" si="73"/>
        <v>61</v>
      </c>
      <c r="B494" s="3"/>
      <c r="C494" s="3"/>
      <c r="D494" s="3"/>
      <c r="E494" s="49"/>
      <c r="F494" s="53"/>
      <c r="G494" s="53"/>
      <c r="H494" s="55"/>
      <c r="I494" s="55"/>
      <c r="J494" s="55"/>
      <c r="K494" s="55"/>
      <c r="L494" s="55"/>
      <c r="M494" s="55"/>
      <c r="N494" s="23"/>
      <c r="O494" s="3"/>
      <c r="P494" s="1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</row>
    <row r="495" spans="1:53" x14ac:dyDescent="0.2">
      <c r="A495" s="3">
        <f t="shared" si="73"/>
        <v>62</v>
      </c>
      <c r="B495" s="3"/>
      <c r="C495" s="3" t="s">
        <v>211</v>
      </c>
      <c r="D495" s="3"/>
      <c r="E495" s="49"/>
      <c r="F495" s="53">
        <f>+F493+F465+F439</f>
        <v>53988992.693850718</v>
      </c>
      <c r="G495" s="53">
        <f>+G493+G465+G439</f>
        <v>0</v>
      </c>
      <c r="H495" s="55">
        <f>H439+H465+H493</f>
        <v>53988992.693850718</v>
      </c>
      <c r="I495" s="55"/>
      <c r="J495" s="55">
        <f>J439+J465+J493</f>
        <v>0</v>
      </c>
      <c r="K495" s="55">
        <f>K439+K465+K493</f>
        <v>43574809.454235092</v>
      </c>
      <c r="L495" s="55">
        <f>L439+L465+L493</f>
        <v>10414183.239615619</v>
      </c>
      <c r="M495" s="55">
        <f>M439+M465+M493</f>
        <v>0</v>
      </c>
      <c r="N495" s="23"/>
      <c r="O495" s="3"/>
      <c r="P495" s="1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6" spans="1:53" x14ac:dyDescent="0.2">
      <c r="A496" s="3"/>
      <c r="B496" s="7" t="s">
        <v>274</v>
      </c>
      <c r="C496" s="3"/>
      <c r="D496" s="3"/>
      <c r="E496" s="49"/>
      <c r="F496" s="53"/>
      <c r="G496" s="53"/>
      <c r="H496" s="55"/>
      <c r="I496" s="55"/>
      <c r="J496" s="55"/>
      <c r="K496" s="55"/>
      <c r="L496" s="55"/>
      <c r="M496" s="55"/>
      <c r="N496" s="23"/>
      <c r="O496" s="3"/>
      <c r="P496" s="1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</row>
    <row r="497" spans="1:53" x14ac:dyDescent="0.2">
      <c r="A497" s="3"/>
      <c r="B497" s="3"/>
      <c r="C497" s="3"/>
      <c r="D497" s="3"/>
      <c r="E497" s="49"/>
      <c r="F497" s="53"/>
      <c r="G497" s="53"/>
      <c r="H497" s="55"/>
      <c r="I497" s="55"/>
      <c r="J497" s="55"/>
      <c r="K497" s="55"/>
      <c r="L497" s="55"/>
      <c r="M497" s="55"/>
      <c r="N497" s="23"/>
      <c r="O497" s="3"/>
      <c r="P497" s="1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</row>
    <row r="498" spans="1:53" x14ac:dyDescent="0.2">
      <c r="A498" s="3">
        <v>1</v>
      </c>
      <c r="B498" s="3" t="s">
        <v>282</v>
      </c>
      <c r="C498" s="3"/>
      <c r="D498" s="3"/>
      <c r="E498" s="49"/>
      <c r="F498" s="53"/>
      <c r="G498" s="53"/>
      <c r="H498" s="55"/>
      <c r="I498" s="55"/>
      <c r="J498" s="55"/>
      <c r="K498" s="55"/>
      <c r="L498" s="55"/>
      <c r="M498" s="55"/>
      <c r="N498" s="23"/>
      <c r="O498" s="3"/>
      <c r="P498" s="1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</row>
    <row r="499" spans="1:53" x14ac:dyDescent="0.2">
      <c r="A499" s="3">
        <f t="shared" ref="A499:A521" si="90">+A498+1</f>
        <v>2</v>
      </c>
      <c r="B499" s="3"/>
      <c r="C499" s="3" t="s">
        <v>213</v>
      </c>
      <c r="D499" s="3"/>
      <c r="E499" s="49"/>
      <c r="F499" s="53"/>
      <c r="G499" s="53"/>
      <c r="H499" s="55"/>
      <c r="I499" s="55"/>
      <c r="J499" s="55"/>
      <c r="K499" s="55"/>
      <c r="L499" s="55"/>
      <c r="M499" s="55"/>
      <c r="N499" s="23"/>
      <c r="O499" s="3"/>
      <c r="P499" s="1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:53" x14ac:dyDescent="0.2">
      <c r="A500" s="3">
        <f t="shared" si="90"/>
        <v>3</v>
      </c>
      <c r="B500" s="3" t="s">
        <v>214</v>
      </c>
      <c r="C500" s="3" t="s">
        <v>215</v>
      </c>
      <c r="D500" s="78" t="s">
        <v>431</v>
      </c>
      <c r="E500" s="49" t="s">
        <v>631</v>
      </c>
      <c r="F500" s="53">
        <f t="shared" ref="F500:F505" si="91">+H500</f>
        <v>307220.77621167613</v>
      </c>
      <c r="G500" s="53">
        <f t="shared" ref="G500:G505" si="92">+H500-F500</f>
        <v>0</v>
      </c>
      <c r="H500" s="72">
        <f t="shared" ref="H500:H505" si="93">SUM(J500:M500)</f>
        <v>307220.77621167613</v>
      </c>
      <c r="I500" s="61"/>
      <c r="J500" s="61"/>
      <c r="K500" s="61">
        <v>0</v>
      </c>
      <c r="L500" s="61">
        <v>12758.511169563351</v>
      </c>
      <c r="M500" s="61">
        <v>294462.26504211279</v>
      </c>
      <c r="N500" s="23"/>
      <c r="O500" s="3"/>
      <c r="P500" s="1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1" spans="1:53" x14ac:dyDescent="0.2">
      <c r="A501" s="3">
        <f t="shared" si="90"/>
        <v>4</v>
      </c>
      <c r="B501" s="3" t="s">
        <v>216</v>
      </c>
      <c r="C501" s="3" t="s">
        <v>217</v>
      </c>
      <c r="D501" s="78" t="s">
        <v>431</v>
      </c>
      <c r="E501" s="49" t="s">
        <v>631</v>
      </c>
      <c r="F501" s="53">
        <f t="shared" si="91"/>
        <v>15700.196145589029</v>
      </c>
      <c r="G501" s="53">
        <f t="shared" si="92"/>
        <v>0</v>
      </c>
      <c r="H501" s="72">
        <f t="shared" si="93"/>
        <v>15700.196145589029</v>
      </c>
      <c r="I501" s="61"/>
      <c r="J501" s="61"/>
      <c r="K501" s="61">
        <v>0</v>
      </c>
      <c r="L501" s="61">
        <v>15700.196145589029</v>
      </c>
      <c r="M501" s="61">
        <v>0</v>
      </c>
      <c r="N501" s="23"/>
      <c r="O501" s="3"/>
      <c r="P501" s="1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</row>
    <row r="502" spans="1:53" x14ac:dyDescent="0.2">
      <c r="A502" s="3">
        <f t="shared" si="90"/>
        <v>5</v>
      </c>
      <c r="B502" s="3" t="s">
        <v>218</v>
      </c>
      <c r="C502" s="3" t="s">
        <v>219</v>
      </c>
      <c r="D502" s="78" t="s">
        <v>431</v>
      </c>
      <c r="E502" s="49" t="s">
        <v>631</v>
      </c>
      <c r="F502" s="53">
        <f t="shared" si="91"/>
        <v>8418787.6661461648</v>
      </c>
      <c r="G502" s="53">
        <f t="shared" si="92"/>
        <v>0</v>
      </c>
      <c r="H502" s="72">
        <f t="shared" si="93"/>
        <v>8418787.6661461648</v>
      </c>
      <c r="I502" s="61"/>
      <c r="J502" s="61"/>
      <c r="K502" s="61">
        <v>0</v>
      </c>
      <c r="L502" s="61">
        <v>0</v>
      </c>
      <c r="M502" s="61">
        <v>8418787.6661461648</v>
      </c>
      <c r="N502" s="23"/>
      <c r="O502" s="3"/>
      <c r="P502" s="1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</row>
    <row r="503" spans="1:53" x14ac:dyDescent="0.2">
      <c r="A503" s="3">
        <f t="shared" si="90"/>
        <v>6</v>
      </c>
      <c r="B503" s="3" t="s">
        <v>218</v>
      </c>
      <c r="C503" s="3" t="s">
        <v>219</v>
      </c>
      <c r="D503" s="78" t="s">
        <v>431</v>
      </c>
      <c r="E503" s="49" t="s">
        <v>631</v>
      </c>
      <c r="F503" s="53">
        <f t="shared" si="91"/>
        <v>0</v>
      </c>
      <c r="G503" s="53">
        <f t="shared" si="92"/>
        <v>0</v>
      </c>
      <c r="H503" s="72">
        <f t="shared" si="93"/>
        <v>0</v>
      </c>
      <c r="I503" s="61"/>
      <c r="J503" s="61"/>
      <c r="K503" s="61">
        <v>0</v>
      </c>
      <c r="L503" s="61">
        <v>0</v>
      </c>
      <c r="M503" s="61">
        <v>0</v>
      </c>
      <c r="N503" s="23"/>
      <c r="O503" s="3"/>
      <c r="P503" s="1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</row>
    <row r="504" spans="1:53" x14ac:dyDescent="0.2">
      <c r="A504" s="3">
        <f t="shared" si="90"/>
        <v>7</v>
      </c>
      <c r="B504" s="3" t="s">
        <v>220</v>
      </c>
      <c r="C504" s="3" t="s">
        <v>221</v>
      </c>
      <c r="D504" s="78" t="s">
        <v>431</v>
      </c>
      <c r="E504" s="49" t="s">
        <v>631</v>
      </c>
      <c r="F504" s="53">
        <f t="shared" si="91"/>
        <v>14317.16</v>
      </c>
      <c r="G504" s="53">
        <f t="shared" si="92"/>
        <v>0</v>
      </c>
      <c r="H504" s="72">
        <f t="shared" si="93"/>
        <v>14317.16</v>
      </c>
      <c r="I504" s="61"/>
      <c r="J504" s="61"/>
      <c r="K504" s="61">
        <v>14317.16</v>
      </c>
      <c r="L504" s="61">
        <v>0</v>
      </c>
      <c r="M504" s="61">
        <v>0</v>
      </c>
      <c r="N504" s="23"/>
      <c r="O504" s="3"/>
      <c r="P504" s="1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5" spans="1:53" x14ac:dyDescent="0.2">
      <c r="A505" s="3">
        <f t="shared" si="90"/>
        <v>8</v>
      </c>
      <c r="B505" s="3" t="s">
        <v>222</v>
      </c>
      <c r="C505" s="3" t="s">
        <v>223</v>
      </c>
      <c r="D505" s="78" t="s">
        <v>431</v>
      </c>
      <c r="E505" s="49" t="s">
        <v>631</v>
      </c>
      <c r="F505" s="53">
        <f t="shared" si="91"/>
        <v>59278.868977762206</v>
      </c>
      <c r="G505" s="53">
        <f t="shared" si="92"/>
        <v>0</v>
      </c>
      <c r="H505" s="72">
        <f t="shared" si="93"/>
        <v>59278.868977762206</v>
      </c>
      <c r="I505" s="61"/>
      <c r="J505" s="61"/>
      <c r="K505" s="61">
        <v>53.831517123446361</v>
      </c>
      <c r="L505" s="61">
        <v>3.1274606387623427</v>
      </c>
      <c r="M505" s="61">
        <v>59221.909999999996</v>
      </c>
      <c r="N505" s="23"/>
      <c r="O505" s="3"/>
      <c r="P505" s="1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</row>
    <row r="506" spans="1:53" x14ac:dyDescent="0.2">
      <c r="A506" s="3">
        <f t="shared" si="90"/>
        <v>9</v>
      </c>
      <c r="B506" s="3"/>
      <c r="C506" s="3" t="s">
        <v>135</v>
      </c>
      <c r="D506" s="3"/>
      <c r="E506" s="49"/>
      <c r="F506" s="53">
        <f>SUM(F500:F505)</f>
        <v>8815304.6674811933</v>
      </c>
      <c r="G506" s="53">
        <f>SUM(G500:G505)</f>
        <v>0</v>
      </c>
      <c r="H506" s="55">
        <f>SUM(H500:H505)</f>
        <v>8815304.6674811933</v>
      </c>
      <c r="I506" s="55"/>
      <c r="J506" s="55">
        <f>SUM(J500:J505)</f>
        <v>0</v>
      </c>
      <c r="K506" s="55">
        <f>SUM(K500:K505)</f>
        <v>14370.991517123446</v>
      </c>
      <c r="L506" s="55">
        <f>SUM(L500:L505)</f>
        <v>28461.834775791143</v>
      </c>
      <c r="M506" s="55">
        <f>SUM(M500:M505)</f>
        <v>8772471.841188278</v>
      </c>
      <c r="N506" s="23"/>
      <c r="O506" s="3"/>
      <c r="P506" s="1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</row>
    <row r="507" spans="1:53" x14ac:dyDescent="0.2">
      <c r="A507" s="3">
        <f t="shared" si="90"/>
        <v>10</v>
      </c>
      <c r="B507" s="3"/>
      <c r="C507" s="3"/>
      <c r="D507" s="3"/>
      <c r="E507" s="49"/>
      <c r="F507" s="53"/>
      <c r="G507" s="53"/>
      <c r="H507" s="55"/>
      <c r="I507" s="55"/>
      <c r="J507" s="55"/>
      <c r="K507" s="55"/>
      <c r="L507" s="55"/>
      <c r="M507" s="55"/>
      <c r="N507" s="23"/>
      <c r="O507" s="3"/>
      <c r="P507" s="1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08" spans="1:53" x14ac:dyDescent="0.2">
      <c r="A508" s="3">
        <f t="shared" si="90"/>
        <v>11</v>
      </c>
      <c r="B508" s="3"/>
      <c r="C508" s="3" t="s">
        <v>224</v>
      </c>
      <c r="D508" s="3"/>
      <c r="E508" s="49"/>
      <c r="F508" s="53"/>
      <c r="G508" s="53"/>
      <c r="H508" s="55"/>
      <c r="I508" s="55"/>
      <c r="J508" s="55"/>
      <c r="K508" s="55"/>
      <c r="L508" s="55"/>
      <c r="M508" s="55"/>
      <c r="N508" s="23"/>
      <c r="O508" s="3"/>
      <c r="P508" s="1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</row>
    <row r="509" spans="1:53" x14ac:dyDescent="0.2">
      <c r="A509" s="3">
        <f t="shared" si="90"/>
        <v>12</v>
      </c>
      <c r="B509" s="3" t="s">
        <v>225</v>
      </c>
      <c r="C509" s="3" t="s">
        <v>226</v>
      </c>
      <c r="D509" s="78" t="s">
        <v>431</v>
      </c>
      <c r="E509" s="49" t="s">
        <v>631</v>
      </c>
      <c r="F509" s="53">
        <f>+H509</f>
        <v>0</v>
      </c>
      <c r="G509" s="53">
        <f>+H509-F509</f>
        <v>0</v>
      </c>
      <c r="H509" s="72">
        <f>SUM(J509:M509)</f>
        <v>0</v>
      </c>
      <c r="I509" s="61"/>
      <c r="J509" s="61"/>
      <c r="K509" s="61">
        <v>0</v>
      </c>
      <c r="L509" s="61">
        <v>0</v>
      </c>
      <c r="M509" s="61">
        <v>0</v>
      </c>
      <c r="N509" s="23"/>
      <c r="O509" s="3"/>
      <c r="P509" s="1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</row>
    <row r="510" spans="1:53" s="173" customFormat="1" x14ac:dyDescent="0.2">
      <c r="A510" s="3">
        <f t="shared" si="90"/>
        <v>13</v>
      </c>
      <c r="B510" s="3" t="s">
        <v>227</v>
      </c>
      <c r="C510" s="3" t="s">
        <v>228</v>
      </c>
      <c r="D510" s="78" t="s">
        <v>431</v>
      </c>
      <c r="E510" s="49" t="s">
        <v>631</v>
      </c>
      <c r="F510" s="53">
        <f>+H510</f>
        <v>942803.65724735917</v>
      </c>
      <c r="G510" s="53">
        <f>+H510-F510</f>
        <v>0</v>
      </c>
      <c r="H510" s="72">
        <f>SUM(J510:M510)</f>
        <v>942803.65724735917</v>
      </c>
      <c r="I510" s="61"/>
      <c r="J510" s="61"/>
      <c r="K510" s="61">
        <v>0</v>
      </c>
      <c r="L510" s="61">
        <v>0</v>
      </c>
      <c r="M510" s="61">
        <v>942803.65724735917</v>
      </c>
      <c r="N510" s="23"/>
      <c r="O510" s="3"/>
      <c r="P510" s="1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</row>
    <row r="511" spans="1:53" x14ac:dyDescent="0.2">
      <c r="A511" s="3">
        <f t="shared" si="90"/>
        <v>14</v>
      </c>
      <c r="B511" s="3" t="s">
        <v>229</v>
      </c>
      <c r="C511" s="3" t="s">
        <v>230</v>
      </c>
      <c r="D511" s="78" t="s">
        <v>431</v>
      </c>
      <c r="E511" s="49" t="s">
        <v>631</v>
      </c>
      <c r="F511" s="53">
        <f>+H511</f>
        <v>1096186.6875632836</v>
      </c>
      <c r="G511" s="53">
        <f>+H511-F511</f>
        <v>0</v>
      </c>
      <c r="H511" s="72">
        <f>SUM(J511:M511)</f>
        <v>1096186.6875632836</v>
      </c>
      <c r="I511" s="61"/>
      <c r="J511" s="61"/>
      <c r="K511" s="61">
        <v>0</v>
      </c>
      <c r="L511" s="61">
        <v>0</v>
      </c>
      <c r="M511" s="61">
        <v>1096186.6875632836</v>
      </c>
      <c r="N511" s="23"/>
      <c r="O511" s="36"/>
      <c r="P511" s="1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</row>
    <row r="512" spans="1:53" x14ac:dyDescent="0.2">
      <c r="A512" s="3">
        <f t="shared" si="90"/>
        <v>15</v>
      </c>
      <c r="B512" s="3" t="s">
        <v>231</v>
      </c>
      <c r="C512" s="3" t="s">
        <v>232</v>
      </c>
      <c r="D512" s="78" t="s">
        <v>431</v>
      </c>
      <c r="E512" s="49" t="s">
        <v>631</v>
      </c>
      <c r="F512" s="53">
        <f>+H512</f>
        <v>0</v>
      </c>
      <c r="G512" s="53">
        <f>+H512-F512</f>
        <v>0</v>
      </c>
      <c r="H512" s="72">
        <f>SUM(J512:M512)</f>
        <v>0</v>
      </c>
      <c r="I512" s="61"/>
      <c r="J512" s="61"/>
      <c r="K512" s="61">
        <v>0</v>
      </c>
      <c r="L512" s="61">
        <v>0</v>
      </c>
      <c r="M512" s="61">
        <v>0</v>
      </c>
      <c r="N512" s="23"/>
      <c r="O512" s="3"/>
      <c r="P512" s="1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</row>
    <row r="513" spans="1:53" x14ac:dyDescent="0.2">
      <c r="A513" s="3">
        <f t="shared" si="90"/>
        <v>16</v>
      </c>
      <c r="B513" s="3" t="s">
        <v>233</v>
      </c>
      <c r="C513" s="3" t="s">
        <v>234</v>
      </c>
      <c r="D513" s="78" t="s">
        <v>431</v>
      </c>
      <c r="E513" s="49" t="s">
        <v>631</v>
      </c>
      <c r="F513" s="53">
        <f>+H513</f>
        <v>16289.23</v>
      </c>
      <c r="G513" s="53">
        <f>+H513-F513</f>
        <v>0</v>
      </c>
      <c r="H513" s="72">
        <f>SUM(J513:M513)</f>
        <v>16289.23</v>
      </c>
      <c r="I513" s="61"/>
      <c r="J513" s="61"/>
      <c r="K513" s="61">
        <v>0</v>
      </c>
      <c r="L513" s="61">
        <v>0</v>
      </c>
      <c r="M513" s="61">
        <v>16289.23</v>
      </c>
      <c r="N513" s="23"/>
      <c r="O513" s="3"/>
      <c r="P513" s="1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</row>
    <row r="514" spans="1:53" x14ac:dyDescent="0.2">
      <c r="A514" s="3">
        <f t="shared" si="90"/>
        <v>17</v>
      </c>
      <c r="B514" s="3"/>
      <c r="C514" s="3" t="s">
        <v>135</v>
      </c>
      <c r="D514" s="3"/>
      <c r="E514" s="49"/>
      <c r="F514" s="53">
        <f>SUM(F509:F513)</f>
        <v>2055279.5748106427</v>
      </c>
      <c r="G514" s="53">
        <f>SUM(G509:G513)</f>
        <v>0</v>
      </c>
      <c r="H514" s="55">
        <f>SUM(H509:H513)</f>
        <v>2055279.5748106427</v>
      </c>
      <c r="I514" s="55"/>
      <c r="J514" s="55">
        <f>SUM(J509:J513)</f>
        <v>0</v>
      </c>
      <c r="K514" s="55">
        <f>SUM(K509:K513)</f>
        <v>0</v>
      </c>
      <c r="L514" s="55">
        <f>SUM(L509:L513)</f>
        <v>0</v>
      </c>
      <c r="M514" s="55">
        <f>SUM(M509:M513)</f>
        <v>2055279.5748106427</v>
      </c>
      <c r="N514" s="23"/>
      <c r="O514" s="3"/>
      <c r="P514" s="1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15" spans="1:53" x14ac:dyDescent="0.2">
      <c r="A515" s="3">
        <f t="shared" si="90"/>
        <v>18</v>
      </c>
      <c r="B515" s="3"/>
      <c r="C515" s="3"/>
      <c r="D515" s="3"/>
      <c r="E515" s="49"/>
      <c r="F515" s="53"/>
      <c r="G515" s="53"/>
      <c r="H515" s="55"/>
      <c r="I515" s="55"/>
      <c r="J515" s="55"/>
      <c r="K515" s="55"/>
      <c r="L515" s="55"/>
      <c r="M515" s="55"/>
      <c r="N515" s="23"/>
      <c r="O515" s="3"/>
      <c r="P515" s="1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</row>
    <row r="516" spans="1:53" x14ac:dyDescent="0.2">
      <c r="A516" s="3">
        <f t="shared" si="90"/>
        <v>19</v>
      </c>
      <c r="B516" s="3"/>
      <c r="C516" s="3" t="s">
        <v>235</v>
      </c>
      <c r="D516" s="3"/>
      <c r="E516" s="49"/>
      <c r="F516" s="53"/>
      <c r="G516" s="53"/>
      <c r="H516" s="55"/>
      <c r="I516" s="55"/>
      <c r="J516" s="55"/>
      <c r="K516" s="55"/>
      <c r="L516" s="55"/>
      <c r="M516" s="55"/>
      <c r="N516" s="23"/>
      <c r="O516" s="3"/>
      <c r="P516" s="1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</row>
    <row r="517" spans="1:53" x14ac:dyDescent="0.2">
      <c r="A517" s="3">
        <f t="shared" si="90"/>
        <v>20</v>
      </c>
      <c r="B517" s="3" t="s">
        <v>236</v>
      </c>
      <c r="C517" s="3" t="s">
        <v>228</v>
      </c>
      <c r="D517" s="78" t="s">
        <v>431</v>
      </c>
      <c r="E517" s="49" t="s">
        <v>631</v>
      </c>
      <c r="F517" s="53">
        <f t="shared" ref="F517:F522" si="94">+H517</f>
        <v>0</v>
      </c>
      <c r="G517" s="53">
        <f>+H517-F517</f>
        <v>0</v>
      </c>
      <c r="H517" s="72">
        <f t="shared" ref="H517:H521" si="95">SUM(J517:M517)</f>
        <v>0</v>
      </c>
      <c r="I517" s="61"/>
      <c r="J517" s="61"/>
      <c r="K517" s="61">
        <v>0</v>
      </c>
      <c r="L517" s="61">
        <v>0</v>
      </c>
      <c r="M517" s="61">
        <v>0</v>
      </c>
      <c r="N517" s="23"/>
      <c r="O517" s="3"/>
      <c r="P517" s="1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</row>
    <row r="518" spans="1:53" x14ac:dyDescent="0.2">
      <c r="A518" s="3">
        <f t="shared" si="90"/>
        <v>21</v>
      </c>
      <c r="B518" s="3" t="s">
        <v>237</v>
      </c>
      <c r="C518" s="3" t="s">
        <v>238</v>
      </c>
      <c r="D518" s="78" t="s">
        <v>431</v>
      </c>
      <c r="E518" s="49" t="s">
        <v>631</v>
      </c>
      <c r="F518" s="53">
        <f t="shared" si="94"/>
        <v>0</v>
      </c>
      <c r="G518" s="53">
        <f>+H518-F518</f>
        <v>0</v>
      </c>
      <c r="H518" s="72">
        <v>0</v>
      </c>
      <c r="I518" s="61"/>
      <c r="J518" s="61"/>
      <c r="K518" s="61">
        <v>0</v>
      </c>
      <c r="L518" s="61">
        <v>0</v>
      </c>
      <c r="M518" s="61">
        <v>876.21</v>
      </c>
      <c r="N518" s="23"/>
      <c r="O518" s="3"/>
      <c r="P518" s="1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</row>
    <row r="519" spans="1:53" x14ac:dyDescent="0.2">
      <c r="A519" s="3">
        <f t="shared" si="90"/>
        <v>22</v>
      </c>
      <c r="B519" s="3" t="s">
        <v>239</v>
      </c>
      <c r="C519" s="3" t="s">
        <v>240</v>
      </c>
      <c r="D519" s="78" t="s">
        <v>431</v>
      </c>
      <c r="E519" s="49" t="s">
        <v>631</v>
      </c>
      <c r="F519" s="53">
        <f t="shared" si="94"/>
        <v>0</v>
      </c>
      <c r="G519" s="53">
        <f>+H519-F519</f>
        <v>0</v>
      </c>
      <c r="H519" s="72">
        <f t="shared" si="95"/>
        <v>0</v>
      </c>
      <c r="I519" s="61"/>
      <c r="J519" s="61"/>
      <c r="K519" s="61">
        <v>0</v>
      </c>
      <c r="L519" s="61">
        <v>0</v>
      </c>
      <c r="M519" s="61">
        <v>0</v>
      </c>
      <c r="N519" s="23"/>
      <c r="O519" s="3"/>
      <c r="P519" s="1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</row>
    <row r="520" spans="1:53" x14ac:dyDescent="0.2">
      <c r="A520" s="3">
        <f t="shared" si="90"/>
        <v>23</v>
      </c>
      <c r="B520" s="3" t="s">
        <v>241</v>
      </c>
      <c r="C520" s="3" t="s">
        <v>242</v>
      </c>
      <c r="D520" s="78" t="s">
        <v>431</v>
      </c>
      <c r="E520" s="49" t="s">
        <v>631</v>
      </c>
      <c r="F520" s="53">
        <f t="shared" si="94"/>
        <v>0</v>
      </c>
      <c r="G520" s="53">
        <f>+H520-F520</f>
        <v>0</v>
      </c>
      <c r="H520" s="72">
        <f t="shared" si="95"/>
        <v>0</v>
      </c>
      <c r="I520" s="61"/>
      <c r="J520" s="61"/>
      <c r="K520" s="61">
        <v>0</v>
      </c>
      <c r="L520" s="61">
        <v>0</v>
      </c>
      <c r="M520" s="61">
        <v>0</v>
      </c>
      <c r="N520" s="23"/>
      <c r="O520" s="3"/>
      <c r="P520" s="1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</row>
    <row r="521" spans="1:53" x14ac:dyDescent="0.2">
      <c r="A521" s="3">
        <f t="shared" si="90"/>
        <v>24</v>
      </c>
      <c r="B521" s="3" t="s">
        <v>243</v>
      </c>
      <c r="C521" s="3" t="s">
        <v>244</v>
      </c>
      <c r="D521" s="78" t="s">
        <v>431</v>
      </c>
      <c r="E521" s="49" t="s">
        <v>631</v>
      </c>
      <c r="F521" s="53">
        <f t="shared" si="94"/>
        <v>0</v>
      </c>
      <c r="G521" s="53">
        <f>+H521-F521</f>
        <v>0</v>
      </c>
      <c r="H521" s="72">
        <f t="shared" si="95"/>
        <v>0</v>
      </c>
      <c r="I521" s="61"/>
      <c r="J521" s="61"/>
      <c r="K521" s="61">
        <v>0</v>
      </c>
      <c r="L521" s="61">
        <v>0</v>
      </c>
      <c r="M521" s="61">
        <v>0</v>
      </c>
      <c r="N521" s="23"/>
      <c r="O521" s="3"/>
      <c r="P521" s="1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</row>
    <row r="522" spans="1:53" x14ac:dyDescent="0.2">
      <c r="A522" s="3">
        <f t="shared" ref="A522:A537" si="96">+A521+1</f>
        <v>25</v>
      </c>
      <c r="B522" s="3"/>
      <c r="C522" s="3" t="s">
        <v>135</v>
      </c>
      <c r="D522" s="3"/>
      <c r="E522" s="49"/>
      <c r="F522" s="53">
        <f t="shared" si="94"/>
        <v>876.21</v>
      </c>
      <c r="G522" s="53">
        <f>SUM(G517:G521)</f>
        <v>0</v>
      </c>
      <c r="H522" s="72">
        <f>SUM(K522:M522)</f>
        <v>876.21</v>
      </c>
      <c r="I522" s="72">
        <f t="shared" ref="I522" si="97">SUM(K522:N522)</f>
        <v>876.21</v>
      </c>
      <c r="J522" s="72">
        <f t="shared" ref="J522" si="98">SUM(L522:O522)</f>
        <v>876.21</v>
      </c>
      <c r="K522" s="72">
        <f>SUM(K517:K521)</f>
        <v>0</v>
      </c>
      <c r="L522" s="72">
        <f t="shared" ref="L522:M522" si="99">SUM(L517:L521)</f>
        <v>0</v>
      </c>
      <c r="M522" s="72">
        <f t="shared" si="99"/>
        <v>876.21</v>
      </c>
      <c r="N522" s="23"/>
      <c r="O522" s="3"/>
      <c r="P522" s="1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:53" x14ac:dyDescent="0.2">
      <c r="A523" s="3">
        <f t="shared" si="96"/>
        <v>26</v>
      </c>
      <c r="B523" s="3"/>
      <c r="C523" s="3" t="s">
        <v>245</v>
      </c>
      <c r="D523" s="3"/>
      <c r="E523" s="49"/>
      <c r="F523" s="53">
        <f>+F522+F514+F506</f>
        <v>10871460.452291835</v>
      </c>
      <c r="G523" s="53">
        <f>+G522+G514+G506</f>
        <v>0</v>
      </c>
      <c r="H523" s="55">
        <f>H506+H514+H522</f>
        <v>10871460.452291837</v>
      </c>
      <c r="I523" s="55"/>
      <c r="J523" s="55">
        <f>J506+J514+J522</f>
        <v>876.21</v>
      </c>
      <c r="K523" s="55">
        <f>K506+K514+K522</f>
        <v>14370.991517123446</v>
      </c>
      <c r="L523" s="55">
        <f>L506+L514+L522</f>
        <v>28461.834775791143</v>
      </c>
      <c r="M523" s="55">
        <f>M506+M514+M522</f>
        <v>10828627.625998922</v>
      </c>
      <c r="N523" s="23"/>
      <c r="O523" s="3"/>
      <c r="P523" s="1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24" spans="1:53" x14ac:dyDescent="0.2">
      <c r="A524" s="3">
        <f t="shared" si="96"/>
        <v>27</v>
      </c>
      <c r="B524" s="3"/>
      <c r="C524" s="3"/>
      <c r="D524" s="3"/>
      <c r="E524" s="49"/>
      <c r="F524" s="53"/>
      <c r="G524" s="53"/>
      <c r="H524" s="55"/>
      <c r="I524" s="55"/>
      <c r="J524" s="55"/>
      <c r="K524" s="55"/>
      <c r="L524" s="55"/>
      <c r="M524" s="55"/>
      <c r="N524" s="23"/>
      <c r="O524" s="3"/>
      <c r="P524" s="1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</row>
    <row r="525" spans="1:53" x14ac:dyDescent="0.2">
      <c r="A525" s="3">
        <f t="shared" si="96"/>
        <v>28</v>
      </c>
      <c r="B525" s="3"/>
      <c r="C525" s="3" t="s">
        <v>283</v>
      </c>
      <c r="D525" s="3"/>
      <c r="E525" s="49"/>
      <c r="F525" s="53">
        <f>+F523+F495</f>
        <v>64860453.146142557</v>
      </c>
      <c r="G525" s="53">
        <f>+G523+G495</f>
        <v>0</v>
      </c>
      <c r="H525" s="55">
        <f>H495+H523</f>
        <v>64860453.146142557</v>
      </c>
      <c r="I525" s="55"/>
      <c r="J525" s="55">
        <f>J495+J523</f>
        <v>876.21</v>
      </c>
      <c r="K525" s="55">
        <f>K495+K523</f>
        <v>43589180.445752218</v>
      </c>
      <c r="L525" s="55">
        <f>L495+L523</f>
        <v>10442645.07439141</v>
      </c>
      <c r="M525" s="55">
        <f>M495+M523</f>
        <v>10828627.625998922</v>
      </c>
      <c r="N525" s="23"/>
      <c r="O525" s="3"/>
      <c r="P525" s="1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</row>
    <row r="526" spans="1:53" x14ac:dyDescent="0.2">
      <c r="A526" s="3"/>
      <c r="B526" s="3"/>
      <c r="C526" s="3"/>
      <c r="D526" s="3"/>
      <c r="E526" s="49"/>
      <c r="F526" s="53"/>
      <c r="G526" s="53"/>
      <c r="H526" s="55">
        <v>0</v>
      </c>
      <c r="I526" s="55"/>
      <c r="J526" s="55"/>
      <c r="K526" s="55"/>
      <c r="L526" s="55"/>
      <c r="M526" s="55"/>
      <c r="N526" s="23"/>
      <c r="O526" s="3"/>
      <c r="P526" s="1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</row>
    <row r="527" spans="1:53" x14ac:dyDescent="0.2">
      <c r="A527" s="3"/>
      <c r="B527" s="3"/>
      <c r="C527" s="3"/>
      <c r="D527" s="3"/>
      <c r="E527" s="49"/>
      <c r="F527" s="53"/>
      <c r="G527" s="53"/>
      <c r="H527" s="55"/>
      <c r="I527" s="55"/>
      <c r="J527" s="55"/>
      <c r="K527" s="55"/>
      <c r="L527" s="55"/>
      <c r="M527" s="55"/>
      <c r="N527" s="23"/>
      <c r="O527" s="3"/>
      <c r="P527" s="1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</row>
    <row r="528" spans="1:53" x14ac:dyDescent="0.2">
      <c r="A528" s="3"/>
      <c r="B528" s="7" t="s">
        <v>284</v>
      </c>
      <c r="C528" s="3"/>
      <c r="D528" s="3"/>
      <c r="E528" s="49"/>
      <c r="F528" s="53"/>
      <c r="G528" s="53"/>
      <c r="H528" s="55"/>
      <c r="I528" s="55"/>
      <c r="J528" s="55"/>
      <c r="K528" s="55"/>
      <c r="L528" s="55"/>
      <c r="M528" s="55"/>
      <c r="N528" s="23"/>
      <c r="O528" s="3"/>
      <c r="P528" s="1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</row>
    <row r="529" spans="1:53" x14ac:dyDescent="0.2">
      <c r="A529" s="3"/>
      <c r="B529" s="3"/>
      <c r="C529" s="3"/>
      <c r="D529" s="3"/>
      <c r="E529" s="49"/>
      <c r="F529" s="53"/>
      <c r="G529" s="53"/>
      <c r="H529" s="55"/>
      <c r="I529" s="55"/>
      <c r="J529" s="55"/>
      <c r="K529" s="55"/>
      <c r="L529" s="55"/>
      <c r="M529" s="55"/>
      <c r="N529" s="23"/>
      <c r="O529" s="3"/>
      <c r="P529" s="1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</row>
    <row r="530" spans="1:53" x14ac:dyDescent="0.2">
      <c r="A530" s="3">
        <v>1</v>
      </c>
      <c r="B530" s="3" t="s">
        <v>285</v>
      </c>
      <c r="C530" s="3"/>
      <c r="D530" s="3"/>
      <c r="E530" s="49"/>
      <c r="F530" s="53"/>
      <c r="G530" s="53"/>
      <c r="H530" s="55"/>
      <c r="I530" s="55"/>
      <c r="J530" s="55"/>
      <c r="K530" s="55"/>
      <c r="L530" s="55"/>
      <c r="M530" s="55"/>
      <c r="N530" s="23"/>
      <c r="O530" s="3"/>
      <c r="P530" s="1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</row>
    <row r="531" spans="1:53" x14ac:dyDescent="0.2">
      <c r="A531" s="3">
        <f t="shared" si="96"/>
        <v>2</v>
      </c>
      <c r="B531" s="3"/>
      <c r="C531" s="3"/>
      <c r="D531" s="3"/>
      <c r="E531" s="49"/>
      <c r="F531" s="53"/>
      <c r="G531" s="53"/>
      <c r="H531" s="55"/>
      <c r="I531" s="55"/>
      <c r="J531" s="55"/>
      <c r="K531" s="55"/>
      <c r="L531" s="55"/>
      <c r="M531" s="55"/>
      <c r="N531" s="23"/>
      <c r="O531" s="3"/>
      <c r="P531" s="1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</row>
    <row r="532" spans="1:53" x14ac:dyDescent="0.2">
      <c r="A532" s="3">
        <f t="shared" si="96"/>
        <v>3</v>
      </c>
      <c r="B532" s="3" t="s">
        <v>23</v>
      </c>
      <c r="C532" s="3"/>
      <c r="D532" s="3"/>
      <c r="E532" s="49"/>
      <c r="F532" s="53"/>
      <c r="G532" s="53"/>
      <c r="H532" s="55"/>
      <c r="I532" s="55"/>
      <c r="J532" s="55"/>
      <c r="K532" s="55"/>
      <c r="L532" s="55"/>
      <c r="M532" s="55"/>
      <c r="N532" s="23"/>
      <c r="O532" s="3"/>
      <c r="P532" s="1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</row>
    <row r="533" spans="1:53" x14ac:dyDescent="0.2">
      <c r="A533" s="3">
        <f t="shared" si="96"/>
        <v>4</v>
      </c>
      <c r="B533" s="3" t="s">
        <v>24</v>
      </c>
      <c r="C533" s="3" t="s">
        <v>25</v>
      </c>
      <c r="D533" s="78" t="s">
        <v>431</v>
      </c>
      <c r="E533" s="49" t="s">
        <v>632</v>
      </c>
      <c r="F533" s="53">
        <f>+H533</f>
        <v>0</v>
      </c>
      <c r="G533" s="53">
        <f>+H533-F533</f>
        <v>0</v>
      </c>
      <c r="H533" s="72">
        <f>SUM(J533:M533)</f>
        <v>0</v>
      </c>
      <c r="I533" s="61"/>
      <c r="J533" s="61"/>
      <c r="K533" s="61">
        <f>+'[1]II-E-1 Dep. Exp.'!N15</f>
        <v>0</v>
      </c>
      <c r="L533" s="61">
        <f>+'[1]II-E-1 Dep. Exp.'!O15</f>
        <v>0</v>
      </c>
      <c r="M533" s="61">
        <f>+'[1]II-E-1 Dep. Exp.'!P15</f>
        <v>0</v>
      </c>
      <c r="N533" s="23"/>
      <c r="O533" s="3"/>
      <c r="P533" s="1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</row>
    <row r="534" spans="1:53" x14ac:dyDescent="0.2">
      <c r="A534" s="3">
        <f t="shared" si="96"/>
        <v>5</v>
      </c>
      <c r="B534" s="3" t="s">
        <v>26</v>
      </c>
      <c r="C534" s="3" t="s">
        <v>27</v>
      </c>
      <c r="D534" s="78" t="s">
        <v>431</v>
      </c>
      <c r="E534" s="49" t="s">
        <v>632</v>
      </c>
      <c r="F534" s="53">
        <f>+H534</f>
        <v>0</v>
      </c>
      <c r="G534" s="53">
        <f>+H534-F534</f>
        <v>0</v>
      </c>
      <c r="H534" s="72">
        <f>SUM(J534:M534)</f>
        <v>0</v>
      </c>
      <c r="I534" s="61"/>
      <c r="J534" s="61"/>
      <c r="K534" s="61">
        <f>+'[1]II-E-1 Dep. Exp.'!N16</f>
        <v>0</v>
      </c>
      <c r="L534" s="61">
        <f>+'[1]II-E-1 Dep. Exp.'!O16</f>
        <v>0</v>
      </c>
      <c r="M534" s="61">
        <f>+'[1]II-E-1 Dep. Exp.'!P16</f>
        <v>0</v>
      </c>
      <c r="N534" s="23"/>
      <c r="O534" s="3"/>
      <c r="P534" s="1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:53" x14ac:dyDescent="0.2">
      <c r="A535" s="3">
        <f t="shared" si="96"/>
        <v>6</v>
      </c>
      <c r="B535" s="3" t="s">
        <v>28</v>
      </c>
      <c r="C535" s="3" t="s">
        <v>29</v>
      </c>
      <c r="D535" s="78" t="s">
        <v>431</v>
      </c>
      <c r="E535" s="49" t="s">
        <v>632</v>
      </c>
      <c r="F535" s="53">
        <f>+H535</f>
        <v>28020402.840000004</v>
      </c>
      <c r="G535" s="53">
        <f>+H535-F535</f>
        <v>0</v>
      </c>
      <c r="H535" s="72">
        <f>SUM(J535:M535)</f>
        <v>28020402.840000004</v>
      </c>
      <c r="I535" s="61"/>
      <c r="J535" s="61"/>
      <c r="K535" s="61">
        <f>+'[1]II-E-1 Dep. Exp.'!N17</f>
        <v>27356422.992008861</v>
      </c>
      <c r="L535" s="61">
        <f>+'[1]II-E-1 Dep. Exp.'!O17</f>
        <v>663979.84799114359</v>
      </c>
      <c r="M535" s="61">
        <f>+'[1]II-E-1 Dep. Exp.'!P17</f>
        <v>0</v>
      </c>
      <c r="N535" s="23"/>
      <c r="O535" s="3"/>
      <c r="P535" s="1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6" spans="1:53" x14ac:dyDescent="0.2">
      <c r="A536" s="3">
        <f t="shared" si="96"/>
        <v>7</v>
      </c>
      <c r="B536" s="3"/>
      <c r="C536" s="3" t="s">
        <v>30</v>
      </c>
      <c r="D536" s="3"/>
      <c r="E536" s="49"/>
      <c r="F536" s="53">
        <f>SUM(F533:F535)</f>
        <v>28020402.840000004</v>
      </c>
      <c r="G536" s="53">
        <f>SUM(G533:G535)</f>
        <v>0</v>
      </c>
      <c r="H536" s="55">
        <f t="shared" ref="H536:M536" si="100">SUM(H533:H535)</f>
        <v>28020402.840000004</v>
      </c>
      <c r="I536" s="55"/>
      <c r="J536" s="55">
        <f t="shared" si="100"/>
        <v>0</v>
      </c>
      <c r="K536" s="55">
        <f t="shared" si="100"/>
        <v>27356422.992008861</v>
      </c>
      <c r="L536" s="55">
        <f t="shared" si="100"/>
        <v>663979.84799114359</v>
      </c>
      <c r="M536" s="55">
        <f t="shared" si="100"/>
        <v>0</v>
      </c>
      <c r="N536" s="23"/>
      <c r="O536" s="3"/>
      <c r="P536" s="1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</row>
    <row r="537" spans="1:53" x14ac:dyDescent="0.2">
      <c r="A537" s="3">
        <f t="shared" si="96"/>
        <v>8</v>
      </c>
      <c r="B537" s="3"/>
      <c r="C537" s="3"/>
      <c r="D537" s="3"/>
      <c r="E537" s="49"/>
      <c r="F537" s="53"/>
      <c r="G537" s="53"/>
      <c r="H537" s="55"/>
      <c r="I537" s="55"/>
      <c r="J537" s="55"/>
      <c r="K537" s="55"/>
      <c r="L537" s="55"/>
      <c r="M537" s="55"/>
      <c r="N537" s="23"/>
      <c r="O537" s="3"/>
      <c r="P537" s="1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</row>
    <row r="538" spans="1:53" x14ac:dyDescent="0.2">
      <c r="A538" s="3">
        <f>1+A537</f>
        <v>9</v>
      </c>
      <c r="B538" s="3"/>
      <c r="C538" s="3"/>
      <c r="D538" s="3"/>
      <c r="E538" s="49"/>
      <c r="F538" s="53"/>
      <c r="G538" s="53"/>
      <c r="H538" s="55"/>
      <c r="I538" s="55"/>
      <c r="J538" s="55"/>
      <c r="K538" s="55"/>
      <c r="L538" s="55"/>
      <c r="M538" s="55"/>
      <c r="N538" s="23"/>
      <c r="O538" s="3"/>
      <c r="P538" s="1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</row>
    <row r="539" spans="1:53" x14ac:dyDescent="0.2">
      <c r="A539" s="3">
        <f t="shared" ref="A539:A602" si="101">1+A538</f>
        <v>10</v>
      </c>
      <c r="B539" s="3" t="s">
        <v>33</v>
      </c>
      <c r="C539" s="3"/>
      <c r="D539" s="3"/>
      <c r="E539" s="49"/>
      <c r="F539" s="53"/>
      <c r="G539" s="53"/>
      <c r="H539" s="55"/>
      <c r="I539" s="55"/>
      <c r="J539" s="55"/>
      <c r="K539" s="55"/>
      <c r="L539" s="55"/>
      <c r="M539" s="55"/>
      <c r="N539" s="23"/>
      <c r="O539" s="3"/>
      <c r="P539" s="1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:53" x14ac:dyDescent="0.2">
      <c r="A540" s="3">
        <f t="shared" si="101"/>
        <v>11</v>
      </c>
      <c r="B540" s="3" t="s">
        <v>34</v>
      </c>
      <c r="C540" s="3" t="s">
        <v>35</v>
      </c>
      <c r="D540" s="78" t="s">
        <v>431</v>
      </c>
      <c r="E540" s="49" t="s">
        <v>632</v>
      </c>
      <c r="F540" s="53">
        <f>+H540</f>
        <v>0</v>
      </c>
      <c r="G540" s="53">
        <f t="shared" ref="G540:G548" si="102">+H540-F540</f>
        <v>0</v>
      </c>
      <c r="H540" s="72">
        <f t="shared" ref="H540:H548" si="103">SUM(J540:M540)</f>
        <v>0</v>
      </c>
      <c r="I540" s="61"/>
      <c r="J540" s="61"/>
      <c r="K540" s="61">
        <v>0</v>
      </c>
      <c r="L540" s="61">
        <v>0</v>
      </c>
      <c r="M540" s="61">
        <v>0</v>
      </c>
      <c r="N540" s="23"/>
      <c r="O540" s="3"/>
      <c r="P540" s="1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:53" x14ac:dyDescent="0.2">
      <c r="A541" s="3">
        <f t="shared" si="101"/>
        <v>12</v>
      </c>
      <c r="B541" s="3" t="s">
        <v>36</v>
      </c>
      <c r="C541" s="3" t="s">
        <v>31</v>
      </c>
      <c r="D541" s="78" t="s">
        <v>431</v>
      </c>
      <c r="E541" s="49" t="s">
        <v>632</v>
      </c>
      <c r="F541" s="53">
        <f t="shared" ref="F541:F548" si="104">+H541</f>
        <v>0</v>
      </c>
      <c r="G541" s="53">
        <f t="shared" si="102"/>
        <v>0</v>
      </c>
      <c r="H541" s="72">
        <f t="shared" si="103"/>
        <v>0</v>
      </c>
      <c r="I541" s="61"/>
      <c r="J541" s="61"/>
      <c r="K541" s="61">
        <v>0</v>
      </c>
      <c r="L541" s="61">
        <v>0</v>
      </c>
      <c r="M541" s="61">
        <v>0</v>
      </c>
      <c r="N541" s="23"/>
      <c r="O541" s="3"/>
      <c r="P541" s="1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42" spans="1:53" x14ac:dyDescent="0.2">
      <c r="A542" s="3">
        <f t="shared" si="101"/>
        <v>13</v>
      </c>
      <c r="B542" s="3" t="s">
        <v>37</v>
      </c>
      <c r="C542" s="3" t="s">
        <v>38</v>
      </c>
      <c r="D542" s="78" t="s">
        <v>431</v>
      </c>
      <c r="E542" s="49" t="s">
        <v>632</v>
      </c>
      <c r="F542" s="53">
        <f t="shared" si="104"/>
        <v>0</v>
      </c>
      <c r="G542" s="53">
        <f t="shared" si="102"/>
        <v>0</v>
      </c>
      <c r="H542" s="72">
        <f t="shared" si="103"/>
        <v>0</v>
      </c>
      <c r="I542" s="61"/>
      <c r="J542" s="61"/>
      <c r="K542" s="61">
        <v>0</v>
      </c>
      <c r="L542" s="61">
        <v>0</v>
      </c>
      <c r="M542" s="61">
        <v>0</v>
      </c>
      <c r="N542" s="23"/>
      <c r="O542" s="3"/>
      <c r="P542" s="1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</row>
    <row r="543" spans="1:53" x14ac:dyDescent="0.2">
      <c r="A543" s="3">
        <f t="shared" si="101"/>
        <v>14</v>
      </c>
      <c r="B543" s="3" t="s">
        <v>39</v>
      </c>
      <c r="C543" s="3" t="s">
        <v>40</v>
      </c>
      <c r="D543" s="78" t="s">
        <v>431</v>
      </c>
      <c r="E543" s="49" t="s">
        <v>632</v>
      </c>
      <c r="F543" s="53">
        <f t="shared" si="104"/>
        <v>0</v>
      </c>
      <c r="G543" s="53">
        <f t="shared" si="102"/>
        <v>0</v>
      </c>
      <c r="H543" s="72">
        <f t="shared" si="103"/>
        <v>0</v>
      </c>
      <c r="I543" s="61"/>
      <c r="J543" s="61"/>
      <c r="K543" s="61">
        <v>0</v>
      </c>
      <c r="L543" s="61">
        <v>0</v>
      </c>
      <c r="M543" s="61">
        <v>0</v>
      </c>
      <c r="N543" s="23"/>
      <c r="O543" s="3"/>
      <c r="P543" s="1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</row>
    <row r="544" spans="1:53" x14ac:dyDescent="0.2">
      <c r="A544" s="3">
        <f t="shared" si="101"/>
        <v>15</v>
      </c>
      <c r="B544" s="3" t="s">
        <v>41</v>
      </c>
      <c r="C544" s="3" t="s">
        <v>42</v>
      </c>
      <c r="D544" s="78" t="s">
        <v>431</v>
      </c>
      <c r="E544" s="49" t="s">
        <v>632</v>
      </c>
      <c r="F544" s="53">
        <f t="shared" si="104"/>
        <v>0</v>
      </c>
      <c r="G544" s="53">
        <f t="shared" si="102"/>
        <v>0</v>
      </c>
      <c r="H544" s="72">
        <f t="shared" si="103"/>
        <v>0</v>
      </c>
      <c r="I544" s="61"/>
      <c r="J544" s="61"/>
      <c r="K544" s="61">
        <v>0</v>
      </c>
      <c r="L544" s="61">
        <v>0</v>
      </c>
      <c r="M544" s="61">
        <v>0</v>
      </c>
      <c r="N544" s="23"/>
      <c r="O544" s="3"/>
      <c r="P544" s="1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</row>
    <row r="545" spans="1:53" x14ac:dyDescent="0.2">
      <c r="A545" s="3">
        <f t="shared" si="101"/>
        <v>16</v>
      </c>
      <c r="B545" s="3" t="s">
        <v>43</v>
      </c>
      <c r="C545" s="3" t="s">
        <v>44</v>
      </c>
      <c r="D545" s="78" t="s">
        <v>431</v>
      </c>
      <c r="E545" s="49" t="s">
        <v>632</v>
      </c>
      <c r="F545" s="53">
        <f t="shared" si="104"/>
        <v>0</v>
      </c>
      <c r="G545" s="53">
        <f t="shared" si="102"/>
        <v>0</v>
      </c>
      <c r="H545" s="72">
        <f t="shared" si="103"/>
        <v>0</v>
      </c>
      <c r="I545" s="61"/>
      <c r="J545" s="61"/>
      <c r="K545" s="61">
        <v>0</v>
      </c>
      <c r="L545" s="61">
        <v>0</v>
      </c>
      <c r="M545" s="61">
        <v>0</v>
      </c>
      <c r="N545" s="23"/>
      <c r="O545" s="3"/>
      <c r="P545" s="1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</row>
    <row r="546" spans="1:53" x14ac:dyDescent="0.2">
      <c r="A546" s="3">
        <f t="shared" si="101"/>
        <v>17</v>
      </c>
      <c r="B546" s="3" t="s">
        <v>45</v>
      </c>
      <c r="C546" s="3" t="s">
        <v>46</v>
      </c>
      <c r="D546" s="78" t="s">
        <v>431</v>
      </c>
      <c r="E546" s="49" t="s">
        <v>632</v>
      </c>
      <c r="F546" s="53">
        <f t="shared" si="104"/>
        <v>0</v>
      </c>
      <c r="G546" s="53">
        <f t="shared" si="102"/>
        <v>0</v>
      </c>
      <c r="H546" s="72">
        <f t="shared" si="103"/>
        <v>0</v>
      </c>
      <c r="I546" s="61"/>
      <c r="J546" s="61"/>
      <c r="K546" s="61">
        <v>0</v>
      </c>
      <c r="L546" s="61">
        <v>0</v>
      </c>
      <c r="M546" s="61">
        <v>0</v>
      </c>
      <c r="N546" s="23"/>
      <c r="O546" s="3"/>
      <c r="P546" s="1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</row>
    <row r="547" spans="1:53" x14ac:dyDescent="0.2">
      <c r="A547" s="3">
        <f t="shared" si="101"/>
        <v>18</v>
      </c>
      <c r="B547" s="3" t="s">
        <v>47</v>
      </c>
      <c r="C547" s="3" t="s">
        <v>48</v>
      </c>
      <c r="D547" s="78" t="s">
        <v>431</v>
      </c>
      <c r="E547" s="49" t="s">
        <v>632</v>
      </c>
      <c r="F547" s="53">
        <f t="shared" si="104"/>
        <v>0</v>
      </c>
      <c r="G547" s="53">
        <f t="shared" si="102"/>
        <v>0</v>
      </c>
      <c r="H547" s="72">
        <f t="shared" si="103"/>
        <v>0</v>
      </c>
      <c r="I547" s="61"/>
      <c r="J547" s="61"/>
      <c r="K547" s="61">
        <v>0</v>
      </c>
      <c r="L547" s="61">
        <v>0</v>
      </c>
      <c r="M547" s="61">
        <v>0</v>
      </c>
      <c r="N547" s="23"/>
      <c r="O547" s="3"/>
      <c r="P547" s="1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</row>
    <row r="548" spans="1:53" x14ac:dyDescent="0.2">
      <c r="A548" s="3">
        <f t="shared" si="101"/>
        <v>19</v>
      </c>
      <c r="B548" s="3" t="s">
        <v>49</v>
      </c>
      <c r="C548" s="3" t="s">
        <v>50</v>
      </c>
      <c r="D548" s="78" t="s">
        <v>431</v>
      </c>
      <c r="E548" s="49" t="s">
        <v>632</v>
      </c>
      <c r="F548" s="53">
        <f t="shared" si="104"/>
        <v>0</v>
      </c>
      <c r="G548" s="53">
        <f t="shared" si="102"/>
        <v>0</v>
      </c>
      <c r="H548" s="72">
        <f t="shared" si="103"/>
        <v>0</v>
      </c>
      <c r="I548" s="61"/>
      <c r="J548" s="61"/>
      <c r="K548" s="61">
        <v>0</v>
      </c>
      <c r="L548" s="61">
        <v>0</v>
      </c>
      <c r="M548" s="61">
        <v>0</v>
      </c>
      <c r="N548" s="23"/>
      <c r="O548" s="3"/>
      <c r="P548" s="1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</row>
    <row r="549" spans="1:53" x14ac:dyDescent="0.2">
      <c r="A549" s="3">
        <f t="shared" si="101"/>
        <v>20</v>
      </c>
      <c r="B549" s="3"/>
      <c r="C549" s="3" t="s">
        <v>51</v>
      </c>
      <c r="D549" s="3"/>
      <c r="E549" s="49"/>
      <c r="F549" s="53">
        <f>SUM(F540:F548)</f>
        <v>0</v>
      </c>
      <c r="G549" s="53">
        <f>SUM(G540:G548)</f>
        <v>0</v>
      </c>
      <c r="H549" s="55">
        <f t="shared" ref="H549:M549" si="105">SUM(H540:H548)</f>
        <v>0</v>
      </c>
      <c r="I549" s="55"/>
      <c r="J549" s="55">
        <f t="shared" si="105"/>
        <v>0</v>
      </c>
      <c r="K549" s="55">
        <f t="shared" si="105"/>
        <v>0</v>
      </c>
      <c r="L549" s="55">
        <f t="shared" si="105"/>
        <v>0</v>
      </c>
      <c r="M549" s="55">
        <f t="shared" si="105"/>
        <v>0</v>
      </c>
      <c r="N549" s="23"/>
      <c r="O549" s="3"/>
      <c r="P549" s="1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</row>
    <row r="550" spans="1:53" x14ac:dyDescent="0.2">
      <c r="A550" s="3">
        <f t="shared" si="101"/>
        <v>21</v>
      </c>
      <c r="B550" s="7" t="s">
        <v>286</v>
      </c>
      <c r="C550" s="3"/>
      <c r="D550" s="3"/>
      <c r="E550" s="49"/>
      <c r="F550" s="53"/>
      <c r="G550" s="53"/>
      <c r="H550" s="55"/>
      <c r="I550" s="55"/>
      <c r="J550" s="55"/>
      <c r="K550" s="55"/>
      <c r="L550" s="55"/>
      <c r="M550" s="55"/>
      <c r="N550" s="23"/>
      <c r="O550" s="3"/>
      <c r="P550" s="1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</row>
    <row r="551" spans="1:53" x14ac:dyDescent="0.2">
      <c r="A551" s="3">
        <f t="shared" si="101"/>
        <v>22</v>
      </c>
      <c r="B551" s="3"/>
      <c r="C551" s="3"/>
      <c r="D551" s="3"/>
      <c r="E551" s="49"/>
      <c r="F551" s="53"/>
      <c r="G551" s="53"/>
      <c r="H551" s="55"/>
      <c r="I551" s="55"/>
      <c r="J551" s="55"/>
      <c r="K551" s="55"/>
      <c r="L551" s="55"/>
      <c r="M551" s="55"/>
      <c r="N551" s="23"/>
      <c r="O551" s="3"/>
      <c r="P551" s="1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</row>
    <row r="552" spans="1:53" x14ac:dyDescent="0.2">
      <c r="A552" s="3">
        <f t="shared" si="101"/>
        <v>23</v>
      </c>
      <c r="B552" s="3" t="s">
        <v>176</v>
      </c>
      <c r="C552" s="3"/>
      <c r="D552" s="3"/>
      <c r="E552" s="49"/>
      <c r="F552" s="53"/>
      <c r="G552" s="53"/>
      <c r="H552" s="55"/>
      <c r="I552" s="55"/>
      <c r="J552" s="55"/>
      <c r="K552" s="55"/>
      <c r="L552" s="55"/>
      <c r="M552" s="55"/>
      <c r="N552" s="23"/>
      <c r="O552" s="3"/>
      <c r="P552" s="1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</row>
    <row r="553" spans="1:53" x14ac:dyDescent="0.2">
      <c r="A553" s="3">
        <f t="shared" si="101"/>
        <v>24</v>
      </c>
      <c r="B553" s="3" t="s">
        <v>53</v>
      </c>
      <c r="C553" s="3" t="s">
        <v>35</v>
      </c>
      <c r="D553" s="78" t="s">
        <v>431</v>
      </c>
      <c r="E553" s="49" t="s">
        <v>632</v>
      </c>
      <c r="F553" s="53">
        <f>+H553</f>
        <v>120015.99900380966</v>
      </c>
      <c r="G553" s="53">
        <f t="shared" ref="G553:G564" si="106">+H553-F553</f>
        <v>0</v>
      </c>
      <c r="H553" s="72">
        <f t="shared" ref="H553:H567" si="107">SUM(J553:M553)</f>
        <v>120015.99900380966</v>
      </c>
      <c r="I553" s="61"/>
      <c r="J553" s="61"/>
      <c r="K553" s="61">
        <f>+'[1]II-E-1 Dep. Exp.'!N34</f>
        <v>120015.99900380966</v>
      </c>
      <c r="L553" s="61">
        <f>+'[1]II-E-1 Dep. Exp.'!O34</f>
        <v>0</v>
      </c>
      <c r="M553" s="61">
        <f>+'[1]II-E-1 Dep. Exp.'!P34</f>
        <v>0</v>
      </c>
      <c r="N553" s="23"/>
      <c r="O553" s="3"/>
      <c r="P553" s="1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</row>
    <row r="554" spans="1:53" x14ac:dyDescent="0.2">
      <c r="A554" s="3">
        <f t="shared" si="101"/>
        <v>25</v>
      </c>
      <c r="B554" s="3" t="s">
        <v>54</v>
      </c>
      <c r="C554" s="3" t="s">
        <v>31</v>
      </c>
      <c r="D554" s="78" t="s">
        <v>431</v>
      </c>
      <c r="E554" s="49" t="s">
        <v>632</v>
      </c>
      <c r="F554" s="53">
        <f t="shared" ref="F554:F567" si="108">+H554</f>
        <v>1531230.1427943213</v>
      </c>
      <c r="G554" s="53">
        <f t="shared" si="106"/>
        <v>0</v>
      </c>
      <c r="H554" s="72">
        <f t="shared" si="107"/>
        <v>1531230.1427943213</v>
      </c>
      <c r="I554" s="61"/>
      <c r="J554" s="61"/>
      <c r="K554" s="61">
        <f>+'[1]II-E-1 Dep. Exp.'!N35</f>
        <v>1531230.1427943213</v>
      </c>
      <c r="L554" s="61">
        <f>+'[1]II-E-1 Dep. Exp.'!O35</f>
        <v>0</v>
      </c>
      <c r="M554" s="61">
        <f>+'[1]II-E-1 Dep. Exp.'!P35</f>
        <v>0</v>
      </c>
      <c r="N554" s="23"/>
      <c r="O554" s="3"/>
      <c r="P554" s="1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</row>
    <row r="555" spans="1:53" x14ac:dyDescent="0.2">
      <c r="A555" s="3">
        <f t="shared" si="101"/>
        <v>26</v>
      </c>
      <c r="B555" s="3" t="s">
        <v>55</v>
      </c>
      <c r="C555" s="3" t="s">
        <v>38</v>
      </c>
      <c r="D555" s="78" t="s">
        <v>431</v>
      </c>
      <c r="E555" s="49" t="s">
        <v>632</v>
      </c>
      <c r="F555" s="53">
        <f t="shared" si="108"/>
        <v>19245285.888670489</v>
      </c>
      <c r="G555" s="53">
        <f t="shared" si="106"/>
        <v>0</v>
      </c>
      <c r="H555" s="72">
        <f t="shared" si="107"/>
        <v>19245285.888670489</v>
      </c>
      <c r="I555" s="61"/>
      <c r="J555" s="61"/>
      <c r="K555" s="61">
        <f>+'[1]II-E-1 Dep. Exp.'!N36</f>
        <v>19245285.888670489</v>
      </c>
      <c r="L555" s="61">
        <f>+'[1]II-E-1 Dep. Exp.'!O36</f>
        <v>0</v>
      </c>
      <c r="M555" s="61">
        <f>+'[1]II-E-1 Dep. Exp.'!P36</f>
        <v>0</v>
      </c>
      <c r="N555" s="23"/>
      <c r="O555" s="3"/>
      <c r="P555" s="1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</row>
    <row r="556" spans="1:53" x14ac:dyDescent="0.2">
      <c r="A556" s="3">
        <f t="shared" si="101"/>
        <v>27</v>
      </c>
      <c r="B556" s="3" t="s">
        <v>56</v>
      </c>
      <c r="C556" s="3" t="s">
        <v>57</v>
      </c>
      <c r="D556" s="78" t="s">
        <v>431</v>
      </c>
      <c r="E556" s="49" t="s">
        <v>632</v>
      </c>
      <c r="F556" s="53">
        <f t="shared" si="108"/>
        <v>0</v>
      </c>
      <c r="G556" s="53">
        <f t="shared" si="106"/>
        <v>0</v>
      </c>
      <c r="H556" s="72">
        <f t="shared" si="107"/>
        <v>0</v>
      </c>
      <c r="I556" s="61"/>
      <c r="J556" s="61"/>
      <c r="K556" s="61">
        <f>+'[1]II-E-1 Dep. Exp.'!N37</f>
        <v>0</v>
      </c>
      <c r="L556" s="61">
        <f>+'[1]II-E-1 Dep. Exp.'!O37</f>
        <v>0</v>
      </c>
      <c r="M556" s="61">
        <f>+'[1]II-E-1 Dep. Exp.'!P37</f>
        <v>0</v>
      </c>
      <c r="N556" s="23"/>
      <c r="O556" s="3"/>
      <c r="P556" s="1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</row>
    <row r="557" spans="1:53" x14ac:dyDescent="0.2">
      <c r="A557" s="3">
        <f t="shared" si="101"/>
        <v>28</v>
      </c>
      <c r="B557" s="3" t="s">
        <v>58</v>
      </c>
      <c r="C557" s="3" t="s">
        <v>59</v>
      </c>
      <c r="D557" s="78" t="s">
        <v>431</v>
      </c>
      <c r="E557" s="49" t="s">
        <v>632</v>
      </c>
      <c r="F557" s="53">
        <f t="shared" si="108"/>
        <v>43484356.269545406</v>
      </c>
      <c r="G557" s="53">
        <f t="shared" si="106"/>
        <v>0</v>
      </c>
      <c r="H557" s="72">
        <f t="shared" si="107"/>
        <v>43484356.269545406</v>
      </c>
      <c r="I557" s="61"/>
      <c r="J557" s="61"/>
      <c r="K557" s="61">
        <f>+'[1]II-E-1 Dep. Exp.'!N38</f>
        <v>43484356.269545406</v>
      </c>
      <c r="L557" s="61">
        <f>+'[1]II-E-1 Dep. Exp.'!O38</f>
        <v>0</v>
      </c>
      <c r="M557" s="61">
        <f>+'[1]II-E-1 Dep. Exp.'!P38</f>
        <v>0</v>
      </c>
      <c r="N557" s="23"/>
      <c r="O557" s="3"/>
      <c r="P557" s="1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:53" x14ac:dyDescent="0.2">
      <c r="A558" s="3">
        <f t="shared" si="101"/>
        <v>29</v>
      </c>
      <c r="B558" s="3" t="s">
        <v>63</v>
      </c>
      <c r="C558" s="3" t="s">
        <v>44</v>
      </c>
      <c r="D558" s="78" t="s">
        <v>431</v>
      </c>
      <c r="E558" s="49" t="s">
        <v>632</v>
      </c>
      <c r="F558" s="53">
        <f t="shared" si="108"/>
        <v>40621699.592868529</v>
      </c>
      <c r="G558" s="53">
        <f t="shared" si="106"/>
        <v>0</v>
      </c>
      <c r="H558" s="72">
        <f t="shared" si="107"/>
        <v>40621699.592868529</v>
      </c>
      <c r="I558" s="61"/>
      <c r="J558" s="61"/>
      <c r="K558" s="61">
        <f>+'[1]II-E-1 Dep. Exp.'!N39</f>
        <v>40621699.592868529</v>
      </c>
      <c r="L558" s="61">
        <f>+'[1]II-E-1 Dep. Exp.'!O39</f>
        <v>0</v>
      </c>
      <c r="M558" s="61">
        <f>+'[1]II-E-1 Dep. Exp.'!P39</f>
        <v>0</v>
      </c>
      <c r="N558" s="23"/>
      <c r="O558" s="3"/>
      <c r="P558" s="1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59" spans="1:53" x14ac:dyDescent="0.2">
      <c r="A559" s="3">
        <f t="shared" si="101"/>
        <v>30</v>
      </c>
      <c r="B559" s="3" t="s">
        <v>64</v>
      </c>
      <c r="C559" s="3" t="s">
        <v>65</v>
      </c>
      <c r="D559" s="78" t="s">
        <v>431</v>
      </c>
      <c r="E559" s="49" t="s">
        <v>632</v>
      </c>
      <c r="F559" s="53">
        <f t="shared" si="108"/>
        <v>1485236.3349345445</v>
      </c>
      <c r="G559" s="53">
        <f t="shared" si="106"/>
        <v>0</v>
      </c>
      <c r="H559" s="72">
        <f t="shared" si="107"/>
        <v>1485236.3349345445</v>
      </c>
      <c r="I559" s="61"/>
      <c r="J559" s="61"/>
      <c r="K559" s="61">
        <f>+'[1]II-E-1 Dep. Exp.'!N40</f>
        <v>1485236.3349345445</v>
      </c>
      <c r="L559" s="61">
        <f>+'[1]II-E-1 Dep. Exp.'!O40</f>
        <v>0</v>
      </c>
      <c r="M559" s="61">
        <f>+'[1]II-E-1 Dep. Exp.'!P40</f>
        <v>0</v>
      </c>
      <c r="N559" s="23"/>
      <c r="O559" s="3"/>
      <c r="P559" s="1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</row>
    <row r="560" spans="1:53" x14ac:dyDescent="0.2">
      <c r="A560" s="3">
        <f t="shared" si="101"/>
        <v>31</v>
      </c>
      <c r="B560" s="3" t="s">
        <v>66</v>
      </c>
      <c r="C560" s="3" t="s">
        <v>67</v>
      </c>
      <c r="D560" s="78" t="s">
        <v>431</v>
      </c>
      <c r="E560" s="49" t="s">
        <v>632</v>
      </c>
      <c r="F560" s="53">
        <f t="shared" si="108"/>
        <v>12658093.909374265</v>
      </c>
      <c r="G560" s="53">
        <f t="shared" si="106"/>
        <v>0</v>
      </c>
      <c r="H560" s="72">
        <f t="shared" si="107"/>
        <v>12658093.909374265</v>
      </c>
      <c r="I560" s="61"/>
      <c r="J560" s="61"/>
      <c r="K560" s="61">
        <f>+'[1]II-E-1 Dep. Exp.'!N41</f>
        <v>12658093.909374265</v>
      </c>
      <c r="L560" s="61">
        <f>+'[1]II-E-1 Dep. Exp.'!O41</f>
        <v>0</v>
      </c>
      <c r="M560" s="61">
        <f>+'[1]II-E-1 Dep. Exp.'!P41</f>
        <v>0</v>
      </c>
      <c r="N560" s="23"/>
      <c r="O560" s="3"/>
      <c r="P560" s="1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</row>
    <row r="561" spans="1:53" x14ac:dyDescent="0.2">
      <c r="A561" s="3">
        <f t="shared" si="101"/>
        <v>32</v>
      </c>
      <c r="B561" s="3" t="s">
        <v>69</v>
      </c>
      <c r="C561" s="3" t="s">
        <v>70</v>
      </c>
      <c r="D561" s="78" t="s">
        <v>431</v>
      </c>
      <c r="E561" s="49" t="s">
        <v>632</v>
      </c>
      <c r="F561" s="53">
        <f t="shared" si="108"/>
        <v>31322680.60329067</v>
      </c>
      <c r="G561" s="53">
        <f t="shared" si="106"/>
        <v>0</v>
      </c>
      <c r="H561" s="72">
        <f t="shared" si="107"/>
        <v>31322680.60329067</v>
      </c>
      <c r="I561" s="61"/>
      <c r="J561" s="61"/>
      <c r="K561" s="61">
        <f>+'[1]II-E-1 Dep. Exp.'!N42</f>
        <v>31322680.60329067</v>
      </c>
      <c r="L561" s="61">
        <f>+'[1]II-E-1 Dep. Exp.'!O42</f>
        <v>0</v>
      </c>
      <c r="M561" s="61">
        <f>+'[1]II-E-1 Dep. Exp.'!P42</f>
        <v>0</v>
      </c>
      <c r="N561" s="23"/>
      <c r="O561" s="3"/>
      <c r="P561" s="1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</row>
    <row r="562" spans="1:53" x14ac:dyDescent="0.2">
      <c r="A562" s="3">
        <f t="shared" si="101"/>
        <v>33</v>
      </c>
      <c r="B562" s="3" t="s">
        <v>72</v>
      </c>
      <c r="C562" s="3" t="s">
        <v>73</v>
      </c>
      <c r="D562" s="78" t="s">
        <v>431</v>
      </c>
      <c r="E562" s="49" t="s">
        <v>632</v>
      </c>
      <c r="F562" s="53">
        <f t="shared" si="108"/>
        <v>7344259.7496501962</v>
      </c>
      <c r="G562" s="53">
        <f t="shared" si="106"/>
        <v>0</v>
      </c>
      <c r="H562" s="72">
        <f t="shared" si="107"/>
        <v>7344259.7496501962</v>
      </c>
      <c r="I562" s="61"/>
      <c r="J562" s="61"/>
      <c r="K562" s="61">
        <f>+'[1]II-E-1 Dep. Exp.'!N43</f>
        <v>7344259.7496501962</v>
      </c>
      <c r="L562" s="61">
        <f>+'[1]II-E-1 Dep. Exp.'!O43</f>
        <v>0</v>
      </c>
      <c r="M562" s="61">
        <f>+'[1]II-E-1 Dep. Exp.'!P43</f>
        <v>0</v>
      </c>
      <c r="N562" s="23"/>
      <c r="O562" s="3"/>
      <c r="P562" s="1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</row>
    <row r="563" spans="1:53" x14ac:dyDescent="0.2">
      <c r="A563" s="3">
        <f t="shared" si="101"/>
        <v>34</v>
      </c>
      <c r="B563" s="3" t="s">
        <v>74</v>
      </c>
      <c r="C563" s="3" t="s">
        <v>75</v>
      </c>
      <c r="D563" s="78" t="s">
        <v>431</v>
      </c>
      <c r="E563" s="49" t="s">
        <v>632</v>
      </c>
      <c r="F563" s="53">
        <f t="shared" si="108"/>
        <v>4617176.8369425312</v>
      </c>
      <c r="G563" s="53">
        <f t="shared" si="106"/>
        <v>0</v>
      </c>
      <c r="H563" s="72">
        <f t="shared" si="107"/>
        <v>4617176.8369425312</v>
      </c>
      <c r="I563" s="61"/>
      <c r="J563" s="61"/>
      <c r="K563" s="61">
        <f>+'[1]II-E-1 Dep. Exp.'!N44</f>
        <v>0</v>
      </c>
      <c r="L563" s="61">
        <f>+'[1]II-E-1 Dep. Exp.'!$O$44</f>
        <v>4617176.8369425312</v>
      </c>
      <c r="M563" s="61">
        <f>+'[1]II-E-1 Dep. Exp.'!P44</f>
        <v>0</v>
      </c>
      <c r="N563" s="23"/>
      <c r="O563" s="3"/>
      <c r="P563" s="1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</row>
    <row r="564" spans="1:53" x14ac:dyDescent="0.2">
      <c r="A564" s="3">
        <f t="shared" si="101"/>
        <v>35</v>
      </c>
      <c r="B564" s="3" t="s">
        <v>76</v>
      </c>
      <c r="C564" s="3" t="s">
        <v>77</v>
      </c>
      <c r="D564" s="78" t="s">
        <v>431</v>
      </c>
      <c r="E564" s="49" t="s">
        <v>632</v>
      </c>
      <c r="F564" s="53">
        <f t="shared" si="108"/>
        <v>1338981.8461807715</v>
      </c>
      <c r="G564" s="53">
        <f t="shared" si="106"/>
        <v>0</v>
      </c>
      <c r="H564" s="72">
        <f t="shared" si="107"/>
        <v>1338981.8461807715</v>
      </c>
      <c r="I564" s="61"/>
      <c r="J564" s="61"/>
      <c r="K564" s="61">
        <f>+'[1]II-E-1 Dep. Exp.'!$N$46</f>
        <v>1338981.8461807715</v>
      </c>
      <c r="L564" s="61">
        <v>0</v>
      </c>
      <c r="M564" s="61">
        <f>+'[1]II-E-1 Dep. Exp.'!P45</f>
        <v>0</v>
      </c>
      <c r="N564" s="23"/>
      <c r="O564" s="3"/>
      <c r="P564" s="1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</row>
    <row r="565" spans="1:53" s="173" customFormat="1" x14ac:dyDescent="0.2">
      <c r="A565" s="3">
        <f t="shared" si="101"/>
        <v>36</v>
      </c>
      <c r="B565" s="3" t="s">
        <v>74</v>
      </c>
      <c r="C565" s="3" t="s">
        <v>817</v>
      </c>
      <c r="D565" s="78" t="s">
        <v>431</v>
      </c>
      <c r="E565" s="49" t="s">
        <v>634</v>
      </c>
      <c r="F565" s="53">
        <f t="shared" si="108"/>
        <v>6511912.3360271519</v>
      </c>
      <c r="G565" s="53">
        <f>+H565-F565</f>
        <v>0</v>
      </c>
      <c r="H565" s="72">
        <f>SUM(J565:M565)</f>
        <v>6511912.3360271519</v>
      </c>
      <c r="I565" s="61"/>
      <c r="J565" s="61"/>
      <c r="K565" s="61">
        <v>0</v>
      </c>
      <c r="L565" s="61">
        <f>+'[1]II-E-1 Dep. Exp.'!$O$45</f>
        <v>6511912.3360271519</v>
      </c>
      <c r="M565" s="61">
        <f>+'[1]II-E-1 Dep. Exp.'!P46</f>
        <v>0</v>
      </c>
      <c r="N565" s="23"/>
      <c r="O565" s="36"/>
      <c r="P565" s="1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:53" x14ac:dyDescent="0.2">
      <c r="A566" s="3">
        <f t="shared" si="101"/>
        <v>37</v>
      </c>
      <c r="B566" s="3" t="s">
        <v>78</v>
      </c>
      <c r="C566" s="3" t="s">
        <v>79</v>
      </c>
      <c r="D566" s="78" t="s">
        <v>431</v>
      </c>
      <c r="E566" s="49" t="s">
        <v>632</v>
      </c>
      <c r="F566" s="53">
        <f t="shared" si="108"/>
        <v>1349.017365706957</v>
      </c>
      <c r="G566" s="53">
        <f>+H566-F566</f>
        <v>0</v>
      </c>
      <c r="H566" s="72">
        <f t="shared" si="107"/>
        <v>1349.017365706957</v>
      </c>
      <c r="I566" s="61"/>
      <c r="J566" s="61"/>
      <c r="K566" s="61">
        <f>+'[1]II-E-1 Dep. Exp.'!N47</f>
        <v>1349.017365706957</v>
      </c>
      <c r="L566" s="61">
        <f>+'[1]II-E-1 Dep. Exp.'!O47</f>
        <v>0</v>
      </c>
      <c r="M566" s="61">
        <f>+'[1]II-E-1 Dep. Exp.'!P47</f>
        <v>0</v>
      </c>
      <c r="N566" s="23"/>
      <c r="O566" s="3"/>
      <c r="P566" s="1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:53" x14ac:dyDescent="0.2">
      <c r="A567" s="3">
        <f t="shared" si="101"/>
        <v>38</v>
      </c>
      <c r="B567" s="3" t="s">
        <v>80</v>
      </c>
      <c r="C567" s="3" t="s">
        <v>81</v>
      </c>
      <c r="D567" s="78" t="s">
        <v>431</v>
      </c>
      <c r="E567" s="49" t="s">
        <v>632</v>
      </c>
      <c r="F567" s="53">
        <f t="shared" si="108"/>
        <v>3826298.220244647</v>
      </c>
      <c r="G567" s="53">
        <f>+H567-F567</f>
        <v>0</v>
      </c>
      <c r="H567" s="72">
        <f t="shared" si="107"/>
        <v>3826298.220244647</v>
      </c>
      <c r="I567" s="61"/>
      <c r="J567" s="61"/>
      <c r="K567" s="61">
        <f>+'[1]II-E-1 Dep. Exp.'!N48</f>
        <v>3826298.220244647</v>
      </c>
      <c r="L567" s="61">
        <f>+'[1]II-E-1 Dep. Exp.'!O48</f>
        <v>0</v>
      </c>
      <c r="M567" s="61">
        <f>+'[1]II-E-1 Dep. Exp.'!P48</f>
        <v>0</v>
      </c>
      <c r="N567" s="23"/>
      <c r="O567" s="3"/>
      <c r="P567" s="1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:53" x14ac:dyDescent="0.2">
      <c r="A568" s="3">
        <f t="shared" si="101"/>
        <v>39</v>
      </c>
      <c r="B568" s="3"/>
      <c r="C568" s="3" t="s">
        <v>287</v>
      </c>
      <c r="D568" s="3"/>
      <c r="E568" s="49"/>
      <c r="F568" s="53">
        <f>SUM(F553:F567)</f>
        <v>174108576.74689302</v>
      </c>
      <c r="G568" s="53">
        <f>SUM(G553:G567)</f>
        <v>0</v>
      </c>
      <c r="H568" s="55">
        <f t="shared" ref="H568:M568" si="109">SUM(H553:H567)</f>
        <v>174108576.74689302</v>
      </c>
      <c r="I568" s="55"/>
      <c r="J568" s="55">
        <f t="shared" si="109"/>
        <v>0</v>
      </c>
      <c r="K568" s="55">
        <f t="shared" si="109"/>
        <v>162979487.57392335</v>
      </c>
      <c r="L568" s="55">
        <f t="shared" si="109"/>
        <v>11129089.172969684</v>
      </c>
      <c r="M568" s="55">
        <f t="shared" si="109"/>
        <v>0</v>
      </c>
      <c r="N568" s="23"/>
      <c r="O568" s="3"/>
      <c r="P568" s="1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69" spans="1:53" x14ac:dyDescent="0.2">
      <c r="A569" s="3">
        <f t="shared" si="101"/>
        <v>40</v>
      </c>
      <c r="B569" s="3"/>
      <c r="C569" s="3"/>
      <c r="D569" s="3"/>
      <c r="E569" s="49"/>
      <c r="F569" s="53"/>
      <c r="G569" s="53"/>
      <c r="H569" s="55"/>
      <c r="I569" s="55"/>
      <c r="J569" s="55"/>
      <c r="K569" s="55"/>
      <c r="L569" s="55"/>
      <c r="M569" s="55"/>
      <c r="N569" s="23"/>
      <c r="O569" s="3"/>
      <c r="P569" s="1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</row>
    <row r="570" spans="1:53" x14ac:dyDescent="0.2">
      <c r="A570" s="3">
        <f t="shared" si="101"/>
        <v>41</v>
      </c>
      <c r="B570" s="3" t="s">
        <v>84</v>
      </c>
      <c r="C570" s="3"/>
      <c r="D570" s="3"/>
      <c r="E570" s="49"/>
      <c r="F570" s="53"/>
      <c r="G570" s="53"/>
      <c r="H570" s="55"/>
      <c r="I570" s="55"/>
      <c r="J570" s="55"/>
      <c r="K570" s="55"/>
      <c r="L570" s="55"/>
      <c r="M570" s="55"/>
      <c r="N570" s="23"/>
      <c r="O570" s="3"/>
      <c r="P570" s="1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:53" x14ac:dyDescent="0.2">
      <c r="A571" s="3">
        <f t="shared" si="101"/>
        <v>42</v>
      </c>
      <c r="B571" s="3" t="s">
        <v>85</v>
      </c>
      <c r="C571" s="3" t="s">
        <v>35</v>
      </c>
      <c r="D571" s="78" t="s">
        <v>431</v>
      </c>
      <c r="E571" s="49" t="s">
        <v>632</v>
      </c>
      <c r="F571" s="53">
        <f>+H571</f>
        <v>0</v>
      </c>
      <c r="G571" s="53">
        <f t="shared" ref="G571:G581" si="110">+H571-F571</f>
        <v>0</v>
      </c>
      <c r="H571" s="72">
        <f t="shared" ref="H571:H581" si="111">SUM(J571:M571)</f>
        <v>0</v>
      </c>
      <c r="I571" s="61"/>
      <c r="J571" s="61"/>
      <c r="K571" s="61">
        <f>+'[1]II-E-1 Dep. Exp.'!N55</f>
        <v>0</v>
      </c>
      <c r="L571" s="61">
        <f>+'[1]II-E-1 Dep. Exp.'!O55</f>
        <v>0</v>
      </c>
      <c r="M571" s="61">
        <f>+'[1]II-E-1 Dep. Exp.'!P55</f>
        <v>0</v>
      </c>
      <c r="N571" s="23"/>
      <c r="O571" s="3"/>
      <c r="P571" s="1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:53" x14ac:dyDescent="0.2">
      <c r="A572" s="3">
        <f t="shared" si="101"/>
        <v>43</v>
      </c>
      <c r="B572" s="3" t="s">
        <v>86</v>
      </c>
      <c r="C572" s="3" t="s">
        <v>31</v>
      </c>
      <c r="D572" s="78" t="s">
        <v>431</v>
      </c>
      <c r="E572" s="49" t="s">
        <v>632</v>
      </c>
      <c r="F572" s="53">
        <f t="shared" ref="F572:F581" si="112">+H572</f>
        <v>5324713.8300614394</v>
      </c>
      <c r="G572" s="53">
        <f t="shared" si="110"/>
        <v>0</v>
      </c>
      <c r="H572" s="72">
        <f t="shared" si="111"/>
        <v>5324713.8300614394</v>
      </c>
      <c r="I572" s="61"/>
      <c r="J572" s="61"/>
      <c r="K572" s="61">
        <f>+'[1]II-E-1 Dep. Exp.'!N56</f>
        <v>5217051.2958346838</v>
      </c>
      <c r="L572" s="61">
        <f>+'[1]II-E-1 Dep. Exp.'!O56</f>
        <v>27950.365741959715</v>
      </c>
      <c r="M572" s="61">
        <f>+'[1]II-E-1 Dep. Exp.'!P56</f>
        <v>79712.168484795751</v>
      </c>
      <c r="N572" s="23"/>
      <c r="O572" s="3"/>
      <c r="P572" s="1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3" spans="1:53" x14ac:dyDescent="0.2">
      <c r="A573" s="3">
        <f t="shared" si="101"/>
        <v>44</v>
      </c>
      <c r="B573" s="3" t="s">
        <v>87</v>
      </c>
      <c r="C573" s="3" t="s">
        <v>88</v>
      </c>
      <c r="D573" s="78" t="s">
        <v>431</v>
      </c>
      <c r="E573" s="49" t="s">
        <v>632</v>
      </c>
      <c r="F573" s="53">
        <f t="shared" si="112"/>
        <v>479032.69887918991</v>
      </c>
      <c r="G573" s="53">
        <f t="shared" si="110"/>
        <v>0</v>
      </c>
      <c r="H573" s="72">
        <f t="shared" si="111"/>
        <v>479032.69887918991</v>
      </c>
      <c r="I573" s="61"/>
      <c r="J573" s="61"/>
      <c r="K573" s="61">
        <f>+'[1]II-E-1 Dep. Exp.'!N57</f>
        <v>469346.94374101737</v>
      </c>
      <c r="L573" s="61">
        <f>+'[1]II-E-1 Dep. Exp.'!O57</f>
        <v>2514.5274588168663</v>
      </c>
      <c r="M573" s="61">
        <f>+'[1]II-E-1 Dep. Exp.'!P57</f>
        <v>7171.2276793556475</v>
      </c>
      <c r="N573" s="23"/>
      <c r="O573" s="3"/>
      <c r="P573" s="1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</row>
    <row r="574" spans="1:53" x14ac:dyDescent="0.2">
      <c r="A574" s="3">
        <f t="shared" si="101"/>
        <v>45</v>
      </c>
      <c r="B574" s="3" t="s">
        <v>89</v>
      </c>
      <c r="C574" s="3" t="s">
        <v>90</v>
      </c>
      <c r="D574" s="78" t="s">
        <v>431</v>
      </c>
      <c r="E574" s="49" t="s">
        <v>632</v>
      </c>
      <c r="F574" s="53">
        <f t="shared" si="112"/>
        <v>6196.7720329601943</v>
      </c>
      <c r="G574" s="53">
        <f t="shared" si="110"/>
        <v>0</v>
      </c>
      <c r="H574" s="72">
        <f t="shared" si="111"/>
        <v>6196.7720329601943</v>
      </c>
      <c r="I574" s="61"/>
      <c r="J574" s="61"/>
      <c r="K574" s="61">
        <f>+'[1]II-E-1 Dep. Exp.'!N58</f>
        <v>6049.9309756666789</v>
      </c>
      <c r="L574" s="61">
        <f>+'[1]II-E-1 Dep. Exp.'!O58</f>
        <v>146.84075725404338</v>
      </c>
      <c r="M574" s="61">
        <f>+'[1]II-E-1 Dep. Exp.'!P58</f>
        <v>3.0003947180098201E-4</v>
      </c>
      <c r="N574" s="23"/>
      <c r="O574" s="3"/>
      <c r="P574" s="1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</row>
    <row r="575" spans="1:53" x14ac:dyDescent="0.2">
      <c r="A575" s="3">
        <f t="shared" si="101"/>
        <v>46</v>
      </c>
      <c r="B575" s="3" t="s">
        <v>91</v>
      </c>
      <c r="C575" s="3" t="s">
        <v>114</v>
      </c>
      <c r="D575" s="78" t="s">
        <v>431</v>
      </c>
      <c r="E575" s="49" t="s">
        <v>632</v>
      </c>
      <c r="F575" s="53">
        <f t="shared" si="112"/>
        <v>103300.9214806368</v>
      </c>
      <c r="G575" s="53">
        <f t="shared" si="110"/>
        <v>0</v>
      </c>
      <c r="H575" s="72">
        <f t="shared" si="111"/>
        <v>103300.9214806368</v>
      </c>
      <c r="I575" s="61"/>
      <c r="J575" s="61"/>
      <c r="K575" s="61">
        <f>+'[1]II-E-1 Dep. Exp.'!N59</f>
        <v>100853.07194279417</v>
      </c>
      <c r="L575" s="61">
        <f>+'[1]II-E-1 Dep. Exp.'!O59</f>
        <v>2447.8495378426283</v>
      </c>
      <c r="M575" s="61">
        <f>+'[1]II-E-1 Dep. Exp.'!P59</f>
        <v>0</v>
      </c>
      <c r="N575" s="23"/>
      <c r="O575" s="3"/>
      <c r="P575" s="1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</row>
    <row r="576" spans="1:53" x14ac:dyDescent="0.2">
      <c r="A576" s="3">
        <f t="shared" si="101"/>
        <v>47</v>
      </c>
      <c r="B576" s="3" t="s">
        <v>93</v>
      </c>
      <c r="C576" s="3" t="s">
        <v>94</v>
      </c>
      <c r="D576" s="78" t="s">
        <v>431</v>
      </c>
      <c r="E576" s="49" t="s">
        <v>632</v>
      </c>
      <c r="F576" s="53">
        <f t="shared" si="112"/>
        <v>1094412.2206685692</v>
      </c>
      <c r="G576" s="53">
        <f t="shared" si="110"/>
        <v>0</v>
      </c>
      <c r="H576" s="72">
        <f t="shared" si="111"/>
        <v>1094412.2206685692</v>
      </c>
      <c r="I576" s="61"/>
      <c r="J576" s="61"/>
      <c r="K576" s="61">
        <f>+'[1]II-E-1 Dep. Exp.'!N60</f>
        <v>1068478.61414841</v>
      </c>
      <c r="L576" s="61">
        <f>+'[1]II-E-1 Dep. Exp.'!O60</f>
        <v>25933.553530172961</v>
      </c>
      <c r="M576" s="61">
        <f>+'[1]II-E-1 Dep. Exp.'!P60</f>
        <v>5.298998621788522E-2</v>
      </c>
      <c r="N576" s="23"/>
      <c r="O576" s="3"/>
      <c r="P576" s="1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</row>
    <row r="577" spans="1:53" x14ac:dyDescent="0.2">
      <c r="A577" s="3">
        <f t="shared" si="101"/>
        <v>48</v>
      </c>
      <c r="B577" s="3" t="s">
        <v>95</v>
      </c>
      <c r="C577" s="3" t="s">
        <v>96</v>
      </c>
      <c r="D577" s="78" t="s">
        <v>431</v>
      </c>
      <c r="E577" s="49" t="s">
        <v>632</v>
      </c>
      <c r="F577" s="53">
        <f t="shared" si="112"/>
        <v>9886.4384860594728</v>
      </c>
      <c r="G577" s="53">
        <f t="shared" si="110"/>
        <v>0</v>
      </c>
      <c r="H577" s="72">
        <f t="shared" si="111"/>
        <v>9886.4384860594728</v>
      </c>
      <c r="I577" s="61"/>
      <c r="J577" s="61"/>
      <c r="K577" s="61">
        <f>+'[1]II-E-1 Dep. Exp.'!N61</f>
        <v>9652.16569492909</v>
      </c>
      <c r="L577" s="61">
        <f>+'[1]II-E-1 Dep. Exp.'!O61</f>
        <v>234.27231244216023</v>
      </c>
      <c r="M577" s="61">
        <f>+'[1]II-E-1 Dep. Exp.'!P61</f>
        <v>4.7868822115329203E-4</v>
      </c>
      <c r="N577" s="23"/>
      <c r="O577" s="3"/>
      <c r="P577" s="1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</row>
    <row r="578" spans="1:53" x14ac:dyDescent="0.2">
      <c r="A578" s="3">
        <f t="shared" si="101"/>
        <v>49</v>
      </c>
      <c r="B578" s="3" t="s">
        <v>97</v>
      </c>
      <c r="C578" s="3" t="s">
        <v>98</v>
      </c>
      <c r="D578" s="78" t="s">
        <v>431</v>
      </c>
      <c r="E578" s="49" t="s">
        <v>632</v>
      </c>
      <c r="F578" s="53">
        <f t="shared" si="112"/>
        <v>1456.2739959115183</v>
      </c>
      <c r="G578" s="53">
        <f t="shared" si="110"/>
        <v>0</v>
      </c>
      <c r="H578" s="72">
        <f t="shared" si="111"/>
        <v>1456.2739959115183</v>
      </c>
      <c r="I578" s="61"/>
      <c r="J578" s="61"/>
      <c r="K578" s="61">
        <f>+'[1]II-E-1 Dep. Exp.'!N62</f>
        <v>1421.7655756999477</v>
      </c>
      <c r="L578" s="61">
        <f>+'[1]II-E-1 Dep. Exp.'!O62</f>
        <v>34.508349700717908</v>
      </c>
      <c r="M578" s="61">
        <f>+'[1]II-E-1 Dep. Exp.'!P62</f>
        <v>7.0510852780568018E-5</v>
      </c>
      <c r="N578" s="23"/>
      <c r="O578" s="3"/>
      <c r="P578" s="1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:53" x14ac:dyDescent="0.2">
      <c r="A579" s="3">
        <f t="shared" si="101"/>
        <v>50</v>
      </c>
      <c r="B579" s="3" t="s">
        <v>105</v>
      </c>
      <c r="C579" s="3" t="s">
        <v>106</v>
      </c>
      <c r="D579" s="78" t="s">
        <v>431</v>
      </c>
      <c r="E579" s="49" t="s">
        <v>632</v>
      </c>
      <c r="F579" s="53">
        <f t="shared" si="112"/>
        <v>11303668.099257478</v>
      </c>
      <c r="G579" s="53">
        <f t="shared" si="110"/>
        <v>0</v>
      </c>
      <c r="H579" s="72">
        <f t="shared" si="111"/>
        <v>11303668.099257478</v>
      </c>
      <c r="I579" s="61"/>
      <c r="J579" s="61"/>
      <c r="K579" s="61">
        <f>+'[1]II-E-1 Dep. Exp.'!N63</f>
        <v>11035812.098397458</v>
      </c>
      <c r="L579" s="61">
        <f>+'[1]II-E-1 Dep. Exp.'!O63</f>
        <v>267855.45355142537</v>
      </c>
      <c r="M579" s="61">
        <f>+'[1]II-E-1 Dep. Exp.'!P63</f>
        <v>0.54730859677835919</v>
      </c>
      <c r="N579" s="23"/>
      <c r="O579" s="3"/>
      <c r="P579" s="1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:53" x14ac:dyDescent="0.2">
      <c r="A580" s="3">
        <f t="shared" si="101"/>
        <v>51</v>
      </c>
      <c r="B580" s="3" t="s">
        <v>99</v>
      </c>
      <c r="C580" s="3" t="s">
        <v>100</v>
      </c>
      <c r="D580" s="78" t="s">
        <v>431</v>
      </c>
      <c r="E580" s="49" t="s">
        <v>632</v>
      </c>
      <c r="F580" s="53">
        <f t="shared" si="112"/>
        <v>317367.31053991488</v>
      </c>
      <c r="G580" s="53">
        <f t="shared" si="110"/>
        <v>0</v>
      </c>
      <c r="H580" s="72">
        <f t="shared" si="111"/>
        <v>317367.31053991488</v>
      </c>
      <c r="I580" s="61"/>
      <c r="J580" s="61"/>
      <c r="K580" s="61">
        <f>+'[1]II-E-1 Dep. Exp.'!N64</f>
        <v>309846.85453762778</v>
      </c>
      <c r="L580" s="61">
        <f>+'[1]II-E-1 Dep. Exp.'!O64</f>
        <v>7520.4406357834459</v>
      </c>
      <c r="M580" s="61">
        <f>+'[1]II-E-1 Dep. Exp.'!P64</f>
        <v>1.5366503675592929E-2</v>
      </c>
      <c r="N580" s="23"/>
      <c r="O580" s="3"/>
      <c r="P580" s="1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1" spans="1:53" x14ac:dyDescent="0.2">
      <c r="A581" s="3">
        <f t="shared" si="101"/>
        <v>52</v>
      </c>
      <c r="B581" s="3" t="s">
        <v>101</v>
      </c>
      <c r="C581" s="3" t="s">
        <v>864</v>
      </c>
      <c r="D581" s="78" t="s">
        <v>431</v>
      </c>
      <c r="E581" s="49" t="s">
        <v>632</v>
      </c>
      <c r="F581" s="53">
        <f t="shared" si="112"/>
        <v>36857.56</v>
      </c>
      <c r="G581" s="53">
        <f t="shared" si="110"/>
        <v>0</v>
      </c>
      <c r="H581" s="72">
        <f t="shared" si="111"/>
        <v>36857.56</v>
      </c>
      <c r="I581" s="61"/>
      <c r="J581" s="61"/>
      <c r="K581" s="61">
        <f>+'[1]II-E-1 Dep. Exp.'!N66</f>
        <v>36857.56</v>
      </c>
      <c r="L581" s="61">
        <f>+'[1]II-E-1 Dep. Exp.'!O66</f>
        <v>0</v>
      </c>
      <c r="M581" s="61">
        <f>+'[1]II-E-1 Dep. Exp.'!P66</f>
        <v>0</v>
      </c>
      <c r="N581" s="23"/>
      <c r="O581" s="3"/>
      <c r="P581" s="1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</row>
    <row r="582" spans="1:53" x14ac:dyDescent="0.2">
      <c r="A582" s="3">
        <f t="shared" si="101"/>
        <v>53</v>
      </c>
      <c r="B582" s="3"/>
      <c r="C582" s="3" t="s">
        <v>288</v>
      </c>
      <c r="D582" s="3"/>
      <c r="E582" s="49"/>
      <c r="F582" s="53">
        <f>SUM(F571:F581)</f>
        <v>18676892.12540216</v>
      </c>
      <c r="G582" s="53">
        <f>SUM(G571:G581)</f>
        <v>0</v>
      </c>
      <c r="H582" s="55">
        <f t="shared" ref="H582:M582" si="113">SUM(H571:H581)</f>
        <v>18676892.12540216</v>
      </c>
      <c r="I582" s="55"/>
      <c r="J582" s="55">
        <f t="shared" si="113"/>
        <v>0</v>
      </c>
      <c r="K582" s="55">
        <f t="shared" si="113"/>
        <v>18255370.300848287</v>
      </c>
      <c r="L582" s="55">
        <f t="shared" si="113"/>
        <v>334637.81187539786</v>
      </c>
      <c r="M582" s="55">
        <f t="shared" si="113"/>
        <v>86884.012678476633</v>
      </c>
      <c r="N582" s="23"/>
      <c r="O582" s="3"/>
      <c r="P582" s="1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</row>
    <row r="583" spans="1:53" x14ac:dyDescent="0.2">
      <c r="A583" s="3"/>
      <c r="B583" s="7" t="s">
        <v>286</v>
      </c>
      <c r="C583" s="3"/>
      <c r="D583" s="3"/>
      <c r="E583" s="49"/>
      <c r="F583" s="53"/>
      <c r="G583" s="53"/>
      <c r="H583" s="55"/>
      <c r="I583" s="55"/>
      <c r="J583" s="55"/>
      <c r="K583" s="55"/>
      <c r="L583" s="55"/>
      <c r="M583" s="55"/>
      <c r="N583" s="23"/>
      <c r="O583" s="3"/>
      <c r="P583" s="1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:53" x14ac:dyDescent="0.2">
      <c r="A584" s="3"/>
      <c r="B584" s="3"/>
      <c r="C584" s="3"/>
      <c r="D584" s="78"/>
      <c r="E584" s="49"/>
      <c r="F584" s="53"/>
      <c r="G584" s="53"/>
      <c r="H584" s="55"/>
      <c r="I584" s="55"/>
      <c r="J584" s="55"/>
      <c r="K584" s="55"/>
      <c r="L584" s="55"/>
      <c r="M584" s="55"/>
      <c r="N584" s="23"/>
      <c r="O584" s="3"/>
      <c r="P584" s="1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85" spans="1:53" x14ac:dyDescent="0.2">
      <c r="A585" s="3">
        <f t="shared" si="101"/>
        <v>1</v>
      </c>
      <c r="B585" s="3" t="s">
        <v>813</v>
      </c>
      <c r="C585" s="3"/>
      <c r="D585" s="78"/>
      <c r="E585" s="49"/>
      <c r="F585" s="53"/>
      <c r="G585" s="53"/>
      <c r="H585" s="55"/>
      <c r="I585" s="55"/>
      <c r="J585" s="55"/>
      <c r="K585" s="55"/>
      <c r="L585" s="55"/>
      <c r="M585" s="55"/>
      <c r="N585" s="23"/>
      <c r="O585" s="3"/>
      <c r="P585" s="1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</row>
    <row r="586" spans="1:53" x14ac:dyDescent="0.2">
      <c r="A586" s="3">
        <f t="shared" si="101"/>
        <v>2</v>
      </c>
      <c r="B586" s="3"/>
      <c r="C586" s="3" t="s">
        <v>814</v>
      </c>
      <c r="D586" s="78" t="s">
        <v>431</v>
      </c>
      <c r="E586" s="49" t="s">
        <v>633</v>
      </c>
      <c r="F586" s="53">
        <f t="shared" ref="F586:F591" si="114">+H586</f>
        <v>-1286124.8801766695</v>
      </c>
      <c r="G586" s="53">
        <f t="shared" ref="G586:G591" si="115">+H586-F586</f>
        <v>0</v>
      </c>
      <c r="H586" s="72">
        <f t="shared" ref="H586:H591" si="116">SUM(J586:M586)</f>
        <v>-1286124.8801766695</v>
      </c>
      <c r="I586" s="61"/>
      <c r="J586" s="61"/>
      <c r="K586" s="61">
        <f>+'[1]II-E-1 Dep. Exp.'!$N$76</f>
        <v>-1286124.8801766695</v>
      </c>
      <c r="L586" s="61">
        <v>0</v>
      </c>
      <c r="M586" s="61">
        <v>0</v>
      </c>
      <c r="N586" s="23"/>
      <c r="O586" s="3"/>
      <c r="P586" s="1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</row>
    <row r="587" spans="1:53" s="173" customFormat="1" x14ac:dyDescent="0.2">
      <c r="A587" s="3">
        <f t="shared" si="101"/>
        <v>3</v>
      </c>
      <c r="B587" s="3"/>
      <c r="C587" s="3" t="s">
        <v>820</v>
      </c>
      <c r="D587" s="78" t="s">
        <v>431</v>
      </c>
      <c r="E587" s="49" t="s">
        <v>633</v>
      </c>
      <c r="F587" s="53">
        <f t="shared" si="114"/>
        <v>939710.90400000033</v>
      </c>
      <c r="G587" s="53">
        <f t="shared" si="115"/>
        <v>0</v>
      </c>
      <c r="H587" s="72">
        <f t="shared" si="116"/>
        <v>939710.90400000033</v>
      </c>
      <c r="I587" s="61"/>
      <c r="J587" s="61"/>
      <c r="K587" s="61">
        <f>+'[1]II-E-4.1 Deferred Exp'!$J$18</f>
        <v>939710.90400000033</v>
      </c>
      <c r="L587" s="61"/>
      <c r="M587" s="61"/>
      <c r="N587" s="23"/>
      <c r="O587" s="3"/>
      <c r="P587" s="1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</row>
    <row r="588" spans="1:53" x14ac:dyDescent="0.2">
      <c r="A588" s="3">
        <f t="shared" si="101"/>
        <v>4</v>
      </c>
      <c r="B588" s="3"/>
      <c r="C588" s="3" t="s">
        <v>821</v>
      </c>
      <c r="D588" s="78" t="s">
        <v>431</v>
      </c>
      <c r="E588" s="49" t="s">
        <v>633</v>
      </c>
      <c r="F588" s="53">
        <f t="shared" si="114"/>
        <v>2212976.5979999993</v>
      </c>
      <c r="G588" s="53">
        <f t="shared" si="115"/>
        <v>0</v>
      </c>
      <c r="H588" s="72">
        <f t="shared" si="116"/>
        <v>2212976.5979999993</v>
      </c>
      <c r="I588" s="61"/>
      <c r="J588" s="61"/>
      <c r="K588" s="61">
        <f>+'[1]II-E-1 Dep. Exp.'!$N$91</f>
        <v>0</v>
      </c>
      <c r="L588" s="61">
        <f>+'[1]II-E-1 Dep. Exp.'!$O$81</f>
        <v>2212976.5979999993</v>
      </c>
      <c r="M588" s="61"/>
      <c r="N588" s="23"/>
      <c r="O588" s="36"/>
      <c r="P588" s="1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</row>
    <row r="589" spans="1:53" x14ac:dyDescent="0.2">
      <c r="A589" s="3">
        <f t="shared" si="101"/>
        <v>5</v>
      </c>
      <c r="B589" s="3"/>
      <c r="C589" s="3" t="s">
        <v>653</v>
      </c>
      <c r="D589" s="78" t="s">
        <v>431</v>
      </c>
      <c r="E589" s="49" t="s">
        <v>633</v>
      </c>
      <c r="F589" s="53">
        <f t="shared" si="114"/>
        <v>0</v>
      </c>
      <c r="G589" s="53">
        <f t="shared" si="115"/>
        <v>0</v>
      </c>
      <c r="H589" s="72">
        <f t="shared" si="116"/>
        <v>0</v>
      </c>
      <c r="I589" s="61"/>
      <c r="J589" s="61"/>
      <c r="K589" s="61">
        <v>0</v>
      </c>
      <c r="L589" s="61">
        <v>0</v>
      </c>
      <c r="M589" s="61">
        <v>0</v>
      </c>
      <c r="N589" s="23"/>
      <c r="O589" s="36"/>
      <c r="P589" s="1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</row>
    <row r="590" spans="1:53" x14ac:dyDescent="0.2">
      <c r="A590" s="3">
        <f t="shared" si="101"/>
        <v>6</v>
      </c>
      <c r="B590" s="3"/>
      <c r="C590" s="3" t="s">
        <v>531</v>
      </c>
      <c r="D590" s="78" t="s">
        <v>431</v>
      </c>
      <c r="E590" s="49" t="s">
        <v>633</v>
      </c>
      <c r="F590" s="53">
        <f t="shared" si="114"/>
        <v>0</v>
      </c>
      <c r="G590" s="53">
        <f t="shared" si="115"/>
        <v>0</v>
      </c>
      <c r="H590" s="72">
        <f t="shared" si="116"/>
        <v>0</v>
      </c>
      <c r="I590" s="61"/>
      <c r="J590" s="61"/>
      <c r="K590" s="61">
        <v>0</v>
      </c>
      <c r="L590" s="61">
        <v>0</v>
      </c>
      <c r="M590" s="61">
        <v>0</v>
      </c>
      <c r="N590" s="23"/>
      <c r="O590" s="36"/>
      <c r="P590" s="1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</row>
    <row r="591" spans="1:53" x14ac:dyDescent="0.2">
      <c r="A591" s="3">
        <f t="shared" si="101"/>
        <v>7</v>
      </c>
      <c r="B591" s="3"/>
      <c r="C591" s="3" t="s">
        <v>828</v>
      </c>
      <c r="D591" s="78" t="s">
        <v>431</v>
      </c>
      <c r="E591" s="49" t="s">
        <v>633</v>
      </c>
      <c r="F591" s="53">
        <f t="shared" si="114"/>
        <v>59660.879999999946</v>
      </c>
      <c r="G591" s="53">
        <f t="shared" si="115"/>
        <v>0</v>
      </c>
      <c r="H591" s="72">
        <f t="shared" si="116"/>
        <v>59660.879999999946</v>
      </c>
      <c r="I591" s="61"/>
      <c r="J591" s="61"/>
      <c r="K591" s="61">
        <f>+'[1]II-E-1 Dep. Exp.'!$N$49-'[1]II-B-13 Gain or Loss on Sale'!$N$11</f>
        <v>59660.879999999946</v>
      </c>
      <c r="L591" s="61">
        <f>+'[1]II-E-1 Dep. Exp.'!O48</f>
        <v>0</v>
      </c>
      <c r="M591" s="61">
        <f>+'[1]II-E-1 Dep. Exp.'!P48</f>
        <v>0</v>
      </c>
      <c r="N591" s="23"/>
      <c r="O591" s="36"/>
      <c r="P591" s="1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</row>
    <row r="592" spans="1:53" x14ac:dyDescent="0.2">
      <c r="A592" s="3">
        <f t="shared" si="101"/>
        <v>8</v>
      </c>
      <c r="B592" s="3"/>
      <c r="C592" s="3"/>
      <c r="D592" s="78"/>
      <c r="E592" s="49"/>
      <c r="F592" s="53"/>
      <c r="G592" s="53"/>
      <c r="H592" s="72"/>
      <c r="I592" s="61"/>
      <c r="J592" s="61"/>
      <c r="K592" s="61">
        <v>0</v>
      </c>
      <c r="L592" s="61"/>
      <c r="M592" s="61"/>
      <c r="N592" s="23"/>
      <c r="O592" s="36"/>
      <c r="P592" s="1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</row>
    <row r="593" spans="1:53" x14ac:dyDescent="0.2">
      <c r="A593" s="3">
        <f t="shared" si="101"/>
        <v>9</v>
      </c>
      <c r="B593" s="3"/>
      <c r="C593" s="3"/>
      <c r="D593" s="78"/>
      <c r="E593" s="49"/>
      <c r="F593" s="53"/>
      <c r="G593" s="53"/>
      <c r="H593" s="72"/>
      <c r="I593" s="61"/>
      <c r="J593" s="61"/>
      <c r="K593" s="61">
        <v>0</v>
      </c>
      <c r="L593" s="61"/>
      <c r="M593" s="61"/>
      <c r="N593" s="23"/>
      <c r="O593" s="36"/>
      <c r="P593" s="1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4" spans="1:53" x14ac:dyDescent="0.2">
      <c r="A594" s="3">
        <f t="shared" si="101"/>
        <v>10</v>
      </c>
      <c r="B594" s="3"/>
      <c r="C594" s="3" t="s">
        <v>290</v>
      </c>
      <c r="D594" s="3"/>
      <c r="E594" s="49" t="s">
        <v>633</v>
      </c>
      <c r="F594" s="53">
        <f t="shared" ref="F594:M594" si="117">SUM(F586:F593)</f>
        <v>1926223.5018233301</v>
      </c>
      <c r="G594" s="53">
        <f t="shared" si="117"/>
        <v>0</v>
      </c>
      <c r="H594" s="55">
        <f t="shared" si="117"/>
        <v>1926223.5018233301</v>
      </c>
      <c r="I594" s="55">
        <f t="shared" si="117"/>
        <v>0</v>
      </c>
      <c r="J594" s="55">
        <f t="shared" si="117"/>
        <v>0</v>
      </c>
      <c r="K594" s="55">
        <f t="shared" si="117"/>
        <v>-286753.09617666918</v>
      </c>
      <c r="L594" s="55">
        <f t="shared" si="117"/>
        <v>2212976.5979999993</v>
      </c>
      <c r="M594" s="55">
        <f t="shared" si="117"/>
        <v>0</v>
      </c>
      <c r="N594" s="23"/>
      <c r="O594" s="3"/>
      <c r="P594" s="1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</row>
    <row r="595" spans="1:53" x14ac:dyDescent="0.2">
      <c r="A595" s="3">
        <f t="shared" si="101"/>
        <v>11</v>
      </c>
      <c r="B595" s="3"/>
      <c r="C595" s="3"/>
      <c r="D595" s="3"/>
      <c r="E595" s="49"/>
      <c r="F595" s="53"/>
      <c r="G595" s="53"/>
      <c r="H595" s="55"/>
      <c r="I595" s="55"/>
      <c r="J595" s="55"/>
      <c r="K595" s="55"/>
      <c r="L595" s="55"/>
      <c r="M595" s="55"/>
      <c r="N595" s="23"/>
      <c r="O595" s="3"/>
      <c r="P595" s="1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</row>
    <row r="596" spans="1:53" x14ac:dyDescent="0.2">
      <c r="A596" s="3">
        <f t="shared" si="101"/>
        <v>12</v>
      </c>
      <c r="B596" s="3"/>
      <c r="C596" s="3"/>
      <c r="D596" s="3"/>
      <c r="E596" s="49"/>
      <c r="F596" s="53"/>
      <c r="G596" s="53"/>
      <c r="H596" s="55"/>
      <c r="I596" s="55"/>
      <c r="J596" s="55"/>
      <c r="K596" s="55"/>
      <c r="L596" s="55"/>
      <c r="M596" s="55"/>
      <c r="N596" s="23"/>
      <c r="O596" s="3"/>
      <c r="P596" s="1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</row>
    <row r="597" spans="1:53" x14ac:dyDescent="0.2">
      <c r="A597" s="3">
        <f t="shared" si="101"/>
        <v>13</v>
      </c>
      <c r="B597" s="3" t="s">
        <v>291</v>
      </c>
      <c r="C597" s="3"/>
      <c r="D597" s="3"/>
      <c r="E597" s="49"/>
      <c r="F597" s="53">
        <f>+F594+F582+F568+F549+F536</f>
        <v>222732095.21411851</v>
      </c>
      <c r="G597" s="53">
        <f>+G594+G582+G568+G549+G536</f>
        <v>0</v>
      </c>
      <c r="H597" s="72">
        <f>SUM(J597:M597)</f>
        <v>222732095.21411851</v>
      </c>
      <c r="I597" s="55"/>
      <c r="J597" s="55">
        <f>+J536+J549+J568+J582+J594</f>
        <v>0</v>
      </c>
      <c r="K597" s="55">
        <f>+K536+K549+K568+K582+K594</f>
        <v>208304527.77060381</v>
      </c>
      <c r="L597" s="55">
        <f>+L536+L549+L568+L582+L594</f>
        <v>14340683.430836225</v>
      </c>
      <c r="M597" s="55">
        <f>+M536+M549+M568+M582+M594</f>
        <v>86884.012678476633</v>
      </c>
      <c r="N597" s="23"/>
      <c r="O597" s="3"/>
      <c r="P597" s="1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</row>
    <row r="598" spans="1:53" x14ac:dyDescent="0.2">
      <c r="A598" s="3">
        <f t="shared" si="101"/>
        <v>14</v>
      </c>
      <c r="B598" s="3"/>
      <c r="C598" s="3"/>
      <c r="D598" s="3"/>
      <c r="E598" s="49"/>
      <c r="F598" s="53"/>
      <c r="G598" s="53"/>
      <c r="H598" s="55"/>
      <c r="I598" s="55"/>
      <c r="J598" s="55"/>
      <c r="K598" s="55"/>
      <c r="L598" s="55">
        <f>+L597-'[1]II-E-1 Dep. Exp.'!$O$94</f>
        <v>0</v>
      </c>
      <c r="M598" s="55"/>
      <c r="N598" s="23"/>
      <c r="O598" s="3"/>
      <c r="P598" s="1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:53" x14ac:dyDescent="0.2">
      <c r="A599" s="3">
        <f t="shared" si="101"/>
        <v>15</v>
      </c>
      <c r="B599" s="3"/>
      <c r="C599" s="3"/>
      <c r="D599" s="3"/>
      <c r="E599" s="49"/>
      <c r="F599" s="53"/>
      <c r="G599" s="53"/>
      <c r="H599" s="55"/>
      <c r="I599" s="55"/>
      <c r="J599" s="55"/>
      <c r="K599" s="55"/>
      <c r="L599" s="55"/>
      <c r="M599" s="55"/>
      <c r="N599" s="23"/>
      <c r="O599" s="3"/>
      <c r="P599" s="1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:53" x14ac:dyDescent="0.2">
      <c r="A600" s="3">
        <f t="shared" si="101"/>
        <v>16</v>
      </c>
      <c r="B600" s="3"/>
      <c r="C600" s="3"/>
      <c r="D600" s="3"/>
      <c r="E600" s="49"/>
      <c r="F600" s="53"/>
      <c r="G600" s="53"/>
      <c r="H600" s="55"/>
      <c r="I600" s="55"/>
      <c r="J600" s="55"/>
      <c r="K600" s="55"/>
      <c r="L600" s="55"/>
      <c r="M600" s="55"/>
      <c r="N600" s="23"/>
      <c r="O600" s="3"/>
      <c r="P600" s="1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:53" x14ac:dyDescent="0.2">
      <c r="A601" s="3">
        <f t="shared" si="101"/>
        <v>17</v>
      </c>
      <c r="B601" s="7" t="s">
        <v>292</v>
      </c>
      <c r="C601" s="3"/>
      <c r="D601" s="3"/>
      <c r="E601" s="49"/>
      <c r="F601" s="53"/>
      <c r="G601" s="53"/>
      <c r="H601" s="55"/>
      <c r="I601" s="55"/>
      <c r="J601" s="55"/>
      <c r="K601" s="55"/>
      <c r="L601" s="55"/>
      <c r="M601" s="55"/>
      <c r="N601" s="23"/>
      <c r="O601" s="3"/>
      <c r="P601" s="1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:53" x14ac:dyDescent="0.2">
      <c r="A602" s="3">
        <f t="shared" si="101"/>
        <v>18</v>
      </c>
      <c r="B602" s="3"/>
      <c r="C602" s="3"/>
      <c r="D602" s="3"/>
      <c r="E602" s="49"/>
      <c r="F602" s="53"/>
      <c r="G602" s="53"/>
      <c r="H602" s="55"/>
      <c r="I602" s="55"/>
      <c r="J602" s="55"/>
      <c r="K602" s="55"/>
      <c r="L602" s="55"/>
      <c r="M602" s="55"/>
      <c r="N602" s="23"/>
      <c r="O602" s="3"/>
      <c r="P602" s="1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3" spans="1:53" x14ac:dyDescent="0.2">
      <c r="A603" s="3">
        <f t="shared" ref="A603:A611" si="118">1+A602</f>
        <v>19</v>
      </c>
      <c r="B603" s="3" t="s">
        <v>293</v>
      </c>
      <c r="C603" s="3"/>
      <c r="D603" s="3"/>
      <c r="E603" s="49"/>
      <c r="F603" s="53"/>
      <c r="G603" s="53"/>
      <c r="H603" s="55"/>
      <c r="I603" s="55"/>
      <c r="J603" s="55"/>
      <c r="K603" s="55"/>
      <c r="L603" s="55"/>
      <c r="M603" s="55"/>
      <c r="N603" s="23"/>
      <c r="O603" s="3"/>
      <c r="P603" s="1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</row>
    <row r="604" spans="1:53" x14ac:dyDescent="0.2">
      <c r="A604" s="3">
        <f t="shared" si="118"/>
        <v>20</v>
      </c>
      <c r="B604" s="3"/>
      <c r="C604" s="3"/>
      <c r="D604" s="3"/>
      <c r="E604" s="49"/>
      <c r="F604" s="53"/>
      <c r="G604" s="53"/>
      <c r="H604" s="55"/>
      <c r="I604" s="55"/>
      <c r="J604" s="55"/>
      <c r="K604" s="55"/>
      <c r="L604" s="55"/>
      <c r="M604" s="55"/>
      <c r="N604" s="23"/>
      <c r="O604" s="3"/>
      <c r="P604" s="1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</row>
    <row r="605" spans="1:53" x14ac:dyDescent="0.2">
      <c r="A605" s="3">
        <f t="shared" si="118"/>
        <v>21</v>
      </c>
      <c r="B605" s="3"/>
      <c r="C605" s="3" t="s">
        <v>294</v>
      </c>
      <c r="D605" s="78" t="s">
        <v>431</v>
      </c>
      <c r="E605" s="49" t="s">
        <v>634</v>
      </c>
      <c r="F605" s="53">
        <f>+H605</f>
        <v>5308158.7176223211</v>
      </c>
      <c r="G605" s="53">
        <f>+H605-F605</f>
        <v>0</v>
      </c>
      <c r="H605" s="72">
        <f t="shared" ref="H605:H610" si="119">SUM(J605:M605)</f>
        <v>5308158.7176223211</v>
      </c>
      <c r="I605" s="61"/>
      <c r="J605" s="61"/>
      <c r="K605" s="61">
        <f>+'[1]II-E-2 Taxes Other'!O22</f>
        <v>3784155.9606139623</v>
      </c>
      <c r="L605" s="61">
        <f>+'[1]II-E-2 Taxes Other'!P22</f>
        <v>861983.26137032802</v>
      </c>
      <c r="M605" s="61">
        <f>+'[1]II-E-2 Taxes Other'!Q22</f>
        <v>662019.49563803046</v>
      </c>
      <c r="N605" s="23"/>
      <c r="O605" s="3"/>
      <c r="P605" s="1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</row>
    <row r="606" spans="1:53" x14ac:dyDescent="0.2">
      <c r="A606" s="3">
        <f t="shared" si="118"/>
        <v>22</v>
      </c>
      <c r="B606" s="3"/>
      <c r="C606" s="3" t="s">
        <v>540</v>
      </c>
      <c r="D606" s="78" t="s">
        <v>431</v>
      </c>
      <c r="E606" s="49" t="s">
        <v>634</v>
      </c>
      <c r="F606" s="53">
        <f>+H606</f>
        <v>47464638.425944977</v>
      </c>
      <c r="G606" s="53">
        <f>+H606-F606</f>
        <v>0</v>
      </c>
      <c r="H606" s="72">
        <f t="shared" si="119"/>
        <v>47464638.425944977</v>
      </c>
      <c r="I606" s="61"/>
      <c r="J606" s="61"/>
      <c r="K606" s="61">
        <f>+'[1]II-E-2 Taxes Other'!O27</f>
        <v>46349858.023808211</v>
      </c>
      <c r="L606" s="61">
        <f>+'[1]II-E-2 Taxes Other'!P27</f>
        <v>1071896.6776611251</v>
      </c>
      <c r="M606" s="61">
        <f>+'[1]II-E-2 Taxes Other'!Q27</f>
        <v>42883.7244756406</v>
      </c>
      <c r="N606" s="23"/>
      <c r="O606" s="3"/>
      <c r="P606" s="1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:53" s="173" customFormat="1" x14ac:dyDescent="0.2">
      <c r="A607" s="3">
        <f t="shared" si="118"/>
        <v>23</v>
      </c>
      <c r="B607" s="3"/>
      <c r="C607" s="3" t="s">
        <v>539</v>
      </c>
      <c r="D607" s="78" t="s">
        <v>431</v>
      </c>
      <c r="E607" s="49" t="s">
        <v>634</v>
      </c>
      <c r="F607" s="53">
        <f>+H607</f>
        <v>51762292.913373299</v>
      </c>
      <c r="G607" s="53">
        <f>+H607-F607</f>
        <v>0</v>
      </c>
      <c r="H607" s="72">
        <f t="shared" si="119"/>
        <v>51762292.913373299</v>
      </c>
      <c r="I607" s="61"/>
      <c r="J607" s="61"/>
      <c r="K607" s="61">
        <f>+'[1]II-E-2 Taxes Other'!O37</f>
        <v>51762292.913373299</v>
      </c>
      <c r="L607" s="61">
        <f>+'[1]II-E-2 Taxes Other'!P37</f>
        <v>0</v>
      </c>
      <c r="M607" s="61">
        <f>+'[1]II-E-2 Taxes Other'!Q37</f>
        <v>0</v>
      </c>
      <c r="N607" s="23"/>
      <c r="O607" s="3"/>
      <c r="P607" s="1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:53" x14ac:dyDescent="0.2">
      <c r="A608" s="3">
        <f t="shared" si="118"/>
        <v>24</v>
      </c>
      <c r="B608" s="3"/>
      <c r="C608" s="3" t="s">
        <v>358</v>
      </c>
      <c r="D608" s="78" t="s">
        <v>431</v>
      </c>
      <c r="E608" s="49" t="s">
        <v>634</v>
      </c>
      <c r="F608" s="53">
        <f>+H608</f>
        <v>10218098.332804846</v>
      </c>
      <c r="G608" s="53">
        <f>+H608-F608</f>
        <v>0</v>
      </c>
      <c r="H608" s="72">
        <f t="shared" si="119"/>
        <v>10218098.332804846</v>
      </c>
      <c r="I608" s="61"/>
      <c r="J608" s="61"/>
      <c r="K608" s="61">
        <f>+'[1]II-E-2 Taxes Other'!O39-K607</f>
        <v>9293800.276345931</v>
      </c>
      <c r="L608" s="61">
        <f>+'[1]II-E-2 Taxes Other'!P39-L607</f>
        <v>661600.74084070639</v>
      </c>
      <c r="M608" s="61">
        <f>+'[1]II-E-2 Taxes Other'!Q39-M607</f>
        <v>262697.31561820814</v>
      </c>
      <c r="N608" s="23"/>
      <c r="O608" s="3"/>
      <c r="P608" s="1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:53" x14ac:dyDescent="0.2">
      <c r="A609" s="3">
        <f t="shared" si="118"/>
        <v>25</v>
      </c>
      <c r="B609" s="3"/>
      <c r="C609" s="3"/>
      <c r="D609" s="78"/>
      <c r="E609" s="49"/>
      <c r="F609" s="53"/>
      <c r="G609" s="53"/>
      <c r="H609" s="72">
        <f t="shared" si="119"/>
        <v>0</v>
      </c>
      <c r="I609" s="61"/>
      <c r="J609" s="61"/>
      <c r="K609" s="61">
        <v>0</v>
      </c>
      <c r="L609" s="61">
        <v>0</v>
      </c>
      <c r="M609" s="61">
        <v>0</v>
      </c>
      <c r="N609" s="23"/>
      <c r="O609" s="3"/>
      <c r="P609" s="1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0" spans="1:53" x14ac:dyDescent="0.2">
      <c r="A610" s="3">
        <f t="shared" si="118"/>
        <v>26</v>
      </c>
      <c r="B610" s="3"/>
      <c r="C610" s="3"/>
      <c r="D610" s="78"/>
      <c r="E610" s="49"/>
      <c r="F610" s="53"/>
      <c r="G610" s="53"/>
      <c r="H610" s="72">
        <f t="shared" si="119"/>
        <v>0</v>
      </c>
      <c r="I610" s="61"/>
      <c r="J610" s="61">
        <v>0</v>
      </c>
      <c r="K610" s="61">
        <v>0</v>
      </c>
      <c r="L610" s="61">
        <v>0</v>
      </c>
      <c r="M610" s="61">
        <v>0</v>
      </c>
      <c r="N610" s="23"/>
      <c r="O610" s="3"/>
      <c r="P610" s="1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</row>
    <row r="611" spans="1:53" x14ac:dyDescent="0.2">
      <c r="A611" s="3">
        <f t="shared" si="118"/>
        <v>27</v>
      </c>
      <c r="B611" s="3" t="s">
        <v>296</v>
      </c>
      <c r="C611" s="3"/>
      <c r="D611" s="3"/>
      <c r="E611" s="49"/>
      <c r="F611" s="53">
        <f>SUM(F605:F610)</f>
        <v>114753188.38974543</v>
      </c>
      <c r="G611" s="53">
        <f>SUM(G605:G610)</f>
        <v>0</v>
      </c>
      <c r="H611" s="55">
        <f>SUM(H605:H610)</f>
        <v>114753188.38974543</v>
      </c>
      <c r="I611" s="55"/>
      <c r="J611" s="55">
        <f>SUM(J605:J610)</f>
        <v>0</v>
      </c>
      <c r="K611" s="55">
        <f>SUM(K605:K610)</f>
        <v>111190107.17414141</v>
      </c>
      <c r="L611" s="55">
        <f>SUM(L605:L610)</f>
        <v>2595480.6798721594</v>
      </c>
      <c r="M611" s="55">
        <f>SUM(M605:M610)</f>
        <v>967600.53573187918</v>
      </c>
      <c r="N611" s="23"/>
      <c r="O611" s="3"/>
      <c r="P611" s="1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</row>
    <row r="612" spans="1:53" x14ac:dyDescent="0.2">
      <c r="A612" s="3"/>
      <c r="B612" s="3"/>
      <c r="C612" s="3"/>
      <c r="D612" s="3"/>
      <c r="E612" s="49"/>
      <c r="F612" s="53"/>
      <c r="G612" s="53"/>
      <c r="H612" s="55"/>
      <c r="I612" s="55"/>
      <c r="J612" s="55"/>
      <c r="K612" s="55"/>
      <c r="L612" s="55"/>
      <c r="M612" s="55"/>
      <c r="N612" s="23"/>
      <c r="O612" s="3"/>
      <c r="P612" s="1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13" spans="1:53" x14ac:dyDescent="0.2">
      <c r="A613" s="3"/>
      <c r="B613" s="3"/>
      <c r="C613" s="3"/>
      <c r="D613" s="3"/>
      <c r="E613" s="49"/>
      <c r="F613" s="53"/>
      <c r="G613" s="53"/>
      <c r="H613" s="55"/>
      <c r="I613" s="55"/>
      <c r="J613" s="55"/>
      <c r="K613" s="55"/>
      <c r="L613" s="55"/>
      <c r="M613" s="55"/>
      <c r="N613" s="23"/>
      <c r="O613" s="3"/>
      <c r="P613" s="1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</row>
    <row r="614" spans="1:53" x14ac:dyDescent="0.2">
      <c r="A614" s="3"/>
      <c r="B614" s="3"/>
      <c r="C614" s="3"/>
      <c r="D614" s="3"/>
      <c r="E614" s="49"/>
      <c r="F614" s="53"/>
      <c r="G614" s="53"/>
      <c r="H614" s="55"/>
      <c r="I614" s="55"/>
      <c r="J614" s="55"/>
      <c r="K614" s="55"/>
      <c r="L614" s="55"/>
      <c r="M614" s="55"/>
      <c r="N614" s="23"/>
      <c r="O614" s="3"/>
      <c r="P614" s="1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</row>
    <row r="615" spans="1:53" x14ac:dyDescent="0.2">
      <c r="A615" s="3"/>
      <c r="B615" s="3"/>
      <c r="C615" s="3"/>
      <c r="D615" s="3"/>
      <c r="E615" s="49"/>
      <c r="F615" s="53"/>
      <c r="G615" s="53"/>
      <c r="H615" s="55"/>
      <c r="I615" s="55"/>
      <c r="J615" s="55"/>
      <c r="K615" s="55"/>
      <c r="L615" s="55"/>
      <c r="M615" s="55"/>
      <c r="N615" s="23"/>
      <c r="O615" s="3"/>
      <c r="P615" s="1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</row>
    <row r="616" spans="1:53" x14ac:dyDescent="0.2">
      <c r="A616" s="3"/>
      <c r="B616" s="3"/>
      <c r="C616" s="3"/>
      <c r="D616" s="3"/>
      <c r="E616" s="49"/>
      <c r="F616" s="53"/>
      <c r="G616" s="53"/>
      <c r="H616" s="55"/>
      <c r="I616" s="55"/>
      <c r="J616" s="55"/>
      <c r="K616" s="55"/>
      <c r="L616" s="55"/>
      <c r="M616" s="55"/>
      <c r="N616" s="23"/>
      <c r="O616" s="3"/>
      <c r="P616" s="1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</row>
    <row r="617" spans="1:53" x14ac:dyDescent="0.2">
      <c r="A617" s="3"/>
      <c r="B617" s="3"/>
      <c r="C617" s="3"/>
      <c r="D617" s="3"/>
      <c r="E617" s="49"/>
      <c r="F617" s="53"/>
      <c r="G617" s="53"/>
      <c r="H617" s="55"/>
      <c r="I617" s="55"/>
      <c r="J617" s="55"/>
      <c r="K617" s="55"/>
      <c r="L617" s="55"/>
      <c r="M617" s="55"/>
      <c r="N617" s="23"/>
      <c r="O617" s="3"/>
      <c r="P617" s="1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</row>
    <row r="618" spans="1:53" x14ac:dyDescent="0.2">
      <c r="A618" s="3"/>
      <c r="B618" s="3"/>
      <c r="C618" s="3"/>
      <c r="D618" s="3"/>
      <c r="E618" s="49"/>
      <c r="F618" s="53"/>
      <c r="G618" s="53"/>
      <c r="H618" s="55"/>
      <c r="I618" s="55"/>
      <c r="J618" s="55"/>
      <c r="K618" s="55"/>
      <c r="L618" s="55"/>
      <c r="M618" s="55"/>
      <c r="N618" s="23"/>
      <c r="O618" s="3"/>
      <c r="P618" s="1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</row>
    <row r="619" spans="1:53" x14ac:dyDescent="0.2">
      <c r="A619" s="3"/>
      <c r="B619" s="7" t="s">
        <v>297</v>
      </c>
      <c r="C619" s="3"/>
      <c r="D619" s="3"/>
      <c r="E619" s="49"/>
      <c r="F619" s="53"/>
      <c r="G619" s="53"/>
      <c r="H619" s="55"/>
      <c r="I619" s="55"/>
      <c r="J619" s="55"/>
      <c r="K619" s="55"/>
      <c r="L619" s="55"/>
      <c r="M619" s="55"/>
      <c r="N619" s="23"/>
      <c r="O619" s="3"/>
      <c r="P619" s="1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</row>
    <row r="620" spans="1:53" x14ac:dyDescent="0.2">
      <c r="A620" s="3"/>
      <c r="B620" s="3"/>
      <c r="C620" s="3"/>
      <c r="D620" s="3"/>
      <c r="E620" s="49"/>
      <c r="F620" s="53"/>
      <c r="G620" s="53"/>
      <c r="H620" s="55"/>
      <c r="I620" s="55"/>
      <c r="J620" s="55"/>
      <c r="K620" s="55"/>
      <c r="L620" s="55"/>
      <c r="M620" s="55"/>
      <c r="N620" s="23"/>
      <c r="O620" s="3"/>
      <c r="P620" s="1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</row>
    <row r="621" spans="1:53" x14ac:dyDescent="0.2">
      <c r="A621" s="3">
        <f t="shared" ref="A621:A647" si="120">+A620+1</f>
        <v>1</v>
      </c>
      <c r="B621" s="3" t="s">
        <v>298</v>
      </c>
      <c r="C621" s="3"/>
      <c r="D621" s="3"/>
      <c r="E621" s="49"/>
      <c r="F621" s="53"/>
      <c r="G621" s="53"/>
      <c r="H621" s="55"/>
      <c r="I621" s="55"/>
      <c r="J621" s="55"/>
      <c r="K621" s="55"/>
      <c r="L621" s="55"/>
      <c r="M621" s="55"/>
      <c r="N621" s="23"/>
      <c r="O621" s="3"/>
      <c r="P621" s="1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</row>
    <row r="622" spans="1:53" x14ac:dyDescent="0.2">
      <c r="A622" s="3">
        <f t="shared" si="120"/>
        <v>2</v>
      </c>
      <c r="B622" s="3"/>
      <c r="C622" s="3"/>
      <c r="D622" s="3"/>
      <c r="E622" s="49"/>
      <c r="F622" s="53"/>
      <c r="G622" s="53"/>
      <c r="H622" s="55"/>
      <c r="I622" s="55"/>
      <c r="J622" s="55"/>
      <c r="K622" s="55"/>
      <c r="L622" s="55"/>
      <c r="M622" s="55"/>
      <c r="N622" s="23"/>
      <c r="O622" s="3"/>
      <c r="P622" s="1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</row>
    <row r="623" spans="1:53" x14ac:dyDescent="0.2">
      <c r="A623" s="3">
        <f t="shared" si="120"/>
        <v>3</v>
      </c>
      <c r="B623" s="3"/>
      <c r="C623" s="3" t="s">
        <v>20</v>
      </c>
      <c r="D623" s="3"/>
      <c r="E623" s="49" t="s">
        <v>635</v>
      </c>
      <c r="F623" s="53">
        <f>+H623</f>
        <v>304847727.78070819</v>
      </c>
      <c r="G623" s="53">
        <f>+H623-F623</f>
        <v>0</v>
      </c>
      <c r="H623" s="55">
        <f>SUM(J623:M623)</f>
        <v>304847727.78070819</v>
      </c>
      <c r="I623" s="55"/>
      <c r="J623" s="55">
        <f>J59</f>
        <v>0</v>
      </c>
      <c r="K623" s="55">
        <f>K59</f>
        <v>295477290.13719904</v>
      </c>
      <c r="L623" s="55">
        <f>L59</f>
        <v>8412137.0244183931</v>
      </c>
      <c r="M623" s="55">
        <f>M59</f>
        <v>958300.61909074278</v>
      </c>
      <c r="N623" s="23"/>
      <c r="O623" s="3"/>
      <c r="P623" s="1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</row>
    <row r="624" spans="1:53" x14ac:dyDescent="0.2">
      <c r="A624" s="3">
        <f t="shared" si="120"/>
        <v>4</v>
      </c>
      <c r="B624" s="3"/>
      <c r="C624" s="3"/>
      <c r="D624" s="78"/>
      <c r="E624" s="49"/>
      <c r="F624" s="53"/>
      <c r="G624" s="53"/>
      <c r="H624" s="55"/>
      <c r="I624" s="55"/>
      <c r="J624" s="55"/>
      <c r="K624" s="55"/>
      <c r="L624" s="55"/>
      <c r="M624" s="55"/>
      <c r="N624" s="23"/>
      <c r="O624" s="3"/>
      <c r="P624" s="1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</row>
    <row r="625" spans="1:53" x14ac:dyDescent="0.2">
      <c r="A625" s="3">
        <f t="shared" si="120"/>
        <v>5</v>
      </c>
      <c r="B625" s="3"/>
      <c r="C625" s="3" t="s">
        <v>299</v>
      </c>
      <c r="D625" s="3"/>
      <c r="E625" s="49"/>
      <c r="F625" s="53"/>
      <c r="G625" s="53"/>
      <c r="H625" s="55"/>
      <c r="I625" s="55"/>
      <c r="J625" s="55"/>
      <c r="K625" s="55"/>
      <c r="L625" s="55"/>
      <c r="M625" s="55"/>
      <c r="N625" s="23"/>
      <c r="O625" s="3"/>
      <c r="P625" s="1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</row>
    <row r="626" spans="1:53" x14ac:dyDescent="0.2">
      <c r="A626" s="3">
        <f t="shared" si="120"/>
        <v>6</v>
      </c>
      <c r="B626" s="3"/>
      <c r="C626" s="3" t="s">
        <v>552</v>
      </c>
      <c r="D626" s="78" t="s">
        <v>431</v>
      </c>
      <c r="E626" s="49" t="s">
        <v>635</v>
      </c>
      <c r="F626" s="53">
        <f>+H626</f>
        <v>-102196531.12932651</v>
      </c>
      <c r="G626" s="53">
        <f>+H626-F626</f>
        <v>0</v>
      </c>
      <c r="H626" s="72">
        <f t="shared" ref="H626:H633" si="121">SUM(J626:M626)</f>
        <v>-102196531.12932651</v>
      </c>
      <c r="I626" s="61"/>
      <c r="J626" s="61"/>
      <c r="K626" s="61">
        <f>+'[1]II-E-3 FIT'!N19</f>
        <v>-99055204.705877095</v>
      </c>
      <c r="L626" s="61">
        <f>+'[1]II-E-3 FIT'!O19</f>
        <v>-2820067.6764320876</v>
      </c>
      <c r="M626" s="61">
        <f>+'[1]II-E-3 FIT'!P19</f>
        <v>-321258.7470173203</v>
      </c>
      <c r="N626" s="23"/>
      <c r="O626" s="3"/>
      <c r="P626" s="1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27" spans="1:53" x14ac:dyDescent="0.2">
      <c r="A627" s="3">
        <f t="shared" si="120"/>
        <v>7</v>
      </c>
      <c r="B627" s="3"/>
      <c r="C627" s="3" t="s">
        <v>311</v>
      </c>
      <c r="D627" s="78" t="s">
        <v>431</v>
      </c>
      <c r="E627" s="49" t="s">
        <v>635</v>
      </c>
      <c r="F627" s="53">
        <f t="shared" ref="F627:F633" si="122">+H627</f>
        <v>-320920.72984977008</v>
      </c>
      <c r="G627" s="53">
        <f>+H627-F627</f>
        <v>0</v>
      </c>
      <c r="H627" s="72">
        <f t="shared" si="121"/>
        <v>-320920.72984977008</v>
      </c>
      <c r="I627" s="61"/>
      <c r="J627" s="61"/>
      <c r="K627" s="61">
        <f>+'[1]II-E-3 FIT'!N20</f>
        <v>-313383.41044441686</v>
      </c>
      <c r="L627" s="61">
        <f>+'[1]II-E-3 FIT'!O20</f>
        <v>-7247.3714227330793</v>
      </c>
      <c r="M627" s="61">
        <f>+'[1]II-E-3 FIT'!P20</f>
        <v>-289.94798262018014</v>
      </c>
      <c r="N627" s="23"/>
      <c r="O627" s="3"/>
      <c r="P627" s="1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</row>
    <row r="628" spans="1:53" x14ac:dyDescent="0.2">
      <c r="A628" s="3">
        <f t="shared" si="120"/>
        <v>8</v>
      </c>
      <c r="B628" s="3"/>
      <c r="C628" s="3" t="s">
        <v>537</v>
      </c>
      <c r="D628" s="78" t="s">
        <v>431</v>
      </c>
      <c r="E628" s="49" t="s">
        <v>635</v>
      </c>
      <c r="F628" s="53">
        <f t="shared" si="122"/>
        <v>-3369413.2949001351</v>
      </c>
      <c r="G628" s="53">
        <f>+H628-F628</f>
        <v>0</v>
      </c>
      <c r="H628" s="72">
        <f>SUM(J628:M628)</f>
        <v>-3369413.2949001351</v>
      </c>
      <c r="I628" s="61"/>
      <c r="J628" s="61"/>
      <c r="K628" s="61">
        <f>+'[1]II-E-3 FIT'!N21</f>
        <v>-3290277.415381867</v>
      </c>
      <c r="L628" s="61">
        <f>+'[1]II-E-3 FIT'!O21</f>
        <v>-76091.6555196275</v>
      </c>
      <c r="M628" s="61">
        <f>+'[1]II-E-3 FIT'!P21</f>
        <v>-3044.2239986405425</v>
      </c>
      <c r="N628" s="23"/>
      <c r="O628" s="3"/>
      <c r="P628" s="1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</row>
    <row r="629" spans="1:53" x14ac:dyDescent="0.2">
      <c r="A629" s="3">
        <f t="shared" si="120"/>
        <v>9</v>
      </c>
      <c r="B629" s="3"/>
      <c r="C629" s="3" t="s">
        <v>808</v>
      </c>
      <c r="D629" s="78" t="s">
        <v>431</v>
      </c>
      <c r="E629" s="49" t="s">
        <v>635</v>
      </c>
      <c r="F629" s="53">
        <f t="shared" si="122"/>
        <v>284537.79600363062</v>
      </c>
      <c r="G629" s="53">
        <f>+H629-F629</f>
        <v>0</v>
      </c>
      <c r="H629" s="72">
        <f t="shared" si="121"/>
        <v>284537.79600363062</v>
      </c>
      <c r="I629" s="61"/>
      <c r="J629" s="61"/>
      <c r="K629" s="61">
        <f>+'[1]II-E-3 FIT'!N22</f>
        <v>284537.79600363062</v>
      </c>
      <c r="L629" s="61">
        <f>+'[1]II-E-3 FIT'!O22</f>
        <v>0</v>
      </c>
      <c r="M629" s="61">
        <f>+'[1]II-E-3 FIT'!P22</f>
        <v>0</v>
      </c>
      <c r="N629" s="23"/>
      <c r="O629" s="3"/>
      <c r="P629" s="1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</row>
    <row r="630" spans="1:53" x14ac:dyDescent="0.2">
      <c r="A630" s="3">
        <f t="shared" si="120"/>
        <v>10</v>
      </c>
      <c r="B630" s="3"/>
      <c r="C630" s="3" t="s">
        <v>811</v>
      </c>
      <c r="D630" s="78" t="s">
        <v>431</v>
      </c>
      <c r="E630" s="49" t="s">
        <v>636</v>
      </c>
      <c r="F630" s="53">
        <f t="shared" si="122"/>
        <v>254165.30000000031</v>
      </c>
      <c r="G630" s="53">
        <f>+H630-F630</f>
        <v>0</v>
      </c>
      <c r="H630" s="72">
        <f t="shared" si="121"/>
        <v>254165.30000000031</v>
      </c>
      <c r="I630" s="61"/>
      <c r="J630" s="61"/>
      <c r="K630" s="61">
        <f>+'[1]II-E-3 FIT'!N23+'[1]II-E-3 FIT'!N24+'[1]II-E-3 FIT'!N26</f>
        <v>254165.30000000031</v>
      </c>
      <c r="L630" s="61">
        <f>+'[1]II-E-3 FIT'!O23+'[1]II-E-3 FIT'!O24+'[1]II-E-3 FIT'!O26</f>
        <v>0</v>
      </c>
      <c r="M630" s="61">
        <f>+'[1]II-E-3 FIT'!P23+'[1]II-E-3 FIT'!P24+'[1]II-E-3 FIT'!P26</f>
        <v>0</v>
      </c>
      <c r="N630" s="23"/>
      <c r="O630" s="3"/>
      <c r="P630" s="1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1" spans="1:53" x14ac:dyDescent="0.2">
      <c r="A631" s="3">
        <f t="shared" si="120"/>
        <v>11</v>
      </c>
      <c r="B631" s="3"/>
      <c r="C631" s="3" t="s">
        <v>553</v>
      </c>
      <c r="D631" s="78"/>
      <c r="E631" s="49"/>
      <c r="F631" s="53"/>
      <c r="G631" s="53"/>
      <c r="H631" s="72"/>
      <c r="I631" s="61"/>
      <c r="J631" s="61"/>
      <c r="K631" s="61"/>
      <c r="L631" s="61"/>
      <c r="M631" s="61"/>
      <c r="N631" s="23"/>
      <c r="O631" s="3"/>
      <c r="P631" s="1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</row>
    <row r="632" spans="1:53" x14ac:dyDescent="0.2">
      <c r="A632" s="3">
        <f t="shared" si="120"/>
        <v>12</v>
      </c>
      <c r="B632" s="3"/>
      <c r="C632" s="3" t="s">
        <v>554</v>
      </c>
      <c r="D632" s="78" t="s">
        <v>431</v>
      </c>
      <c r="E632" s="49" t="s">
        <v>635</v>
      </c>
      <c r="F632" s="53">
        <f t="shared" si="122"/>
        <v>3156036.38</v>
      </c>
      <c r="G632" s="53">
        <f>+H632-F632</f>
        <v>0</v>
      </c>
      <c r="H632" s="72">
        <f t="shared" si="121"/>
        <v>3156036.38</v>
      </c>
      <c r="I632" s="61"/>
      <c r="J632" s="61"/>
      <c r="K632" s="61">
        <f>+'[1]II-E-3 FIT'!N30</f>
        <v>3081911.9871566002</v>
      </c>
      <c r="L632" s="61">
        <f>+'[1]II-E-3 FIT'!O30</f>
        <v>71272.952296429357</v>
      </c>
      <c r="M632" s="61">
        <f>+'[1]II-E-3 FIT'!P30</f>
        <v>2851.4405469701755</v>
      </c>
      <c r="N632" s="23"/>
      <c r="O632" s="3"/>
      <c r="P632" s="1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</row>
    <row r="633" spans="1:53" x14ac:dyDescent="0.2">
      <c r="A633" s="3">
        <f t="shared" si="120"/>
        <v>13</v>
      </c>
      <c r="B633" s="3"/>
      <c r="C633" s="3" t="s">
        <v>555</v>
      </c>
      <c r="D633" s="78" t="s">
        <v>431</v>
      </c>
      <c r="E633" s="49" t="s">
        <v>635</v>
      </c>
      <c r="F633" s="53">
        <f t="shared" si="122"/>
        <v>427218.18999999994</v>
      </c>
      <c r="G633" s="53">
        <f>+H633-F633</f>
        <v>0</v>
      </c>
      <c r="H633" s="72">
        <f t="shared" si="121"/>
        <v>427218.18999999994</v>
      </c>
      <c r="I633" s="61"/>
      <c r="J633" s="61"/>
      <c r="K633" s="61">
        <f>+'[1]II-E-3 FIT'!N31</f>
        <v>304561.40182925004</v>
      </c>
      <c r="L633" s="61">
        <f>+'[1]II-E-3 FIT'!O31</f>
        <v>69375.267079029727</v>
      </c>
      <c r="M633" s="61">
        <f>+'[1]II-E-3 FIT'!P31</f>
        <v>53281.521091720213</v>
      </c>
      <c r="N633" s="23"/>
      <c r="O633" s="3"/>
      <c r="P633" s="1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34" spans="1:53" x14ac:dyDescent="0.2">
      <c r="A634" s="3">
        <f t="shared" si="120"/>
        <v>14</v>
      </c>
      <c r="B634" s="3"/>
      <c r="C634" s="3" t="s">
        <v>670</v>
      </c>
      <c r="D634" s="78" t="s">
        <v>431</v>
      </c>
      <c r="E634" s="49" t="s">
        <v>635</v>
      </c>
      <c r="F634" s="53">
        <f>+H634</f>
        <v>-22990.289999999997</v>
      </c>
      <c r="G634" s="53">
        <f>+H634-F634</f>
        <v>0</v>
      </c>
      <c r="H634" s="72">
        <f>SUM(J634:M634)</f>
        <v>-22990.289999999997</v>
      </c>
      <c r="I634" s="61"/>
      <c r="J634" s="61"/>
      <c r="K634" s="61">
        <f>+'[1]II-E-3 FIT'!N33</f>
        <v>-22990.289999999997</v>
      </c>
      <c r="L634" s="61">
        <f>+'[1]II-E-3 FIT'!O33</f>
        <v>0</v>
      </c>
      <c r="M634" s="61">
        <f>+'[1]II-E-3 FIT'!P33</f>
        <v>0</v>
      </c>
      <c r="N634" s="23"/>
      <c r="O634" s="3"/>
      <c r="P634" s="1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</row>
    <row r="635" spans="1:53" x14ac:dyDescent="0.2">
      <c r="A635" s="3">
        <f t="shared" si="120"/>
        <v>15</v>
      </c>
      <c r="B635" s="3"/>
      <c r="C635" s="3"/>
      <c r="D635" s="3"/>
      <c r="E635" s="49"/>
      <c r="F635" s="53"/>
      <c r="G635" s="53"/>
      <c r="H635" s="55"/>
      <c r="I635" s="55"/>
      <c r="J635" s="55"/>
      <c r="K635" s="55"/>
      <c r="L635" s="55"/>
      <c r="M635" s="55"/>
      <c r="N635" s="23"/>
      <c r="O635" s="3"/>
      <c r="P635" s="1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</row>
    <row r="636" spans="1:53" x14ac:dyDescent="0.2">
      <c r="A636" s="3">
        <f t="shared" si="120"/>
        <v>16</v>
      </c>
      <c r="B636" s="3"/>
      <c r="C636" s="3" t="s">
        <v>588</v>
      </c>
      <c r="D636" s="3"/>
      <c r="E636" s="49"/>
      <c r="F636" s="55">
        <f t="shared" ref="F636:N636" si="123">SUM(F623:F634)</f>
        <v>203059830.00263542</v>
      </c>
      <c r="G636" s="53">
        <f>+H636-F636</f>
        <v>0</v>
      </c>
      <c r="H636" s="55">
        <f t="shared" si="123"/>
        <v>203059830.00263542</v>
      </c>
      <c r="I636" s="55">
        <f t="shared" si="123"/>
        <v>0</v>
      </c>
      <c r="J636" s="55">
        <f t="shared" si="123"/>
        <v>0</v>
      </c>
      <c r="K636" s="55">
        <f>SUM(K623:K634)</f>
        <v>196720610.80048516</v>
      </c>
      <c r="L636" s="55">
        <f t="shared" si="123"/>
        <v>5649378.5404194035</v>
      </c>
      <c r="M636" s="55">
        <f t="shared" si="123"/>
        <v>689840.66173085209</v>
      </c>
      <c r="N636" s="55">
        <f t="shared" si="123"/>
        <v>0</v>
      </c>
      <c r="O636" s="3"/>
      <c r="P636" s="1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</row>
    <row r="637" spans="1:53" x14ac:dyDescent="0.2">
      <c r="A637" s="3">
        <f t="shared" si="120"/>
        <v>17</v>
      </c>
      <c r="B637" s="3"/>
      <c r="C637" s="3"/>
      <c r="D637" s="3"/>
      <c r="E637" s="49"/>
      <c r="F637" s="53"/>
      <c r="G637" s="53"/>
      <c r="H637" s="55"/>
      <c r="I637" s="55"/>
      <c r="J637" s="55"/>
      <c r="K637" s="55"/>
      <c r="L637" s="55"/>
      <c r="M637" s="55"/>
      <c r="N637" s="23"/>
      <c r="O637" s="3"/>
      <c r="P637" s="1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</row>
    <row r="638" spans="1:53" x14ac:dyDescent="0.2">
      <c r="A638" s="3">
        <f t="shared" si="120"/>
        <v>18</v>
      </c>
      <c r="B638" s="3"/>
      <c r="C638" s="3" t="s">
        <v>301</v>
      </c>
      <c r="D638" s="78">
        <f>(1/(1-0.21)*0.21)</f>
        <v>0.26582278481012656</v>
      </c>
      <c r="E638" s="49" t="s">
        <v>635</v>
      </c>
      <c r="F638" s="93">
        <f>+H638</f>
        <v>0.26582278481012656</v>
      </c>
      <c r="G638" s="53">
        <f>+H638-F638</f>
        <v>0</v>
      </c>
      <c r="H638" s="178">
        <f t="shared" ref="H638:M638" si="124">$D$638</f>
        <v>0.26582278481012656</v>
      </c>
      <c r="I638" s="178"/>
      <c r="J638" s="178">
        <f t="shared" si="124"/>
        <v>0.26582278481012656</v>
      </c>
      <c r="K638" s="178">
        <f t="shared" si="124"/>
        <v>0.26582278481012656</v>
      </c>
      <c r="L638" s="178">
        <f t="shared" si="124"/>
        <v>0.26582278481012656</v>
      </c>
      <c r="M638" s="178">
        <f t="shared" si="124"/>
        <v>0.26582278481012656</v>
      </c>
      <c r="N638" s="23"/>
      <c r="O638" s="3"/>
      <c r="P638" s="1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</row>
    <row r="639" spans="1:53" x14ac:dyDescent="0.2">
      <c r="A639" s="3">
        <f t="shared" si="120"/>
        <v>19</v>
      </c>
      <c r="B639" s="3"/>
      <c r="C639" s="3"/>
      <c r="D639" s="3"/>
      <c r="E639" s="49"/>
      <c r="F639" s="53"/>
      <c r="G639" s="53"/>
      <c r="H639" s="55"/>
      <c r="I639" s="55"/>
      <c r="J639" s="55"/>
      <c r="K639" s="55"/>
      <c r="L639" s="55"/>
      <c r="M639" s="55"/>
      <c r="N639" s="23"/>
      <c r="O639" s="3"/>
      <c r="P639" s="1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</row>
    <row r="640" spans="1:53" x14ac:dyDescent="0.2">
      <c r="A640" s="3">
        <f t="shared" si="120"/>
        <v>20</v>
      </c>
      <c r="B640" s="3"/>
      <c r="C640" s="3" t="s">
        <v>302</v>
      </c>
      <c r="D640" s="3"/>
      <c r="E640" s="49"/>
      <c r="F640" s="55">
        <f>F636*F638</f>
        <v>53977929.494371437</v>
      </c>
      <c r="G640" s="53">
        <f>+H640-F640</f>
        <v>0</v>
      </c>
      <c r="H640" s="55">
        <f t="shared" ref="H640:M640" si="125">H636*H638</f>
        <v>53977929.494371437</v>
      </c>
      <c r="I640" s="55"/>
      <c r="J640" s="55">
        <f>J636*J638</f>
        <v>0</v>
      </c>
      <c r="K640" s="55">
        <f t="shared" si="125"/>
        <v>52292820.592534028</v>
      </c>
      <c r="L640" s="55">
        <f t="shared" si="125"/>
        <v>1501733.5360608539</v>
      </c>
      <c r="M640" s="55">
        <f t="shared" si="125"/>
        <v>183375.36577655561</v>
      </c>
      <c r="N640" s="23"/>
      <c r="O640" s="3"/>
      <c r="P640" s="1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</row>
    <row r="641" spans="1:53" x14ac:dyDescent="0.2">
      <c r="A641" s="3">
        <f t="shared" si="120"/>
        <v>21</v>
      </c>
      <c r="B641" s="3"/>
      <c r="C641" s="3"/>
      <c r="D641" s="3"/>
      <c r="E641" s="49"/>
      <c r="F641" s="53"/>
      <c r="G641" s="53"/>
      <c r="H641" s="55"/>
      <c r="I641" s="55"/>
      <c r="J641" s="55"/>
      <c r="K641" s="55"/>
      <c r="L641" s="55"/>
      <c r="M641" s="55"/>
      <c r="N641" s="23"/>
      <c r="O641" s="3"/>
      <c r="P641" s="1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</row>
    <row r="642" spans="1:53" x14ac:dyDescent="0.2">
      <c r="A642" s="3">
        <f t="shared" si="120"/>
        <v>22</v>
      </c>
      <c r="B642" s="3"/>
      <c r="C642" s="3" t="s">
        <v>303</v>
      </c>
      <c r="D642" s="3"/>
      <c r="E642" s="49"/>
      <c r="F642" s="53"/>
      <c r="G642" s="53"/>
      <c r="H642" s="55"/>
      <c r="I642" s="55"/>
      <c r="J642" s="55"/>
      <c r="K642" s="55"/>
      <c r="L642" s="55"/>
      <c r="M642" s="55"/>
      <c r="N642" s="23"/>
      <c r="O642" s="3"/>
      <c r="P642" s="1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</row>
    <row r="643" spans="1:53" x14ac:dyDescent="0.2">
      <c r="A643" s="3">
        <f t="shared" si="120"/>
        <v>23</v>
      </c>
      <c r="B643" s="3"/>
      <c r="C643" s="3" t="s">
        <v>311</v>
      </c>
      <c r="D643" s="3"/>
      <c r="E643" s="49" t="s">
        <v>635</v>
      </c>
      <c r="F643" s="53">
        <f>+H643</f>
        <v>-320920.72984977008</v>
      </c>
      <c r="G643" s="53">
        <f>+H643-F643</f>
        <v>0</v>
      </c>
      <c r="H643" s="55">
        <f>H627</f>
        <v>-320920.72984977008</v>
      </c>
      <c r="I643" s="55"/>
      <c r="J643" s="55">
        <f t="shared" ref="J643:M644" si="126">J627</f>
        <v>0</v>
      </c>
      <c r="K643" s="55">
        <f t="shared" si="126"/>
        <v>-313383.41044441686</v>
      </c>
      <c r="L643" s="55">
        <f t="shared" si="126"/>
        <v>-7247.3714227330793</v>
      </c>
      <c r="M643" s="55">
        <f t="shared" si="126"/>
        <v>-289.94798262018014</v>
      </c>
      <c r="N643" s="23"/>
      <c r="O643" s="3"/>
      <c r="P643" s="1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</row>
    <row r="644" spans="1:53" x14ac:dyDescent="0.2">
      <c r="A644" s="3">
        <f t="shared" si="120"/>
        <v>24</v>
      </c>
      <c r="B644" s="3"/>
      <c r="C644" s="3" t="s">
        <v>300</v>
      </c>
      <c r="D644" s="3"/>
      <c r="E644" s="49" t="s">
        <v>635</v>
      </c>
      <c r="F644" s="53">
        <f>+H644</f>
        <v>-3369413.2949001351</v>
      </c>
      <c r="G644" s="53">
        <f>+H644-F644</f>
        <v>0</v>
      </c>
      <c r="H644" s="55">
        <f>H628</f>
        <v>-3369413.2949001351</v>
      </c>
      <c r="I644" s="55"/>
      <c r="J644" s="55">
        <f t="shared" si="126"/>
        <v>0</v>
      </c>
      <c r="K644" s="55">
        <f t="shared" si="126"/>
        <v>-3290277.415381867</v>
      </c>
      <c r="L644" s="55">
        <f t="shared" si="126"/>
        <v>-76091.6555196275</v>
      </c>
      <c r="M644" s="55">
        <f t="shared" si="126"/>
        <v>-3044.2239986405425</v>
      </c>
      <c r="N644" s="23"/>
      <c r="O644" s="3"/>
      <c r="P644" s="1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:53" x14ac:dyDescent="0.2">
      <c r="A645" s="3">
        <f t="shared" si="120"/>
        <v>25</v>
      </c>
      <c r="B645" s="3"/>
      <c r="C645" s="3" t="s">
        <v>638</v>
      </c>
      <c r="D645" s="3"/>
      <c r="E645" s="49" t="s">
        <v>635</v>
      </c>
      <c r="F645" s="53">
        <v>0</v>
      </c>
      <c r="G645" s="53">
        <f>+H645-F645</f>
        <v>284537.79600363062</v>
      </c>
      <c r="H645" s="55">
        <f>SUM(J645:M645)</f>
        <v>284537.79600363062</v>
      </c>
      <c r="I645" s="55"/>
      <c r="J645" s="55">
        <f>+J630</f>
        <v>0</v>
      </c>
      <c r="K645" s="55">
        <f>+K629</f>
        <v>284537.79600363062</v>
      </c>
      <c r="L645" s="55">
        <f>+L629</f>
        <v>0</v>
      </c>
      <c r="M645" s="55">
        <f>+M629</f>
        <v>0</v>
      </c>
      <c r="N645" s="23"/>
      <c r="O645" s="3"/>
      <c r="P645" s="1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:53" x14ac:dyDescent="0.2">
      <c r="A646" s="3">
        <f t="shared" si="120"/>
        <v>26</v>
      </c>
      <c r="B646" s="3"/>
      <c r="C646" s="3" t="s">
        <v>812</v>
      </c>
      <c r="D646" s="3"/>
      <c r="E646" s="49" t="s">
        <v>636</v>
      </c>
      <c r="F646" s="53">
        <v>0</v>
      </c>
      <c r="G646" s="53">
        <f>+H646-F646</f>
        <v>-77000.03</v>
      </c>
      <c r="H646" s="55">
        <f>SUM(J646:M646)</f>
        <v>-77000.03</v>
      </c>
      <c r="I646" s="55"/>
      <c r="J646" s="55"/>
      <c r="K646" s="55">
        <f>+'[1]II-E-3 FIT'!$N$23+'[1]II-E-3 FIT'!$N$24</f>
        <v>-77000.03</v>
      </c>
      <c r="L646" s="55">
        <f>+L630</f>
        <v>0</v>
      </c>
      <c r="M646" s="55">
        <f>+M630</f>
        <v>0</v>
      </c>
      <c r="N646" s="23"/>
      <c r="O646" s="3"/>
      <c r="P646" s="1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7" spans="1:53" x14ac:dyDescent="0.2">
      <c r="A647" s="3">
        <f t="shared" si="120"/>
        <v>27</v>
      </c>
      <c r="B647" s="3"/>
      <c r="C647" s="3" t="s">
        <v>304</v>
      </c>
      <c r="D647" s="3"/>
      <c r="E647" s="49"/>
      <c r="F647" s="55">
        <f>F640+SUM(F643:F646)</f>
        <v>50287595.469621532</v>
      </c>
      <c r="G647" s="53">
        <f>+H647-F647</f>
        <v>207537.76600363106</v>
      </c>
      <c r="H647" s="55">
        <f>H640+SUM(H643:H646)</f>
        <v>50495133.235625163</v>
      </c>
      <c r="I647" s="55"/>
      <c r="J647" s="55">
        <f>J640+SUM(J643:J645)</f>
        <v>0</v>
      </c>
      <c r="K647" s="55">
        <f>K640+SUM(K643:K646)</f>
        <v>48896697.532711372</v>
      </c>
      <c r="L647" s="55">
        <f>L640+SUM(L643:L646)</f>
        <v>1418394.5091184932</v>
      </c>
      <c r="M647" s="55">
        <f>M640+SUM(M643:M646)</f>
        <v>180041.19379529488</v>
      </c>
      <c r="N647" s="23"/>
      <c r="O647" s="3"/>
      <c r="P647" s="1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</row>
    <row r="648" spans="1:53" x14ac:dyDescent="0.2">
      <c r="A648" s="3"/>
      <c r="B648" s="3"/>
      <c r="C648" s="3"/>
      <c r="D648" s="3"/>
      <c r="E648" s="49"/>
      <c r="F648" s="53"/>
      <c r="G648" s="53"/>
      <c r="H648" s="55"/>
      <c r="I648" s="55"/>
      <c r="J648" s="55"/>
      <c r="K648" s="55"/>
      <c r="L648" s="55"/>
      <c r="M648" s="55"/>
      <c r="N648" s="23"/>
      <c r="O648" s="3"/>
      <c r="P648" s="1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:53" x14ac:dyDescent="0.2">
      <c r="A649" s="3"/>
      <c r="B649" s="3"/>
      <c r="C649" s="3"/>
      <c r="D649" s="3"/>
      <c r="E649" s="49"/>
      <c r="F649" s="53"/>
      <c r="G649" s="53"/>
      <c r="H649" s="55"/>
      <c r="I649" s="55"/>
      <c r="J649" s="55"/>
      <c r="K649" s="55"/>
      <c r="L649" s="55"/>
      <c r="M649" s="55"/>
      <c r="N649" s="23"/>
      <c r="O649" s="3"/>
      <c r="P649" s="1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0" spans="1:53" x14ac:dyDescent="0.2">
      <c r="A650" s="3"/>
      <c r="B650" s="7" t="s">
        <v>305</v>
      </c>
      <c r="C650" s="3"/>
      <c r="D650" s="3"/>
      <c r="E650" s="49"/>
      <c r="F650" s="53"/>
      <c r="G650" s="53"/>
      <c r="H650" s="55"/>
      <c r="I650" s="55"/>
      <c r="J650" s="55"/>
      <c r="K650" s="55"/>
      <c r="L650" s="55"/>
      <c r="M650" s="55"/>
      <c r="N650" s="23"/>
      <c r="O650" s="3"/>
      <c r="P650" s="1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</row>
    <row r="651" spans="1:53" x14ac:dyDescent="0.2">
      <c r="A651" s="3"/>
      <c r="B651" s="3"/>
      <c r="C651" s="3"/>
      <c r="D651" s="3"/>
      <c r="E651" s="49"/>
      <c r="F651" s="53"/>
      <c r="G651" s="53"/>
      <c r="H651" s="55"/>
      <c r="I651" s="55"/>
      <c r="J651" s="61"/>
      <c r="K651" s="55"/>
      <c r="L651" s="55"/>
      <c r="M651" s="55"/>
      <c r="N651" s="23"/>
      <c r="O651" s="3"/>
      <c r="P651" s="1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</row>
    <row r="652" spans="1:53" x14ac:dyDescent="0.2">
      <c r="A652" s="3">
        <v>1</v>
      </c>
      <c r="B652" s="3"/>
      <c r="C652" s="3" t="s">
        <v>462</v>
      </c>
      <c r="D652" s="78" t="s">
        <v>431</v>
      </c>
      <c r="E652" s="49" t="s">
        <v>636</v>
      </c>
      <c r="F652" s="53">
        <f>+H652</f>
        <v>0</v>
      </c>
      <c r="G652" s="53">
        <f>+H652-F652</f>
        <v>0</v>
      </c>
      <c r="H652" s="72">
        <f>SUM(J652:M652)</f>
        <v>0</v>
      </c>
      <c r="I652" s="61"/>
      <c r="J652" s="61"/>
      <c r="K652" s="61">
        <v>0</v>
      </c>
      <c r="L652" s="61">
        <v>0</v>
      </c>
      <c r="M652" s="61">
        <v>0</v>
      </c>
      <c r="N652" s="23"/>
      <c r="O652" s="3"/>
      <c r="P652" s="1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:53" x14ac:dyDescent="0.2">
      <c r="A653" s="3">
        <f>+A652+1</f>
        <v>2</v>
      </c>
      <c r="B653" s="3"/>
      <c r="C653" s="3"/>
      <c r="D653" s="78"/>
      <c r="E653" s="49"/>
      <c r="F653" s="53"/>
      <c r="G653" s="53"/>
      <c r="H653" s="72">
        <f>SUM(J653:M653)</f>
        <v>0</v>
      </c>
      <c r="I653" s="61"/>
      <c r="J653" s="61"/>
      <c r="K653" s="61">
        <f>N653</f>
        <v>0</v>
      </c>
      <c r="L653" s="61">
        <v>0</v>
      </c>
      <c r="M653" s="61">
        <v>0</v>
      </c>
      <c r="N653" s="23"/>
      <c r="O653" s="3"/>
      <c r="P653" s="1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:53" x14ac:dyDescent="0.2">
      <c r="A654" s="3">
        <f t="shared" ref="A654:A664" si="127">+A653+1</f>
        <v>3</v>
      </c>
      <c r="B654" s="3"/>
      <c r="C654" s="3" t="s">
        <v>450</v>
      </c>
      <c r="D654" s="78"/>
      <c r="E654" s="49"/>
      <c r="F654" s="54">
        <f>SUM(F652:F653)</f>
        <v>0</v>
      </c>
      <c r="G654" s="53">
        <f>+H654-F654</f>
        <v>0</v>
      </c>
      <c r="H654" s="54">
        <f>SUM(H652:H653)</f>
        <v>0</v>
      </c>
      <c r="I654" s="54"/>
      <c r="J654" s="54"/>
      <c r="K654" s="54">
        <f>SUM(K652:K653)</f>
        <v>0</v>
      </c>
      <c r="L654" s="54">
        <f>SUM(L652:L653)</f>
        <v>0</v>
      </c>
      <c r="M654" s="54">
        <f>SUM(M652:M653)</f>
        <v>0</v>
      </c>
      <c r="N654" s="23"/>
      <c r="O654" s="3"/>
      <c r="P654" s="1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:53" x14ac:dyDescent="0.2">
      <c r="A655" s="3">
        <f t="shared" si="127"/>
        <v>4</v>
      </c>
      <c r="B655" s="3"/>
      <c r="C655" s="3"/>
      <c r="D655" s="3"/>
      <c r="E655" s="49"/>
      <c r="F655" s="53"/>
      <c r="G655" s="53"/>
      <c r="H655" s="55"/>
      <c r="I655" s="55"/>
      <c r="J655" s="55"/>
      <c r="K655" s="55"/>
      <c r="L655" s="55"/>
      <c r="M655" s="55"/>
      <c r="N655" s="23"/>
      <c r="O655" s="3"/>
      <c r="P655" s="1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:53" x14ac:dyDescent="0.2">
      <c r="A656" s="3">
        <f t="shared" si="127"/>
        <v>5</v>
      </c>
      <c r="B656" s="3"/>
      <c r="C656" s="3"/>
      <c r="D656" s="3"/>
      <c r="E656" s="49"/>
      <c r="F656" s="53"/>
      <c r="G656" s="53"/>
      <c r="H656" s="55"/>
      <c r="I656" s="55"/>
      <c r="J656" s="55"/>
      <c r="K656" s="55"/>
      <c r="L656" s="55"/>
      <c r="M656" s="55"/>
      <c r="N656" s="23"/>
      <c r="O656" s="3"/>
      <c r="P656" s="1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:53" x14ac:dyDescent="0.2">
      <c r="A657" s="3">
        <f t="shared" si="127"/>
        <v>6</v>
      </c>
      <c r="B657" s="7" t="s">
        <v>307</v>
      </c>
      <c r="C657" s="3"/>
      <c r="D657" s="3"/>
      <c r="E657" s="49"/>
      <c r="F657" s="53"/>
      <c r="G657" s="53"/>
      <c r="H657" s="55"/>
      <c r="I657" s="55"/>
      <c r="J657" s="55"/>
      <c r="K657" s="55"/>
      <c r="L657" s="55"/>
      <c r="M657" s="55"/>
      <c r="N657" s="23"/>
      <c r="O657" s="3"/>
      <c r="P657" s="1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:53" x14ac:dyDescent="0.2">
      <c r="A658" s="3">
        <f t="shared" si="127"/>
        <v>7</v>
      </c>
      <c r="B658" s="3"/>
      <c r="C658" s="3"/>
      <c r="D658" s="3"/>
      <c r="E658" s="49"/>
      <c r="F658" s="53"/>
      <c r="G658" s="53"/>
      <c r="H658" s="55"/>
      <c r="I658" s="55"/>
      <c r="J658" s="55"/>
      <c r="K658" s="55"/>
      <c r="L658" s="55"/>
      <c r="M658" s="55"/>
      <c r="N658" s="23"/>
      <c r="O658" s="3"/>
      <c r="P658" s="1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:53" x14ac:dyDescent="0.2">
      <c r="A659" s="3">
        <f t="shared" si="127"/>
        <v>8</v>
      </c>
      <c r="B659" s="3" t="s">
        <v>597</v>
      </c>
      <c r="C659" s="3" t="s">
        <v>598</v>
      </c>
      <c r="D659" s="78" t="s">
        <v>431</v>
      </c>
      <c r="E659" s="49" t="s">
        <v>637</v>
      </c>
      <c r="F659" s="53">
        <f>+H659</f>
        <v>135194.97</v>
      </c>
      <c r="G659" s="53">
        <f t="shared" ref="G659:G664" si="128">+H659-F659</f>
        <v>0</v>
      </c>
      <c r="H659" s="55">
        <f t="shared" ref="H659:H664" si="129">SUM(J659:M659)</f>
        <v>135194.97</v>
      </c>
      <c r="I659" s="55"/>
      <c r="J659" s="55"/>
      <c r="K659" s="55">
        <f>+'[3]II-E-5 Other Revenues'!$N$17</f>
        <v>135194.97</v>
      </c>
      <c r="L659" s="55">
        <v>0</v>
      </c>
      <c r="M659" s="55">
        <v>0</v>
      </c>
      <c r="N659" s="23"/>
      <c r="O659" s="3"/>
      <c r="P659" s="1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:53" x14ac:dyDescent="0.2">
      <c r="A660" s="3">
        <f t="shared" si="127"/>
        <v>9</v>
      </c>
      <c r="B660" s="3" t="s">
        <v>599</v>
      </c>
      <c r="C660" s="3" t="s">
        <v>600</v>
      </c>
      <c r="D660" s="78" t="s">
        <v>431</v>
      </c>
      <c r="E660" s="49" t="s">
        <v>637</v>
      </c>
      <c r="F660" s="53">
        <f>+H660</f>
        <v>3601508.67</v>
      </c>
      <c r="G660" s="53">
        <f t="shared" si="128"/>
        <v>0</v>
      </c>
      <c r="H660" s="55">
        <f t="shared" si="129"/>
        <v>3601508.67</v>
      </c>
      <c r="I660" s="55"/>
      <c r="J660" s="55"/>
      <c r="K660" s="55">
        <f>+'[3]II-E-5 Other Revenues'!$N$18</f>
        <v>2858753.67</v>
      </c>
      <c r="L660" s="55">
        <f>+'[3]II-E-5 Other Revenues'!$O$18</f>
        <v>742755</v>
      </c>
      <c r="M660" s="55">
        <v>0</v>
      </c>
      <c r="N660" s="23"/>
      <c r="O660" s="3"/>
      <c r="P660" s="1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1" spans="1:53" x14ac:dyDescent="0.2">
      <c r="A661" s="3">
        <f t="shared" si="127"/>
        <v>10</v>
      </c>
      <c r="B661" s="3" t="s">
        <v>601</v>
      </c>
      <c r="C661" s="3" t="s">
        <v>602</v>
      </c>
      <c r="D661" s="78" t="s">
        <v>431</v>
      </c>
      <c r="E661" s="49" t="s">
        <v>637</v>
      </c>
      <c r="F661" s="53">
        <f>+H661</f>
        <v>19790829.601</v>
      </c>
      <c r="G661" s="53">
        <f t="shared" si="128"/>
        <v>0</v>
      </c>
      <c r="H661" s="55">
        <f t="shared" si="129"/>
        <v>19790829.601</v>
      </c>
      <c r="I661" s="55"/>
      <c r="J661" s="55"/>
      <c r="K661" s="55">
        <f>+'[3]II-E-5 Other Revenues'!$N$19</f>
        <v>19790829.601</v>
      </c>
      <c r="L661" s="55">
        <v>0</v>
      </c>
      <c r="M661" s="55">
        <v>0</v>
      </c>
      <c r="N661" s="23"/>
      <c r="O661" s="3"/>
      <c r="P661" s="1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</row>
    <row r="662" spans="1:53" x14ac:dyDescent="0.2">
      <c r="A662" s="3">
        <f t="shared" si="127"/>
        <v>11</v>
      </c>
      <c r="B662" s="3" t="s">
        <v>603</v>
      </c>
      <c r="C662" s="3" t="s">
        <v>604</v>
      </c>
      <c r="D662" s="78" t="s">
        <v>431</v>
      </c>
      <c r="E662" s="49" t="s">
        <v>637</v>
      </c>
      <c r="F662" s="53">
        <f>+H662</f>
        <v>3319219.85</v>
      </c>
      <c r="G662" s="53">
        <f t="shared" si="128"/>
        <v>0</v>
      </c>
      <c r="H662" s="55">
        <f t="shared" si="129"/>
        <v>3319219.85</v>
      </c>
      <c r="I662" s="55"/>
      <c r="J662" s="55"/>
      <c r="K662" s="55">
        <f>+'[3]II-E-5 Other Revenues'!$N$20</f>
        <v>3205337.37</v>
      </c>
      <c r="L662" s="55">
        <f>+'[3]II-E-5 Other Revenues'!$O$20</f>
        <v>113882.48000000001</v>
      </c>
      <c r="M662" s="55">
        <v>0</v>
      </c>
      <c r="N662" s="23"/>
      <c r="O662" s="3"/>
      <c r="P662" s="1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</row>
    <row r="663" spans="1:53" x14ac:dyDescent="0.2">
      <c r="A663" s="3">
        <f t="shared" si="127"/>
        <v>12</v>
      </c>
      <c r="B663" s="3"/>
      <c r="C663" s="3"/>
      <c r="D663" s="3"/>
      <c r="E663" s="49"/>
      <c r="F663" s="53"/>
      <c r="G663" s="53"/>
      <c r="H663" s="55">
        <f t="shared" si="129"/>
        <v>0</v>
      </c>
      <c r="I663" s="55"/>
      <c r="J663" s="55"/>
      <c r="K663" s="55"/>
      <c r="L663" s="55"/>
      <c r="M663" s="55"/>
      <c r="N663" s="23"/>
      <c r="O663" s="3"/>
      <c r="P663" s="1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</row>
    <row r="664" spans="1:53" x14ac:dyDescent="0.2">
      <c r="A664" s="3">
        <f t="shared" si="127"/>
        <v>13</v>
      </c>
      <c r="B664" s="3" t="s">
        <v>448</v>
      </c>
      <c r="C664" s="3"/>
      <c r="D664" s="3"/>
      <c r="E664" s="49"/>
      <c r="F664" s="55">
        <f>SUM(F659:F663)</f>
        <v>26846753.091000002</v>
      </c>
      <c r="G664" s="53">
        <f t="shared" si="128"/>
        <v>0</v>
      </c>
      <c r="H664" s="55">
        <f t="shared" si="129"/>
        <v>26846753.091000002</v>
      </c>
      <c r="I664" s="55"/>
      <c r="J664" s="55">
        <f>SUM(J659:J663)</f>
        <v>0</v>
      </c>
      <c r="K664" s="55">
        <f>SUM(K659:K663)</f>
        <v>25990115.611000001</v>
      </c>
      <c r="L664" s="55">
        <f>SUM(L659:L663)</f>
        <v>856637.48</v>
      </c>
      <c r="M664" s="55">
        <f>SUM(M659:M663)</f>
        <v>0</v>
      </c>
      <c r="N664" s="23"/>
      <c r="O664" s="3"/>
      <c r="P664" s="1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:53" x14ac:dyDescent="0.2">
      <c r="A665" s="3"/>
      <c r="B665" s="3"/>
      <c r="C665" s="3"/>
      <c r="D665" s="3"/>
      <c r="E665" s="49"/>
      <c r="F665" s="53"/>
      <c r="G665" s="53"/>
      <c r="H665" s="55"/>
      <c r="I665" s="55"/>
      <c r="J665" s="55"/>
      <c r="K665" s="55"/>
      <c r="L665" s="55"/>
      <c r="M665" s="55"/>
      <c r="N665" s="23"/>
      <c r="O665" s="3"/>
      <c r="P665" s="1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6" spans="1:53" x14ac:dyDescent="0.2">
      <c r="A666" s="3"/>
      <c r="B666" s="3"/>
      <c r="C666" s="3"/>
      <c r="D666" s="3"/>
      <c r="E666" s="49"/>
      <c r="F666" s="49"/>
      <c r="G666" s="49"/>
      <c r="H666" s="55"/>
      <c r="I666" s="59"/>
      <c r="J666" s="59"/>
      <c r="K666" s="52"/>
      <c r="L666" s="59"/>
      <c r="M666" s="59"/>
      <c r="N666" s="23"/>
      <c r="O666" s="3"/>
      <c r="P666" s="1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</row>
    <row r="667" spans="1:53" x14ac:dyDescent="0.2">
      <c r="A667" s="3"/>
      <c r="B667" s="3"/>
      <c r="C667" s="3"/>
      <c r="D667" s="3"/>
      <c r="E667" s="49"/>
      <c r="F667" s="49"/>
      <c r="G667" s="49"/>
      <c r="H667" s="77"/>
      <c r="I667" s="59"/>
      <c r="J667" s="59"/>
      <c r="K667" s="59"/>
      <c r="L667" s="59"/>
      <c r="M667" s="59"/>
      <c r="N667" s="23"/>
      <c r="O667" s="3"/>
      <c r="P667" s="1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8" spans="1:53" x14ac:dyDescent="0.2">
      <c r="A668" s="3"/>
      <c r="B668" s="3"/>
      <c r="C668" s="3"/>
      <c r="D668" s="3"/>
      <c r="E668" s="49"/>
      <c r="F668" s="49"/>
      <c r="G668" s="49"/>
      <c r="H668" s="59"/>
      <c r="I668" s="59"/>
      <c r="J668" s="59"/>
      <c r="K668" s="59"/>
      <c r="L668" s="59"/>
      <c r="M668" s="59"/>
      <c r="N668" s="23"/>
      <c r="O668" s="3"/>
      <c r="P668" s="1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</row>
    <row r="669" spans="1:53" x14ac:dyDescent="0.2">
      <c r="A669" s="3"/>
      <c r="B669" s="3"/>
      <c r="C669" s="3"/>
      <c r="D669" s="3"/>
      <c r="E669" s="49"/>
      <c r="F669" s="49"/>
      <c r="G669" s="49"/>
      <c r="H669" s="59"/>
      <c r="I669" s="59"/>
      <c r="J669" s="59"/>
      <c r="K669" s="59"/>
      <c r="L669" s="59"/>
      <c r="M669" s="59"/>
      <c r="N669" s="23"/>
      <c r="O669" s="3"/>
      <c r="P669" s="1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0" spans="1:53" x14ac:dyDescent="0.2">
      <c r="A670" s="3"/>
      <c r="B670" s="3"/>
      <c r="C670" s="3"/>
      <c r="D670" s="3"/>
      <c r="E670" s="49"/>
      <c r="F670" s="49"/>
      <c r="G670" s="49"/>
      <c r="H670" s="59"/>
      <c r="I670" s="59"/>
      <c r="J670" s="59"/>
      <c r="K670" s="59"/>
      <c r="L670" s="59"/>
      <c r="M670" s="59"/>
      <c r="N670" s="23"/>
      <c r="O670" s="3"/>
      <c r="P670" s="1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</row>
    <row r="671" spans="1:53" x14ac:dyDescent="0.2">
      <c r="A671" s="3"/>
      <c r="B671" s="3"/>
      <c r="C671" s="3"/>
      <c r="D671" s="3"/>
      <c r="E671" s="49"/>
      <c r="F671" s="49"/>
      <c r="G671" s="49"/>
      <c r="H671" s="59"/>
      <c r="I671" s="59"/>
      <c r="J671" s="59"/>
      <c r="K671" s="59"/>
      <c r="L671" s="59"/>
      <c r="M671" s="59"/>
      <c r="N671" s="23"/>
      <c r="O671" s="3"/>
      <c r="P671" s="1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2" spans="1:53" x14ac:dyDescent="0.2">
      <c r="A672" s="3"/>
      <c r="B672" s="3"/>
      <c r="C672" s="3"/>
      <c r="D672" s="3"/>
      <c r="E672" s="49"/>
      <c r="F672" s="49"/>
      <c r="G672" s="49"/>
      <c r="H672" s="59"/>
      <c r="I672" s="59"/>
      <c r="J672" s="59"/>
      <c r="K672" s="59"/>
      <c r="L672" s="59"/>
      <c r="M672" s="59"/>
      <c r="N672" s="23"/>
      <c r="O672" s="3"/>
      <c r="P672" s="1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</row>
    <row r="673" spans="1:53" x14ac:dyDescent="0.2">
      <c r="A673" s="3"/>
      <c r="B673" s="3"/>
      <c r="C673" s="3"/>
      <c r="D673" s="3"/>
      <c r="E673" s="49"/>
      <c r="F673" s="49"/>
      <c r="G673" s="49"/>
      <c r="H673" s="59"/>
      <c r="I673" s="59"/>
      <c r="J673" s="59"/>
      <c r="K673" s="59"/>
      <c r="L673" s="59"/>
      <c r="M673" s="59"/>
      <c r="N673" s="23"/>
      <c r="O673" s="3"/>
      <c r="P673" s="1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</row>
    <row r="674" spans="1:53" x14ac:dyDescent="0.2">
      <c r="A674" s="3"/>
      <c r="B674" s="3"/>
      <c r="C674" s="3"/>
      <c r="D674" s="3"/>
      <c r="E674" s="49"/>
      <c r="F674" s="49"/>
      <c r="G674" s="49"/>
      <c r="H674" s="59"/>
      <c r="I674" s="59"/>
      <c r="J674" s="59"/>
      <c r="K674" s="59"/>
      <c r="L674" s="59"/>
      <c r="M674" s="59"/>
      <c r="N674" s="23"/>
      <c r="O674" s="3"/>
      <c r="P674" s="1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:53" x14ac:dyDescent="0.2">
      <c r="A675" s="3"/>
      <c r="B675" s="3"/>
      <c r="C675" s="3"/>
      <c r="D675" s="3"/>
      <c r="E675" s="49"/>
      <c r="F675" s="49"/>
      <c r="G675" s="49"/>
      <c r="H675" s="59"/>
      <c r="I675" s="59"/>
      <c r="J675" s="59"/>
      <c r="K675" s="59"/>
      <c r="L675" s="59"/>
      <c r="M675" s="59"/>
      <c r="N675" s="23"/>
      <c r="O675" s="3"/>
      <c r="P675" s="1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:53" x14ac:dyDescent="0.2">
      <c r="A676" s="3"/>
      <c r="B676" s="3"/>
      <c r="C676" s="3"/>
      <c r="D676" s="3"/>
      <c r="E676" s="49"/>
      <c r="F676" s="49"/>
      <c r="G676" s="49"/>
      <c r="H676" s="59"/>
      <c r="I676" s="59"/>
      <c r="J676" s="59"/>
      <c r="K676" s="59"/>
      <c r="L676" s="59"/>
      <c r="M676" s="59"/>
      <c r="N676" s="23"/>
      <c r="O676" s="3"/>
      <c r="P676" s="1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:53" x14ac:dyDescent="0.2">
      <c r="A677" s="3"/>
      <c r="B677" s="3"/>
      <c r="C677" s="3"/>
      <c r="D677" s="3"/>
      <c r="E677" s="49"/>
      <c r="F677" s="49"/>
      <c r="G677" s="49"/>
      <c r="H677" s="59"/>
      <c r="I677" s="59"/>
      <c r="J677" s="59"/>
      <c r="K677" s="59"/>
      <c r="L677" s="59"/>
      <c r="M677" s="59"/>
      <c r="N677" s="23"/>
      <c r="O677" s="3"/>
      <c r="P677" s="1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:53" x14ac:dyDescent="0.2">
      <c r="A678" s="3"/>
      <c r="B678" s="3"/>
      <c r="C678" s="3"/>
      <c r="D678" s="3"/>
      <c r="E678" s="49"/>
      <c r="F678" s="49"/>
      <c r="G678" s="49"/>
      <c r="H678" s="59"/>
      <c r="I678" s="59"/>
      <c r="J678" s="59"/>
      <c r="K678" s="59"/>
      <c r="L678" s="59"/>
      <c r="M678" s="59"/>
      <c r="N678" s="23"/>
      <c r="O678" s="3"/>
      <c r="P678" s="1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:53" x14ac:dyDescent="0.2">
      <c r="A679" s="3"/>
      <c r="B679" s="3"/>
      <c r="C679" s="3"/>
      <c r="D679" s="3"/>
      <c r="E679" s="49"/>
      <c r="F679" s="49"/>
      <c r="G679" s="49"/>
      <c r="H679" s="59"/>
      <c r="I679" s="59"/>
      <c r="J679" s="59"/>
      <c r="K679" s="59"/>
      <c r="L679" s="59"/>
      <c r="M679" s="59"/>
      <c r="N679" s="2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:53" x14ac:dyDescent="0.2">
      <c r="A680" s="3"/>
      <c r="B680" s="3"/>
      <c r="C680" s="3"/>
      <c r="D680" s="3"/>
      <c r="E680" s="49"/>
      <c r="F680" s="49"/>
      <c r="G680" s="49"/>
      <c r="H680" s="59"/>
      <c r="I680" s="59"/>
      <c r="J680" s="59"/>
      <c r="K680" s="59"/>
      <c r="L680" s="59"/>
      <c r="M680" s="59"/>
      <c r="N680" s="2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1" spans="1:53" x14ac:dyDescent="0.2">
      <c r="A681" s="3"/>
      <c r="B681" s="3"/>
      <c r="C681" s="3"/>
      <c r="D681" s="3"/>
      <c r="E681" s="49"/>
      <c r="F681" s="49"/>
      <c r="G681" s="49"/>
      <c r="H681" s="59"/>
      <c r="I681" s="59"/>
      <c r="J681" s="59"/>
      <c r="K681" s="59"/>
      <c r="L681" s="59"/>
      <c r="M681" s="59"/>
      <c r="N681" s="2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</row>
    <row r="682" spans="1:53" x14ac:dyDescent="0.2">
      <c r="A682" s="3"/>
      <c r="B682" s="3"/>
      <c r="C682" s="3"/>
      <c r="D682" s="3"/>
      <c r="E682" s="49"/>
      <c r="F682" s="49"/>
      <c r="G682" s="49"/>
      <c r="H682" s="59"/>
      <c r="I682" s="59"/>
      <c r="J682" s="59"/>
      <c r="K682" s="59"/>
      <c r="L682" s="59"/>
      <c r="M682" s="59"/>
      <c r="N682" s="2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:53" x14ac:dyDescent="0.2">
      <c r="A683" s="3"/>
      <c r="B683" s="3"/>
      <c r="C683" s="3"/>
      <c r="D683" s="3"/>
      <c r="E683" s="49"/>
      <c r="F683" s="49"/>
      <c r="G683" s="49"/>
      <c r="H683" s="59"/>
      <c r="I683" s="59"/>
      <c r="J683" s="59"/>
      <c r="K683" s="59"/>
      <c r="L683" s="59"/>
      <c r="M683" s="59"/>
      <c r="N683" s="2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:53" x14ac:dyDescent="0.2">
      <c r="A684" s="3"/>
      <c r="B684" s="3"/>
      <c r="C684" s="3"/>
      <c r="D684" s="3"/>
      <c r="E684" s="49"/>
      <c r="F684" s="49"/>
      <c r="G684" s="49"/>
      <c r="H684" s="59"/>
      <c r="I684" s="59"/>
      <c r="J684" s="59"/>
      <c r="K684" s="59"/>
      <c r="L684" s="59"/>
      <c r="M684" s="59"/>
      <c r="N684" s="2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:53" x14ac:dyDescent="0.2">
      <c r="A685" s="3"/>
      <c r="B685" s="3"/>
      <c r="C685" s="3"/>
      <c r="D685" s="3"/>
      <c r="E685" s="49"/>
      <c r="F685" s="49"/>
      <c r="G685" s="49"/>
      <c r="H685" s="59"/>
      <c r="I685" s="59"/>
      <c r="J685" s="59"/>
      <c r="K685" s="59"/>
      <c r="L685" s="59"/>
      <c r="M685" s="59"/>
      <c r="N685" s="2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:53" x14ac:dyDescent="0.2">
      <c r="A686" s="3"/>
      <c r="B686" s="3"/>
      <c r="C686" s="3"/>
      <c r="D686" s="3"/>
      <c r="E686" s="49"/>
      <c r="F686" s="49"/>
      <c r="G686" s="49"/>
      <c r="H686" s="59"/>
      <c r="I686" s="59"/>
      <c r="J686" s="59"/>
      <c r="K686" s="59"/>
      <c r="L686" s="59"/>
      <c r="M686" s="59"/>
      <c r="N686" s="2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:53" x14ac:dyDescent="0.2">
      <c r="A687" s="3"/>
      <c r="B687" s="3"/>
      <c r="C687" s="3"/>
      <c r="D687" s="3"/>
      <c r="E687" s="49"/>
      <c r="F687" s="49"/>
      <c r="G687" s="49"/>
      <c r="H687" s="59"/>
      <c r="I687" s="59"/>
      <c r="J687" s="59"/>
      <c r="K687" s="59"/>
      <c r="L687" s="59"/>
      <c r="M687" s="59"/>
      <c r="N687" s="2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:53" x14ac:dyDescent="0.2">
      <c r="A688" s="3"/>
      <c r="B688" s="3"/>
      <c r="C688" s="3"/>
      <c r="D688" s="3"/>
      <c r="E688" s="49"/>
      <c r="F688" s="49"/>
      <c r="G688" s="49"/>
      <c r="H688" s="59"/>
      <c r="I688" s="59"/>
      <c r="J688" s="59"/>
      <c r="K688" s="59"/>
      <c r="L688" s="59"/>
      <c r="M688" s="59"/>
      <c r="N688" s="2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:53" x14ac:dyDescent="0.2">
      <c r="A689" s="3"/>
      <c r="B689" s="3"/>
      <c r="C689" s="3"/>
      <c r="D689" s="3"/>
      <c r="E689" s="49"/>
      <c r="F689" s="49"/>
      <c r="G689" s="49"/>
      <c r="H689" s="59"/>
      <c r="I689" s="59"/>
      <c r="J689" s="59"/>
      <c r="K689" s="59"/>
      <c r="L689" s="59"/>
      <c r="M689" s="59"/>
      <c r="N689" s="2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:53" x14ac:dyDescent="0.2">
      <c r="A690" s="3"/>
      <c r="B690" s="3"/>
      <c r="C690" s="3"/>
      <c r="D690" s="3"/>
      <c r="E690" s="49"/>
      <c r="F690" s="49"/>
      <c r="G690" s="49"/>
      <c r="H690" s="59"/>
      <c r="I690" s="59"/>
      <c r="J690" s="59"/>
      <c r="K690" s="59"/>
      <c r="L690" s="59"/>
      <c r="M690" s="59"/>
      <c r="N690" s="2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:53" x14ac:dyDescent="0.2">
      <c r="A691" s="3"/>
      <c r="B691" s="3"/>
      <c r="C691" s="3"/>
      <c r="D691" s="3"/>
      <c r="E691" s="49"/>
      <c r="F691" s="49"/>
      <c r="G691" s="49"/>
      <c r="H691" s="59"/>
      <c r="I691" s="59"/>
      <c r="J691" s="59"/>
      <c r="K691" s="59"/>
      <c r="L691" s="59"/>
      <c r="M691" s="59"/>
      <c r="N691" s="2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:53" x14ac:dyDescent="0.2">
      <c r="A692" s="3"/>
      <c r="B692" s="3"/>
      <c r="C692" s="3"/>
      <c r="D692" s="3"/>
      <c r="E692" s="49"/>
      <c r="F692" s="49"/>
      <c r="G692" s="49"/>
      <c r="H692" s="59"/>
      <c r="I692" s="59"/>
      <c r="J692" s="59"/>
      <c r="K692" s="59"/>
      <c r="L692" s="59"/>
      <c r="M692" s="59"/>
      <c r="N692" s="2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:53" x14ac:dyDescent="0.2">
      <c r="A693" s="3"/>
      <c r="B693" s="3"/>
      <c r="C693" s="3"/>
      <c r="D693" s="3"/>
      <c r="E693" s="49"/>
      <c r="F693" s="49"/>
      <c r="G693" s="49"/>
      <c r="H693" s="59"/>
      <c r="I693" s="59"/>
      <c r="J693" s="59"/>
      <c r="K693" s="59"/>
      <c r="L693" s="59"/>
      <c r="M693" s="59"/>
      <c r="N693" s="2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 t="s">
        <v>656</v>
      </c>
      <c r="BA693" s="3">
        <v>10</v>
      </c>
    </row>
  </sheetData>
  <phoneticPr fontId="0" type="noConversion"/>
  <pageMargins left="0.7" right="0.7" top="0.75" bottom="0.75" header="0.3" footer="0.3"/>
  <pageSetup scale="86" fitToHeight="0" orientation="landscape" r:id="rId1"/>
  <headerFooter>
    <oddHeader>&amp;RDocket No. 56165
&amp;F
&amp;A
Page &amp;P of &amp;N</oddHeader>
    <oddFooter>&amp;LSponsored by: Earlyne Reynolds</oddFooter>
  </headerFooter>
  <rowBreaks count="13" manualBreakCount="13">
    <brk id="53" max="16383" man="1"/>
    <brk id="89" max="16383" man="1"/>
    <brk id="147" max="12" man="1"/>
    <brk id="192" max="16383" man="1"/>
    <brk id="250" max="12" man="1"/>
    <brk id="311" max="12" man="1"/>
    <brk id="377" max="12" man="1"/>
    <brk id="431" max="12" man="1"/>
    <brk id="495" max="12" man="1"/>
    <brk id="527" max="12" man="1"/>
    <brk id="582" max="12" man="1"/>
    <brk id="617" max="16383" man="1"/>
    <brk id="648" max="12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6"/>
  <dimension ref="A1:N607"/>
  <sheetViews>
    <sheetView showGridLines="0" zoomScale="130" zoomScaleNormal="130" zoomScaleSheetLayoutView="100" workbookViewId="0">
      <selection activeCell="K25" sqref="K25"/>
    </sheetView>
  </sheetViews>
  <sheetFormatPr defaultColWidth="3.5703125" defaultRowHeight="12.75" customHeight="1" x14ac:dyDescent="0.2"/>
  <cols>
    <col min="1" max="1" width="4.7109375" customWidth="1"/>
    <col min="2" max="2" width="5" customWidth="1"/>
    <col min="3" max="3" width="13" customWidth="1"/>
    <col min="4" max="4" width="9" customWidth="1"/>
    <col min="5" max="5" width="10.28515625" customWidth="1"/>
    <col min="6" max="6" width="12.42578125" bestFit="1" customWidth="1"/>
    <col min="7" max="7" width="10.42578125" customWidth="1"/>
    <col min="8" max="8" width="11" bestFit="1" customWidth="1"/>
    <col min="9" max="13" width="11" customWidth="1"/>
    <col min="14" max="14" width="10.28515625" bestFit="1" customWidth="1"/>
    <col min="15" max="20" width="3.5703125" customWidth="1"/>
  </cols>
  <sheetData>
    <row r="1" spans="1:14" ht="8.25" customHeight="1" x14ac:dyDescent="0.2">
      <c r="A1" s="3"/>
      <c r="B1" s="3"/>
      <c r="C1" s="3"/>
      <c r="D1" s="130">
        <v>1</v>
      </c>
      <c r="E1" s="130">
        <v>2</v>
      </c>
      <c r="F1" s="130">
        <v>7</v>
      </c>
      <c r="G1" s="130">
        <v>13</v>
      </c>
      <c r="H1" s="130">
        <v>4</v>
      </c>
      <c r="I1" s="4"/>
      <c r="J1" s="4"/>
      <c r="K1" s="4"/>
      <c r="L1" s="4"/>
      <c r="M1" s="4"/>
      <c r="N1" s="4"/>
    </row>
    <row r="2" spans="1:14" x14ac:dyDescent="0.2">
      <c r="A2" s="3"/>
      <c r="B2" s="3"/>
      <c r="C2" s="3"/>
      <c r="D2" s="3"/>
      <c r="E2" s="3"/>
      <c r="F2" s="5"/>
      <c r="G2" s="5"/>
      <c r="H2" s="5"/>
      <c r="I2" s="5"/>
      <c r="J2" s="5"/>
      <c r="K2" s="5"/>
      <c r="L2" s="5"/>
      <c r="M2" s="5"/>
      <c r="N2" s="4"/>
    </row>
    <row r="3" spans="1:14" x14ac:dyDescent="0.2">
      <c r="A3" s="3"/>
      <c r="B3" s="3" t="str">
        <f>'II-I TOTAL COMPANY'!B4</f>
        <v>PUBLIC UTILITY COMMISION OF TEXAS</v>
      </c>
      <c r="C3" s="5"/>
      <c r="D3" s="5"/>
      <c r="E3" s="3"/>
      <c r="F3" s="5"/>
      <c r="G3" s="5"/>
      <c r="H3" s="5"/>
      <c r="I3" s="5"/>
      <c r="J3" s="5"/>
      <c r="K3" s="5"/>
      <c r="L3" s="5"/>
      <c r="M3" s="5"/>
      <c r="N3" s="4"/>
    </row>
    <row r="4" spans="1:14" x14ac:dyDescent="0.2">
      <c r="A4" s="3"/>
      <c r="B4" s="3" t="str">
        <f>'II-I TOTAL COMPANY'!B5</f>
        <v>AEP TEXAS INC</v>
      </c>
      <c r="C4" s="3"/>
      <c r="D4" s="3"/>
      <c r="E4" s="3"/>
      <c r="F4" s="5"/>
      <c r="G4" s="5"/>
      <c r="H4" s="5"/>
      <c r="I4" s="5"/>
      <c r="J4" s="5"/>
      <c r="K4" s="5"/>
      <c r="L4" s="5"/>
      <c r="M4" s="5"/>
      <c r="N4" s="4"/>
    </row>
    <row r="5" spans="1:14" x14ac:dyDescent="0.2">
      <c r="A5" s="3"/>
      <c r="B5" s="3" t="str">
        <f>'II-I TOTAL COMPANY'!B6</f>
        <v>II-I COST OF SERVICE</v>
      </c>
      <c r="C5" s="3"/>
      <c r="D5" s="3"/>
      <c r="E5" s="3"/>
      <c r="F5" s="3"/>
      <c r="G5" s="5"/>
      <c r="H5" s="5"/>
      <c r="I5" s="5"/>
      <c r="J5" s="5"/>
      <c r="K5" s="5"/>
      <c r="L5" s="5"/>
      <c r="M5" s="5"/>
      <c r="N5" s="4"/>
    </row>
    <row r="6" spans="1:14" x14ac:dyDescent="0.2">
      <c r="A6" s="3"/>
      <c r="B6" s="3" t="str">
        <f>'II-I TOTAL COMPANY'!B7</f>
        <v>TEST YEAR ENDING 09/30/2023</v>
      </c>
      <c r="C6" s="3"/>
      <c r="D6" s="3"/>
      <c r="E6" s="3"/>
      <c r="F6" s="5"/>
      <c r="G6" s="5"/>
      <c r="H6" s="5"/>
      <c r="I6" s="5"/>
      <c r="J6" s="5"/>
      <c r="K6" s="5"/>
      <c r="L6" s="5"/>
      <c r="M6" s="5"/>
      <c r="N6" s="4"/>
    </row>
    <row r="7" spans="1:14" x14ac:dyDescent="0.2">
      <c r="A7" s="3"/>
      <c r="B7" s="3" t="s">
        <v>858</v>
      </c>
      <c r="C7" s="3"/>
      <c r="D7" s="3"/>
      <c r="E7" s="3" t="s">
        <v>536</v>
      </c>
      <c r="F7" s="5"/>
      <c r="G7" s="5"/>
      <c r="H7" s="5"/>
      <c r="I7" s="5"/>
      <c r="J7" s="5"/>
      <c r="K7" s="5"/>
      <c r="L7" s="5"/>
      <c r="M7" s="5"/>
      <c r="N7" s="4"/>
    </row>
    <row r="8" spans="1:14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">
      <c r="A10" s="4" t="s">
        <v>0</v>
      </c>
      <c r="B10" s="4" t="s">
        <v>1</v>
      </c>
      <c r="C10" s="4" t="s">
        <v>2</v>
      </c>
      <c r="D10" s="4"/>
      <c r="E10" s="4" t="s">
        <v>3</v>
      </c>
      <c r="F10" s="4" t="s">
        <v>5</v>
      </c>
      <c r="G10" s="4" t="s">
        <v>315</v>
      </c>
      <c r="H10" s="4" t="s">
        <v>314</v>
      </c>
      <c r="I10" s="4" t="s">
        <v>573</v>
      </c>
      <c r="J10" s="4" t="s">
        <v>176</v>
      </c>
      <c r="K10" s="4" t="s">
        <v>582</v>
      </c>
      <c r="L10" s="4" t="s">
        <v>579</v>
      </c>
      <c r="M10" s="4" t="s">
        <v>581</v>
      </c>
      <c r="N10" s="4" t="s">
        <v>350</v>
      </c>
    </row>
    <row r="11" spans="1:14" x14ac:dyDescent="0.2">
      <c r="A11" s="4" t="s">
        <v>7</v>
      </c>
      <c r="B11" s="4" t="s">
        <v>7</v>
      </c>
      <c r="C11" s="4"/>
      <c r="D11" s="4" t="s">
        <v>8</v>
      </c>
      <c r="E11" s="4" t="s">
        <v>9</v>
      </c>
      <c r="F11" s="4" t="s">
        <v>671</v>
      </c>
      <c r="G11" s="4"/>
      <c r="H11" s="4"/>
      <c r="I11" s="4" t="s">
        <v>574</v>
      </c>
      <c r="J11" s="4" t="s">
        <v>466</v>
      </c>
      <c r="K11" s="4" t="s">
        <v>574</v>
      </c>
      <c r="L11" s="4" t="s">
        <v>574</v>
      </c>
      <c r="M11" s="4" t="s">
        <v>580</v>
      </c>
      <c r="N11" s="4" t="s">
        <v>4</v>
      </c>
    </row>
    <row r="12" spans="1:14" x14ac:dyDescent="0.2">
      <c r="A12" s="33">
        <v>-1</v>
      </c>
      <c r="B12" s="33">
        <f t="shared" ref="B12:H12" si="0">+A12-1</f>
        <v>-2</v>
      </c>
      <c r="C12" s="33">
        <f t="shared" si="0"/>
        <v>-3</v>
      </c>
      <c r="D12" s="33">
        <f t="shared" si="0"/>
        <v>-4</v>
      </c>
      <c r="E12" s="33">
        <f t="shared" si="0"/>
        <v>-5</v>
      </c>
      <c r="F12" s="33">
        <f t="shared" si="0"/>
        <v>-6</v>
      </c>
      <c r="G12" s="33">
        <f t="shared" si="0"/>
        <v>-7</v>
      </c>
      <c r="H12" s="33">
        <f t="shared" si="0"/>
        <v>-8</v>
      </c>
      <c r="I12" s="33"/>
      <c r="J12" s="33"/>
      <c r="K12" s="33"/>
      <c r="L12" s="33"/>
      <c r="M12" s="33"/>
      <c r="N12" s="33"/>
    </row>
    <row r="13" spans="1:14" x14ac:dyDescent="0.2">
      <c r="A13" s="3"/>
      <c r="B13" s="7" t="s">
        <v>465</v>
      </c>
      <c r="C13" s="3"/>
      <c r="D13" s="3"/>
      <c r="E13" s="3"/>
      <c r="F13" s="8"/>
      <c r="G13" s="9"/>
      <c r="H13" s="8"/>
      <c r="I13" s="8"/>
      <c r="J13" s="8"/>
      <c r="K13" s="8"/>
      <c r="L13" s="8"/>
      <c r="M13" s="8"/>
      <c r="N13" s="4"/>
    </row>
    <row r="14" spans="1:14" ht="8.25" customHeight="1" x14ac:dyDescent="0.2">
      <c r="A14" s="3"/>
      <c r="B14" s="3"/>
      <c r="C14" s="3"/>
      <c r="D14" s="3"/>
      <c r="E14" s="11"/>
      <c r="F14" s="8"/>
      <c r="G14" s="9"/>
      <c r="H14" s="8"/>
      <c r="I14" s="8"/>
      <c r="J14" s="8"/>
      <c r="K14" s="8"/>
      <c r="L14" s="8"/>
      <c r="M14" s="8"/>
      <c r="N14" s="4"/>
    </row>
    <row r="15" spans="1:14" x14ac:dyDescent="0.2">
      <c r="A15" s="3"/>
      <c r="B15" s="7" t="s">
        <v>22</v>
      </c>
      <c r="C15" s="3"/>
      <c r="D15" s="3"/>
      <c r="E15" s="3"/>
      <c r="F15" s="9"/>
      <c r="G15" s="66"/>
      <c r="H15" s="66"/>
      <c r="I15" s="66"/>
      <c r="J15" s="66"/>
      <c r="K15" s="66"/>
      <c r="L15" s="66"/>
      <c r="M15" s="66"/>
      <c r="N15" s="4"/>
    </row>
    <row r="16" spans="1:14" x14ac:dyDescent="0.2">
      <c r="A16" s="3"/>
      <c r="B16" s="3"/>
      <c r="C16" s="3"/>
      <c r="D16" s="3"/>
      <c r="E16" s="3"/>
      <c r="F16" s="9"/>
      <c r="G16" s="66"/>
      <c r="H16" s="66"/>
      <c r="I16" s="66"/>
      <c r="J16" s="66"/>
      <c r="K16" s="66"/>
      <c r="L16" s="66"/>
      <c r="M16" s="66"/>
      <c r="N16" s="4"/>
    </row>
    <row r="17" spans="1:14" x14ac:dyDescent="0.2">
      <c r="A17" s="3">
        <v>1</v>
      </c>
      <c r="B17" s="3" t="s">
        <v>23</v>
      </c>
      <c r="C17" s="3"/>
      <c r="D17" s="1"/>
      <c r="E17" s="3"/>
      <c r="F17" s="9"/>
      <c r="G17" s="66"/>
      <c r="H17" s="66"/>
      <c r="I17" s="66"/>
      <c r="J17" s="66"/>
      <c r="K17" s="66"/>
      <c r="L17" s="66"/>
      <c r="M17" s="66"/>
      <c r="N17" s="27"/>
    </row>
    <row r="18" spans="1:14" x14ac:dyDescent="0.2">
      <c r="A18" s="3">
        <f>+A17+1</f>
        <v>2</v>
      </c>
      <c r="B18" s="3" t="s">
        <v>24</v>
      </c>
      <c r="C18" s="3" t="s">
        <v>25</v>
      </c>
      <c r="D18" s="1"/>
      <c r="E18" s="4"/>
      <c r="F18" s="9">
        <f>+'II-I TOTAL COMPANY'!H93</f>
        <v>18123.34</v>
      </c>
      <c r="G18" s="66">
        <f>+Distribution!I93+Meter!I93+TDCustSvc!I93</f>
        <v>0</v>
      </c>
      <c r="H18" s="66">
        <f ca="1">+Distribution!J93+Meter!J93+TDCustSvc!J93</f>
        <v>18123.34</v>
      </c>
      <c r="I18" s="79">
        <f ca="1">IFERROR(+H18/F18,0)</f>
        <v>1</v>
      </c>
      <c r="J18" s="66">
        <f>+Distribution!H93+Meter!H93+TDCustSvc!H93</f>
        <v>18123.34</v>
      </c>
      <c r="K18" s="66">
        <f>+Distribution!I93+Meter!I93+TDCustSvc!I93</f>
        <v>0</v>
      </c>
      <c r="L18" s="66">
        <f ca="1">+Distribution!J93+Meter!J93+TDCustSvc!J93</f>
        <v>18123.34</v>
      </c>
      <c r="M18" s="79">
        <f ca="1">IFERROR(+L18/J18,0)</f>
        <v>1</v>
      </c>
      <c r="N18" s="27"/>
    </row>
    <row r="19" spans="1:14" x14ac:dyDescent="0.2">
      <c r="A19" s="3">
        <f t="shared" ref="A19:A72" si="1">+A18+1</f>
        <v>3</v>
      </c>
      <c r="B19" s="3" t="s">
        <v>469</v>
      </c>
      <c r="C19" s="3" t="s">
        <v>29</v>
      </c>
      <c r="D19" s="1"/>
      <c r="E19" s="4"/>
      <c r="F19" s="9">
        <f>+'II-I TOTAL COMPANY'!H94</f>
        <v>0</v>
      </c>
      <c r="G19" s="66">
        <f>+Distribution!I94+Meter!I94+TDCustSvc!I94</f>
        <v>0</v>
      </c>
      <c r="H19" s="66">
        <f ca="1">Distribution!J94+Meter!J94+TDCustSvc!J94</f>
        <v>0</v>
      </c>
      <c r="I19" s="79">
        <f ca="1">IFERROR(+H19/F19,0)</f>
        <v>0</v>
      </c>
      <c r="J19" s="66">
        <f>+Distribution!H94+Meter!H94+TDCustSvc!H94</f>
        <v>0</v>
      </c>
      <c r="K19" s="66">
        <f>+Distribution!I94+Meter!I94+TDCustSvc!I94</f>
        <v>0</v>
      </c>
      <c r="L19" s="66">
        <f ca="1">+Distribution!J94+Meter!J94+TDCustSvc!J94</f>
        <v>0</v>
      </c>
      <c r="M19" s="79">
        <f ca="1">IFERROR(+L19/J19,0)</f>
        <v>0</v>
      </c>
      <c r="N19" s="27" t="str">
        <f t="shared" ref="N19:N82" ca="1" si="2">IF(SUM(G19+H19)=F19,"OK",0)</f>
        <v>OK</v>
      </c>
    </row>
    <row r="20" spans="1:14" x14ac:dyDescent="0.2">
      <c r="A20" s="3">
        <f t="shared" si="1"/>
        <v>4</v>
      </c>
      <c r="B20" s="3" t="s">
        <v>28</v>
      </c>
      <c r="C20" s="3" t="s">
        <v>29</v>
      </c>
      <c r="D20" s="1"/>
      <c r="E20" s="4"/>
      <c r="F20" s="9">
        <f>+'II-I TOTAL COMPANY'!H95</f>
        <v>156049490.36000001</v>
      </c>
      <c r="G20" s="66">
        <f>+Distribution!I95+Meter!I95+TDCustSvc!I95</f>
        <v>0</v>
      </c>
      <c r="H20" s="66">
        <f ca="1">+Distribution!J95+Meter!J95+TDCustSvc!J95</f>
        <v>156049490.36000001</v>
      </c>
      <c r="I20" s="79">
        <f ca="1">IFERROR(+H20/F20,0)</f>
        <v>1</v>
      </c>
      <c r="J20" s="66">
        <f>+Distribution!H95+Meter!H95+TDCustSvc!H95</f>
        <v>156049490.36000001</v>
      </c>
      <c r="K20" s="66">
        <f>+Distribution!I95+Meter!I95+TDCustSvc!I95</f>
        <v>0</v>
      </c>
      <c r="L20" s="66">
        <f ca="1">+Distribution!J95+Meter!J95+TDCustSvc!J95</f>
        <v>156049490.36000001</v>
      </c>
      <c r="M20" s="79">
        <f ca="1">IFERROR(+L20/J20,0)</f>
        <v>1</v>
      </c>
      <c r="N20" s="27" t="str">
        <f t="shared" ca="1" si="2"/>
        <v>OK</v>
      </c>
    </row>
    <row r="21" spans="1:14" x14ac:dyDescent="0.2">
      <c r="A21" s="3">
        <f t="shared" si="1"/>
        <v>5</v>
      </c>
      <c r="B21" s="3"/>
      <c r="C21" s="3" t="s">
        <v>30</v>
      </c>
      <c r="D21" s="3"/>
      <c r="E21" s="4"/>
      <c r="F21" s="9">
        <f>+'II-I TOTAL COMPANY'!H96</f>
        <v>156067613.70000002</v>
      </c>
      <c r="G21" s="66">
        <f>+Distribution!I96+Meter!I96+TDCustSvc!I96</f>
        <v>0</v>
      </c>
      <c r="H21" s="66">
        <f ca="1">+Distribution!J96+Meter!J96+TDCustSvc!J96</f>
        <v>156067613.69999999</v>
      </c>
      <c r="I21" s="79">
        <f t="shared" ref="I21:I82" ca="1" si="3">+H21/F21</f>
        <v>0.99999999999999978</v>
      </c>
      <c r="J21" s="66">
        <f>+Distribution!H96+Meter!H96+TDCustSvc!H96</f>
        <v>156067613.70000002</v>
      </c>
      <c r="K21" s="66">
        <f>+Distribution!I96+Meter!I96+TDCustSvc!I96</f>
        <v>0</v>
      </c>
      <c r="L21" s="66">
        <f ca="1">+Distribution!J96+Meter!J96+TDCustSvc!J96</f>
        <v>156067613.69999999</v>
      </c>
      <c r="M21" s="79">
        <f ca="1">+L21/J21</f>
        <v>0.99999999999999978</v>
      </c>
      <c r="N21" s="27" t="str">
        <f t="shared" ca="1" si="2"/>
        <v>OK</v>
      </c>
    </row>
    <row r="22" spans="1:14" x14ac:dyDescent="0.2">
      <c r="A22" s="3">
        <f t="shared" si="1"/>
        <v>6</v>
      </c>
      <c r="B22" s="3"/>
      <c r="C22" s="3"/>
      <c r="D22" s="3"/>
      <c r="E22" s="4"/>
      <c r="F22" s="9"/>
      <c r="G22" s="66"/>
      <c r="H22" s="66"/>
      <c r="I22" s="79"/>
      <c r="J22" s="79"/>
      <c r="K22" s="79"/>
      <c r="L22" s="79"/>
      <c r="M22" s="79"/>
      <c r="N22" s="27" t="str">
        <f t="shared" si="2"/>
        <v>OK</v>
      </c>
    </row>
    <row r="23" spans="1:14" x14ac:dyDescent="0.2">
      <c r="A23" s="3">
        <f t="shared" si="1"/>
        <v>7</v>
      </c>
      <c r="B23" s="7" t="s">
        <v>32</v>
      </c>
      <c r="C23" s="3"/>
      <c r="D23" s="3"/>
      <c r="E23" s="4"/>
      <c r="F23" s="9"/>
      <c r="G23" s="66"/>
      <c r="H23" s="66"/>
      <c r="I23" s="79"/>
      <c r="J23" s="79"/>
      <c r="K23" s="79"/>
      <c r="L23" s="79"/>
      <c r="M23" s="79"/>
      <c r="N23" s="27" t="str">
        <f t="shared" si="2"/>
        <v>OK</v>
      </c>
    </row>
    <row r="24" spans="1:14" x14ac:dyDescent="0.2">
      <c r="A24" s="3">
        <f t="shared" si="1"/>
        <v>8</v>
      </c>
      <c r="B24" s="3"/>
      <c r="C24" s="3"/>
      <c r="D24" s="3"/>
      <c r="E24" s="4"/>
      <c r="F24" s="9"/>
      <c r="G24" s="66"/>
      <c r="H24" s="66"/>
      <c r="I24" s="79"/>
      <c r="J24" s="79"/>
      <c r="K24" s="79"/>
      <c r="L24" s="79"/>
      <c r="M24" s="79"/>
      <c r="N24" s="27" t="str">
        <f t="shared" si="2"/>
        <v>OK</v>
      </c>
    </row>
    <row r="25" spans="1:14" x14ac:dyDescent="0.2">
      <c r="A25" s="3">
        <f t="shared" si="1"/>
        <v>9</v>
      </c>
      <c r="B25" s="3" t="s">
        <v>33</v>
      </c>
      <c r="C25" s="3"/>
      <c r="D25" s="3"/>
      <c r="E25" s="4"/>
      <c r="F25" s="9"/>
      <c r="G25" s="66"/>
      <c r="H25" s="66"/>
      <c r="I25" s="79"/>
      <c r="J25" s="79"/>
      <c r="K25" s="79"/>
      <c r="L25" s="79"/>
      <c r="M25" s="79"/>
      <c r="N25" s="27" t="str">
        <f t="shared" si="2"/>
        <v>OK</v>
      </c>
    </row>
    <row r="26" spans="1:14" x14ac:dyDescent="0.2">
      <c r="A26" s="3">
        <f t="shared" si="1"/>
        <v>10</v>
      </c>
      <c r="B26" s="3" t="s">
        <v>34</v>
      </c>
      <c r="C26" s="3" t="s">
        <v>35</v>
      </c>
      <c r="D26" s="1"/>
      <c r="E26" s="4"/>
      <c r="F26" s="9">
        <f>+'II-I TOTAL COMPANY'!H101</f>
        <v>0</v>
      </c>
      <c r="G26" s="66">
        <f>+Distribution!I101+Meter!I101+TDCustSvc!I101</f>
        <v>0</v>
      </c>
      <c r="H26" s="66">
        <f>+Distribution!J101+Meter!J101+TDCustSvc!J101</f>
        <v>0</v>
      </c>
      <c r="I26" s="66">
        <f>IFERROR(+H26/F26,)</f>
        <v>0</v>
      </c>
      <c r="J26" s="66">
        <f>+Distribution!H101+Meter!H101+TDCustSvc!H101</f>
        <v>0</v>
      </c>
      <c r="K26" s="66">
        <f>+Distribution!I101+Meter!I101+TDCustSvc!I101</f>
        <v>0</v>
      </c>
      <c r="L26" s="66">
        <f>+Distribution!J101+Meter!J101+TDCustSvc!J101</f>
        <v>0</v>
      </c>
      <c r="M26" s="66">
        <f>IFERROR(+L26/J26,0)</f>
        <v>0</v>
      </c>
      <c r="N26" s="27" t="str">
        <f t="shared" si="2"/>
        <v>OK</v>
      </c>
    </row>
    <row r="27" spans="1:14" x14ac:dyDescent="0.2">
      <c r="A27" s="3">
        <f t="shared" si="1"/>
        <v>11</v>
      </c>
      <c r="B27" s="3" t="s">
        <v>36</v>
      </c>
      <c r="C27" s="3" t="s">
        <v>31</v>
      </c>
      <c r="D27" s="1"/>
      <c r="E27" s="4"/>
      <c r="F27" s="9">
        <f>+'II-I TOTAL COMPANY'!H102</f>
        <v>0</v>
      </c>
      <c r="G27" s="66">
        <f>+Distribution!I102+Meter!I102+TDCustSvc!I102</f>
        <v>0</v>
      </c>
      <c r="H27" s="66">
        <f>+Distribution!J102+Meter!J102+TDCustSvc!J102</f>
        <v>0</v>
      </c>
      <c r="I27" s="66">
        <f t="shared" ref="I27:I36" si="4">IFERROR(+H27/F27,)</f>
        <v>0</v>
      </c>
      <c r="J27" s="66">
        <f>+Distribution!H102+Meter!H102+TDCustSvc!H102</f>
        <v>0</v>
      </c>
      <c r="K27" s="66">
        <f>+Distribution!I102+Meter!I102+TDCustSvc!I102</f>
        <v>0</v>
      </c>
      <c r="L27" s="66">
        <f>+Distribution!J102+Meter!J102+TDCustSvc!J102</f>
        <v>0</v>
      </c>
      <c r="M27" s="66">
        <f t="shared" ref="M27:M36" si="5">IFERROR(+L27/J27,0)</f>
        <v>0</v>
      </c>
      <c r="N27" s="27" t="str">
        <f t="shared" si="2"/>
        <v>OK</v>
      </c>
    </row>
    <row r="28" spans="1:14" x14ac:dyDescent="0.2">
      <c r="A28" s="3">
        <f t="shared" si="1"/>
        <v>12</v>
      </c>
      <c r="B28" s="3" t="s">
        <v>37</v>
      </c>
      <c r="C28" s="3" t="s">
        <v>38</v>
      </c>
      <c r="D28" s="1"/>
      <c r="E28" s="4"/>
      <c r="F28" s="9">
        <f>+'II-I TOTAL COMPANY'!H103</f>
        <v>0</v>
      </c>
      <c r="G28" s="66">
        <f>+Distribution!I103+Meter!I103+TDCustSvc!I103</f>
        <v>0</v>
      </c>
      <c r="H28" s="66">
        <f>+Distribution!J103+Meter!J103+TDCustSvc!J103</f>
        <v>0</v>
      </c>
      <c r="I28" s="66">
        <f t="shared" si="4"/>
        <v>0</v>
      </c>
      <c r="J28" s="66">
        <f>+Distribution!H103+Meter!H103+TDCustSvc!H103</f>
        <v>0</v>
      </c>
      <c r="K28" s="66">
        <f>+Distribution!I103+Meter!I103+TDCustSvc!I103</f>
        <v>0</v>
      </c>
      <c r="L28" s="66">
        <f>+Distribution!J103+Meter!J103+TDCustSvc!J103</f>
        <v>0</v>
      </c>
      <c r="M28" s="66">
        <f t="shared" si="5"/>
        <v>0</v>
      </c>
      <c r="N28" s="27" t="str">
        <f t="shared" si="2"/>
        <v>OK</v>
      </c>
    </row>
    <row r="29" spans="1:14" x14ac:dyDescent="0.2">
      <c r="A29" s="3">
        <f t="shared" si="1"/>
        <v>13</v>
      </c>
      <c r="B29" s="3" t="s">
        <v>39</v>
      </c>
      <c r="C29" s="3" t="s">
        <v>40</v>
      </c>
      <c r="D29" s="1"/>
      <c r="E29" s="4"/>
      <c r="F29" s="9">
        <f>+'II-I TOTAL COMPANY'!H104</f>
        <v>0</v>
      </c>
      <c r="G29" s="66">
        <f>+Distribution!I104+Meter!I104+TDCustSvc!I104</f>
        <v>0</v>
      </c>
      <c r="H29" s="66">
        <f>+Distribution!J104+Meter!J104+TDCustSvc!J104</f>
        <v>0</v>
      </c>
      <c r="I29" s="66">
        <f t="shared" si="4"/>
        <v>0</v>
      </c>
      <c r="J29" s="66">
        <f>+Distribution!H104+Meter!H104+TDCustSvc!H104</f>
        <v>0</v>
      </c>
      <c r="K29" s="66">
        <f>+Distribution!I104+Meter!I104+TDCustSvc!I104</f>
        <v>0</v>
      </c>
      <c r="L29" s="66">
        <f>+Distribution!J104+Meter!J104+TDCustSvc!J104</f>
        <v>0</v>
      </c>
      <c r="M29" s="66">
        <f t="shared" si="5"/>
        <v>0</v>
      </c>
      <c r="N29" s="27" t="str">
        <f t="shared" si="2"/>
        <v>OK</v>
      </c>
    </row>
    <row r="30" spans="1:14" x14ac:dyDescent="0.2">
      <c r="A30" s="3">
        <f t="shared" si="1"/>
        <v>14</v>
      </c>
      <c r="B30" s="3" t="s">
        <v>41</v>
      </c>
      <c r="C30" s="3" t="s">
        <v>42</v>
      </c>
      <c r="D30" s="1"/>
      <c r="E30" s="4"/>
      <c r="F30" s="9">
        <f>+'II-I TOTAL COMPANY'!H105</f>
        <v>0</v>
      </c>
      <c r="G30" s="66">
        <f>+Distribution!I105+Meter!I105+TDCustSvc!I105</f>
        <v>0</v>
      </c>
      <c r="H30" s="66">
        <f>+Distribution!J105+Meter!J105+TDCustSvc!J105</f>
        <v>0</v>
      </c>
      <c r="I30" s="66">
        <f t="shared" si="4"/>
        <v>0</v>
      </c>
      <c r="J30" s="66">
        <f>+Distribution!H105+Meter!H105+TDCustSvc!H105</f>
        <v>0</v>
      </c>
      <c r="K30" s="66">
        <f>+Distribution!I105+Meter!I105+TDCustSvc!I105</f>
        <v>0</v>
      </c>
      <c r="L30" s="66">
        <f>+Distribution!J105+Meter!J105+TDCustSvc!J105</f>
        <v>0</v>
      </c>
      <c r="M30" s="66">
        <f t="shared" si="5"/>
        <v>0</v>
      </c>
      <c r="N30" s="27" t="str">
        <f t="shared" si="2"/>
        <v>OK</v>
      </c>
    </row>
    <row r="31" spans="1:14" x14ac:dyDescent="0.2">
      <c r="A31" s="3">
        <f t="shared" si="1"/>
        <v>15</v>
      </c>
      <c r="B31" s="3" t="s">
        <v>43</v>
      </c>
      <c r="C31" s="3" t="s">
        <v>44</v>
      </c>
      <c r="D31" s="1"/>
      <c r="E31" s="4"/>
      <c r="F31" s="9">
        <f>+'II-I TOTAL COMPANY'!H106</f>
        <v>0</v>
      </c>
      <c r="G31" s="66">
        <f>+Distribution!I106+Meter!I106+TDCustSvc!I106</f>
        <v>0</v>
      </c>
      <c r="H31" s="66">
        <f>+Distribution!J106+Meter!J106+TDCustSvc!J106</f>
        <v>0</v>
      </c>
      <c r="I31" s="66">
        <f t="shared" si="4"/>
        <v>0</v>
      </c>
      <c r="J31" s="66">
        <f>+Distribution!H106+Meter!H106+TDCustSvc!H106</f>
        <v>0</v>
      </c>
      <c r="K31" s="66">
        <f>+Distribution!I106+Meter!I106+TDCustSvc!I106</f>
        <v>0</v>
      </c>
      <c r="L31" s="66">
        <f>+Distribution!J106+Meter!J106+TDCustSvc!J106</f>
        <v>0</v>
      </c>
      <c r="M31" s="66">
        <f t="shared" si="5"/>
        <v>0</v>
      </c>
      <c r="N31" s="27" t="str">
        <f t="shared" si="2"/>
        <v>OK</v>
      </c>
    </row>
    <row r="32" spans="1:14" x14ac:dyDescent="0.2">
      <c r="A32" s="3">
        <f t="shared" si="1"/>
        <v>16</v>
      </c>
      <c r="B32" s="3" t="s">
        <v>45</v>
      </c>
      <c r="C32" s="3" t="s">
        <v>46</v>
      </c>
      <c r="D32" s="1"/>
      <c r="E32" s="4"/>
      <c r="F32" s="9">
        <f>+'II-I TOTAL COMPANY'!H107</f>
        <v>0</v>
      </c>
      <c r="G32" s="66">
        <f>+Distribution!I107+Meter!I107+TDCustSvc!I107</f>
        <v>0</v>
      </c>
      <c r="H32" s="66">
        <f>+Distribution!J107+Meter!J107+TDCustSvc!J107</f>
        <v>0</v>
      </c>
      <c r="I32" s="66">
        <f t="shared" si="4"/>
        <v>0</v>
      </c>
      <c r="J32" s="66">
        <f>+Distribution!H107+Meter!H107+TDCustSvc!H107</f>
        <v>0</v>
      </c>
      <c r="K32" s="66">
        <f>+Distribution!I107+Meter!I107+TDCustSvc!I107</f>
        <v>0</v>
      </c>
      <c r="L32" s="66">
        <f>+Distribution!J107+Meter!J107+TDCustSvc!J107</f>
        <v>0</v>
      </c>
      <c r="M32" s="66">
        <f t="shared" si="5"/>
        <v>0</v>
      </c>
      <c r="N32" s="27" t="str">
        <f t="shared" si="2"/>
        <v>OK</v>
      </c>
    </row>
    <row r="33" spans="1:14" x14ac:dyDescent="0.2">
      <c r="A33" s="3">
        <f t="shared" si="1"/>
        <v>17</v>
      </c>
      <c r="B33" s="3" t="s">
        <v>47</v>
      </c>
      <c r="C33" s="3" t="s">
        <v>48</v>
      </c>
      <c r="D33" s="1"/>
      <c r="E33" s="4"/>
      <c r="F33" s="9">
        <f>+'II-I TOTAL COMPANY'!H108</f>
        <v>0</v>
      </c>
      <c r="G33" s="66">
        <f>+Distribution!I108+Meter!I108+TDCustSvc!I108</f>
        <v>0</v>
      </c>
      <c r="H33" s="66">
        <f>+Distribution!J108+Meter!J108+TDCustSvc!J108</f>
        <v>0</v>
      </c>
      <c r="I33" s="66">
        <f t="shared" si="4"/>
        <v>0</v>
      </c>
      <c r="J33" s="66">
        <f>+Distribution!H108+Meter!H108+TDCustSvc!H108</f>
        <v>0</v>
      </c>
      <c r="K33" s="66">
        <f>+Distribution!I108+Meter!I108+TDCustSvc!I108</f>
        <v>0</v>
      </c>
      <c r="L33" s="66">
        <f>+Distribution!J108+Meter!J108+TDCustSvc!J108</f>
        <v>0</v>
      </c>
      <c r="M33" s="66">
        <f t="shared" si="5"/>
        <v>0</v>
      </c>
      <c r="N33" s="27" t="str">
        <f t="shared" si="2"/>
        <v>OK</v>
      </c>
    </row>
    <row r="34" spans="1:14" x14ac:dyDescent="0.2">
      <c r="A34" s="3">
        <f t="shared" si="1"/>
        <v>18</v>
      </c>
      <c r="B34" s="3" t="s">
        <v>49</v>
      </c>
      <c r="C34" s="3" t="s">
        <v>50</v>
      </c>
      <c r="D34" s="1"/>
      <c r="E34" s="4"/>
      <c r="F34" s="9">
        <f>+'II-I TOTAL COMPANY'!H109</f>
        <v>0</v>
      </c>
      <c r="G34" s="66">
        <f>+Distribution!I109+Meter!I109+TDCustSvc!I109</f>
        <v>0</v>
      </c>
      <c r="H34" s="66">
        <f>+Distribution!J109+Meter!J109+TDCustSvc!J109</f>
        <v>0</v>
      </c>
      <c r="I34" s="66">
        <f t="shared" si="4"/>
        <v>0</v>
      </c>
      <c r="J34" s="66">
        <f>+Distribution!H109+Meter!H109+TDCustSvc!H109</f>
        <v>0</v>
      </c>
      <c r="K34" s="66">
        <f>+Distribution!I109+Meter!I109+TDCustSvc!I109</f>
        <v>0</v>
      </c>
      <c r="L34" s="66">
        <f>+Distribution!J109+Meter!J109+TDCustSvc!J109</f>
        <v>0</v>
      </c>
      <c r="M34" s="66">
        <f t="shared" si="5"/>
        <v>0</v>
      </c>
      <c r="N34" s="27" t="str">
        <f t="shared" si="2"/>
        <v>OK</v>
      </c>
    </row>
    <row r="35" spans="1:14" x14ac:dyDescent="0.2">
      <c r="A35" s="3">
        <f t="shared" si="1"/>
        <v>19</v>
      </c>
      <c r="B35" s="3"/>
      <c r="C35" s="3"/>
      <c r="D35" s="1"/>
      <c r="E35" s="4"/>
      <c r="F35" s="9"/>
      <c r="G35" s="66"/>
      <c r="H35" s="66"/>
      <c r="I35" s="66"/>
      <c r="J35" s="79"/>
      <c r="K35" s="79"/>
      <c r="L35" s="79"/>
      <c r="M35" s="66"/>
      <c r="N35" s="27" t="str">
        <f t="shared" si="2"/>
        <v>OK</v>
      </c>
    </row>
    <row r="36" spans="1:14" x14ac:dyDescent="0.2">
      <c r="A36" s="3">
        <f t="shared" si="1"/>
        <v>20</v>
      </c>
      <c r="B36" s="3"/>
      <c r="C36" s="3" t="s">
        <v>51</v>
      </c>
      <c r="D36" s="3"/>
      <c r="E36" s="4"/>
      <c r="F36" s="9">
        <f>+'II-I TOTAL COMPANY'!H111</f>
        <v>0</v>
      </c>
      <c r="G36" s="66">
        <f>+Distribution!I111+Meter!I111+TDCustSvc!I111</f>
        <v>0</v>
      </c>
      <c r="H36" s="66">
        <f>+Distribution!J111+Meter!J111+TDCustSvc!J111</f>
        <v>0</v>
      </c>
      <c r="I36" s="66">
        <f t="shared" si="4"/>
        <v>0</v>
      </c>
      <c r="J36" s="66">
        <f>+Distribution!H111+Meter!H111+TDCustSvc!H111</f>
        <v>0</v>
      </c>
      <c r="K36" s="66">
        <f>+Distribution!I111+Meter!I111+TDCustSvc!I111</f>
        <v>0</v>
      </c>
      <c r="L36" s="66">
        <f>+Distribution!J111+Meter!J111+TDCustSvc!J111</f>
        <v>0</v>
      </c>
      <c r="M36" s="66">
        <f t="shared" si="5"/>
        <v>0</v>
      </c>
      <c r="N36" s="27" t="str">
        <f t="shared" si="2"/>
        <v>OK</v>
      </c>
    </row>
    <row r="37" spans="1:14" x14ac:dyDescent="0.2">
      <c r="A37" s="3">
        <f t="shared" si="1"/>
        <v>21</v>
      </c>
      <c r="B37" s="3"/>
      <c r="C37" s="3"/>
      <c r="D37" s="3"/>
      <c r="E37" s="4"/>
      <c r="F37" s="9"/>
      <c r="G37" s="66"/>
      <c r="H37" s="66"/>
      <c r="I37" s="79"/>
      <c r="J37" s="79"/>
      <c r="K37" s="79"/>
      <c r="L37" s="79"/>
      <c r="M37" s="79"/>
      <c r="N37" s="27" t="str">
        <f t="shared" si="2"/>
        <v>OK</v>
      </c>
    </row>
    <row r="38" spans="1:14" x14ac:dyDescent="0.2">
      <c r="A38" s="3">
        <f t="shared" si="1"/>
        <v>22</v>
      </c>
      <c r="B38" s="3" t="s">
        <v>52</v>
      </c>
      <c r="C38" s="3"/>
      <c r="D38" s="3"/>
      <c r="E38" s="4"/>
      <c r="F38" s="9"/>
      <c r="G38" s="66"/>
      <c r="H38" s="66"/>
      <c r="I38" s="79"/>
      <c r="J38" s="79"/>
      <c r="K38" s="79"/>
      <c r="L38" s="79"/>
      <c r="M38" s="79"/>
      <c r="N38" s="27" t="str">
        <f t="shared" si="2"/>
        <v>OK</v>
      </c>
    </row>
    <row r="39" spans="1:14" x14ac:dyDescent="0.2">
      <c r="A39" s="3">
        <f t="shared" si="1"/>
        <v>23</v>
      </c>
      <c r="B39" s="3" t="s">
        <v>53</v>
      </c>
      <c r="C39" s="3" t="s">
        <v>35</v>
      </c>
      <c r="D39" s="1"/>
      <c r="E39" s="4"/>
      <c r="F39" s="9">
        <f>+'II-I TOTAL COMPANY'!H114</f>
        <v>42018494.529999994</v>
      </c>
      <c r="G39" s="66">
        <f>+Distribution!I114+Meter!I114+TDCustSvc!I114</f>
        <v>0</v>
      </c>
      <c r="H39" s="66">
        <f>+Distribution!J114+Meter!J114+TDCustSvc!J114</f>
        <v>42018494.530000009</v>
      </c>
      <c r="I39" s="79">
        <f t="shared" si="3"/>
        <v>1.0000000000000004</v>
      </c>
      <c r="J39" s="66">
        <f>+Distribution!H114+Meter!H114+TDCustSvc!H114</f>
        <v>42018494.529999994</v>
      </c>
      <c r="K39" s="66">
        <f>+Distribution!I114+Meter!I114+TDCustSvc!I114</f>
        <v>0</v>
      </c>
      <c r="L39" s="66">
        <f>+Distribution!J114+Meter!J114+TDCustSvc!J114</f>
        <v>42018494.530000009</v>
      </c>
      <c r="M39" s="79">
        <f t="shared" ref="M39:M87" si="6">+L39/J39</f>
        <v>1.0000000000000004</v>
      </c>
      <c r="N39" s="27" t="str">
        <f t="shared" si="2"/>
        <v>OK</v>
      </c>
    </row>
    <row r="40" spans="1:14" x14ac:dyDescent="0.2">
      <c r="A40" s="3">
        <f t="shared" si="1"/>
        <v>24</v>
      </c>
      <c r="B40" s="3" t="s">
        <v>54</v>
      </c>
      <c r="C40" s="3" t="s">
        <v>31</v>
      </c>
      <c r="D40" s="1"/>
      <c r="E40" s="4"/>
      <c r="F40" s="9">
        <f>+'II-I TOTAL COMPANY'!H115</f>
        <v>88124441.371371984</v>
      </c>
      <c r="G40" s="66">
        <f>+Distribution!I115+Meter!I115+TDCustSvc!I115</f>
        <v>0</v>
      </c>
      <c r="H40" s="66">
        <f>+Distribution!J115+Meter!J115+TDCustSvc!J115</f>
        <v>88124441.371371984</v>
      </c>
      <c r="I40" s="79">
        <f t="shared" si="3"/>
        <v>1</v>
      </c>
      <c r="J40" s="66">
        <f>+Distribution!H115+Meter!H115+TDCustSvc!H115</f>
        <v>88124441.371371984</v>
      </c>
      <c r="K40" s="66">
        <f>+Distribution!I115+Meter!I115+TDCustSvc!I115</f>
        <v>0</v>
      </c>
      <c r="L40" s="66">
        <f>+Distribution!J115+Meter!J115+TDCustSvc!J115</f>
        <v>88124441.371371984</v>
      </c>
      <c r="M40" s="79">
        <f t="shared" si="6"/>
        <v>1</v>
      </c>
      <c r="N40" s="27" t="str">
        <f t="shared" si="2"/>
        <v>OK</v>
      </c>
    </row>
    <row r="41" spans="1:14" x14ac:dyDescent="0.2">
      <c r="A41" s="3">
        <f t="shared" si="1"/>
        <v>25</v>
      </c>
      <c r="B41" s="3" t="s">
        <v>55</v>
      </c>
      <c r="C41" s="3" t="s">
        <v>38</v>
      </c>
      <c r="D41" s="1"/>
      <c r="E41" s="4"/>
      <c r="F41" s="9">
        <f>+'II-I TOTAL COMPANY'!H116</f>
        <v>937709681.18433952</v>
      </c>
      <c r="G41" s="66">
        <f>+Distribution!I116+Meter!I116+TDCustSvc!I116</f>
        <v>0</v>
      </c>
      <c r="H41" s="66">
        <f>+Distribution!J116+Meter!J116+TDCustSvc!J116</f>
        <v>937709681.18433976</v>
      </c>
      <c r="I41" s="79">
        <f t="shared" si="3"/>
        <v>1.0000000000000002</v>
      </c>
      <c r="J41" s="66">
        <f>+Distribution!H116+Meter!H116+TDCustSvc!H116</f>
        <v>937709681.18433952</v>
      </c>
      <c r="K41" s="66">
        <f>+Distribution!I116+Meter!I116+TDCustSvc!I116</f>
        <v>0</v>
      </c>
      <c r="L41" s="66">
        <f>+Distribution!J116+Meter!J116+TDCustSvc!J116</f>
        <v>937709681.18433976</v>
      </c>
      <c r="M41" s="79">
        <f t="shared" si="6"/>
        <v>1.0000000000000002</v>
      </c>
      <c r="N41" s="27" t="str">
        <f t="shared" si="2"/>
        <v>OK</v>
      </c>
    </row>
    <row r="42" spans="1:14" x14ac:dyDescent="0.2">
      <c r="A42" s="3">
        <f t="shared" si="1"/>
        <v>26</v>
      </c>
      <c r="B42" s="3" t="s">
        <v>56</v>
      </c>
      <c r="C42" s="3" t="s">
        <v>57</v>
      </c>
      <c r="D42" s="1"/>
      <c r="E42" s="4"/>
      <c r="F42" s="9">
        <f>+'II-I TOTAL COMPANY'!H117</f>
        <v>0</v>
      </c>
      <c r="G42" s="66">
        <f>+Distribution!I117+Meter!I117+TDCustSvc!I117</f>
        <v>0</v>
      </c>
      <c r="H42" s="66">
        <f>+Distribution!J117+Meter!J117+TDCustSvc!J117</f>
        <v>0</v>
      </c>
      <c r="I42" s="79"/>
      <c r="J42" s="66">
        <f>+Distribution!H117+Meter!H117+TDCustSvc!H117</f>
        <v>0</v>
      </c>
      <c r="K42" s="66">
        <f>+Distribution!I117+Meter!I117+TDCustSvc!I117</f>
        <v>0</v>
      </c>
      <c r="L42" s="66">
        <f>+Distribution!J117+Meter!J117+TDCustSvc!J117</f>
        <v>0</v>
      </c>
      <c r="M42" s="79"/>
      <c r="N42" s="27" t="str">
        <f t="shared" si="2"/>
        <v>OK</v>
      </c>
    </row>
    <row r="43" spans="1:14" x14ac:dyDescent="0.2">
      <c r="A43" s="3">
        <f t="shared" si="1"/>
        <v>27</v>
      </c>
      <c r="B43" s="3" t="s">
        <v>58</v>
      </c>
      <c r="C43" s="3" t="s">
        <v>59</v>
      </c>
      <c r="D43" s="3"/>
      <c r="E43" s="4"/>
      <c r="F43" s="9"/>
      <c r="G43" s="66"/>
      <c r="H43" s="66"/>
      <c r="I43" s="79"/>
      <c r="J43" s="79"/>
      <c r="K43" s="79"/>
      <c r="L43" s="79"/>
      <c r="M43" s="79"/>
      <c r="N43" s="27" t="str">
        <f t="shared" si="2"/>
        <v>OK</v>
      </c>
    </row>
    <row r="44" spans="1:14" x14ac:dyDescent="0.2">
      <c r="A44" s="3">
        <f t="shared" si="1"/>
        <v>28</v>
      </c>
      <c r="B44" s="3"/>
      <c r="C44" s="3" t="s">
        <v>60</v>
      </c>
      <c r="D44" s="1"/>
      <c r="E44" s="4"/>
      <c r="F44" s="9">
        <f>+'II-I TOTAL COMPANY'!H119</f>
        <v>853923069.54807723</v>
      </c>
      <c r="G44" s="66">
        <f>+Distribution!I119+Meter!I119+TDCustSvc!I119</f>
        <v>0</v>
      </c>
      <c r="H44" s="66">
        <f>+Distribution!J119+Meter!J119+TDCustSvc!J119</f>
        <v>853923069.54807711</v>
      </c>
      <c r="I44" s="79">
        <f t="shared" si="3"/>
        <v>0.99999999999999989</v>
      </c>
      <c r="J44" s="66">
        <f>+Distribution!H119+Meter!H119+TDCustSvc!H119</f>
        <v>853923069.54807723</v>
      </c>
      <c r="K44" s="66">
        <f>+Distribution!I119+Meter!I119+TDCustSvc!I119</f>
        <v>0</v>
      </c>
      <c r="L44" s="66">
        <f>+Distribution!J119+Meter!J119+TDCustSvc!J119</f>
        <v>853923069.54807711</v>
      </c>
      <c r="M44" s="79">
        <f t="shared" si="6"/>
        <v>0.99999999999999989</v>
      </c>
      <c r="N44" s="27" t="str">
        <f t="shared" si="2"/>
        <v>OK</v>
      </c>
    </row>
    <row r="45" spans="1:14" x14ac:dyDescent="0.2">
      <c r="A45" s="3">
        <f t="shared" si="1"/>
        <v>29</v>
      </c>
      <c r="B45" s="3"/>
      <c r="C45" s="3" t="s">
        <v>61</v>
      </c>
      <c r="D45" s="1"/>
      <c r="E45" s="4"/>
      <c r="F45" s="9">
        <f>+'II-I TOTAL COMPANY'!H120</f>
        <v>362318305.68063271</v>
      </c>
      <c r="G45" s="66">
        <f>+Distribution!I120+Meter!I120+TDCustSvc!I120</f>
        <v>0</v>
      </c>
      <c r="H45" s="66">
        <f>+Distribution!J120+Meter!J120+TDCustSvc!J120</f>
        <v>362318305.68063277</v>
      </c>
      <c r="I45" s="79">
        <f t="shared" si="3"/>
        <v>1.0000000000000002</v>
      </c>
      <c r="J45" s="66">
        <f>+Distribution!H120+Meter!H120+TDCustSvc!H120</f>
        <v>362318305.68063271</v>
      </c>
      <c r="K45" s="66">
        <f>+Distribution!I120+Meter!I120+TDCustSvc!I120</f>
        <v>0</v>
      </c>
      <c r="L45" s="66">
        <f>+Distribution!J120+Meter!J120+TDCustSvc!J120</f>
        <v>362318305.68063277</v>
      </c>
      <c r="M45" s="79">
        <f t="shared" si="6"/>
        <v>1.0000000000000002</v>
      </c>
      <c r="N45" s="27" t="str">
        <f t="shared" si="2"/>
        <v>OK</v>
      </c>
    </row>
    <row r="46" spans="1:14" x14ac:dyDescent="0.2">
      <c r="A46" s="3">
        <f t="shared" si="1"/>
        <v>30</v>
      </c>
      <c r="B46" s="3"/>
      <c r="C46" s="3" t="s">
        <v>62</v>
      </c>
      <c r="D46" s="3"/>
      <c r="E46" s="4"/>
      <c r="F46" s="9">
        <f>+'II-I TOTAL COMPANY'!H121</f>
        <v>1216241375.2287099</v>
      </c>
      <c r="G46" s="66">
        <f>+Distribution!I121+Meter!I121+TDCustSvc!I121</f>
        <v>0</v>
      </c>
      <c r="H46" s="66">
        <f>+Distribution!J121+Meter!J121+TDCustSvc!J121</f>
        <v>1216241375.2287099</v>
      </c>
      <c r="I46" s="79">
        <f t="shared" si="3"/>
        <v>1</v>
      </c>
      <c r="J46" s="66">
        <f>+Distribution!H121+Meter!H121+TDCustSvc!H121</f>
        <v>1216241375.2287099</v>
      </c>
      <c r="K46" s="66">
        <f>+Distribution!I121+Meter!I121+TDCustSvc!I121</f>
        <v>0</v>
      </c>
      <c r="L46" s="66">
        <f>+Distribution!J121+Meter!J121+TDCustSvc!J121</f>
        <v>1216241375.2287099</v>
      </c>
      <c r="M46" s="79">
        <f t="shared" si="6"/>
        <v>1</v>
      </c>
      <c r="N46" s="27" t="str">
        <f t="shared" si="2"/>
        <v>OK</v>
      </c>
    </row>
    <row r="47" spans="1:14" x14ac:dyDescent="0.2">
      <c r="A47" s="3">
        <f t="shared" si="1"/>
        <v>31</v>
      </c>
      <c r="B47" s="3" t="s">
        <v>63</v>
      </c>
      <c r="C47" s="3" t="s">
        <v>44</v>
      </c>
      <c r="D47" s="3"/>
      <c r="E47" s="4"/>
      <c r="F47" s="9"/>
      <c r="G47" s="66"/>
      <c r="H47" s="66"/>
      <c r="I47" s="79"/>
      <c r="J47" s="66">
        <f>+Distribution!H122+Meter!H122+TDCustSvc!H122</f>
        <v>0</v>
      </c>
      <c r="K47" s="66">
        <f>+Distribution!I122+Meter!I122+TDCustSvc!I122</f>
        <v>0</v>
      </c>
      <c r="L47" s="66">
        <f>+Distribution!J122+Meter!J122+TDCustSvc!J122</f>
        <v>0</v>
      </c>
      <c r="M47" s="79"/>
      <c r="N47" s="27" t="str">
        <f t="shared" si="2"/>
        <v>OK</v>
      </c>
    </row>
    <row r="48" spans="1:14" x14ac:dyDescent="0.2">
      <c r="A48" s="3">
        <f t="shared" si="1"/>
        <v>32</v>
      </c>
      <c r="B48" s="3"/>
      <c r="C48" s="3" t="s">
        <v>60</v>
      </c>
      <c r="D48" s="1"/>
      <c r="E48" s="4"/>
      <c r="F48" s="9">
        <f>+'II-I TOTAL COMPANY'!H123</f>
        <v>905630038.81617165</v>
      </c>
      <c r="G48" s="66">
        <f>+Distribution!I123+Meter!I123+TDCustSvc!I123</f>
        <v>0</v>
      </c>
      <c r="H48" s="66">
        <f>+Distribution!J123+Meter!J123+TDCustSvc!J123</f>
        <v>905630038.81617153</v>
      </c>
      <c r="I48" s="79">
        <f t="shared" si="3"/>
        <v>0.99999999999999989</v>
      </c>
      <c r="J48" s="66">
        <f>+Distribution!H123+Meter!H123+TDCustSvc!H123</f>
        <v>905630038.81617165</v>
      </c>
      <c r="K48" s="66">
        <f>+Distribution!I123+Meter!I123+TDCustSvc!I123</f>
        <v>0</v>
      </c>
      <c r="L48" s="66">
        <f>+Distribution!J123+Meter!J123+TDCustSvc!J123</f>
        <v>905630038.81617153</v>
      </c>
      <c r="M48" s="79">
        <f t="shared" si="6"/>
        <v>0.99999999999999989</v>
      </c>
      <c r="N48" s="27" t="str">
        <f t="shared" si="2"/>
        <v>OK</v>
      </c>
    </row>
    <row r="49" spans="1:14" x14ac:dyDescent="0.2">
      <c r="A49" s="3">
        <f t="shared" si="1"/>
        <v>33</v>
      </c>
      <c r="B49" s="3"/>
      <c r="C49" s="3" t="s">
        <v>61</v>
      </c>
      <c r="D49" s="1"/>
      <c r="E49" s="4"/>
      <c r="F49" s="9">
        <f>+'II-I TOTAL COMPANY'!H124</f>
        <v>179996955.68894899</v>
      </c>
      <c r="G49" s="66">
        <f>+Distribution!I124+Meter!I124+TDCustSvc!I124</f>
        <v>0</v>
      </c>
      <c r="H49" s="66">
        <f>+Distribution!J124+Meter!J124+TDCustSvc!J124</f>
        <v>179996955.68894899</v>
      </c>
      <c r="I49" s="79">
        <f t="shared" si="3"/>
        <v>1</v>
      </c>
      <c r="J49" s="66">
        <f>+Distribution!H124+Meter!H124+TDCustSvc!H124</f>
        <v>179996955.68894899</v>
      </c>
      <c r="K49" s="66">
        <f>+Distribution!I124+Meter!I124+TDCustSvc!I124</f>
        <v>0</v>
      </c>
      <c r="L49" s="66">
        <f>+Distribution!J124+Meter!J124+TDCustSvc!J124</f>
        <v>179996955.68894899</v>
      </c>
      <c r="M49" s="79">
        <f t="shared" si="6"/>
        <v>1</v>
      </c>
      <c r="N49" s="27" t="str">
        <f t="shared" si="2"/>
        <v>OK</v>
      </c>
    </row>
    <row r="50" spans="1:14" x14ac:dyDescent="0.2">
      <c r="A50" s="3">
        <f t="shared" si="1"/>
        <v>34</v>
      </c>
      <c r="B50" s="3"/>
      <c r="C50" s="3" t="s">
        <v>432</v>
      </c>
      <c r="D50" s="3"/>
      <c r="E50" s="4"/>
      <c r="F50" s="9">
        <f>+'II-I TOTAL COMPANY'!H125</f>
        <v>1085626994.5051208</v>
      </c>
      <c r="G50" s="66">
        <f>+Distribution!I125+Meter!I125+TDCustSvc!I125</f>
        <v>0</v>
      </c>
      <c r="H50" s="66">
        <f>+Distribution!J125+Meter!J125+TDCustSvc!J125</f>
        <v>1085626994.5051208</v>
      </c>
      <c r="I50" s="79">
        <f t="shared" si="3"/>
        <v>1</v>
      </c>
      <c r="J50" s="66">
        <f>+Distribution!H125+Meter!H125+TDCustSvc!H125</f>
        <v>1085626994.5051208</v>
      </c>
      <c r="K50" s="66">
        <f>+Distribution!I125+Meter!I125+TDCustSvc!I125</f>
        <v>0</v>
      </c>
      <c r="L50" s="66">
        <f>+Distribution!J125+Meter!J125+TDCustSvc!J125</f>
        <v>1085626994.5051208</v>
      </c>
      <c r="M50" s="79">
        <f t="shared" si="6"/>
        <v>1</v>
      </c>
      <c r="N50" s="27" t="str">
        <f t="shared" si="2"/>
        <v>OK</v>
      </c>
    </row>
    <row r="51" spans="1:14" x14ac:dyDescent="0.2">
      <c r="A51" s="3">
        <f t="shared" si="1"/>
        <v>35</v>
      </c>
      <c r="B51" s="3"/>
      <c r="C51" s="3"/>
      <c r="D51" s="3"/>
      <c r="E51" s="4"/>
      <c r="F51" s="9"/>
      <c r="G51" s="66"/>
      <c r="H51" s="66"/>
      <c r="I51" s="79"/>
      <c r="J51" s="79"/>
      <c r="K51" s="79"/>
      <c r="L51" s="79"/>
      <c r="M51" s="79"/>
      <c r="N51" s="27" t="str">
        <f t="shared" si="2"/>
        <v>OK</v>
      </c>
    </row>
    <row r="52" spans="1:14" x14ac:dyDescent="0.2">
      <c r="A52" s="3">
        <f t="shared" si="1"/>
        <v>36</v>
      </c>
      <c r="B52" s="3" t="s">
        <v>64</v>
      </c>
      <c r="C52" s="3" t="s">
        <v>65</v>
      </c>
      <c r="D52" s="3"/>
      <c r="E52" s="4"/>
      <c r="F52" s="9"/>
      <c r="G52" s="66"/>
      <c r="H52" s="66"/>
      <c r="I52" s="79"/>
      <c r="J52" s="79"/>
      <c r="K52" s="79"/>
      <c r="L52" s="79"/>
      <c r="M52" s="79"/>
      <c r="N52" s="27" t="str">
        <f t="shared" si="2"/>
        <v>OK</v>
      </c>
    </row>
    <row r="53" spans="1:14" x14ac:dyDescent="0.2">
      <c r="A53" s="3">
        <f t="shared" si="1"/>
        <v>37</v>
      </c>
      <c r="B53" s="3"/>
      <c r="C53" s="3" t="s">
        <v>60</v>
      </c>
      <c r="D53" s="1"/>
      <c r="E53" s="4"/>
      <c r="F53" s="9">
        <f>+'II-I TOTAL COMPANY'!H128</f>
        <v>74685543.970560044</v>
      </c>
      <c r="G53" s="66">
        <f>+Distribution!I128+Meter!I128+TDCustSvc!I128</f>
        <v>0</v>
      </c>
      <c r="H53" s="66">
        <f>+Distribution!J128+Meter!J128+TDCustSvc!J128</f>
        <v>74685543.970560044</v>
      </c>
      <c r="I53" s="79">
        <f t="shared" si="3"/>
        <v>1</v>
      </c>
      <c r="J53" s="66">
        <f>+Distribution!H128+Meter!H128+TDCustSvc!H128</f>
        <v>74685543.970560044</v>
      </c>
      <c r="K53" s="66">
        <f>+Distribution!I128+Meter!I128+TDCustSvc!I128</f>
        <v>0</v>
      </c>
      <c r="L53" s="66">
        <f>+Distribution!J128+Meter!J128+TDCustSvc!J128</f>
        <v>74685543.970560044</v>
      </c>
      <c r="M53" s="79">
        <f t="shared" si="6"/>
        <v>1</v>
      </c>
      <c r="N53" s="27" t="str">
        <f t="shared" si="2"/>
        <v>OK</v>
      </c>
    </row>
    <row r="54" spans="1:14" x14ac:dyDescent="0.2">
      <c r="A54" s="3">
        <f t="shared" si="1"/>
        <v>38</v>
      </c>
      <c r="B54" s="3"/>
      <c r="C54" s="3" t="s">
        <v>61</v>
      </c>
      <c r="D54" s="1"/>
      <c r="E54" s="4"/>
      <c r="F54" s="9">
        <f>+'II-I TOTAL COMPANY'!H129</f>
        <v>49977356.998493612</v>
      </c>
      <c r="G54" s="66">
        <f>+Distribution!I129+Meter!I129+TDCustSvc!I129</f>
        <v>0</v>
      </c>
      <c r="H54" s="66">
        <f>+Distribution!J129+Meter!J129+TDCustSvc!J129</f>
        <v>49977356.998493612</v>
      </c>
      <c r="I54" s="79">
        <f t="shared" si="3"/>
        <v>1</v>
      </c>
      <c r="J54" s="66">
        <f>+Distribution!H129+Meter!H129+TDCustSvc!H129</f>
        <v>49977356.998493612</v>
      </c>
      <c r="K54" s="66">
        <f>+Distribution!I129+Meter!I129+TDCustSvc!I129</f>
        <v>0</v>
      </c>
      <c r="L54" s="66">
        <f>+Distribution!J129+Meter!J129+TDCustSvc!J129</f>
        <v>49977356.998493612</v>
      </c>
      <c r="M54" s="79">
        <f t="shared" si="6"/>
        <v>1</v>
      </c>
      <c r="N54" s="27" t="str">
        <f t="shared" si="2"/>
        <v>OK</v>
      </c>
    </row>
    <row r="55" spans="1:14" x14ac:dyDescent="0.2">
      <c r="A55" s="3">
        <f t="shared" si="1"/>
        <v>39</v>
      </c>
      <c r="B55" s="3"/>
      <c r="C55" s="3" t="s">
        <v>359</v>
      </c>
      <c r="D55" s="3"/>
      <c r="E55" s="4"/>
      <c r="F55" s="9">
        <f>+'II-I TOTAL COMPANY'!H130</f>
        <v>124662900.96905366</v>
      </c>
      <c r="G55" s="66">
        <f>+Distribution!I130+Meter!I130+TDCustSvc!I130</f>
        <v>0</v>
      </c>
      <c r="H55" s="66">
        <f>+Distribution!J130+Meter!J130+TDCustSvc!J130</f>
        <v>124662900.96905366</v>
      </c>
      <c r="I55" s="79">
        <f t="shared" si="3"/>
        <v>1</v>
      </c>
      <c r="J55" s="66">
        <f>+Distribution!H130+Meter!H130+TDCustSvc!H130</f>
        <v>124662900.96905367</v>
      </c>
      <c r="K55" s="66">
        <f>+Distribution!I130+Meter!I130+TDCustSvc!I130</f>
        <v>0</v>
      </c>
      <c r="L55" s="66">
        <f>+Distribution!J130+Meter!J130+TDCustSvc!J130</f>
        <v>124662900.96905366</v>
      </c>
      <c r="M55" s="79">
        <f t="shared" si="6"/>
        <v>0.99999999999999989</v>
      </c>
      <c r="N55" s="27" t="str">
        <f t="shared" si="2"/>
        <v>OK</v>
      </c>
    </row>
    <row r="56" spans="1:14" x14ac:dyDescent="0.2">
      <c r="A56" s="3">
        <f t="shared" si="1"/>
        <v>40</v>
      </c>
      <c r="B56" s="3"/>
      <c r="C56" s="3"/>
      <c r="D56" s="3"/>
      <c r="E56" s="4"/>
      <c r="F56" s="9"/>
      <c r="G56" s="66"/>
      <c r="H56" s="66"/>
      <c r="I56" s="79"/>
      <c r="J56" s="79"/>
      <c r="K56" s="79"/>
      <c r="L56" s="79"/>
      <c r="M56" s="79"/>
      <c r="N56" s="27" t="str">
        <f t="shared" si="2"/>
        <v>OK</v>
      </c>
    </row>
    <row r="57" spans="1:14" x14ac:dyDescent="0.2">
      <c r="A57" s="3">
        <f t="shared" si="1"/>
        <v>41</v>
      </c>
      <c r="B57" s="3" t="s">
        <v>66</v>
      </c>
      <c r="C57" s="3" t="s">
        <v>67</v>
      </c>
      <c r="D57" s="3"/>
      <c r="E57" s="4"/>
      <c r="F57" s="9"/>
      <c r="G57" s="66"/>
      <c r="H57" s="66"/>
      <c r="I57" s="79"/>
      <c r="J57" s="79"/>
      <c r="K57" s="79"/>
      <c r="L57" s="79"/>
      <c r="M57" s="79"/>
      <c r="N57" s="27" t="str">
        <f t="shared" si="2"/>
        <v>OK</v>
      </c>
    </row>
    <row r="58" spans="1:14" x14ac:dyDescent="0.2">
      <c r="A58" s="3">
        <f t="shared" si="1"/>
        <v>42</v>
      </c>
      <c r="B58" s="3"/>
      <c r="C58" s="3" t="s">
        <v>60</v>
      </c>
      <c r="D58" s="1"/>
      <c r="E58" s="4"/>
      <c r="F58" s="9">
        <f>+'II-I TOTAL COMPANY'!H133</f>
        <v>299733213.18303227</v>
      </c>
      <c r="G58" s="66">
        <f>+Distribution!I133+Meter!I133+TDCustSvc!I133</f>
        <v>0</v>
      </c>
      <c r="H58" s="66">
        <f>+Distribution!J133+Meter!J133+TDCustSvc!J133</f>
        <v>299733213.18303233</v>
      </c>
      <c r="I58" s="79">
        <f t="shared" si="3"/>
        <v>1.0000000000000002</v>
      </c>
      <c r="J58" s="66">
        <f>+Distribution!H133+Meter!H133+TDCustSvc!H133</f>
        <v>299733213.18303227</v>
      </c>
      <c r="K58" s="66">
        <f>+Distribution!I133+Meter!I133+TDCustSvc!I133</f>
        <v>0</v>
      </c>
      <c r="L58" s="66">
        <f>+Distribution!J133+Meter!J133+TDCustSvc!J133</f>
        <v>299733213.18303233</v>
      </c>
      <c r="M58" s="79">
        <f t="shared" si="6"/>
        <v>1.0000000000000002</v>
      </c>
      <c r="N58" s="27" t="str">
        <f t="shared" si="2"/>
        <v>OK</v>
      </c>
    </row>
    <row r="59" spans="1:14" x14ac:dyDescent="0.2">
      <c r="A59" s="3">
        <f t="shared" si="1"/>
        <v>43</v>
      </c>
      <c r="B59" s="3"/>
      <c r="C59" s="3" t="s">
        <v>61</v>
      </c>
      <c r="D59" s="1"/>
      <c r="E59" s="4"/>
      <c r="F59" s="9">
        <f>+'II-I TOTAL COMPANY'!H134</f>
        <v>200572600.84306064</v>
      </c>
      <c r="G59" s="66">
        <f>+Distribution!I134+Meter!I134+TDCustSvc!I134</f>
        <v>0</v>
      </c>
      <c r="H59" s="66">
        <f>+Distribution!J134+Meter!J134+TDCustSvc!J134</f>
        <v>200572600.84306064</v>
      </c>
      <c r="I59" s="79">
        <f t="shared" si="3"/>
        <v>1</v>
      </c>
      <c r="J59" s="66">
        <f>+Distribution!H134+Meter!H134+TDCustSvc!H134</f>
        <v>200572600.84306064</v>
      </c>
      <c r="K59" s="66">
        <f>+Distribution!I134+Meter!I134+TDCustSvc!I134</f>
        <v>0</v>
      </c>
      <c r="L59" s="66">
        <f>+Distribution!J134+Meter!J134+TDCustSvc!J134</f>
        <v>200572600.84306064</v>
      </c>
      <c r="M59" s="79">
        <f t="shared" si="6"/>
        <v>1</v>
      </c>
      <c r="N59" s="27" t="str">
        <f t="shared" si="2"/>
        <v>OK</v>
      </c>
    </row>
    <row r="60" spans="1:14" x14ac:dyDescent="0.2">
      <c r="A60" s="3">
        <f t="shared" si="1"/>
        <v>44</v>
      </c>
      <c r="B60" s="3"/>
      <c r="C60" s="3" t="s">
        <v>68</v>
      </c>
      <c r="D60" s="3"/>
      <c r="E60" s="4"/>
      <c r="F60" s="9">
        <f>+'II-I TOTAL COMPANY'!H135</f>
        <v>500305814.02609289</v>
      </c>
      <c r="G60" s="66">
        <f>+Distribution!I135+Meter!I135+TDCustSvc!I135</f>
        <v>0</v>
      </c>
      <c r="H60" s="66">
        <f>+Distribution!J135+Meter!J135+TDCustSvc!J135</f>
        <v>500305814.02609313</v>
      </c>
      <c r="I60" s="79">
        <f t="shared" si="3"/>
        <v>1.0000000000000004</v>
      </c>
      <c r="J60" s="66">
        <f>+Distribution!H135+Meter!H135+TDCustSvc!H135</f>
        <v>500305814.02609289</v>
      </c>
      <c r="K60" s="66">
        <f>+Distribution!I135+Meter!I135+TDCustSvc!I135</f>
        <v>0</v>
      </c>
      <c r="L60" s="66">
        <f>+Distribution!J135+Meter!J135+TDCustSvc!J135</f>
        <v>500305814.02609313</v>
      </c>
      <c r="M60" s="79">
        <f t="shared" si="6"/>
        <v>1.0000000000000004</v>
      </c>
      <c r="N60" s="27" t="str">
        <f t="shared" si="2"/>
        <v>OK</v>
      </c>
    </row>
    <row r="61" spans="1:14" x14ac:dyDescent="0.2">
      <c r="A61" s="3">
        <f t="shared" si="1"/>
        <v>45</v>
      </c>
      <c r="B61" s="3" t="s">
        <v>69</v>
      </c>
      <c r="C61" s="3" t="s">
        <v>70</v>
      </c>
      <c r="D61" s="1"/>
      <c r="E61" s="4"/>
      <c r="F61" s="9"/>
      <c r="G61" s="66"/>
      <c r="H61" s="66"/>
      <c r="I61" s="79"/>
      <c r="J61" s="79"/>
      <c r="K61" s="79"/>
      <c r="L61" s="79"/>
      <c r="M61" s="79"/>
      <c r="N61" s="27" t="str">
        <f t="shared" si="2"/>
        <v>OK</v>
      </c>
    </row>
    <row r="62" spans="1:14" x14ac:dyDescent="0.2">
      <c r="A62" s="3">
        <f t="shared" si="1"/>
        <v>46</v>
      </c>
      <c r="B62" s="3"/>
      <c r="C62" s="3" t="s">
        <v>60</v>
      </c>
      <c r="D62" s="1"/>
      <c r="E62" s="4"/>
      <c r="F62" s="9">
        <f>+'II-I TOTAL COMPANY'!H137</f>
        <v>95170291.662730128</v>
      </c>
      <c r="G62" s="66">
        <f>+Distribution!I137+Meter!I137+TDCustSvc!I137</f>
        <v>0</v>
      </c>
      <c r="H62" s="66">
        <f>+Distribution!J137+Meter!J137+TDCustSvc!J137</f>
        <v>95170291.662730142</v>
      </c>
      <c r="I62" s="79">
        <f t="shared" si="3"/>
        <v>1.0000000000000002</v>
      </c>
      <c r="J62" s="66">
        <f>+Distribution!H137+Meter!H137+TDCustSvc!H137</f>
        <v>95170291.662730128</v>
      </c>
      <c r="K62" s="66">
        <f>+Distribution!I137+Meter!I137+TDCustSvc!I137</f>
        <v>0</v>
      </c>
      <c r="L62" s="66">
        <f>+Distribution!J137+Meter!J137+TDCustSvc!J137</f>
        <v>95170291.662730142</v>
      </c>
      <c r="M62" s="79">
        <f t="shared" si="6"/>
        <v>1.0000000000000002</v>
      </c>
      <c r="N62" s="27" t="str">
        <f t="shared" si="2"/>
        <v>OK</v>
      </c>
    </row>
    <row r="63" spans="1:14" x14ac:dyDescent="0.2">
      <c r="A63" s="3">
        <f t="shared" si="1"/>
        <v>47</v>
      </c>
      <c r="B63" s="3"/>
      <c r="C63" s="3" t="s">
        <v>61</v>
      </c>
      <c r="D63" s="1"/>
      <c r="E63" s="4"/>
      <c r="F63" s="9">
        <f>+'II-I TOTAL COMPANY'!H138</f>
        <v>816422540.35575747</v>
      </c>
      <c r="G63" s="66">
        <f>+Distribution!I138+Meter!I138+TDCustSvc!I138</f>
        <v>0</v>
      </c>
      <c r="H63" s="66">
        <f>+Distribution!J138+Meter!J138+TDCustSvc!J138</f>
        <v>816422540.35575747</v>
      </c>
      <c r="I63" s="79">
        <f t="shared" si="3"/>
        <v>1</v>
      </c>
      <c r="J63" s="66">
        <f>+Distribution!H138+Meter!H138+TDCustSvc!H138</f>
        <v>816422540.35575747</v>
      </c>
      <c r="K63" s="66">
        <f>+Distribution!I138+Meter!I138+TDCustSvc!I138</f>
        <v>0</v>
      </c>
      <c r="L63" s="66">
        <f>+Distribution!J138+Meter!J138+TDCustSvc!J138</f>
        <v>816422540.35575747</v>
      </c>
      <c r="M63" s="79">
        <f t="shared" si="6"/>
        <v>1</v>
      </c>
      <c r="N63" s="27" t="str">
        <f t="shared" si="2"/>
        <v>OK</v>
      </c>
    </row>
    <row r="64" spans="1:14" x14ac:dyDescent="0.2">
      <c r="A64" s="3">
        <f t="shared" si="1"/>
        <v>48</v>
      </c>
      <c r="B64" s="3"/>
      <c r="C64" s="3" t="s">
        <v>71</v>
      </c>
      <c r="D64" s="3"/>
      <c r="E64" s="4"/>
      <c r="F64" s="9">
        <f>+'II-I TOTAL COMPANY'!H139</f>
        <v>911592832.01848757</v>
      </c>
      <c r="G64" s="66">
        <f>+Distribution!I139+Meter!I139+TDCustSvc!I139</f>
        <v>0</v>
      </c>
      <c r="H64" s="66">
        <f>+Distribution!J139+Meter!J139+TDCustSvc!J139</f>
        <v>911592832.01848769</v>
      </c>
      <c r="I64" s="79">
        <f t="shared" si="3"/>
        <v>1.0000000000000002</v>
      </c>
      <c r="J64" s="66">
        <f>+Distribution!H139+Meter!H139+TDCustSvc!H139</f>
        <v>911592832.01848757</v>
      </c>
      <c r="K64" s="66">
        <f>+Distribution!I139+Meter!I139+TDCustSvc!I139</f>
        <v>0</v>
      </c>
      <c r="L64" s="66">
        <f>+Distribution!J139+Meter!J139+TDCustSvc!J139</f>
        <v>911592832.01848769</v>
      </c>
      <c r="M64" s="79">
        <f t="shared" si="6"/>
        <v>1.0000000000000002</v>
      </c>
      <c r="N64" s="27" t="str">
        <f t="shared" si="2"/>
        <v>OK</v>
      </c>
    </row>
    <row r="65" spans="1:14" x14ac:dyDescent="0.2">
      <c r="A65" s="3">
        <f t="shared" si="1"/>
        <v>49</v>
      </c>
      <c r="B65" s="3"/>
      <c r="C65" s="3"/>
      <c r="D65" s="3"/>
      <c r="E65" s="4"/>
      <c r="F65" s="9"/>
      <c r="G65" s="66"/>
      <c r="H65" s="66"/>
      <c r="I65" s="79"/>
      <c r="J65" s="79"/>
      <c r="K65" s="79"/>
      <c r="L65" s="79"/>
      <c r="M65" s="79"/>
      <c r="N65" s="27" t="str">
        <f t="shared" si="2"/>
        <v>OK</v>
      </c>
    </row>
    <row r="66" spans="1:14" x14ac:dyDescent="0.2">
      <c r="A66" s="3">
        <f t="shared" si="1"/>
        <v>50</v>
      </c>
      <c r="B66" s="3" t="s">
        <v>72</v>
      </c>
      <c r="C66" s="3" t="s">
        <v>73</v>
      </c>
      <c r="D66" s="1"/>
      <c r="E66" s="4"/>
      <c r="F66" s="9">
        <f>+'II-I TOTAL COMPANY'!H141</f>
        <v>410580313.29993504</v>
      </c>
      <c r="G66" s="66">
        <f>+Distribution!I141+Meter!I141+TDCustSvc!I141</f>
        <v>0</v>
      </c>
      <c r="H66" s="66">
        <f>+Distribution!J141+Meter!J141+TDCustSvc!J141</f>
        <v>410580313.29993498</v>
      </c>
      <c r="I66" s="79">
        <f t="shared" si="3"/>
        <v>0.99999999999999989</v>
      </c>
      <c r="J66" s="66">
        <f>+Distribution!H141+Meter!H141+TDCustSvc!H141</f>
        <v>410580313.29993504</v>
      </c>
      <c r="K66" s="66">
        <f>+Distribution!I141+Meter!I141+TDCustSvc!I141</f>
        <v>0</v>
      </c>
      <c r="L66" s="66">
        <f>+Distribution!J141+Meter!J141+TDCustSvc!J141</f>
        <v>410580313.29993498</v>
      </c>
      <c r="M66" s="79">
        <f t="shared" si="6"/>
        <v>0.99999999999999989</v>
      </c>
      <c r="N66" s="27" t="str">
        <f t="shared" si="2"/>
        <v>OK</v>
      </c>
    </row>
    <row r="67" spans="1:14" x14ac:dyDescent="0.2">
      <c r="A67" s="3">
        <f t="shared" si="1"/>
        <v>51</v>
      </c>
      <c r="B67" s="3" t="s">
        <v>74</v>
      </c>
      <c r="C67" s="3" t="s">
        <v>75</v>
      </c>
      <c r="D67" s="1"/>
      <c r="E67" s="4"/>
      <c r="F67" s="9">
        <f>+'II-I TOTAL COMPANY'!H142</f>
        <v>48515731.413830578</v>
      </c>
      <c r="G67" s="66">
        <f>+Distribution!I142+Meter!I142+TDCustSvc!I142</f>
        <v>0</v>
      </c>
      <c r="H67" s="66">
        <f>+Distribution!J142+Meter!J142+TDCustSvc!J142</f>
        <v>48515731.413830586</v>
      </c>
      <c r="I67" s="79">
        <f t="shared" si="3"/>
        <v>1.0000000000000002</v>
      </c>
      <c r="J67" s="66">
        <f>+Distribution!H142+Meter!H142+TDCustSvc!H142</f>
        <v>48515731.413830578</v>
      </c>
      <c r="K67" s="66">
        <f>+Distribution!I142+Meter!I142+TDCustSvc!I142</f>
        <v>0</v>
      </c>
      <c r="L67" s="66">
        <f>+Distribution!J142+Meter!J142+TDCustSvc!J142</f>
        <v>48515731.413830586</v>
      </c>
      <c r="M67" s="79">
        <f t="shared" si="6"/>
        <v>1.0000000000000002</v>
      </c>
      <c r="N67" s="27" t="str">
        <f t="shared" si="2"/>
        <v>OK</v>
      </c>
    </row>
    <row r="68" spans="1:14" x14ac:dyDescent="0.2">
      <c r="A68" s="3">
        <f t="shared" si="1"/>
        <v>52</v>
      </c>
      <c r="B68" s="3" t="s">
        <v>76</v>
      </c>
      <c r="C68" s="3" t="s">
        <v>77</v>
      </c>
      <c r="D68" s="1"/>
      <c r="E68" s="4"/>
      <c r="F68" s="9">
        <f>+'II-I TOTAL COMPANY'!H143</f>
        <v>74059352.817488492</v>
      </c>
      <c r="G68" s="66">
        <f>+Distribution!I143+Meter!I143+TDCustSvc!I143</f>
        <v>0</v>
      </c>
      <c r="H68" s="66">
        <f>+Distribution!J143+Meter!J143+TDCustSvc!J143</f>
        <v>74059352.817488492</v>
      </c>
      <c r="I68" s="79">
        <f t="shared" si="3"/>
        <v>1</v>
      </c>
      <c r="J68" s="66">
        <f>+Distribution!H143+Meter!H143+TDCustSvc!H143</f>
        <v>74059352.817488492</v>
      </c>
      <c r="K68" s="66">
        <f>+Distribution!I143+Meter!I143+TDCustSvc!I143</f>
        <v>0</v>
      </c>
      <c r="L68" s="66">
        <f>+Distribution!J143+Meter!J143+TDCustSvc!J143</f>
        <v>74059352.817488492</v>
      </c>
      <c r="M68" s="79">
        <f t="shared" si="6"/>
        <v>1</v>
      </c>
      <c r="N68" s="27" t="str">
        <f t="shared" si="2"/>
        <v>OK</v>
      </c>
    </row>
    <row r="69" spans="1:14" x14ac:dyDescent="0.2">
      <c r="A69" s="3">
        <f t="shared" si="1"/>
        <v>53</v>
      </c>
      <c r="B69" s="3" t="s">
        <v>78</v>
      </c>
      <c r="C69" s="3" t="s">
        <v>79</v>
      </c>
      <c r="D69" s="1"/>
      <c r="E69" s="4"/>
      <c r="F69" s="9">
        <f>+'II-I TOTAL COMPANY'!H144</f>
        <v>87033.378432706901</v>
      </c>
      <c r="G69" s="66">
        <f>+Distribution!I144+Meter!I144+TDCustSvc!I144</f>
        <v>0</v>
      </c>
      <c r="H69" s="66">
        <f>+Distribution!J144+Meter!J144+TDCustSvc!J144</f>
        <v>87033.378432706915</v>
      </c>
      <c r="I69" s="79"/>
      <c r="J69" s="79"/>
      <c r="K69" s="79"/>
      <c r="L69" s="79"/>
      <c r="M69" s="79"/>
      <c r="N69" s="27" t="str">
        <f t="shared" si="2"/>
        <v>OK</v>
      </c>
    </row>
    <row r="70" spans="1:14" x14ac:dyDescent="0.2">
      <c r="A70" s="3">
        <f t="shared" si="1"/>
        <v>54</v>
      </c>
      <c r="B70" s="3" t="s">
        <v>80</v>
      </c>
      <c r="C70" s="3" t="s">
        <v>81</v>
      </c>
      <c r="D70" s="1"/>
      <c r="E70" s="4"/>
      <c r="F70" s="9">
        <f>+'II-I TOTAL COMPANY'!H145</f>
        <v>139927776.80823046</v>
      </c>
      <c r="G70" s="66">
        <f>+Distribution!I145+Meter!I145+TDCustSvc!I145</f>
        <v>0</v>
      </c>
      <c r="H70" s="66">
        <f>+Distribution!J145+Meter!J145+TDCustSvc!J145</f>
        <v>139927776.80823046</v>
      </c>
      <c r="I70" s="79">
        <f t="shared" si="3"/>
        <v>1</v>
      </c>
      <c r="J70" s="66">
        <f>+Distribution!H145+Meter!H145+TDCustSvc!H145</f>
        <v>139927776.80823046</v>
      </c>
      <c r="K70" s="66">
        <f>+Distribution!I145+Meter!I145+TDCustSvc!I145</f>
        <v>0</v>
      </c>
      <c r="L70" s="66">
        <f>+Distribution!J145+Meter!J145+TDCustSvc!J145</f>
        <v>139927776.80823046</v>
      </c>
      <c r="M70" s="79">
        <f t="shared" si="6"/>
        <v>1</v>
      </c>
      <c r="N70" s="27" t="str">
        <f t="shared" si="2"/>
        <v>OK</v>
      </c>
    </row>
    <row r="71" spans="1:14" x14ac:dyDescent="0.2">
      <c r="A71" s="3">
        <f t="shared" si="1"/>
        <v>55</v>
      </c>
      <c r="B71" s="3" t="s">
        <v>815</v>
      </c>
      <c r="C71" s="3" t="s">
        <v>816</v>
      </c>
      <c r="D71" s="1"/>
      <c r="E71" s="4"/>
      <c r="F71" s="9">
        <f>+'II-I TOTAL COMPANY'!H146</f>
        <v>163006130.57725033</v>
      </c>
      <c r="G71" s="66">
        <f>+Distribution!I146+Meter!I146+TDCustSvc!I146</f>
        <v>0</v>
      </c>
      <c r="H71" s="66">
        <f>+Distribution!J146+Meter!J146+TDCustSvc!J146</f>
        <v>163006130.5772503</v>
      </c>
      <c r="I71" s="79">
        <f>+H71/F71</f>
        <v>0.99999999999999978</v>
      </c>
      <c r="J71" s="66">
        <f>+Distribution!H146+Meter!H146+TDCustSvc!H146</f>
        <v>163006130.57725033</v>
      </c>
      <c r="K71" s="66">
        <f>+Distribution!I146+Meter!I146+TDCustSvc!I146</f>
        <v>0</v>
      </c>
      <c r="L71" s="66">
        <f>+Distribution!J146+Meter!J146+TDCustSvc!J146</f>
        <v>163006130.5772503</v>
      </c>
      <c r="M71" s="79">
        <f>+L71/J71</f>
        <v>0.99999999999999978</v>
      </c>
      <c r="N71" s="27" t="str">
        <f t="shared" si="2"/>
        <v>OK</v>
      </c>
    </row>
    <row r="72" spans="1:14" x14ac:dyDescent="0.2">
      <c r="A72" s="3">
        <f t="shared" si="1"/>
        <v>56</v>
      </c>
      <c r="B72" s="3"/>
      <c r="C72" s="3" t="s">
        <v>82</v>
      </c>
      <c r="D72" s="3"/>
      <c r="E72" s="4"/>
      <c r="F72" s="9">
        <f>+'II-I TOTAL COMPANY'!H147</f>
        <v>5742458872.1283445</v>
      </c>
      <c r="G72" s="66">
        <f>+Distribution!I147+Meter!I147+TDCustSvc!I147</f>
        <v>0</v>
      </c>
      <c r="H72" s="66">
        <f>+Distribution!J147+Meter!J147+TDCustSvc!J147</f>
        <v>5742458872.1283426</v>
      </c>
      <c r="I72" s="79">
        <f t="shared" si="3"/>
        <v>0.99999999999999967</v>
      </c>
      <c r="J72" s="66">
        <f>+Distribution!H147+Meter!H147+TDCustSvc!H147</f>
        <v>5742458872.1283445</v>
      </c>
      <c r="K72" s="66">
        <f>+Distribution!I147+Meter!I147+TDCustSvc!I147</f>
        <v>0</v>
      </c>
      <c r="L72" s="66">
        <f>+Distribution!J147+Meter!J147+TDCustSvc!J147</f>
        <v>5742458872.1283426</v>
      </c>
      <c r="M72" s="79">
        <f t="shared" si="6"/>
        <v>0.99999999999999967</v>
      </c>
      <c r="N72" s="27" t="str">
        <f t="shared" si="2"/>
        <v>OK</v>
      </c>
    </row>
    <row r="73" spans="1:14" x14ac:dyDescent="0.2">
      <c r="A73" s="3"/>
      <c r="B73" s="7" t="s">
        <v>83</v>
      </c>
      <c r="C73" s="3"/>
      <c r="D73" s="3"/>
      <c r="E73" s="4"/>
      <c r="F73" s="9"/>
      <c r="G73" s="66"/>
      <c r="H73" s="66"/>
      <c r="I73" s="79"/>
      <c r="J73" s="66"/>
      <c r="K73" s="66"/>
      <c r="L73" s="66"/>
      <c r="M73" s="79"/>
      <c r="N73" s="27" t="str">
        <f t="shared" si="2"/>
        <v>OK</v>
      </c>
    </row>
    <row r="74" spans="1:14" x14ac:dyDescent="0.2">
      <c r="A74" s="3"/>
      <c r="B74" s="3"/>
      <c r="C74" s="3"/>
      <c r="D74" s="3"/>
      <c r="E74" s="4"/>
      <c r="F74" s="9"/>
      <c r="G74" s="66"/>
      <c r="H74" s="66"/>
      <c r="I74" s="79"/>
      <c r="J74" s="79"/>
      <c r="K74" s="79"/>
      <c r="L74" s="79"/>
      <c r="M74" s="79"/>
      <c r="N74" s="27" t="str">
        <f t="shared" si="2"/>
        <v>OK</v>
      </c>
    </row>
    <row r="75" spans="1:14" x14ac:dyDescent="0.2">
      <c r="A75" s="3">
        <v>1</v>
      </c>
      <c r="B75" s="3" t="s">
        <v>84</v>
      </c>
      <c r="C75" s="3"/>
      <c r="D75" s="3"/>
      <c r="E75" s="4"/>
      <c r="F75" s="9"/>
      <c r="G75" s="66"/>
      <c r="H75" s="66"/>
      <c r="I75" s="79"/>
      <c r="J75" s="79"/>
      <c r="K75" s="79"/>
      <c r="L75" s="79"/>
      <c r="M75" s="79"/>
      <c r="N75" s="27" t="str">
        <f t="shared" si="2"/>
        <v>OK</v>
      </c>
    </row>
    <row r="76" spans="1:14" x14ac:dyDescent="0.2">
      <c r="A76" s="3">
        <f t="shared" ref="A76:A116" si="7">+A75+1</f>
        <v>2</v>
      </c>
      <c r="B76" s="3" t="s">
        <v>85</v>
      </c>
      <c r="C76" s="3" t="s">
        <v>35</v>
      </c>
      <c r="D76" s="1"/>
      <c r="E76" s="4"/>
      <c r="F76" s="9">
        <f>+'II-I TOTAL COMPANY'!H151</f>
        <v>32445048.250000007</v>
      </c>
      <c r="G76" s="66">
        <f>+Distribution!I151+Meter!I151+TDCustSvc!I151</f>
        <v>0</v>
      </c>
      <c r="H76" s="66">
        <f ca="1">+Distribution!J151+Meter!J151+TDCustSvc!J151</f>
        <v>32445048.25</v>
      </c>
      <c r="I76" s="79">
        <f t="shared" ca="1" si="3"/>
        <v>0.99999999999999978</v>
      </c>
      <c r="J76" s="66">
        <f>+Distribution!H151+Meter!H151+TDCustSvc!H151</f>
        <v>32445048.250000007</v>
      </c>
      <c r="K76" s="66">
        <f>+Distribution!I151+Meter!I151+TDCustSvc!I151</f>
        <v>0</v>
      </c>
      <c r="L76" s="66">
        <f ca="1">+Distribution!J151+Meter!J151+TDCustSvc!J151</f>
        <v>32445048.25</v>
      </c>
      <c r="M76" s="79">
        <f t="shared" ca="1" si="6"/>
        <v>0.99999999999999978</v>
      </c>
      <c r="N76" s="27" t="str">
        <f t="shared" ca="1" si="2"/>
        <v>OK</v>
      </c>
    </row>
    <row r="77" spans="1:14" x14ac:dyDescent="0.2">
      <c r="A77" s="3">
        <f t="shared" si="7"/>
        <v>3</v>
      </c>
      <c r="B77" s="3" t="s">
        <v>86</v>
      </c>
      <c r="C77" s="3" t="s">
        <v>31</v>
      </c>
      <c r="D77" s="1"/>
      <c r="E77" s="4"/>
      <c r="F77" s="9">
        <f>+'II-I TOTAL COMPANY'!H152</f>
        <v>323884100.13079816</v>
      </c>
      <c r="G77" s="66">
        <f>+Distribution!I152+Meter!I152+TDCustSvc!I152</f>
        <v>0</v>
      </c>
      <c r="H77" s="66">
        <f ca="1">+Distribution!J152+Meter!J152+TDCustSvc!J152</f>
        <v>323884100.13079804</v>
      </c>
      <c r="I77" s="79">
        <f t="shared" ca="1" si="3"/>
        <v>0.99999999999999967</v>
      </c>
      <c r="J77" s="66">
        <f>+Distribution!H152+Meter!H152+TDCustSvc!H152</f>
        <v>323884100.13079816</v>
      </c>
      <c r="K77" s="66">
        <f>+Distribution!I152+Meter!I152+TDCustSvc!I152</f>
        <v>0</v>
      </c>
      <c r="L77" s="66">
        <f ca="1">+Distribution!J152+Meter!J152+TDCustSvc!J152</f>
        <v>323884100.13079804</v>
      </c>
      <c r="M77" s="79">
        <f t="shared" ca="1" si="6"/>
        <v>0.99999999999999967</v>
      </c>
      <c r="N77" s="27" t="str">
        <f t="shared" ca="1" si="2"/>
        <v>OK</v>
      </c>
    </row>
    <row r="78" spans="1:14" x14ac:dyDescent="0.2">
      <c r="A78" s="3">
        <f t="shared" si="7"/>
        <v>4</v>
      </c>
      <c r="B78" s="3" t="s">
        <v>87</v>
      </c>
      <c r="C78" s="3" t="s">
        <v>88</v>
      </c>
      <c r="D78" s="1"/>
      <c r="E78" s="4"/>
      <c r="F78" s="9">
        <f>+'II-I TOTAL COMPANY'!H153</f>
        <v>7711246.1874785684</v>
      </c>
      <c r="G78" s="66">
        <f>+Distribution!I153+Meter!I153+TDCustSvc!I153</f>
        <v>0</v>
      </c>
      <c r="H78" s="66">
        <f ca="1">+Distribution!J153+Meter!J153+TDCustSvc!J153</f>
        <v>7711246.1874785675</v>
      </c>
      <c r="I78" s="79">
        <f t="shared" ca="1" si="3"/>
        <v>0.99999999999999989</v>
      </c>
      <c r="J78" s="66">
        <f>+Distribution!H153+Meter!H153+TDCustSvc!H153</f>
        <v>7711246.1874785684</v>
      </c>
      <c r="K78" s="66">
        <f>+Distribution!I153+Meter!I153+TDCustSvc!I153</f>
        <v>0</v>
      </c>
      <c r="L78" s="66">
        <f ca="1">+Distribution!J153+Meter!J153+TDCustSvc!J153</f>
        <v>7711246.1874785675</v>
      </c>
      <c r="M78" s="79">
        <f t="shared" ca="1" si="6"/>
        <v>0.99999999999999989</v>
      </c>
      <c r="N78" s="27" t="str">
        <f t="shared" ca="1" si="2"/>
        <v>OK</v>
      </c>
    </row>
    <row r="79" spans="1:14" x14ac:dyDescent="0.2">
      <c r="A79" s="3">
        <f t="shared" si="7"/>
        <v>5</v>
      </c>
      <c r="B79" s="3" t="s">
        <v>89</v>
      </c>
      <c r="C79" s="3" t="s">
        <v>90</v>
      </c>
      <c r="D79" s="1"/>
      <c r="E79" s="4"/>
      <c r="F79" s="9">
        <f>+'II-I TOTAL COMPANY'!H154</f>
        <v>185899.15467102142</v>
      </c>
      <c r="G79" s="66">
        <f>+Distribution!I154+Meter!I154+TDCustSvc!I154</f>
        <v>0</v>
      </c>
      <c r="H79" s="66">
        <f ca="1">+Distribution!J154+Meter!J154+TDCustSvc!J154</f>
        <v>185899.15467102139</v>
      </c>
      <c r="I79" s="79">
        <f t="shared" ca="1" si="3"/>
        <v>0.99999999999999989</v>
      </c>
      <c r="J79" s="66">
        <f>+Distribution!H154+Meter!H154+TDCustSvc!H154</f>
        <v>185899.15467102142</v>
      </c>
      <c r="K79" s="66">
        <f>+Distribution!I154+Meter!I154+TDCustSvc!I154</f>
        <v>0</v>
      </c>
      <c r="L79" s="66">
        <f ca="1">+Distribution!J154+Meter!J154+TDCustSvc!J154</f>
        <v>185899.15467102139</v>
      </c>
      <c r="M79" s="79">
        <f t="shared" ca="1" si="6"/>
        <v>0.99999999999999989</v>
      </c>
      <c r="N79" s="27" t="str">
        <f t="shared" ca="1" si="2"/>
        <v>OK</v>
      </c>
    </row>
    <row r="80" spans="1:14" x14ac:dyDescent="0.2">
      <c r="A80" s="3">
        <f t="shared" si="7"/>
        <v>6</v>
      </c>
      <c r="B80" s="3" t="s">
        <v>91</v>
      </c>
      <c r="C80" s="3" t="s">
        <v>92</v>
      </c>
      <c r="D80" s="1"/>
      <c r="E80" s="4"/>
      <c r="F80" s="9">
        <f>+'II-I TOTAL COMPANY'!H155</f>
        <v>2440138.0455671074</v>
      </c>
      <c r="G80" s="66">
        <f>+Distribution!I155+Meter!I155+TDCustSvc!I155</f>
        <v>0</v>
      </c>
      <c r="H80" s="66">
        <f ca="1">+Distribution!J155+Meter!J155+TDCustSvc!J155</f>
        <v>2440138.0455671069</v>
      </c>
      <c r="I80" s="79">
        <f t="shared" ca="1" si="3"/>
        <v>0.99999999999999978</v>
      </c>
      <c r="J80" s="66">
        <f>+Distribution!H155+Meter!H155+TDCustSvc!H155</f>
        <v>2440138.0455671074</v>
      </c>
      <c r="K80" s="66">
        <f>+Distribution!I155+Meter!I155+TDCustSvc!I155</f>
        <v>0</v>
      </c>
      <c r="L80" s="66">
        <f ca="1">+Distribution!J155+Meter!J155+TDCustSvc!J155</f>
        <v>2440138.0455671069</v>
      </c>
      <c r="M80" s="79">
        <f t="shared" ca="1" si="6"/>
        <v>0.99999999999999978</v>
      </c>
      <c r="N80" s="27" t="str">
        <f t="shared" ca="1" si="2"/>
        <v>OK</v>
      </c>
    </row>
    <row r="81" spans="1:14" x14ac:dyDescent="0.2">
      <c r="A81" s="3">
        <f t="shared" si="7"/>
        <v>7</v>
      </c>
      <c r="B81" s="3" t="s">
        <v>93</v>
      </c>
      <c r="C81" s="3" t="s">
        <v>94</v>
      </c>
      <c r="D81" s="1"/>
      <c r="E81" s="4"/>
      <c r="F81" s="9">
        <f>+'II-I TOTAL COMPANY'!H156</f>
        <v>39443279.26026161</v>
      </c>
      <c r="G81" s="66">
        <f>+Distribution!I156+Meter!I156+TDCustSvc!I156</f>
        <v>0</v>
      </c>
      <c r="H81" s="66">
        <f ca="1">+Distribution!J156+Meter!J156+TDCustSvc!J156</f>
        <v>39443279.26026161</v>
      </c>
      <c r="I81" s="79">
        <f t="shared" ca="1" si="3"/>
        <v>1</v>
      </c>
      <c r="J81" s="66">
        <f>+Distribution!H156+Meter!H156+TDCustSvc!H156</f>
        <v>39443279.26026161</v>
      </c>
      <c r="K81" s="66">
        <f>+Distribution!I156+Meter!I156+TDCustSvc!I156</f>
        <v>0</v>
      </c>
      <c r="L81" s="66">
        <f ca="1">+Distribution!J156+Meter!J156+TDCustSvc!J156</f>
        <v>39443279.26026161</v>
      </c>
      <c r="M81" s="79">
        <f t="shared" ca="1" si="6"/>
        <v>1</v>
      </c>
      <c r="N81" s="27" t="str">
        <f t="shared" ca="1" si="2"/>
        <v>OK</v>
      </c>
    </row>
    <row r="82" spans="1:14" x14ac:dyDescent="0.2">
      <c r="A82" s="3">
        <f t="shared" si="7"/>
        <v>8</v>
      </c>
      <c r="B82" s="3" t="s">
        <v>95</v>
      </c>
      <c r="C82" s="3" t="s">
        <v>96</v>
      </c>
      <c r="D82" s="1"/>
      <c r="E82" s="4"/>
      <c r="F82" s="9">
        <f>+'II-I TOTAL COMPANY'!H157</f>
        <v>365677.13170073042</v>
      </c>
      <c r="G82" s="66">
        <f>+Distribution!I157+Meter!I157+TDCustSvc!I157</f>
        <v>0</v>
      </c>
      <c r="H82" s="66">
        <f ca="1">+Distribution!J157+Meter!J157+TDCustSvc!J157</f>
        <v>365677.13170073053</v>
      </c>
      <c r="I82" s="79">
        <f t="shared" ca="1" si="3"/>
        <v>1.0000000000000002</v>
      </c>
      <c r="J82" s="66">
        <f>+Distribution!H157+Meter!H157+TDCustSvc!H157</f>
        <v>365677.13170073042</v>
      </c>
      <c r="K82" s="66">
        <f>+Distribution!I157+Meter!I157+TDCustSvc!I157</f>
        <v>0</v>
      </c>
      <c r="L82" s="66">
        <f ca="1">+Distribution!J157+Meter!J157+TDCustSvc!J157</f>
        <v>365677.13170073053</v>
      </c>
      <c r="M82" s="79">
        <f t="shared" ca="1" si="6"/>
        <v>1.0000000000000002</v>
      </c>
      <c r="N82" s="27">
        <f t="shared" ca="1" si="2"/>
        <v>0</v>
      </c>
    </row>
    <row r="83" spans="1:14" x14ac:dyDescent="0.2">
      <c r="A83" s="3">
        <f t="shared" si="7"/>
        <v>9</v>
      </c>
      <c r="B83" s="3" t="s">
        <v>97</v>
      </c>
      <c r="C83" s="3" t="s">
        <v>98</v>
      </c>
      <c r="D83" s="1"/>
      <c r="E83" s="4"/>
      <c r="F83" s="9">
        <f>+'II-I TOTAL COMPANY'!H158</f>
        <v>21837.098990962058</v>
      </c>
      <c r="G83" s="66">
        <f>+Distribution!I158+Meter!I158+TDCustSvc!I158</f>
        <v>0</v>
      </c>
      <c r="H83" s="66">
        <f ca="1">+Distribution!J158+Meter!J158+TDCustSvc!J158</f>
        <v>21837.098990962062</v>
      </c>
      <c r="I83" s="79">
        <f ca="1">+H83/F83</f>
        <v>1.0000000000000002</v>
      </c>
      <c r="J83" s="66">
        <f>+Distribution!H158+Meter!H158+TDCustSvc!H158</f>
        <v>21837.098990962058</v>
      </c>
      <c r="K83" s="66">
        <f>+Distribution!I158+Meter!I158+TDCustSvc!I158</f>
        <v>0</v>
      </c>
      <c r="L83" s="66">
        <f ca="1">+Distribution!J158+Meter!J158+TDCustSvc!J158</f>
        <v>21837.098990962062</v>
      </c>
      <c r="M83" s="79">
        <f ca="1">+L83/J83</f>
        <v>1.0000000000000002</v>
      </c>
      <c r="N83" s="27" t="str">
        <f t="shared" ref="N83:N146" ca="1" si="8">IF(SUM(G83+H83)=F83,"OK",0)</f>
        <v>OK</v>
      </c>
    </row>
    <row r="84" spans="1:14" x14ac:dyDescent="0.2">
      <c r="A84" s="3">
        <f t="shared" si="7"/>
        <v>10</v>
      </c>
      <c r="B84" s="3" t="s">
        <v>99</v>
      </c>
      <c r="C84" s="3" t="s">
        <v>100</v>
      </c>
      <c r="D84" s="1"/>
      <c r="E84" s="4"/>
      <c r="F84" s="9">
        <f>+'II-I TOTAL COMPANY'!H159</f>
        <v>7411308.8235920947</v>
      </c>
      <c r="G84" s="66">
        <f>+Distribution!I159+Meter!I159+TDCustSvc!I159</f>
        <v>0</v>
      </c>
      <c r="H84" s="66">
        <f ca="1">+Distribution!J159+Meter!J159+TDCustSvc!J159</f>
        <v>7411308.8235920947</v>
      </c>
      <c r="I84" s="79">
        <f ca="1">+H84/F84</f>
        <v>1</v>
      </c>
      <c r="J84" s="66">
        <f>+Distribution!H159+Meter!H159+TDCustSvc!H159</f>
        <v>7411308.8235920947</v>
      </c>
      <c r="K84" s="66">
        <f>+Distribution!I159+Meter!I159+TDCustSvc!I159</f>
        <v>0</v>
      </c>
      <c r="L84" s="66">
        <f ca="1">+Distribution!J159+Meter!J159+TDCustSvc!J159</f>
        <v>7411308.8235920947</v>
      </c>
      <c r="M84" s="79">
        <f t="shared" ca="1" si="6"/>
        <v>1</v>
      </c>
      <c r="N84" s="27" t="str">
        <f t="shared" ca="1" si="8"/>
        <v>OK</v>
      </c>
    </row>
    <row r="85" spans="1:14" x14ac:dyDescent="0.2">
      <c r="A85" s="3">
        <f t="shared" si="7"/>
        <v>11</v>
      </c>
      <c r="B85" s="3" t="s">
        <v>101</v>
      </c>
      <c r="C85" s="3" t="s">
        <v>102</v>
      </c>
      <c r="D85" s="1"/>
      <c r="E85" s="4"/>
      <c r="F85" s="9">
        <f>+'II-I TOTAL COMPANY'!H160</f>
        <v>1287227.5499999998</v>
      </c>
      <c r="G85" s="66">
        <f>+Distribution!I160+Meter!I160+TDCustSvc!I160</f>
        <v>0</v>
      </c>
      <c r="H85" s="66">
        <f ca="1">+Distribution!J160+Meter!J160+TDCustSvc!J160</f>
        <v>1287227.5500000003</v>
      </c>
      <c r="I85" s="79"/>
      <c r="J85" s="79"/>
      <c r="K85" s="79"/>
      <c r="L85" s="79"/>
      <c r="M85" s="79"/>
      <c r="N85" s="27" t="str">
        <f t="shared" ca="1" si="8"/>
        <v>OK</v>
      </c>
    </row>
    <row r="86" spans="1:14" x14ac:dyDescent="0.2">
      <c r="A86" s="3">
        <f t="shared" si="7"/>
        <v>12</v>
      </c>
      <c r="B86" s="3"/>
      <c r="C86" s="3"/>
      <c r="D86" s="1"/>
      <c r="E86" s="4"/>
      <c r="F86" s="9"/>
      <c r="G86" s="66"/>
      <c r="H86" s="66"/>
      <c r="I86" s="79"/>
      <c r="J86" s="79"/>
      <c r="K86" s="79"/>
      <c r="L86" s="79"/>
      <c r="M86" s="79"/>
      <c r="N86" s="27" t="str">
        <f t="shared" si="8"/>
        <v>OK</v>
      </c>
    </row>
    <row r="87" spans="1:14" x14ac:dyDescent="0.2">
      <c r="A87" s="3">
        <f t="shared" si="7"/>
        <v>13</v>
      </c>
      <c r="B87" s="3"/>
      <c r="C87" s="3" t="s">
        <v>103</v>
      </c>
      <c r="D87" s="3"/>
      <c r="E87" s="4"/>
      <c r="F87" s="9">
        <f>+'II-I TOTAL COMPANY'!H162</f>
        <v>415195761.63306022</v>
      </c>
      <c r="G87" s="66">
        <f>+Distribution!I162+Meter!I162+TDCustSvc!I162</f>
        <v>0</v>
      </c>
      <c r="H87" s="66">
        <f ca="1">+Distribution!J162+Meter!J162+TDCustSvc!J162</f>
        <v>414017851.63633859</v>
      </c>
      <c r="I87" s="79">
        <f ca="1">+H87/F87</f>
        <v>0.997163000912898</v>
      </c>
      <c r="J87" s="66">
        <f>+Distribution!H162+Meter!H162+TDCustSvc!H162</f>
        <v>415195761.63306028</v>
      </c>
      <c r="K87" s="66">
        <f>+Distribution!I162+Meter!I162+TDCustSvc!I162</f>
        <v>0</v>
      </c>
      <c r="L87" s="66">
        <f ca="1">+Distribution!J162+Meter!J162+TDCustSvc!J162</f>
        <v>414017851.63633859</v>
      </c>
      <c r="M87" s="79">
        <f t="shared" ca="1" si="6"/>
        <v>0.99716300091289778</v>
      </c>
      <c r="N87" s="27">
        <f t="shared" ca="1" si="8"/>
        <v>0</v>
      </c>
    </row>
    <row r="88" spans="1:14" x14ac:dyDescent="0.2">
      <c r="A88" s="3">
        <f t="shared" si="7"/>
        <v>14</v>
      </c>
      <c r="B88" s="3"/>
      <c r="C88" s="3"/>
      <c r="D88" s="3"/>
      <c r="E88" s="4"/>
      <c r="F88" s="9"/>
      <c r="G88" s="66"/>
      <c r="H88" s="66"/>
      <c r="I88" s="79"/>
      <c r="J88" s="79"/>
      <c r="K88" s="79"/>
      <c r="L88" s="79"/>
      <c r="M88" s="79"/>
      <c r="N88" s="27" t="str">
        <f t="shared" si="8"/>
        <v>OK</v>
      </c>
    </row>
    <row r="89" spans="1:14" x14ac:dyDescent="0.2">
      <c r="A89" s="3">
        <f t="shared" si="7"/>
        <v>15</v>
      </c>
      <c r="B89" s="3"/>
      <c r="C89" s="3"/>
      <c r="D89" s="3"/>
      <c r="E89" s="4"/>
      <c r="F89" s="9"/>
      <c r="G89" s="66"/>
      <c r="H89" s="66"/>
      <c r="I89" s="79"/>
      <c r="J89" s="79"/>
      <c r="K89" s="79"/>
      <c r="L89" s="79"/>
      <c r="M89" s="79"/>
      <c r="N89" s="27" t="str">
        <f t="shared" si="8"/>
        <v>OK</v>
      </c>
    </row>
    <row r="90" spans="1:14" x14ac:dyDescent="0.2">
      <c r="A90" s="3">
        <f t="shared" si="7"/>
        <v>16</v>
      </c>
      <c r="B90" s="3"/>
      <c r="C90" s="3"/>
      <c r="D90" s="3"/>
      <c r="E90" s="4"/>
      <c r="F90" s="9"/>
      <c r="G90" s="66"/>
      <c r="H90" s="66"/>
      <c r="I90" s="79"/>
      <c r="J90" s="79"/>
      <c r="K90" s="79"/>
      <c r="L90" s="79"/>
      <c r="M90" s="79"/>
      <c r="N90" s="27" t="str">
        <f t="shared" si="8"/>
        <v>OK</v>
      </c>
    </row>
    <row r="91" spans="1:14" x14ac:dyDescent="0.2">
      <c r="A91" s="3">
        <f t="shared" si="7"/>
        <v>17</v>
      </c>
      <c r="B91" s="7" t="s">
        <v>104</v>
      </c>
      <c r="C91" s="3"/>
      <c r="D91" s="3"/>
      <c r="E91" s="4"/>
      <c r="F91" s="9"/>
      <c r="G91" s="66"/>
      <c r="H91" s="66"/>
      <c r="I91" s="79"/>
      <c r="J91" s="79"/>
      <c r="K91" s="79"/>
      <c r="L91" s="79"/>
      <c r="M91" s="79"/>
      <c r="N91" s="27" t="str">
        <f t="shared" si="8"/>
        <v>OK</v>
      </c>
    </row>
    <row r="92" spans="1:14" x14ac:dyDescent="0.2">
      <c r="A92" s="3">
        <f t="shared" si="7"/>
        <v>18</v>
      </c>
      <c r="B92" s="3"/>
      <c r="C92" s="3"/>
      <c r="D92" s="3"/>
      <c r="E92" s="4"/>
      <c r="F92" s="9"/>
      <c r="G92" s="66"/>
      <c r="H92" s="66"/>
      <c r="I92" s="79"/>
      <c r="J92" s="79"/>
      <c r="K92" s="79"/>
      <c r="L92" s="79"/>
      <c r="M92" s="79"/>
      <c r="N92" s="27" t="str">
        <f t="shared" si="8"/>
        <v>OK</v>
      </c>
    </row>
    <row r="93" spans="1:14" x14ac:dyDescent="0.2">
      <c r="A93" s="3">
        <f t="shared" si="7"/>
        <v>19</v>
      </c>
      <c r="B93" s="3" t="s">
        <v>105</v>
      </c>
      <c r="C93" s="3" t="s">
        <v>106</v>
      </c>
      <c r="D93" s="1"/>
      <c r="E93" s="4"/>
      <c r="F93" s="9">
        <f>+'II-I TOTAL COMPANY'!H168</f>
        <v>250860937.80491582</v>
      </c>
      <c r="G93" s="66">
        <f>+Distribution!I168+Meter!I168+TDCustSvc!I168</f>
        <v>0</v>
      </c>
      <c r="H93" s="66">
        <f ca="1">+Distribution!J168+Meter!J168+TDCustSvc!J168</f>
        <v>250860937.80491579</v>
      </c>
      <c r="I93" s="79">
        <f ca="1">+H93/F93</f>
        <v>0.99999999999999989</v>
      </c>
      <c r="J93" s="66">
        <f>+Distribution!H168+Meter!H168+TDCustSvc!H168</f>
        <v>250860937.80491582</v>
      </c>
      <c r="K93" s="66">
        <f>+Distribution!I168+Meter!I168+TDCustSvc!I168</f>
        <v>0</v>
      </c>
      <c r="L93" s="66">
        <f ca="1">+Distribution!J168+Meter!J168+TDCustSvc!J168</f>
        <v>250860937.80491579</v>
      </c>
      <c r="M93" s="79">
        <f ca="1">+L93/J93</f>
        <v>0.99999999999999989</v>
      </c>
      <c r="N93" s="27" t="str">
        <f t="shared" ca="1" si="8"/>
        <v>OK</v>
      </c>
    </row>
    <row r="94" spans="1:14" x14ac:dyDescent="0.2">
      <c r="A94" s="3">
        <f t="shared" si="7"/>
        <v>20</v>
      </c>
      <c r="B94" s="3"/>
      <c r="C94" s="3"/>
      <c r="D94" s="3"/>
      <c r="E94" s="4"/>
      <c r="F94" s="9"/>
      <c r="G94" s="66"/>
      <c r="H94" s="66"/>
      <c r="I94" s="79"/>
      <c r="J94" s="79"/>
      <c r="K94" s="79"/>
      <c r="L94" s="79"/>
      <c r="M94" s="79"/>
      <c r="N94" s="27" t="str">
        <f t="shared" si="8"/>
        <v>OK</v>
      </c>
    </row>
    <row r="95" spans="1:14" x14ac:dyDescent="0.2">
      <c r="A95" s="3">
        <f t="shared" si="7"/>
        <v>21</v>
      </c>
      <c r="B95" s="3"/>
      <c r="C95" s="3"/>
      <c r="D95" s="3"/>
      <c r="E95" s="4"/>
      <c r="F95" s="9"/>
      <c r="G95" s="66"/>
      <c r="H95" s="66"/>
      <c r="I95" s="79"/>
      <c r="J95" s="79"/>
      <c r="K95" s="79"/>
      <c r="L95" s="79"/>
      <c r="M95" s="79"/>
      <c r="N95" s="27" t="str">
        <f t="shared" si="8"/>
        <v>OK</v>
      </c>
    </row>
    <row r="96" spans="1:14" x14ac:dyDescent="0.2">
      <c r="A96" s="3">
        <f t="shared" si="7"/>
        <v>22</v>
      </c>
      <c r="B96" s="3" t="s">
        <v>107</v>
      </c>
      <c r="C96" s="3"/>
      <c r="D96" s="3"/>
      <c r="E96" s="4"/>
      <c r="F96" s="9">
        <f>+'II-I TOTAL COMPANY'!H171</f>
        <v>6564583185.2663202</v>
      </c>
      <c r="G96" s="66">
        <f>+Distribution!I171+Meter!I171+TDCustSvc!I171</f>
        <v>0</v>
      </c>
      <c r="H96" s="66">
        <f ca="1">+Distribution!J171+Meter!J171+TDCustSvc!J171</f>
        <v>6564583185.2663202</v>
      </c>
      <c r="I96" s="79">
        <f ca="1">+H96/F96</f>
        <v>1</v>
      </c>
      <c r="J96" s="66">
        <f>+Distribution!H171+Meter!H171+TDCustSvc!H171</f>
        <v>6564583185.2663212</v>
      </c>
      <c r="K96" s="66">
        <f>+Distribution!I171+Meter!I171+TDCustSvc!I171</f>
        <v>0</v>
      </c>
      <c r="L96" s="66">
        <f ca="1">+Distribution!J171+Meter!J171+TDCustSvc!J171</f>
        <v>6564583185.2663202</v>
      </c>
      <c r="M96" s="79">
        <f ca="1">+L96/J96</f>
        <v>0.99999999999999989</v>
      </c>
      <c r="N96" s="27" t="str">
        <f t="shared" ca="1" si="8"/>
        <v>OK</v>
      </c>
    </row>
    <row r="97" spans="1:14" x14ac:dyDescent="0.2">
      <c r="A97" s="3">
        <f t="shared" si="7"/>
        <v>23</v>
      </c>
      <c r="B97" s="3"/>
      <c r="C97" s="3"/>
      <c r="D97" s="3"/>
      <c r="E97" s="4"/>
      <c r="F97" s="9"/>
      <c r="G97" s="66"/>
      <c r="H97" s="66"/>
      <c r="I97" s="79"/>
      <c r="J97" s="79"/>
      <c r="K97" s="79"/>
      <c r="L97" s="79"/>
      <c r="M97" s="79"/>
      <c r="N97" s="27" t="str">
        <f t="shared" si="8"/>
        <v>OK</v>
      </c>
    </row>
    <row r="98" spans="1:14" x14ac:dyDescent="0.2">
      <c r="A98" s="3">
        <f t="shared" si="7"/>
        <v>24</v>
      </c>
      <c r="B98" s="3"/>
      <c r="C98" s="3"/>
      <c r="D98" s="3"/>
      <c r="E98" s="4"/>
      <c r="F98" s="9"/>
      <c r="G98" s="66"/>
      <c r="H98" s="66"/>
      <c r="I98" s="79"/>
      <c r="J98" s="79"/>
      <c r="K98" s="79"/>
      <c r="L98" s="79"/>
      <c r="M98" s="79"/>
      <c r="N98" s="27" t="str">
        <f t="shared" si="8"/>
        <v>OK</v>
      </c>
    </row>
    <row r="99" spans="1:14" x14ac:dyDescent="0.2">
      <c r="A99" s="3">
        <f t="shared" si="7"/>
        <v>25</v>
      </c>
      <c r="B99" s="7" t="s">
        <v>108</v>
      </c>
      <c r="C99" s="3"/>
      <c r="D99" s="3"/>
      <c r="E99" s="4"/>
      <c r="F99" s="9"/>
      <c r="G99" s="66"/>
      <c r="H99" s="66"/>
      <c r="I99" s="79"/>
      <c r="J99" s="79"/>
      <c r="K99" s="79"/>
      <c r="L99" s="79"/>
      <c r="M99" s="79"/>
      <c r="N99" s="27" t="str">
        <f t="shared" si="8"/>
        <v>OK</v>
      </c>
    </row>
    <row r="100" spans="1:14" x14ac:dyDescent="0.2">
      <c r="A100" s="3">
        <f t="shared" si="7"/>
        <v>26</v>
      </c>
      <c r="B100" s="3"/>
      <c r="C100" s="3"/>
      <c r="D100" s="3"/>
      <c r="E100" s="4"/>
      <c r="F100" s="9"/>
      <c r="G100" s="66"/>
      <c r="H100" s="66"/>
      <c r="I100" s="79"/>
      <c r="J100" s="79"/>
      <c r="K100" s="79"/>
      <c r="L100" s="79"/>
      <c r="M100" s="79"/>
      <c r="N100" s="27" t="str">
        <f t="shared" si="8"/>
        <v>OK</v>
      </c>
    </row>
    <row r="101" spans="1:14" x14ac:dyDescent="0.2">
      <c r="A101" s="3">
        <f t="shared" si="7"/>
        <v>27</v>
      </c>
      <c r="B101" s="3" t="s">
        <v>109</v>
      </c>
      <c r="C101" s="3"/>
      <c r="D101" s="3"/>
      <c r="E101" s="4"/>
      <c r="F101" s="9"/>
      <c r="G101" s="66"/>
      <c r="H101" s="66"/>
      <c r="I101" s="79"/>
      <c r="J101" s="79"/>
      <c r="K101" s="79"/>
      <c r="L101" s="79"/>
      <c r="M101" s="79"/>
      <c r="N101" s="27" t="str">
        <f t="shared" si="8"/>
        <v>OK</v>
      </c>
    </row>
    <row r="102" spans="1:14" x14ac:dyDescent="0.2">
      <c r="A102" s="3">
        <f t="shared" si="7"/>
        <v>28</v>
      </c>
      <c r="B102" s="3" t="s">
        <v>110</v>
      </c>
      <c r="C102" s="3"/>
      <c r="D102" s="1"/>
      <c r="E102" s="4"/>
      <c r="F102" s="9">
        <f>+'II-I TOTAL COMPANY'!H177</f>
        <v>0</v>
      </c>
      <c r="G102" s="66">
        <f>+Distribution!I177+Meter!I177+TDCustSvc!I177</f>
        <v>0</v>
      </c>
      <c r="H102" s="66">
        <f>+Distribution!J177+Meter!J177+TDCustSvc!J177</f>
        <v>0</v>
      </c>
      <c r="I102" s="79"/>
      <c r="J102" s="66">
        <f>+Distribution!H177+Meter!H177+TDCustSvc!H177</f>
        <v>0</v>
      </c>
      <c r="K102" s="66">
        <f>+Distribution!I177+Meter!I177+TDCustSvc!I177</f>
        <v>0</v>
      </c>
      <c r="L102" s="66">
        <f>+Distribution!J177+Meter!J177+TDCustSvc!J177</f>
        <v>0</v>
      </c>
      <c r="M102" s="79"/>
      <c r="N102" s="27" t="str">
        <f t="shared" si="8"/>
        <v>OK</v>
      </c>
    </row>
    <row r="103" spans="1:14" x14ac:dyDescent="0.2">
      <c r="A103" s="3">
        <f t="shared" si="7"/>
        <v>29</v>
      </c>
      <c r="B103" s="3"/>
      <c r="C103" s="3"/>
      <c r="D103" s="3"/>
      <c r="E103" s="4"/>
      <c r="F103" s="9"/>
      <c r="G103" s="66"/>
      <c r="H103" s="66"/>
      <c r="I103" s="79"/>
      <c r="J103" s="79"/>
      <c r="K103" s="79"/>
      <c r="L103" s="79"/>
      <c r="M103" s="79"/>
      <c r="N103" s="27" t="str">
        <f t="shared" si="8"/>
        <v>OK</v>
      </c>
    </row>
    <row r="104" spans="1:14" x14ac:dyDescent="0.2">
      <c r="A104" s="3">
        <f t="shared" si="7"/>
        <v>30</v>
      </c>
      <c r="B104" s="3"/>
      <c r="C104" s="3"/>
      <c r="D104" s="3"/>
      <c r="E104" s="4"/>
      <c r="F104" s="9"/>
      <c r="G104" s="66"/>
      <c r="H104" s="66"/>
      <c r="I104" s="79"/>
      <c r="J104" s="79"/>
      <c r="K104" s="79"/>
      <c r="L104" s="79"/>
      <c r="M104" s="79"/>
      <c r="N104" s="27" t="str">
        <f t="shared" si="8"/>
        <v>OK</v>
      </c>
    </row>
    <row r="105" spans="1:14" x14ac:dyDescent="0.2">
      <c r="A105" s="3">
        <f t="shared" si="7"/>
        <v>31</v>
      </c>
      <c r="B105" s="3"/>
      <c r="C105" s="3"/>
      <c r="D105" s="3"/>
      <c r="E105" s="4"/>
      <c r="F105" s="9"/>
      <c r="G105" s="66"/>
      <c r="H105" s="66"/>
      <c r="I105" s="79"/>
      <c r="J105" s="79"/>
      <c r="K105" s="79"/>
      <c r="L105" s="79"/>
      <c r="M105" s="79"/>
      <c r="N105" s="27" t="str">
        <f t="shared" si="8"/>
        <v>OK</v>
      </c>
    </row>
    <row r="106" spans="1:14" x14ac:dyDescent="0.2">
      <c r="A106" s="3">
        <f t="shared" si="7"/>
        <v>32</v>
      </c>
      <c r="B106" s="3"/>
      <c r="C106" s="3"/>
      <c r="D106" s="3"/>
      <c r="E106" s="4"/>
      <c r="F106" s="9"/>
      <c r="G106" s="66"/>
      <c r="H106" s="66"/>
      <c r="I106" s="79"/>
      <c r="J106" s="79"/>
      <c r="K106" s="79"/>
      <c r="L106" s="79"/>
      <c r="M106" s="79"/>
      <c r="N106" s="27" t="str">
        <f t="shared" si="8"/>
        <v>OK</v>
      </c>
    </row>
    <row r="107" spans="1:14" x14ac:dyDescent="0.2">
      <c r="A107" s="3">
        <f t="shared" si="7"/>
        <v>33</v>
      </c>
      <c r="B107" s="3"/>
      <c r="C107" s="3"/>
      <c r="D107" s="3"/>
      <c r="E107" s="4"/>
      <c r="F107" s="9"/>
      <c r="G107" s="66"/>
      <c r="H107" s="66"/>
      <c r="I107" s="79"/>
      <c r="J107" s="79"/>
      <c r="K107" s="79"/>
      <c r="L107" s="79"/>
      <c r="M107" s="79"/>
      <c r="N107" s="27" t="str">
        <f t="shared" si="8"/>
        <v>OK</v>
      </c>
    </row>
    <row r="108" spans="1:14" x14ac:dyDescent="0.2">
      <c r="A108" s="3">
        <f t="shared" si="7"/>
        <v>34</v>
      </c>
      <c r="B108" s="7" t="s">
        <v>111</v>
      </c>
      <c r="C108" s="3"/>
      <c r="D108" s="3"/>
      <c r="E108" s="4"/>
      <c r="F108" s="9"/>
      <c r="G108" s="66"/>
      <c r="H108" s="66"/>
      <c r="I108" s="79"/>
      <c r="J108" s="79"/>
      <c r="K108" s="79"/>
      <c r="L108" s="79"/>
      <c r="M108" s="79"/>
      <c r="N108" s="27" t="str">
        <f t="shared" si="8"/>
        <v>OK</v>
      </c>
    </row>
    <row r="109" spans="1:14" x14ac:dyDescent="0.2">
      <c r="A109" s="3">
        <f t="shared" si="7"/>
        <v>35</v>
      </c>
      <c r="B109" s="3"/>
      <c r="C109" s="3"/>
      <c r="D109" s="3"/>
      <c r="E109" s="4"/>
      <c r="F109" s="9"/>
      <c r="G109" s="66"/>
      <c r="H109" s="66"/>
      <c r="I109" s="79"/>
      <c r="J109" s="79"/>
      <c r="K109" s="79"/>
      <c r="L109" s="79"/>
      <c r="M109" s="79"/>
      <c r="N109" s="27" t="str">
        <f t="shared" si="8"/>
        <v>OK</v>
      </c>
    </row>
    <row r="110" spans="1:14" x14ac:dyDescent="0.2">
      <c r="A110" s="3">
        <f t="shared" si="7"/>
        <v>36</v>
      </c>
      <c r="B110" s="3" t="s">
        <v>112</v>
      </c>
      <c r="C110" s="3"/>
      <c r="D110" s="3"/>
      <c r="E110" s="4"/>
      <c r="F110" s="9"/>
      <c r="G110" s="66"/>
      <c r="H110" s="66"/>
      <c r="I110" s="79"/>
      <c r="J110" s="79"/>
      <c r="K110" s="79"/>
      <c r="L110" s="79"/>
      <c r="M110" s="79"/>
      <c r="N110" s="27" t="str">
        <f t="shared" si="8"/>
        <v>OK</v>
      </c>
    </row>
    <row r="111" spans="1:14" x14ac:dyDescent="0.2">
      <c r="A111" s="3">
        <f t="shared" si="7"/>
        <v>37</v>
      </c>
      <c r="B111" s="3"/>
      <c r="C111" s="3"/>
      <c r="D111" s="3"/>
      <c r="E111" s="4"/>
      <c r="F111" s="9"/>
      <c r="G111" s="66"/>
      <c r="H111" s="66"/>
      <c r="I111" s="79"/>
      <c r="J111" s="79"/>
      <c r="K111" s="79"/>
      <c r="L111" s="79"/>
      <c r="M111" s="79"/>
      <c r="N111" s="27" t="str">
        <f t="shared" si="8"/>
        <v>OK</v>
      </c>
    </row>
    <row r="112" spans="1:14" x14ac:dyDescent="0.2">
      <c r="A112" s="3">
        <f t="shared" si="7"/>
        <v>38</v>
      </c>
      <c r="B112" s="3" t="s">
        <v>23</v>
      </c>
      <c r="C112" s="3"/>
      <c r="D112" s="3"/>
      <c r="E112" s="4"/>
      <c r="F112" s="9"/>
      <c r="G112" s="66"/>
      <c r="H112" s="66"/>
      <c r="I112" s="79"/>
      <c r="J112" s="79"/>
      <c r="K112" s="79"/>
      <c r="L112" s="79"/>
      <c r="M112" s="79"/>
      <c r="N112" s="27" t="str">
        <f t="shared" si="8"/>
        <v>OK</v>
      </c>
    </row>
    <row r="113" spans="1:14" x14ac:dyDescent="0.2">
      <c r="A113" s="3">
        <f t="shared" si="7"/>
        <v>39</v>
      </c>
      <c r="B113" s="3" t="s">
        <v>24</v>
      </c>
      <c r="C113" s="3" t="s">
        <v>25</v>
      </c>
      <c r="D113" s="16"/>
      <c r="E113" s="4"/>
      <c r="F113" s="9">
        <f>+'II-I TOTAL COMPANY'!H188</f>
        <v>0</v>
      </c>
      <c r="G113" s="66">
        <f>+Distribution!I188+Meter!I188+TDCustSvc!I188</f>
        <v>0</v>
      </c>
      <c r="H113" s="66">
        <f ca="1">+Distribution!J188+Meter!J188+TDCustSvc!J188</f>
        <v>0</v>
      </c>
      <c r="I113" s="79"/>
      <c r="J113" s="66">
        <f>+Distribution!H188+Meter!H188+TDCustSvc!H188</f>
        <v>0</v>
      </c>
      <c r="K113" s="66">
        <f>+Distribution!I188+Meter!I188+TDCustSvc!I188</f>
        <v>0</v>
      </c>
      <c r="L113" s="66">
        <f ca="1">+Distribution!J188+Meter!J188+TDCustSvc!J188</f>
        <v>0</v>
      </c>
      <c r="M113" s="79"/>
      <c r="N113" s="27" t="str">
        <f t="shared" ca="1" si="8"/>
        <v>OK</v>
      </c>
    </row>
    <row r="114" spans="1:14" x14ac:dyDescent="0.2">
      <c r="A114" s="3">
        <f t="shared" si="7"/>
        <v>40</v>
      </c>
      <c r="B114" s="3" t="s">
        <v>26</v>
      </c>
      <c r="C114" s="3" t="s">
        <v>27</v>
      </c>
      <c r="D114" s="16"/>
      <c r="E114" s="4"/>
      <c r="F114" s="9">
        <f>+'II-I TOTAL COMPANY'!H189</f>
        <v>0</v>
      </c>
      <c r="G114" s="66">
        <f>+Distribution!I189+Meter!I189+TDCustSvc!I189</f>
        <v>0</v>
      </c>
      <c r="H114" s="66">
        <f ca="1">+Distribution!J189+Meter!J189+TDCustSvc!J189</f>
        <v>0</v>
      </c>
      <c r="I114" s="79"/>
      <c r="J114" s="66">
        <f>+Distribution!H189+Meter!H189+TDCustSvc!H189</f>
        <v>0</v>
      </c>
      <c r="K114" s="66">
        <f>+Distribution!I189+Meter!I189+TDCustSvc!I189</f>
        <v>0</v>
      </c>
      <c r="L114" s="66">
        <f ca="1">+Distribution!J189+Meter!J189+TDCustSvc!J189</f>
        <v>0</v>
      </c>
      <c r="M114" s="79"/>
      <c r="N114" s="27" t="str">
        <f t="shared" ca="1" si="8"/>
        <v>OK</v>
      </c>
    </row>
    <row r="115" spans="1:14" x14ac:dyDescent="0.2">
      <c r="A115" s="3">
        <f t="shared" si="7"/>
        <v>41</v>
      </c>
      <c r="B115" s="3" t="s">
        <v>28</v>
      </c>
      <c r="C115" s="3" t="s">
        <v>29</v>
      </c>
      <c r="D115" s="16"/>
      <c r="E115" s="4"/>
      <c r="F115" s="9">
        <f>+'II-I TOTAL COMPANY'!H190</f>
        <v>77355124.780000001</v>
      </c>
      <c r="G115" s="66">
        <f>+Distribution!I190+Meter!I190+TDCustSvc!I190</f>
        <v>0</v>
      </c>
      <c r="H115" s="66">
        <f ca="1">+Distribution!J190+Meter!J190+TDCustSvc!J190</f>
        <v>77355124.780000001</v>
      </c>
      <c r="I115" s="79">
        <f ca="1">+H115/F115</f>
        <v>1</v>
      </c>
      <c r="J115" s="66">
        <f>+Distribution!H190+Meter!H190+TDCustSvc!H190</f>
        <v>77355124.780000001</v>
      </c>
      <c r="K115" s="66">
        <f>+Distribution!I190+Meter!I190+TDCustSvc!I190</f>
        <v>0</v>
      </c>
      <c r="L115" s="66">
        <f ca="1">+Distribution!J190+Meter!J190+TDCustSvc!J190</f>
        <v>77355124.780000001</v>
      </c>
      <c r="M115" s="79">
        <f ca="1">+L115/J115</f>
        <v>1</v>
      </c>
      <c r="N115" s="27" t="str">
        <f t="shared" ca="1" si="8"/>
        <v>OK</v>
      </c>
    </row>
    <row r="116" spans="1:14" x14ac:dyDescent="0.2">
      <c r="A116" s="3">
        <f t="shared" si="7"/>
        <v>42</v>
      </c>
      <c r="B116" s="3"/>
      <c r="C116" s="3" t="s">
        <v>30</v>
      </c>
      <c r="D116" s="3"/>
      <c r="E116" s="4"/>
      <c r="F116" s="9">
        <f>+'II-I TOTAL COMPANY'!H191</f>
        <v>77355124.780000001</v>
      </c>
      <c r="G116" s="66">
        <f>+Distribution!I191+Meter!I191+TDCustSvc!I191</f>
        <v>0</v>
      </c>
      <c r="H116" s="66">
        <f ca="1">+Distribution!J191+Meter!J191+TDCustSvc!J191</f>
        <v>77355124.780000001</v>
      </c>
      <c r="I116" s="79">
        <f ca="1">+H116/F116</f>
        <v>1</v>
      </c>
      <c r="J116" s="66">
        <f>+Distribution!H191+Meter!H191+TDCustSvc!H191</f>
        <v>77355124.780000001</v>
      </c>
      <c r="K116" s="66">
        <f>+Distribution!I191+Meter!I191+TDCustSvc!I191</f>
        <v>0</v>
      </c>
      <c r="L116" s="66">
        <f ca="1">+Distribution!J191+Meter!J191+TDCustSvc!J191</f>
        <v>77355124.780000001</v>
      </c>
      <c r="M116" s="79">
        <f ca="1">+L116/J116</f>
        <v>1</v>
      </c>
      <c r="N116" s="27" t="str">
        <f t="shared" ca="1" si="8"/>
        <v>OK</v>
      </c>
    </row>
    <row r="117" spans="1:14" x14ac:dyDescent="0.2">
      <c r="A117" s="3"/>
      <c r="B117" s="3"/>
      <c r="C117" s="3"/>
      <c r="D117" s="3"/>
      <c r="E117" s="4"/>
      <c r="F117" s="9"/>
      <c r="G117" s="66"/>
      <c r="H117" s="66"/>
      <c r="I117" s="79"/>
      <c r="J117" s="79"/>
      <c r="K117" s="79"/>
      <c r="L117" s="79"/>
      <c r="M117" s="79"/>
      <c r="N117" s="27" t="str">
        <f t="shared" si="8"/>
        <v>OK</v>
      </c>
    </row>
    <row r="118" spans="1:14" x14ac:dyDescent="0.2">
      <c r="A118" s="3"/>
      <c r="B118" s="7" t="s">
        <v>113</v>
      </c>
      <c r="C118" s="3"/>
      <c r="D118" s="3"/>
      <c r="E118" s="4"/>
      <c r="F118" s="9"/>
      <c r="G118" s="66"/>
      <c r="H118" s="66"/>
      <c r="I118" s="79"/>
      <c r="J118" s="79"/>
      <c r="K118" s="79"/>
      <c r="L118" s="79"/>
      <c r="M118" s="79"/>
      <c r="N118" s="27" t="str">
        <f t="shared" si="8"/>
        <v>OK</v>
      </c>
    </row>
    <row r="119" spans="1:14" x14ac:dyDescent="0.2">
      <c r="A119" s="3"/>
      <c r="B119" s="3"/>
      <c r="C119" s="3"/>
      <c r="D119" s="3"/>
      <c r="E119" s="4"/>
      <c r="F119" s="9"/>
      <c r="G119" s="66"/>
      <c r="H119" s="66"/>
      <c r="I119" s="79"/>
      <c r="J119" s="79"/>
      <c r="K119" s="79"/>
      <c r="L119" s="79"/>
      <c r="M119" s="79"/>
      <c r="N119" s="27" t="str">
        <f t="shared" si="8"/>
        <v>OK</v>
      </c>
    </row>
    <row r="120" spans="1:14" x14ac:dyDescent="0.2">
      <c r="A120" s="3">
        <v>1</v>
      </c>
      <c r="B120" s="3" t="s">
        <v>112</v>
      </c>
      <c r="C120" s="3"/>
      <c r="D120" s="3"/>
      <c r="E120" s="4"/>
      <c r="F120" s="9"/>
      <c r="G120" s="66"/>
      <c r="H120" s="66"/>
      <c r="I120" s="79"/>
      <c r="J120" s="79"/>
      <c r="K120" s="79"/>
      <c r="L120" s="79"/>
      <c r="M120" s="79"/>
      <c r="N120" s="27" t="str">
        <f t="shared" si="8"/>
        <v>OK</v>
      </c>
    </row>
    <row r="121" spans="1:14" x14ac:dyDescent="0.2">
      <c r="A121" s="3">
        <f t="shared" ref="A121:A174" si="9">+A120+1</f>
        <v>2</v>
      </c>
      <c r="B121" s="3"/>
      <c r="C121" s="3"/>
      <c r="D121" s="3"/>
      <c r="E121" s="4"/>
      <c r="F121" s="9"/>
      <c r="G121" s="66"/>
      <c r="H121" s="66"/>
      <c r="I121" s="79"/>
      <c r="J121" s="79"/>
      <c r="K121" s="79"/>
      <c r="L121" s="79"/>
      <c r="M121" s="79"/>
      <c r="N121" s="27" t="str">
        <f t="shared" si="8"/>
        <v>OK</v>
      </c>
    </row>
    <row r="122" spans="1:14" x14ac:dyDescent="0.2">
      <c r="A122" s="3">
        <f t="shared" si="9"/>
        <v>3</v>
      </c>
      <c r="B122" s="3" t="s">
        <v>33</v>
      </c>
      <c r="C122" s="3"/>
      <c r="D122" s="3"/>
      <c r="E122" s="4"/>
      <c r="F122" s="9"/>
      <c r="G122" s="66"/>
      <c r="H122" s="66"/>
      <c r="I122" s="79"/>
      <c r="J122" s="79"/>
      <c r="K122" s="79"/>
      <c r="L122" s="79"/>
      <c r="M122" s="79"/>
      <c r="N122" s="27" t="str">
        <f t="shared" si="8"/>
        <v>OK</v>
      </c>
    </row>
    <row r="123" spans="1:14" x14ac:dyDescent="0.2">
      <c r="A123" s="3">
        <f t="shared" si="9"/>
        <v>4</v>
      </c>
      <c r="B123" s="3" t="s">
        <v>34</v>
      </c>
      <c r="C123" s="3" t="s">
        <v>35</v>
      </c>
      <c r="D123" s="3"/>
      <c r="E123" s="4"/>
      <c r="F123" s="9">
        <f>+'II-I TOTAL COMPANY'!H198</f>
        <v>0</v>
      </c>
      <c r="G123" s="66">
        <f>+Distribution!I198+Meter!I198+TDCustSvc!I198</f>
        <v>0</v>
      </c>
      <c r="H123" s="66">
        <f>+Distribution!J198+Meter!J198+TDCustSvc!J198</f>
        <v>0</v>
      </c>
      <c r="I123" s="66">
        <f>IFERROR(+H123/F123,)</f>
        <v>0</v>
      </c>
      <c r="J123" s="66">
        <f>+Distribution!H198+Meter!H198+TDCustSvc!H198</f>
        <v>0</v>
      </c>
      <c r="K123" s="66">
        <f>+Distribution!I198+Meter!I198+TDCustSvc!I198</f>
        <v>0</v>
      </c>
      <c r="L123" s="66">
        <f>+Distribution!J198+Meter!J198+TDCustSvc!J198</f>
        <v>0</v>
      </c>
      <c r="M123" s="66">
        <f>IFERROR(+L123/J123,0)</f>
        <v>0</v>
      </c>
      <c r="N123" s="27" t="str">
        <f t="shared" si="8"/>
        <v>OK</v>
      </c>
    </row>
    <row r="124" spans="1:14" x14ac:dyDescent="0.2">
      <c r="A124" s="3">
        <f t="shared" si="9"/>
        <v>5</v>
      </c>
      <c r="B124" s="3" t="s">
        <v>36</v>
      </c>
      <c r="C124" s="3" t="s">
        <v>31</v>
      </c>
      <c r="D124" s="3"/>
      <c r="E124" s="4"/>
      <c r="F124" s="9">
        <f>+'II-I TOTAL COMPANY'!H199</f>
        <v>0</v>
      </c>
      <c r="G124" s="66">
        <f>+Distribution!I199+Meter!I199+TDCustSvc!I199</f>
        <v>0</v>
      </c>
      <c r="H124" s="66">
        <f>+Distribution!J199+Meter!J199+TDCustSvc!J199</f>
        <v>0</v>
      </c>
      <c r="I124" s="66">
        <f t="shared" ref="I124:I133" si="10">IFERROR(+H124/F124,)</f>
        <v>0</v>
      </c>
      <c r="J124" s="66">
        <f>+Distribution!H199+Meter!H199+TDCustSvc!H199</f>
        <v>0</v>
      </c>
      <c r="K124" s="66">
        <f>+Distribution!I199+Meter!I199+TDCustSvc!I199</f>
        <v>0</v>
      </c>
      <c r="L124" s="66">
        <f>+Distribution!J199+Meter!J199+TDCustSvc!J199</f>
        <v>0</v>
      </c>
      <c r="M124" s="66">
        <f t="shared" ref="M124:M133" si="11">IFERROR(+L124/J124,0)</f>
        <v>0</v>
      </c>
      <c r="N124" s="27" t="str">
        <f t="shared" si="8"/>
        <v>OK</v>
      </c>
    </row>
    <row r="125" spans="1:14" x14ac:dyDescent="0.2">
      <c r="A125" s="3">
        <f t="shared" si="9"/>
        <v>6</v>
      </c>
      <c r="B125" s="3" t="s">
        <v>37</v>
      </c>
      <c r="C125" s="3" t="s">
        <v>38</v>
      </c>
      <c r="D125" s="3"/>
      <c r="E125" s="4"/>
      <c r="F125" s="9">
        <f>+'II-I TOTAL COMPANY'!H200</f>
        <v>0</v>
      </c>
      <c r="G125" s="66">
        <f>+Distribution!I200+Meter!I200+TDCustSvc!I200</f>
        <v>0</v>
      </c>
      <c r="H125" s="66">
        <f>+Distribution!J200+Meter!J200+TDCustSvc!J200</f>
        <v>0</v>
      </c>
      <c r="I125" s="66">
        <f t="shared" si="10"/>
        <v>0</v>
      </c>
      <c r="J125" s="66">
        <f>+Distribution!H200+Meter!H200+TDCustSvc!H200</f>
        <v>0</v>
      </c>
      <c r="K125" s="66">
        <f>+Distribution!I200+Meter!I200+TDCustSvc!I200</f>
        <v>0</v>
      </c>
      <c r="L125" s="66">
        <f>+Distribution!J200+Meter!J200+TDCustSvc!J200</f>
        <v>0</v>
      </c>
      <c r="M125" s="66">
        <f t="shared" si="11"/>
        <v>0</v>
      </c>
      <c r="N125" s="27" t="str">
        <f t="shared" si="8"/>
        <v>OK</v>
      </c>
    </row>
    <row r="126" spans="1:14" x14ac:dyDescent="0.2">
      <c r="A126" s="3">
        <f t="shared" si="9"/>
        <v>7</v>
      </c>
      <c r="B126" s="3" t="s">
        <v>39</v>
      </c>
      <c r="C126" s="3" t="s">
        <v>40</v>
      </c>
      <c r="D126" s="3"/>
      <c r="E126" s="4"/>
      <c r="F126" s="9">
        <f>+'II-I TOTAL COMPANY'!H201</f>
        <v>0</v>
      </c>
      <c r="G126" s="66">
        <f>+Distribution!I201+Meter!I201+TDCustSvc!I201</f>
        <v>0</v>
      </c>
      <c r="H126" s="66">
        <f>+Distribution!J201+Meter!J201+TDCustSvc!J201</f>
        <v>0</v>
      </c>
      <c r="I126" s="66">
        <f t="shared" si="10"/>
        <v>0</v>
      </c>
      <c r="J126" s="66">
        <f>+Distribution!H201+Meter!H201+TDCustSvc!H201</f>
        <v>0</v>
      </c>
      <c r="K126" s="66">
        <f>+Distribution!I201+Meter!I201+TDCustSvc!I201</f>
        <v>0</v>
      </c>
      <c r="L126" s="66">
        <f>+Distribution!J201+Meter!J201+TDCustSvc!J201</f>
        <v>0</v>
      </c>
      <c r="M126" s="66">
        <f t="shared" si="11"/>
        <v>0</v>
      </c>
      <c r="N126" s="27" t="str">
        <f t="shared" si="8"/>
        <v>OK</v>
      </c>
    </row>
    <row r="127" spans="1:14" x14ac:dyDescent="0.2">
      <c r="A127" s="3">
        <f t="shared" si="9"/>
        <v>8</v>
      </c>
      <c r="B127" s="3" t="s">
        <v>41</v>
      </c>
      <c r="C127" s="3" t="s">
        <v>42</v>
      </c>
      <c r="D127" s="3"/>
      <c r="E127" s="4"/>
      <c r="F127" s="9">
        <f>+'II-I TOTAL COMPANY'!H202</f>
        <v>0</v>
      </c>
      <c r="G127" s="66">
        <f>+Distribution!I202+Meter!I202+TDCustSvc!I202</f>
        <v>0</v>
      </c>
      <c r="H127" s="66">
        <f>+Distribution!J202+Meter!J202+TDCustSvc!J202</f>
        <v>0</v>
      </c>
      <c r="I127" s="66">
        <f t="shared" si="10"/>
        <v>0</v>
      </c>
      <c r="J127" s="66">
        <f>+Distribution!H202+Meter!H202+TDCustSvc!H202</f>
        <v>0</v>
      </c>
      <c r="K127" s="66">
        <f>+Distribution!I202+Meter!I202+TDCustSvc!I202</f>
        <v>0</v>
      </c>
      <c r="L127" s="66">
        <f>+Distribution!J202+Meter!J202+TDCustSvc!J202</f>
        <v>0</v>
      </c>
      <c r="M127" s="66">
        <f t="shared" si="11"/>
        <v>0</v>
      </c>
      <c r="N127" s="27" t="str">
        <f t="shared" si="8"/>
        <v>OK</v>
      </c>
    </row>
    <row r="128" spans="1:14" x14ac:dyDescent="0.2">
      <c r="A128" s="3">
        <f t="shared" si="9"/>
        <v>9</v>
      </c>
      <c r="B128" s="3" t="s">
        <v>43</v>
      </c>
      <c r="C128" s="3" t="s">
        <v>44</v>
      </c>
      <c r="D128" s="3"/>
      <c r="E128" s="4"/>
      <c r="F128" s="9">
        <f>+'II-I TOTAL COMPANY'!H203</f>
        <v>0</v>
      </c>
      <c r="G128" s="66">
        <f>+Distribution!I203+Meter!I203+TDCustSvc!I203</f>
        <v>0</v>
      </c>
      <c r="H128" s="66">
        <f>+Distribution!J203+Meter!J203+TDCustSvc!J203</f>
        <v>0</v>
      </c>
      <c r="I128" s="66">
        <f t="shared" si="10"/>
        <v>0</v>
      </c>
      <c r="J128" s="66">
        <f>+Distribution!H203+Meter!H203+TDCustSvc!H203</f>
        <v>0</v>
      </c>
      <c r="K128" s="66">
        <f>+Distribution!I203+Meter!I203+TDCustSvc!I203</f>
        <v>0</v>
      </c>
      <c r="L128" s="66">
        <f>+Distribution!J203+Meter!J203+TDCustSvc!J203</f>
        <v>0</v>
      </c>
      <c r="M128" s="66">
        <f t="shared" si="11"/>
        <v>0</v>
      </c>
      <c r="N128" s="27" t="str">
        <f t="shared" si="8"/>
        <v>OK</v>
      </c>
    </row>
    <row r="129" spans="1:14" x14ac:dyDescent="0.2">
      <c r="A129" s="3">
        <f t="shared" si="9"/>
        <v>10</v>
      </c>
      <c r="B129" s="3" t="s">
        <v>45</v>
      </c>
      <c r="C129" s="3" t="s">
        <v>46</v>
      </c>
      <c r="D129" s="3"/>
      <c r="E129" s="4"/>
      <c r="F129" s="9">
        <f>+'II-I TOTAL COMPANY'!H204</f>
        <v>0</v>
      </c>
      <c r="G129" s="66">
        <f>+Distribution!I204+Meter!I204+TDCustSvc!I204</f>
        <v>0</v>
      </c>
      <c r="H129" s="66">
        <f>+Distribution!J204+Meter!J204+TDCustSvc!J204</f>
        <v>0</v>
      </c>
      <c r="I129" s="66">
        <f t="shared" si="10"/>
        <v>0</v>
      </c>
      <c r="J129" s="66">
        <f>+Distribution!H204+Meter!H204+TDCustSvc!H204</f>
        <v>0</v>
      </c>
      <c r="K129" s="66">
        <f>+Distribution!I204+Meter!I204+TDCustSvc!I204</f>
        <v>0</v>
      </c>
      <c r="L129" s="66">
        <f>+Distribution!J204+Meter!J204+TDCustSvc!J204</f>
        <v>0</v>
      </c>
      <c r="M129" s="66">
        <f t="shared" si="11"/>
        <v>0</v>
      </c>
      <c r="N129" s="27" t="str">
        <f t="shared" si="8"/>
        <v>OK</v>
      </c>
    </row>
    <row r="130" spans="1:14" x14ac:dyDescent="0.2">
      <c r="A130" s="3">
        <f t="shared" si="9"/>
        <v>11</v>
      </c>
      <c r="B130" s="3" t="s">
        <v>47</v>
      </c>
      <c r="C130" s="3" t="s">
        <v>48</v>
      </c>
      <c r="D130" s="3"/>
      <c r="E130" s="4"/>
      <c r="F130" s="9">
        <f>+'II-I TOTAL COMPANY'!H205</f>
        <v>0</v>
      </c>
      <c r="G130" s="66">
        <f>+Distribution!I205+Meter!I205+TDCustSvc!I205</f>
        <v>0</v>
      </c>
      <c r="H130" s="66">
        <f>+Distribution!J205+Meter!J205+TDCustSvc!J205</f>
        <v>0</v>
      </c>
      <c r="I130" s="66">
        <f t="shared" si="10"/>
        <v>0</v>
      </c>
      <c r="J130" s="66">
        <f>+Distribution!H205+Meter!H205+TDCustSvc!H205</f>
        <v>0</v>
      </c>
      <c r="K130" s="66">
        <f>+Distribution!I205+Meter!I205+TDCustSvc!I205</f>
        <v>0</v>
      </c>
      <c r="L130" s="66">
        <f>+Distribution!J205+Meter!J205+TDCustSvc!J205</f>
        <v>0</v>
      </c>
      <c r="M130" s="66">
        <f t="shared" si="11"/>
        <v>0</v>
      </c>
      <c r="N130" s="27" t="str">
        <f t="shared" si="8"/>
        <v>OK</v>
      </c>
    </row>
    <row r="131" spans="1:14" x14ac:dyDescent="0.2">
      <c r="A131" s="3">
        <f t="shared" si="9"/>
        <v>12</v>
      </c>
      <c r="B131" s="3" t="s">
        <v>49</v>
      </c>
      <c r="C131" s="3" t="s">
        <v>50</v>
      </c>
      <c r="D131" s="3"/>
      <c r="E131" s="4"/>
      <c r="F131" s="9">
        <f>+'II-I TOTAL COMPANY'!H206</f>
        <v>0</v>
      </c>
      <c r="G131" s="66">
        <f>+Distribution!I206+Meter!I206+TDCustSvc!I206</f>
        <v>0</v>
      </c>
      <c r="H131" s="66">
        <f>+Distribution!J206+Meter!J206+TDCustSvc!J206</f>
        <v>0</v>
      </c>
      <c r="I131" s="66">
        <f t="shared" si="10"/>
        <v>0</v>
      </c>
      <c r="J131" s="66">
        <f>+Distribution!H206+Meter!H206+TDCustSvc!H206</f>
        <v>0</v>
      </c>
      <c r="K131" s="66">
        <f>+Distribution!I206+Meter!I206+TDCustSvc!I206</f>
        <v>0</v>
      </c>
      <c r="L131" s="66">
        <f>+Distribution!J206+Meter!J206+TDCustSvc!J206</f>
        <v>0</v>
      </c>
      <c r="M131" s="66">
        <f t="shared" si="11"/>
        <v>0</v>
      </c>
      <c r="N131" s="27" t="str">
        <f t="shared" si="8"/>
        <v>OK</v>
      </c>
    </row>
    <row r="132" spans="1:14" x14ac:dyDescent="0.2">
      <c r="A132" s="3">
        <f t="shared" si="9"/>
        <v>13</v>
      </c>
      <c r="B132" s="3"/>
      <c r="C132" s="3"/>
      <c r="D132" s="3"/>
      <c r="E132" s="4"/>
      <c r="F132" s="9"/>
      <c r="G132" s="66"/>
      <c r="H132" s="66"/>
      <c r="I132" s="66"/>
      <c r="J132" s="79"/>
      <c r="K132" s="79"/>
      <c r="L132" s="79"/>
      <c r="M132" s="66"/>
      <c r="N132" s="27" t="str">
        <f t="shared" si="8"/>
        <v>OK</v>
      </c>
    </row>
    <row r="133" spans="1:14" x14ac:dyDescent="0.2">
      <c r="A133" s="3">
        <f t="shared" si="9"/>
        <v>14</v>
      </c>
      <c r="B133" s="3"/>
      <c r="C133" s="3" t="s">
        <v>51</v>
      </c>
      <c r="D133" s="3"/>
      <c r="E133" s="4"/>
      <c r="F133" s="9">
        <f>+'II-I TOTAL COMPANY'!H208</f>
        <v>0</v>
      </c>
      <c r="G133" s="66">
        <f>+Distribution!I208+Meter!I208+TDCustSvc!I208</f>
        <v>0</v>
      </c>
      <c r="H133" s="66">
        <f>+Distribution!J208+Meter!J208+TDCustSvc!J208</f>
        <v>0</v>
      </c>
      <c r="I133" s="66">
        <f t="shared" si="10"/>
        <v>0</v>
      </c>
      <c r="J133" s="66">
        <f>+Distribution!H208+Meter!H208+TDCustSvc!H208</f>
        <v>0</v>
      </c>
      <c r="K133" s="66">
        <f>+Distribution!I208+Meter!I208+TDCustSvc!I208</f>
        <v>0</v>
      </c>
      <c r="L133" s="66">
        <f>+Distribution!J208+Meter!J208+TDCustSvc!J208</f>
        <v>0</v>
      </c>
      <c r="M133" s="66">
        <f t="shared" si="11"/>
        <v>0</v>
      </c>
      <c r="N133" s="27" t="str">
        <f t="shared" si="8"/>
        <v>OK</v>
      </c>
    </row>
    <row r="134" spans="1:14" x14ac:dyDescent="0.2">
      <c r="A134" s="3">
        <f t="shared" si="9"/>
        <v>15</v>
      </c>
      <c r="B134" s="3"/>
      <c r="C134" s="3"/>
      <c r="D134" s="3"/>
      <c r="E134" s="4"/>
      <c r="F134" s="9"/>
      <c r="G134" s="66"/>
      <c r="H134" s="66"/>
      <c r="I134" s="79"/>
      <c r="J134" s="79"/>
      <c r="K134" s="79"/>
      <c r="L134" s="79"/>
      <c r="M134" s="79"/>
      <c r="N134" s="27" t="str">
        <f t="shared" si="8"/>
        <v>OK</v>
      </c>
    </row>
    <row r="135" spans="1:14" x14ac:dyDescent="0.2">
      <c r="A135" s="3">
        <f t="shared" si="9"/>
        <v>16</v>
      </c>
      <c r="B135" s="3" t="s">
        <v>52</v>
      </c>
      <c r="C135" s="3"/>
      <c r="D135" s="3"/>
      <c r="E135" s="4"/>
      <c r="F135" s="9"/>
      <c r="G135" s="66"/>
      <c r="H135" s="66"/>
      <c r="I135" s="79"/>
      <c r="J135" s="79"/>
      <c r="K135" s="79"/>
      <c r="L135" s="79"/>
      <c r="M135" s="79"/>
      <c r="N135" s="27" t="str">
        <f t="shared" si="8"/>
        <v>OK</v>
      </c>
    </row>
    <row r="136" spans="1:14" x14ac:dyDescent="0.2">
      <c r="A136" s="3">
        <f t="shared" si="9"/>
        <v>17</v>
      </c>
      <c r="B136" s="3" t="s">
        <v>53</v>
      </c>
      <c r="C136" s="3" t="s">
        <v>35</v>
      </c>
      <c r="D136" s="3"/>
      <c r="E136" s="4"/>
      <c r="F136" s="9">
        <f>+'II-I TOTAL COMPANY'!H211</f>
        <v>1348532.2799999998</v>
      </c>
      <c r="G136" s="66">
        <f>+Distribution!I211+Meter!I211+TDCustSvc!I211</f>
        <v>0</v>
      </c>
      <c r="H136" s="66">
        <f>+Distribution!J211+Meter!J211+TDCustSvc!J211</f>
        <v>1348532.28</v>
      </c>
      <c r="I136" s="79">
        <f>+H136/F136</f>
        <v>1.0000000000000002</v>
      </c>
      <c r="J136" s="66">
        <f>+Distribution!H211+Meter!H211+TDCustSvc!H211</f>
        <v>1348532.2799999998</v>
      </c>
      <c r="K136" s="66">
        <f>+Distribution!I211+Meter!I211+TDCustSvc!I211</f>
        <v>0</v>
      </c>
      <c r="L136" s="66">
        <f>+Distribution!J211+Meter!J211+TDCustSvc!J211</f>
        <v>1348532.28</v>
      </c>
      <c r="M136" s="79">
        <f>+L136/J136</f>
        <v>1.0000000000000002</v>
      </c>
      <c r="N136" s="27" t="str">
        <f t="shared" si="8"/>
        <v>OK</v>
      </c>
    </row>
    <row r="137" spans="1:14" x14ac:dyDescent="0.2">
      <c r="A137" s="3">
        <f t="shared" si="9"/>
        <v>18</v>
      </c>
      <c r="B137" s="3" t="s">
        <v>54</v>
      </c>
      <c r="C137" s="3" t="s">
        <v>31</v>
      </c>
      <c r="D137" s="3"/>
      <c r="E137" s="4"/>
      <c r="F137" s="9">
        <f>+'II-I TOTAL COMPANY'!H212</f>
        <v>4920819.7878222782</v>
      </c>
      <c r="G137" s="66">
        <f>+Distribution!I212+Meter!I212+TDCustSvc!I212</f>
        <v>0</v>
      </c>
      <c r="H137" s="66">
        <f>+Distribution!J212+Meter!J212+TDCustSvc!J212</f>
        <v>4920819.7878222782</v>
      </c>
      <c r="I137" s="79">
        <f>+H137/F137</f>
        <v>1</v>
      </c>
      <c r="J137" s="66">
        <f>+Distribution!H212+Meter!H212+TDCustSvc!H212</f>
        <v>4920819.7878222782</v>
      </c>
      <c r="K137" s="66">
        <f>+Distribution!I212+Meter!I212+TDCustSvc!I212</f>
        <v>0</v>
      </c>
      <c r="L137" s="66">
        <f>+Distribution!J212+Meter!J212+TDCustSvc!J212</f>
        <v>4920819.7878222782</v>
      </c>
      <c r="M137" s="79">
        <f>+L137/J137</f>
        <v>1</v>
      </c>
      <c r="N137" s="27" t="str">
        <f t="shared" si="8"/>
        <v>OK</v>
      </c>
    </row>
    <row r="138" spans="1:14" x14ac:dyDescent="0.2">
      <c r="A138" s="3">
        <f t="shared" si="9"/>
        <v>19</v>
      </c>
      <c r="B138" s="3" t="s">
        <v>55</v>
      </c>
      <c r="C138" s="3" t="s">
        <v>38</v>
      </c>
      <c r="D138" s="3"/>
      <c r="E138" s="4"/>
      <c r="F138" s="9">
        <f>+'II-I TOTAL COMPANY'!H213</f>
        <v>97006634.035425827</v>
      </c>
      <c r="G138" s="66">
        <f>+Distribution!I213+Meter!I213+TDCustSvc!I213</f>
        <v>0</v>
      </c>
      <c r="H138" s="66">
        <f>+Distribution!J213+Meter!J213+TDCustSvc!J213</f>
        <v>97006634.035425872</v>
      </c>
      <c r="I138" s="79">
        <f>+H138/F138</f>
        <v>1.0000000000000004</v>
      </c>
      <c r="J138" s="66">
        <f>+Distribution!H213+Meter!H213+TDCustSvc!H213</f>
        <v>97006634.035425827</v>
      </c>
      <c r="K138" s="66">
        <f>+Distribution!I213+Meter!I213+TDCustSvc!I213</f>
        <v>0</v>
      </c>
      <c r="L138" s="66">
        <f>+Distribution!J213+Meter!J213+TDCustSvc!J213</f>
        <v>97006634.035425872</v>
      </c>
      <c r="M138" s="79">
        <f>+L138/J138</f>
        <v>1.0000000000000004</v>
      </c>
      <c r="N138" s="27">
        <f t="shared" si="8"/>
        <v>0</v>
      </c>
    </row>
    <row r="139" spans="1:14" x14ac:dyDescent="0.2">
      <c r="A139" s="3">
        <f t="shared" si="9"/>
        <v>20</v>
      </c>
      <c r="B139" s="3" t="s">
        <v>56</v>
      </c>
      <c r="C139" s="3" t="s">
        <v>57</v>
      </c>
      <c r="D139" s="3"/>
      <c r="E139" s="4"/>
      <c r="F139" s="9">
        <f>+'II-I TOTAL COMPANY'!H214</f>
        <v>0</v>
      </c>
      <c r="G139" s="66">
        <f>+Distribution!I214+Meter!I214+TDCustSvc!I214</f>
        <v>0</v>
      </c>
      <c r="H139" s="66">
        <f>+Distribution!J214+Meter!J214+TDCustSvc!J214</f>
        <v>0</v>
      </c>
      <c r="I139" s="79"/>
      <c r="J139" s="66">
        <f>+Distribution!H214+Meter!H214+TDCustSvc!H214</f>
        <v>0</v>
      </c>
      <c r="K139" s="66">
        <f>+Distribution!I214+Meter!I214+TDCustSvc!I214</f>
        <v>0</v>
      </c>
      <c r="L139" s="66">
        <f>+Distribution!J214+Meter!J214+TDCustSvc!J214</f>
        <v>0</v>
      </c>
      <c r="M139" s="79"/>
      <c r="N139" s="27" t="str">
        <f t="shared" si="8"/>
        <v>OK</v>
      </c>
    </row>
    <row r="140" spans="1:14" x14ac:dyDescent="0.2">
      <c r="A140" s="3">
        <f t="shared" si="9"/>
        <v>21</v>
      </c>
      <c r="B140" s="3" t="s">
        <v>58</v>
      </c>
      <c r="C140" s="3" t="s">
        <v>59</v>
      </c>
      <c r="D140" s="3"/>
      <c r="E140" s="4"/>
      <c r="F140" s="9">
        <f>+'II-I TOTAL COMPANY'!H215</f>
        <v>367132765.50797564</v>
      </c>
      <c r="G140" s="66">
        <f>+Distribution!I215+Meter!I215+TDCustSvc!I215</f>
        <v>0</v>
      </c>
      <c r="H140" s="66">
        <f>+Distribution!J215+Meter!J215+TDCustSvc!J215</f>
        <v>367132765.50797564</v>
      </c>
      <c r="I140" s="79">
        <f t="shared" ref="I140:I147" si="12">+H140/F140</f>
        <v>1</v>
      </c>
      <c r="J140" s="66">
        <f>+Distribution!H215+Meter!H215+TDCustSvc!H215</f>
        <v>367132765.50797564</v>
      </c>
      <c r="K140" s="66">
        <f>+Distribution!I215+Meter!I215+TDCustSvc!I215</f>
        <v>0</v>
      </c>
      <c r="L140" s="66">
        <f>+Distribution!J215+Meter!J215+TDCustSvc!J215</f>
        <v>367132765.50797564</v>
      </c>
      <c r="M140" s="79">
        <f t="shared" ref="M140:M147" si="13">+L140/J140</f>
        <v>1</v>
      </c>
      <c r="N140" s="27" t="str">
        <f t="shared" si="8"/>
        <v>OK</v>
      </c>
    </row>
    <row r="141" spans="1:14" x14ac:dyDescent="0.2">
      <c r="A141" s="3">
        <f t="shared" si="9"/>
        <v>22</v>
      </c>
      <c r="B141" s="3" t="s">
        <v>63</v>
      </c>
      <c r="C141" s="3" t="s">
        <v>44</v>
      </c>
      <c r="D141" s="3"/>
      <c r="E141" s="4"/>
      <c r="F141" s="9">
        <f>+'II-I TOTAL COMPANY'!H216</f>
        <v>275873011.18854189</v>
      </c>
      <c r="G141" s="66">
        <f>+Distribution!I216+Meter!I216+TDCustSvc!I216</f>
        <v>0</v>
      </c>
      <c r="H141" s="66">
        <f>+Distribution!J216+Meter!J216+TDCustSvc!J216</f>
        <v>275873011.18854183</v>
      </c>
      <c r="I141" s="79">
        <f t="shared" si="12"/>
        <v>0.99999999999999978</v>
      </c>
      <c r="J141" s="66">
        <f>+Distribution!H216+Meter!H216+TDCustSvc!H216</f>
        <v>275873011.18854189</v>
      </c>
      <c r="K141" s="66">
        <f>+Distribution!I216+Meter!I216+TDCustSvc!I216</f>
        <v>0</v>
      </c>
      <c r="L141" s="66">
        <f>+Distribution!J216+Meter!J216+TDCustSvc!J216</f>
        <v>275873011.18854183</v>
      </c>
      <c r="M141" s="79">
        <f t="shared" si="13"/>
        <v>0.99999999999999978</v>
      </c>
      <c r="N141" s="27" t="str">
        <f t="shared" si="8"/>
        <v>OK</v>
      </c>
    </row>
    <row r="142" spans="1:14" x14ac:dyDescent="0.2">
      <c r="A142" s="3">
        <f t="shared" si="9"/>
        <v>23</v>
      </c>
      <c r="B142" s="3" t="s">
        <v>64</v>
      </c>
      <c r="C142" s="3" t="s">
        <v>65</v>
      </c>
      <c r="D142" s="3"/>
      <c r="E142" s="4"/>
      <c r="F142" s="9">
        <f>+'II-I TOTAL COMPANY'!H217</f>
        <v>31144883.420259144</v>
      </c>
      <c r="G142" s="66">
        <f>+Distribution!I217+Meter!I217+TDCustSvc!I217</f>
        <v>0</v>
      </c>
      <c r="H142" s="66">
        <f>+Distribution!J217+Meter!J217+TDCustSvc!J217</f>
        <v>31144883.420259133</v>
      </c>
      <c r="I142" s="79">
        <f t="shared" si="12"/>
        <v>0.99999999999999967</v>
      </c>
      <c r="J142" s="66">
        <f>+Distribution!H217+Meter!H217+TDCustSvc!H217</f>
        <v>31144883.420259144</v>
      </c>
      <c r="K142" s="66">
        <f>+Distribution!I217+Meter!I217+TDCustSvc!I217</f>
        <v>0</v>
      </c>
      <c r="L142" s="66">
        <f>+Distribution!J217+Meter!J217+TDCustSvc!J217</f>
        <v>31144883.420259133</v>
      </c>
      <c r="M142" s="79">
        <f t="shared" si="13"/>
        <v>0.99999999999999967</v>
      </c>
      <c r="N142" s="27" t="str">
        <f t="shared" si="8"/>
        <v>OK</v>
      </c>
    </row>
    <row r="143" spans="1:14" x14ac:dyDescent="0.2">
      <c r="A143" s="3">
        <f t="shared" si="9"/>
        <v>24</v>
      </c>
      <c r="B143" s="3" t="s">
        <v>66</v>
      </c>
      <c r="C143" s="3" t="s">
        <v>67</v>
      </c>
      <c r="D143" s="3"/>
      <c r="E143" s="4"/>
      <c r="F143" s="9">
        <f>+'II-I TOTAL COMPANY'!H218</f>
        <v>127965713.43418217</v>
      </c>
      <c r="G143" s="66">
        <f>+Distribution!I218+Meter!I218+TDCustSvc!I218</f>
        <v>0</v>
      </c>
      <c r="H143" s="66">
        <f>+Distribution!J218+Meter!J218+TDCustSvc!J218</f>
        <v>127965713.4341822</v>
      </c>
      <c r="I143" s="79">
        <f t="shared" si="12"/>
        <v>1.0000000000000002</v>
      </c>
      <c r="J143" s="66">
        <f>+Distribution!H218+Meter!H218+TDCustSvc!H218</f>
        <v>127965713.43418217</v>
      </c>
      <c r="K143" s="66">
        <f>+Distribution!I218+Meter!I218+TDCustSvc!I218</f>
        <v>0</v>
      </c>
      <c r="L143" s="66">
        <f>+Distribution!J218+Meter!J218+TDCustSvc!J218</f>
        <v>127965713.4341822</v>
      </c>
      <c r="M143" s="79">
        <f t="shared" si="13"/>
        <v>1.0000000000000002</v>
      </c>
      <c r="N143" s="27" t="str">
        <f t="shared" si="8"/>
        <v>OK</v>
      </c>
    </row>
    <row r="144" spans="1:14" x14ac:dyDescent="0.2">
      <c r="A144" s="3">
        <f t="shared" si="9"/>
        <v>25</v>
      </c>
      <c r="B144" s="3" t="s">
        <v>69</v>
      </c>
      <c r="C144" s="3" t="s">
        <v>70</v>
      </c>
      <c r="D144" s="3"/>
      <c r="E144" s="4"/>
      <c r="F144" s="9">
        <f>+'II-I TOTAL COMPANY'!H219</f>
        <v>139921230.22590226</v>
      </c>
      <c r="G144" s="66">
        <f>+Distribution!I219+Meter!I219+TDCustSvc!I219</f>
        <v>0</v>
      </c>
      <c r="H144" s="66">
        <f>+Distribution!J219+Meter!J219+TDCustSvc!J219</f>
        <v>139921230.22590229</v>
      </c>
      <c r="I144" s="79">
        <f t="shared" si="12"/>
        <v>1.0000000000000002</v>
      </c>
      <c r="J144" s="66">
        <f>+Distribution!H219+Meter!H219+TDCustSvc!H219</f>
        <v>139921230.22590226</v>
      </c>
      <c r="K144" s="66">
        <f>+Distribution!I219+Meter!I219+TDCustSvc!I219</f>
        <v>0</v>
      </c>
      <c r="L144" s="66">
        <f>+Distribution!J219+Meter!J219+TDCustSvc!J219</f>
        <v>139921230.22590229</v>
      </c>
      <c r="M144" s="79">
        <f t="shared" si="13"/>
        <v>1.0000000000000002</v>
      </c>
      <c r="N144" s="27" t="str">
        <f t="shared" si="8"/>
        <v>OK</v>
      </c>
    </row>
    <row r="145" spans="1:14" x14ac:dyDescent="0.2">
      <c r="A145" s="3">
        <f t="shared" si="9"/>
        <v>26</v>
      </c>
      <c r="B145" s="3" t="s">
        <v>72</v>
      </c>
      <c r="C145" s="3" t="s">
        <v>73</v>
      </c>
      <c r="D145" s="3"/>
      <c r="E145" s="4"/>
      <c r="F145" s="9">
        <f>+'II-I TOTAL COMPANY'!H220</f>
        <v>203846366.4653798</v>
      </c>
      <c r="G145" s="66">
        <f>+Distribution!I220+Meter!I220+TDCustSvc!I220</f>
        <v>0</v>
      </c>
      <c r="H145" s="66">
        <f>+Distribution!J220+Meter!J220+TDCustSvc!J220</f>
        <v>203846366.46537977</v>
      </c>
      <c r="I145" s="79">
        <f t="shared" si="12"/>
        <v>0.99999999999999989</v>
      </c>
      <c r="J145" s="66">
        <f>+Distribution!H220+Meter!H220+TDCustSvc!H220</f>
        <v>203846366.4653798</v>
      </c>
      <c r="K145" s="66">
        <f>+Distribution!I220+Meter!I220+TDCustSvc!I220</f>
        <v>0</v>
      </c>
      <c r="L145" s="66">
        <f>+Distribution!J220+Meter!J220+TDCustSvc!J220</f>
        <v>203846366.46537977</v>
      </c>
      <c r="M145" s="79">
        <f t="shared" si="13"/>
        <v>0.99999999999999989</v>
      </c>
      <c r="N145" s="27" t="str">
        <f t="shared" si="8"/>
        <v>OK</v>
      </c>
    </row>
    <row r="146" spans="1:14" x14ac:dyDescent="0.2">
      <c r="A146" s="3">
        <f t="shared" si="9"/>
        <v>27</v>
      </c>
      <c r="B146" s="3" t="s">
        <v>74</v>
      </c>
      <c r="C146" s="3" t="s">
        <v>75</v>
      </c>
      <c r="D146" s="3"/>
      <c r="E146" s="4"/>
      <c r="F146" s="9">
        <f>+'II-I TOTAL COMPANY'!H221</f>
        <v>8477322.4175511915</v>
      </c>
      <c r="G146" s="66">
        <f>+Distribution!I221+Meter!I221+TDCustSvc!I221</f>
        <v>0</v>
      </c>
      <c r="H146" s="66">
        <f>+Distribution!J221+Meter!J221+TDCustSvc!J221</f>
        <v>8477322.4175511934</v>
      </c>
      <c r="I146" s="79">
        <f t="shared" si="12"/>
        <v>1.0000000000000002</v>
      </c>
      <c r="J146" s="66">
        <f>+Distribution!H221+Meter!H221+TDCustSvc!H221</f>
        <v>8477322.4175511915</v>
      </c>
      <c r="K146" s="66">
        <f>+Distribution!I221+Meter!I221+TDCustSvc!I221</f>
        <v>0</v>
      </c>
      <c r="L146" s="66">
        <f>+Distribution!J221+Meter!J221+TDCustSvc!J221</f>
        <v>8477322.4175511934</v>
      </c>
      <c r="M146" s="79">
        <f t="shared" si="13"/>
        <v>1.0000000000000002</v>
      </c>
      <c r="N146" s="27" t="str">
        <f t="shared" si="8"/>
        <v>OK</v>
      </c>
    </row>
    <row r="147" spans="1:14" x14ac:dyDescent="0.2">
      <c r="A147" s="3">
        <f t="shared" si="9"/>
        <v>28</v>
      </c>
      <c r="B147" s="3" t="s">
        <v>76</v>
      </c>
      <c r="C147" s="3" t="s">
        <v>77</v>
      </c>
      <c r="D147" s="3"/>
      <c r="E147" s="4"/>
      <c r="F147" s="9">
        <f>+'II-I TOTAL COMPANY'!H222</f>
        <v>46747583.655845068</v>
      </c>
      <c r="G147" s="66">
        <f>+Distribution!I222+Meter!I222+TDCustSvc!I222</f>
        <v>0</v>
      </c>
      <c r="H147" s="66">
        <f>+Distribution!J222+Meter!J222+TDCustSvc!J222</f>
        <v>46747583.655845068</v>
      </c>
      <c r="I147" s="79">
        <f t="shared" si="12"/>
        <v>1</v>
      </c>
      <c r="J147" s="66">
        <f>+Distribution!H222+Meter!H222+TDCustSvc!H222</f>
        <v>46747583.655845068</v>
      </c>
      <c r="K147" s="66">
        <f>+Distribution!I222+Meter!I222+TDCustSvc!I222</f>
        <v>0</v>
      </c>
      <c r="L147" s="66">
        <f>+Distribution!J222+Meter!J222+TDCustSvc!J222</f>
        <v>46747583.655845068</v>
      </c>
      <c r="M147" s="79">
        <f t="shared" si="13"/>
        <v>1</v>
      </c>
      <c r="N147" s="27" t="str">
        <f t="shared" ref="N147:N210" si="14">IF(SUM(G147+H147)=F147,"OK",0)</f>
        <v>OK</v>
      </c>
    </row>
    <row r="148" spans="1:14" x14ac:dyDescent="0.2">
      <c r="A148" s="3">
        <f t="shared" si="9"/>
        <v>29</v>
      </c>
      <c r="B148" s="3" t="s">
        <v>78</v>
      </c>
      <c r="C148" s="3" t="s">
        <v>79</v>
      </c>
      <c r="D148" s="3"/>
      <c r="E148" s="4"/>
      <c r="F148" s="9">
        <f>+'II-I TOTAL COMPANY'!H223</f>
        <v>77789.387252660585</v>
      </c>
      <c r="G148" s="66">
        <f>+Distribution!I223+Meter!I223+TDCustSvc!I223</f>
        <v>0</v>
      </c>
      <c r="H148" s="66">
        <f>+Distribution!J223+Meter!J223+TDCustSvc!J223</f>
        <v>77789.387252660599</v>
      </c>
      <c r="I148" s="79"/>
      <c r="J148" s="66">
        <f>+Distribution!H223+Meter!H223+TDCustSvc!H223</f>
        <v>77789.387252660585</v>
      </c>
      <c r="K148" s="66">
        <f>+Distribution!I223+Meter!I223+TDCustSvc!I223</f>
        <v>0</v>
      </c>
      <c r="L148" s="66">
        <f>+Distribution!J223+Meter!J223+TDCustSvc!J223</f>
        <v>77789.387252660599</v>
      </c>
      <c r="M148" s="79"/>
      <c r="N148" s="27" t="str">
        <f t="shared" si="14"/>
        <v>OK</v>
      </c>
    </row>
    <row r="149" spans="1:14" x14ac:dyDescent="0.2">
      <c r="A149" s="3">
        <f t="shared" si="9"/>
        <v>30</v>
      </c>
      <c r="B149" s="3" t="s">
        <v>80</v>
      </c>
      <c r="C149" s="3" t="s">
        <v>81</v>
      </c>
      <c r="D149" s="3"/>
      <c r="E149" s="4"/>
      <c r="F149" s="9">
        <f>+'II-I TOTAL COMPANY'!H224</f>
        <v>32467213.260705013</v>
      </c>
      <c r="G149" s="66">
        <f>+Distribution!I224+Meter!I224+TDCustSvc!I224</f>
        <v>0</v>
      </c>
      <c r="H149" s="66">
        <f>+Distribution!J224+Meter!J224+TDCustSvc!J224</f>
        <v>32467213.260705013</v>
      </c>
      <c r="I149" s="79">
        <f>+H149/F149</f>
        <v>1</v>
      </c>
      <c r="J149" s="66">
        <f>+Distribution!H224+Meter!H224+TDCustSvc!H224</f>
        <v>32467213.260705013</v>
      </c>
      <c r="K149" s="66">
        <f>+Distribution!I224+Meter!I224+TDCustSvc!I224</f>
        <v>0</v>
      </c>
      <c r="L149" s="66">
        <f>+Distribution!J224+Meter!J224+TDCustSvc!J224</f>
        <v>32467213.260705013</v>
      </c>
      <c r="M149" s="79">
        <f>+L149/J149</f>
        <v>1</v>
      </c>
      <c r="N149" s="27" t="str">
        <f t="shared" si="14"/>
        <v>OK</v>
      </c>
    </row>
    <row r="150" spans="1:14" x14ac:dyDescent="0.2">
      <c r="A150" s="3">
        <f t="shared" si="9"/>
        <v>31</v>
      </c>
      <c r="B150" s="3" t="s">
        <v>818</v>
      </c>
      <c r="C150" s="3" t="s">
        <v>817</v>
      </c>
      <c r="D150" s="3"/>
      <c r="E150" s="4"/>
      <c r="F150" s="9">
        <f>+'II-I TOTAL COMPANY'!H225</f>
        <v>101044179.4123016</v>
      </c>
      <c r="G150" s="66">
        <f>+Distribution!I225+Meter!I225+TDCustSvc!I225</f>
        <v>0</v>
      </c>
      <c r="H150" s="66">
        <f>+Distribution!J225+Meter!J225+TDCustSvc!J225</f>
        <v>101044179.4123016</v>
      </c>
      <c r="I150" s="79">
        <f>+H150/F150</f>
        <v>1</v>
      </c>
      <c r="J150" s="66">
        <f>+Distribution!H225+Meter!H225+TDCustSvc!H225</f>
        <v>101044179.4123016</v>
      </c>
      <c r="K150" s="66">
        <f>+Distribution!I225+Meter!I225+TDCustSvc!I225</f>
        <v>0</v>
      </c>
      <c r="L150" s="66">
        <f>+Distribution!J225+Meter!J225+TDCustSvc!J225</f>
        <v>101044179.4123016</v>
      </c>
      <c r="M150" s="79">
        <f>+L150/J150</f>
        <v>1</v>
      </c>
      <c r="N150" s="27" t="str">
        <f t="shared" si="14"/>
        <v>OK</v>
      </c>
    </row>
    <row r="151" spans="1:14" x14ac:dyDescent="0.2">
      <c r="A151" s="3">
        <f t="shared" si="9"/>
        <v>32</v>
      </c>
      <c r="B151" s="3"/>
      <c r="C151" s="3" t="s">
        <v>82</v>
      </c>
      <c r="D151" s="3"/>
      <c r="E151" s="4"/>
      <c r="F151" s="9">
        <f>+'II-I TOTAL COMPANY'!H226</f>
        <v>1437974044.4791443</v>
      </c>
      <c r="G151" s="66">
        <f>+Distribution!I226+Meter!I226+TDCustSvc!I226</f>
        <v>0</v>
      </c>
      <c r="H151" s="66">
        <f>+Distribution!J226+Meter!J226+TDCustSvc!J226</f>
        <v>1437974044.4791446</v>
      </c>
      <c r="I151" s="79">
        <f>+H151/F151</f>
        <v>1.0000000000000002</v>
      </c>
      <c r="J151" s="66">
        <f>+Distribution!H226+Meter!H226+TDCustSvc!H226</f>
        <v>1437974044.4791443</v>
      </c>
      <c r="K151" s="66">
        <f>+Distribution!I226+Meter!I226+TDCustSvc!I226</f>
        <v>0</v>
      </c>
      <c r="L151" s="66">
        <f>+Distribution!J226+Meter!J226+TDCustSvc!J226</f>
        <v>1437974044.4791446</v>
      </c>
      <c r="M151" s="79">
        <f>+L151/J151</f>
        <v>1.0000000000000002</v>
      </c>
      <c r="N151" s="27" t="str">
        <f t="shared" si="14"/>
        <v>OK</v>
      </c>
    </row>
    <row r="152" spans="1:14" x14ac:dyDescent="0.2">
      <c r="A152" s="3">
        <f t="shared" si="9"/>
        <v>33</v>
      </c>
      <c r="B152" s="3"/>
      <c r="C152" s="3"/>
      <c r="D152" s="3"/>
      <c r="E152" s="4"/>
      <c r="F152" s="9"/>
      <c r="G152" s="66"/>
      <c r="H152" s="66"/>
      <c r="I152" s="79"/>
      <c r="J152" s="79"/>
      <c r="K152" s="79"/>
      <c r="L152" s="79"/>
      <c r="M152" s="79"/>
      <c r="N152" s="27" t="str">
        <f t="shared" si="14"/>
        <v>OK</v>
      </c>
    </row>
    <row r="153" spans="1:14" x14ac:dyDescent="0.2">
      <c r="A153" s="3">
        <f t="shared" si="9"/>
        <v>34</v>
      </c>
      <c r="B153" s="7" t="s">
        <v>113</v>
      </c>
      <c r="C153" s="3"/>
      <c r="D153" s="3"/>
      <c r="E153" s="4"/>
      <c r="F153" s="9"/>
      <c r="G153" s="66"/>
      <c r="H153" s="66"/>
      <c r="I153" s="79"/>
      <c r="J153" s="79"/>
      <c r="K153" s="79"/>
      <c r="L153" s="79"/>
      <c r="M153" s="79"/>
      <c r="N153" s="27" t="str">
        <f t="shared" si="14"/>
        <v>OK</v>
      </c>
    </row>
    <row r="154" spans="1:14" x14ac:dyDescent="0.2">
      <c r="A154" s="3">
        <f t="shared" si="9"/>
        <v>35</v>
      </c>
      <c r="B154" s="3"/>
      <c r="C154" s="3"/>
      <c r="D154" s="3"/>
      <c r="E154" s="4"/>
      <c r="F154" s="9"/>
      <c r="G154" s="66"/>
      <c r="H154" s="66"/>
      <c r="I154" s="79"/>
      <c r="J154" s="79"/>
      <c r="K154" s="79"/>
      <c r="L154" s="79"/>
      <c r="M154" s="79"/>
      <c r="N154" s="27" t="str">
        <f t="shared" si="14"/>
        <v>OK</v>
      </c>
    </row>
    <row r="155" spans="1:14" x14ac:dyDescent="0.2">
      <c r="A155" s="3">
        <f t="shared" si="9"/>
        <v>36</v>
      </c>
      <c r="B155" s="3" t="s">
        <v>112</v>
      </c>
      <c r="C155" s="3"/>
      <c r="D155" s="3"/>
      <c r="E155" s="4"/>
      <c r="F155" s="9"/>
      <c r="G155" s="66"/>
      <c r="H155" s="66"/>
      <c r="I155" s="79"/>
      <c r="J155" s="79"/>
      <c r="K155" s="79"/>
      <c r="L155" s="79"/>
      <c r="M155" s="79"/>
      <c r="N155" s="27" t="str">
        <f t="shared" si="14"/>
        <v>OK</v>
      </c>
    </row>
    <row r="156" spans="1:14" x14ac:dyDescent="0.2">
      <c r="A156" s="3">
        <f t="shared" si="9"/>
        <v>37</v>
      </c>
      <c r="B156" s="3"/>
      <c r="C156" s="3"/>
      <c r="D156" s="3"/>
      <c r="E156" s="4"/>
      <c r="F156" s="9"/>
      <c r="G156" s="66"/>
      <c r="H156" s="66"/>
      <c r="I156" s="79"/>
      <c r="J156" s="79"/>
      <c r="K156" s="79"/>
      <c r="L156" s="79"/>
      <c r="M156" s="79"/>
      <c r="N156" s="27" t="str">
        <f t="shared" si="14"/>
        <v>OK</v>
      </c>
    </row>
    <row r="157" spans="1:14" x14ac:dyDescent="0.2">
      <c r="A157" s="3">
        <f t="shared" si="9"/>
        <v>38</v>
      </c>
      <c r="B157" s="3" t="s">
        <v>84</v>
      </c>
      <c r="C157" s="3"/>
      <c r="D157" s="3"/>
      <c r="E157" s="4"/>
      <c r="F157" s="9"/>
      <c r="G157" s="66"/>
      <c r="H157" s="66"/>
      <c r="I157" s="79"/>
      <c r="J157" s="79"/>
      <c r="K157" s="79"/>
      <c r="L157" s="79"/>
      <c r="M157" s="79"/>
      <c r="N157" s="27" t="str">
        <f t="shared" si="14"/>
        <v>OK</v>
      </c>
    </row>
    <row r="158" spans="1:14" x14ac:dyDescent="0.2">
      <c r="A158" s="3">
        <f t="shared" si="9"/>
        <v>39</v>
      </c>
      <c r="B158" s="3" t="s">
        <v>85</v>
      </c>
      <c r="C158" s="3" t="s">
        <v>35</v>
      </c>
      <c r="D158" s="3"/>
      <c r="E158" s="4"/>
      <c r="F158" s="9">
        <f>+'II-I TOTAL COMPANY'!H233</f>
        <v>1798127.1300000001</v>
      </c>
      <c r="G158" s="66">
        <f>+Distribution!I233+Meter!I233+TDCustSvc!I233</f>
        <v>0</v>
      </c>
      <c r="H158" s="66">
        <f ca="1">+Distribution!J233+Meter!J233+TDCustSvc!J233</f>
        <v>1798127.1299999997</v>
      </c>
      <c r="I158" s="79"/>
      <c r="J158" s="66">
        <f>+Distribution!H233+Meter!H233+TDCustSvc!H233</f>
        <v>1798127.1300000001</v>
      </c>
      <c r="K158" s="66">
        <f>+Distribution!I233+Meter!I233+TDCustSvc!I233</f>
        <v>0</v>
      </c>
      <c r="L158" s="66">
        <f ca="1">+Distribution!J233+Meter!J233+TDCustSvc!J233</f>
        <v>1798127.1299999997</v>
      </c>
      <c r="M158" s="79"/>
      <c r="N158" s="27" t="str">
        <f t="shared" ca="1" si="14"/>
        <v>OK</v>
      </c>
    </row>
    <row r="159" spans="1:14" x14ac:dyDescent="0.2">
      <c r="A159" s="3">
        <f t="shared" si="9"/>
        <v>40</v>
      </c>
      <c r="B159" s="3" t="s">
        <v>86</v>
      </c>
      <c r="C159" s="3" t="s">
        <v>31</v>
      </c>
      <c r="D159" s="3"/>
      <c r="E159" s="4"/>
      <c r="F159" s="9">
        <f>+'II-I TOTAL COMPANY'!H234</f>
        <v>67508536.372994602</v>
      </c>
      <c r="G159" s="66">
        <f>+Distribution!I234+Meter!I234+TDCustSvc!I234</f>
        <v>0</v>
      </c>
      <c r="H159" s="66">
        <f ca="1">+Distribution!J234+Meter!J234+TDCustSvc!J234</f>
        <v>67508536.372994617</v>
      </c>
      <c r="I159" s="79">
        <f t="shared" ref="I159:I168" ca="1" si="15">+H159/F159</f>
        <v>1.0000000000000002</v>
      </c>
      <c r="J159" s="66">
        <f>+Distribution!H234+Meter!H234+TDCustSvc!H234</f>
        <v>67508536.372994602</v>
      </c>
      <c r="K159" s="66">
        <f>+Distribution!I234+Meter!I234+TDCustSvc!I234</f>
        <v>0</v>
      </c>
      <c r="L159" s="66">
        <f ca="1">+Distribution!J234+Meter!J234+TDCustSvc!J234</f>
        <v>67508536.372994617</v>
      </c>
      <c r="M159" s="79">
        <f t="shared" ref="M159:M168" ca="1" si="16">+L159/J159</f>
        <v>1.0000000000000002</v>
      </c>
      <c r="N159" s="27" t="str">
        <f t="shared" ca="1" si="14"/>
        <v>OK</v>
      </c>
    </row>
    <row r="160" spans="1:14" x14ac:dyDescent="0.2">
      <c r="A160" s="3">
        <f t="shared" si="9"/>
        <v>41</v>
      </c>
      <c r="B160" s="3" t="s">
        <v>87</v>
      </c>
      <c r="C160" s="3" t="s">
        <v>88</v>
      </c>
      <c r="D160" s="3"/>
      <c r="E160" s="4"/>
      <c r="F160" s="9">
        <f>+'II-I TOTAL COMPANY'!H235</f>
        <v>-493967.69841010269</v>
      </c>
      <c r="G160" s="66">
        <f>+Distribution!I235+Meter!I235+TDCustSvc!I235</f>
        <v>0</v>
      </c>
      <c r="H160" s="66">
        <f ca="1">+Distribution!J235+Meter!J235+TDCustSvc!J235</f>
        <v>-493967.69841010286</v>
      </c>
      <c r="I160" s="79">
        <f t="shared" ca="1" si="15"/>
        <v>1.0000000000000004</v>
      </c>
      <c r="J160" s="66">
        <f>+Distribution!H235+Meter!H235+TDCustSvc!H235</f>
        <v>-493967.69841010269</v>
      </c>
      <c r="K160" s="66">
        <f>+Distribution!I235+Meter!I235+TDCustSvc!I235</f>
        <v>0</v>
      </c>
      <c r="L160" s="66">
        <f ca="1">+Distribution!J235+Meter!J235+TDCustSvc!J235</f>
        <v>-493967.69841010286</v>
      </c>
      <c r="M160" s="79">
        <f t="shared" ca="1" si="16"/>
        <v>1.0000000000000004</v>
      </c>
      <c r="N160" s="27" t="str">
        <f t="shared" ca="1" si="14"/>
        <v>OK</v>
      </c>
    </row>
    <row r="161" spans="1:14" x14ac:dyDescent="0.2">
      <c r="A161" s="3">
        <f t="shared" si="9"/>
        <v>42</v>
      </c>
      <c r="B161" s="3" t="s">
        <v>89</v>
      </c>
      <c r="C161" s="3" t="s">
        <v>90</v>
      </c>
      <c r="D161" s="3"/>
      <c r="E161" s="4"/>
      <c r="F161" s="9">
        <f>+'II-I TOTAL COMPANY'!H236</f>
        <v>119433.22331494735</v>
      </c>
      <c r="G161" s="66">
        <f>+Distribution!I236+Meter!I236+TDCustSvc!I236</f>
        <v>0</v>
      </c>
      <c r="H161" s="66">
        <f ca="1">+Distribution!J236+Meter!J236+TDCustSvc!J236</f>
        <v>119433.22331494735</v>
      </c>
      <c r="I161" s="79">
        <f t="shared" ca="1" si="15"/>
        <v>1</v>
      </c>
      <c r="J161" s="66">
        <f>+Distribution!H236+Meter!H236+TDCustSvc!H236</f>
        <v>119433.22331494735</v>
      </c>
      <c r="K161" s="66">
        <f>+Distribution!I236+Meter!I236+TDCustSvc!I236</f>
        <v>0</v>
      </c>
      <c r="L161" s="66">
        <f ca="1">+Distribution!J236+Meter!J236+TDCustSvc!J236</f>
        <v>119433.22331494735</v>
      </c>
      <c r="M161" s="79">
        <f t="shared" ca="1" si="16"/>
        <v>1</v>
      </c>
      <c r="N161" s="27" t="str">
        <f t="shared" ca="1" si="14"/>
        <v>OK</v>
      </c>
    </row>
    <row r="162" spans="1:14" x14ac:dyDescent="0.2">
      <c r="A162" s="3">
        <f t="shared" si="9"/>
        <v>43</v>
      </c>
      <c r="B162" s="3" t="s">
        <v>91</v>
      </c>
      <c r="C162" s="3" t="s">
        <v>114</v>
      </c>
      <c r="D162" s="3"/>
      <c r="E162" s="4"/>
      <c r="F162" s="9">
        <f>+'II-I TOTAL COMPANY'!H237</f>
        <v>852983.9042865485</v>
      </c>
      <c r="G162" s="66">
        <f>+Distribution!I237+Meter!I237+TDCustSvc!I237</f>
        <v>0</v>
      </c>
      <c r="H162" s="66">
        <f ca="1">+Distribution!J237+Meter!J237+TDCustSvc!J237</f>
        <v>852983.9042865485</v>
      </c>
      <c r="I162" s="79">
        <f t="shared" ca="1" si="15"/>
        <v>1</v>
      </c>
      <c r="J162" s="66">
        <f>+Distribution!H237+Meter!H237+TDCustSvc!H237</f>
        <v>852983.9042865485</v>
      </c>
      <c r="K162" s="66">
        <f>+Distribution!I237+Meter!I237+TDCustSvc!I237</f>
        <v>0</v>
      </c>
      <c r="L162" s="66">
        <f ca="1">+Distribution!J237+Meter!J237+TDCustSvc!J237</f>
        <v>852983.9042865485</v>
      </c>
      <c r="M162" s="79">
        <f t="shared" ca="1" si="16"/>
        <v>1</v>
      </c>
      <c r="N162" s="27" t="str">
        <f t="shared" ca="1" si="14"/>
        <v>OK</v>
      </c>
    </row>
    <row r="163" spans="1:14" x14ac:dyDescent="0.2">
      <c r="A163" s="3">
        <f t="shared" si="9"/>
        <v>44</v>
      </c>
      <c r="B163" s="3" t="s">
        <v>93</v>
      </c>
      <c r="C163" s="3" t="s">
        <v>94</v>
      </c>
      <c r="D163" s="3"/>
      <c r="E163" s="4"/>
      <c r="F163" s="9">
        <f>+'II-I TOTAL COMPANY'!H238</f>
        <v>18785206.46925801</v>
      </c>
      <c r="G163" s="66">
        <f>+Distribution!I238+Meter!I238+TDCustSvc!I238</f>
        <v>0</v>
      </c>
      <c r="H163" s="66">
        <f ca="1">+Distribution!J238+Meter!J238+TDCustSvc!J238</f>
        <v>18785206.469258007</v>
      </c>
      <c r="I163" s="79">
        <f t="shared" ca="1" si="15"/>
        <v>0.99999999999999978</v>
      </c>
      <c r="J163" s="66">
        <f>+Distribution!H238+Meter!H238+TDCustSvc!H238</f>
        <v>18785206.46925801</v>
      </c>
      <c r="K163" s="66">
        <f>+Distribution!I238+Meter!I238+TDCustSvc!I238</f>
        <v>0</v>
      </c>
      <c r="L163" s="66">
        <f ca="1">+Distribution!J238+Meter!J238+TDCustSvc!J238</f>
        <v>18785206.469258007</v>
      </c>
      <c r="M163" s="79">
        <f t="shared" ca="1" si="16"/>
        <v>0.99999999999999978</v>
      </c>
      <c r="N163" s="27" t="str">
        <f t="shared" ca="1" si="14"/>
        <v>OK</v>
      </c>
    </row>
    <row r="164" spans="1:14" x14ac:dyDescent="0.2">
      <c r="A164" s="3">
        <f t="shared" si="9"/>
        <v>45</v>
      </c>
      <c r="B164" s="3" t="s">
        <v>95</v>
      </c>
      <c r="C164" s="3" t="s">
        <v>96</v>
      </c>
      <c r="D164" s="3"/>
      <c r="E164" s="4"/>
      <c r="F164" s="9">
        <f>+'II-I TOTAL COMPANY'!H239</f>
        <v>69937.054311017389</v>
      </c>
      <c r="G164" s="66">
        <f>+Distribution!I239+Meter!I239+TDCustSvc!I239</f>
        <v>0</v>
      </c>
      <c r="H164" s="66">
        <f ca="1">+Distribution!J239+Meter!J239+TDCustSvc!J239</f>
        <v>69937.054311017389</v>
      </c>
      <c r="I164" s="79">
        <f t="shared" ca="1" si="15"/>
        <v>1</v>
      </c>
      <c r="J164" s="66">
        <f>+Distribution!H239+Meter!H239+TDCustSvc!H239</f>
        <v>69937.054311017389</v>
      </c>
      <c r="K164" s="66">
        <f>+Distribution!I239+Meter!I239+TDCustSvc!I239</f>
        <v>0</v>
      </c>
      <c r="L164" s="66">
        <f ca="1">+Distribution!J239+Meter!J239+TDCustSvc!J239</f>
        <v>69937.054311017389</v>
      </c>
      <c r="M164" s="79">
        <f t="shared" ca="1" si="16"/>
        <v>1</v>
      </c>
      <c r="N164" s="27" t="str">
        <f t="shared" ca="1" si="14"/>
        <v>OK</v>
      </c>
    </row>
    <row r="165" spans="1:14" x14ac:dyDescent="0.2">
      <c r="A165" s="3">
        <f t="shared" si="9"/>
        <v>46</v>
      </c>
      <c r="B165" s="3" t="s">
        <v>97</v>
      </c>
      <c r="C165" s="3" t="s">
        <v>98</v>
      </c>
      <c r="D165" s="3"/>
      <c r="E165" s="4"/>
      <c r="F165" s="9">
        <f>+'II-I TOTAL COMPANY'!H240</f>
        <v>-380425.55898227391</v>
      </c>
      <c r="G165" s="66">
        <f>+Distribution!I240+Meter!I240+TDCustSvc!I240</f>
        <v>0</v>
      </c>
      <c r="H165" s="66">
        <f ca="1">+Distribution!J240+Meter!J240+TDCustSvc!J240</f>
        <v>-380425.5589822738</v>
      </c>
      <c r="I165" s="79">
        <f t="shared" ca="1" si="15"/>
        <v>0.99999999999999967</v>
      </c>
      <c r="J165" s="66">
        <f>+Distribution!H240+Meter!H240+TDCustSvc!H240</f>
        <v>-380425.55898227391</v>
      </c>
      <c r="K165" s="66">
        <f>+Distribution!I240+Meter!I240+TDCustSvc!I240</f>
        <v>0</v>
      </c>
      <c r="L165" s="66">
        <f ca="1">+Distribution!J240+Meter!J240+TDCustSvc!J240</f>
        <v>-380425.5589822738</v>
      </c>
      <c r="M165" s="79">
        <f t="shared" ca="1" si="16"/>
        <v>0.99999999999999967</v>
      </c>
      <c r="N165" s="27" t="str">
        <f t="shared" ca="1" si="14"/>
        <v>OK</v>
      </c>
    </row>
    <row r="166" spans="1:14" x14ac:dyDescent="0.2">
      <c r="A166" s="3">
        <f t="shared" si="9"/>
        <v>47</v>
      </c>
      <c r="B166" s="3" t="s">
        <v>105</v>
      </c>
      <c r="C166" s="3" t="s">
        <v>106</v>
      </c>
      <c r="D166" s="3"/>
      <c r="E166" s="4"/>
      <c r="F166" s="9">
        <f>+'II-I TOTAL COMPANY'!H241</f>
        <v>63711572.88317164</v>
      </c>
      <c r="G166" s="66">
        <f>+Distribution!I241+Meter!I241+TDCustSvc!I241</f>
        <v>0</v>
      </c>
      <c r="H166" s="66">
        <f ca="1">+Distribution!J241+Meter!J241+TDCustSvc!J241</f>
        <v>63711572.883171611</v>
      </c>
      <c r="I166" s="79">
        <f t="shared" ca="1" si="15"/>
        <v>0.99999999999999956</v>
      </c>
      <c r="J166" s="66">
        <f>+Distribution!H241+Meter!H241+TDCustSvc!H241</f>
        <v>63711572.88317164</v>
      </c>
      <c r="K166" s="66">
        <f>+Distribution!I241+Meter!I241+TDCustSvc!I241</f>
        <v>0</v>
      </c>
      <c r="L166" s="66">
        <f ca="1">+Distribution!J241+Meter!J241+TDCustSvc!J241</f>
        <v>63711572.883171611</v>
      </c>
      <c r="M166" s="79">
        <f t="shared" ca="1" si="16"/>
        <v>0.99999999999999956</v>
      </c>
      <c r="N166" s="27" t="str">
        <f t="shared" ca="1" si="14"/>
        <v>OK</v>
      </c>
    </row>
    <row r="167" spans="1:14" x14ac:dyDescent="0.2">
      <c r="A167" s="3">
        <f t="shared" si="9"/>
        <v>48</v>
      </c>
      <c r="B167" s="3" t="s">
        <v>99</v>
      </c>
      <c r="C167" s="3" t="s">
        <v>100</v>
      </c>
      <c r="D167" s="3"/>
      <c r="E167" s="4"/>
      <c r="F167" s="9">
        <f>+'II-I TOTAL COMPANY'!H242</f>
        <v>4185529.2774093361</v>
      </c>
      <c r="G167" s="66">
        <f>+Distribution!I242+Meter!I242+TDCustSvc!I242</f>
        <v>0</v>
      </c>
      <c r="H167" s="66">
        <f ca="1">+Distribution!J242+Meter!J242+TDCustSvc!J242</f>
        <v>4185529.2774093361</v>
      </c>
      <c r="I167" s="79">
        <f t="shared" ca="1" si="15"/>
        <v>1</v>
      </c>
      <c r="J167" s="66">
        <f>+Distribution!H242+Meter!H242+TDCustSvc!H242</f>
        <v>4185529.2774093361</v>
      </c>
      <c r="K167" s="66">
        <f>+Distribution!I242+Meter!I242+TDCustSvc!I242</f>
        <v>0</v>
      </c>
      <c r="L167" s="66">
        <f ca="1">+Distribution!J242+Meter!J242+TDCustSvc!J242</f>
        <v>4185529.2774093361</v>
      </c>
      <c r="M167" s="79">
        <f t="shared" ca="1" si="16"/>
        <v>1</v>
      </c>
      <c r="N167" s="27" t="str">
        <f t="shared" ca="1" si="14"/>
        <v>OK</v>
      </c>
    </row>
    <row r="168" spans="1:14" x14ac:dyDescent="0.2">
      <c r="A168" s="3">
        <f t="shared" si="9"/>
        <v>49</v>
      </c>
      <c r="B168" s="3" t="s">
        <v>101</v>
      </c>
      <c r="C168" s="3" t="s">
        <v>115</v>
      </c>
      <c r="D168" s="3"/>
      <c r="E168" s="4"/>
      <c r="F168" s="9">
        <f>+'II-I TOTAL COMPANY'!H243</f>
        <v>1113449.0839117232</v>
      </c>
      <c r="G168" s="66">
        <f>+Distribution!I243+Meter!I243+TDCustSvc!I243</f>
        <v>0</v>
      </c>
      <c r="H168" s="66">
        <f ca="1">+Distribution!J243+Meter!J243+TDCustSvc!J243</f>
        <v>1113449.0839117232</v>
      </c>
      <c r="I168" s="79">
        <f t="shared" ca="1" si="15"/>
        <v>1</v>
      </c>
      <c r="J168" s="66">
        <f>+Distribution!H243+Meter!H243+TDCustSvc!H243</f>
        <v>1113449.0839117232</v>
      </c>
      <c r="K168" s="66">
        <f>+Distribution!I243+Meter!I243+TDCustSvc!I243</f>
        <v>0</v>
      </c>
      <c r="L168" s="66">
        <f ca="1">+Distribution!J243+Meter!J243+TDCustSvc!J243</f>
        <v>1113449.0839117232</v>
      </c>
      <c r="M168" s="79">
        <f t="shared" ca="1" si="16"/>
        <v>1</v>
      </c>
      <c r="N168" s="27" t="str">
        <f t="shared" ca="1" si="14"/>
        <v>OK</v>
      </c>
    </row>
    <row r="169" spans="1:14" x14ac:dyDescent="0.2">
      <c r="A169" s="3">
        <f t="shared" si="9"/>
        <v>50</v>
      </c>
      <c r="B169" s="3"/>
      <c r="C169" s="3"/>
      <c r="D169" s="3"/>
      <c r="E169" s="4"/>
      <c r="F169" s="9"/>
      <c r="G169" s="66"/>
      <c r="H169" s="66"/>
      <c r="I169" s="79"/>
      <c r="J169" s="79"/>
      <c r="K169" s="79"/>
      <c r="L169" s="79"/>
      <c r="M169" s="79"/>
      <c r="N169" s="27" t="str">
        <f t="shared" si="14"/>
        <v>OK</v>
      </c>
    </row>
    <row r="170" spans="1:14" x14ac:dyDescent="0.2">
      <c r="A170" s="3">
        <f t="shared" si="9"/>
        <v>51</v>
      </c>
      <c r="B170" s="3"/>
      <c r="C170" s="3" t="s">
        <v>103</v>
      </c>
      <c r="D170" s="3"/>
      <c r="E170" s="4"/>
      <c r="F170" s="9">
        <f>+'II-I TOTAL COMPANY'!H245</f>
        <v>157270382.14126545</v>
      </c>
      <c r="G170" s="66">
        <f>+Distribution!I245+Meter!I245+TDCustSvc!I245</f>
        <v>0</v>
      </c>
      <c r="H170" s="66">
        <f ca="1">+Distribution!J245+Meter!J245+TDCustSvc!J245</f>
        <v>157270382.14126542</v>
      </c>
      <c r="I170" s="79">
        <f ca="1">+H170/F170</f>
        <v>0.99999999999999978</v>
      </c>
      <c r="J170" s="66">
        <f>+Distribution!H245+Meter!H245+TDCustSvc!H245</f>
        <v>157270382.14126545</v>
      </c>
      <c r="K170" s="66">
        <f>+Distribution!I245+Meter!I245+TDCustSvc!I245</f>
        <v>0</v>
      </c>
      <c r="L170" s="66">
        <f ca="1">+Distribution!J245+Meter!J245+TDCustSvc!J245</f>
        <v>157270382.14126542</v>
      </c>
      <c r="M170" s="79">
        <f ca="1">+L170/J170</f>
        <v>0.99999999999999978</v>
      </c>
      <c r="N170" s="27" t="str">
        <f t="shared" ca="1" si="14"/>
        <v>OK</v>
      </c>
    </row>
    <row r="171" spans="1:14" x14ac:dyDescent="0.2">
      <c r="A171" s="3">
        <f t="shared" si="9"/>
        <v>52</v>
      </c>
      <c r="B171" s="3"/>
      <c r="C171" s="3"/>
      <c r="D171" s="3"/>
      <c r="E171" s="4"/>
      <c r="F171" s="9"/>
      <c r="G171" s="66"/>
      <c r="H171" s="66"/>
      <c r="I171" s="79"/>
      <c r="J171" s="79"/>
      <c r="K171" s="79"/>
      <c r="L171" s="79"/>
      <c r="M171" s="79"/>
      <c r="N171" s="27" t="str">
        <f t="shared" si="14"/>
        <v>OK</v>
      </c>
    </row>
    <row r="172" spans="1:14" x14ac:dyDescent="0.2">
      <c r="A172" s="3">
        <f t="shared" si="9"/>
        <v>53</v>
      </c>
      <c r="B172" s="3" t="s">
        <v>116</v>
      </c>
      <c r="C172" s="3"/>
      <c r="D172" s="3"/>
      <c r="E172" s="4"/>
      <c r="F172" s="9">
        <f>+'II-I TOTAL COMPANY'!H247</f>
        <v>1672599551.4004097</v>
      </c>
      <c r="G172" s="66">
        <f>+Distribution!I247+Meter!I247+TDCustSvc!I247</f>
        <v>0</v>
      </c>
      <c r="H172" s="66">
        <f ca="1">+Distribution!J247+Meter!J247+TDCustSvc!J247</f>
        <v>1672599551.4004097</v>
      </c>
      <c r="I172" s="79">
        <f ca="1">+H172/F172</f>
        <v>1</v>
      </c>
      <c r="J172" s="66">
        <f>+Distribution!H247+Meter!H247+TDCustSvc!H247</f>
        <v>1672599551.4004097</v>
      </c>
      <c r="K172" s="66">
        <f>+Distribution!I247+Meter!I247+TDCustSvc!I247</f>
        <v>0</v>
      </c>
      <c r="L172" s="66">
        <f ca="1">+Distribution!J247+Meter!J247+TDCustSvc!J247</f>
        <v>1672599551.4004097</v>
      </c>
      <c r="M172" s="79">
        <f ca="1">+L172/J172</f>
        <v>1</v>
      </c>
      <c r="N172" s="27" t="str">
        <f t="shared" ca="1" si="14"/>
        <v>OK</v>
      </c>
    </row>
    <row r="173" spans="1:14" x14ac:dyDescent="0.2">
      <c r="A173" s="3">
        <f t="shared" si="9"/>
        <v>54</v>
      </c>
      <c r="B173" s="3"/>
      <c r="C173" s="3"/>
      <c r="D173" s="3"/>
      <c r="E173" s="4"/>
      <c r="F173" s="9"/>
      <c r="G173" s="66"/>
      <c r="H173" s="66"/>
      <c r="I173" s="79"/>
      <c r="J173" s="79"/>
      <c r="K173" s="79"/>
      <c r="L173" s="79"/>
      <c r="M173" s="79"/>
      <c r="N173" s="27" t="str">
        <f t="shared" si="14"/>
        <v>OK</v>
      </c>
    </row>
    <row r="174" spans="1:14" x14ac:dyDescent="0.2">
      <c r="A174" s="3">
        <f t="shared" si="9"/>
        <v>55</v>
      </c>
      <c r="B174" s="3" t="s">
        <v>117</v>
      </c>
      <c r="C174" s="3"/>
      <c r="D174" s="8"/>
      <c r="E174" s="4"/>
      <c r="F174" s="9">
        <f>+'II-I TOTAL COMPANY'!H249</f>
        <v>4891983633.8659105</v>
      </c>
      <c r="G174" s="66">
        <f>+Distribution!I249+Meter!I249+TDCustSvc!I249</f>
        <v>0</v>
      </c>
      <c r="H174" s="66">
        <f ca="1">+Distribution!J249+Meter!J249+TDCustSvc!J249</f>
        <v>4891983633.8659096</v>
      </c>
      <c r="I174" s="79">
        <f ca="1">+H174/F174</f>
        <v>0.99999999999999978</v>
      </c>
      <c r="J174" s="66">
        <f>+Distribution!H249+Meter!H249+TDCustSvc!H249</f>
        <v>4891983633.8659124</v>
      </c>
      <c r="K174" s="66">
        <f>+Distribution!I249+Meter!I249+TDCustSvc!I249</f>
        <v>0</v>
      </c>
      <c r="L174" s="66">
        <f ca="1">+Distribution!J249+Meter!J249+TDCustSvc!J249</f>
        <v>4891983633.8659096</v>
      </c>
      <c r="M174" s="79">
        <f ca="1">+L174/J174</f>
        <v>0.99999999999999944</v>
      </c>
      <c r="N174" s="27" t="str">
        <f t="shared" ca="1" si="14"/>
        <v>OK</v>
      </c>
    </row>
    <row r="175" spans="1:14" x14ac:dyDescent="0.2">
      <c r="A175" s="3"/>
      <c r="B175" s="3"/>
      <c r="C175" s="3"/>
      <c r="D175" s="3"/>
      <c r="E175" s="4"/>
      <c r="F175" s="9"/>
      <c r="G175" s="66"/>
      <c r="H175" s="66"/>
      <c r="I175" s="79"/>
      <c r="J175" s="79"/>
      <c r="K175" s="79"/>
      <c r="L175" s="79"/>
      <c r="M175" s="79"/>
      <c r="N175" s="27" t="str">
        <f t="shared" si="14"/>
        <v>OK</v>
      </c>
    </row>
    <row r="176" spans="1:14" x14ac:dyDescent="0.2">
      <c r="A176" s="3"/>
      <c r="B176" s="7" t="s">
        <v>118</v>
      </c>
      <c r="C176" s="3"/>
      <c r="D176" s="3"/>
      <c r="E176" s="4"/>
      <c r="F176" s="9"/>
      <c r="G176" s="66"/>
      <c r="H176" s="66"/>
      <c r="I176" s="79"/>
      <c r="J176" s="79"/>
      <c r="K176" s="79"/>
      <c r="L176" s="79"/>
      <c r="M176" s="79"/>
      <c r="N176" s="27" t="str">
        <f t="shared" si="14"/>
        <v>OK</v>
      </c>
    </row>
    <row r="177" spans="1:14" x14ac:dyDescent="0.2">
      <c r="A177" s="3"/>
      <c r="B177" s="3"/>
      <c r="C177" s="3"/>
      <c r="D177" s="3"/>
      <c r="E177" s="4"/>
      <c r="F177" s="9"/>
      <c r="G177" s="66"/>
      <c r="H177" s="66"/>
      <c r="I177" s="79"/>
      <c r="J177" s="79"/>
      <c r="K177" s="79"/>
      <c r="L177" s="79"/>
      <c r="M177" s="79"/>
      <c r="N177" s="27" t="str">
        <f t="shared" si="14"/>
        <v>OK</v>
      </c>
    </row>
    <row r="178" spans="1:14" x14ac:dyDescent="0.2">
      <c r="A178" s="3">
        <f t="shared" ref="A178:A233" si="17">+A177+1</f>
        <v>1</v>
      </c>
      <c r="B178" s="3" t="s">
        <v>119</v>
      </c>
      <c r="C178" s="3" t="s">
        <v>120</v>
      </c>
      <c r="D178" s="1"/>
      <c r="E178" s="4"/>
      <c r="F178" s="9">
        <f>+'II-I TOTAL COMPANY'!H253</f>
        <v>10756415.889999999</v>
      </c>
      <c r="G178" s="66">
        <f>+Distribution!I253+Meter!I253+TDCustSvc!I253</f>
        <v>0</v>
      </c>
      <c r="H178" s="66">
        <f>+Distribution!J253+Meter!J253+TDCustSvc!J253</f>
        <v>10756415.890000001</v>
      </c>
      <c r="I178" s="79"/>
      <c r="J178" s="66">
        <f>+Distribution!H253+Meter!H253+TDCustSvc!H253</f>
        <v>10756415.889999999</v>
      </c>
      <c r="K178" s="66">
        <f>+Distribution!I253+Meter!I253+TDCustSvc!I253</f>
        <v>0</v>
      </c>
      <c r="L178" s="66">
        <f>+Distribution!J253+Meter!J253+TDCustSvc!J253</f>
        <v>10756415.890000001</v>
      </c>
      <c r="M178" s="79"/>
      <c r="N178" s="27" t="str">
        <f t="shared" si="14"/>
        <v>OK</v>
      </c>
    </row>
    <row r="179" spans="1:14" x14ac:dyDescent="0.2">
      <c r="A179" s="3">
        <f t="shared" si="17"/>
        <v>2</v>
      </c>
      <c r="B179" s="3"/>
      <c r="C179" s="3"/>
      <c r="D179" s="1"/>
      <c r="E179" s="4"/>
      <c r="F179" s="9"/>
      <c r="G179" s="66"/>
      <c r="H179" s="66"/>
      <c r="I179" s="79"/>
      <c r="J179" s="79"/>
      <c r="K179" s="79"/>
      <c r="L179" s="79"/>
      <c r="M179" s="79"/>
      <c r="N179" s="27" t="str">
        <f t="shared" si="14"/>
        <v>OK</v>
      </c>
    </row>
    <row r="180" spans="1:14" x14ac:dyDescent="0.2">
      <c r="A180" s="3">
        <f t="shared" si="17"/>
        <v>3</v>
      </c>
      <c r="B180" s="7" t="s">
        <v>121</v>
      </c>
      <c r="C180" s="3"/>
      <c r="D180" s="1"/>
      <c r="E180" s="4"/>
      <c r="F180" s="9"/>
      <c r="G180" s="66"/>
      <c r="H180" s="66"/>
      <c r="I180" s="79"/>
      <c r="J180" s="79"/>
      <c r="K180" s="79"/>
      <c r="L180" s="79"/>
      <c r="M180" s="79"/>
      <c r="N180" s="27" t="str">
        <f t="shared" si="14"/>
        <v>OK</v>
      </c>
    </row>
    <row r="181" spans="1:14" x14ac:dyDescent="0.2">
      <c r="A181" s="3">
        <f t="shared" si="17"/>
        <v>4</v>
      </c>
      <c r="B181" s="3" t="s">
        <v>122</v>
      </c>
      <c r="C181" s="3" t="s">
        <v>123</v>
      </c>
      <c r="D181" s="1"/>
      <c r="E181" s="4"/>
      <c r="F181" s="9">
        <f>+'II-I TOTAL COMPANY'!H256</f>
        <v>0</v>
      </c>
      <c r="G181" s="66">
        <f>+Distribution!I256+Meter!I256+TDCustSvc!I256</f>
        <v>0</v>
      </c>
      <c r="H181" s="66">
        <f>+Distribution!J256+Meter!J256+TDCustSvc!J256</f>
        <v>0</v>
      </c>
      <c r="I181" s="79">
        <f>IFERROR(+H181/F181,)</f>
        <v>0</v>
      </c>
      <c r="J181" s="66">
        <f>+Distribution!H256+Meter!H256+TDCustSvc!H256</f>
        <v>0</v>
      </c>
      <c r="K181" s="66">
        <f>+Distribution!I256+Meter!I256+TDCustSvc!I256</f>
        <v>0</v>
      </c>
      <c r="L181" s="66">
        <f>+Distribution!J256+Meter!J256+TDCustSvc!J256</f>
        <v>0</v>
      </c>
      <c r="M181" s="79">
        <f>IFERROR(+L181/J181,0)</f>
        <v>0</v>
      </c>
      <c r="N181" s="27" t="str">
        <f t="shared" si="14"/>
        <v>OK</v>
      </c>
    </row>
    <row r="182" spans="1:14" x14ac:dyDescent="0.2">
      <c r="A182" s="3">
        <f t="shared" si="17"/>
        <v>5</v>
      </c>
      <c r="B182" s="3" t="s">
        <v>528</v>
      </c>
      <c r="C182" s="3" t="s">
        <v>529</v>
      </c>
      <c r="D182" s="1"/>
      <c r="E182" s="4"/>
      <c r="F182" s="9">
        <f>+'II-I TOTAL COMPANY'!H257</f>
        <v>0</v>
      </c>
      <c r="G182" s="66">
        <f>+Distribution!I257+Meter!I257+TDCustSvc!I257</f>
        <v>0</v>
      </c>
      <c r="H182" s="66">
        <f>+Distribution!J257+Meter!J257+TDCustSvc!J257</f>
        <v>0</v>
      </c>
      <c r="I182" s="79">
        <f>IFERROR(+H182/F182,)</f>
        <v>0</v>
      </c>
      <c r="J182" s="66">
        <f>+Distribution!H257+Meter!H257+TDCustSvc!H257</f>
        <v>0</v>
      </c>
      <c r="K182" s="66">
        <f>+Distribution!I257+Meter!I257+TDCustSvc!I257</f>
        <v>0</v>
      </c>
      <c r="L182" s="66">
        <f>+Distribution!J257+Meter!J257+TDCustSvc!J257</f>
        <v>0</v>
      </c>
      <c r="M182" s="79">
        <f>IFERROR(+L182/J182,0)</f>
        <v>0</v>
      </c>
      <c r="N182" s="27" t="str">
        <f t="shared" si="14"/>
        <v>OK</v>
      </c>
    </row>
    <row r="183" spans="1:14" x14ac:dyDescent="0.2">
      <c r="A183" s="3">
        <f t="shared" si="17"/>
        <v>6</v>
      </c>
      <c r="B183" s="3"/>
      <c r="C183" s="3" t="s">
        <v>652</v>
      </c>
      <c r="D183" s="1"/>
      <c r="E183" s="4"/>
      <c r="F183" s="9">
        <f>+'II-I TOTAL COMPANY'!H258</f>
        <v>-3696803.1100000008</v>
      </c>
      <c r="G183" s="66">
        <f>+Distribution!I258+Meter!I258+TDCustSvc!I258</f>
        <v>0</v>
      </c>
      <c r="H183" s="66">
        <f>+Distribution!J258+Meter!J258+TDCustSvc!J258</f>
        <v>-3696803.1100000017</v>
      </c>
      <c r="I183" s="79">
        <f>IFERROR(+H183/F183,)</f>
        <v>1.0000000000000002</v>
      </c>
      <c r="J183" s="66">
        <f>+Distribution!H258+Meter!H258+TDCustSvc!H258</f>
        <v>-3696803.1100000008</v>
      </c>
      <c r="K183" s="66">
        <f>+Distribution!I258+Meter!I258+TDCustSvc!I258</f>
        <v>0</v>
      </c>
      <c r="L183" s="66">
        <f>+Distribution!J258+Meter!J258+TDCustSvc!J258</f>
        <v>-3696803.1100000017</v>
      </c>
      <c r="M183" s="79">
        <f>IFERROR(+L183/J183,0)</f>
        <v>1.0000000000000002</v>
      </c>
      <c r="N183" s="27" t="str">
        <f t="shared" si="14"/>
        <v>OK</v>
      </c>
    </row>
    <row r="184" spans="1:14" x14ac:dyDescent="0.2">
      <c r="A184" s="3">
        <f t="shared" si="17"/>
        <v>7</v>
      </c>
      <c r="B184" s="3"/>
      <c r="C184" s="3" t="s">
        <v>124</v>
      </c>
      <c r="D184" s="1"/>
      <c r="E184" s="4"/>
      <c r="F184" s="9">
        <f>+'II-I TOTAL COMPANY'!H259</f>
        <v>-3696803.1100000008</v>
      </c>
      <c r="G184" s="66">
        <f>+Distribution!I259+Meter!I259+TDCustSvc!I259</f>
        <v>0</v>
      </c>
      <c r="H184" s="66">
        <f>+Distribution!J259+Meter!J259+TDCustSvc!J259</f>
        <v>-3696803.1100000017</v>
      </c>
      <c r="I184" s="79">
        <f>+H184/F184</f>
        <v>1.0000000000000002</v>
      </c>
      <c r="J184" s="66">
        <f>+Distribution!H259+Meter!H259+TDCustSvc!H259</f>
        <v>-3696803.1100000008</v>
      </c>
      <c r="K184" s="66">
        <f>+Distribution!I259+Meter!I259+TDCustSvc!I259</f>
        <v>0</v>
      </c>
      <c r="L184" s="66">
        <f>+Distribution!J259+Meter!J259+TDCustSvc!J259</f>
        <v>-3696803.1100000017</v>
      </c>
      <c r="M184" s="79">
        <f>+L184/J184</f>
        <v>1.0000000000000002</v>
      </c>
      <c r="N184" s="27" t="str">
        <f t="shared" si="14"/>
        <v>OK</v>
      </c>
    </row>
    <row r="185" spans="1:14" x14ac:dyDescent="0.2">
      <c r="A185" s="3">
        <f t="shared" si="17"/>
        <v>8</v>
      </c>
      <c r="B185" s="7" t="s">
        <v>125</v>
      </c>
      <c r="C185" s="3"/>
      <c r="D185" s="1"/>
      <c r="E185" s="4"/>
      <c r="F185" s="9"/>
      <c r="G185" s="66"/>
      <c r="H185" s="66"/>
      <c r="I185" s="79"/>
      <c r="J185" s="79"/>
      <c r="K185" s="79"/>
      <c r="L185" s="79"/>
      <c r="M185" s="79"/>
      <c r="N185" s="27" t="str">
        <f t="shared" si="14"/>
        <v>OK</v>
      </c>
    </row>
    <row r="186" spans="1:14" x14ac:dyDescent="0.2">
      <c r="A186" s="3">
        <f t="shared" si="17"/>
        <v>9</v>
      </c>
      <c r="B186" s="3"/>
      <c r="C186" s="3"/>
      <c r="D186" s="1"/>
      <c r="E186" s="4"/>
      <c r="F186" s="9"/>
      <c r="G186" s="66"/>
      <c r="H186" s="66"/>
      <c r="I186" s="79"/>
      <c r="J186" s="79"/>
      <c r="K186" s="79"/>
      <c r="L186" s="79"/>
      <c r="M186" s="79"/>
      <c r="N186" s="27" t="str">
        <f t="shared" si="14"/>
        <v>OK</v>
      </c>
    </row>
    <row r="187" spans="1:14" x14ac:dyDescent="0.2">
      <c r="A187" s="3">
        <f t="shared" si="17"/>
        <v>10</v>
      </c>
      <c r="B187" s="3"/>
      <c r="C187" s="3" t="s">
        <v>126</v>
      </c>
      <c r="D187" s="1"/>
      <c r="E187" s="4"/>
      <c r="F187" s="9"/>
      <c r="G187" s="66"/>
      <c r="H187" s="66"/>
      <c r="I187" s="79"/>
      <c r="J187" s="79"/>
      <c r="K187" s="79"/>
      <c r="L187" s="79"/>
      <c r="M187" s="79"/>
      <c r="N187" s="27" t="str">
        <f t="shared" si="14"/>
        <v>OK</v>
      </c>
    </row>
    <row r="188" spans="1:14" x14ac:dyDescent="0.2">
      <c r="A188" s="3">
        <f t="shared" si="17"/>
        <v>11</v>
      </c>
      <c r="B188" s="3"/>
      <c r="C188" s="3"/>
      <c r="D188" s="1"/>
      <c r="E188" s="4"/>
      <c r="F188" s="9"/>
      <c r="G188" s="66"/>
      <c r="H188" s="66"/>
      <c r="I188" s="79"/>
      <c r="J188" s="79"/>
      <c r="K188" s="79"/>
      <c r="L188" s="79"/>
      <c r="M188" s="79"/>
      <c r="N188" s="27" t="str">
        <f t="shared" si="14"/>
        <v>OK</v>
      </c>
    </row>
    <row r="189" spans="1:14" x14ac:dyDescent="0.2">
      <c r="A189" s="3">
        <f t="shared" si="17"/>
        <v>12</v>
      </c>
      <c r="B189" s="3" t="s">
        <v>127</v>
      </c>
      <c r="C189" s="3" t="s">
        <v>558</v>
      </c>
      <c r="D189" s="1"/>
      <c r="E189" s="4"/>
      <c r="F189" s="9">
        <f>+'II-I TOTAL COMPANY'!H264</f>
        <v>118035459.57461536</v>
      </c>
      <c r="G189" s="66">
        <f>+Distribution!I264+Meter!I264+TDCustSvc!I264</f>
        <v>0</v>
      </c>
      <c r="H189" s="66">
        <f ca="1">+Distribution!J264+Meter!J264+TDCustSvc!J264</f>
        <v>118035459.57461534</v>
      </c>
      <c r="I189" s="79">
        <f ca="1">+H189/F189</f>
        <v>0.99999999999999989</v>
      </c>
      <c r="J189" s="66">
        <f>+Distribution!H264+Meter!H264+TDCustSvc!H264</f>
        <v>118035459.57461536</v>
      </c>
      <c r="K189" s="66">
        <f>+Distribution!I264+Meter!I264+TDCustSvc!I264</f>
        <v>0</v>
      </c>
      <c r="L189" s="66">
        <f ca="1">+Distribution!J264+Meter!J264+TDCustSvc!J264</f>
        <v>118035459.57461534</v>
      </c>
      <c r="M189" s="79">
        <f ca="1">+L189/J189</f>
        <v>0.99999999999999989</v>
      </c>
      <c r="N189" s="27" t="str">
        <f t="shared" ca="1" si="14"/>
        <v>OK</v>
      </c>
    </row>
    <row r="190" spans="1:14" x14ac:dyDescent="0.2">
      <c r="A190" s="3">
        <f t="shared" si="17"/>
        <v>13</v>
      </c>
      <c r="B190" s="3" t="s">
        <v>128</v>
      </c>
      <c r="C190" s="3" t="s">
        <v>559</v>
      </c>
      <c r="D190" s="1"/>
      <c r="E190" s="4"/>
      <c r="F190" s="9">
        <f>+'II-I TOTAL COMPANY'!H265</f>
        <v>0</v>
      </c>
      <c r="G190" s="66">
        <f>+Distribution!I265+Meter!I265+TDCustSvc!I265</f>
        <v>0</v>
      </c>
      <c r="H190" s="66">
        <f ca="1">+Distribution!J265+Meter!J265+TDCustSvc!J265</f>
        <v>0</v>
      </c>
      <c r="I190" s="79">
        <f ca="1">IFERROR(+H190/F190,0)</f>
        <v>0</v>
      </c>
      <c r="J190" s="66">
        <f>+Distribution!H265+Meter!H265+TDCustSvc!H265</f>
        <v>0</v>
      </c>
      <c r="K190" s="66">
        <f>+Distribution!I265+Meter!I265+TDCustSvc!I265</f>
        <v>0</v>
      </c>
      <c r="L190" s="66">
        <f ca="1">+Distribution!J265+Meter!J265+TDCustSvc!J265</f>
        <v>0</v>
      </c>
      <c r="M190" s="79">
        <f ca="1">IFERROR(+L190/J190,0)</f>
        <v>0</v>
      </c>
      <c r="N190" s="27" t="str">
        <f t="shared" ca="1" si="14"/>
        <v>OK</v>
      </c>
    </row>
    <row r="191" spans="1:14" x14ac:dyDescent="0.2">
      <c r="A191" s="3">
        <f t="shared" si="17"/>
        <v>14</v>
      </c>
      <c r="B191" s="3"/>
      <c r="C191" s="3" t="s">
        <v>129</v>
      </c>
      <c r="D191" s="1"/>
      <c r="E191" s="4"/>
      <c r="F191" s="9">
        <f>+'II-I TOTAL COMPANY'!H266</f>
        <v>118035459.57461536</v>
      </c>
      <c r="G191" s="66">
        <f>+Distribution!I266+Meter!I266+TDCustSvc!I266</f>
        <v>0</v>
      </c>
      <c r="H191" s="66">
        <f ca="1">+Distribution!J266+Meter!J266+TDCustSvc!J266</f>
        <v>118035459.57461534</v>
      </c>
      <c r="I191" s="79">
        <f ca="1">+H191/F191</f>
        <v>0.99999999999999989</v>
      </c>
      <c r="J191" s="66">
        <f>+Distribution!H266+Meter!H266+TDCustSvc!H266</f>
        <v>118035459.57461536</v>
      </c>
      <c r="K191" s="66">
        <f>+Distribution!I266+Meter!I266+TDCustSvc!I266</f>
        <v>0</v>
      </c>
      <c r="L191" s="66">
        <f ca="1">+Distribution!J266+Meter!J266+TDCustSvc!J266</f>
        <v>118035459.57461534</v>
      </c>
      <c r="M191" s="79">
        <f ca="1">+L191/J191</f>
        <v>0.99999999999999989</v>
      </c>
      <c r="N191" s="27" t="str">
        <f t="shared" ca="1" si="14"/>
        <v>OK</v>
      </c>
    </row>
    <row r="192" spans="1:14" x14ac:dyDescent="0.2">
      <c r="A192" s="3">
        <f t="shared" si="17"/>
        <v>15</v>
      </c>
      <c r="B192" s="3"/>
      <c r="C192" s="3"/>
      <c r="D192" s="1"/>
      <c r="E192" s="4"/>
      <c r="F192" s="9"/>
      <c r="G192" s="66"/>
      <c r="H192" s="66"/>
      <c r="I192" s="79"/>
      <c r="J192" s="79"/>
      <c r="K192" s="79"/>
      <c r="L192" s="79"/>
      <c r="M192" s="79"/>
      <c r="N192" s="27" t="str">
        <f t="shared" si="14"/>
        <v>OK</v>
      </c>
    </row>
    <row r="193" spans="1:14" x14ac:dyDescent="0.2">
      <c r="A193" s="3">
        <f t="shared" si="17"/>
        <v>16</v>
      </c>
      <c r="B193" s="7" t="s">
        <v>130</v>
      </c>
      <c r="C193" s="3"/>
      <c r="D193" s="1"/>
      <c r="E193" s="4"/>
      <c r="F193" s="9"/>
      <c r="G193" s="66"/>
      <c r="H193" s="66"/>
      <c r="I193" s="79"/>
      <c r="J193" s="79"/>
      <c r="K193" s="79"/>
      <c r="L193" s="79"/>
      <c r="M193" s="79"/>
      <c r="N193" s="27" t="str">
        <f t="shared" si="14"/>
        <v>OK</v>
      </c>
    </row>
    <row r="194" spans="1:14" x14ac:dyDescent="0.2">
      <c r="A194" s="3">
        <f t="shared" si="17"/>
        <v>17</v>
      </c>
      <c r="B194" s="3"/>
      <c r="C194" s="3"/>
      <c r="D194" s="1"/>
      <c r="E194" s="4"/>
      <c r="F194" s="9"/>
      <c r="G194" s="66"/>
      <c r="H194" s="66"/>
      <c r="I194" s="79"/>
      <c r="J194" s="79"/>
      <c r="K194" s="79"/>
      <c r="L194" s="79"/>
      <c r="M194" s="79"/>
      <c r="N194" s="27" t="str">
        <f t="shared" si="14"/>
        <v>OK</v>
      </c>
    </row>
    <row r="195" spans="1:14" x14ac:dyDescent="0.2">
      <c r="A195" s="3">
        <f t="shared" si="17"/>
        <v>18</v>
      </c>
      <c r="B195" s="3"/>
      <c r="C195" s="3" t="s">
        <v>560</v>
      </c>
      <c r="D195" s="1"/>
      <c r="E195" s="4"/>
      <c r="F195" s="9">
        <f>+'II-I TOTAL COMPANY'!H270</f>
        <v>-16937326.82778747</v>
      </c>
      <c r="G195" s="66">
        <f>+Distribution!I270+Meter!I270+TDCustSvc!I270</f>
        <v>0</v>
      </c>
      <c r="H195" s="66">
        <f ca="1">+Distribution!J270+Meter!J270+TDCustSvc!J270</f>
        <v>-16937326.82778747</v>
      </c>
      <c r="I195" s="79">
        <f ca="1">+H195/F195</f>
        <v>1</v>
      </c>
      <c r="J195" s="66">
        <f>+Distribution!H270+Meter!H270+TDCustSvc!H270</f>
        <v>-16937326.82778747</v>
      </c>
      <c r="K195" s="66">
        <f>+Distribution!I270+Meter!I270+TDCustSvc!I270</f>
        <v>0</v>
      </c>
      <c r="L195" s="66">
        <f ca="1">+Distribution!J270+Meter!J270+TDCustSvc!J270</f>
        <v>-16937326.82778747</v>
      </c>
      <c r="M195" s="79">
        <f ca="1">+L195/J195</f>
        <v>1</v>
      </c>
      <c r="N195" s="27" t="str">
        <f ca="1">IF(SUM(G195+H195)=F195,"OK",0)</f>
        <v>OK</v>
      </c>
    </row>
    <row r="196" spans="1:14" x14ac:dyDescent="0.2">
      <c r="A196" s="3">
        <f t="shared" si="17"/>
        <v>19</v>
      </c>
      <c r="B196" s="3"/>
      <c r="C196" s="3" t="s">
        <v>134</v>
      </c>
      <c r="D196" s="1"/>
      <c r="E196" s="4"/>
      <c r="F196" s="9">
        <f>+'II-I TOTAL COMPANY'!H271</f>
        <v>-42130</v>
      </c>
      <c r="G196" s="66">
        <f>+Distribution!I271+Meter!I271+TDCustSvc!I271</f>
        <v>0</v>
      </c>
      <c r="H196" s="66">
        <f>+Distribution!J271+Meter!J271+TDCustSvc!J271</f>
        <v>-42129.999999999993</v>
      </c>
      <c r="I196" s="79">
        <f>+H196/F196</f>
        <v>0.99999999999999978</v>
      </c>
      <c r="J196" s="66">
        <f>+Distribution!H271+Meter!H271+TDCustSvc!H271</f>
        <v>-42130</v>
      </c>
      <c r="K196" s="66">
        <f>+Distribution!I271+Meter!I271+TDCustSvc!I271</f>
        <v>0</v>
      </c>
      <c r="L196" s="66">
        <f>+Distribution!J271+Meter!J271+TDCustSvc!J271</f>
        <v>-42129.999999999993</v>
      </c>
      <c r="M196" s="79">
        <f>+L196/J196</f>
        <v>0.99999999999999978</v>
      </c>
      <c r="N196" s="27" t="str">
        <f>IF(SUM(G196+H196)=F196,"OK",0)</f>
        <v>OK</v>
      </c>
    </row>
    <row r="197" spans="1:14" x14ac:dyDescent="0.2">
      <c r="A197" s="3">
        <f t="shared" si="17"/>
        <v>20</v>
      </c>
      <c r="B197" s="3"/>
      <c r="C197" s="3"/>
      <c r="D197" s="1"/>
      <c r="E197" s="4"/>
      <c r="F197" s="9"/>
      <c r="G197" s="66"/>
      <c r="H197" s="66"/>
      <c r="I197" s="79"/>
      <c r="J197" s="79"/>
      <c r="K197" s="79"/>
      <c r="L197" s="79"/>
      <c r="M197" s="79"/>
      <c r="N197" s="27" t="str">
        <f>IF(SUM(G197+H197)=F197,"OK",0)</f>
        <v>OK</v>
      </c>
    </row>
    <row r="198" spans="1:14" x14ac:dyDescent="0.2">
      <c r="A198" s="3">
        <f t="shared" si="17"/>
        <v>21</v>
      </c>
      <c r="B198" s="3"/>
      <c r="C198" s="3"/>
      <c r="D198" s="1"/>
      <c r="E198" s="4"/>
      <c r="F198" s="9"/>
      <c r="G198" s="66"/>
      <c r="H198" s="66"/>
      <c r="I198" s="79"/>
      <c r="J198" s="79"/>
      <c r="K198" s="79"/>
      <c r="L198" s="79"/>
      <c r="M198" s="79"/>
      <c r="N198" s="27" t="str">
        <f t="shared" si="14"/>
        <v>OK</v>
      </c>
    </row>
    <row r="199" spans="1:14" x14ac:dyDescent="0.2">
      <c r="A199" s="3">
        <f t="shared" si="17"/>
        <v>22</v>
      </c>
      <c r="B199" s="7" t="s">
        <v>131</v>
      </c>
      <c r="C199" s="3"/>
      <c r="D199" s="1"/>
      <c r="E199" s="4"/>
      <c r="F199" s="9"/>
      <c r="G199" s="66"/>
      <c r="H199" s="66"/>
      <c r="I199" s="79"/>
      <c r="J199" s="79"/>
      <c r="K199" s="79"/>
      <c r="L199" s="79"/>
      <c r="M199" s="79"/>
      <c r="N199" s="27" t="str">
        <f t="shared" si="14"/>
        <v>OK</v>
      </c>
    </row>
    <row r="200" spans="1:14" x14ac:dyDescent="0.2">
      <c r="A200" s="3">
        <f t="shared" si="17"/>
        <v>23</v>
      </c>
      <c r="B200" s="3"/>
      <c r="C200" s="3"/>
      <c r="D200" s="1"/>
      <c r="E200" s="4"/>
      <c r="F200" s="9"/>
      <c r="G200" s="66"/>
      <c r="H200" s="66"/>
      <c r="I200" s="79"/>
      <c r="J200" s="79"/>
      <c r="K200" s="79"/>
      <c r="L200" s="79"/>
      <c r="M200" s="79"/>
      <c r="N200" s="27" t="str">
        <f t="shared" si="14"/>
        <v>OK</v>
      </c>
    </row>
    <row r="201" spans="1:14" x14ac:dyDescent="0.2">
      <c r="A201" s="3">
        <f t="shared" si="17"/>
        <v>24</v>
      </c>
      <c r="B201" s="3" t="s">
        <v>132</v>
      </c>
      <c r="C201" s="3" t="s">
        <v>561</v>
      </c>
      <c r="D201" s="1"/>
      <c r="E201" s="4"/>
      <c r="F201" s="9">
        <f>+'II-I TOTAL COMPANY'!H276</f>
        <v>80201586.689826593</v>
      </c>
      <c r="G201" s="66">
        <f>+Distribution!I276+Meter!I276+TDCustSvc!I276</f>
        <v>0</v>
      </c>
      <c r="H201" s="66">
        <f ca="1">+Distribution!J276+Meter!J276+TDCustSvc!J276</f>
        <v>80201586.689826578</v>
      </c>
      <c r="I201" s="79">
        <f ca="1">+H201/F201</f>
        <v>0.99999999999999978</v>
      </c>
      <c r="J201" s="66">
        <f>+Distribution!H276+Meter!H276+TDCustSvc!H276</f>
        <v>80201586.689826593</v>
      </c>
      <c r="K201" s="66">
        <f>+Distribution!I276+Meter!I276+TDCustSvc!I276</f>
        <v>0</v>
      </c>
      <c r="L201" s="66">
        <f ca="1">+Distribution!J276+Meter!J276+TDCustSvc!J276</f>
        <v>80201586.689826578</v>
      </c>
      <c r="M201" s="79">
        <f ca="1">+L201/J201</f>
        <v>0.99999999999999978</v>
      </c>
      <c r="N201" s="27" t="str">
        <f t="shared" ca="1" si="14"/>
        <v>OK</v>
      </c>
    </row>
    <row r="202" spans="1:14" x14ac:dyDescent="0.2">
      <c r="A202" s="3">
        <f t="shared" si="17"/>
        <v>25</v>
      </c>
      <c r="B202" s="3"/>
      <c r="C202" s="3"/>
      <c r="D202" s="1"/>
      <c r="E202" s="4"/>
      <c r="F202" s="9"/>
      <c r="G202" s="66"/>
      <c r="H202" s="66"/>
      <c r="I202" s="79"/>
      <c r="J202" s="79"/>
      <c r="K202" s="79"/>
      <c r="L202" s="79"/>
      <c r="M202" s="79"/>
      <c r="N202" s="27" t="str">
        <f t="shared" si="14"/>
        <v>OK</v>
      </c>
    </row>
    <row r="203" spans="1:14" x14ac:dyDescent="0.2">
      <c r="A203" s="3">
        <f t="shared" si="17"/>
        <v>26</v>
      </c>
      <c r="B203" s="3"/>
      <c r="C203" s="3"/>
      <c r="D203" s="1"/>
      <c r="E203" s="4"/>
      <c r="F203" s="9"/>
      <c r="G203" s="66"/>
      <c r="H203" s="66"/>
      <c r="I203" s="79"/>
      <c r="J203" s="79"/>
      <c r="K203" s="79"/>
      <c r="L203" s="79"/>
      <c r="M203" s="79"/>
      <c r="N203" s="27" t="str">
        <f t="shared" si="14"/>
        <v>OK</v>
      </c>
    </row>
    <row r="204" spans="1:14" x14ac:dyDescent="0.2">
      <c r="A204" s="3">
        <f t="shared" si="17"/>
        <v>27</v>
      </c>
      <c r="B204" s="3"/>
      <c r="C204" s="3"/>
      <c r="D204" s="1"/>
      <c r="E204" s="4"/>
      <c r="F204" s="9"/>
      <c r="G204" s="66"/>
      <c r="H204" s="66"/>
      <c r="I204" s="79"/>
      <c r="J204" s="79"/>
      <c r="K204" s="79"/>
      <c r="L204" s="79"/>
      <c r="M204" s="79"/>
      <c r="N204" s="27" t="str">
        <f t="shared" si="14"/>
        <v>OK</v>
      </c>
    </row>
    <row r="205" spans="1:14" x14ac:dyDescent="0.2">
      <c r="A205" s="3">
        <f t="shared" si="17"/>
        <v>28</v>
      </c>
      <c r="B205" s="7" t="s">
        <v>133</v>
      </c>
      <c r="C205" s="3"/>
      <c r="D205" s="1"/>
      <c r="E205" s="4"/>
      <c r="F205" s="9"/>
      <c r="G205" s="66"/>
      <c r="H205" s="66"/>
      <c r="I205" s="79"/>
      <c r="J205" s="79"/>
      <c r="K205" s="79"/>
      <c r="L205" s="79"/>
      <c r="M205" s="79"/>
      <c r="N205" s="27" t="str">
        <f t="shared" si="14"/>
        <v>OK</v>
      </c>
    </row>
    <row r="206" spans="1:14" x14ac:dyDescent="0.2">
      <c r="A206" s="3">
        <f t="shared" si="17"/>
        <v>29</v>
      </c>
      <c r="B206" s="7" t="s">
        <v>584</v>
      </c>
      <c r="C206" s="3"/>
      <c r="D206" s="1"/>
      <c r="E206" s="4"/>
      <c r="F206" s="9"/>
      <c r="G206" s="66"/>
      <c r="H206" s="66"/>
      <c r="I206" s="79"/>
      <c r="J206" s="79"/>
      <c r="K206" s="79"/>
      <c r="L206" s="79"/>
      <c r="M206" s="79"/>
      <c r="N206" s="27" t="str">
        <f t="shared" si="14"/>
        <v>OK</v>
      </c>
    </row>
    <row r="207" spans="1:14" x14ac:dyDescent="0.2">
      <c r="A207" s="3">
        <f t="shared" si="17"/>
        <v>30</v>
      </c>
      <c r="B207" s="3" t="s">
        <v>803</v>
      </c>
      <c r="C207" s="3" t="s">
        <v>804</v>
      </c>
      <c r="D207" s="67"/>
      <c r="E207" s="4"/>
      <c r="F207" s="9">
        <f>+'II-I TOTAL COMPANY'!H282</f>
        <v>-37499421.997000001</v>
      </c>
      <c r="G207" s="66">
        <f>+Distribution!I282+Meter!I282+TDCustSvc!I282</f>
        <v>0</v>
      </c>
      <c r="H207" s="66">
        <f>+Distribution!J282+Meter!J282+TDCustSvc!J282</f>
        <v>-37499421.997000009</v>
      </c>
      <c r="I207" s="79">
        <f t="shared" ref="I207:I217" si="18">+H207/F207</f>
        <v>1.0000000000000002</v>
      </c>
      <c r="J207" s="66">
        <f>+Distribution!H282+Meter!H282+TDCustSvc!H282</f>
        <v>-37499421.997000001</v>
      </c>
      <c r="K207" s="66">
        <f>+Distribution!I282+Meter!I282+TDCustSvc!I282</f>
        <v>0</v>
      </c>
      <c r="L207" s="66">
        <f>+Distribution!J282+Meter!J282+TDCustSvc!J282</f>
        <v>-37499421.997000009</v>
      </c>
      <c r="M207" s="79">
        <f>+L207/J207</f>
        <v>1.0000000000000002</v>
      </c>
      <c r="N207" s="27" t="str">
        <f t="shared" si="14"/>
        <v>OK</v>
      </c>
    </row>
    <row r="208" spans="1:14" x14ac:dyDescent="0.2">
      <c r="A208" s="3">
        <f t="shared" si="17"/>
        <v>31</v>
      </c>
      <c r="B208" s="3" t="s">
        <v>666</v>
      </c>
      <c r="C208" s="3" t="s">
        <v>667</v>
      </c>
      <c r="D208" s="1"/>
      <c r="E208" s="4"/>
      <c r="F208" s="9">
        <f>+'II-I TOTAL COMPANY'!H283</f>
        <v>-98610</v>
      </c>
      <c r="G208" s="66">
        <f>+Distribution!I283+Meter!I283+TDCustSvc!I283</f>
        <v>0</v>
      </c>
      <c r="H208" s="66">
        <f>+Distribution!J283+Meter!J283+TDCustSvc!J283</f>
        <v>-98610.000000000015</v>
      </c>
      <c r="I208" s="79">
        <f t="shared" si="18"/>
        <v>1.0000000000000002</v>
      </c>
      <c r="J208" s="66">
        <f>+Distribution!H283+Meter!H283+TDCustSvc!H283</f>
        <v>-98610</v>
      </c>
      <c r="K208" s="66">
        <f>+Distribution!I283+Meter!I283+TDCustSvc!I283</f>
        <v>0</v>
      </c>
      <c r="L208" s="66">
        <f>+Distribution!J283+Meter!J283+TDCustSvc!J283</f>
        <v>-98610.000000000015</v>
      </c>
      <c r="M208" s="79">
        <f t="shared" ref="M208:M214" si="19">+L208/J208</f>
        <v>1.0000000000000002</v>
      </c>
      <c r="N208" s="27" t="str">
        <f t="shared" si="14"/>
        <v>OK</v>
      </c>
    </row>
    <row r="209" spans="1:14" x14ac:dyDescent="0.2">
      <c r="A209" s="3">
        <f t="shared" si="17"/>
        <v>32</v>
      </c>
      <c r="B209" s="3" t="s">
        <v>662</v>
      </c>
      <c r="C209" s="3" t="s">
        <v>663</v>
      </c>
      <c r="D209" s="1"/>
      <c r="E209" s="4"/>
      <c r="F209" s="9">
        <f>+'II-I TOTAL COMPANY'!H284</f>
        <v>-218883143.72</v>
      </c>
      <c r="G209" s="66">
        <f>+Distribution!I284+Meter!I284+TDCustSvc!I284</f>
        <v>0</v>
      </c>
      <c r="H209" s="66">
        <f>+Distribution!J284+Meter!J284+TDCustSvc!J284</f>
        <v>-218883143.72000006</v>
      </c>
      <c r="I209" s="79">
        <f t="shared" si="18"/>
        <v>1.0000000000000002</v>
      </c>
      <c r="J209" s="66">
        <f>+Distribution!H284+Meter!H284+TDCustSvc!H284</f>
        <v>-218883143.72</v>
      </c>
      <c r="K209" s="66">
        <f>+Distribution!I284+Meter!I284+TDCustSvc!I284</f>
        <v>0</v>
      </c>
      <c r="L209" s="66">
        <f>+Distribution!J284+Meter!J284+TDCustSvc!J284</f>
        <v>-218883143.72000006</v>
      </c>
      <c r="M209" s="79">
        <f t="shared" si="19"/>
        <v>1.0000000000000002</v>
      </c>
      <c r="N209" s="27" t="str">
        <f t="shared" si="14"/>
        <v>OK</v>
      </c>
    </row>
    <row r="210" spans="1:14" x14ac:dyDescent="0.2">
      <c r="A210" s="3">
        <f t="shared" si="17"/>
        <v>33</v>
      </c>
      <c r="B210" s="3" t="s">
        <v>666</v>
      </c>
      <c r="C210" s="3" t="s">
        <v>650</v>
      </c>
      <c r="D210" s="1"/>
      <c r="E210" s="4"/>
      <c r="F210" s="9">
        <f>+'II-I TOTAL COMPANY'!H285</f>
        <v>-7513138.1799999997</v>
      </c>
      <c r="G210" s="66">
        <f>+Distribution!I285+Meter!I285+TDCustSvc!I285</f>
        <v>0</v>
      </c>
      <c r="H210" s="66">
        <f>+Distribution!J285+Meter!J285+TDCustSvc!J285</f>
        <v>-7513138.1800000025</v>
      </c>
      <c r="I210" s="79">
        <f t="shared" si="18"/>
        <v>1.0000000000000004</v>
      </c>
      <c r="J210" s="66">
        <f>+Distribution!H285+Meter!H285+TDCustSvc!H285</f>
        <v>-7513138.1799999997</v>
      </c>
      <c r="K210" s="66">
        <f>+Distribution!I285+Meter!I285+TDCustSvc!I285</f>
        <v>0</v>
      </c>
      <c r="L210" s="66">
        <f>+Distribution!J285+Meter!J285+TDCustSvc!J285</f>
        <v>-7513138.1800000025</v>
      </c>
      <c r="M210" s="79">
        <f t="shared" si="19"/>
        <v>1.0000000000000004</v>
      </c>
      <c r="N210" s="27" t="str">
        <f t="shared" si="14"/>
        <v>OK</v>
      </c>
    </row>
    <row r="211" spans="1:14" x14ac:dyDescent="0.2">
      <c r="A211" s="3">
        <f t="shared" si="17"/>
        <v>34</v>
      </c>
      <c r="B211" s="3" t="s">
        <v>676</v>
      </c>
      <c r="C211" s="3" t="s">
        <v>651</v>
      </c>
      <c r="D211" s="1"/>
      <c r="E211" s="4"/>
      <c r="F211" s="9">
        <f>+'II-I TOTAL COMPANY'!H286</f>
        <v>-27072127.530000009</v>
      </c>
      <c r="G211" s="66">
        <f>+Distribution!I286+Meter!I286+TDCustSvc!I286</f>
        <v>0</v>
      </c>
      <c r="H211" s="66">
        <f>+Distribution!J286+Meter!J286+TDCustSvc!J286</f>
        <v>-27072127.530000012</v>
      </c>
      <c r="I211" s="79">
        <f t="shared" si="18"/>
        <v>1.0000000000000002</v>
      </c>
      <c r="J211" s="66">
        <f>+Distribution!H286+Meter!H286+TDCustSvc!H286</f>
        <v>-27072127.530000009</v>
      </c>
      <c r="K211" s="66">
        <f>+Distribution!I286+Meter!I286+TDCustSvc!I286</f>
        <v>0</v>
      </c>
      <c r="L211" s="66">
        <f>+Distribution!J286+Meter!J286+TDCustSvc!J286</f>
        <v>-27072127.530000012</v>
      </c>
      <c r="M211" s="79">
        <f t="shared" si="19"/>
        <v>1.0000000000000002</v>
      </c>
      <c r="N211" s="27" t="str">
        <f t="shared" ref="N211:N275" si="20">IF(SUM(G211+H211)=F211,"OK",0)</f>
        <v>OK</v>
      </c>
    </row>
    <row r="212" spans="1:14" x14ac:dyDescent="0.2">
      <c r="A212" s="3">
        <f t="shared" si="17"/>
        <v>35</v>
      </c>
      <c r="B212" s="3" t="s">
        <v>664</v>
      </c>
      <c r="C212" s="3" t="s">
        <v>665</v>
      </c>
      <c r="D212" s="1"/>
      <c r="E212" s="4"/>
      <c r="F212" s="9">
        <f>+'II-I TOTAL COMPANY'!H287</f>
        <v>-65260115.293999992</v>
      </c>
      <c r="G212" s="66">
        <f>+Distribution!I287+Meter!I287+TDCustSvc!I287</f>
        <v>0</v>
      </c>
      <c r="H212" s="66">
        <f>+Distribution!J287+Meter!J287+TDCustSvc!J287</f>
        <v>-65260115.293999992</v>
      </c>
      <c r="I212" s="79">
        <f t="shared" si="18"/>
        <v>1</v>
      </c>
      <c r="J212" s="66">
        <f>+Distribution!H287+Meter!H287+TDCustSvc!H287</f>
        <v>-65260115.293999992</v>
      </c>
      <c r="K212" s="66">
        <f>+Distribution!I287+Meter!I287+TDCustSvc!I287</f>
        <v>0</v>
      </c>
      <c r="L212" s="66">
        <f>+Distribution!J287+Meter!J287+TDCustSvc!J287</f>
        <v>-65260115.293999992</v>
      </c>
      <c r="M212" s="79">
        <f t="shared" si="19"/>
        <v>1</v>
      </c>
      <c r="N212" s="27" t="str">
        <f t="shared" si="20"/>
        <v>OK</v>
      </c>
    </row>
    <row r="213" spans="1:14" x14ac:dyDescent="0.2">
      <c r="A213" s="3">
        <f t="shared" si="17"/>
        <v>36</v>
      </c>
      <c r="B213" s="3" t="s">
        <v>675</v>
      </c>
      <c r="C213" s="3" t="s">
        <v>802</v>
      </c>
      <c r="D213" s="67"/>
      <c r="E213" s="4"/>
      <c r="F213" s="9">
        <f>+'II-I TOTAL COMPANY'!H288</f>
        <v>14455418.849999998</v>
      </c>
      <c r="G213" s="66">
        <f>+Distribution!I288+Meter!I288+TDCustSvc!I288</f>
        <v>0</v>
      </c>
      <c r="H213" s="66">
        <f>+Distribution!J288+Meter!J288+TDCustSvc!J288</f>
        <v>14455418.849999994</v>
      </c>
      <c r="I213" s="79">
        <f t="shared" si="18"/>
        <v>0.99999999999999978</v>
      </c>
      <c r="J213" s="66">
        <f>+Distribution!H288+Meter!H288+TDCustSvc!H288</f>
        <v>14455418.849999998</v>
      </c>
      <c r="K213" s="66">
        <f>+Distribution!I288+Meter!I288+TDCustSvc!I288</f>
        <v>0</v>
      </c>
      <c r="L213" s="66">
        <f>+Distribution!J288+Meter!J288+TDCustSvc!J288</f>
        <v>14455418.849999994</v>
      </c>
      <c r="M213" s="79">
        <f t="shared" si="19"/>
        <v>0.99999999999999978</v>
      </c>
      <c r="N213" s="27" t="str">
        <f t="shared" si="20"/>
        <v>OK</v>
      </c>
    </row>
    <row r="214" spans="1:14" x14ac:dyDescent="0.2">
      <c r="A214" s="3">
        <f t="shared" si="17"/>
        <v>37</v>
      </c>
      <c r="B214" s="3" t="s">
        <v>675</v>
      </c>
      <c r="C214" s="3" t="s">
        <v>661</v>
      </c>
      <c r="D214" s="67"/>
      <c r="E214" s="4"/>
      <c r="F214" s="9">
        <f>+'II-I TOTAL COMPANY'!H289</f>
        <v>30217929.29000001</v>
      </c>
      <c r="G214" s="66">
        <f>+Distribution!I289+Meter!I289+TDCustSvc!I289</f>
        <v>0</v>
      </c>
      <c r="H214" s="66">
        <f>+Distribution!J289+Meter!J289+TDCustSvc!J289</f>
        <v>30217929.290000014</v>
      </c>
      <c r="I214" s="79">
        <f t="shared" si="18"/>
        <v>1.0000000000000002</v>
      </c>
      <c r="J214" s="66">
        <f>+Distribution!H289+Meter!H289+TDCustSvc!H289</f>
        <v>30217929.29000001</v>
      </c>
      <c r="K214" s="66">
        <f>+Distribution!I289+Meter!I289+TDCustSvc!I289</f>
        <v>0</v>
      </c>
      <c r="L214" s="66">
        <f>+Distribution!J289+Meter!J289+TDCustSvc!J289</f>
        <v>30217929.290000014</v>
      </c>
      <c r="M214" s="79">
        <f t="shared" si="19"/>
        <v>1.0000000000000002</v>
      </c>
      <c r="N214" s="27" t="str">
        <f t="shared" si="20"/>
        <v>OK</v>
      </c>
    </row>
    <row r="215" spans="1:14" x14ac:dyDescent="0.2">
      <c r="A215" s="3">
        <f t="shared" si="17"/>
        <v>38</v>
      </c>
      <c r="B215" s="3" t="s">
        <v>675</v>
      </c>
      <c r="C215" s="3" t="s">
        <v>660</v>
      </c>
      <c r="D215" s="1"/>
      <c r="E215" s="4"/>
      <c r="F215" s="9">
        <f>+'II-I TOTAL COMPANY'!H290</f>
        <v>41463378.188635968</v>
      </c>
      <c r="G215" s="66">
        <f>+Distribution!I290+Meter!I290+TDCustSvc!I290</f>
        <v>0</v>
      </c>
      <c r="H215" s="66">
        <f>+Distribution!J290+Meter!J290+TDCustSvc!J290</f>
        <v>41463376.181034282</v>
      </c>
      <c r="I215" s="79">
        <f t="shared" si="18"/>
        <v>0.99999995158132859</v>
      </c>
      <c r="J215" s="66">
        <f>+Distribution!H290+Meter!H290+TDCustSvc!H290</f>
        <v>41463378.188635968</v>
      </c>
      <c r="K215" s="66">
        <f>+Distribution!I290+Meter!I290+TDCustSvc!I290</f>
        <v>0</v>
      </c>
      <c r="L215" s="66">
        <f>+Distribution!J290+Meter!J290+TDCustSvc!J290</f>
        <v>41463376.181034282</v>
      </c>
      <c r="M215" s="79">
        <f>+L215/J215</f>
        <v>0.99999995158132859</v>
      </c>
      <c r="N215" s="27">
        <f t="shared" si="20"/>
        <v>0</v>
      </c>
    </row>
    <row r="216" spans="1:14" x14ac:dyDescent="0.2">
      <c r="A216" s="3">
        <f t="shared" si="17"/>
        <v>39</v>
      </c>
      <c r="B216" s="3" t="s">
        <v>675</v>
      </c>
      <c r="C216" s="3" t="s">
        <v>659</v>
      </c>
      <c r="D216" s="1"/>
      <c r="E216" s="4"/>
      <c r="F216" s="9">
        <f>+'II-I TOTAL COMPANY'!H291</f>
        <v>11064882.990000054</v>
      </c>
      <c r="G216" s="66">
        <f>+Distribution!I291+Meter!I291+TDCustSvc!I291</f>
        <v>0</v>
      </c>
      <c r="H216" s="66">
        <f>+Distribution!J291+Meter!J291+TDCustSvc!J291</f>
        <v>11064882.990000058</v>
      </c>
      <c r="I216" s="79">
        <f t="shared" si="18"/>
        <v>1.0000000000000004</v>
      </c>
      <c r="J216" s="66">
        <f>+Distribution!H291+Meter!H291+TDCustSvc!H291</f>
        <v>11064882.990000054</v>
      </c>
      <c r="K216" s="66">
        <f>+Distribution!I291+Meter!I291+TDCustSvc!I291</f>
        <v>0</v>
      </c>
      <c r="L216" s="66">
        <f>+Distribution!J291+Meter!J291+TDCustSvc!J291</f>
        <v>11064882.990000058</v>
      </c>
      <c r="M216" s="79">
        <f>+L216/J216</f>
        <v>1.0000000000000004</v>
      </c>
      <c r="N216" s="27" t="str">
        <f t="shared" si="20"/>
        <v>OK</v>
      </c>
    </row>
    <row r="217" spans="1:14" x14ac:dyDescent="0.2">
      <c r="A217" s="3">
        <f t="shared" si="17"/>
        <v>40</v>
      </c>
      <c r="B217" s="3"/>
      <c r="C217" s="3" t="s">
        <v>135</v>
      </c>
      <c r="D217" s="3"/>
      <c r="E217" s="4"/>
      <c r="F217" s="9">
        <f>+'II-I TOTAL COMPANY'!H292</f>
        <v>-259124947.40236396</v>
      </c>
      <c r="G217" s="66">
        <f>+Distribution!I292+Meter!I292+TDCustSvc!I292</f>
        <v>0</v>
      </c>
      <c r="H217" s="66">
        <f>+Distribution!J292+Meter!J292+TDCustSvc!J292</f>
        <v>-259124949.40996563</v>
      </c>
      <c r="I217" s="79">
        <f t="shared" si="18"/>
        <v>1.0000000077476201</v>
      </c>
      <c r="J217" s="66">
        <f>+Distribution!H292+Meter!H292+TDCustSvc!H292</f>
        <v>-259124947.40236396</v>
      </c>
      <c r="K217" s="66">
        <f>+Distribution!I292+Meter!I292+TDCustSvc!I292</f>
        <v>0</v>
      </c>
      <c r="L217" s="66">
        <f>+Distribution!J292+Meter!J292+TDCustSvc!J292</f>
        <v>-259124949.40996563</v>
      </c>
      <c r="M217" s="79">
        <f>+L217/J217</f>
        <v>1.0000000077476201</v>
      </c>
      <c r="N217" s="27">
        <f t="shared" si="20"/>
        <v>0</v>
      </c>
    </row>
    <row r="218" spans="1:14" x14ac:dyDescent="0.2">
      <c r="A218" s="3">
        <f t="shared" si="17"/>
        <v>41</v>
      </c>
      <c r="B218" s="3"/>
      <c r="C218" s="3"/>
      <c r="D218" s="3"/>
      <c r="E218" s="4"/>
      <c r="F218" s="9"/>
      <c r="G218" s="66"/>
      <c r="H218" s="66"/>
      <c r="I218" s="79"/>
      <c r="J218" s="79"/>
      <c r="K218" s="79"/>
      <c r="L218" s="79"/>
      <c r="M218" s="79"/>
      <c r="N218" s="27" t="str">
        <f t="shared" si="20"/>
        <v>OK</v>
      </c>
    </row>
    <row r="219" spans="1:14" x14ac:dyDescent="0.2">
      <c r="A219" s="3">
        <f t="shared" si="17"/>
        <v>42</v>
      </c>
      <c r="B219" s="3"/>
      <c r="C219" s="3"/>
      <c r="D219" s="3"/>
      <c r="E219" s="4"/>
      <c r="F219" s="9"/>
      <c r="G219" s="66"/>
      <c r="H219" s="66"/>
      <c r="I219" s="79"/>
      <c r="J219" s="79"/>
      <c r="K219" s="79"/>
      <c r="L219" s="79"/>
      <c r="M219" s="79"/>
      <c r="N219" s="27" t="str">
        <f t="shared" si="20"/>
        <v>OK</v>
      </c>
    </row>
    <row r="220" spans="1:14" x14ac:dyDescent="0.2">
      <c r="A220" s="3">
        <f t="shared" si="17"/>
        <v>43</v>
      </c>
      <c r="B220" s="3" t="s">
        <v>136</v>
      </c>
      <c r="C220" s="3"/>
      <c r="D220" s="3"/>
      <c r="E220" s="4"/>
      <c r="F220" s="9"/>
      <c r="G220" s="66"/>
      <c r="H220" s="66"/>
      <c r="I220" s="79"/>
      <c r="J220" s="79"/>
      <c r="K220" s="79"/>
      <c r="L220" s="79"/>
      <c r="M220" s="79"/>
      <c r="N220" s="27" t="str">
        <f t="shared" si="20"/>
        <v>OK</v>
      </c>
    </row>
    <row r="221" spans="1:14" x14ac:dyDescent="0.2">
      <c r="A221" s="3">
        <f t="shared" si="17"/>
        <v>44</v>
      </c>
      <c r="B221" s="3" t="s">
        <v>542</v>
      </c>
      <c r="C221" s="3" t="s">
        <v>562</v>
      </c>
      <c r="D221" s="1"/>
      <c r="E221" s="4"/>
      <c r="F221" s="9">
        <f>+'II-I TOTAL COMPANY'!H296</f>
        <v>0</v>
      </c>
      <c r="G221" s="66">
        <f>+Distribution!I296+Meter!I296+TDCustSvc!I296</f>
        <v>0</v>
      </c>
      <c r="H221" s="66">
        <f ca="1">+Distribution!J296+Meter!J296+TDCustSvc!J296</f>
        <v>0</v>
      </c>
      <c r="I221" s="79">
        <f ca="1">IFERROR(+H221/F221,0)</f>
        <v>0</v>
      </c>
      <c r="J221" s="66">
        <f>+Distribution!H296+Meter!H296+TDCustSvc!H296</f>
        <v>0</v>
      </c>
      <c r="K221" s="66">
        <f>+Distribution!I296+Meter!I296+TDCustSvc!I296</f>
        <v>0</v>
      </c>
      <c r="L221" s="66">
        <f ca="1">+Distribution!J296+Meter!J296+TDCustSvc!J296</f>
        <v>0</v>
      </c>
      <c r="M221" s="79">
        <f ca="1">IFERROR(+L221/J221,0)</f>
        <v>0</v>
      </c>
      <c r="N221" s="27" t="str">
        <f t="shared" ca="1" si="20"/>
        <v>OK</v>
      </c>
    </row>
    <row r="222" spans="1:14" x14ac:dyDescent="0.2">
      <c r="A222" s="3">
        <f t="shared" si="17"/>
        <v>45</v>
      </c>
      <c r="B222" s="3" t="s">
        <v>542</v>
      </c>
      <c r="C222" s="3" t="s">
        <v>563</v>
      </c>
      <c r="D222" s="1"/>
      <c r="E222" s="4"/>
      <c r="F222" s="9">
        <f>+'II-I TOTAL COMPANY'!H297</f>
        <v>0</v>
      </c>
      <c r="G222" s="66">
        <f>+Distribution!I297+Meter!I297+TDCustSvc!I297</f>
        <v>0</v>
      </c>
      <c r="H222" s="66">
        <f>+Distribution!J297+Meter!J297+TDCustSvc!J297</f>
        <v>0</v>
      </c>
      <c r="I222" s="79">
        <f t="shared" ref="I222:I229" si="21">IFERROR(+H222/F222,0)</f>
        <v>0</v>
      </c>
      <c r="J222" s="66">
        <f>+Distribution!H297+Meter!H297+TDCustSvc!H297</f>
        <v>0</v>
      </c>
      <c r="K222" s="66">
        <f>+Distribution!I297+Meter!I297+TDCustSvc!I297</f>
        <v>0</v>
      </c>
      <c r="L222" s="66">
        <f>+Distribution!J297+Meter!J297+TDCustSvc!J297</f>
        <v>0</v>
      </c>
      <c r="M222" s="79">
        <f t="shared" ref="M222:M228" si="22">IFERROR(+L222/J222,0)</f>
        <v>0</v>
      </c>
      <c r="N222" s="27" t="str">
        <f t="shared" si="20"/>
        <v>OK</v>
      </c>
    </row>
    <row r="223" spans="1:14" x14ac:dyDescent="0.2">
      <c r="A223" s="3">
        <f t="shared" si="17"/>
        <v>46</v>
      </c>
      <c r="B223" s="3" t="s">
        <v>542</v>
      </c>
      <c r="C223" s="3" t="s">
        <v>564</v>
      </c>
      <c r="D223" s="1"/>
      <c r="E223" s="4"/>
      <c r="F223" s="9">
        <f>+'II-I TOTAL COMPANY'!H298</f>
        <v>60251201.533721358</v>
      </c>
      <c r="G223" s="66">
        <f>+Distribution!I298+Meter!I298+TDCustSvc!I298</f>
        <v>0</v>
      </c>
      <c r="H223" s="66">
        <f>+Distribution!J298+Meter!J298+TDCustSvc!J298</f>
        <v>60251201.533721387</v>
      </c>
      <c r="I223" s="79">
        <f t="shared" si="21"/>
        <v>1.0000000000000004</v>
      </c>
      <c r="J223" s="66">
        <f>+Distribution!H298+Meter!H298+TDCustSvc!H298</f>
        <v>60251201.533721358</v>
      </c>
      <c r="K223" s="66">
        <f>+Distribution!I298+Meter!I298+TDCustSvc!I298</f>
        <v>0</v>
      </c>
      <c r="L223" s="66">
        <f>+Distribution!J298+Meter!J298+TDCustSvc!J298</f>
        <v>60251201.533721387</v>
      </c>
      <c r="M223" s="79">
        <f t="shared" si="22"/>
        <v>1.0000000000000004</v>
      </c>
      <c r="N223" s="27" t="str">
        <f t="shared" si="20"/>
        <v>OK</v>
      </c>
    </row>
    <row r="224" spans="1:14" x14ac:dyDescent="0.2">
      <c r="A224" s="3">
        <f t="shared" si="17"/>
        <v>47</v>
      </c>
      <c r="B224" s="3" t="s">
        <v>543</v>
      </c>
      <c r="C224" s="3" t="s">
        <v>565</v>
      </c>
      <c r="D224" s="67"/>
      <c r="E224" s="4"/>
      <c r="F224" s="9">
        <f>+'II-I TOTAL COMPANY'!H299</f>
        <v>-586241102.59000003</v>
      </c>
      <c r="G224" s="66">
        <f>+Distribution!I299+Meter!I299+TDCustSvc!I299</f>
        <v>0</v>
      </c>
      <c r="H224" s="66">
        <f>+Distribution!J299+Meter!J299+TDCustSvc!J299</f>
        <v>-586241102.59000015</v>
      </c>
      <c r="I224" s="79">
        <f t="shared" si="21"/>
        <v>1.0000000000000002</v>
      </c>
      <c r="J224" s="66">
        <f>+Distribution!H299+Meter!H299+TDCustSvc!H299</f>
        <v>-586241102.59000003</v>
      </c>
      <c r="K224" s="66">
        <f>+Distribution!I299+Meter!I299+TDCustSvc!I299</f>
        <v>0</v>
      </c>
      <c r="L224" s="66">
        <f>+Distribution!J299+Meter!J299+TDCustSvc!J299</f>
        <v>-586241102.59000015</v>
      </c>
      <c r="M224" s="79">
        <f t="shared" si="22"/>
        <v>1.0000000000000002</v>
      </c>
      <c r="N224" s="27" t="str">
        <f t="shared" si="20"/>
        <v>OK</v>
      </c>
    </row>
    <row r="225" spans="1:14" x14ac:dyDescent="0.2">
      <c r="A225" s="3">
        <f t="shared" si="17"/>
        <v>48</v>
      </c>
      <c r="B225" s="3" t="s">
        <v>544</v>
      </c>
      <c r="C225" s="3" t="s">
        <v>566</v>
      </c>
      <c r="D225" s="67"/>
      <c r="E225" s="4"/>
      <c r="F225" s="9">
        <f>+'II-I TOTAL COMPANY'!H300</f>
        <v>0</v>
      </c>
      <c r="G225" s="66">
        <f>+Distribution!I300+Meter!I300+TDCustSvc!I300</f>
        <v>0</v>
      </c>
      <c r="H225" s="66">
        <f ca="1">+Distribution!J300+Meter!J300+TDCustSvc!J300</f>
        <v>0</v>
      </c>
      <c r="I225" s="79">
        <f t="shared" ca="1" si="21"/>
        <v>0</v>
      </c>
      <c r="J225" s="66">
        <f>+Distribution!H300+Meter!H300+TDCustSvc!H300</f>
        <v>0</v>
      </c>
      <c r="K225" s="66">
        <f>+Distribution!I300+Meter!I300+TDCustSvc!I300</f>
        <v>0</v>
      </c>
      <c r="L225" s="66">
        <f ca="1">+Distribution!J300+Meter!J300+TDCustSvc!J300</f>
        <v>0</v>
      </c>
      <c r="M225" s="79">
        <f t="shared" ca="1" si="22"/>
        <v>0</v>
      </c>
      <c r="N225" s="27" t="str">
        <f t="shared" ca="1" si="20"/>
        <v>OK</v>
      </c>
    </row>
    <row r="226" spans="1:14" x14ac:dyDescent="0.2">
      <c r="A226" s="3">
        <f t="shared" si="17"/>
        <v>49</v>
      </c>
      <c r="B226" s="3" t="s">
        <v>544</v>
      </c>
      <c r="C226" s="3" t="s">
        <v>568</v>
      </c>
      <c r="D226" s="68"/>
      <c r="E226" s="4"/>
      <c r="F226" s="9">
        <f>+'II-I TOTAL COMPANY'!H301</f>
        <v>0</v>
      </c>
      <c r="G226" s="66">
        <f>+Distribution!I301+Meter!I301+TDCustSvc!I301</f>
        <v>0</v>
      </c>
      <c r="H226" s="66">
        <f>+Distribution!J301+Meter!J301+TDCustSvc!J301</f>
        <v>0</v>
      </c>
      <c r="I226" s="79">
        <f t="shared" si="21"/>
        <v>0</v>
      </c>
      <c r="J226" s="66">
        <f>+Distribution!H301+Meter!H301+TDCustSvc!H301</f>
        <v>0</v>
      </c>
      <c r="K226" s="66">
        <f>+Distribution!I301+Meter!I301+TDCustSvc!I301</f>
        <v>0</v>
      </c>
      <c r="L226" s="66">
        <f>+Distribution!J301+Meter!J301+TDCustSvc!J301</f>
        <v>0</v>
      </c>
      <c r="M226" s="79">
        <f t="shared" si="22"/>
        <v>0</v>
      </c>
      <c r="N226" s="27" t="str">
        <f t="shared" si="20"/>
        <v>OK</v>
      </c>
    </row>
    <row r="227" spans="1:14" x14ac:dyDescent="0.2">
      <c r="A227" s="3">
        <f t="shared" si="17"/>
        <v>50</v>
      </c>
      <c r="B227" s="3" t="s">
        <v>544</v>
      </c>
      <c r="C227" s="3" t="s">
        <v>567</v>
      </c>
      <c r="D227" s="28"/>
      <c r="E227" s="4"/>
      <c r="F227" s="9">
        <f>+'II-I TOTAL COMPANY'!H302</f>
        <v>-4533134.0385015514</v>
      </c>
      <c r="G227" s="66">
        <f>+Distribution!I302+Meter!I302+TDCustSvc!I302</f>
        <v>0</v>
      </c>
      <c r="H227" s="66">
        <f>+Distribution!J302+Meter!J302+TDCustSvc!J302</f>
        <v>-46733227.806374647</v>
      </c>
      <c r="I227" s="79">
        <f t="shared" si="21"/>
        <v>10.309253467789038</v>
      </c>
      <c r="J227" s="66">
        <f>+Distribution!H302+Meter!H302+TDCustSvc!H302</f>
        <v>-46733227.806374639</v>
      </c>
      <c r="K227" s="66">
        <f>+Distribution!I302+Meter!I302+TDCustSvc!I302</f>
        <v>0</v>
      </c>
      <c r="L227" s="66">
        <f>+Distribution!J302+Meter!J302+TDCustSvc!J302</f>
        <v>-46733227.806374647</v>
      </c>
      <c r="M227" s="79">
        <f t="shared" si="22"/>
        <v>1.0000000000000002</v>
      </c>
      <c r="N227" s="27">
        <f t="shared" si="20"/>
        <v>0</v>
      </c>
    </row>
    <row r="228" spans="1:14" x14ac:dyDescent="0.2">
      <c r="A228" s="3">
        <f t="shared" si="17"/>
        <v>51</v>
      </c>
      <c r="B228" s="3" t="s">
        <v>544</v>
      </c>
      <c r="C228" s="3" t="s">
        <v>546</v>
      </c>
      <c r="D228" s="1"/>
      <c r="E228" s="4"/>
      <c r="F228" s="9">
        <f>+'II-I TOTAL COMPANY'!H303</f>
        <v>-42200093.767873086</v>
      </c>
      <c r="G228" s="66">
        <f>+Distribution!I303+Meter!I303+TDCustSvc!I303</f>
        <v>0</v>
      </c>
      <c r="H228" s="66">
        <f ca="1">+Distribution!J303+Meter!J303+TDCustSvc!J303</f>
        <v>0</v>
      </c>
      <c r="I228" s="79">
        <f t="shared" ca="1" si="21"/>
        <v>0</v>
      </c>
      <c r="J228" s="66">
        <f>+Distribution!H303+Meter!H303+TDCustSvc!H303</f>
        <v>0</v>
      </c>
      <c r="K228" s="66">
        <f>+Distribution!I303+Meter!I303+TDCustSvc!I303</f>
        <v>0</v>
      </c>
      <c r="L228" s="66">
        <f ca="1">+Distribution!J303+Meter!J303+TDCustSvc!J303</f>
        <v>0</v>
      </c>
      <c r="M228" s="79">
        <f t="shared" ca="1" si="22"/>
        <v>0</v>
      </c>
      <c r="N228" s="27">
        <f t="shared" ca="1" si="20"/>
        <v>0</v>
      </c>
    </row>
    <row r="229" spans="1:14" x14ac:dyDescent="0.2">
      <c r="A229" s="3">
        <f t="shared" si="17"/>
        <v>52</v>
      </c>
      <c r="B229" s="3"/>
      <c r="C229" s="3" t="s">
        <v>545</v>
      </c>
      <c r="D229" s="1"/>
      <c r="E229" s="4"/>
      <c r="F229" s="9">
        <f>+'II-I TOTAL COMPANY'!H304</f>
        <v>0</v>
      </c>
      <c r="G229" s="66">
        <f>+Distribution!I304+Meter!I304+TDCustSvc!I304</f>
        <v>0</v>
      </c>
      <c r="H229" s="66">
        <f>+Distribution!J304+Meter!J304+TDCustSvc!J304</f>
        <v>0</v>
      </c>
      <c r="I229" s="79">
        <f t="shared" si="21"/>
        <v>0</v>
      </c>
      <c r="J229" s="66">
        <f>+Distribution!H304+Meter!H304+TDCustSvc!H304</f>
        <v>0</v>
      </c>
      <c r="K229" s="66">
        <f>+Distribution!I304+Meter!I304+TDCustSvc!I304</f>
        <v>0</v>
      </c>
      <c r="L229" s="66">
        <f>+Distribution!J304+Meter!J304+TDCustSvc!J304</f>
        <v>0</v>
      </c>
      <c r="M229" s="79"/>
      <c r="N229" s="27" t="str">
        <f t="shared" si="20"/>
        <v>OK</v>
      </c>
    </row>
    <row r="230" spans="1:14" x14ac:dyDescent="0.2">
      <c r="A230" s="3">
        <f t="shared" si="17"/>
        <v>53</v>
      </c>
      <c r="B230" s="3"/>
      <c r="C230" s="3"/>
      <c r="D230" s="1"/>
      <c r="E230" s="4"/>
      <c r="F230" s="9"/>
      <c r="G230" s="66"/>
      <c r="H230" s="66"/>
      <c r="I230" s="79"/>
      <c r="J230" s="79"/>
      <c r="K230" s="79"/>
      <c r="L230" s="79"/>
      <c r="M230" s="79"/>
      <c r="N230" s="27" t="str">
        <f t="shared" si="20"/>
        <v>OK</v>
      </c>
    </row>
    <row r="231" spans="1:14" x14ac:dyDescent="0.2">
      <c r="A231" s="3">
        <f t="shared" si="17"/>
        <v>54</v>
      </c>
      <c r="B231" s="3"/>
      <c r="C231" s="3" t="s">
        <v>137</v>
      </c>
      <c r="D231" s="3"/>
      <c r="E231" s="4"/>
      <c r="F231" s="9">
        <f>+'II-I TOTAL COMPANY'!H306</f>
        <v>-572723128.86265326</v>
      </c>
      <c r="G231" s="66">
        <f>+Distribution!I306+Meter!I306+TDCustSvc!I306</f>
        <v>0</v>
      </c>
      <c r="H231" s="66">
        <f ca="1">+Distribution!J306+Meter!J306+TDCustSvc!J306</f>
        <v>-572723128.86265326</v>
      </c>
      <c r="I231" s="79">
        <f ca="1">+H231/F231</f>
        <v>1</v>
      </c>
      <c r="J231" s="66">
        <f>+Distribution!H306+Meter!H306+TDCustSvc!H306</f>
        <v>-572723128.86265326</v>
      </c>
      <c r="K231" s="66">
        <f>+Distribution!I306+Meter!I306+TDCustSvc!I306</f>
        <v>0</v>
      </c>
      <c r="L231" s="66">
        <f ca="1">+Distribution!J306+Meter!J306+TDCustSvc!J306</f>
        <v>-572723128.86265326</v>
      </c>
      <c r="M231" s="79">
        <f ca="1">+L231/J231</f>
        <v>1</v>
      </c>
      <c r="N231" s="27" t="str">
        <f t="shared" ca="1" si="20"/>
        <v>OK</v>
      </c>
    </row>
    <row r="232" spans="1:14" x14ac:dyDescent="0.2">
      <c r="A232" s="3">
        <f t="shared" si="17"/>
        <v>55</v>
      </c>
      <c r="B232" s="3"/>
      <c r="C232" s="3"/>
      <c r="D232" s="3"/>
      <c r="E232" s="4"/>
      <c r="F232" s="9"/>
      <c r="G232" s="66"/>
      <c r="H232" s="66"/>
      <c r="I232" s="79"/>
      <c r="J232" s="79"/>
      <c r="K232" s="79"/>
      <c r="L232" s="79"/>
      <c r="M232" s="79"/>
      <c r="N232" s="27" t="str">
        <f t="shared" si="20"/>
        <v>OK</v>
      </c>
    </row>
    <row r="233" spans="1:14" x14ac:dyDescent="0.2">
      <c r="A233" s="3">
        <f t="shared" si="17"/>
        <v>56</v>
      </c>
      <c r="B233" s="3"/>
      <c r="C233" s="3" t="s">
        <v>138</v>
      </c>
      <c r="D233" s="3"/>
      <c r="E233" s="4"/>
      <c r="F233" s="9">
        <f>+'II-I TOTAL COMPANY'!H308</f>
        <v>4248452759.8175492</v>
      </c>
      <c r="G233" s="66">
        <f>+Distribution!I308+Meter!I308+TDCustSvc!I308</f>
        <v>0</v>
      </c>
      <c r="H233" s="66">
        <f ca="1">+Distribution!J308+Meter!J308+TDCustSvc!J308</f>
        <v>4248452758.4119692</v>
      </c>
      <c r="I233" s="79">
        <f ca="1">+H233/F233</f>
        <v>0.99999999966915487</v>
      </c>
      <c r="J233" s="66">
        <f>+Distribution!H308+Meter!H308+TDCustSvc!H308</f>
        <v>4248452759.8175488</v>
      </c>
      <c r="K233" s="66">
        <f>+Distribution!I308+Meter!I308+TDCustSvc!I308</f>
        <v>0</v>
      </c>
      <c r="L233" s="66">
        <f ca="1">+Distribution!J308+Meter!J308+TDCustSvc!J308</f>
        <v>4248452758.4119692</v>
      </c>
      <c r="M233" s="79">
        <f ca="1">+L233/J233</f>
        <v>0.99999999966915498</v>
      </c>
      <c r="N233" s="27">
        <f t="shared" ca="1" si="20"/>
        <v>0</v>
      </c>
    </row>
    <row r="234" spans="1:14" x14ac:dyDescent="0.2">
      <c r="A234" s="3"/>
      <c r="B234" s="3"/>
      <c r="C234" s="3"/>
      <c r="D234" s="3"/>
      <c r="E234" s="4"/>
      <c r="F234" s="9"/>
      <c r="G234" s="66"/>
      <c r="H234" s="66"/>
      <c r="I234" s="79"/>
      <c r="J234" s="79"/>
      <c r="K234" s="79"/>
      <c r="L234" s="79"/>
      <c r="M234" s="79"/>
      <c r="N234" s="27" t="str">
        <f t="shared" si="20"/>
        <v>OK</v>
      </c>
    </row>
    <row r="235" spans="1:14" x14ac:dyDescent="0.2">
      <c r="A235" s="3"/>
      <c r="B235" s="3"/>
      <c r="C235" s="3"/>
      <c r="D235" s="3"/>
      <c r="E235" s="4"/>
      <c r="F235" s="9"/>
      <c r="G235" s="66"/>
      <c r="H235" s="66"/>
      <c r="I235" s="79"/>
      <c r="J235" s="79"/>
      <c r="K235" s="79"/>
      <c r="L235" s="79"/>
      <c r="M235" s="79"/>
      <c r="N235" s="27" t="str">
        <f t="shared" si="20"/>
        <v>OK</v>
      </c>
    </row>
    <row r="236" spans="1:14" x14ac:dyDescent="0.2">
      <c r="A236" s="3"/>
      <c r="B236" s="3"/>
      <c r="C236" s="18"/>
      <c r="D236" s="19"/>
      <c r="E236" s="4"/>
      <c r="F236" s="9"/>
      <c r="G236" s="66"/>
      <c r="H236" s="66"/>
      <c r="I236" s="79"/>
      <c r="J236" s="79"/>
      <c r="K236" s="79"/>
      <c r="L236" s="79"/>
      <c r="M236" s="79"/>
      <c r="N236" s="27" t="str">
        <f t="shared" si="20"/>
        <v>OK</v>
      </c>
    </row>
    <row r="237" spans="1:14" x14ac:dyDescent="0.2">
      <c r="A237" s="3"/>
      <c r="B237" s="3"/>
      <c r="C237" s="18"/>
      <c r="D237" s="21"/>
      <c r="E237" s="4"/>
      <c r="F237" s="9"/>
      <c r="G237" s="66"/>
      <c r="H237" s="66"/>
      <c r="I237" s="79"/>
      <c r="J237" s="79"/>
      <c r="K237" s="79"/>
      <c r="L237" s="79"/>
      <c r="M237" s="79"/>
      <c r="N237" s="27" t="str">
        <f t="shared" si="20"/>
        <v>OK</v>
      </c>
    </row>
    <row r="238" spans="1:14" x14ac:dyDescent="0.2">
      <c r="A238" s="3"/>
      <c r="B238" s="3"/>
      <c r="C238" s="18"/>
      <c r="D238" s="18"/>
      <c r="E238" s="4"/>
      <c r="F238" s="9"/>
      <c r="G238" s="66"/>
      <c r="H238" s="66"/>
      <c r="I238" s="79"/>
      <c r="J238" s="79"/>
      <c r="K238" s="4"/>
      <c r="L238" s="4"/>
      <c r="M238" s="79"/>
      <c r="N238" s="27" t="str">
        <f t="shared" si="20"/>
        <v>OK</v>
      </c>
    </row>
    <row r="239" spans="1:14" x14ac:dyDescent="0.2">
      <c r="A239" s="3"/>
      <c r="B239" s="3"/>
      <c r="C239" s="18"/>
      <c r="D239" s="18"/>
      <c r="E239" s="40"/>
      <c r="F239" s="9"/>
      <c r="G239" s="66"/>
      <c r="H239" s="66"/>
      <c r="I239" s="79"/>
      <c r="J239" s="79"/>
      <c r="K239" s="79"/>
      <c r="L239" s="79"/>
      <c r="M239" s="79"/>
      <c r="N239" s="27" t="str">
        <f t="shared" si="20"/>
        <v>OK</v>
      </c>
    </row>
    <row r="240" spans="1:14" x14ac:dyDescent="0.2">
      <c r="A240" s="3"/>
      <c r="B240" s="7" t="s">
        <v>139</v>
      </c>
      <c r="C240" s="18"/>
      <c r="D240" s="18"/>
      <c r="E240" s="40"/>
      <c r="F240" s="9"/>
      <c r="G240" s="66"/>
      <c r="H240" s="66"/>
      <c r="I240" s="79"/>
      <c r="J240" s="79"/>
      <c r="K240" s="79"/>
      <c r="L240" s="79"/>
      <c r="M240" s="79"/>
      <c r="N240" s="27" t="str">
        <f t="shared" si="20"/>
        <v>OK</v>
      </c>
    </row>
    <row r="241" spans="1:14" x14ac:dyDescent="0.2">
      <c r="A241" s="3">
        <v>1</v>
      </c>
      <c r="B241" s="3" t="s">
        <v>147</v>
      </c>
      <c r="C241" s="3" t="s">
        <v>148</v>
      </c>
      <c r="D241" s="1"/>
      <c r="E241" s="4"/>
      <c r="F241" s="9">
        <f>+'II-I TOTAL COMPANY'!H316</f>
        <v>0</v>
      </c>
      <c r="G241" s="66">
        <f>+Distribution!I316+Meter!I316+TDCustSvc!I316</f>
        <v>0</v>
      </c>
      <c r="H241" s="66">
        <f>+Distribution!J316+Meter!J316+TDCustSvc!J316</f>
        <v>0</v>
      </c>
      <c r="I241" s="79">
        <f>IFERROR(+H241/F241,0)</f>
        <v>0</v>
      </c>
      <c r="J241" s="66">
        <f>+Distribution!H316+Meter!H316+TDCustSvc!H316</f>
        <v>0</v>
      </c>
      <c r="K241" s="66">
        <f>+Distribution!I316+Meter!I316+TDCustSvc!I316</f>
        <v>0</v>
      </c>
      <c r="L241" s="66">
        <f>+Distribution!J316+Meter!J316+TDCustSvc!J316</f>
        <v>0</v>
      </c>
      <c r="M241" s="79">
        <f>IFERROR(+L241/J241,0)</f>
        <v>0</v>
      </c>
      <c r="N241" s="27" t="str">
        <f t="shared" si="20"/>
        <v>OK</v>
      </c>
    </row>
    <row r="242" spans="1:14" x14ac:dyDescent="0.2">
      <c r="A242" s="3">
        <f>+A241+1</f>
        <v>2</v>
      </c>
      <c r="B242" s="3" t="s">
        <v>149</v>
      </c>
      <c r="C242" s="3" t="s">
        <v>150</v>
      </c>
      <c r="D242" s="1"/>
      <c r="E242" s="4"/>
      <c r="F242" s="9">
        <f>+'II-I TOTAL COMPANY'!H317</f>
        <v>0</v>
      </c>
      <c r="G242" s="66">
        <f>+Distribution!I317+Meter!I317+TDCustSvc!I317</f>
        <v>0</v>
      </c>
      <c r="H242" s="66">
        <f>+Distribution!J317+Meter!J317+TDCustSvc!J317</f>
        <v>0</v>
      </c>
      <c r="I242" s="79"/>
      <c r="J242" s="66">
        <f>+Distribution!H317+Meter!H317+TDCustSvc!H317</f>
        <v>0</v>
      </c>
      <c r="K242" s="66">
        <f>+Distribution!I317+Meter!I317+TDCustSvc!I317</f>
        <v>0</v>
      </c>
      <c r="L242" s="66">
        <f>+Distribution!J317+Meter!J317+TDCustSvc!J317</f>
        <v>0</v>
      </c>
      <c r="M242" s="79"/>
      <c r="N242" s="27" t="str">
        <f t="shared" si="20"/>
        <v>OK</v>
      </c>
    </row>
    <row r="243" spans="1:14" x14ac:dyDescent="0.2">
      <c r="A243" s="3">
        <f>+A242+1</f>
        <v>3</v>
      </c>
      <c r="B243" s="3"/>
      <c r="C243" s="3" t="s">
        <v>135</v>
      </c>
      <c r="D243" s="3"/>
      <c r="E243" s="4"/>
      <c r="F243" s="9">
        <f>+'II-I TOTAL COMPANY'!H318</f>
        <v>0</v>
      </c>
      <c r="G243" s="66">
        <f>+Distribution!I318+Meter!I318+TDCustSvc!I318</f>
        <v>0</v>
      </c>
      <c r="H243" s="66">
        <f>+Distribution!J318+Meter!J318+TDCustSvc!J318</f>
        <v>0</v>
      </c>
      <c r="I243" s="79">
        <f>IFERROR(+H243/F243,0)</f>
        <v>0</v>
      </c>
      <c r="J243" s="66">
        <f>+Distribution!H318+Meter!H318+TDCustSvc!H318</f>
        <v>0</v>
      </c>
      <c r="K243" s="66">
        <f>+Distribution!I318+Meter!I318+TDCustSvc!I318</f>
        <v>0</v>
      </c>
      <c r="L243" s="66">
        <f>+Distribution!J318+Meter!J318+TDCustSvc!J318</f>
        <v>0</v>
      </c>
      <c r="M243" s="79">
        <f>IFERROR(+L243/J243,0)</f>
        <v>0</v>
      </c>
      <c r="N243" s="27" t="str">
        <f t="shared" si="20"/>
        <v>OK</v>
      </c>
    </row>
    <row r="244" spans="1:14" x14ac:dyDescent="0.2">
      <c r="A244" s="3">
        <f>+A243+1</f>
        <v>4</v>
      </c>
      <c r="B244" s="3"/>
      <c r="C244" s="3"/>
      <c r="D244" s="3"/>
      <c r="E244" s="4"/>
      <c r="F244" s="9"/>
      <c r="G244" s="66"/>
      <c r="H244" s="66"/>
      <c r="I244" s="79"/>
      <c r="J244" s="79"/>
      <c r="K244" s="79"/>
      <c r="L244" s="79"/>
      <c r="M244" s="79"/>
      <c r="N244" s="27" t="str">
        <f t="shared" si="20"/>
        <v>OK</v>
      </c>
    </row>
    <row r="245" spans="1:14" x14ac:dyDescent="0.2">
      <c r="A245" s="3">
        <f>+A244+1</f>
        <v>5</v>
      </c>
      <c r="B245" s="3"/>
      <c r="C245" s="3" t="s">
        <v>151</v>
      </c>
      <c r="D245" s="3"/>
      <c r="E245" s="4"/>
      <c r="F245" s="9">
        <f>+'II-I TOTAL COMPANY'!H320</f>
        <v>0</v>
      </c>
      <c r="G245" s="66">
        <f>+Distribution!I320+Meter!I320+TDCustSvc!I320</f>
        <v>0</v>
      </c>
      <c r="H245" s="66">
        <f>+Distribution!J320+Meter!J320+TDCustSvc!J320</f>
        <v>0</v>
      </c>
      <c r="I245" s="79">
        <f>IFERROR(+H245/F245,0)</f>
        <v>0</v>
      </c>
      <c r="J245" s="66">
        <f>+Distribution!H320+Meter!H320+TDCustSvc!H320</f>
        <v>0</v>
      </c>
      <c r="K245" s="66">
        <f>+Distribution!I320+Meter!I320+TDCustSvc!I320</f>
        <v>0</v>
      </c>
      <c r="L245" s="66">
        <f>+Distribution!J320+Meter!J320+TDCustSvc!J320</f>
        <v>0</v>
      </c>
      <c r="M245" s="79">
        <f>IFERROR(+L245/J245,0)</f>
        <v>0</v>
      </c>
      <c r="N245" s="27" t="str">
        <f t="shared" si="20"/>
        <v>OK</v>
      </c>
    </row>
    <row r="246" spans="1:14" x14ac:dyDescent="0.2">
      <c r="A246" s="3">
        <f>+A245+1</f>
        <v>6</v>
      </c>
      <c r="B246" s="3"/>
      <c r="C246" s="3"/>
      <c r="D246" s="3"/>
      <c r="E246" s="4"/>
      <c r="F246" s="9"/>
      <c r="G246" s="66"/>
      <c r="H246" s="66"/>
      <c r="I246" s="79"/>
      <c r="J246" s="79"/>
      <c r="K246" s="79"/>
      <c r="L246" s="79"/>
      <c r="M246" s="79"/>
      <c r="N246" s="27" t="str">
        <f t="shared" si="20"/>
        <v>OK</v>
      </c>
    </row>
    <row r="247" spans="1:14" x14ac:dyDescent="0.2">
      <c r="A247" s="3">
        <f>1+A246</f>
        <v>7</v>
      </c>
      <c r="B247" s="7" t="s">
        <v>144</v>
      </c>
      <c r="C247" s="3"/>
      <c r="D247" s="3"/>
      <c r="E247" s="4"/>
      <c r="F247" s="9"/>
      <c r="G247" s="66"/>
      <c r="H247" s="66"/>
      <c r="I247" s="79"/>
      <c r="J247" s="79"/>
      <c r="K247" s="79"/>
      <c r="L247" s="79"/>
      <c r="M247" s="79"/>
      <c r="N247" s="27" t="str">
        <f t="shared" si="20"/>
        <v>OK</v>
      </c>
    </row>
    <row r="248" spans="1:14" x14ac:dyDescent="0.2">
      <c r="A248" s="3">
        <f>1+A247</f>
        <v>8</v>
      </c>
      <c r="B248" s="3"/>
      <c r="C248" s="3"/>
      <c r="D248" s="3"/>
      <c r="E248" s="4"/>
      <c r="F248" s="9"/>
      <c r="G248" s="66"/>
      <c r="H248" s="66"/>
      <c r="I248" s="79"/>
      <c r="J248" s="79"/>
      <c r="K248" s="79"/>
      <c r="L248" s="79"/>
      <c r="M248" s="79"/>
      <c r="N248" s="27" t="str">
        <f t="shared" si="20"/>
        <v>OK</v>
      </c>
    </row>
    <row r="249" spans="1:14" x14ac:dyDescent="0.2">
      <c r="A249" s="3">
        <f>1+A248</f>
        <v>9</v>
      </c>
      <c r="B249" s="3" t="s">
        <v>152</v>
      </c>
      <c r="C249" s="3"/>
      <c r="D249" s="3"/>
      <c r="E249" s="4"/>
      <c r="F249" s="9"/>
      <c r="G249" s="66"/>
      <c r="H249" s="66"/>
      <c r="I249" s="79"/>
      <c r="J249" s="79"/>
      <c r="K249" s="79"/>
      <c r="L249" s="79"/>
      <c r="M249" s="79"/>
      <c r="N249" s="27" t="str">
        <f t="shared" si="20"/>
        <v>OK</v>
      </c>
    </row>
    <row r="250" spans="1:14" x14ac:dyDescent="0.2">
      <c r="A250" s="3">
        <f t="shared" ref="A250:A283" si="23">+A249+1</f>
        <v>10</v>
      </c>
      <c r="B250" s="3"/>
      <c r="C250" s="3" t="s">
        <v>140</v>
      </c>
      <c r="D250" s="3"/>
      <c r="E250" s="4"/>
      <c r="F250" s="9"/>
      <c r="G250" s="66"/>
      <c r="H250" s="66"/>
      <c r="I250" s="79"/>
      <c r="J250" s="79"/>
      <c r="K250" s="79"/>
      <c r="L250" s="79"/>
      <c r="M250" s="79"/>
      <c r="N250" s="27" t="str">
        <f t="shared" si="20"/>
        <v>OK</v>
      </c>
    </row>
    <row r="251" spans="1:14" x14ac:dyDescent="0.2">
      <c r="A251" s="3">
        <f t="shared" si="23"/>
        <v>11</v>
      </c>
      <c r="B251" s="3" t="s">
        <v>153</v>
      </c>
      <c r="C251" s="3" t="s">
        <v>145</v>
      </c>
      <c r="D251" s="1"/>
      <c r="E251" s="4"/>
      <c r="F251" s="9">
        <f>+'II-I TOTAL COMPANY'!H326</f>
        <v>0</v>
      </c>
      <c r="G251" s="66">
        <f>+Distribution!I326+Meter!I326+TDCustSvc!I326</f>
        <v>0</v>
      </c>
      <c r="H251" s="66">
        <f>+Distribution!J326+Meter!J326+TDCustSvc!J326</f>
        <v>0</v>
      </c>
      <c r="I251" s="79">
        <f>IFERROR(+H251/F251,0)</f>
        <v>0</v>
      </c>
      <c r="J251" s="66">
        <f>+Distribution!H326+Meter!H326+TDCustSvc!H326</f>
        <v>0</v>
      </c>
      <c r="K251" s="66">
        <f>+Distribution!I326+Meter!I326+TDCustSvc!I326</f>
        <v>0</v>
      </c>
      <c r="L251" s="66">
        <f>+Distribution!J326+Meter!J326+TDCustSvc!J326</f>
        <v>0</v>
      </c>
      <c r="M251" s="79">
        <f>IFERROR(+L251/J251,0)</f>
        <v>0</v>
      </c>
      <c r="N251" s="27" t="str">
        <f t="shared" si="20"/>
        <v>OK</v>
      </c>
    </row>
    <row r="252" spans="1:14" x14ac:dyDescent="0.2">
      <c r="A252" s="3">
        <f t="shared" si="23"/>
        <v>12</v>
      </c>
      <c r="B252" s="3" t="s">
        <v>154</v>
      </c>
      <c r="C252" s="3" t="s">
        <v>155</v>
      </c>
      <c r="D252" s="1"/>
      <c r="E252" s="4"/>
      <c r="F252" s="9">
        <f>+'II-I TOTAL COMPANY'!H327</f>
        <v>0</v>
      </c>
      <c r="G252" s="66">
        <f>+Distribution!I327+Meter!I327+TDCustSvc!I327</f>
        <v>0</v>
      </c>
      <c r="H252" s="66">
        <f>+Distribution!J327+Meter!J327+TDCustSvc!J327</f>
        <v>0</v>
      </c>
      <c r="I252" s="79">
        <f t="shared" ref="I252:I260" si="24">IFERROR(+H252/F252,0)</f>
        <v>0</v>
      </c>
      <c r="J252" s="66">
        <f>+Distribution!H327+Meter!H327+TDCustSvc!H327</f>
        <v>0</v>
      </c>
      <c r="K252" s="66">
        <f>+Distribution!I327+Meter!I327+TDCustSvc!I327</f>
        <v>0</v>
      </c>
      <c r="L252" s="66">
        <f>+Distribution!J327+Meter!J327+TDCustSvc!J327</f>
        <v>0</v>
      </c>
      <c r="M252" s="79">
        <f t="shared" ref="M252:M260" si="25">IFERROR(+L252/J252,0)</f>
        <v>0</v>
      </c>
      <c r="N252" s="27" t="str">
        <f t="shared" si="20"/>
        <v>OK</v>
      </c>
    </row>
    <row r="253" spans="1:14" x14ac:dyDescent="0.2">
      <c r="A253" s="3">
        <f t="shared" si="23"/>
        <v>13</v>
      </c>
      <c r="B253" s="3" t="s">
        <v>156</v>
      </c>
      <c r="C253" s="3" t="s">
        <v>38</v>
      </c>
      <c r="D253" s="1"/>
      <c r="E253" s="4"/>
      <c r="F253" s="9">
        <f>+'II-I TOTAL COMPANY'!H328</f>
        <v>0</v>
      </c>
      <c r="G253" s="66">
        <f>+Distribution!I328+Meter!I328+TDCustSvc!I328</f>
        <v>0</v>
      </c>
      <c r="H253" s="66">
        <f>+Distribution!J328+Meter!J328+TDCustSvc!J328</f>
        <v>0</v>
      </c>
      <c r="I253" s="79">
        <f t="shared" si="24"/>
        <v>0</v>
      </c>
      <c r="J253" s="66">
        <f>+Distribution!H328+Meter!H328+TDCustSvc!H328</f>
        <v>0</v>
      </c>
      <c r="K253" s="66">
        <f>+Distribution!I328+Meter!I328+TDCustSvc!I328</f>
        <v>0</v>
      </c>
      <c r="L253" s="66">
        <f>+Distribution!J328+Meter!J328+TDCustSvc!J328</f>
        <v>0</v>
      </c>
      <c r="M253" s="79">
        <f t="shared" si="25"/>
        <v>0</v>
      </c>
      <c r="N253" s="27" t="str">
        <f t="shared" si="20"/>
        <v>OK</v>
      </c>
    </row>
    <row r="254" spans="1:14" x14ac:dyDescent="0.2">
      <c r="A254" s="3">
        <f t="shared" si="23"/>
        <v>14</v>
      </c>
      <c r="B254" s="3" t="s">
        <v>157</v>
      </c>
      <c r="C254" s="3" t="s">
        <v>158</v>
      </c>
      <c r="D254" s="1"/>
      <c r="E254" s="4"/>
      <c r="F254" s="9">
        <f>+'II-I TOTAL COMPANY'!H329</f>
        <v>0</v>
      </c>
      <c r="G254" s="66">
        <f>+Distribution!I329+Meter!I329+TDCustSvc!I329</f>
        <v>0</v>
      </c>
      <c r="H254" s="66">
        <f>+Distribution!J329+Meter!J329+TDCustSvc!J329</f>
        <v>0</v>
      </c>
      <c r="I254" s="79">
        <f t="shared" si="24"/>
        <v>0</v>
      </c>
      <c r="J254" s="66">
        <f>+Distribution!H329+Meter!H329+TDCustSvc!H329</f>
        <v>0</v>
      </c>
      <c r="K254" s="66">
        <f>+Distribution!I329+Meter!I329+TDCustSvc!I329</f>
        <v>0</v>
      </c>
      <c r="L254" s="66">
        <f>+Distribution!J329+Meter!J329+TDCustSvc!J329</f>
        <v>0</v>
      </c>
      <c r="M254" s="79">
        <f t="shared" si="25"/>
        <v>0</v>
      </c>
      <c r="N254" s="27" t="str">
        <f t="shared" si="20"/>
        <v>OK</v>
      </c>
    </row>
    <row r="255" spans="1:14" x14ac:dyDescent="0.2">
      <c r="A255" s="3">
        <f t="shared" si="23"/>
        <v>15</v>
      </c>
      <c r="B255" s="3" t="s">
        <v>159</v>
      </c>
      <c r="C255" s="3" t="s">
        <v>160</v>
      </c>
      <c r="D255" s="1"/>
      <c r="E255" s="4"/>
      <c r="F255" s="9">
        <f>+'II-I TOTAL COMPANY'!H330</f>
        <v>0</v>
      </c>
      <c r="G255" s="66">
        <f>+Distribution!I330+Meter!I330+TDCustSvc!I330</f>
        <v>0</v>
      </c>
      <c r="H255" s="66">
        <f>+Distribution!J330+Meter!J330+TDCustSvc!J330</f>
        <v>0</v>
      </c>
      <c r="I255" s="79">
        <f t="shared" si="24"/>
        <v>0</v>
      </c>
      <c r="J255" s="66">
        <f>+Distribution!H330+Meter!H330+TDCustSvc!H330</f>
        <v>0</v>
      </c>
      <c r="K255" s="66">
        <f>+Distribution!I330+Meter!I330+TDCustSvc!I330</f>
        <v>0</v>
      </c>
      <c r="L255" s="66">
        <f>+Distribution!J330+Meter!J330+TDCustSvc!J330</f>
        <v>0</v>
      </c>
      <c r="M255" s="79">
        <f t="shared" si="25"/>
        <v>0</v>
      </c>
      <c r="N255" s="27" t="str">
        <f t="shared" si="20"/>
        <v>OK</v>
      </c>
    </row>
    <row r="256" spans="1:14" x14ac:dyDescent="0.2">
      <c r="A256" s="3">
        <f t="shared" si="23"/>
        <v>16</v>
      </c>
      <c r="B256" s="3" t="s">
        <v>161</v>
      </c>
      <c r="C256" s="3" t="s">
        <v>527</v>
      </c>
      <c r="D256" s="1"/>
      <c r="E256" s="4"/>
      <c r="F256" s="9">
        <f>+'II-I TOTAL COMPANY'!H331</f>
        <v>1.4319084584712982E-8</v>
      </c>
      <c r="G256" s="66">
        <f>+Distribution!I331+Meter!I331+TDCustSvc!I331</f>
        <v>0</v>
      </c>
      <c r="H256" s="66">
        <f>+Distribution!J331+Meter!J331+TDCustSvc!J331</f>
        <v>1.4319084584712982E-8</v>
      </c>
      <c r="I256" s="79">
        <f t="shared" si="24"/>
        <v>1</v>
      </c>
      <c r="J256" s="66">
        <f>+Distribution!H331+Meter!H331+TDCustSvc!H331</f>
        <v>1.4319084584712982E-8</v>
      </c>
      <c r="K256" s="66">
        <f>+Distribution!I331+Meter!I331+TDCustSvc!I331</f>
        <v>0</v>
      </c>
      <c r="L256" s="66">
        <f>+Distribution!J331+Meter!J331+TDCustSvc!J331</f>
        <v>1.4319084584712982E-8</v>
      </c>
      <c r="M256" s="79">
        <f t="shared" si="25"/>
        <v>1</v>
      </c>
      <c r="N256" s="27" t="str">
        <f t="shared" si="20"/>
        <v>OK</v>
      </c>
    </row>
    <row r="257" spans="1:14" x14ac:dyDescent="0.2">
      <c r="A257" s="3">
        <f t="shared" si="23"/>
        <v>17</v>
      </c>
      <c r="B257" s="3" t="s">
        <v>161</v>
      </c>
      <c r="C257" s="3" t="s">
        <v>577</v>
      </c>
      <c r="D257" s="1"/>
      <c r="E257" s="4"/>
      <c r="F257" s="9">
        <f>+'II-I TOTAL COMPANY'!H332</f>
        <v>0</v>
      </c>
      <c r="G257" s="66">
        <f>+Distribution!I332+Meter!I332+TDCustSvc!I332</f>
        <v>0</v>
      </c>
      <c r="H257" s="66">
        <f>+Distribution!J332+Meter!J332+TDCustSvc!J332</f>
        <v>0</v>
      </c>
      <c r="I257" s="79">
        <f t="shared" si="24"/>
        <v>0</v>
      </c>
      <c r="J257" s="66">
        <f>+Distribution!H332+Meter!H332+TDCustSvc!H332</f>
        <v>0</v>
      </c>
      <c r="K257" s="66">
        <f>+Distribution!I332+Meter!I332+TDCustSvc!I332</f>
        <v>0</v>
      </c>
      <c r="L257" s="66">
        <f>+Distribution!J332+Meter!J332+TDCustSvc!J332</f>
        <v>0</v>
      </c>
      <c r="M257" s="79">
        <f t="shared" si="25"/>
        <v>0</v>
      </c>
      <c r="N257" s="27" t="str">
        <f t="shared" si="20"/>
        <v>OK</v>
      </c>
    </row>
    <row r="258" spans="1:14" x14ac:dyDescent="0.2">
      <c r="A258" s="3">
        <f t="shared" si="23"/>
        <v>18</v>
      </c>
      <c r="B258" s="3" t="s">
        <v>162</v>
      </c>
      <c r="C258" s="3" t="s">
        <v>470</v>
      </c>
      <c r="D258" s="1"/>
      <c r="E258" s="4"/>
      <c r="F258" s="9">
        <f>+'II-I TOTAL COMPANY'!H333</f>
        <v>-1.7400000002235174</v>
      </c>
      <c r="G258" s="66">
        <f>+Distribution!I333+Meter!I333+TDCustSvc!I333</f>
        <v>0</v>
      </c>
      <c r="H258" s="66">
        <f>+Distribution!J333+Meter!J333+TDCustSvc!J333</f>
        <v>-1.7400000002235168</v>
      </c>
      <c r="I258" s="79">
        <f t="shared" si="24"/>
        <v>0.99999999999999967</v>
      </c>
      <c r="J258" s="66">
        <f>+Distribution!H333+Meter!H333+TDCustSvc!H333</f>
        <v>-1.7400000002235174</v>
      </c>
      <c r="K258" s="66">
        <f>+Distribution!I333+Meter!I333+TDCustSvc!I333</f>
        <v>0</v>
      </c>
      <c r="L258" s="66">
        <f>+Distribution!J333+Meter!J333+TDCustSvc!J333</f>
        <v>-1.7400000002235168</v>
      </c>
      <c r="M258" s="79">
        <f t="shared" si="25"/>
        <v>0.99999999999999967</v>
      </c>
      <c r="N258" s="27" t="str">
        <f t="shared" si="20"/>
        <v>OK</v>
      </c>
    </row>
    <row r="259" spans="1:14" x14ac:dyDescent="0.2">
      <c r="A259" s="3">
        <f t="shared" si="23"/>
        <v>19</v>
      </c>
      <c r="B259" s="3" t="s">
        <v>164</v>
      </c>
      <c r="C259" s="3" t="s">
        <v>141</v>
      </c>
      <c r="D259" s="1"/>
      <c r="E259" s="4"/>
      <c r="F259" s="9">
        <f>+'II-I TOTAL COMPANY'!H334</f>
        <v>3.6800000006332994</v>
      </c>
      <c r="G259" s="66">
        <f>+Distribution!I334+Meter!I334+TDCustSvc!I334</f>
        <v>0</v>
      </c>
      <c r="H259" s="66">
        <f>+Distribution!J334+Meter!J334+TDCustSvc!J334</f>
        <v>0</v>
      </c>
      <c r="I259" s="79">
        <f t="shared" si="24"/>
        <v>0</v>
      </c>
      <c r="J259" s="66">
        <f>+Distribution!H334+Meter!H334+TDCustSvc!H334</f>
        <v>3.6800000006332994</v>
      </c>
      <c r="K259" s="66">
        <f>+Distribution!I334+Meter!I334+TDCustSvc!I334</f>
        <v>0</v>
      </c>
      <c r="L259" s="66">
        <f>+Distribution!J334+Meter!J334+TDCustSvc!J334</f>
        <v>0</v>
      </c>
      <c r="M259" s="79">
        <f t="shared" si="25"/>
        <v>0</v>
      </c>
      <c r="N259" s="27">
        <f t="shared" si="20"/>
        <v>0</v>
      </c>
    </row>
    <row r="260" spans="1:14" x14ac:dyDescent="0.2">
      <c r="A260" s="3">
        <f t="shared" si="23"/>
        <v>20</v>
      </c>
      <c r="B260" s="3"/>
      <c r="C260" s="3" t="s">
        <v>135</v>
      </c>
      <c r="D260" s="3"/>
      <c r="E260" s="4"/>
      <c r="F260" s="9">
        <f>+'II-I TOTAL COMPANY'!H335</f>
        <v>1.9400000147288665</v>
      </c>
      <c r="G260" s="66">
        <f>+Distribution!I335+Meter!I335+TDCustSvc!I335</f>
        <v>0</v>
      </c>
      <c r="H260" s="66">
        <f>+Distribution!J335+Meter!J335+TDCustSvc!J335</f>
        <v>-1.7399999859044326</v>
      </c>
      <c r="I260" s="79">
        <f t="shared" si="24"/>
        <v>-0.89690720241959077</v>
      </c>
      <c r="J260" s="66">
        <f>+Distribution!H335+Meter!H335+TDCustSvc!H335</f>
        <v>1.9400000147288665</v>
      </c>
      <c r="K260" s="66">
        <f>+Distribution!I335+Meter!I335+TDCustSvc!I335</f>
        <v>0</v>
      </c>
      <c r="L260" s="66">
        <f>+Distribution!J335+Meter!J335+TDCustSvc!J335</f>
        <v>-1.7399999859044326</v>
      </c>
      <c r="M260" s="79">
        <f t="shared" si="25"/>
        <v>-0.89690720241959077</v>
      </c>
      <c r="N260" s="27">
        <f t="shared" si="20"/>
        <v>0</v>
      </c>
    </row>
    <row r="261" spans="1:14" x14ac:dyDescent="0.2">
      <c r="A261" s="3">
        <f t="shared" si="23"/>
        <v>21</v>
      </c>
      <c r="B261" s="3"/>
      <c r="C261" s="3"/>
      <c r="D261" s="3"/>
      <c r="E261" s="4"/>
      <c r="F261" s="9"/>
      <c r="G261" s="66"/>
      <c r="H261" s="66"/>
      <c r="I261" s="79"/>
      <c r="J261" s="79"/>
      <c r="K261" s="79"/>
      <c r="L261" s="79"/>
      <c r="M261" s="79"/>
      <c r="N261" s="27" t="str">
        <f t="shared" si="20"/>
        <v>OK</v>
      </c>
    </row>
    <row r="262" spans="1:14" x14ac:dyDescent="0.2">
      <c r="A262" s="3">
        <f t="shared" si="23"/>
        <v>22</v>
      </c>
      <c r="B262" s="3"/>
      <c r="C262" s="3" t="s">
        <v>142</v>
      </c>
      <c r="D262" s="3"/>
      <c r="E262" s="4"/>
      <c r="F262" s="9"/>
      <c r="G262" s="66"/>
      <c r="H262" s="66"/>
      <c r="I262" s="79"/>
      <c r="J262" s="79"/>
      <c r="K262" s="79"/>
      <c r="L262" s="79"/>
      <c r="M262" s="79"/>
      <c r="N262" s="27" t="str">
        <f t="shared" si="20"/>
        <v>OK</v>
      </c>
    </row>
    <row r="263" spans="1:14" x14ac:dyDescent="0.2">
      <c r="A263" s="3">
        <f t="shared" si="23"/>
        <v>23</v>
      </c>
      <c r="B263" s="3" t="s">
        <v>165</v>
      </c>
      <c r="C263" s="3" t="s">
        <v>146</v>
      </c>
      <c r="D263" s="1"/>
      <c r="E263" s="4"/>
      <c r="F263" s="9">
        <f>+'II-I TOTAL COMPANY'!H338</f>
        <v>0</v>
      </c>
      <c r="G263" s="66">
        <f>+Distribution!I338+Meter!I338+TDCustSvc!I338</f>
        <v>0</v>
      </c>
      <c r="H263" s="66">
        <f>+Distribution!J338+Meter!J338+TDCustSvc!J338</f>
        <v>0</v>
      </c>
      <c r="I263" s="79">
        <f t="shared" ref="I263:I272" si="26">IFERROR(+H263/F263,0)</f>
        <v>0</v>
      </c>
      <c r="J263" s="66">
        <f>+Distribution!H338+Meter!H338+TDCustSvc!H338</f>
        <v>0</v>
      </c>
      <c r="K263" s="66">
        <f>+Distribution!I338+Meter!I338+TDCustSvc!I338</f>
        <v>0</v>
      </c>
      <c r="L263" s="66">
        <f>+Distribution!J338+Meter!J338+TDCustSvc!J338</f>
        <v>0</v>
      </c>
      <c r="M263" s="79">
        <f t="shared" ref="M263:M272" si="27">IFERROR(+L263/J263,0)</f>
        <v>0</v>
      </c>
      <c r="N263" s="27" t="str">
        <f t="shared" si="20"/>
        <v>OK</v>
      </c>
    </row>
    <row r="264" spans="1:14" x14ac:dyDescent="0.2">
      <c r="A264" s="3">
        <f t="shared" si="23"/>
        <v>24</v>
      </c>
      <c r="B264" s="3" t="s">
        <v>166</v>
      </c>
      <c r="C264" s="3" t="s">
        <v>143</v>
      </c>
      <c r="D264" s="1"/>
      <c r="E264" s="4"/>
      <c r="F264" s="9">
        <f>+'II-I TOTAL COMPANY'!H339</f>
        <v>2.3283064365386963E-10</v>
      </c>
      <c r="G264" s="66">
        <f>+Distribution!I339+Meter!I339+TDCustSvc!I339</f>
        <v>0</v>
      </c>
      <c r="H264" s="66">
        <f>+Distribution!J339+Meter!J339+TDCustSvc!J339</f>
        <v>0</v>
      </c>
      <c r="I264" s="79">
        <f t="shared" si="26"/>
        <v>0</v>
      </c>
      <c r="J264" s="66">
        <f>+Distribution!H339+Meter!H339+TDCustSvc!H339</f>
        <v>2.3283064365386963E-10</v>
      </c>
      <c r="K264" s="66">
        <f>+Distribution!I339+Meter!I339+TDCustSvc!I339</f>
        <v>0</v>
      </c>
      <c r="L264" s="66">
        <f>+Distribution!J339+Meter!J339+TDCustSvc!J339</f>
        <v>0</v>
      </c>
      <c r="M264" s="79">
        <f t="shared" si="27"/>
        <v>0</v>
      </c>
      <c r="N264" s="27">
        <f t="shared" si="20"/>
        <v>0</v>
      </c>
    </row>
    <row r="265" spans="1:14" x14ac:dyDescent="0.2">
      <c r="A265" s="3">
        <f t="shared" si="23"/>
        <v>25</v>
      </c>
      <c r="B265" s="3" t="s">
        <v>167</v>
      </c>
      <c r="C265" s="3" t="s">
        <v>168</v>
      </c>
      <c r="D265" s="1"/>
      <c r="E265" s="4"/>
      <c r="F265" s="9">
        <f>+'II-I TOTAL COMPANY'!H340</f>
        <v>1.7299999995157123</v>
      </c>
      <c r="G265" s="66">
        <f>+Distribution!I340+Meter!I340+TDCustSvc!I340</f>
        <v>0</v>
      </c>
      <c r="H265" s="66">
        <f>+Distribution!J340+Meter!J340+TDCustSvc!J340</f>
        <v>0</v>
      </c>
      <c r="I265" s="79">
        <f t="shared" si="26"/>
        <v>0</v>
      </c>
      <c r="J265" s="66">
        <f>+Distribution!H340+Meter!H340+TDCustSvc!H340</f>
        <v>1.7299999995157123</v>
      </c>
      <c r="K265" s="66">
        <f>+Distribution!I340+Meter!I340+TDCustSvc!I340</f>
        <v>0</v>
      </c>
      <c r="L265" s="66">
        <f>+Distribution!J340+Meter!J340+TDCustSvc!J340</f>
        <v>0</v>
      </c>
      <c r="M265" s="79">
        <f t="shared" si="27"/>
        <v>0</v>
      </c>
      <c r="N265" s="27">
        <f t="shared" si="20"/>
        <v>0</v>
      </c>
    </row>
    <row r="266" spans="1:14" x14ac:dyDescent="0.2">
      <c r="A266" s="3">
        <f t="shared" si="23"/>
        <v>26</v>
      </c>
      <c r="B266" s="3" t="s">
        <v>169</v>
      </c>
      <c r="C266" s="3" t="s">
        <v>170</v>
      </c>
      <c r="D266" s="1"/>
      <c r="E266" s="4"/>
      <c r="F266" s="9">
        <f>+'II-I TOTAL COMPANY'!H341</f>
        <v>-27.849999997764826</v>
      </c>
      <c r="G266" s="66">
        <f>+Distribution!I341+Meter!I341+TDCustSvc!I341</f>
        <v>0</v>
      </c>
      <c r="H266" s="66">
        <f>+Distribution!J341+Meter!J341+TDCustSvc!J341</f>
        <v>0</v>
      </c>
      <c r="I266" s="79">
        <f t="shared" si="26"/>
        <v>0</v>
      </c>
      <c r="J266" s="66">
        <f>+Distribution!H341+Meter!H341+TDCustSvc!H341</f>
        <v>-27.849999997764826</v>
      </c>
      <c r="K266" s="66">
        <f>+Distribution!I341+Meter!I341+TDCustSvc!I341</f>
        <v>0</v>
      </c>
      <c r="L266" s="66">
        <f>+Distribution!J341+Meter!J341+TDCustSvc!J341</f>
        <v>0</v>
      </c>
      <c r="M266" s="79">
        <f t="shared" si="27"/>
        <v>0</v>
      </c>
      <c r="N266" s="27">
        <f t="shared" si="20"/>
        <v>0</v>
      </c>
    </row>
    <row r="267" spans="1:14" x14ac:dyDescent="0.2">
      <c r="A267" s="3">
        <f t="shared" si="23"/>
        <v>27</v>
      </c>
      <c r="B267" s="3" t="s">
        <v>171</v>
      </c>
      <c r="C267" s="3" t="s">
        <v>172</v>
      </c>
      <c r="D267" s="1"/>
      <c r="E267" s="4"/>
      <c r="F267" s="9">
        <f>+'II-I TOTAL COMPANY'!H342</f>
        <v>0</v>
      </c>
      <c r="G267" s="66">
        <f>+Distribution!I342+Meter!I342+TDCustSvc!I342</f>
        <v>0</v>
      </c>
      <c r="H267" s="66">
        <f>+Distribution!J342+Meter!J342+TDCustSvc!J342</f>
        <v>0</v>
      </c>
      <c r="I267" s="79">
        <f t="shared" si="26"/>
        <v>0</v>
      </c>
      <c r="J267" s="66">
        <f>+Distribution!H342+Meter!H342+TDCustSvc!H342</f>
        <v>0</v>
      </c>
      <c r="K267" s="66">
        <f>+Distribution!I342+Meter!I342+TDCustSvc!I342</f>
        <v>0</v>
      </c>
      <c r="L267" s="66">
        <f>+Distribution!J342+Meter!J342+TDCustSvc!J342</f>
        <v>0</v>
      </c>
      <c r="M267" s="79">
        <f t="shared" si="27"/>
        <v>0</v>
      </c>
      <c r="N267" s="27" t="str">
        <f t="shared" si="20"/>
        <v>OK</v>
      </c>
    </row>
    <row r="268" spans="1:14" x14ac:dyDescent="0.2">
      <c r="A268" s="3">
        <f t="shared" si="23"/>
        <v>28</v>
      </c>
      <c r="B268" s="3" t="s">
        <v>173</v>
      </c>
      <c r="C268" s="3" t="s">
        <v>174</v>
      </c>
      <c r="D268" s="1"/>
      <c r="E268" s="4"/>
      <c r="F268" s="9">
        <f>+'II-I TOTAL COMPANY'!H343</f>
        <v>-1.5499999999992724</v>
      </c>
      <c r="G268" s="66">
        <f>+Distribution!I343+Meter!I343+TDCustSvc!I343</f>
        <v>0</v>
      </c>
      <c r="H268" s="66">
        <f>+Distribution!J343+Meter!J343+TDCustSvc!J343</f>
        <v>0</v>
      </c>
      <c r="I268" s="79">
        <f t="shared" si="26"/>
        <v>0</v>
      </c>
      <c r="J268" s="66">
        <f>+Distribution!H343+Meter!H343+TDCustSvc!H343</f>
        <v>-1.5499999999992724</v>
      </c>
      <c r="K268" s="66">
        <f>+Distribution!I343+Meter!I343+TDCustSvc!I343</f>
        <v>0</v>
      </c>
      <c r="L268" s="66">
        <f>+Distribution!J343+Meter!J343+TDCustSvc!J343</f>
        <v>0</v>
      </c>
      <c r="M268" s="79">
        <f t="shared" si="27"/>
        <v>0</v>
      </c>
      <c r="N268" s="27">
        <f t="shared" si="20"/>
        <v>0</v>
      </c>
    </row>
    <row r="269" spans="1:14" x14ac:dyDescent="0.2">
      <c r="A269" s="3">
        <f t="shared" si="23"/>
        <v>29</v>
      </c>
      <c r="B269" s="3"/>
      <c r="C269" s="3" t="s">
        <v>135</v>
      </c>
      <c r="D269" s="3"/>
      <c r="E269" s="4"/>
      <c r="F269" s="9">
        <f>+'II-I TOTAL COMPANY'!H344</f>
        <v>-27.669999998015555</v>
      </c>
      <c r="G269" s="66">
        <f>+Distribution!I344+Meter!I344+TDCustSvc!I344</f>
        <v>0</v>
      </c>
      <c r="H269" s="66">
        <f>+Distribution!J344+Meter!J344+TDCustSvc!J344</f>
        <v>0</v>
      </c>
      <c r="I269" s="79">
        <f t="shared" si="26"/>
        <v>0</v>
      </c>
      <c r="J269" s="66">
        <f>+Distribution!H344+Meter!H344+TDCustSvc!H344</f>
        <v>-27.669999998015555</v>
      </c>
      <c r="K269" s="66">
        <f>+Distribution!I344+Meter!I344+TDCustSvc!I344</f>
        <v>0</v>
      </c>
      <c r="L269" s="66">
        <f>+Distribution!J344+Meter!J344+TDCustSvc!J344</f>
        <v>0</v>
      </c>
      <c r="M269" s="79">
        <f t="shared" si="27"/>
        <v>0</v>
      </c>
      <c r="N269" s="27">
        <f t="shared" si="20"/>
        <v>0</v>
      </c>
    </row>
    <row r="270" spans="1:14" x14ac:dyDescent="0.2">
      <c r="A270" s="3">
        <f t="shared" si="23"/>
        <v>30</v>
      </c>
      <c r="B270" s="3"/>
      <c r="C270" s="3"/>
      <c r="D270" s="3"/>
      <c r="E270" s="4"/>
      <c r="F270" s="9"/>
      <c r="G270" s="66"/>
      <c r="H270" s="66"/>
      <c r="I270" s="79"/>
      <c r="J270" s="79"/>
      <c r="K270" s="79"/>
      <c r="L270" s="79"/>
      <c r="M270" s="79"/>
      <c r="N270" s="27" t="str">
        <f t="shared" si="20"/>
        <v>OK</v>
      </c>
    </row>
    <row r="271" spans="1:14" x14ac:dyDescent="0.2">
      <c r="A271" s="3">
        <f t="shared" si="23"/>
        <v>31</v>
      </c>
      <c r="B271" s="3"/>
      <c r="C271" s="3" t="s">
        <v>175</v>
      </c>
      <c r="D271" s="3"/>
      <c r="E271" s="4"/>
      <c r="F271" s="9">
        <f>+'II-I TOTAL COMPANY'!H346</f>
        <v>-25.729999983286689</v>
      </c>
      <c r="G271" s="66">
        <f>+Distribution!I346+Meter!I346+TDCustSvc!I346</f>
        <v>0</v>
      </c>
      <c r="H271" s="66">
        <f>+Distribution!J346+Meter!J346+TDCustSvc!J346</f>
        <v>-1.7399999859044326</v>
      </c>
      <c r="I271" s="79">
        <f t="shared" si="26"/>
        <v>6.7625339566058137E-2</v>
      </c>
      <c r="J271" s="66">
        <f>+Distribution!H346+Meter!H346+TDCustSvc!H346</f>
        <v>-25.729999983286689</v>
      </c>
      <c r="K271" s="66">
        <f>+Distribution!I346+Meter!I346+TDCustSvc!I346</f>
        <v>0</v>
      </c>
      <c r="L271" s="66">
        <f>+Distribution!J346+Meter!J346+TDCustSvc!J346</f>
        <v>-1.7399999859044326</v>
      </c>
      <c r="M271" s="79">
        <f t="shared" si="27"/>
        <v>6.7625339566058137E-2</v>
      </c>
      <c r="N271" s="27">
        <f t="shared" si="20"/>
        <v>0</v>
      </c>
    </row>
    <row r="272" spans="1:14" x14ac:dyDescent="0.2">
      <c r="A272" s="3">
        <f t="shared" si="23"/>
        <v>32</v>
      </c>
      <c r="B272" s="3"/>
      <c r="C272" s="3" t="s">
        <v>585</v>
      </c>
      <c r="D272" s="3"/>
      <c r="E272" s="4"/>
      <c r="F272" s="9">
        <f>+'II-I TOTAL COMPANY'!H347</f>
        <v>-25.729999983286689</v>
      </c>
      <c r="G272" s="66">
        <f>+Distribution!I347+Meter!I347+TDCustSvc!I347</f>
        <v>0</v>
      </c>
      <c r="H272" s="66">
        <f>+Distribution!J347+Meter!J347+TDCustSvc!J347</f>
        <v>0</v>
      </c>
      <c r="I272" s="79">
        <f t="shared" si="26"/>
        <v>0</v>
      </c>
      <c r="J272" s="66">
        <f>+Distribution!H347+Meter!H347+TDCustSvc!H347</f>
        <v>0</v>
      </c>
      <c r="K272" s="66">
        <f>+Distribution!I347+Meter!I347+TDCustSvc!I347</f>
        <v>0</v>
      </c>
      <c r="L272" s="66">
        <f>+Distribution!J347+Meter!J347+TDCustSvc!J347</f>
        <v>0</v>
      </c>
      <c r="M272" s="79">
        <f t="shared" si="27"/>
        <v>0</v>
      </c>
      <c r="N272" s="27">
        <f t="shared" si="20"/>
        <v>0</v>
      </c>
    </row>
    <row r="273" spans="1:14" x14ac:dyDescent="0.2">
      <c r="A273" s="3">
        <f t="shared" si="23"/>
        <v>33</v>
      </c>
      <c r="B273" s="7" t="s">
        <v>144</v>
      </c>
      <c r="C273" s="3"/>
      <c r="D273" s="3"/>
      <c r="E273" s="4"/>
      <c r="F273" s="9"/>
      <c r="G273" s="66"/>
      <c r="H273" s="66"/>
      <c r="I273" s="79"/>
      <c r="J273" s="79"/>
      <c r="K273" s="79"/>
      <c r="L273" s="79"/>
      <c r="M273" s="79"/>
      <c r="N273" s="27" t="str">
        <f t="shared" si="20"/>
        <v>OK</v>
      </c>
    </row>
    <row r="274" spans="1:14" x14ac:dyDescent="0.2">
      <c r="A274" s="3">
        <f t="shared" si="23"/>
        <v>34</v>
      </c>
      <c r="B274" s="3" t="s">
        <v>176</v>
      </c>
      <c r="C274" s="3"/>
      <c r="D274" s="3"/>
      <c r="E274" s="4"/>
      <c r="F274" s="9"/>
      <c r="G274" s="66"/>
      <c r="H274" s="66"/>
      <c r="I274" s="79"/>
      <c r="J274" s="79"/>
      <c r="K274" s="79"/>
      <c r="L274" s="79"/>
      <c r="M274" s="79"/>
      <c r="N274" s="27" t="str">
        <f t="shared" si="20"/>
        <v>OK</v>
      </c>
    </row>
    <row r="275" spans="1:14" x14ac:dyDescent="0.2">
      <c r="A275" s="3">
        <f t="shared" si="23"/>
        <v>35</v>
      </c>
      <c r="B275" s="3"/>
      <c r="C275" s="3" t="s">
        <v>140</v>
      </c>
      <c r="D275" s="3"/>
      <c r="E275" s="4"/>
      <c r="F275" s="9"/>
      <c r="G275" s="66"/>
      <c r="H275" s="66"/>
      <c r="I275" s="79"/>
      <c r="J275" s="79"/>
      <c r="K275" s="79"/>
      <c r="L275" s="79"/>
      <c r="M275" s="79"/>
      <c r="N275" s="27" t="str">
        <f t="shared" si="20"/>
        <v>OK</v>
      </c>
    </row>
    <row r="276" spans="1:14" x14ac:dyDescent="0.2">
      <c r="A276" s="3">
        <f t="shared" si="23"/>
        <v>36</v>
      </c>
      <c r="B276" s="3" t="s">
        <v>177</v>
      </c>
      <c r="C276" s="3" t="s">
        <v>145</v>
      </c>
      <c r="D276" s="1"/>
      <c r="E276" s="4"/>
      <c r="F276" s="9">
        <f>+'II-I TOTAL COMPANY'!H351</f>
        <v>6567911.4890609728</v>
      </c>
      <c r="G276" s="66">
        <f>+Distribution!I351+Meter!I351+TDCustSvc!I351</f>
        <v>0</v>
      </c>
      <c r="H276" s="66">
        <f>+Distribution!J351+Meter!J351+TDCustSvc!J351</f>
        <v>6567911.4890609719</v>
      </c>
      <c r="I276" s="79">
        <f>+H276/F276</f>
        <v>0.99999999999999989</v>
      </c>
      <c r="J276" s="66">
        <f>+Distribution!H351+Meter!H351+TDCustSvc!H351</f>
        <v>6567911.4890609728</v>
      </c>
      <c r="K276" s="66">
        <f>+Distribution!I351+Meter!I351+TDCustSvc!I351</f>
        <v>0</v>
      </c>
      <c r="L276" s="66">
        <f>+Distribution!J351+Meter!J351+TDCustSvc!J351</f>
        <v>6567911.4890609719</v>
      </c>
      <c r="M276" s="79">
        <f t="shared" ref="M276:M282" si="28">+L276/J276</f>
        <v>0.99999999999999989</v>
      </c>
      <c r="N276" s="27" t="str">
        <f t="shared" ref="N276:N339" si="29">IF(SUM(G276+H276)=F276,"OK",0)</f>
        <v>OK</v>
      </c>
    </row>
    <row r="277" spans="1:14" x14ac:dyDescent="0.2">
      <c r="A277" s="3">
        <f t="shared" si="23"/>
        <v>37</v>
      </c>
      <c r="B277" s="3" t="s">
        <v>178</v>
      </c>
      <c r="C277" s="3" t="s">
        <v>155</v>
      </c>
      <c r="D277" s="1"/>
      <c r="E277" s="4"/>
      <c r="F277" s="9">
        <f>+'II-I TOTAL COMPANY'!H352</f>
        <v>3401462.8271823106</v>
      </c>
      <c r="G277" s="66">
        <f>+Distribution!I352+Meter!I352+TDCustSvc!I352</f>
        <v>0</v>
      </c>
      <c r="H277" s="66">
        <f>+Distribution!J352+Meter!J352+TDCustSvc!J352</f>
        <v>3401462.8271823116</v>
      </c>
      <c r="I277" s="79">
        <f t="shared" ref="I277:I340" si="30">+H277/F277</f>
        <v>1.0000000000000002</v>
      </c>
      <c r="J277" s="66">
        <f>+Distribution!H352+Meter!H352+TDCustSvc!H352</f>
        <v>3401462.8271823106</v>
      </c>
      <c r="K277" s="66">
        <f>+Distribution!I352+Meter!I352+TDCustSvc!I352</f>
        <v>0</v>
      </c>
      <c r="L277" s="66">
        <f>+Distribution!J352+Meter!J352+TDCustSvc!J352</f>
        <v>3401462.8271823116</v>
      </c>
      <c r="M277" s="79">
        <f t="shared" si="28"/>
        <v>1.0000000000000002</v>
      </c>
      <c r="N277" s="27" t="str">
        <f t="shared" si="29"/>
        <v>OK</v>
      </c>
    </row>
    <row r="278" spans="1:14" x14ac:dyDescent="0.2">
      <c r="A278" s="3">
        <f t="shared" si="23"/>
        <v>38</v>
      </c>
      <c r="B278" s="3" t="s">
        <v>179</v>
      </c>
      <c r="C278" s="3" t="s">
        <v>180</v>
      </c>
      <c r="D278" s="1"/>
      <c r="E278" s="4"/>
      <c r="F278" s="9">
        <f>+'II-I TOTAL COMPANY'!H353</f>
        <v>2244671.5476247608</v>
      </c>
      <c r="G278" s="66">
        <f>+Distribution!I353+Meter!I353+TDCustSvc!I353</f>
        <v>0</v>
      </c>
      <c r="H278" s="66">
        <f>+Distribution!J353+Meter!J353+TDCustSvc!J353</f>
        <v>2244671.5476247608</v>
      </c>
      <c r="I278" s="79">
        <f t="shared" si="30"/>
        <v>1</v>
      </c>
      <c r="J278" s="66">
        <f>+Distribution!H353+Meter!H353+TDCustSvc!H353</f>
        <v>2244671.5476247608</v>
      </c>
      <c r="K278" s="66">
        <f>+Distribution!I353+Meter!I353+TDCustSvc!I353</f>
        <v>0</v>
      </c>
      <c r="L278" s="66">
        <f>+Distribution!J353+Meter!J353+TDCustSvc!J353</f>
        <v>2244671.5476247608</v>
      </c>
      <c r="M278" s="79">
        <f t="shared" si="28"/>
        <v>1</v>
      </c>
      <c r="N278" s="27" t="str">
        <f t="shared" si="29"/>
        <v>OK</v>
      </c>
    </row>
    <row r="279" spans="1:14" x14ac:dyDescent="0.2">
      <c r="A279" s="3">
        <f t="shared" si="23"/>
        <v>39</v>
      </c>
      <c r="B279" s="3" t="s">
        <v>181</v>
      </c>
      <c r="C279" s="3" t="s">
        <v>182</v>
      </c>
      <c r="D279" s="1"/>
      <c r="E279" s="4"/>
      <c r="F279" s="9">
        <f>+'II-I TOTAL COMPANY'!H354</f>
        <v>8782875.3498802762</v>
      </c>
      <c r="G279" s="66">
        <f>+Distribution!I354+Meter!I354+TDCustSvc!I354</f>
        <v>0</v>
      </c>
      <c r="H279" s="66">
        <f>+Distribution!J354+Meter!J354+TDCustSvc!J354</f>
        <v>8782875.3498802744</v>
      </c>
      <c r="I279" s="79">
        <f t="shared" si="30"/>
        <v>0.99999999999999978</v>
      </c>
      <c r="J279" s="66">
        <f>+Distribution!H354+Meter!H354+TDCustSvc!H354</f>
        <v>8782875.3498802762</v>
      </c>
      <c r="K279" s="66">
        <f>+Distribution!I354+Meter!I354+TDCustSvc!I354</f>
        <v>0</v>
      </c>
      <c r="L279" s="66">
        <f>+Distribution!J354+Meter!J354+TDCustSvc!J354</f>
        <v>8782875.3498802744</v>
      </c>
      <c r="M279" s="79">
        <f t="shared" si="28"/>
        <v>0.99999999999999978</v>
      </c>
      <c r="N279" s="27">
        <f t="shared" si="29"/>
        <v>0</v>
      </c>
    </row>
    <row r="280" spans="1:14" x14ac:dyDescent="0.2">
      <c r="A280" s="3">
        <f t="shared" si="23"/>
        <v>40</v>
      </c>
      <c r="B280" s="3" t="s">
        <v>183</v>
      </c>
      <c r="C280" s="3" t="s">
        <v>160</v>
      </c>
      <c r="D280" s="1"/>
      <c r="E280" s="4"/>
      <c r="F280" s="9">
        <f>+'II-I TOTAL COMPANY'!H355</f>
        <v>3730823.1062993715</v>
      </c>
      <c r="G280" s="66">
        <f>+Distribution!I355+Meter!I355+TDCustSvc!I355</f>
        <v>0</v>
      </c>
      <c r="H280" s="66">
        <f>+Distribution!J355+Meter!J355+TDCustSvc!J355</f>
        <v>3730823.1062993696</v>
      </c>
      <c r="I280" s="79">
        <f t="shared" si="30"/>
        <v>0.99999999999999956</v>
      </c>
      <c r="J280" s="66">
        <f>+Distribution!H355+Meter!H355+TDCustSvc!H355</f>
        <v>3730823.1062993715</v>
      </c>
      <c r="K280" s="66">
        <f>+Distribution!I355+Meter!I355+TDCustSvc!I355</f>
        <v>0</v>
      </c>
      <c r="L280" s="66">
        <f>+Distribution!J355+Meter!J355+TDCustSvc!J355</f>
        <v>3730823.1062993696</v>
      </c>
      <c r="M280" s="79">
        <f t="shared" si="28"/>
        <v>0.99999999999999956</v>
      </c>
      <c r="N280" s="27" t="str">
        <f t="shared" si="29"/>
        <v>OK</v>
      </c>
    </row>
    <row r="281" spans="1:14" x14ac:dyDescent="0.2">
      <c r="A281" s="3">
        <f t="shared" si="23"/>
        <v>41</v>
      </c>
      <c r="B281" s="3" t="s">
        <v>184</v>
      </c>
      <c r="C281" s="3" t="s">
        <v>185</v>
      </c>
      <c r="D281" s="1"/>
      <c r="E281" s="4"/>
      <c r="F281" s="9">
        <f>+'II-I TOTAL COMPANY'!H356</f>
        <v>38394.809101184015</v>
      </c>
      <c r="G281" s="66">
        <f>+Distribution!I356+Meter!I356+TDCustSvc!I356</f>
        <v>0</v>
      </c>
      <c r="H281" s="66">
        <f>+Distribution!J356+Meter!J356+TDCustSvc!J356</f>
        <v>38394.809101184015</v>
      </c>
      <c r="I281" s="79">
        <f t="shared" si="30"/>
        <v>1</v>
      </c>
      <c r="J281" s="66">
        <f>+Distribution!H356+Meter!H356+TDCustSvc!H356</f>
        <v>38394.809101184015</v>
      </c>
      <c r="K281" s="66">
        <f>+Distribution!I356+Meter!I356+TDCustSvc!I356</f>
        <v>0</v>
      </c>
      <c r="L281" s="66">
        <f>+Distribution!J356+Meter!J356+TDCustSvc!J356</f>
        <v>38394.809101184015</v>
      </c>
      <c r="M281" s="79">
        <f t="shared" si="28"/>
        <v>1</v>
      </c>
      <c r="N281" s="27" t="str">
        <f t="shared" si="29"/>
        <v>OK</v>
      </c>
    </row>
    <row r="282" spans="1:14" x14ac:dyDescent="0.2">
      <c r="A282" s="3">
        <f t="shared" si="23"/>
        <v>42</v>
      </c>
      <c r="B282" s="3" t="s">
        <v>186</v>
      </c>
      <c r="C282" s="3" t="s">
        <v>187</v>
      </c>
      <c r="D282" s="1"/>
      <c r="E282" s="4"/>
      <c r="F282" s="9">
        <f>+'II-I TOTAL COMPANY'!H357</f>
        <v>9014635.3253094368</v>
      </c>
      <c r="G282" s="66">
        <f>+Distribution!I357+Meter!I357+TDCustSvc!I357</f>
        <v>0</v>
      </c>
      <c r="H282" s="66">
        <f>+Distribution!J357+Meter!J357+TDCustSvc!J357</f>
        <v>9014635.3253094368</v>
      </c>
      <c r="I282" s="79">
        <f t="shared" si="30"/>
        <v>1</v>
      </c>
      <c r="J282" s="66">
        <f>+Distribution!H357+Meter!H357+TDCustSvc!H357</f>
        <v>9014635.3253094368</v>
      </c>
      <c r="K282" s="66">
        <f>+Distribution!I357+Meter!I357+TDCustSvc!I357</f>
        <v>0</v>
      </c>
      <c r="L282" s="66">
        <f>+Distribution!J357+Meter!J357+TDCustSvc!J357</f>
        <v>9014635.3253094368</v>
      </c>
      <c r="M282" s="79">
        <f t="shared" si="28"/>
        <v>1</v>
      </c>
      <c r="N282" s="27" t="str">
        <f t="shared" si="29"/>
        <v>OK</v>
      </c>
    </row>
    <row r="283" spans="1:14" x14ac:dyDescent="0.2">
      <c r="A283" s="3">
        <f t="shared" si="23"/>
        <v>43</v>
      </c>
      <c r="B283" s="3" t="s">
        <v>186</v>
      </c>
      <c r="C283" s="3" t="s">
        <v>187</v>
      </c>
      <c r="D283" s="1"/>
      <c r="E283" s="4"/>
      <c r="F283" s="9">
        <f>+'II-I TOTAL COMPANY'!H358</f>
        <v>0</v>
      </c>
      <c r="G283" s="66">
        <f>+Distribution!I358+Meter!I358+TDCustSvc!I358</f>
        <v>0</v>
      </c>
      <c r="H283" s="66">
        <f>+Distribution!J358+Meter!J358+TDCustSvc!J358</f>
        <v>0</v>
      </c>
      <c r="I283" s="79"/>
      <c r="J283" s="66">
        <f>+Distribution!H358+Meter!H358+TDCustSvc!H358</f>
        <v>0</v>
      </c>
      <c r="K283" s="66">
        <f>+Distribution!I358+Meter!I358+TDCustSvc!I358</f>
        <v>0</v>
      </c>
      <c r="L283" s="66">
        <f>+Distribution!J358+Meter!J358+TDCustSvc!J358</f>
        <v>0</v>
      </c>
      <c r="M283" s="79"/>
      <c r="N283" s="27" t="str">
        <f t="shared" si="29"/>
        <v>OK</v>
      </c>
    </row>
    <row r="284" spans="1:14" x14ac:dyDescent="0.2">
      <c r="A284" s="3">
        <f>+A282+1</f>
        <v>43</v>
      </c>
      <c r="B284" s="3" t="s">
        <v>188</v>
      </c>
      <c r="C284" s="3" t="s">
        <v>189</v>
      </c>
      <c r="D284" s="1"/>
      <c r="E284" s="4"/>
      <c r="F284" s="9">
        <f>+'II-I TOTAL COMPANY'!H359</f>
        <v>1281767.7809011489</v>
      </c>
      <c r="G284" s="66">
        <f>+Distribution!I359+Meter!I359+TDCustSvc!I359</f>
        <v>0</v>
      </c>
      <c r="H284" s="66">
        <f>+Distribution!J359+Meter!J359+TDCustSvc!J359</f>
        <v>1281767.7809011491</v>
      </c>
      <c r="I284" s="79">
        <f t="shared" si="30"/>
        <v>1.0000000000000002</v>
      </c>
      <c r="J284" s="66">
        <f>+Distribution!H359+Meter!H359+TDCustSvc!H359</f>
        <v>1281767.7809011489</v>
      </c>
      <c r="K284" s="66">
        <f>+Distribution!I359+Meter!I359+TDCustSvc!I359</f>
        <v>0</v>
      </c>
      <c r="L284" s="66">
        <f>+Distribution!J359+Meter!J359+TDCustSvc!J359</f>
        <v>1281767.7809011491</v>
      </c>
      <c r="M284" s="79">
        <f t="shared" ref="M284:M345" si="31">+L284/J284</f>
        <v>1.0000000000000002</v>
      </c>
      <c r="N284" s="27" t="str">
        <f t="shared" si="29"/>
        <v>OK</v>
      </c>
    </row>
    <row r="285" spans="1:14" x14ac:dyDescent="0.2">
      <c r="A285" s="3">
        <f>+A284+1</f>
        <v>44</v>
      </c>
      <c r="B285" s="3" t="s">
        <v>190</v>
      </c>
      <c r="C285" s="3" t="s">
        <v>191</v>
      </c>
      <c r="D285" s="1"/>
      <c r="E285" s="4"/>
      <c r="F285" s="9">
        <f>+'II-I TOTAL COMPANY'!H360</f>
        <v>33022422.905798979</v>
      </c>
      <c r="G285" s="66">
        <f>+Distribution!I360+Meter!I360+TDCustSvc!I360</f>
        <v>0</v>
      </c>
      <c r="H285" s="66">
        <f>+Distribution!J360+Meter!J360+TDCustSvc!J360</f>
        <v>33022422.905798983</v>
      </c>
      <c r="I285" s="79">
        <f t="shared" si="30"/>
        <v>1.0000000000000002</v>
      </c>
      <c r="J285" s="66">
        <f>+Distribution!H360+Meter!H360+TDCustSvc!H360</f>
        <v>33022422.905798979</v>
      </c>
      <c r="K285" s="66">
        <f>+Distribution!I360+Meter!I360+TDCustSvc!I360</f>
        <v>0</v>
      </c>
      <c r="L285" s="66">
        <f>+Distribution!J360+Meter!J360+TDCustSvc!J360</f>
        <v>33022422.905798983</v>
      </c>
      <c r="M285" s="79">
        <f t="shared" si="31"/>
        <v>1.0000000000000002</v>
      </c>
      <c r="N285" s="27" t="str">
        <f t="shared" si="29"/>
        <v>OK</v>
      </c>
    </row>
    <row r="286" spans="1:14" x14ac:dyDescent="0.2">
      <c r="A286" s="3">
        <f>+A285+1</f>
        <v>45</v>
      </c>
      <c r="B286" s="3" t="s">
        <v>190</v>
      </c>
      <c r="C286" s="3" t="s">
        <v>191</v>
      </c>
      <c r="D286" s="1"/>
      <c r="E286" s="4"/>
      <c r="F286" s="9">
        <f>+'II-I TOTAL COMPANY'!H361</f>
        <v>0</v>
      </c>
      <c r="G286" s="66">
        <f>+Distribution!I361+Meter!I361+TDCustSvc!I361</f>
        <v>0</v>
      </c>
      <c r="H286" s="66">
        <f>+Distribution!J361+Meter!J361+TDCustSvc!J361</f>
        <v>0</v>
      </c>
      <c r="I286" s="79"/>
      <c r="J286" s="66">
        <f>+Distribution!H361+Meter!H361+TDCustSvc!H361</f>
        <v>0</v>
      </c>
      <c r="K286" s="66">
        <f>+Distribution!I361+Meter!I361+TDCustSvc!I361</f>
        <v>0</v>
      </c>
      <c r="L286" s="66">
        <f>+Distribution!J361+Meter!J361+TDCustSvc!J361</f>
        <v>0</v>
      </c>
      <c r="M286" s="79"/>
      <c r="N286" s="27" t="str">
        <f t="shared" si="29"/>
        <v>OK</v>
      </c>
    </row>
    <row r="287" spans="1:14" x14ac:dyDescent="0.2">
      <c r="A287" s="3">
        <f>+A285+1</f>
        <v>45</v>
      </c>
      <c r="B287" s="3" t="s">
        <v>192</v>
      </c>
      <c r="C287" s="3" t="s">
        <v>141</v>
      </c>
      <c r="D287" s="1"/>
      <c r="E287" s="4"/>
      <c r="F287" s="9">
        <f>+'II-I TOTAL COMPANY'!H362</f>
        <v>3423795.4920000006</v>
      </c>
      <c r="G287" s="66">
        <f>+Distribution!I362+Meter!I362+TDCustSvc!I362</f>
        <v>0</v>
      </c>
      <c r="H287" s="66">
        <f>+Distribution!J362+Meter!J362+TDCustSvc!J362</f>
        <v>3423795.4920000015</v>
      </c>
      <c r="I287" s="79">
        <f t="shared" si="30"/>
        <v>1.0000000000000002</v>
      </c>
      <c r="J287" s="66">
        <f>+Distribution!H362+Meter!H362+TDCustSvc!H362</f>
        <v>3423795.4920000006</v>
      </c>
      <c r="K287" s="66">
        <f>+Distribution!I362+Meter!I362+TDCustSvc!I362</f>
        <v>0</v>
      </c>
      <c r="L287" s="66">
        <f>+Distribution!J362+Meter!J362+TDCustSvc!J362</f>
        <v>3423795.4920000015</v>
      </c>
      <c r="M287" s="79">
        <f t="shared" si="31"/>
        <v>1.0000000000000002</v>
      </c>
      <c r="N287" s="27" t="str">
        <f t="shared" si="29"/>
        <v>OK</v>
      </c>
    </row>
    <row r="288" spans="1:14" x14ac:dyDescent="0.2">
      <c r="A288" s="3">
        <f t="shared" ref="A288:A302" si="32">+A287+1</f>
        <v>46</v>
      </c>
      <c r="B288" s="3"/>
      <c r="C288" s="3" t="s">
        <v>193</v>
      </c>
      <c r="D288" s="3"/>
      <c r="E288" s="4"/>
      <c r="F288" s="9">
        <f>+'II-I TOTAL COMPANY'!H363</f>
        <v>71508760.63315843</v>
      </c>
      <c r="G288" s="66">
        <f>+Distribution!I363+Meter!I363+TDCustSvc!I363</f>
        <v>0</v>
      </c>
      <c r="H288" s="66">
        <f>+Distribution!J363+Meter!J363+TDCustSvc!J363</f>
        <v>71508760.63315843</v>
      </c>
      <c r="I288" s="79">
        <f t="shared" si="30"/>
        <v>1</v>
      </c>
      <c r="J288" s="66">
        <f>+Distribution!H363+Meter!H363+TDCustSvc!H363</f>
        <v>71508760.633158445</v>
      </c>
      <c r="K288" s="66">
        <f>+Distribution!I363+Meter!I363+TDCustSvc!I363</f>
        <v>0</v>
      </c>
      <c r="L288" s="66">
        <f>+Distribution!J363+Meter!J363+TDCustSvc!J363</f>
        <v>71508760.63315843</v>
      </c>
      <c r="M288" s="79">
        <f t="shared" si="31"/>
        <v>0.99999999999999978</v>
      </c>
      <c r="N288" s="27" t="str">
        <f t="shared" si="29"/>
        <v>OK</v>
      </c>
    </row>
    <row r="289" spans="1:14" x14ac:dyDescent="0.2">
      <c r="A289" s="3">
        <f t="shared" si="32"/>
        <v>47</v>
      </c>
      <c r="B289" s="3" t="s">
        <v>142</v>
      </c>
      <c r="C289" s="3"/>
      <c r="D289" s="3"/>
      <c r="E289" s="4"/>
      <c r="F289" s="9"/>
      <c r="G289" s="66"/>
      <c r="H289" s="66"/>
      <c r="I289" s="79"/>
      <c r="J289" s="79"/>
      <c r="K289" s="79"/>
      <c r="L289" s="79"/>
      <c r="M289" s="79"/>
      <c r="N289" s="27" t="str">
        <f t="shared" si="29"/>
        <v>OK</v>
      </c>
    </row>
    <row r="290" spans="1:14" x14ac:dyDescent="0.2">
      <c r="A290" s="3">
        <f t="shared" si="32"/>
        <v>48</v>
      </c>
      <c r="B290" s="3" t="s">
        <v>194</v>
      </c>
      <c r="C290" s="3" t="s">
        <v>195</v>
      </c>
      <c r="D290" s="1"/>
      <c r="E290" s="4"/>
      <c r="F290" s="9">
        <f>+'II-I TOTAL COMPANY'!H365</f>
        <v>140056.27341455725</v>
      </c>
      <c r="G290" s="66">
        <f>+Distribution!I365+Meter!I365+TDCustSvc!I365</f>
        <v>0</v>
      </c>
      <c r="H290" s="66">
        <f ca="1">+Distribution!J365+Meter!J365+TDCustSvc!J365</f>
        <v>140056.27341455725</v>
      </c>
      <c r="I290" s="79">
        <f t="shared" ca="1" si="30"/>
        <v>1</v>
      </c>
      <c r="J290" s="66">
        <f>+Distribution!H365+Meter!H365+TDCustSvc!H365</f>
        <v>140056.27341455725</v>
      </c>
      <c r="K290" s="66">
        <f>+Distribution!I365+Meter!I365+TDCustSvc!I365</f>
        <v>0</v>
      </c>
      <c r="L290" s="66">
        <f ca="1">+Distribution!J365+Meter!J365+TDCustSvc!J365</f>
        <v>140056.27341455725</v>
      </c>
      <c r="M290" s="79">
        <f t="shared" ca="1" si="31"/>
        <v>1</v>
      </c>
      <c r="N290" s="27" t="str">
        <f t="shared" ca="1" si="29"/>
        <v>OK</v>
      </c>
    </row>
    <row r="291" spans="1:14" x14ac:dyDescent="0.2">
      <c r="A291" s="3">
        <f t="shared" si="32"/>
        <v>49</v>
      </c>
      <c r="B291" s="3" t="s">
        <v>196</v>
      </c>
      <c r="C291" s="3" t="s">
        <v>143</v>
      </c>
      <c r="D291" s="1"/>
      <c r="E291" s="4"/>
      <c r="F291" s="9">
        <f>+'II-I TOTAL COMPANY'!H366</f>
        <v>117593.9</v>
      </c>
      <c r="G291" s="66">
        <f>+Distribution!I366+Meter!I366+TDCustSvc!I366</f>
        <v>0</v>
      </c>
      <c r="H291" s="66">
        <f>+Distribution!J366+Meter!J366+TDCustSvc!J366</f>
        <v>117593.9</v>
      </c>
      <c r="I291" s="79">
        <f t="shared" si="30"/>
        <v>1</v>
      </c>
      <c r="J291" s="66">
        <f>+Distribution!H366+Meter!H366+TDCustSvc!H366</f>
        <v>117593.9</v>
      </c>
      <c r="K291" s="66">
        <f>+Distribution!I366+Meter!I366+TDCustSvc!I366</f>
        <v>0</v>
      </c>
      <c r="L291" s="66">
        <f>+Distribution!J366+Meter!J366+TDCustSvc!J366</f>
        <v>117593.9</v>
      </c>
      <c r="M291" s="79">
        <f t="shared" si="31"/>
        <v>1</v>
      </c>
      <c r="N291" s="27" t="str">
        <f t="shared" si="29"/>
        <v>OK</v>
      </c>
    </row>
    <row r="292" spans="1:14" x14ac:dyDescent="0.2">
      <c r="A292" s="3">
        <f t="shared" si="32"/>
        <v>50</v>
      </c>
      <c r="B292" s="3" t="s">
        <v>197</v>
      </c>
      <c r="C292" s="3" t="s">
        <v>168</v>
      </c>
      <c r="D292" s="1"/>
      <c r="E292" s="4"/>
      <c r="F292" s="9">
        <f>+'II-I TOTAL COMPANY'!H367</f>
        <v>4320275.617439731</v>
      </c>
      <c r="G292" s="66">
        <f>+Distribution!I367+Meter!I367+TDCustSvc!I367</f>
        <v>0</v>
      </c>
      <c r="H292" s="66">
        <f>+Distribution!J367+Meter!J367+TDCustSvc!J367</f>
        <v>4320275.617439732</v>
      </c>
      <c r="I292" s="79">
        <f t="shared" si="30"/>
        <v>1.0000000000000002</v>
      </c>
      <c r="J292" s="66">
        <f>+Distribution!H367+Meter!H367+TDCustSvc!H367</f>
        <v>4320275.617439731</v>
      </c>
      <c r="K292" s="66">
        <f>+Distribution!I367+Meter!I367+TDCustSvc!I367</f>
        <v>0</v>
      </c>
      <c r="L292" s="66">
        <f>+Distribution!J367+Meter!J367+TDCustSvc!J367</f>
        <v>4320275.617439732</v>
      </c>
      <c r="M292" s="79">
        <f t="shared" si="31"/>
        <v>1.0000000000000002</v>
      </c>
      <c r="N292" s="27" t="str">
        <f t="shared" si="29"/>
        <v>OK</v>
      </c>
    </row>
    <row r="293" spans="1:14" x14ac:dyDescent="0.2">
      <c r="A293" s="3">
        <f t="shared" si="32"/>
        <v>51</v>
      </c>
      <c r="B293" s="3" t="s">
        <v>198</v>
      </c>
      <c r="C293" s="3" t="s">
        <v>170</v>
      </c>
      <c r="D293" s="1"/>
      <c r="E293" s="4"/>
      <c r="F293" s="9">
        <f>+'II-I TOTAL COMPANY'!H368</f>
        <v>49463463.055214621</v>
      </c>
      <c r="G293" s="66">
        <f>+Distribution!I368+Meter!I368+TDCustSvc!I368</f>
        <v>0</v>
      </c>
      <c r="H293" s="66">
        <f>+Distribution!J368+Meter!J368+TDCustSvc!J368</f>
        <v>49463463.055214621</v>
      </c>
      <c r="I293" s="79">
        <f t="shared" si="30"/>
        <v>1</v>
      </c>
      <c r="J293" s="66">
        <f>+Distribution!H368+Meter!H368+TDCustSvc!H368</f>
        <v>49463463.055214621</v>
      </c>
      <c r="K293" s="66">
        <f>+Distribution!I368+Meter!I368+TDCustSvc!I368</f>
        <v>0</v>
      </c>
      <c r="L293" s="66">
        <f>+Distribution!J368+Meter!J368+TDCustSvc!J368</f>
        <v>49463463.055214621</v>
      </c>
      <c r="M293" s="79">
        <f t="shared" si="31"/>
        <v>1</v>
      </c>
      <c r="N293" s="27" t="str">
        <f t="shared" si="29"/>
        <v>OK</v>
      </c>
    </row>
    <row r="294" spans="1:14" x14ac:dyDescent="0.2">
      <c r="A294" s="3">
        <f t="shared" si="32"/>
        <v>52</v>
      </c>
      <c r="B294" s="3" t="s">
        <v>199</v>
      </c>
      <c r="C294" s="3" t="s">
        <v>172</v>
      </c>
      <c r="D294" s="1"/>
      <c r="E294" s="4"/>
      <c r="F294" s="9">
        <f>+'II-I TOTAL COMPANY'!H369</f>
        <v>1423254.9632468971</v>
      </c>
      <c r="G294" s="66">
        <f>+Distribution!I369+Meter!I369+TDCustSvc!I369</f>
        <v>0</v>
      </c>
      <c r="H294" s="66">
        <f>+Distribution!J369+Meter!J369+TDCustSvc!J369</f>
        <v>1423254.9632468964</v>
      </c>
      <c r="I294" s="79">
        <f t="shared" si="30"/>
        <v>0.99999999999999956</v>
      </c>
      <c r="J294" s="66">
        <f>+Distribution!H369+Meter!H369+TDCustSvc!H369</f>
        <v>1423254.9632468971</v>
      </c>
      <c r="K294" s="66">
        <f>+Distribution!I369+Meter!I369+TDCustSvc!I369</f>
        <v>0</v>
      </c>
      <c r="L294" s="66">
        <f>+Distribution!J369+Meter!J369+TDCustSvc!J369</f>
        <v>1423254.9632468964</v>
      </c>
      <c r="M294" s="79">
        <f t="shared" si="31"/>
        <v>0.99999999999999956</v>
      </c>
      <c r="N294" s="27" t="str">
        <f t="shared" si="29"/>
        <v>OK</v>
      </c>
    </row>
    <row r="295" spans="1:14" x14ac:dyDescent="0.2">
      <c r="A295" s="3">
        <f t="shared" si="32"/>
        <v>53</v>
      </c>
      <c r="B295" s="3" t="s">
        <v>200</v>
      </c>
      <c r="C295" s="3" t="s">
        <v>201</v>
      </c>
      <c r="D295" s="1"/>
      <c r="E295" s="4"/>
      <c r="F295" s="9">
        <f>+'II-I TOTAL COMPANY'!H370</f>
        <v>876088.1675364715</v>
      </c>
      <c r="G295" s="66">
        <f>+Distribution!I370+Meter!I370+TDCustSvc!I370</f>
        <v>0</v>
      </c>
      <c r="H295" s="66">
        <f>+Distribution!J370+Meter!J370+TDCustSvc!J370</f>
        <v>876088.16753647127</v>
      </c>
      <c r="I295" s="79">
        <f t="shared" si="30"/>
        <v>0.99999999999999978</v>
      </c>
      <c r="J295" s="66">
        <f>+Distribution!H370+Meter!H370+TDCustSvc!H370</f>
        <v>876088.1675364715</v>
      </c>
      <c r="K295" s="66">
        <f>+Distribution!I370+Meter!I370+TDCustSvc!I370</f>
        <v>0</v>
      </c>
      <c r="L295" s="66">
        <f>+Distribution!J370+Meter!J370+TDCustSvc!J370</f>
        <v>876088.16753647127</v>
      </c>
      <c r="M295" s="79">
        <f t="shared" si="31"/>
        <v>0.99999999999999978</v>
      </c>
      <c r="N295" s="27">
        <f t="shared" si="29"/>
        <v>0</v>
      </c>
    </row>
    <row r="296" spans="1:14" x14ac:dyDescent="0.2">
      <c r="A296" s="3">
        <f t="shared" si="32"/>
        <v>54</v>
      </c>
      <c r="B296" s="3" t="s">
        <v>202</v>
      </c>
      <c r="C296" s="3" t="s">
        <v>203</v>
      </c>
      <c r="D296" s="1"/>
      <c r="E296" s="4"/>
      <c r="F296" s="9">
        <f>+'II-I TOTAL COMPANY'!H371</f>
        <v>514029.09911640646</v>
      </c>
      <c r="G296" s="66">
        <f>+Distribution!I371+Meter!I371+TDCustSvc!I371</f>
        <v>0</v>
      </c>
      <c r="H296" s="66">
        <f>+Distribution!J371+Meter!J371+TDCustSvc!J371</f>
        <v>514029.09911640646</v>
      </c>
      <c r="I296" s="79">
        <f t="shared" si="30"/>
        <v>1</v>
      </c>
      <c r="J296" s="66">
        <f>+Distribution!H371+Meter!H371+TDCustSvc!H371</f>
        <v>514029.09911640646</v>
      </c>
      <c r="K296" s="66">
        <f>+Distribution!I371+Meter!I371+TDCustSvc!I371</f>
        <v>0</v>
      </c>
      <c r="L296" s="66">
        <f>+Distribution!J371+Meter!J371+TDCustSvc!J371</f>
        <v>514029.09911640646</v>
      </c>
      <c r="M296" s="79">
        <f t="shared" si="31"/>
        <v>1</v>
      </c>
      <c r="N296" s="27" t="str">
        <f t="shared" si="29"/>
        <v>OK</v>
      </c>
    </row>
    <row r="297" spans="1:14" x14ac:dyDescent="0.2">
      <c r="A297" s="3">
        <f t="shared" si="32"/>
        <v>55</v>
      </c>
      <c r="B297" s="3" t="s">
        <v>204</v>
      </c>
      <c r="C297" s="3" t="s">
        <v>205</v>
      </c>
      <c r="D297" s="1"/>
      <c r="E297" s="4"/>
      <c r="F297" s="9">
        <f>+'II-I TOTAL COMPANY'!H372</f>
        <v>352819.04349762795</v>
      </c>
      <c r="G297" s="66">
        <f>+Distribution!I372+Meter!I372+TDCustSvc!I372</f>
        <v>0</v>
      </c>
      <c r="H297" s="66">
        <f>+Distribution!J372+Meter!J372+TDCustSvc!J372</f>
        <v>352821.25349762791</v>
      </c>
      <c r="I297" s="79">
        <f t="shared" si="30"/>
        <v>1.0000062638342253</v>
      </c>
      <c r="J297" s="66">
        <f>+Distribution!H372+Meter!H372+TDCustSvc!H372</f>
        <v>352819.04349762795</v>
      </c>
      <c r="K297" s="66">
        <f>+Distribution!I372+Meter!I372+TDCustSvc!I372</f>
        <v>0</v>
      </c>
      <c r="L297" s="66">
        <f>+Distribution!J372+Meter!J372+TDCustSvc!J372</f>
        <v>352821.25349762791</v>
      </c>
      <c r="M297" s="79">
        <f t="shared" si="31"/>
        <v>1.0000062638342253</v>
      </c>
      <c r="N297" s="27">
        <f t="shared" si="29"/>
        <v>0</v>
      </c>
    </row>
    <row r="298" spans="1:14" x14ac:dyDescent="0.2">
      <c r="A298" s="3">
        <f t="shared" si="32"/>
        <v>56</v>
      </c>
      <c r="B298" s="3" t="s">
        <v>207</v>
      </c>
      <c r="C298" s="3" t="s">
        <v>208</v>
      </c>
      <c r="D298" s="1"/>
      <c r="E298" s="4"/>
      <c r="F298" s="9">
        <f>+'II-I TOTAL COMPANY'!H373</f>
        <v>107034.27806319279</v>
      </c>
      <c r="G298" s="66">
        <f>+Distribution!I373+Meter!I373+TDCustSvc!I373</f>
        <v>0</v>
      </c>
      <c r="H298" s="66">
        <f>+Distribution!J373+Meter!J373+TDCustSvc!J373</f>
        <v>107034.2780631928</v>
      </c>
      <c r="I298" s="79">
        <f t="shared" si="30"/>
        <v>1.0000000000000002</v>
      </c>
      <c r="J298" s="66">
        <f>+Distribution!H373+Meter!H373+TDCustSvc!H373</f>
        <v>107034.27806319279</v>
      </c>
      <c r="K298" s="66">
        <f>+Distribution!I373+Meter!I373+TDCustSvc!I373</f>
        <v>0</v>
      </c>
      <c r="L298" s="66">
        <f>+Distribution!J373+Meter!J373+TDCustSvc!J373</f>
        <v>107034.2780631928</v>
      </c>
      <c r="M298" s="79">
        <f t="shared" si="31"/>
        <v>1.0000000000000002</v>
      </c>
      <c r="N298" s="27" t="str">
        <f t="shared" si="29"/>
        <v>OK</v>
      </c>
    </row>
    <row r="299" spans="1:14" x14ac:dyDescent="0.2">
      <c r="A299" s="3">
        <f t="shared" si="32"/>
        <v>57</v>
      </c>
      <c r="B299" s="3"/>
      <c r="C299" s="3" t="s">
        <v>209</v>
      </c>
      <c r="D299" s="3"/>
      <c r="E299" s="4"/>
      <c r="F299" s="9">
        <f>+'II-I TOTAL COMPANY'!H374</f>
        <v>57314614.397529513</v>
      </c>
      <c r="G299" s="66">
        <f>+Distribution!I374+Meter!I374+TDCustSvc!I374</f>
        <v>0</v>
      </c>
      <c r="H299" s="66">
        <f ca="1">+Distribution!J374+Meter!J374+TDCustSvc!J374</f>
        <v>57314616.607529491</v>
      </c>
      <c r="I299" s="79">
        <f t="shared" ca="1" si="30"/>
        <v>1.0000000385591006</v>
      </c>
      <c r="J299" s="66">
        <f>+Distribution!H374+Meter!H374+TDCustSvc!H374</f>
        <v>57314614.397529505</v>
      </c>
      <c r="K299" s="66">
        <f>+Distribution!I374+Meter!I374+TDCustSvc!I374</f>
        <v>0</v>
      </c>
      <c r="L299" s="66">
        <f ca="1">+Distribution!J374+Meter!J374+TDCustSvc!J374</f>
        <v>57314616.607529491</v>
      </c>
      <c r="M299" s="79">
        <f t="shared" ca="1" si="31"/>
        <v>1.0000000385591006</v>
      </c>
      <c r="N299" s="27">
        <f t="shared" ca="1" si="29"/>
        <v>0</v>
      </c>
    </row>
    <row r="300" spans="1:14" x14ac:dyDescent="0.2">
      <c r="A300" s="3">
        <f t="shared" si="32"/>
        <v>58</v>
      </c>
      <c r="B300" s="3" t="s">
        <v>210</v>
      </c>
      <c r="C300" s="3"/>
      <c r="D300" s="3"/>
      <c r="E300" s="4"/>
      <c r="F300" s="9">
        <f>+'II-I TOTAL COMPANY'!H375</f>
        <v>128823375.03068794</v>
      </c>
      <c r="G300" s="66">
        <f>+Distribution!I375+Meter!I375+TDCustSvc!I375</f>
        <v>0</v>
      </c>
      <c r="H300" s="66">
        <f ca="1">+Distribution!J375+Meter!J375+TDCustSvc!J375</f>
        <v>128823377.24068794</v>
      </c>
      <c r="I300" s="79">
        <f t="shared" ca="1" si="30"/>
        <v>1.0000000171552716</v>
      </c>
      <c r="J300" s="66">
        <f>+Distribution!H375+Meter!H375+TDCustSvc!H375</f>
        <v>128823375.03068793</v>
      </c>
      <c r="K300" s="66">
        <f>+Distribution!I375+Meter!I375+TDCustSvc!I375</f>
        <v>0</v>
      </c>
      <c r="L300" s="66">
        <f ca="1">+Distribution!J375+Meter!J375+TDCustSvc!J375</f>
        <v>128823377.24068794</v>
      </c>
      <c r="M300" s="79">
        <f t="shared" ca="1" si="31"/>
        <v>1.0000000171552719</v>
      </c>
      <c r="N300" s="27">
        <f t="shared" ca="1" si="29"/>
        <v>0</v>
      </c>
    </row>
    <row r="301" spans="1:14" x14ac:dyDescent="0.2">
      <c r="A301" s="3">
        <f t="shared" si="32"/>
        <v>59</v>
      </c>
      <c r="B301" s="3"/>
      <c r="C301" s="3"/>
      <c r="D301" s="3"/>
      <c r="E301" s="4"/>
      <c r="F301" s="9"/>
      <c r="G301" s="66"/>
      <c r="H301" s="66"/>
      <c r="I301" s="79"/>
      <c r="J301" s="79"/>
      <c r="K301" s="79"/>
      <c r="L301" s="79"/>
      <c r="M301" s="79"/>
      <c r="N301" s="27" t="str">
        <f t="shared" si="29"/>
        <v>OK</v>
      </c>
    </row>
    <row r="302" spans="1:14" x14ac:dyDescent="0.2">
      <c r="A302" s="3">
        <f t="shared" si="32"/>
        <v>60</v>
      </c>
      <c r="B302" s="3" t="s">
        <v>211</v>
      </c>
      <c r="C302" s="3"/>
      <c r="D302" s="3"/>
      <c r="E302" s="4"/>
      <c r="F302" s="9">
        <f>+'II-I TOTAL COMPANY'!H377</f>
        <v>128823349.30068795</v>
      </c>
      <c r="G302" s="66">
        <f>+Distribution!I377+Meter!I377+TDCustSvc!I377</f>
        <v>0</v>
      </c>
      <c r="H302" s="66">
        <f ca="1">+Distribution!J377+Meter!J377+TDCustSvc!J377</f>
        <v>128823375.50068799</v>
      </c>
      <c r="I302" s="79">
        <f t="shared" ca="1" si="30"/>
        <v>1.0000002033792801</v>
      </c>
      <c r="J302" s="66">
        <f>+Distribution!H377+Meter!H377+TDCustSvc!H377</f>
        <v>128823349.30068794</v>
      </c>
      <c r="K302" s="66">
        <f>+Distribution!I377+Meter!I377+TDCustSvc!I377</f>
        <v>0</v>
      </c>
      <c r="L302" s="66">
        <f ca="1">+Distribution!J377+Meter!J377+TDCustSvc!J377</f>
        <v>128823375.50068799</v>
      </c>
      <c r="M302" s="79">
        <f t="shared" ca="1" si="31"/>
        <v>1.0000002033792801</v>
      </c>
      <c r="N302" s="27">
        <f t="shared" ca="1" si="29"/>
        <v>0</v>
      </c>
    </row>
    <row r="303" spans="1:14" x14ac:dyDescent="0.2">
      <c r="A303" s="3"/>
      <c r="B303" s="7" t="s">
        <v>144</v>
      </c>
      <c r="C303" s="3"/>
      <c r="D303" s="3"/>
      <c r="E303" s="4"/>
      <c r="F303" s="9"/>
      <c r="G303" s="66"/>
      <c r="H303" s="66"/>
      <c r="I303" s="79"/>
      <c r="J303" s="79"/>
      <c r="K303" s="79"/>
      <c r="L303" s="79"/>
      <c r="M303" s="79"/>
      <c r="N303" s="27" t="str">
        <f t="shared" si="29"/>
        <v>OK</v>
      </c>
    </row>
    <row r="304" spans="1:14" x14ac:dyDescent="0.2">
      <c r="A304" s="3"/>
      <c r="B304" s="3"/>
      <c r="C304" s="3"/>
      <c r="D304" s="3"/>
      <c r="E304" s="4"/>
      <c r="F304" s="9"/>
      <c r="G304" s="66"/>
      <c r="H304" s="66"/>
      <c r="I304" s="79"/>
      <c r="J304" s="79"/>
      <c r="K304" s="79"/>
      <c r="L304" s="79"/>
      <c r="M304" s="79"/>
      <c r="N304" s="27" t="str">
        <f t="shared" si="29"/>
        <v>OK</v>
      </c>
    </row>
    <row r="305" spans="1:14" x14ac:dyDescent="0.2">
      <c r="A305" s="3">
        <v>1</v>
      </c>
      <c r="B305" s="3" t="s">
        <v>212</v>
      </c>
      <c r="C305" s="3"/>
      <c r="D305" s="3"/>
      <c r="E305" s="4"/>
      <c r="F305" s="9"/>
      <c r="G305" s="66"/>
      <c r="H305" s="66"/>
      <c r="I305" s="79"/>
      <c r="J305" s="79"/>
      <c r="K305" s="79"/>
      <c r="L305" s="79"/>
      <c r="M305" s="79"/>
      <c r="N305" s="27" t="str">
        <f t="shared" si="29"/>
        <v>OK</v>
      </c>
    </row>
    <row r="306" spans="1:14" x14ac:dyDescent="0.2">
      <c r="A306" s="3">
        <f t="shared" ref="A306:A320" si="33">+A305+1</f>
        <v>2</v>
      </c>
      <c r="B306" s="3"/>
      <c r="C306" s="3" t="s">
        <v>213</v>
      </c>
      <c r="D306" s="3"/>
      <c r="E306" s="4"/>
      <c r="F306" s="9"/>
      <c r="G306" s="66"/>
      <c r="H306" s="66"/>
      <c r="I306" s="79"/>
      <c r="J306" s="79"/>
      <c r="K306" s="79"/>
      <c r="L306" s="79"/>
      <c r="M306" s="79"/>
      <c r="N306" s="27" t="str">
        <f t="shared" si="29"/>
        <v>OK</v>
      </c>
    </row>
    <row r="307" spans="1:14" x14ac:dyDescent="0.2">
      <c r="A307" s="3">
        <f t="shared" si="33"/>
        <v>3</v>
      </c>
      <c r="B307" s="3" t="s">
        <v>214</v>
      </c>
      <c r="C307" s="3" t="s">
        <v>215</v>
      </c>
      <c r="D307" s="1"/>
      <c r="E307" s="4"/>
      <c r="F307" s="9">
        <f>+'II-I TOTAL COMPANY'!H382</f>
        <v>421620.87930305389</v>
      </c>
      <c r="G307" s="66">
        <f>+Distribution!I382+Meter!I382+TDCustSvc!I382</f>
        <v>0</v>
      </c>
      <c r="H307" s="66">
        <f>+Distribution!J382+Meter!J382+TDCustSvc!J382</f>
        <v>421620.87930305395</v>
      </c>
      <c r="I307" s="79">
        <f t="shared" si="30"/>
        <v>1.0000000000000002</v>
      </c>
      <c r="J307" s="66">
        <f>+Distribution!H382+Meter!H382+TDCustSvc!H382</f>
        <v>421620.87930305389</v>
      </c>
      <c r="K307" s="66">
        <f>+Distribution!I382+Meter!I382+TDCustSvc!I382</f>
        <v>0</v>
      </c>
      <c r="L307" s="66">
        <f>+Distribution!J382+Meter!J382+TDCustSvc!J382</f>
        <v>421620.87930305395</v>
      </c>
      <c r="M307" s="79">
        <f t="shared" si="31"/>
        <v>1.0000000000000002</v>
      </c>
      <c r="N307" s="27" t="str">
        <f t="shared" si="29"/>
        <v>OK</v>
      </c>
    </row>
    <row r="308" spans="1:14" x14ac:dyDescent="0.2">
      <c r="A308" s="3">
        <f t="shared" si="33"/>
        <v>4</v>
      </c>
      <c r="B308" s="3" t="s">
        <v>216</v>
      </c>
      <c r="C308" s="3" t="s">
        <v>217</v>
      </c>
      <c r="D308" s="1"/>
      <c r="E308" s="4"/>
      <c r="F308" s="9">
        <f>+'II-I TOTAL COMPANY'!H383</f>
        <v>744517.32627847185</v>
      </c>
      <c r="G308" s="66">
        <f>+Distribution!I383+Meter!I383+TDCustSvc!I383</f>
        <v>0</v>
      </c>
      <c r="H308" s="66">
        <f>+Distribution!J383+Meter!J383+TDCustSvc!J383</f>
        <v>744517.32627847162</v>
      </c>
      <c r="I308" s="79">
        <f t="shared" si="30"/>
        <v>0.99999999999999967</v>
      </c>
      <c r="J308" s="66">
        <f>+Distribution!H383+Meter!H383+TDCustSvc!H383</f>
        <v>744517.32627847185</v>
      </c>
      <c r="K308" s="66">
        <f>+Distribution!I383+Meter!I383+TDCustSvc!I383</f>
        <v>0</v>
      </c>
      <c r="L308" s="66">
        <f>+Distribution!J383+Meter!J383+TDCustSvc!J383</f>
        <v>744517.32627847162</v>
      </c>
      <c r="M308" s="79">
        <f t="shared" si="31"/>
        <v>0.99999999999999967</v>
      </c>
      <c r="N308" s="27" t="str">
        <f t="shared" si="29"/>
        <v>OK</v>
      </c>
    </row>
    <row r="309" spans="1:14" x14ac:dyDescent="0.2">
      <c r="A309" s="3">
        <f t="shared" si="33"/>
        <v>5</v>
      </c>
      <c r="B309" s="3" t="s">
        <v>218</v>
      </c>
      <c r="C309" s="3" t="s">
        <v>219</v>
      </c>
      <c r="D309" s="1"/>
      <c r="E309" s="4"/>
      <c r="F309" s="9">
        <f>+'II-I TOTAL COMPANY'!H384</f>
        <v>12815028.49357128</v>
      </c>
      <c r="G309" s="66">
        <f>+Distribution!I384+Meter!I384+TDCustSvc!I384</f>
        <v>0</v>
      </c>
      <c r="H309" s="66">
        <f>+Distribution!J384+Meter!J384+TDCustSvc!J384</f>
        <v>12815028.493571278</v>
      </c>
      <c r="I309" s="79">
        <f t="shared" si="30"/>
        <v>0.99999999999999989</v>
      </c>
      <c r="J309" s="66">
        <f>+Distribution!H384+Meter!H384+TDCustSvc!H384</f>
        <v>12815028.49357128</v>
      </c>
      <c r="K309" s="66">
        <f>+Distribution!I384+Meter!I384+TDCustSvc!I384</f>
        <v>0</v>
      </c>
      <c r="L309" s="66">
        <f>+Distribution!J384+Meter!J384+TDCustSvc!J384</f>
        <v>12815028.493571278</v>
      </c>
      <c r="M309" s="79">
        <f t="shared" si="31"/>
        <v>0.99999999999999989</v>
      </c>
      <c r="N309" s="27" t="str">
        <f t="shared" si="29"/>
        <v>OK</v>
      </c>
    </row>
    <row r="310" spans="1:14" x14ac:dyDescent="0.2">
      <c r="A310" s="3">
        <f t="shared" si="33"/>
        <v>6</v>
      </c>
      <c r="B310" s="3" t="s">
        <v>218</v>
      </c>
      <c r="C310" s="3" t="s">
        <v>17</v>
      </c>
      <c r="D310" s="1"/>
      <c r="E310" s="4"/>
      <c r="F310" s="9">
        <f>+'II-I TOTAL COMPANY'!H385</f>
        <v>0</v>
      </c>
      <c r="G310" s="66">
        <f>+Distribution!I385+Meter!I385+TDCustSvc!I385</f>
        <v>0</v>
      </c>
      <c r="H310" s="66">
        <f>+Distribution!J385+Meter!J385+TDCustSvc!J385</f>
        <v>0</v>
      </c>
      <c r="I310" s="79"/>
      <c r="J310" s="66">
        <f>+Distribution!H385+Meter!H385+TDCustSvc!H385</f>
        <v>0</v>
      </c>
      <c r="K310" s="66">
        <f>+Distribution!I385+Meter!I385+TDCustSvc!I385</f>
        <v>0</v>
      </c>
      <c r="L310" s="66">
        <f>+Distribution!J385+Meter!J385+TDCustSvc!J385</f>
        <v>0</v>
      </c>
      <c r="M310" s="79"/>
      <c r="N310" s="27" t="str">
        <f t="shared" si="29"/>
        <v>OK</v>
      </c>
    </row>
    <row r="311" spans="1:14" x14ac:dyDescent="0.2">
      <c r="A311" s="3">
        <f t="shared" si="33"/>
        <v>7</v>
      </c>
      <c r="B311" s="3" t="s">
        <v>220</v>
      </c>
      <c r="C311" s="3" t="s">
        <v>221</v>
      </c>
      <c r="D311" s="43"/>
      <c r="E311" s="4"/>
      <c r="F311" s="9">
        <f>+'II-I TOTAL COMPANY'!H386</f>
        <v>942767.34192110959</v>
      </c>
      <c r="G311" s="66">
        <f>+Distribution!I386+Meter!I386+TDCustSvc!I386</f>
        <v>0</v>
      </c>
      <c r="H311" s="66">
        <f>+Distribution!J386+Meter!J386+TDCustSvc!J386</f>
        <v>942767.34192110947</v>
      </c>
      <c r="I311" s="79">
        <f t="shared" si="30"/>
        <v>0.99999999999999989</v>
      </c>
      <c r="J311" s="66">
        <f>+Distribution!H386+Meter!H386+TDCustSvc!H386</f>
        <v>942767.34192110959</v>
      </c>
      <c r="K311" s="66">
        <f>+Distribution!I386+Meter!I386+TDCustSvc!I386</f>
        <v>0</v>
      </c>
      <c r="L311" s="66">
        <f>+Distribution!J386+Meter!J386+TDCustSvc!J386</f>
        <v>942767.34192110947</v>
      </c>
      <c r="M311" s="79">
        <f t="shared" si="31"/>
        <v>0.99999999999999989</v>
      </c>
      <c r="N311" s="27">
        <f t="shared" si="29"/>
        <v>0</v>
      </c>
    </row>
    <row r="312" spans="1:14" x14ac:dyDescent="0.2">
      <c r="A312" s="3">
        <f t="shared" si="33"/>
        <v>8</v>
      </c>
      <c r="B312" s="3" t="s">
        <v>222</v>
      </c>
      <c r="C312" s="3" t="s">
        <v>223</v>
      </c>
      <c r="D312" s="1"/>
      <c r="E312" s="4"/>
      <c r="F312" s="9">
        <f>+'II-I TOTAL COMPANY'!H387</f>
        <v>217281.62314889499</v>
      </c>
      <c r="G312" s="66">
        <f>+Distribution!I387+Meter!I387+TDCustSvc!I387</f>
        <v>0</v>
      </c>
      <c r="H312" s="66">
        <f>+Distribution!J387+Meter!J387+TDCustSvc!J387</f>
        <v>217281.62314889501</v>
      </c>
      <c r="I312" s="79">
        <f t="shared" si="30"/>
        <v>1.0000000000000002</v>
      </c>
      <c r="J312" s="66">
        <f>+Distribution!H387+Meter!H387+TDCustSvc!H387</f>
        <v>217281.62314889499</v>
      </c>
      <c r="K312" s="66">
        <f>+Distribution!I387+Meter!I387+TDCustSvc!I387</f>
        <v>0</v>
      </c>
      <c r="L312" s="66">
        <f>+Distribution!J387+Meter!J387+TDCustSvc!J387</f>
        <v>217281.62314889501</v>
      </c>
      <c r="M312" s="79">
        <f t="shared" si="31"/>
        <v>1.0000000000000002</v>
      </c>
      <c r="N312" s="27" t="str">
        <f t="shared" si="29"/>
        <v>OK</v>
      </c>
    </row>
    <row r="313" spans="1:14" x14ac:dyDescent="0.2">
      <c r="A313" s="3">
        <f t="shared" si="33"/>
        <v>9</v>
      </c>
      <c r="B313" s="3"/>
      <c r="C313" s="3" t="s">
        <v>135</v>
      </c>
      <c r="D313" s="3"/>
      <c r="E313" s="4"/>
      <c r="F313" s="9">
        <f>+'II-I TOTAL COMPANY'!H388</f>
        <v>15141215.66422281</v>
      </c>
      <c r="G313" s="66">
        <f>+Distribution!I388+Meter!I388+TDCustSvc!I388</f>
        <v>0</v>
      </c>
      <c r="H313" s="66">
        <f>+Distribution!J388+Meter!J388+TDCustSvc!J388</f>
        <v>15141215.664222809</v>
      </c>
      <c r="I313" s="79">
        <f t="shared" si="30"/>
        <v>0.99999999999999989</v>
      </c>
      <c r="J313" s="66">
        <f>+Distribution!H388+Meter!H388+TDCustSvc!H388</f>
        <v>15141215.66422281</v>
      </c>
      <c r="K313" s="66">
        <f>+Distribution!I388+Meter!I388+TDCustSvc!I388</f>
        <v>0</v>
      </c>
      <c r="L313" s="66">
        <f>+Distribution!J388+Meter!J388+TDCustSvc!J388</f>
        <v>15141215.664222809</v>
      </c>
      <c r="M313" s="79">
        <f t="shared" si="31"/>
        <v>0.99999999999999989</v>
      </c>
      <c r="N313" s="27" t="str">
        <f t="shared" si="29"/>
        <v>OK</v>
      </c>
    </row>
    <row r="314" spans="1:14" x14ac:dyDescent="0.2">
      <c r="A314" s="3">
        <f t="shared" si="33"/>
        <v>10</v>
      </c>
      <c r="B314" s="3"/>
      <c r="C314" s="3"/>
      <c r="D314" s="3"/>
      <c r="E314" s="4"/>
      <c r="F314" s="9"/>
      <c r="G314" s="66"/>
      <c r="H314" s="66"/>
      <c r="I314" s="79"/>
      <c r="J314" s="79"/>
      <c r="K314" s="79"/>
      <c r="L314" s="79"/>
      <c r="M314" s="79"/>
      <c r="N314" s="27" t="str">
        <f t="shared" si="29"/>
        <v>OK</v>
      </c>
    </row>
    <row r="315" spans="1:14" x14ac:dyDescent="0.2">
      <c r="A315" s="3">
        <f t="shared" si="33"/>
        <v>11</v>
      </c>
      <c r="B315" s="3"/>
      <c r="C315" s="3" t="s">
        <v>224</v>
      </c>
      <c r="D315" s="3"/>
      <c r="E315" s="4"/>
      <c r="F315" s="9"/>
      <c r="G315" s="66"/>
      <c r="H315" s="66"/>
      <c r="I315" s="79"/>
      <c r="J315" s="79"/>
      <c r="K315" s="79"/>
      <c r="L315" s="79"/>
      <c r="M315" s="79"/>
      <c r="N315" s="27" t="str">
        <f t="shared" si="29"/>
        <v>OK</v>
      </c>
    </row>
    <row r="316" spans="1:14" x14ac:dyDescent="0.2">
      <c r="A316" s="3">
        <f t="shared" si="33"/>
        <v>12</v>
      </c>
      <c r="B316" s="3" t="s">
        <v>225</v>
      </c>
      <c r="C316" s="3" t="s">
        <v>226</v>
      </c>
      <c r="D316" s="1"/>
      <c r="E316" s="4"/>
      <c r="F316" s="9"/>
      <c r="G316" s="66"/>
      <c r="H316" s="66"/>
      <c r="I316" s="79"/>
      <c r="J316" s="79"/>
      <c r="K316" s="79"/>
      <c r="L316" s="79"/>
      <c r="M316" s="79"/>
      <c r="N316" s="27" t="str">
        <f t="shared" si="29"/>
        <v>OK</v>
      </c>
    </row>
    <row r="317" spans="1:14" x14ac:dyDescent="0.2">
      <c r="A317" s="3">
        <f>+A315+1</f>
        <v>12</v>
      </c>
      <c r="B317" s="3" t="s">
        <v>227</v>
      </c>
      <c r="C317" s="3" t="s">
        <v>215</v>
      </c>
      <c r="D317" s="1"/>
      <c r="E317" s="4"/>
      <c r="F317" s="9">
        <f>+'II-I TOTAL COMPANY'!H392</f>
        <v>587001.34</v>
      </c>
      <c r="G317" s="66">
        <f>+Distribution!I392+Meter!I392+TDCustSvc!I392</f>
        <v>0</v>
      </c>
      <c r="H317" s="66">
        <f>+Distribution!J392+Meter!J392+TDCustSvc!J392</f>
        <v>587001.34000000008</v>
      </c>
      <c r="I317" s="79">
        <f t="shared" si="30"/>
        <v>1.0000000000000002</v>
      </c>
      <c r="J317" s="66">
        <f>+Distribution!H392+Meter!H392+TDCustSvc!H392</f>
        <v>587001.34</v>
      </c>
      <c r="K317" s="66">
        <f>+Distribution!I392+Meter!I392+TDCustSvc!I392</f>
        <v>0</v>
      </c>
      <c r="L317" s="66">
        <f>+Distribution!J392+Meter!J392+TDCustSvc!J392</f>
        <v>587001.34000000008</v>
      </c>
      <c r="M317" s="79">
        <f t="shared" si="31"/>
        <v>1.0000000000000002</v>
      </c>
      <c r="N317" s="27" t="str">
        <f t="shared" si="29"/>
        <v>OK</v>
      </c>
    </row>
    <row r="318" spans="1:14" s="132" customFormat="1" x14ac:dyDescent="0.2">
      <c r="A318" s="3">
        <f>+A316+1</f>
        <v>13</v>
      </c>
      <c r="B318" s="3" t="s">
        <v>227</v>
      </c>
      <c r="C318" s="3" t="s">
        <v>541</v>
      </c>
      <c r="D318" s="1"/>
      <c r="E318" s="4"/>
      <c r="F318" s="9">
        <f>+'II-I TOTAL COMPANY'!H391</f>
        <v>-434358.33105465025</v>
      </c>
      <c r="G318" s="66">
        <f>+Distribution!I391+Meter!I391+TDCustSvc!I391</f>
        <v>0</v>
      </c>
      <c r="H318" s="66">
        <f>+Distribution!J391+Meter!J391+TDCustSvc!J391</f>
        <v>-434358.33105465031</v>
      </c>
      <c r="I318" s="79">
        <f>IFERROR(+H318/F318,0)</f>
        <v>1.0000000000000002</v>
      </c>
      <c r="J318" s="66">
        <f>+Distribution!H391+Meter!H391+TDCustSvc!H391</f>
        <v>-434358.33105465025</v>
      </c>
      <c r="K318" s="66">
        <f>+Distribution!I391+Meter!I391+TDCustSvc!I391</f>
        <v>0</v>
      </c>
      <c r="L318" s="66">
        <f>+Distribution!J391+Meter!J391+TDCustSvc!J391</f>
        <v>-434358.33105465031</v>
      </c>
      <c r="M318" s="79">
        <f>IFERROR(+L318/J318,0)</f>
        <v>1.0000000000000002</v>
      </c>
      <c r="N318" s="27" t="str">
        <f t="shared" si="29"/>
        <v>OK</v>
      </c>
    </row>
    <row r="319" spans="1:14" s="132" customFormat="1" x14ac:dyDescent="0.2">
      <c r="A319" s="3">
        <f t="shared" si="33"/>
        <v>14</v>
      </c>
      <c r="B319" s="3" t="s">
        <v>229</v>
      </c>
      <c r="C319" s="3" t="s">
        <v>230</v>
      </c>
      <c r="D319" s="1"/>
      <c r="E319" s="4"/>
      <c r="F319" s="9">
        <f>+'II-I TOTAL COMPANY'!H394+'II-I TOTAL COMPANY'!F393</f>
        <v>1295808.7197033847</v>
      </c>
      <c r="G319" s="66">
        <f>+Distribution!I394+Meter!I394+TDCustSvc!I394+Distribution!I393+Meter!I393+TDCustSvc!I393</f>
        <v>0</v>
      </c>
      <c r="H319" s="66">
        <f>+Distribution!J394+Meter!J394+TDCustSvc!J394+Distribution!J393+Meter!J393+TDCustSvc!J393</f>
        <v>1295808.7197033847</v>
      </c>
      <c r="I319" s="79">
        <f t="shared" si="30"/>
        <v>1</v>
      </c>
      <c r="J319" s="66">
        <f>+Distribution!H394+Meter!H394+TDCustSvc!H394+Distribution!H393+Meter!H393+TDCustSvc!H393</f>
        <v>1295808.7197033847</v>
      </c>
      <c r="K319" s="66">
        <f>+Distribution!I394+Meter!I394+TDCustSvc!I394+Distribution!I393+Meter!I393+TDCustSvc!I393</f>
        <v>0</v>
      </c>
      <c r="L319" s="66">
        <f>+Distribution!J394+Meter!J394+TDCustSvc!J394+Distribution!J393+Meter!J393+TDCustSvc!J393</f>
        <v>1295808.7197033847</v>
      </c>
      <c r="M319" s="79">
        <f>IFERROR(+L319/J319,0)</f>
        <v>1</v>
      </c>
      <c r="N319" s="27" t="str">
        <f t="shared" si="29"/>
        <v>OK</v>
      </c>
    </row>
    <row r="320" spans="1:14" x14ac:dyDescent="0.2">
      <c r="A320" s="3">
        <f t="shared" si="33"/>
        <v>15</v>
      </c>
      <c r="B320" s="3" t="s">
        <v>231</v>
      </c>
      <c r="C320" s="3" t="s">
        <v>232</v>
      </c>
      <c r="D320" s="1"/>
      <c r="E320" s="4"/>
      <c r="F320" s="9">
        <f>+'II-I TOTAL COMPANY'!H395</f>
        <v>0</v>
      </c>
      <c r="G320" s="66">
        <f>+Distribution!I395+Meter!I395+TDCustSvc!I395</f>
        <v>0</v>
      </c>
      <c r="H320" s="66">
        <f>+Distribution!J395+Meter!J395+TDCustSvc!J395</f>
        <v>0</v>
      </c>
      <c r="I320" s="79">
        <f>IFERROR(+H320/F320,0)</f>
        <v>0</v>
      </c>
      <c r="J320" s="66">
        <f>+Distribution!H395+Meter!H395+TDCustSvc!H395</f>
        <v>0</v>
      </c>
      <c r="K320" s="66">
        <f>+Distribution!I395+Meter!I395+TDCustSvc!I395</f>
        <v>0</v>
      </c>
      <c r="L320" s="66">
        <f>+Distribution!J395+Meter!J395+TDCustSvc!J395</f>
        <v>0</v>
      </c>
      <c r="M320" s="79">
        <f>IFERROR(+L320/J320,0)</f>
        <v>0</v>
      </c>
      <c r="N320" s="27" t="str">
        <f t="shared" si="29"/>
        <v>OK</v>
      </c>
    </row>
    <row r="321" spans="1:14" x14ac:dyDescent="0.2">
      <c r="A321" s="3">
        <f>+A319+1</f>
        <v>15</v>
      </c>
      <c r="B321" s="3" t="s">
        <v>233</v>
      </c>
      <c r="C321" s="3" t="s">
        <v>234</v>
      </c>
      <c r="D321" s="1"/>
      <c r="E321" s="4"/>
      <c r="F321" s="9">
        <f>+'II-I TOTAL COMPANY'!H396</f>
        <v>17429.5</v>
      </c>
      <c r="G321" s="66">
        <f>+Distribution!I396+Meter!I396+TDCustSvc!I396</f>
        <v>0</v>
      </c>
      <c r="H321" s="66">
        <f>+Distribution!J396+Meter!J396+TDCustSvc!J396</f>
        <v>17429.499999999996</v>
      </c>
      <c r="I321" s="79">
        <f t="shared" si="30"/>
        <v>0.99999999999999978</v>
      </c>
      <c r="J321" s="66">
        <f>+Distribution!H396+Meter!H396+TDCustSvc!H396</f>
        <v>17429.5</v>
      </c>
      <c r="K321" s="66">
        <f>+Distribution!I396+Meter!I396+TDCustSvc!I396</f>
        <v>0</v>
      </c>
      <c r="L321" s="66">
        <f>+Distribution!J396+Meter!J396+TDCustSvc!J396</f>
        <v>17429.499999999996</v>
      </c>
      <c r="M321" s="79">
        <f t="shared" si="31"/>
        <v>0.99999999999999978</v>
      </c>
      <c r="N321" s="27" t="str">
        <f t="shared" si="29"/>
        <v>OK</v>
      </c>
    </row>
    <row r="322" spans="1:14" x14ac:dyDescent="0.2">
      <c r="A322" s="3">
        <f>+A320+1</f>
        <v>16</v>
      </c>
      <c r="B322" s="3" t="s">
        <v>233</v>
      </c>
      <c r="C322" s="3" t="s">
        <v>234</v>
      </c>
      <c r="D322" s="1"/>
      <c r="E322" s="4"/>
      <c r="F322" s="9">
        <f>+'II-I TOTAL COMPANY'!H397</f>
        <v>0</v>
      </c>
      <c r="G322" s="66">
        <f>+Distribution!I397+Meter!I397+TDCustSvc!I397</f>
        <v>0</v>
      </c>
      <c r="H322" s="66">
        <f>+Distribution!J397+Meter!J397+TDCustSvc!J397</f>
        <v>0</v>
      </c>
      <c r="I322" s="79"/>
      <c r="J322" s="66">
        <f>+Distribution!H397+Meter!H397+TDCustSvc!H397</f>
        <v>0</v>
      </c>
      <c r="K322" s="66">
        <f>+Distribution!I397+Meter!I397+TDCustSvc!I397</f>
        <v>0</v>
      </c>
      <c r="L322" s="66">
        <f>+Distribution!J397+Meter!J397+TDCustSvc!J397</f>
        <v>0</v>
      </c>
      <c r="M322" s="79"/>
      <c r="N322" s="27" t="str">
        <f t="shared" si="29"/>
        <v>OK</v>
      </c>
    </row>
    <row r="323" spans="1:14" x14ac:dyDescent="0.2">
      <c r="A323" s="3">
        <f t="shared" ref="A323:A340" si="34">+A322+1</f>
        <v>17</v>
      </c>
      <c r="B323" s="3"/>
      <c r="C323" s="3" t="s">
        <v>135</v>
      </c>
      <c r="D323" s="3"/>
      <c r="E323" s="4"/>
      <c r="F323" s="9">
        <f>+'II-I TOTAL COMPANY'!H398</f>
        <v>1465881.2286487343</v>
      </c>
      <c r="G323" s="66">
        <f>+Distribution!I398+Meter!I398+TDCustSvc!I398</f>
        <v>0</v>
      </c>
      <c r="H323" s="66">
        <f>+Distribution!J398+Meter!J398+TDCustSvc!J398</f>
        <v>1465881.2286487345</v>
      </c>
      <c r="I323" s="79">
        <f t="shared" si="30"/>
        <v>1.0000000000000002</v>
      </c>
      <c r="J323" s="66">
        <f>+Distribution!H398+Meter!H398+TDCustSvc!H398</f>
        <v>1465881.2286487343</v>
      </c>
      <c r="K323" s="66">
        <f>+Distribution!I398+Meter!I398+TDCustSvc!I398</f>
        <v>0</v>
      </c>
      <c r="L323" s="66">
        <f>+Distribution!J398+Meter!J398+TDCustSvc!J398</f>
        <v>1465881.2286487345</v>
      </c>
      <c r="M323" s="79">
        <f t="shared" si="31"/>
        <v>1.0000000000000002</v>
      </c>
      <c r="N323" s="27" t="str">
        <f t="shared" si="29"/>
        <v>OK</v>
      </c>
    </row>
    <row r="324" spans="1:14" x14ac:dyDescent="0.2">
      <c r="A324" s="3">
        <f t="shared" si="34"/>
        <v>18</v>
      </c>
      <c r="B324" s="3"/>
      <c r="C324" s="3"/>
      <c r="D324" s="3"/>
      <c r="E324" s="4"/>
      <c r="F324" s="9"/>
      <c r="G324" s="66"/>
      <c r="H324" s="66"/>
      <c r="I324" s="79"/>
      <c r="J324" s="79"/>
      <c r="K324" s="79"/>
      <c r="L324" s="79"/>
      <c r="M324" s="79"/>
      <c r="N324" s="27" t="str">
        <f t="shared" si="29"/>
        <v>OK</v>
      </c>
    </row>
    <row r="325" spans="1:14" x14ac:dyDescent="0.2">
      <c r="A325" s="3">
        <f t="shared" si="34"/>
        <v>19</v>
      </c>
      <c r="B325" s="3"/>
      <c r="C325" s="3" t="s">
        <v>235</v>
      </c>
      <c r="D325" s="3"/>
      <c r="E325" s="4"/>
      <c r="F325" s="9"/>
      <c r="G325" s="66"/>
      <c r="H325" s="66"/>
      <c r="I325" s="79"/>
      <c r="J325" s="79"/>
      <c r="K325" s="79"/>
      <c r="L325" s="79"/>
      <c r="M325" s="79"/>
      <c r="N325" s="27" t="str">
        <f t="shared" si="29"/>
        <v>OK</v>
      </c>
    </row>
    <row r="326" spans="1:14" x14ac:dyDescent="0.2">
      <c r="A326" s="3">
        <f t="shared" si="34"/>
        <v>20</v>
      </c>
      <c r="B326" s="3" t="s">
        <v>236</v>
      </c>
      <c r="C326" s="3" t="s">
        <v>228</v>
      </c>
      <c r="D326" s="1"/>
      <c r="E326" s="4"/>
      <c r="F326" s="9">
        <f>+'II-I TOTAL COMPANY'!H401</f>
        <v>0</v>
      </c>
      <c r="G326" s="66">
        <f>+Distribution!I401+Meter!I401+TDCustSvc!I401</f>
        <v>0</v>
      </c>
      <c r="H326" s="66">
        <f>+Distribution!J401+Meter!J401+TDCustSvc!J401</f>
        <v>0</v>
      </c>
      <c r="I326" s="79"/>
      <c r="J326" s="66">
        <f>+Distribution!H401+Meter!H401+TDCustSvc!H401</f>
        <v>0</v>
      </c>
      <c r="K326" s="66">
        <f>+Distribution!I401+Meter!I401+TDCustSvc!I401</f>
        <v>0</v>
      </c>
      <c r="L326" s="66">
        <f>+Distribution!J401+Meter!J401+TDCustSvc!J401</f>
        <v>0</v>
      </c>
      <c r="M326" s="79"/>
      <c r="N326" s="27" t="str">
        <f t="shared" si="29"/>
        <v>OK</v>
      </c>
    </row>
    <row r="327" spans="1:14" x14ac:dyDescent="0.2">
      <c r="A327" s="3">
        <f t="shared" si="34"/>
        <v>21</v>
      </c>
      <c r="B327" s="3" t="s">
        <v>237</v>
      </c>
      <c r="C327" s="3" t="s">
        <v>238</v>
      </c>
      <c r="D327" s="1"/>
      <c r="E327" s="4"/>
      <c r="F327" s="9">
        <f>+'II-I TOTAL COMPANY'!H402</f>
        <v>0</v>
      </c>
      <c r="G327" s="66">
        <f>+Distribution!I402+Meter!I402+TDCustSvc!I402</f>
        <v>0</v>
      </c>
      <c r="H327" s="66">
        <f>+Distribution!J402+Meter!J402+TDCustSvc!J402</f>
        <v>0</v>
      </c>
      <c r="I327" s="79"/>
      <c r="J327" s="66">
        <f>+Distribution!H402+Meter!H402+TDCustSvc!H402</f>
        <v>0</v>
      </c>
      <c r="K327" s="66">
        <f>+Distribution!I402+Meter!I402+TDCustSvc!I402</f>
        <v>0</v>
      </c>
      <c r="L327" s="66">
        <f>+Distribution!J402+Meter!J402+TDCustSvc!J402</f>
        <v>0</v>
      </c>
      <c r="M327" s="79"/>
      <c r="N327" s="27" t="str">
        <f t="shared" si="29"/>
        <v>OK</v>
      </c>
    </row>
    <row r="328" spans="1:14" x14ac:dyDescent="0.2">
      <c r="A328" s="3">
        <f t="shared" si="34"/>
        <v>22</v>
      </c>
      <c r="B328" s="3" t="s">
        <v>239</v>
      </c>
      <c r="C328" s="3" t="s">
        <v>240</v>
      </c>
      <c r="D328" s="1"/>
      <c r="E328" s="4"/>
      <c r="F328" s="9">
        <f>+'II-I TOTAL COMPANY'!H403</f>
        <v>-17.48000000003492</v>
      </c>
      <c r="G328" s="66">
        <f>+Distribution!I403+Meter!I403+TDCustSvc!I403</f>
        <v>0</v>
      </c>
      <c r="H328" s="66">
        <f>+Distribution!J403+Meter!J403+TDCustSvc!J403</f>
        <v>-17.480000000034924</v>
      </c>
      <c r="I328" s="79"/>
      <c r="J328" s="66">
        <f>+Distribution!H403+Meter!H403+TDCustSvc!H403</f>
        <v>-17.48000000003492</v>
      </c>
      <c r="K328" s="66">
        <f>+Distribution!I403+Meter!I403+TDCustSvc!I403</f>
        <v>0</v>
      </c>
      <c r="L328" s="66">
        <f>+Distribution!J403+Meter!J403+TDCustSvc!J403</f>
        <v>-17.480000000034924</v>
      </c>
      <c r="M328" s="79"/>
      <c r="N328" s="27" t="str">
        <f t="shared" si="29"/>
        <v>OK</v>
      </c>
    </row>
    <row r="329" spans="1:14" x14ac:dyDescent="0.2">
      <c r="A329" s="3">
        <f t="shared" si="34"/>
        <v>23</v>
      </c>
      <c r="B329" s="3" t="s">
        <v>241</v>
      </c>
      <c r="C329" s="3" t="s">
        <v>242</v>
      </c>
      <c r="D329" s="1"/>
      <c r="E329" s="4"/>
      <c r="F329" s="9">
        <f>+'II-I TOTAL COMPANY'!H404</f>
        <v>0</v>
      </c>
      <c r="G329" s="66">
        <f>+Distribution!I404+Meter!I404+TDCustSvc!I404</f>
        <v>0</v>
      </c>
      <c r="H329" s="66">
        <f>+Distribution!J404+Meter!J404+TDCustSvc!J404</f>
        <v>0</v>
      </c>
      <c r="I329" s="79"/>
      <c r="J329" s="66">
        <f>+Distribution!H404+Meter!H404+TDCustSvc!H404</f>
        <v>0</v>
      </c>
      <c r="K329" s="66">
        <f>+Distribution!I404+Meter!I404+TDCustSvc!I404</f>
        <v>0</v>
      </c>
      <c r="L329" s="66">
        <f>+Distribution!J404+Meter!J404+TDCustSvc!J404</f>
        <v>0</v>
      </c>
      <c r="M329" s="79"/>
      <c r="N329" s="27" t="str">
        <f t="shared" si="29"/>
        <v>OK</v>
      </c>
    </row>
    <row r="330" spans="1:14" x14ac:dyDescent="0.2">
      <c r="A330" s="3">
        <f t="shared" si="34"/>
        <v>24</v>
      </c>
      <c r="B330" s="3" t="s">
        <v>243</v>
      </c>
      <c r="C330" s="3" t="s">
        <v>244</v>
      </c>
      <c r="D330" s="1"/>
      <c r="E330" s="4"/>
      <c r="F330" s="9">
        <f>+'II-I TOTAL COMPANY'!H405</f>
        <v>0</v>
      </c>
      <c r="G330" s="66">
        <f>+Distribution!I405+Meter!I405+TDCustSvc!I405</f>
        <v>0</v>
      </c>
      <c r="H330" s="66">
        <f>+Distribution!J405+Meter!J405+TDCustSvc!J405</f>
        <v>0</v>
      </c>
      <c r="I330" s="79"/>
      <c r="J330" s="66">
        <f>+Distribution!H405+Meter!H405+TDCustSvc!H405</f>
        <v>0</v>
      </c>
      <c r="K330" s="66">
        <f>+Distribution!I405+Meter!I405+TDCustSvc!I405</f>
        <v>0</v>
      </c>
      <c r="L330" s="66">
        <f>+Distribution!J405+Meter!J405+TDCustSvc!J405</f>
        <v>0</v>
      </c>
      <c r="M330" s="79"/>
      <c r="N330" s="27" t="str">
        <f t="shared" si="29"/>
        <v>OK</v>
      </c>
    </row>
    <row r="331" spans="1:14" x14ac:dyDescent="0.2">
      <c r="A331" s="3">
        <f t="shared" si="34"/>
        <v>25</v>
      </c>
      <c r="B331" s="3"/>
      <c r="C331" s="3" t="s">
        <v>135</v>
      </c>
      <c r="D331" s="3"/>
      <c r="E331" s="4"/>
      <c r="F331" s="9">
        <f>+'II-I TOTAL COMPANY'!H406</f>
        <v>-17.48000000003492</v>
      </c>
      <c r="G331" s="66">
        <f>+Distribution!I406+Meter!I406+TDCustSvc!I406</f>
        <v>0</v>
      </c>
      <c r="H331" s="66">
        <f>+Distribution!J406+Meter!J406+TDCustSvc!J406</f>
        <v>-17.480000000034924</v>
      </c>
      <c r="I331" s="79"/>
      <c r="J331" s="66">
        <f>+Distribution!H406+Meter!H406+TDCustSvc!H406</f>
        <v>-17.48000000003492</v>
      </c>
      <c r="K331" s="66">
        <f>+Distribution!I406+Meter!I406+TDCustSvc!I406</f>
        <v>0</v>
      </c>
      <c r="L331" s="66">
        <f>+Distribution!J406+Meter!J406+TDCustSvc!J406</f>
        <v>-17.480000000034924</v>
      </c>
      <c r="M331" s="79"/>
      <c r="N331" s="27" t="str">
        <f t="shared" si="29"/>
        <v>OK</v>
      </c>
    </row>
    <row r="332" spans="1:14" x14ac:dyDescent="0.2">
      <c r="A332" s="3">
        <f t="shared" si="34"/>
        <v>26</v>
      </c>
      <c r="B332" s="3"/>
      <c r="C332" s="3" t="s">
        <v>245</v>
      </c>
      <c r="D332" s="3"/>
      <c r="E332" s="4"/>
      <c r="F332" s="9">
        <f>+'II-I TOTAL COMPANY'!H407</f>
        <v>16607079.412871543</v>
      </c>
      <c r="G332" s="66">
        <f>+Distribution!I407+Meter!I407+TDCustSvc!I407</f>
        <v>0</v>
      </c>
      <c r="H332" s="66">
        <f>+Distribution!J407+Meter!J407+TDCustSvc!J407</f>
        <v>16607079.412871543</v>
      </c>
      <c r="I332" s="79">
        <f t="shared" si="30"/>
        <v>1</v>
      </c>
      <c r="J332" s="66">
        <f>+Distribution!H407+Meter!H407+TDCustSvc!H407</f>
        <v>16607079.412871543</v>
      </c>
      <c r="K332" s="66">
        <f>+Distribution!I407+Meter!I407+TDCustSvc!I407</f>
        <v>0</v>
      </c>
      <c r="L332" s="66">
        <f>+Distribution!J407+Meter!J407+TDCustSvc!J407</f>
        <v>16607079.412871543</v>
      </c>
      <c r="M332" s="79">
        <f t="shared" si="31"/>
        <v>1</v>
      </c>
      <c r="N332" s="27" t="str">
        <f t="shared" si="29"/>
        <v>OK</v>
      </c>
    </row>
    <row r="333" spans="1:14" x14ac:dyDescent="0.2">
      <c r="A333" s="3">
        <f t="shared" si="34"/>
        <v>27</v>
      </c>
      <c r="B333" s="3"/>
      <c r="C333" s="3" t="s">
        <v>587</v>
      </c>
      <c r="D333" s="3"/>
      <c r="E333" s="4"/>
      <c r="F333" s="9">
        <f>+'II-I TOTAL COMPANY'!H408</f>
        <v>145430428.71355951</v>
      </c>
      <c r="G333" s="66">
        <f>+Distribution!I408+Meter!I408+TDCustSvc!I408</f>
        <v>0</v>
      </c>
      <c r="H333" s="66">
        <f>+Distribution!J408+Meter!J408+TDCustSvc!J408</f>
        <v>109215750.828549</v>
      </c>
      <c r="I333" s="79">
        <f t="shared" si="30"/>
        <v>0.75098280184307842</v>
      </c>
      <c r="J333" s="66">
        <f>+Distribution!H408+Meter!H408+TDCustSvc!H408</f>
        <v>109215724.62854899</v>
      </c>
      <c r="K333" s="66">
        <f>+Distribution!I408+Meter!I408+TDCustSvc!I408</f>
        <v>0</v>
      </c>
      <c r="L333" s="66">
        <f>+Distribution!J408+Meter!J408+TDCustSvc!J408</f>
        <v>109215750.828549</v>
      </c>
      <c r="M333" s="79"/>
      <c r="N333" s="27">
        <f t="shared" si="29"/>
        <v>0</v>
      </c>
    </row>
    <row r="334" spans="1:14" x14ac:dyDescent="0.2">
      <c r="A334" s="3">
        <f t="shared" si="34"/>
        <v>28</v>
      </c>
      <c r="B334" s="7" t="s">
        <v>246</v>
      </c>
      <c r="C334" s="3"/>
      <c r="D334" s="3"/>
      <c r="E334" s="4"/>
      <c r="F334" s="9"/>
      <c r="G334" s="66"/>
      <c r="H334" s="66"/>
      <c r="I334" s="79"/>
      <c r="J334" s="79"/>
      <c r="K334" s="79"/>
      <c r="L334" s="79"/>
      <c r="M334" s="79"/>
      <c r="N334" s="27" t="str">
        <f t="shared" si="29"/>
        <v>OK</v>
      </c>
    </row>
    <row r="335" spans="1:14" x14ac:dyDescent="0.2">
      <c r="A335" s="3">
        <f t="shared" si="34"/>
        <v>29</v>
      </c>
      <c r="B335" s="3"/>
      <c r="C335" s="3"/>
      <c r="D335" s="3"/>
      <c r="E335" s="4"/>
      <c r="F335" s="9"/>
      <c r="G335" s="66"/>
      <c r="H335" s="66"/>
      <c r="I335" s="79"/>
      <c r="J335" s="79"/>
      <c r="K335" s="79"/>
      <c r="L335" s="79"/>
      <c r="M335" s="79"/>
      <c r="N335" s="27" t="str">
        <f t="shared" si="29"/>
        <v>OK</v>
      </c>
    </row>
    <row r="336" spans="1:14" x14ac:dyDescent="0.2">
      <c r="A336" s="3">
        <f t="shared" si="34"/>
        <v>30</v>
      </c>
      <c r="B336" s="3" t="s">
        <v>247</v>
      </c>
      <c r="C336" s="3"/>
      <c r="D336" s="3"/>
      <c r="E336" s="4"/>
      <c r="F336" s="9"/>
      <c r="G336" s="66"/>
      <c r="H336" s="66"/>
      <c r="I336" s="79"/>
      <c r="J336" s="79"/>
      <c r="K336" s="79"/>
      <c r="L336" s="79"/>
      <c r="M336" s="79"/>
      <c r="N336" s="27" t="str">
        <f t="shared" si="29"/>
        <v>OK</v>
      </c>
    </row>
    <row r="337" spans="1:14" x14ac:dyDescent="0.2">
      <c r="A337" s="3">
        <f t="shared" si="34"/>
        <v>31</v>
      </c>
      <c r="B337" s="3" t="s">
        <v>248</v>
      </c>
      <c r="C337" s="3" t="s">
        <v>249</v>
      </c>
      <c r="D337" s="1"/>
      <c r="E337" s="4"/>
      <c r="F337" s="9">
        <f>+'II-I TOTAL COMPANY'!H412</f>
        <v>24310029.180640928</v>
      </c>
      <c r="G337" s="66">
        <f>+Distribution!I412+Meter!I412+TDCustSvc!I412</f>
        <v>0</v>
      </c>
      <c r="H337" s="66">
        <f ca="1">+Distribution!J412+Meter!J412+TDCustSvc!J412</f>
        <v>24310029.180640925</v>
      </c>
      <c r="I337" s="79">
        <f t="shared" ca="1" si="30"/>
        <v>0.99999999999999989</v>
      </c>
      <c r="J337" s="66">
        <f>+Distribution!H412+Meter!H412+TDCustSvc!H412</f>
        <v>24310029.180640928</v>
      </c>
      <c r="K337" s="66">
        <f>+Distribution!I412+Meter!I412+TDCustSvc!I412</f>
        <v>0</v>
      </c>
      <c r="L337" s="66">
        <f ca="1">+Distribution!J412+Meter!J412+TDCustSvc!J412</f>
        <v>24310029.180640925</v>
      </c>
      <c r="M337" s="79">
        <f t="shared" ca="1" si="31"/>
        <v>0.99999999999999989</v>
      </c>
      <c r="N337" s="27" t="str">
        <f t="shared" ca="1" si="29"/>
        <v>OK</v>
      </c>
    </row>
    <row r="338" spans="1:14" x14ac:dyDescent="0.2">
      <c r="A338" s="3">
        <f>+A337+1</f>
        <v>32</v>
      </c>
      <c r="B338" s="3" t="s">
        <v>248</v>
      </c>
      <c r="C338" s="3" t="s">
        <v>538</v>
      </c>
      <c r="D338" s="1"/>
      <c r="E338" s="4"/>
      <c r="F338" s="9">
        <f>+'II-I TOTAL COMPANY'!H413</f>
        <v>0</v>
      </c>
      <c r="G338" s="66">
        <f>+Distribution!I413+Meter!I413+TDCustSvc!I413</f>
        <v>0</v>
      </c>
      <c r="H338" s="66">
        <f ca="1">+Distribution!J413+Meter!J413+TDCustSvc!J413</f>
        <v>0</v>
      </c>
      <c r="I338" s="79">
        <f ca="1">IFERROR(+H338/F338,0)</f>
        <v>0</v>
      </c>
      <c r="J338" s="66">
        <f>+Distribution!H413+Meter!H413+TDCustSvc!H413</f>
        <v>0</v>
      </c>
      <c r="K338" s="66">
        <f>+Distribution!I413+Meter!I413+TDCustSvc!I413</f>
        <v>0</v>
      </c>
      <c r="L338" s="66">
        <f ca="1">+Distribution!J413+Meter!J413+TDCustSvc!J413</f>
        <v>0</v>
      </c>
      <c r="M338" s="79">
        <f ca="1">IFERROR(+L338/J338,0)</f>
        <v>0</v>
      </c>
      <c r="N338" s="27" t="str">
        <f t="shared" ca="1" si="29"/>
        <v>OK</v>
      </c>
    </row>
    <row r="339" spans="1:14" x14ac:dyDescent="0.2">
      <c r="A339" s="3">
        <f>+A337+1</f>
        <v>32</v>
      </c>
      <c r="B339" s="3" t="s">
        <v>250</v>
      </c>
      <c r="C339" s="3" t="s">
        <v>251</v>
      </c>
      <c r="D339" s="1"/>
      <c r="E339" s="4"/>
      <c r="F339" s="9">
        <f>+'II-I TOTAL COMPANY'!H414</f>
        <v>269666.50000000128</v>
      </c>
      <c r="G339" s="66">
        <f>+Distribution!I414+Meter!I414+TDCustSvc!I414</f>
        <v>0</v>
      </c>
      <c r="H339" s="66">
        <f ca="1">+Distribution!J414+Meter!J414+TDCustSvc!J414</f>
        <v>269666.50000000128</v>
      </c>
      <c r="I339" s="79">
        <f t="shared" ca="1" si="30"/>
        <v>1</v>
      </c>
      <c r="J339" s="66">
        <f>+Distribution!H414+Meter!H414+TDCustSvc!H414</f>
        <v>269666.50000000128</v>
      </c>
      <c r="K339" s="66">
        <f>+Distribution!I414+Meter!I414+TDCustSvc!I414</f>
        <v>0</v>
      </c>
      <c r="L339" s="66">
        <f ca="1">+Distribution!J414+Meter!J414+TDCustSvc!J414</f>
        <v>269666.50000000128</v>
      </c>
      <c r="M339" s="79">
        <f t="shared" ca="1" si="31"/>
        <v>1</v>
      </c>
      <c r="N339" s="27" t="str">
        <f t="shared" ca="1" si="29"/>
        <v>OK</v>
      </c>
    </row>
    <row r="340" spans="1:14" x14ac:dyDescent="0.2">
      <c r="A340" s="3">
        <f t="shared" si="34"/>
        <v>33</v>
      </c>
      <c r="B340" s="3" t="s">
        <v>252</v>
      </c>
      <c r="C340" s="3" t="s">
        <v>253</v>
      </c>
      <c r="D340" s="1"/>
      <c r="E340" s="4"/>
      <c r="F340" s="9">
        <f>+'II-I TOTAL COMPANY'!H415</f>
        <v>-10278469.693509083</v>
      </c>
      <c r="G340" s="66">
        <f>+Distribution!I415+Meter!I415+TDCustSvc!I415</f>
        <v>0</v>
      </c>
      <c r="H340" s="66">
        <f ca="1">+Distribution!J415+Meter!J415+TDCustSvc!J415</f>
        <v>-10278469.693509083</v>
      </c>
      <c r="I340" s="79">
        <f t="shared" ca="1" si="30"/>
        <v>1</v>
      </c>
      <c r="J340" s="66">
        <f>+Distribution!H415+Meter!H415+TDCustSvc!H415</f>
        <v>-10278469.693509083</v>
      </c>
      <c r="K340" s="66">
        <f>+Distribution!I415+Meter!I415+TDCustSvc!I415</f>
        <v>0</v>
      </c>
      <c r="L340" s="66">
        <f ca="1">+Distribution!J415+Meter!J415+TDCustSvc!J415</f>
        <v>-10278469.693509083</v>
      </c>
      <c r="M340" s="79">
        <f t="shared" ca="1" si="31"/>
        <v>1</v>
      </c>
      <c r="N340" s="27" t="str">
        <f t="shared" ref="N340:N402" ca="1" si="35">IF(SUM(G340+H340)=F340,"OK",0)</f>
        <v>OK</v>
      </c>
    </row>
    <row r="341" spans="1:14" x14ac:dyDescent="0.2">
      <c r="A341" s="3">
        <f>+A339+1</f>
        <v>33</v>
      </c>
      <c r="B341" s="3" t="s">
        <v>254</v>
      </c>
      <c r="C341" s="3" t="s">
        <v>255</v>
      </c>
      <c r="D341" s="1"/>
      <c r="E341" s="4"/>
      <c r="F341" s="9">
        <f>+'II-I TOTAL COMPANY'!H416</f>
        <v>4857774.4120000033</v>
      </c>
      <c r="G341" s="66">
        <f>+Distribution!I416+Meter!I416+TDCustSvc!I416</f>
        <v>0</v>
      </c>
      <c r="H341" s="66">
        <f ca="1">+Distribution!J416+Meter!J416+TDCustSvc!J416</f>
        <v>4857774.4120000033</v>
      </c>
      <c r="I341" s="79">
        <f ca="1">+H341/F341</f>
        <v>1</v>
      </c>
      <c r="J341" s="66">
        <f>+Distribution!H416+Meter!H416+TDCustSvc!H416</f>
        <v>4857774.4120000033</v>
      </c>
      <c r="K341" s="66">
        <f>+Distribution!I416+Meter!I416+TDCustSvc!I416</f>
        <v>0</v>
      </c>
      <c r="L341" s="66">
        <f ca="1">+Distribution!J416+Meter!J416+TDCustSvc!J416</f>
        <v>4857774.4120000033</v>
      </c>
      <c r="M341" s="79">
        <f t="shared" ca="1" si="31"/>
        <v>1</v>
      </c>
      <c r="N341" s="27" t="str">
        <f t="shared" ca="1" si="35"/>
        <v>OK</v>
      </c>
    </row>
    <row r="342" spans="1:14" x14ac:dyDescent="0.2">
      <c r="A342" s="3">
        <f>+A340+1</f>
        <v>34</v>
      </c>
      <c r="B342" s="3" t="s">
        <v>254</v>
      </c>
      <c r="C342" s="3" t="s">
        <v>471</v>
      </c>
      <c r="D342" s="1"/>
      <c r="E342" s="4"/>
      <c r="F342" s="9">
        <f>+'II-I TOTAL COMPANY'!H417</f>
        <v>0</v>
      </c>
      <c r="G342" s="66">
        <f>+Distribution!I417+Meter!I417+TDCustSvc!I417</f>
        <v>0</v>
      </c>
      <c r="H342" s="66">
        <f ca="1">+Distribution!J417+Meter!J417+TDCustSvc!J417</f>
        <v>0</v>
      </c>
      <c r="I342" s="79"/>
      <c r="J342" s="66">
        <f>+Distribution!H417+Meter!H417+TDCustSvc!H417</f>
        <v>0</v>
      </c>
      <c r="K342" s="66">
        <f>+Distribution!I417+Meter!I417+TDCustSvc!I417</f>
        <v>0</v>
      </c>
      <c r="L342" s="66">
        <f ca="1">+Distribution!J417+Meter!J417+TDCustSvc!J417</f>
        <v>0</v>
      </c>
      <c r="M342" s="79"/>
      <c r="N342" s="27" t="str">
        <f t="shared" ca="1" si="35"/>
        <v>OK</v>
      </c>
    </row>
    <row r="343" spans="1:14" x14ac:dyDescent="0.2">
      <c r="A343" s="3">
        <f t="shared" ref="A343:A348" si="36">+A342+1</f>
        <v>35</v>
      </c>
      <c r="B343" s="3" t="s">
        <v>256</v>
      </c>
      <c r="C343" s="3" t="s">
        <v>257</v>
      </c>
      <c r="D343" s="1"/>
      <c r="E343" s="4"/>
      <c r="F343" s="9">
        <f>+'II-I TOTAL COMPANY'!H418</f>
        <v>20945577.553682309</v>
      </c>
      <c r="G343" s="66">
        <f>+Distribution!I418+Meter!I418+TDCustSvc!I418</f>
        <v>0</v>
      </c>
      <c r="H343" s="66">
        <f ca="1">+Distribution!J418+Meter!J418+TDCustSvc!J418</f>
        <v>20945577.553682305</v>
      </c>
      <c r="I343" s="79">
        <f ca="1">+H343/F343</f>
        <v>0.99999999999999978</v>
      </c>
      <c r="J343" s="66">
        <f>+Distribution!H418+Meter!H418+TDCustSvc!H418</f>
        <v>20945577.553682309</v>
      </c>
      <c r="K343" s="66">
        <f>+Distribution!I418+Meter!I418+TDCustSvc!I418</f>
        <v>0</v>
      </c>
      <c r="L343" s="66">
        <f ca="1">+Distribution!J418+Meter!J418+TDCustSvc!J418</f>
        <v>20945577.553682305</v>
      </c>
      <c r="M343" s="79">
        <f t="shared" ca="1" si="31"/>
        <v>0.99999999999999978</v>
      </c>
      <c r="N343" s="27" t="str">
        <f t="shared" ca="1" si="35"/>
        <v>OK</v>
      </c>
    </row>
    <row r="344" spans="1:14" x14ac:dyDescent="0.2">
      <c r="A344" s="3">
        <f t="shared" si="36"/>
        <v>36</v>
      </c>
      <c r="B344" s="3" t="s">
        <v>258</v>
      </c>
      <c r="C344" s="3" t="s">
        <v>259</v>
      </c>
      <c r="D344" s="1"/>
      <c r="E344" s="4"/>
      <c r="F344" s="9">
        <f>+'II-I TOTAL COMPANY'!H419</f>
        <v>2053960.3999999997</v>
      </c>
      <c r="G344" s="66">
        <f>+Distribution!I419+Meter!I419+TDCustSvc!I419</f>
        <v>0</v>
      </c>
      <c r="H344" s="66">
        <f ca="1">+Distribution!J419+Meter!J419+TDCustSvc!J419</f>
        <v>2053960.3999999994</v>
      </c>
      <c r="I344" s="79">
        <f ca="1">+H344/F344</f>
        <v>0.99999999999999989</v>
      </c>
      <c r="J344" s="66">
        <f>+Distribution!H419+Meter!H419+TDCustSvc!H419</f>
        <v>2053960.3999999997</v>
      </c>
      <c r="K344" s="66">
        <f>+Distribution!I419+Meter!I419+TDCustSvc!I419</f>
        <v>0</v>
      </c>
      <c r="L344" s="66">
        <f ca="1">+Distribution!J419+Meter!J419+TDCustSvc!J419</f>
        <v>2053960.3999999994</v>
      </c>
      <c r="M344" s="79">
        <f t="shared" ca="1" si="31"/>
        <v>0.99999999999999989</v>
      </c>
      <c r="N344" s="27" t="str">
        <f t="shared" ca="1" si="35"/>
        <v>OK</v>
      </c>
    </row>
    <row r="345" spans="1:14" x14ac:dyDescent="0.2">
      <c r="A345" s="3">
        <f t="shared" si="36"/>
        <v>37</v>
      </c>
      <c r="B345" s="3" t="s">
        <v>260</v>
      </c>
      <c r="C345" s="3" t="s">
        <v>261</v>
      </c>
      <c r="D345" s="1"/>
      <c r="E345" s="4"/>
      <c r="F345" s="9">
        <f>+'II-I TOTAL COMPANY'!H420</f>
        <v>-8694295.1598385256</v>
      </c>
      <c r="G345" s="66">
        <f>+Distribution!I420+Meter!I420+TDCustSvc!I420</f>
        <v>0</v>
      </c>
      <c r="H345" s="66">
        <f ca="1">+Distribution!J420+Meter!J420+TDCustSvc!J420</f>
        <v>-8694295.1598385256</v>
      </c>
      <c r="I345" s="79">
        <f ca="1">+H345/F345</f>
        <v>1</v>
      </c>
      <c r="J345" s="66">
        <f>+Distribution!H420+Meter!H420+TDCustSvc!H420</f>
        <v>-8694295.1598385256</v>
      </c>
      <c r="K345" s="66">
        <f>+Distribution!I420+Meter!I420+TDCustSvc!I420</f>
        <v>0</v>
      </c>
      <c r="L345" s="66">
        <f ca="1">+Distribution!J420+Meter!J420+TDCustSvc!J420</f>
        <v>-8694295.1598385256</v>
      </c>
      <c r="M345" s="79">
        <f t="shared" ca="1" si="31"/>
        <v>1</v>
      </c>
      <c r="N345" s="27" t="str">
        <f t="shared" ca="1" si="35"/>
        <v>OK</v>
      </c>
    </row>
    <row r="346" spans="1:14" x14ac:dyDescent="0.2">
      <c r="A346" s="3">
        <f t="shared" si="36"/>
        <v>38</v>
      </c>
      <c r="B346" s="3" t="s">
        <v>262</v>
      </c>
      <c r="C346" s="3" t="s">
        <v>263</v>
      </c>
      <c r="D346" s="1"/>
      <c r="E346" s="4"/>
      <c r="F346" s="9">
        <f>+'II-I TOTAL COMPANY'!H421</f>
        <v>0</v>
      </c>
      <c r="G346" s="66">
        <f>+Distribution!I421+Meter!I421+TDCustSvc!I421</f>
        <v>0</v>
      </c>
      <c r="H346" s="66">
        <f>+Distribution!J421+Meter!J421+TDCustSvc!J421</f>
        <v>0</v>
      </c>
      <c r="I346" s="79"/>
      <c r="J346" s="66">
        <f>+Distribution!H421+Meter!H421+TDCustSvc!H421</f>
        <v>0</v>
      </c>
      <c r="K346" s="66">
        <f>+Distribution!I421+Meter!I421+TDCustSvc!I421</f>
        <v>0</v>
      </c>
      <c r="L346" s="66">
        <f>+Distribution!J421+Meter!J421+TDCustSvc!J421</f>
        <v>0</v>
      </c>
      <c r="M346" s="79"/>
      <c r="N346" s="27" t="str">
        <f t="shared" si="35"/>
        <v>OK</v>
      </c>
    </row>
    <row r="347" spans="1:14" x14ac:dyDescent="0.2">
      <c r="A347" s="3">
        <f t="shared" si="36"/>
        <v>39</v>
      </c>
      <c r="B347" s="3" t="s">
        <v>264</v>
      </c>
      <c r="C347" s="3" t="s">
        <v>265</v>
      </c>
      <c r="D347" s="1"/>
      <c r="E347" s="4"/>
      <c r="F347" s="9">
        <f>+'II-I TOTAL COMPANY'!H422</f>
        <v>299114.8612627245</v>
      </c>
      <c r="G347" s="66">
        <f>+Distribution!I422+Meter!I422+TDCustSvc!I422</f>
        <v>0</v>
      </c>
      <c r="H347" s="66">
        <f ca="1">+Distribution!J422+Meter!J422+TDCustSvc!J422</f>
        <v>299114.8612627245</v>
      </c>
      <c r="I347" s="79">
        <f ca="1">+H347/F347</f>
        <v>1</v>
      </c>
      <c r="J347" s="66">
        <f>+Distribution!H422+Meter!H422+TDCustSvc!H422</f>
        <v>299114.8612627245</v>
      </c>
      <c r="K347" s="66">
        <f>+Distribution!I422+Meter!I422+TDCustSvc!I422</f>
        <v>0</v>
      </c>
      <c r="L347" s="66">
        <f ca="1">+Distribution!J422+Meter!J422+TDCustSvc!J422</f>
        <v>299114.8612627245</v>
      </c>
      <c r="M347" s="79">
        <f ca="1">+L347/J347</f>
        <v>1</v>
      </c>
      <c r="N347" s="27" t="str">
        <f t="shared" ca="1" si="35"/>
        <v>OK</v>
      </c>
    </row>
    <row r="348" spans="1:14" x14ac:dyDescent="0.2">
      <c r="A348" s="3">
        <f t="shared" si="36"/>
        <v>40</v>
      </c>
      <c r="B348" s="3" t="s">
        <v>264</v>
      </c>
      <c r="C348" s="3" t="s">
        <v>266</v>
      </c>
      <c r="D348" s="1"/>
      <c r="E348" s="4"/>
      <c r="F348" s="9">
        <f>+'II-I TOTAL COMPANY'!H423</f>
        <v>0</v>
      </c>
      <c r="G348" s="66">
        <f>+Distribution!I423+Meter!I423+TDCustSvc!I423</f>
        <v>0</v>
      </c>
      <c r="H348" s="66">
        <f>+Distribution!J423+Meter!J423+TDCustSvc!J423</f>
        <v>0</v>
      </c>
      <c r="I348" s="79"/>
      <c r="J348" s="66">
        <f>+Distribution!H423+Meter!H423+TDCustSvc!H423</f>
        <v>0</v>
      </c>
      <c r="K348" s="66">
        <f>+Distribution!I423+Meter!I423+TDCustSvc!I423</f>
        <v>0</v>
      </c>
      <c r="L348" s="66">
        <f>+Distribution!J423+Meter!J423+TDCustSvc!J423</f>
        <v>0</v>
      </c>
      <c r="M348" s="79"/>
      <c r="N348" s="27" t="str">
        <f t="shared" si="35"/>
        <v>OK</v>
      </c>
    </row>
    <row r="349" spans="1:14" x14ac:dyDescent="0.2">
      <c r="A349" s="3">
        <f t="shared" ref="A349:A354" si="37">+A348+1</f>
        <v>41</v>
      </c>
      <c r="B349" s="3" t="s">
        <v>608</v>
      </c>
      <c r="C349" s="3" t="s">
        <v>610</v>
      </c>
      <c r="D349" s="1"/>
      <c r="E349" s="4"/>
      <c r="F349" s="9">
        <f>+'II-I TOTAL COMPANY'!H424</f>
        <v>3931786.1512891548</v>
      </c>
      <c r="G349" s="66">
        <f>+Distribution!I424+Meter!I424+TDCustSvc!I424</f>
        <v>0</v>
      </c>
      <c r="H349" s="66">
        <f ca="1">+Distribution!J424+Meter!J424+TDCustSvc!J424</f>
        <v>3931786.1512891548</v>
      </c>
      <c r="I349" s="79">
        <f ca="1">+H349/F349</f>
        <v>1</v>
      </c>
      <c r="J349" s="66">
        <f>+Distribution!H424+Meter!H424+TDCustSvc!H424</f>
        <v>3931786.1512891548</v>
      </c>
      <c r="K349" s="66">
        <f>+Distribution!I424+Meter!I424+TDCustSvc!I424</f>
        <v>0</v>
      </c>
      <c r="L349" s="66">
        <f ca="1">+Distribution!J424+Meter!J424+TDCustSvc!J424</f>
        <v>3931786.1512891548</v>
      </c>
      <c r="M349" s="79">
        <f ca="1">+L349/J349</f>
        <v>1</v>
      </c>
      <c r="N349" s="27" t="str">
        <f t="shared" ca="1" si="35"/>
        <v>OK</v>
      </c>
    </row>
    <row r="350" spans="1:14" x14ac:dyDescent="0.2">
      <c r="A350" s="3">
        <f t="shared" si="37"/>
        <v>42</v>
      </c>
      <c r="B350" s="3" t="s">
        <v>267</v>
      </c>
      <c r="C350" s="3" t="s">
        <v>141</v>
      </c>
      <c r="D350" s="1"/>
      <c r="E350" s="4"/>
      <c r="F350" s="9">
        <f>+'II-I TOTAL COMPANY'!H425</f>
        <v>1160166.2899999996</v>
      </c>
      <c r="G350" s="66">
        <f>+Distribution!I425+Meter!I425+TDCustSvc!I425</f>
        <v>0</v>
      </c>
      <c r="H350" s="66">
        <f ca="1">+Distribution!J425+Meter!J425+TDCustSvc!J425</f>
        <v>1160166.2899999996</v>
      </c>
      <c r="I350" s="79">
        <f ca="1">+H350/F350</f>
        <v>1</v>
      </c>
      <c r="J350" s="66">
        <f>+Distribution!H425+Meter!H425+TDCustSvc!H425</f>
        <v>1160166.2899999996</v>
      </c>
      <c r="K350" s="66">
        <f>+Distribution!I425+Meter!I425+TDCustSvc!I425</f>
        <v>0</v>
      </c>
      <c r="L350" s="66">
        <f ca="1">+Distribution!J425+Meter!J425+TDCustSvc!J425</f>
        <v>1160166.2899999996</v>
      </c>
      <c r="M350" s="79">
        <f ca="1">+L350/J350</f>
        <v>1</v>
      </c>
      <c r="N350" s="27" t="str">
        <f t="shared" ca="1" si="35"/>
        <v>OK</v>
      </c>
    </row>
    <row r="351" spans="1:14" x14ac:dyDescent="0.2">
      <c r="A351" s="3">
        <f t="shared" si="37"/>
        <v>43</v>
      </c>
      <c r="B351" s="3" t="s">
        <v>268</v>
      </c>
      <c r="C351" s="3" t="s">
        <v>269</v>
      </c>
      <c r="D351" s="1"/>
      <c r="E351" s="4"/>
      <c r="F351" s="9">
        <f>+'II-I TOTAL COMPANY'!H426</f>
        <v>17045609.391274527</v>
      </c>
      <c r="G351" s="66">
        <f>+Distribution!I426+Meter!I426+TDCustSvc!I426</f>
        <v>0</v>
      </c>
      <c r="H351" s="66">
        <f ca="1">+Distribution!J426+Meter!J426+TDCustSvc!J426</f>
        <v>17045609.391274519</v>
      </c>
      <c r="I351" s="79">
        <f ca="1">+H351/F351</f>
        <v>0.99999999999999956</v>
      </c>
      <c r="J351" s="66">
        <f>+Distribution!H426+Meter!H426+TDCustSvc!H426</f>
        <v>17045609.391274527</v>
      </c>
      <c r="K351" s="66">
        <f>+Distribution!I426+Meter!I426+TDCustSvc!I426</f>
        <v>0</v>
      </c>
      <c r="L351" s="66">
        <f ca="1">+Distribution!J426+Meter!J426+TDCustSvc!J426</f>
        <v>17045609.391274519</v>
      </c>
      <c r="M351" s="79">
        <f ca="1">+L351/J351</f>
        <v>0.99999999999999956</v>
      </c>
      <c r="N351" s="27" t="str">
        <f t="shared" ca="1" si="35"/>
        <v>OK</v>
      </c>
    </row>
    <row r="352" spans="1:14" x14ac:dyDescent="0.2">
      <c r="A352" s="3">
        <f t="shared" si="37"/>
        <v>44</v>
      </c>
      <c r="B352" s="3"/>
      <c r="C352" s="3" t="s">
        <v>270</v>
      </c>
      <c r="D352" s="3"/>
      <c r="E352" s="4"/>
      <c r="F352" s="9">
        <f>+'II-I TOTAL COMPANY'!H427</f>
        <v>55900919.88680204</v>
      </c>
      <c r="G352" s="66">
        <f>+Distribution!I427+Meter!I427+TDCustSvc!I427</f>
        <v>0</v>
      </c>
      <c r="H352" s="66">
        <f ca="1">+Distribution!J427+Meter!J427+TDCustSvc!J427</f>
        <v>55900919.886802047</v>
      </c>
      <c r="I352" s="79">
        <f ca="1">+H352/F352</f>
        <v>1.0000000000000002</v>
      </c>
      <c r="J352" s="66">
        <f>+Distribution!H427+Meter!H427+TDCustSvc!H427</f>
        <v>55900919.886802033</v>
      </c>
      <c r="K352" s="66">
        <f>+Distribution!I427+Meter!I427+TDCustSvc!I427</f>
        <v>0</v>
      </c>
      <c r="L352" s="66">
        <f ca="1">+Distribution!J427+Meter!J427+TDCustSvc!J427</f>
        <v>55900919.886802047</v>
      </c>
      <c r="M352" s="79">
        <f ca="1">+L352/J352</f>
        <v>1.0000000000000002</v>
      </c>
      <c r="N352" s="27" t="str">
        <f t="shared" ca="1" si="35"/>
        <v>OK</v>
      </c>
    </row>
    <row r="353" spans="1:14" x14ac:dyDescent="0.2">
      <c r="A353" s="3">
        <f t="shared" si="37"/>
        <v>45</v>
      </c>
      <c r="B353" s="3"/>
      <c r="C353" s="3"/>
      <c r="D353" s="3"/>
      <c r="E353" s="4"/>
      <c r="F353" s="9"/>
      <c r="G353" s="66"/>
      <c r="H353" s="66"/>
      <c r="I353" s="79"/>
      <c r="J353" s="79"/>
      <c r="K353" s="79"/>
      <c r="L353" s="79"/>
      <c r="M353" s="79"/>
      <c r="N353" s="27" t="str">
        <f t="shared" si="35"/>
        <v>OK</v>
      </c>
    </row>
    <row r="354" spans="1:14" x14ac:dyDescent="0.2">
      <c r="A354" s="3">
        <f t="shared" si="37"/>
        <v>46</v>
      </c>
      <c r="B354" s="3"/>
      <c r="C354" s="3" t="s">
        <v>464</v>
      </c>
      <c r="D354" s="3"/>
      <c r="E354" s="4"/>
      <c r="F354" s="9">
        <f>+'II-I TOTAL COMPANY'!H429</f>
        <v>201331348.60036156</v>
      </c>
      <c r="G354" s="66">
        <f>+Distribution!I429+Meter!I429+TDCustSvc!I429</f>
        <v>0</v>
      </c>
      <c r="H354" s="66">
        <f ca="1">+Distribution!J429+Meter!J429+TDCustSvc!J429</f>
        <v>201331374.80036148</v>
      </c>
      <c r="I354" s="79">
        <f ca="1">+H354/F354</f>
        <v>1.0000001301337329</v>
      </c>
      <c r="J354" s="66">
        <f>+Distribution!H429+Meter!H429+TDCustSvc!H429</f>
        <v>201331348.60036153</v>
      </c>
      <c r="K354" s="66">
        <f>+Distribution!I429+Meter!I429+TDCustSvc!I429</f>
        <v>0</v>
      </c>
      <c r="L354" s="66">
        <f ca="1">+Distribution!J429+Meter!J429+TDCustSvc!J429</f>
        <v>201331374.80036148</v>
      </c>
      <c r="M354" s="79">
        <f ca="1">+L354/J354</f>
        <v>1.0000001301337329</v>
      </c>
      <c r="N354" s="27">
        <f t="shared" ca="1" si="35"/>
        <v>0</v>
      </c>
    </row>
    <row r="355" spans="1:14" x14ac:dyDescent="0.2">
      <c r="A355" s="3"/>
      <c r="B355" s="3"/>
      <c r="C355" s="3"/>
      <c r="D355" s="3"/>
      <c r="E355" s="4"/>
      <c r="F355" s="9"/>
      <c r="G355" s="66"/>
      <c r="H355" s="66"/>
      <c r="I355" s="79"/>
      <c r="J355" s="79"/>
      <c r="K355" s="79"/>
      <c r="L355" s="79"/>
      <c r="M355" s="79"/>
      <c r="N355" s="27" t="str">
        <f t="shared" si="35"/>
        <v>OK</v>
      </c>
    </row>
    <row r="356" spans="1:14" x14ac:dyDescent="0.2">
      <c r="A356" s="3"/>
      <c r="B356" s="3"/>
      <c r="C356" s="3"/>
      <c r="D356" s="3"/>
      <c r="E356" s="4"/>
      <c r="F356" s="9"/>
      <c r="G356" s="66"/>
      <c r="H356" s="66"/>
      <c r="I356" s="79"/>
      <c r="J356" s="79"/>
      <c r="K356" s="79"/>
      <c r="L356" s="79"/>
      <c r="M356" s="79"/>
      <c r="N356" s="27" t="str">
        <f t="shared" si="35"/>
        <v>OK</v>
      </c>
    </row>
    <row r="357" spans="1:14" x14ac:dyDescent="0.2">
      <c r="A357" s="3"/>
      <c r="B357" s="7" t="s">
        <v>272</v>
      </c>
      <c r="C357" s="18"/>
      <c r="D357" s="18"/>
      <c r="E357" s="4"/>
      <c r="F357" s="9"/>
      <c r="G357" s="66"/>
      <c r="H357" s="66"/>
      <c r="I357" s="79"/>
      <c r="J357" s="79"/>
      <c r="K357" s="79"/>
      <c r="L357" s="79"/>
      <c r="M357" s="79"/>
      <c r="N357" s="27" t="str">
        <f t="shared" si="35"/>
        <v>OK</v>
      </c>
    </row>
    <row r="358" spans="1:14" x14ac:dyDescent="0.2">
      <c r="A358" s="3"/>
      <c r="B358" s="3"/>
      <c r="C358" s="3"/>
      <c r="D358" s="3"/>
      <c r="E358" s="4"/>
      <c r="F358" s="9"/>
      <c r="G358" s="66"/>
      <c r="H358" s="66"/>
      <c r="I358" s="79"/>
      <c r="J358" s="79"/>
      <c r="K358" s="79"/>
      <c r="L358" s="79"/>
      <c r="M358" s="79"/>
      <c r="N358" s="27" t="str">
        <f t="shared" si="35"/>
        <v>OK</v>
      </c>
    </row>
    <row r="359" spans="1:14" x14ac:dyDescent="0.2">
      <c r="A359" s="3">
        <v>1</v>
      </c>
      <c r="B359" s="3" t="s">
        <v>273</v>
      </c>
      <c r="C359" s="3"/>
      <c r="D359" s="3"/>
      <c r="E359" s="4"/>
      <c r="F359" s="9"/>
      <c r="G359" s="66"/>
      <c r="H359" s="66"/>
      <c r="I359" s="79"/>
      <c r="J359" s="66">
        <f>+Distribution!H434+Meter!H434+TDCustSvc!H434</f>
        <v>0</v>
      </c>
      <c r="K359" s="66">
        <f>+Distribution!I434+Meter!I434+TDCustSvc!I434</f>
        <v>0</v>
      </c>
      <c r="L359" s="66">
        <f>+Distribution!J434+Meter!J434+TDCustSvc!J434</f>
        <v>0</v>
      </c>
      <c r="M359" s="79"/>
      <c r="N359" s="27" t="str">
        <f t="shared" si="35"/>
        <v>OK</v>
      </c>
    </row>
    <row r="360" spans="1:14" x14ac:dyDescent="0.2">
      <c r="A360" s="3">
        <f t="shared" ref="A360:A370" si="38">1+A359</f>
        <v>2</v>
      </c>
      <c r="B360" s="3" t="s">
        <v>147</v>
      </c>
      <c r="C360" s="3" t="s">
        <v>148</v>
      </c>
      <c r="D360" s="16"/>
      <c r="E360" s="4"/>
      <c r="F360" s="9">
        <f>+'II-I TOTAL COMPANY'!H435</f>
        <v>0</v>
      </c>
      <c r="G360" s="66">
        <f>+Distribution!I435+Meter!I435+TDCustSvc!I435</f>
        <v>0</v>
      </c>
      <c r="H360" s="66">
        <f>+Distribution!J435+Meter!J435+TDCustSvc!J435</f>
        <v>0</v>
      </c>
      <c r="I360" s="79"/>
      <c r="J360" s="66">
        <f>+Distribution!H435+Meter!H435+TDCustSvc!H435</f>
        <v>0</v>
      </c>
      <c r="K360" s="66">
        <f>+Distribution!I435+Meter!I435+TDCustSvc!I435</f>
        <v>0</v>
      </c>
      <c r="L360" s="66">
        <f>+Distribution!J435+Meter!J435+TDCustSvc!J435</f>
        <v>0</v>
      </c>
      <c r="M360" s="79"/>
      <c r="N360" s="27" t="str">
        <f t="shared" si="35"/>
        <v>OK</v>
      </c>
    </row>
    <row r="361" spans="1:14" x14ac:dyDescent="0.2">
      <c r="A361" s="3">
        <f t="shared" si="38"/>
        <v>3</v>
      </c>
      <c r="B361" s="3" t="s">
        <v>149</v>
      </c>
      <c r="C361" s="3" t="s">
        <v>150</v>
      </c>
      <c r="D361" s="16"/>
      <c r="E361" s="4"/>
      <c r="F361" s="9">
        <f>+'II-I TOTAL COMPANY'!H436</f>
        <v>0</v>
      </c>
      <c r="G361" s="66">
        <f>+Distribution!I436+Meter!I436+TDCustSvc!I436</f>
        <v>0</v>
      </c>
      <c r="H361" s="66">
        <f>+Distribution!J436+Meter!J436+TDCustSvc!J436</f>
        <v>0</v>
      </c>
      <c r="I361" s="79"/>
      <c r="J361" s="66">
        <f>+Distribution!H436+Meter!H436+TDCustSvc!H436</f>
        <v>0</v>
      </c>
      <c r="K361" s="66">
        <f>+Distribution!I436+Meter!I436+TDCustSvc!I436</f>
        <v>0</v>
      </c>
      <c r="L361" s="66">
        <f>+Distribution!J436+Meter!J436+TDCustSvc!J436</f>
        <v>0</v>
      </c>
      <c r="M361" s="79"/>
      <c r="N361" s="27" t="str">
        <f t="shared" si="35"/>
        <v>OK</v>
      </c>
    </row>
    <row r="362" spans="1:14" x14ac:dyDescent="0.2">
      <c r="A362" s="3">
        <f t="shared" si="38"/>
        <v>4</v>
      </c>
      <c r="B362" s="3"/>
      <c r="C362" s="3" t="s">
        <v>308</v>
      </c>
      <c r="D362" s="3"/>
      <c r="E362" s="4"/>
      <c r="F362" s="9"/>
      <c r="G362" s="66"/>
      <c r="H362" s="66"/>
      <c r="I362" s="79"/>
      <c r="J362" s="79"/>
      <c r="K362" s="79"/>
      <c r="L362" s="79"/>
      <c r="M362" s="79"/>
      <c r="N362" s="27" t="str">
        <f t="shared" si="35"/>
        <v>OK</v>
      </c>
    </row>
    <row r="363" spans="1:14" x14ac:dyDescent="0.2">
      <c r="A363" s="3">
        <f t="shared" si="38"/>
        <v>5</v>
      </c>
      <c r="B363" s="3"/>
      <c r="C363" s="3"/>
      <c r="D363" s="3"/>
      <c r="E363" s="4"/>
      <c r="F363" s="9"/>
      <c r="G363" s="66"/>
      <c r="H363" s="66"/>
      <c r="I363" s="79"/>
      <c r="J363" s="79"/>
      <c r="K363" s="79"/>
      <c r="L363" s="79"/>
      <c r="M363" s="79"/>
      <c r="N363" s="27" t="str">
        <f t="shared" si="35"/>
        <v>OK</v>
      </c>
    </row>
    <row r="364" spans="1:14" x14ac:dyDescent="0.2">
      <c r="A364" s="3">
        <f t="shared" si="38"/>
        <v>6</v>
      </c>
      <c r="B364" s="3"/>
      <c r="C364" s="3" t="s">
        <v>275</v>
      </c>
      <c r="D364" s="3"/>
      <c r="E364" s="4"/>
      <c r="F364" s="9"/>
      <c r="G364" s="66"/>
      <c r="H364" s="66"/>
      <c r="I364" s="79"/>
      <c r="J364" s="79"/>
      <c r="K364" s="79"/>
      <c r="L364" s="79"/>
      <c r="M364" s="79"/>
      <c r="N364" s="27" t="str">
        <f t="shared" si="35"/>
        <v>OK</v>
      </c>
    </row>
    <row r="365" spans="1:14" x14ac:dyDescent="0.2">
      <c r="A365" s="3">
        <f t="shared" si="38"/>
        <v>7</v>
      </c>
      <c r="B365" s="3"/>
      <c r="C365" s="3"/>
      <c r="D365" s="3"/>
      <c r="E365" s="4"/>
      <c r="F365" s="9"/>
      <c r="G365" s="66"/>
      <c r="H365" s="66"/>
      <c r="I365" s="79"/>
      <c r="J365" s="79"/>
      <c r="K365" s="79"/>
      <c r="L365" s="79"/>
      <c r="M365" s="79"/>
      <c r="N365" s="27" t="str">
        <f t="shared" si="35"/>
        <v>OK</v>
      </c>
    </row>
    <row r="366" spans="1:14" x14ac:dyDescent="0.2">
      <c r="A366" s="3">
        <f t="shared" si="38"/>
        <v>8</v>
      </c>
      <c r="B366" s="3"/>
      <c r="C366" s="3"/>
      <c r="D366" s="3"/>
      <c r="E366" s="4"/>
      <c r="F366" s="9"/>
      <c r="G366" s="66"/>
      <c r="H366" s="66"/>
      <c r="I366" s="79"/>
      <c r="J366" s="79"/>
      <c r="K366" s="79"/>
      <c r="L366" s="79"/>
      <c r="M366" s="79"/>
      <c r="N366" s="27" t="str">
        <f t="shared" si="35"/>
        <v>OK</v>
      </c>
    </row>
    <row r="367" spans="1:14" x14ac:dyDescent="0.2">
      <c r="A367" s="3">
        <f t="shared" si="38"/>
        <v>9</v>
      </c>
      <c r="B367" s="7" t="s">
        <v>274</v>
      </c>
      <c r="C367" s="3"/>
      <c r="D367" s="3"/>
      <c r="E367" s="4"/>
      <c r="F367" s="9"/>
      <c r="G367" s="66"/>
      <c r="H367" s="66"/>
      <c r="I367" s="79"/>
      <c r="J367" s="79"/>
      <c r="K367" s="79"/>
      <c r="L367" s="79"/>
      <c r="M367" s="79"/>
      <c r="N367" s="27" t="str">
        <f t="shared" si="35"/>
        <v>OK</v>
      </c>
    </row>
    <row r="368" spans="1:14" x14ac:dyDescent="0.2">
      <c r="A368" s="3">
        <f t="shared" si="38"/>
        <v>10</v>
      </c>
      <c r="B368" s="7"/>
      <c r="C368" s="3"/>
      <c r="D368" s="3"/>
      <c r="E368" s="4"/>
      <c r="F368" s="9"/>
      <c r="G368" s="66"/>
      <c r="H368" s="66"/>
      <c r="I368" s="79"/>
      <c r="J368" s="79"/>
      <c r="K368" s="79"/>
      <c r="L368" s="79"/>
      <c r="M368" s="79"/>
      <c r="N368" s="27" t="str">
        <f t="shared" si="35"/>
        <v>OK</v>
      </c>
    </row>
    <row r="369" spans="1:14" x14ac:dyDescent="0.2">
      <c r="A369" s="3">
        <f t="shared" si="38"/>
        <v>11</v>
      </c>
      <c r="B369" s="3" t="s">
        <v>276</v>
      </c>
      <c r="C369" s="3"/>
      <c r="D369" s="3"/>
      <c r="E369" s="4"/>
      <c r="F369" s="9"/>
      <c r="G369" s="66"/>
      <c r="H369" s="66"/>
      <c r="I369" s="79"/>
      <c r="J369" s="79"/>
      <c r="K369" s="79"/>
      <c r="L369" s="79"/>
      <c r="M369" s="79"/>
      <c r="N369" s="27" t="str">
        <f t="shared" si="35"/>
        <v>OK</v>
      </c>
    </row>
    <row r="370" spans="1:14" x14ac:dyDescent="0.2">
      <c r="A370" s="3">
        <f t="shared" si="38"/>
        <v>12</v>
      </c>
      <c r="B370" s="3"/>
      <c r="C370" s="3" t="s">
        <v>140</v>
      </c>
      <c r="D370" s="3"/>
      <c r="E370" s="4"/>
      <c r="F370" s="9"/>
      <c r="G370" s="66"/>
      <c r="H370" s="66"/>
      <c r="I370" s="79"/>
      <c r="J370" s="79"/>
      <c r="K370" s="79"/>
      <c r="L370" s="79"/>
      <c r="M370" s="79"/>
      <c r="N370" s="27" t="str">
        <f t="shared" si="35"/>
        <v>OK</v>
      </c>
    </row>
    <row r="371" spans="1:14" x14ac:dyDescent="0.2">
      <c r="A371" s="3">
        <f t="shared" ref="A371:A402" si="39">+A370+1</f>
        <v>13</v>
      </c>
      <c r="B371" s="3" t="s">
        <v>153</v>
      </c>
      <c r="C371" s="3" t="s">
        <v>145</v>
      </c>
      <c r="D371" s="16"/>
      <c r="E371" s="4"/>
      <c r="F371" s="9">
        <f>+'II-I TOTAL COMPANY'!H446</f>
        <v>0</v>
      </c>
      <c r="G371" s="66">
        <f>+Distribution!I446+Meter!I446+TDCustSvc!I446</f>
        <v>0</v>
      </c>
      <c r="H371" s="66">
        <f>+Distribution!J446+Meter!J446+TDCustSvc!J446</f>
        <v>0</v>
      </c>
      <c r="I371" s="66">
        <f>IFERROR(+H371/F371,0)</f>
        <v>0</v>
      </c>
      <c r="J371" s="66">
        <f>+Distribution!H446+Meter!H446+TDCustSvc!H446</f>
        <v>0</v>
      </c>
      <c r="K371" s="66">
        <f>+Distribution!I446+Meter!I446+TDCustSvc!I446</f>
        <v>0</v>
      </c>
      <c r="L371" s="66">
        <f>+Distribution!J446+Meter!J446+TDCustSvc!J446</f>
        <v>0</v>
      </c>
      <c r="M371" s="66">
        <f>IFERROR(+L371/J371,0)</f>
        <v>0</v>
      </c>
      <c r="N371" s="27" t="str">
        <f t="shared" si="35"/>
        <v>OK</v>
      </c>
    </row>
    <row r="372" spans="1:14" x14ac:dyDescent="0.2">
      <c r="A372" s="3">
        <f t="shared" si="39"/>
        <v>14</v>
      </c>
      <c r="B372" s="3" t="s">
        <v>154</v>
      </c>
      <c r="C372" s="3" t="s">
        <v>155</v>
      </c>
      <c r="D372" s="16"/>
      <c r="E372" s="4"/>
      <c r="F372" s="9">
        <f>+'II-I TOTAL COMPANY'!H447</f>
        <v>0</v>
      </c>
      <c r="G372" s="66">
        <f>+Distribution!I447+Meter!I447+TDCustSvc!I447</f>
        <v>0</v>
      </c>
      <c r="H372" s="66">
        <f>+Distribution!J447+Meter!J447+TDCustSvc!J447</f>
        <v>0</v>
      </c>
      <c r="I372" s="66">
        <f t="shared" ref="I372:I379" si="40">IFERROR(+H372/F372,0)</f>
        <v>0</v>
      </c>
      <c r="J372" s="66">
        <f>+Distribution!H447+Meter!H447+TDCustSvc!H447</f>
        <v>0</v>
      </c>
      <c r="K372" s="66">
        <f>+Distribution!I447+Meter!I447+TDCustSvc!I447</f>
        <v>0</v>
      </c>
      <c r="L372" s="66">
        <f>+Distribution!J447+Meter!J447+TDCustSvc!J447</f>
        <v>0</v>
      </c>
      <c r="M372" s="66">
        <f t="shared" ref="M372:M379" si="41">IFERROR(+L372/J372,0)</f>
        <v>0</v>
      </c>
      <c r="N372" s="27" t="str">
        <f t="shared" si="35"/>
        <v>OK</v>
      </c>
    </row>
    <row r="373" spans="1:14" x14ac:dyDescent="0.2">
      <c r="A373" s="3">
        <f t="shared" si="39"/>
        <v>15</v>
      </c>
      <c r="B373" s="3" t="s">
        <v>156</v>
      </c>
      <c r="C373" s="3" t="s">
        <v>38</v>
      </c>
      <c r="D373" s="16"/>
      <c r="E373" s="4"/>
      <c r="F373" s="9">
        <f>+'II-I TOTAL COMPANY'!H448</f>
        <v>0</v>
      </c>
      <c r="G373" s="66">
        <f>+Distribution!I448+Meter!I448+TDCustSvc!I448</f>
        <v>0</v>
      </c>
      <c r="H373" s="66">
        <f>+Distribution!J448+Meter!J448+TDCustSvc!J448</f>
        <v>0</v>
      </c>
      <c r="I373" s="66">
        <f t="shared" si="40"/>
        <v>0</v>
      </c>
      <c r="J373" s="66">
        <f>+Distribution!H448+Meter!H448+TDCustSvc!H448</f>
        <v>0</v>
      </c>
      <c r="K373" s="66">
        <f>+Distribution!I448+Meter!I448+TDCustSvc!I448</f>
        <v>0</v>
      </c>
      <c r="L373" s="66">
        <f>+Distribution!J448+Meter!J448+TDCustSvc!J448</f>
        <v>0</v>
      </c>
      <c r="M373" s="66">
        <f t="shared" si="41"/>
        <v>0</v>
      </c>
      <c r="N373" s="27" t="str">
        <f t="shared" si="35"/>
        <v>OK</v>
      </c>
    </row>
    <row r="374" spans="1:14" x14ac:dyDescent="0.2">
      <c r="A374" s="3">
        <f t="shared" si="39"/>
        <v>16</v>
      </c>
      <c r="B374" s="3" t="s">
        <v>157</v>
      </c>
      <c r="C374" s="3" t="s">
        <v>158</v>
      </c>
      <c r="D374" s="16"/>
      <c r="E374" s="4"/>
      <c r="F374" s="9">
        <f>+'II-I TOTAL COMPANY'!H449</f>
        <v>0</v>
      </c>
      <c r="G374" s="66">
        <f>+Distribution!I449+Meter!I449+TDCustSvc!I449</f>
        <v>0</v>
      </c>
      <c r="H374" s="66">
        <f>+Distribution!J449+Meter!J449+TDCustSvc!J449</f>
        <v>0</v>
      </c>
      <c r="I374" s="66">
        <f t="shared" si="40"/>
        <v>0</v>
      </c>
      <c r="J374" s="66">
        <f>+Distribution!H449+Meter!H449+TDCustSvc!H449</f>
        <v>0</v>
      </c>
      <c r="K374" s="66">
        <f>+Distribution!I449+Meter!I449+TDCustSvc!I449</f>
        <v>0</v>
      </c>
      <c r="L374" s="66">
        <f>+Distribution!J449+Meter!J449+TDCustSvc!J449</f>
        <v>0</v>
      </c>
      <c r="M374" s="66">
        <f t="shared" si="41"/>
        <v>0</v>
      </c>
      <c r="N374" s="27" t="str">
        <f t="shared" si="35"/>
        <v>OK</v>
      </c>
    </row>
    <row r="375" spans="1:14" x14ac:dyDescent="0.2">
      <c r="A375" s="3">
        <f t="shared" si="39"/>
        <v>17</v>
      </c>
      <c r="B375" s="3" t="s">
        <v>159</v>
      </c>
      <c r="C375" s="3" t="s">
        <v>160</v>
      </c>
      <c r="D375" s="16"/>
      <c r="E375" s="4"/>
      <c r="F375" s="9">
        <f>+'II-I TOTAL COMPANY'!H450</f>
        <v>0</v>
      </c>
      <c r="G375" s="66">
        <f>+Distribution!I450+Meter!I450+TDCustSvc!I450</f>
        <v>0</v>
      </c>
      <c r="H375" s="66">
        <f>+Distribution!J450+Meter!J450+TDCustSvc!J450</f>
        <v>0</v>
      </c>
      <c r="I375" s="66">
        <f t="shared" si="40"/>
        <v>0</v>
      </c>
      <c r="J375" s="66">
        <f>+Distribution!H450+Meter!H450+TDCustSvc!H450</f>
        <v>0</v>
      </c>
      <c r="K375" s="66">
        <f>+Distribution!I450+Meter!I450+TDCustSvc!I450</f>
        <v>0</v>
      </c>
      <c r="L375" s="66">
        <f>+Distribution!J450+Meter!J450+TDCustSvc!J450</f>
        <v>0</v>
      </c>
      <c r="M375" s="66">
        <f t="shared" si="41"/>
        <v>0</v>
      </c>
      <c r="N375" s="27" t="str">
        <f t="shared" si="35"/>
        <v>OK</v>
      </c>
    </row>
    <row r="376" spans="1:14" x14ac:dyDescent="0.2">
      <c r="A376" s="3">
        <f t="shared" si="39"/>
        <v>18</v>
      </c>
      <c r="B376" s="3" t="s">
        <v>161</v>
      </c>
      <c r="C376" s="3" t="s">
        <v>277</v>
      </c>
      <c r="D376" s="16"/>
      <c r="E376" s="4"/>
      <c r="F376" s="9">
        <f>+'II-I TOTAL COMPANY'!H451</f>
        <v>0</v>
      </c>
      <c r="G376" s="66">
        <f>+Distribution!I451+Meter!I451+TDCustSvc!I451</f>
        <v>0</v>
      </c>
      <c r="H376" s="66">
        <f>+Distribution!J451+Meter!J451+TDCustSvc!J451</f>
        <v>0</v>
      </c>
      <c r="I376" s="66">
        <f t="shared" si="40"/>
        <v>0</v>
      </c>
      <c r="J376" s="66">
        <f>+Distribution!H451+Meter!H451+TDCustSvc!H451</f>
        <v>0</v>
      </c>
      <c r="K376" s="66">
        <f>+Distribution!I451+Meter!I451+TDCustSvc!I451</f>
        <v>0</v>
      </c>
      <c r="L376" s="66">
        <f>+Distribution!J451+Meter!J451+TDCustSvc!J451</f>
        <v>0</v>
      </c>
      <c r="M376" s="66">
        <f t="shared" si="41"/>
        <v>0</v>
      </c>
      <c r="N376" s="27" t="str">
        <f t="shared" si="35"/>
        <v>OK</v>
      </c>
    </row>
    <row r="377" spans="1:14" x14ac:dyDescent="0.2">
      <c r="A377" s="3">
        <f t="shared" si="39"/>
        <v>19</v>
      </c>
      <c r="B377" s="3" t="s">
        <v>162</v>
      </c>
      <c r="C377" s="3" t="s">
        <v>163</v>
      </c>
      <c r="D377" s="16"/>
      <c r="E377" s="4"/>
      <c r="F377" s="9">
        <f>+'II-I TOTAL COMPANY'!H452</f>
        <v>0</v>
      </c>
      <c r="G377" s="66">
        <f>+Distribution!I452+Meter!I452+TDCustSvc!I452</f>
        <v>0</v>
      </c>
      <c r="H377" s="66">
        <f>+Distribution!J452+Meter!J452+TDCustSvc!J452</f>
        <v>0</v>
      </c>
      <c r="I377" s="66">
        <f t="shared" si="40"/>
        <v>0</v>
      </c>
      <c r="J377" s="66">
        <f>+Distribution!H452+Meter!H452+TDCustSvc!H452</f>
        <v>0</v>
      </c>
      <c r="K377" s="66">
        <f>+Distribution!I452+Meter!I452+TDCustSvc!I452</f>
        <v>0</v>
      </c>
      <c r="L377" s="66">
        <f>+Distribution!J452+Meter!J452+TDCustSvc!J452</f>
        <v>0</v>
      </c>
      <c r="M377" s="66">
        <f t="shared" si="41"/>
        <v>0</v>
      </c>
      <c r="N377" s="27" t="str">
        <f t="shared" si="35"/>
        <v>OK</v>
      </c>
    </row>
    <row r="378" spans="1:14" x14ac:dyDescent="0.2">
      <c r="A378" s="3">
        <f t="shared" si="39"/>
        <v>20</v>
      </c>
      <c r="B378" s="3" t="s">
        <v>164</v>
      </c>
      <c r="C378" s="3" t="s">
        <v>141</v>
      </c>
      <c r="D378" s="16"/>
      <c r="E378" s="4"/>
      <c r="F378" s="9">
        <f>+'II-I TOTAL COMPANY'!H453</f>
        <v>0</v>
      </c>
      <c r="G378" s="66">
        <f>+Distribution!I453+Meter!I453+TDCustSvc!I453</f>
        <v>0</v>
      </c>
      <c r="H378" s="66">
        <f>+Distribution!J453+Meter!J453+TDCustSvc!J453</f>
        <v>0</v>
      </c>
      <c r="I378" s="66">
        <f t="shared" si="40"/>
        <v>0</v>
      </c>
      <c r="J378" s="66">
        <f>+Distribution!H453+Meter!H453+TDCustSvc!H453</f>
        <v>0</v>
      </c>
      <c r="K378" s="66">
        <f>+Distribution!I453+Meter!I453+TDCustSvc!I453</f>
        <v>0</v>
      </c>
      <c r="L378" s="66">
        <f>+Distribution!J453+Meter!J453+TDCustSvc!J453</f>
        <v>0</v>
      </c>
      <c r="M378" s="66">
        <f t="shared" si="41"/>
        <v>0</v>
      </c>
      <c r="N378" s="27" t="str">
        <f t="shared" si="35"/>
        <v>OK</v>
      </c>
    </row>
    <row r="379" spans="1:14" x14ac:dyDescent="0.2">
      <c r="A379" s="3">
        <f t="shared" si="39"/>
        <v>21</v>
      </c>
      <c r="B379" s="3"/>
      <c r="C379" s="3" t="s">
        <v>135</v>
      </c>
      <c r="D379" s="3"/>
      <c r="E379" s="4"/>
      <c r="F379" s="9">
        <f>+'II-I TOTAL COMPANY'!H454</f>
        <v>0</v>
      </c>
      <c r="G379" s="66">
        <f>+Distribution!I454+Meter!I454+TDCustSvc!I454</f>
        <v>0</v>
      </c>
      <c r="H379" s="66">
        <f>+Distribution!J454+Meter!J454+TDCustSvc!J454</f>
        <v>0</v>
      </c>
      <c r="I379" s="66">
        <f t="shared" si="40"/>
        <v>0</v>
      </c>
      <c r="J379" s="66">
        <f>+Distribution!H454+Meter!H454+TDCustSvc!H454</f>
        <v>0</v>
      </c>
      <c r="K379" s="66">
        <f>+Distribution!I454+Meter!I454+TDCustSvc!I454</f>
        <v>0</v>
      </c>
      <c r="L379" s="66">
        <f>+Distribution!J454+Meter!J454+TDCustSvc!J454</f>
        <v>0</v>
      </c>
      <c r="M379" s="66">
        <f t="shared" si="41"/>
        <v>0</v>
      </c>
      <c r="N379" s="27" t="str">
        <f t="shared" si="35"/>
        <v>OK</v>
      </c>
    </row>
    <row r="380" spans="1:14" x14ac:dyDescent="0.2">
      <c r="A380" s="3">
        <f t="shared" si="39"/>
        <v>22</v>
      </c>
      <c r="B380" s="3"/>
      <c r="C380" s="3"/>
      <c r="D380" s="3"/>
      <c r="E380" s="4"/>
      <c r="F380" s="9"/>
      <c r="G380" s="66"/>
      <c r="H380" s="66"/>
      <c r="I380" s="79"/>
      <c r="J380" s="79"/>
      <c r="K380" s="79"/>
      <c r="L380" s="79"/>
      <c r="M380" s="79"/>
      <c r="N380" s="27" t="str">
        <f t="shared" si="35"/>
        <v>OK</v>
      </c>
    </row>
    <row r="381" spans="1:14" x14ac:dyDescent="0.2">
      <c r="A381" s="3">
        <f t="shared" si="39"/>
        <v>23</v>
      </c>
      <c r="B381" s="3"/>
      <c r="C381" s="3" t="s">
        <v>142</v>
      </c>
      <c r="D381" s="3"/>
      <c r="E381" s="4"/>
      <c r="F381" s="9"/>
      <c r="G381" s="66"/>
      <c r="H381" s="66"/>
      <c r="I381" s="79"/>
      <c r="J381" s="79"/>
      <c r="K381" s="79"/>
      <c r="L381" s="79"/>
      <c r="M381" s="79"/>
      <c r="N381" s="27" t="str">
        <f t="shared" si="35"/>
        <v>OK</v>
      </c>
    </row>
    <row r="382" spans="1:14" x14ac:dyDescent="0.2">
      <c r="A382" s="3">
        <f t="shared" si="39"/>
        <v>24</v>
      </c>
      <c r="B382" s="3" t="s">
        <v>165</v>
      </c>
      <c r="C382" s="3" t="s">
        <v>146</v>
      </c>
      <c r="D382" s="16"/>
      <c r="E382" s="4"/>
      <c r="F382" s="9">
        <f>+'II-I TOTAL COMPANY'!H457</f>
        <v>0</v>
      </c>
      <c r="G382" s="66">
        <f>+Distribution!I457+Meter!I457+TDCustSvc!I457</f>
        <v>0</v>
      </c>
      <c r="H382" s="66">
        <f>+Distribution!J457+Meter!J457+TDCustSvc!J457</f>
        <v>0</v>
      </c>
      <c r="I382" s="66">
        <f t="shared" ref="I382:I390" si="42">IFERROR(+H382/F382,0)</f>
        <v>0</v>
      </c>
      <c r="J382" s="66">
        <f>+Distribution!H457+Meter!H457+TDCustSvc!H457</f>
        <v>0</v>
      </c>
      <c r="K382" s="66">
        <f>+Distribution!I457+Meter!I457+TDCustSvc!I457</f>
        <v>0</v>
      </c>
      <c r="L382" s="66">
        <f>+Distribution!J457+Meter!J457+TDCustSvc!J457</f>
        <v>0</v>
      </c>
      <c r="M382" s="66">
        <f t="shared" ref="M382:M390" si="43">IFERROR(+L382/J382,0)</f>
        <v>0</v>
      </c>
      <c r="N382" s="27" t="str">
        <f t="shared" si="35"/>
        <v>OK</v>
      </c>
    </row>
    <row r="383" spans="1:14" x14ac:dyDescent="0.2">
      <c r="A383" s="3">
        <f t="shared" si="39"/>
        <v>25</v>
      </c>
      <c r="B383" s="3" t="s">
        <v>166</v>
      </c>
      <c r="C383" s="3" t="s">
        <v>143</v>
      </c>
      <c r="D383" s="16"/>
      <c r="E383" s="4"/>
      <c r="F383" s="9">
        <f>+'II-I TOTAL COMPANY'!H458</f>
        <v>0</v>
      </c>
      <c r="G383" s="66">
        <f>+Distribution!I458+Meter!I458+TDCustSvc!I458</f>
        <v>0</v>
      </c>
      <c r="H383" s="66">
        <f>+Distribution!J458+Meter!J458+TDCustSvc!J458</f>
        <v>0</v>
      </c>
      <c r="I383" s="66">
        <f t="shared" si="42"/>
        <v>0</v>
      </c>
      <c r="J383" s="66">
        <f>+Distribution!H458+Meter!H458+TDCustSvc!H458</f>
        <v>0</v>
      </c>
      <c r="K383" s="66">
        <f>+Distribution!I458+Meter!I458+TDCustSvc!I458</f>
        <v>0</v>
      </c>
      <c r="L383" s="66">
        <f>+Distribution!J458+Meter!J458+TDCustSvc!J458</f>
        <v>0</v>
      </c>
      <c r="M383" s="66">
        <f t="shared" si="43"/>
        <v>0</v>
      </c>
      <c r="N383" s="27" t="str">
        <f t="shared" si="35"/>
        <v>OK</v>
      </c>
    </row>
    <row r="384" spans="1:14" x14ac:dyDescent="0.2">
      <c r="A384" s="3">
        <f t="shared" si="39"/>
        <v>26</v>
      </c>
      <c r="B384" s="3" t="s">
        <v>167</v>
      </c>
      <c r="C384" s="3" t="s">
        <v>168</v>
      </c>
      <c r="D384" s="16"/>
      <c r="E384" s="4"/>
      <c r="F384" s="9">
        <f>+'II-I TOTAL COMPANY'!H459</f>
        <v>0</v>
      </c>
      <c r="G384" s="66">
        <f>+Distribution!I459+Meter!I459+TDCustSvc!I459</f>
        <v>0</v>
      </c>
      <c r="H384" s="66">
        <f>+Distribution!J459+Meter!J459+TDCustSvc!J459</f>
        <v>0</v>
      </c>
      <c r="I384" s="66">
        <f t="shared" si="42"/>
        <v>0</v>
      </c>
      <c r="J384" s="66">
        <f>+Distribution!H459+Meter!H459+TDCustSvc!H459</f>
        <v>0</v>
      </c>
      <c r="K384" s="66">
        <f>+Distribution!I459+Meter!I459+TDCustSvc!I459</f>
        <v>0</v>
      </c>
      <c r="L384" s="66">
        <f>+Distribution!J459+Meter!J459+TDCustSvc!J459</f>
        <v>0</v>
      </c>
      <c r="M384" s="66">
        <f t="shared" si="43"/>
        <v>0</v>
      </c>
      <c r="N384" s="27" t="str">
        <f t="shared" si="35"/>
        <v>OK</v>
      </c>
    </row>
    <row r="385" spans="1:14" x14ac:dyDescent="0.2">
      <c r="A385" s="3">
        <f t="shared" si="39"/>
        <v>27</v>
      </c>
      <c r="B385" s="3" t="s">
        <v>169</v>
      </c>
      <c r="C385" s="3" t="s">
        <v>170</v>
      </c>
      <c r="D385" s="16"/>
      <c r="E385" s="4"/>
      <c r="F385" s="9">
        <f>+'II-I TOTAL COMPANY'!H460</f>
        <v>0</v>
      </c>
      <c r="G385" s="66">
        <f>+Distribution!I460+Meter!I460+TDCustSvc!I460</f>
        <v>0</v>
      </c>
      <c r="H385" s="66">
        <f>+Distribution!J460+Meter!J460+TDCustSvc!J460</f>
        <v>0</v>
      </c>
      <c r="I385" s="66">
        <f t="shared" si="42"/>
        <v>0</v>
      </c>
      <c r="J385" s="66">
        <f>+Distribution!H460+Meter!H460+TDCustSvc!H460</f>
        <v>0</v>
      </c>
      <c r="K385" s="66">
        <f>+Distribution!I460+Meter!I460+TDCustSvc!I460</f>
        <v>0</v>
      </c>
      <c r="L385" s="66">
        <f>+Distribution!J460+Meter!J460+TDCustSvc!J460</f>
        <v>0</v>
      </c>
      <c r="M385" s="66">
        <f t="shared" si="43"/>
        <v>0</v>
      </c>
      <c r="N385" s="27" t="str">
        <f t="shared" si="35"/>
        <v>OK</v>
      </c>
    </row>
    <row r="386" spans="1:14" x14ac:dyDescent="0.2">
      <c r="A386" s="3">
        <f t="shared" si="39"/>
        <v>28</v>
      </c>
      <c r="B386" s="3" t="s">
        <v>171</v>
      </c>
      <c r="C386" s="3" t="s">
        <v>172</v>
      </c>
      <c r="D386" s="16"/>
      <c r="E386" s="4"/>
      <c r="F386" s="9">
        <f>+'II-I TOTAL COMPANY'!H461</f>
        <v>0</v>
      </c>
      <c r="G386" s="66">
        <f>+Distribution!I461+Meter!I461+TDCustSvc!I461</f>
        <v>0</v>
      </c>
      <c r="H386" s="66">
        <f>+Distribution!J461+Meter!J461+TDCustSvc!J461</f>
        <v>0</v>
      </c>
      <c r="I386" s="66">
        <f t="shared" si="42"/>
        <v>0</v>
      </c>
      <c r="J386" s="66">
        <f>+Distribution!H461+Meter!H461+TDCustSvc!H461</f>
        <v>0</v>
      </c>
      <c r="K386" s="66">
        <f>+Distribution!I461+Meter!I461+TDCustSvc!I461</f>
        <v>0</v>
      </c>
      <c r="L386" s="66">
        <f>+Distribution!J461+Meter!J461+TDCustSvc!J461</f>
        <v>0</v>
      </c>
      <c r="M386" s="66">
        <f t="shared" si="43"/>
        <v>0</v>
      </c>
      <c r="N386" s="27" t="str">
        <f t="shared" si="35"/>
        <v>OK</v>
      </c>
    </row>
    <row r="387" spans="1:14" x14ac:dyDescent="0.2">
      <c r="A387" s="3">
        <f t="shared" si="39"/>
        <v>29</v>
      </c>
      <c r="B387" s="3" t="s">
        <v>173</v>
      </c>
      <c r="C387" s="3" t="s">
        <v>174</v>
      </c>
      <c r="D387" s="16"/>
      <c r="E387" s="4"/>
      <c r="F387" s="9">
        <f>+'II-I TOTAL COMPANY'!H462</f>
        <v>0</v>
      </c>
      <c r="G387" s="66">
        <f>+Distribution!I462+Meter!I462+TDCustSvc!I462</f>
        <v>0</v>
      </c>
      <c r="H387" s="66">
        <f>+Distribution!J462+Meter!J462+TDCustSvc!J462</f>
        <v>0</v>
      </c>
      <c r="I387" s="66">
        <f t="shared" si="42"/>
        <v>0</v>
      </c>
      <c r="J387" s="66">
        <f>+Distribution!H462+Meter!H462+TDCustSvc!H462</f>
        <v>0</v>
      </c>
      <c r="K387" s="66">
        <f>+Distribution!I462+Meter!I462+TDCustSvc!I462</f>
        <v>0</v>
      </c>
      <c r="L387" s="66">
        <f>+Distribution!J462+Meter!J462+TDCustSvc!J462</f>
        <v>0</v>
      </c>
      <c r="M387" s="66">
        <f t="shared" si="43"/>
        <v>0</v>
      </c>
      <c r="N387" s="27" t="str">
        <f t="shared" si="35"/>
        <v>OK</v>
      </c>
    </row>
    <row r="388" spans="1:14" x14ac:dyDescent="0.2">
      <c r="A388" s="3">
        <f t="shared" si="39"/>
        <v>30</v>
      </c>
      <c r="B388" s="3"/>
      <c r="C388" s="3" t="s">
        <v>135</v>
      </c>
      <c r="D388" s="3"/>
      <c r="E388" s="4"/>
      <c r="F388" s="9">
        <f>+'II-I TOTAL COMPANY'!H463</f>
        <v>0</v>
      </c>
      <c r="G388" s="66">
        <f>+Distribution!I463+Meter!I463+TDCustSvc!I463</f>
        <v>0</v>
      </c>
      <c r="H388" s="66">
        <f>+Distribution!J463+Meter!J463+TDCustSvc!J463</f>
        <v>0</v>
      </c>
      <c r="I388" s="66">
        <f t="shared" si="42"/>
        <v>0</v>
      </c>
      <c r="J388" s="66">
        <f>+Distribution!H463+Meter!H463+TDCustSvc!H463</f>
        <v>0</v>
      </c>
      <c r="K388" s="66">
        <f>+Distribution!I463+Meter!I463+TDCustSvc!I463</f>
        <v>0</v>
      </c>
      <c r="L388" s="66">
        <f>+Distribution!J463+Meter!J463+TDCustSvc!J463</f>
        <v>0</v>
      </c>
      <c r="M388" s="66">
        <f t="shared" si="43"/>
        <v>0</v>
      </c>
      <c r="N388" s="27" t="str">
        <f t="shared" si="35"/>
        <v>OK</v>
      </c>
    </row>
    <row r="389" spans="1:14" x14ac:dyDescent="0.2">
      <c r="A389" s="3">
        <f t="shared" si="39"/>
        <v>31</v>
      </c>
      <c r="B389" s="3"/>
      <c r="C389" s="3"/>
      <c r="D389" s="3"/>
      <c r="E389" s="4"/>
      <c r="F389" s="9"/>
      <c r="G389" s="66"/>
      <c r="H389" s="66"/>
      <c r="I389" s="79"/>
      <c r="J389" s="79"/>
      <c r="K389" s="79"/>
      <c r="L389" s="79"/>
      <c r="M389" s="79"/>
      <c r="N389" s="27" t="str">
        <f t="shared" si="35"/>
        <v>OK</v>
      </c>
    </row>
    <row r="390" spans="1:14" x14ac:dyDescent="0.2">
      <c r="A390" s="3">
        <f t="shared" si="39"/>
        <v>32</v>
      </c>
      <c r="B390" s="3"/>
      <c r="C390" s="3" t="s">
        <v>278</v>
      </c>
      <c r="D390" s="3"/>
      <c r="E390" s="4"/>
      <c r="F390" s="9">
        <f>+'II-I TOTAL COMPANY'!H465</f>
        <v>0</v>
      </c>
      <c r="G390" s="66">
        <f>+Distribution!I465+Meter!I465+TDCustSvc!I465</f>
        <v>0</v>
      </c>
      <c r="H390" s="66">
        <f>+Distribution!J465+Meter!J465+TDCustSvc!J465</f>
        <v>0</v>
      </c>
      <c r="I390" s="66">
        <f t="shared" si="42"/>
        <v>0</v>
      </c>
      <c r="J390" s="66">
        <f>+Distribution!H465+Meter!H465+TDCustSvc!H465</f>
        <v>0</v>
      </c>
      <c r="K390" s="66">
        <f>+Distribution!I465+Meter!I465+TDCustSvc!I465</f>
        <v>0</v>
      </c>
      <c r="L390" s="66">
        <f>+Distribution!J465+Meter!J465+TDCustSvc!J465</f>
        <v>0</v>
      </c>
      <c r="M390" s="66">
        <f t="shared" si="43"/>
        <v>0</v>
      </c>
      <c r="N390" s="27" t="str">
        <f t="shared" si="35"/>
        <v>OK</v>
      </c>
    </row>
    <row r="391" spans="1:14" x14ac:dyDescent="0.2">
      <c r="A391" s="3">
        <f t="shared" si="39"/>
        <v>33</v>
      </c>
      <c r="B391" s="3"/>
      <c r="C391" s="3"/>
      <c r="D391" s="3"/>
      <c r="E391" s="4"/>
      <c r="F391" s="9"/>
      <c r="G391" s="66"/>
      <c r="H391" s="66"/>
      <c r="I391" s="79"/>
      <c r="J391" s="79"/>
      <c r="K391" s="79"/>
      <c r="L391" s="79"/>
      <c r="M391" s="79"/>
      <c r="N391" s="27" t="str">
        <f t="shared" si="35"/>
        <v>OK</v>
      </c>
    </row>
    <row r="392" spans="1:14" x14ac:dyDescent="0.2">
      <c r="A392" s="3">
        <f t="shared" si="39"/>
        <v>34</v>
      </c>
      <c r="B392" s="7" t="s">
        <v>274</v>
      </c>
      <c r="C392" s="3"/>
      <c r="D392" s="3"/>
      <c r="E392" s="4"/>
      <c r="F392" s="9"/>
      <c r="G392" s="66"/>
      <c r="H392" s="66"/>
      <c r="I392" s="79"/>
      <c r="J392" s="79"/>
      <c r="K392" s="79"/>
      <c r="L392" s="79"/>
      <c r="M392" s="79"/>
      <c r="N392" s="27" t="str">
        <f t="shared" si="35"/>
        <v>OK</v>
      </c>
    </row>
    <row r="393" spans="1:14" x14ac:dyDescent="0.2">
      <c r="A393" s="3">
        <f t="shared" si="39"/>
        <v>35</v>
      </c>
      <c r="B393" s="3" t="s">
        <v>279</v>
      </c>
      <c r="C393" s="3"/>
      <c r="D393" s="3"/>
      <c r="E393" s="4"/>
      <c r="F393" s="9"/>
      <c r="G393" s="66"/>
      <c r="H393" s="66"/>
      <c r="I393" s="79"/>
      <c r="J393" s="79"/>
      <c r="K393" s="79"/>
      <c r="L393" s="79"/>
      <c r="M393" s="79"/>
      <c r="N393" s="27" t="str">
        <f t="shared" si="35"/>
        <v>OK</v>
      </c>
    </row>
    <row r="394" spans="1:14" x14ac:dyDescent="0.2">
      <c r="A394" s="3">
        <f t="shared" si="39"/>
        <v>36</v>
      </c>
      <c r="B394" s="3"/>
      <c r="C394" s="3" t="s">
        <v>140</v>
      </c>
      <c r="D394" s="3"/>
      <c r="E394" s="4"/>
      <c r="F394" s="9"/>
      <c r="G394" s="66"/>
      <c r="H394" s="66"/>
      <c r="I394" s="79"/>
      <c r="J394" s="79"/>
      <c r="K394" s="79"/>
      <c r="L394" s="79"/>
      <c r="M394" s="79"/>
      <c r="N394" s="27" t="str">
        <f t="shared" si="35"/>
        <v>OK</v>
      </c>
    </row>
    <row r="395" spans="1:14" x14ac:dyDescent="0.2">
      <c r="A395" s="3">
        <f t="shared" si="39"/>
        <v>37</v>
      </c>
      <c r="B395" s="3" t="s">
        <v>177</v>
      </c>
      <c r="C395" s="3" t="s">
        <v>145</v>
      </c>
      <c r="D395" s="16"/>
      <c r="E395" s="4"/>
      <c r="F395" s="9">
        <f>+'II-I TOTAL COMPANY'!H470</f>
        <v>4693362.0656182375</v>
      </c>
      <c r="G395" s="66">
        <f>+Distribution!I470+Meter!I470+TDCustSvc!I470</f>
        <v>0</v>
      </c>
      <c r="H395" s="66">
        <f>+Distribution!J470+Meter!J470+TDCustSvc!J470</f>
        <v>4693362.0656182375</v>
      </c>
      <c r="I395" s="79">
        <f t="shared" ref="I395:I403" si="44">+H395/F395</f>
        <v>1</v>
      </c>
      <c r="J395" s="66">
        <f>+Distribution!H470+Meter!H470+TDCustSvc!H470</f>
        <v>4693362.0656182375</v>
      </c>
      <c r="K395" s="66">
        <f>+Distribution!I470+Meter!I470+TDCustSvc!I470</f>
        <v>0</v>
      </c>
      <c r="L395" s="66">
        <f>+Distribution!J470+Meter!J470+TDCustSvc!J470</f>
        <v>4693362.0656182375</v>
      </c>
      <c r="M395" s="79">
        <f t="shared" ref="M395:M403" si="45">+L395/J395</f>
        <v>1</v>
      </c>
      <c r="N395" s="27" t="str">
        <f t="shared" si="35"/>
        <v>OK</v>
      </c>
    </row>
    <row r="396" spans="1:14" x14ac:dyDescent="0.2">
      <c r="A396" s="3">
        <f t="shared" si="39"/>
        <v>38</v>
      </c>
      <c r="B396" s="3" t="s">
        <v>178</v>
      </c>
      <c r="C396" s="3" t="s">
        <v>155</v>
      </c>
      <c r="D396" s="16"/>
      <c r="E396" s="4"/>
      <c r="F396" s="9">
        <f>+'II-I TOTAL COMPANY'!H471</f>
        <v>2908699.0754324696</v>
      </c>
      <c r="G396" s="66">
        <f>+Distribution!I471+Meter!I471+TDCustSvc!I471</f>
        <v>0</v>
      </c>
      <c r="H396" s="66">
        <f>+Distribution!J471+Meter!J471+TDCustSvc!J471</f>
        <v>2908699.0754324696</v>
      </c>
      <c r="I396" s="79">
        <f t="shared" si="44"/>
        <v>1</v>
      </c>
      <c r="J396" s="66">
        <f>+Distribution!H471+Meter!H471+TDCustSvc!H471</f>
        <v>2908699.0754324696</v>
      </c>
      <c r="K396" s="66">
        <f>+Distribution!I471+Meter!I471+TDCustSvc!I471</f>
        <v>0</v>
      </c>
      <c r="L396" s="66">
        <f>+Distribution!J471+Meter!J471+TDCustSvc!J471</f>
        <v>2908699.0754324696</v>
      </c>
      <c r="M396" s="79">
        <f t="shared" si="45"/>
        <v>1</v>
      </c>
      <c r="N396" s="27" t="str">
        <f t="shared" si="35"/>
        <v>OK</v>
      </c>
    </row>
    <row r="397" spans="1:14" x14ac:dyDescent="0.2">
      <c r="A397" s="3">
        <f t="shared" si="39"/>
        <v>39</v>
      </c>
      <c r="B397" s="3" t="s">
        <v>179</v>
      </c>
      <c r="C397" s="3" t="s">
        <v>180</v>
      </c>
      <c r="D397" s="16"/>
      <c r="E397" s="4"/>
      <c r="F397" s="9">
        <f>+'II-I TOTAL COMPANY'!H472</f>
        <v>724165.27887784538</v>
      </c>
      <c r="G397" s="66">
        <f>+Distribution!I472+Meter!I472+TDCustSvc!I472</f>
        <v>0</v>
      </c>
      <c r="H397" s="66">
        <f>+Distribution!J472+Meter!J472+TDCustSvc!J472</f>
        <v>724165.27887784538</v>
      </c>
      <c r="I397" s="79">
        <f t="shared" si="44"/>
        <v>1</v>
      </c>
      <c r="J397" s="66">
        <f>+Distribution!H472+Meter!H472+TDCustSvc!H472</f>
        <v>724165.27887784538</v>
      </c>
      <c r="K397" s="66">
        <f>+Distribution!I472+Meter!I472+TDCustSvc!I472</f>
        <v>0</v>
      </c>
      <c r="L397" s="66">
        <f>+Distribution!J472+Meter!J472+TDCustSvc!J472</f>
        <v>724165.27887784538</v>
      </c>
      <c r="M397" s="79">
        <f t="shared" si="45"/>
        <v>1</v>
      </c>
      <c r="N397" s="27" t="str">
        <f t="shared" si="35"/>
        <v>OK</v>
      </c>
    </row>
    <row r="398" spans="1:14" x14ac:dyDescent="0.2">
      <c r="A398" s="3">
        <f t="shared" si="39"/>
        <v>40</v>
      </c>
      <c r="B398" s="3" t="s">
        <v>181</v>
      </c>
      <c r="C398" s="3" t="s">
        <v>182</v>
      </c>
      <c r="D398" s="16"/>
      <c r="E398" s="4"/>
      <c r="F398" s="9">
        <f>+'II-I TOTAL COMPANY'!H473</f>
        <v>-130014.80035380283</v>
      </c>
      <c r="G398" s="66">
        <f>+Distribution!I473+Meter!I473+TDCustSvc!I473</f>
        <v>0</v>
      </c>
      <c r="H398" s="66">
        <f>+Distribution!J473+Meter!J473+TDCustSvc!J473</f>
        <v>-130014.80035380283</v>
      </c>
      <c r="I398" s="79">
        <f t="shared" si="44"/>
        <v>1</v>
      </c>
      <c r="J398" s="66">
        <f>+Distribution!H473+Meter!H473+TDCustSvc!H473</f>
        <v>-130014.80035380283</v>
      </c>
      <c r="K398" s="66">
        <f>+Distribution!I473+Meter!I473+TDCustSvc!I473</f>
        <v>0</v>
      </c>
      <c r="L398" s="66">
        <f>+Distribution!J473+Meter!J473+TDCustSvc!J473</f>
        <v>-130014.80035380283</v>
      </c>
      <c r="M398" s="79">
        <f t="shared" si="45"/>
        <v>1</v>
      </c>
      <c r="N398" s="27" t="str">
        <f t="shared" si="35"/>
        <v>OK</v>
      </c>
    </row>
    <row r="399" spans="1:14" x14ac:dyDescent="0.2">
      <c r="A399" s="3">
        <f t="shared" si="39"/>
        <v>41</v>
      </c>
      <c r="B399" s="3" t="s">
        <v>183</v>
      </c>
      <c r="C399" s="3" t="s">
        <v>160</v>
      </c>
      <c r="D399" s="16"/>
      <c r="E399" s="4"/>
      <c r="F399" s="9">
        <f>+'II-I TOTAL COMPANY'!H474</f>
        <v>372704.09553017747</v>
      </c>
      <c r="G399" s="66">
        <f>+Distribution!I474+Meter!I474+TDCustSvc!I474</f>
        <v>0</v>
      </c>
      <c r="H399" s="66">
        <f>+Distribution!J474+Meter!J474+TDCustSvc!J474</f>
        <v>372704.09553017729</v>
      </c>
      <c r="I399" s="79">
        <f t="shared" si="44"/>
        <v>0.99999999999999956</v>
      </c>
      <c r="J399" s="66">
        <f>+Distribution!H474+Meter!H474+TDCustSvc!H474</f>
        <v>372704.09553017747</v>
      </c>
      <c r="K399" s="66">
        <f>+Distribution!I474+Meter!I474+TDCustSvc!I474</f>
        <v>0</v>
      </c>
      <c r="L399" s="66">
        <f>+Distribution!J474+Meter!J474+TDCustSvc!J474</f>
        <v>372704.09553017729</v>
      </c>
      <c r="M399" s="79">
        <f t="shared" si="45"/>
        <v>0.99999999999999956</v>
      </c>
      <c r="N399" s="27" t="str">
        <f t="shared" si="35"/>
        <v>OK</v>
      </c>
    </row>
    <row r="400" spans="1:14" x14ac:dyDescent="0.2">
      <c r="A400" s="3">
        <f t="shared" si="39"/>
        <v>42</v>
      </c>
      <c r="B400" s="3" t="s">
        <v>184</v>
      </c>
      <c r="C400" s="3" t="s">
        <v>185</v>
      </c>
      <c r="D400" s="16"/>
      <c r="E400" s="4"/>
      <c r="F400" s="9">
        <f>+'II-I TOTAL COMPANY'!H475</f>
        <v>31427.507775630671</v>
      </c>
      <c r="G400" s="66">
        <f>+Distribution!I475+Meter!I475+TDCustSvc!I475</f>
        <v>0</v>
      </c>
      <c r="H400" s="66">
        <f>+Distribution!J475+Meter!J475+TDCustSvc!J475</f>
        <v>31427.507775630671</v>
      </c>
      <c r="I400" s="79">
        <f t="shared" si="44"/>
        <v>1</v>
      </c>
      <c r="J400" s="66">
        <f>+Distribution!H475+Meter!H475+TDCustSvc!H475</f>
        <v>31427.507775630671</v>
      </c>
      <c r="K400" s="66">
        <f>+Distribution!I475+Meter!I475+TDCustSvc!I475</f>
        <v>0</v>
      </c>
      <c r="L400" s="66">
        <f>+Distribution!J475+Meter!J475+TDCustSvc!J475</f>
        <v>31427.507775630671</v>
      </c>
      <c r="M400" s="79">
        <f t="shared" si="45"/>
        <v>1</v>
      </c>
      <c r="N400" s="27" t="str">
        <f t="shared" si="35"/>
        <v>OK</v>
      </c>
    </row>
    <row r="401" spans="1:14" x14ac:dyDescent="0.2">
      <c r="A401" s="3">
        <f t="shared" si="39"/>
        <v>43</v>
      </c>
      <c r="B401" s="3" t="s">
        <v>186</v>
      </c>
      <c r="C401" s="3" t="s">
        <v>187</v>
      </c>
      <c r="D401" s="16"/>
      <c r="E401" s="4"/>
      <c r="F401" s="9">
        <f>+'II-I TOTAL COMPANY'!H476</f>
        <v>4839068.1090679318</v>
      </c>
      <c r="G401" s="66">
        <f>+Distribution!I476+Meter!I476+TDCustSvc!I476</f>
        <v>0</v>
      </c>
      <c r="H401" s="66">
        <f>+Distribution!J476+Meter!J476+TDCustSvc!J476</f>
        <v>4839068.1090679318</v>
      </c>
      <c r="I401" s="79">
        <f t="shared" si="44"/>
        <v>1</v>
      </c>
      <c r="J401" s="66">
        <f>+Distribution!H476+Meter!H476+TDCustSvc!H476</f>
        <v>4839068.1090679318</v>
      </c>
      <c r="K401" s="66">
        <f>+Distribution!I476+Meter!I476+TDCustSvc!I476</f>
        <v>0</v>
      </c>
      <c r="L401" s="66">
        <f>+Distribution!J476+Meter!J476+TDCustSvc!J476</f>
        <v>4839068.1090679318</v>
      </c>
      <c r="M401" s="79">
        <f t="shared" si="45"/>
        <v>1</v>
      </c>
      <c r="N401" s="27" t="str">
        <f t="shared" si="35"/>
        <v>OK</v>
      </c>
    </row>
    <row r="402" spans="1:14" x14ac:dyDescent="0.2">
      <c r="A402" s="3">
        <f t="shared" si="39"/>
        <v>44</v>
      </c>
      <c r="B402" s="3" t="s">
        <v>188</v>
      </c>
      <c r="C402" s="3" t="s">
        <v>189</v>
      </c>
      <c r="D402" s="16"/>
      <c r="E402" s="4"/>
      <c r="F402" s="9">
        <f>+'II-I TOTAL COMPANY'!H477</f>
        <v>617636.7945847403</v>
      </c>
      <c r="G402" s="66">
        <f>+Distribution!I477+Meter!I477+TDCustSvc!I477</f>
        <v>0</v>
      </c>
      <c r="H402" s="66">
        <f>+Distribution!J477+Meter!J477+TDCustSvc!J477</f>
        <v>617636.79458474019</v>
      </c>
      <c r="I402" s="79">
        <f t="shared" si="44"/>
        <v>0.99999999999999978</v>
      </c>
      <c r="J402" s="66">
        <f>+Distribution!H477+Meter!H477+TDCustSvc!H477</f>
        <v>617636.7945847403</v>
      </c>
      <c r="K402" s="66">
        <f>+Distribution!I477+Meter!I477+TDCustSvc!I477</f>
        <v>0</v>
      </c>
      <c r="L402" s="66">
        <f>+Distribution!J477+Meter!J477+TDCustSvc!J477</f>
        <v>617636.79458474019</v>
      </c>
      <c r="M402" s="79">
        <f t="shared" si="45"/>
        <v>0.99999999999999978</v>
      </c>
      <c r="N402" s="27" t="str">
        <f t="shared" si="35"/>
        <v>OK</v>
      </c>
    </row>
    <row r="403" spans="1:14" x14ac:dyDescent="0.2">
      <c r="A403" s="3">
        <f t="shared" ref="A403:A420" si="46">+A402+1</f>
        <v>45</v>
      </c>
      <c r="B403" s="3" t="s">
        <v>190</v>
      </c>
      <c r="C403" s="3" t="s">
        <v>191</v>
      </c>
      <c r="D403" s="16"/>
      <c r="E403" s="4"/>
      <c r="F403" s="9">
        <f>+'II-I TOTAL COMPANY'!H478</f>
        <v>14000976.443459857</v>
      </c>
      <c r="G403" s="66">
        <f>+Distribution!I478+Meter!I478+TDCustSvc!I478</f>
        <v>0</v>
      </c>
      <c r="H403" s="66">
        <f>+Distribution!J478+Meter!J478+TDCustSvc!J478</f>
        <v>14000976.443459854</v>
      </c>
      <c r="I403" s="79">
        <f t="shared" si="44"/>
        <v>0.99999999999999978</v>
      </c>
      <c r="J403" s="66">
        <f>+Distribution!H478+Meter!H478+TDCustSvc!H478</f>
        <v>14000976.443459857</v>
      </c>
      <c r="K403" s="66">
        <f>+Distribution!I478+Meter!I478+TDCustSvc!I478</f>
        <v>0</v>
      </c>
      <c r="L403" s="66">
        <f>+Distribution!J478+Meter!J478+TDCustSvc!J478</f>
        <v>14000976.443459854</v>
      </c>
      <c r="M403" s="79">
        <f t="shared" si="45"/>
        <v>0.99999999999999978</v>
      </c>
      <c r="N403" s="27" t="str">
        <f t="shared" ref="N403:N466" si="47">IF(SUM(G403+H403)=F403,"OK",0)</f>
        <v>OK</v>
      </c>
    </row>
    <row r="404" spans="1:14" x14ac:dyDescent="0.2">
      <c r="A404" s="3">
        <f t="shared" si="46"/>
        <v>46</v>
      </c>
      <c r="B404" s="3" t="s">
        <v>192</v>
      </c>
      <c r="C404" s="3" t="s">
        <v>141</v>
      </c>
      <c r="D404" s="16"/>
      <c r="E404" s="4"/>
      <c r="F404" s="9">
        <f>+'II-I TOTAL COMPANY'!H479</f>
        <v>0</v>
      </c>
      <c r="G404" s="66">
        <f>+Distribution!I479+Meter!I479+TDCustSvc!I479</f>
        <v>0</v>
      </c>
      <c r="H404" s="66">
        <f>+Distribution!J479+Meter!J479+TDCustSvc!J479</f>
        <v>0</v>
      </c>
      <c r="I404" s="79"/>
      <c r="J404" s="66">
        <f>+Distribution!H479+Meter!H479+TDCustSvc!H479</f>
        <v>0</v>
      </c>
      <c r="K404" s="66">
        <f>+Distribution!I479+Meter!I479+TDCustSvc!I479</f>
        <v>0</v>
      </c>
      <c r="L404" s="66">
        <f>+Distribution!J479+Meter!J479+TDCustSvc!J479</f>
        <v>0</v>
      </c>
      <c r="M404" s="79"/>
      <c r="N404" s="27" t="str">
        <f t="shared" si="47"/>
        <v>OK</v>
      </c>
    </row>
    <row r="405" spans="1:14" x14ac:dyDescent="0.2">
      <c r="A405" s="3">
        <f t="shared" si="46"/>
        <v>47</v>
      </c>
      <c r="B405" s="3"/>
      <c r="C405" s="3" t="s">
        <v>193</v>
      </c>
      <c r="D405" s="3"/>
      <c r="E405" s="4"/>
      <c r="F405" s="9">
        <f>+'II-I TOTAL COMPANY'!H480</f>
        <v>28058024.569993086</v>
      </c>
      <c r="G405" s="66">
        <f>+Distribution!I480+Meter!I480+TDCustSvc!I480</f>
        <v>0</v>
      </c>
      <c r="H405" s="66">
        <f>+Distribution!J480+Meter!J480+TDCustSvc!J480</f>
        <v>28058024.569993086</v>
      </c>
      <c r="I405" s="79">
        <f>+H405/F405</f>
        <v>1</v>
      </c>
      <c r="J405" s="66">
        <f>+Distribution!H480+Meter!H480+TDCustSvc!H480</f>
        <v>28058024.569993086</v>
      </c>
      <c r="K405" s="66">
        <f>+Distribution!I480+Meter!I480+TDCustSvc!I480</f>
        <v>0</v>
      </c>
      <c r="L405" s="66">
        <f>+Distribution!J480+Meter!J480+TDCustSvc!J480</f>
        <v>28058024.569993086</v>
      </c>
      <c r="M405" s="79">
        <f>+L405/J405</f>
        <v>1</v>
      </c>
      <c r="N405" s="27" t="str">
        <f t="shared" si="47"/>
        <v>OK</v>
      </c>
    </row>
    <row r="406" spans="1:14" x14ac:dyDescent="0.2">
      <c r="A406" s="3">
        <f t="shared" si="46"/>
        <v>48</v>
      </c>
      <c r="B406" s="3" t="s">
        <v>142</v>
      </c>
      <c r="C406" s="3"/>
      <c r="D406" s="3"/>
      <c r="E406" s="4"/>
      <c r="F406" s="9"/>
      <c r="G406" s="66"/>
      <c r="H406" s="66"/>
      <c r="I406" s="79"/>
      <c r="J406" s="79"/>
      <c r="K406" s="79"/>
      <c r="L406" s="79"/>
      <c r="M406" s="79"/>
      <c r="N406" s="27" t="str">
        <f t="shared" si="47"/>
        <v>OK</v>
      </c>
    </row>
    <row r="407" spans="1:14" x14ac:dyDescent="0.2">
      <c r="A407" s="3">
        <f t="shared" si="46"/>
        <v>49</v>
      </c>
      <c r="B407" s="3" t="s">
        <v>194</v>
      </c>
      <c r="C407" s="3" t="s">
        <v>195</v>
      </c>
      <c r="D407" s="16"/>
      <c r="E407" s="4"/>
      <c r="F407" s="9">
        <f>+'II-I TOTAL COMPANY'!H482</f>
        <v>122200.19851684399</v>
      </c>
      <c r="G407" s="66">
        <f>+Distribution!I482+Meter!I482+TDCustSvc!I482</f>
        <v>0</v>
      </c>
      <c r="H407" s="66">
        <f ca="1">+Distribution!J482+Meter!J482+TDCustSvc!J482</f>
        <v>122200.19851684393</v>
      </c>
      <c r="I407" s="79">
        <f t="shared" ref="I407:I416" ca="1" si="48">+H407/F407</f>
        <v>0.99999999999999956</v>
      </c>
      <c r="J407" s="66">
        <f>+Distribution!H482+Meter!H482+TDCustSvc!H482</f>
        <v>122200.19851684399</v>
      </c>
      <c r="K407" s="66">
        <f>+Distribution!I482+Meter!I482+TDCustSvc!I482</f>
        <v>0</v>
      </c>
      <c r="L407" s="66">
        <f ca="1">+Distribution!J482+Meter!J482+TDCustSvc!J482</f>
        <v>122200.19851684393</v>
      </c>
      <c r="M407" s="79">
        <f t="shared" ref="M407:M416" ca="1" si="49">+L407/J407</f>
        <v>0.99999999999999956</v>
      </c>
      <c r="N407" s="27" t="str">
        <f t="shared" ca="1" si="47"/>
        <v>OK</v>
      </c>
    </row>
    <row r="408" spans="1:14" x14ac:dyDescent="0.2">
      <c r="A408" s="3">
        <f t="shared" si="46"/>
        <v>50</v>
      </c>
      <c r="B408" s="3" t="s">
        <v>196</v>
      </c>
      <c r="C408" s="3" t="s">
        <v>143</v>
      </c>
      <c r="D408" s="16"/>
      <c r="E408" s="4"/>
      <c r="F408" s="9">
        <f>+'II-I TOTAL COMPANY'!H483</f>
        <v>0</v>
      </c>
      <c r="G408" s="66">
        <f>+Distribution!I483+Meter!I483+TDCustSvc!I483</f>
        <v>0</v>
      </c>
      <c r="H408" s="66">
        <f>+Distribution!J483+Meter!J483+TDCustSvc!J483</f>
        <v>0</v>
      </c>
      <c r="I408" s="79" t="e">
        <f t="shared" si="48"/>
        <v>#DIV/0!</v>
      </c>
      <c r="J408" s="66">
        <f>+Distribution!H483+Meter!H483+TDCustSvc!H483</f>
        <v>0</v>
      </c>
      <c r="K408" s="66">
        <f>+Distribution!I483+Meter!I483+TDCustSvc!I483</f>
        <v>0</v>
      </c>
      <c r="L408" s="66">
        <f>+Distribution!J483+Meter!J483+TDCustSvc!J483</f>
        <v>0</v>
      </c>
      <c r="M408" s="79" t="e">
        <f t="shared" si="49"/>
        <v>#DIV/0!</v>
      </c>
      <c r="N408" s="27" t="str">
        <f t="shared" si="47"/>
        <v>OK</v>
      </c>
    </row>
    <row r="409" spans="1:14" x14ac:dyDescent="0.2">
      <c r="A409" s="3">
        <f t="shared" si="46"/>
        <v>51</v>
      </c>
      <c r="B409" s="3" t="s">
        <v>197</v>
      </c>
      <c r="C409" s="3" t="s">
        <v>168</v>
      </c>
      <c r="D409" s="16"/>
      <c r="E409" s="4"/>
      <c r="F409" s="9">
        <f>+'II-I TOTAL COMPANY'!H484</f>
        <v>253736.49789774086</v>
      </c>
      <c r="G409" s="66">
        <f>+Distribution!I484+Meter!I484+TDCustSvc!I484</f>
        <v>0</v>
      </c>
      <c r="H409" s="66">
        <f>+Distribution!J484+Meter!J484+TDCustSvc!J484</f>
        <v>253736.49789774092</v>
      </c>
      <c r="I409" s="79">
        <f t="shared" si="48"/>
        <v>1.0000000000000002</v>
      </c>
      <c r="J409" s="66">
        <f>+Distribution!H484+Meter!H484+TDCustSvc!H484</f>
        <v>253736.49789774086</v>
      </c>
      <c r="K409" s="66">
        <f>+Distribution!I484+Meter!I484+TDCustSvc!I484</f>
        <v>0</v>
      </c>
      <c r="L409" s="66">
        <f>+Distribution!J484+Meter!J484+TDCustSvc!J484</f>
        <v>253736.49789774092</v>
      </c>
      <c r="M409" s="79">
        <f t="shared" si="49"/>
        <v>1.0000000000000002</v>
      </c>
      <c r="N409" s="27" t="str">
        <f t="shared" si="47"/>
        <v>OK</v>
      </c>
    </row>
    <row r="410" spans="1:14" x14ac:dyDescent="0.2">
      <c r="A410" s="3">
        <f t="shared" si="46"/>
        <v>52</v>
      </c>
      <c r="B410" s="3" t="s">
        <v>198</v>
      </c>
      <c r="C410" s="3" t="s">
        <v>170</v>
      </c>
      <c r="D410" s="16"/>
      <c r="E410" s="4"/>
      <c r="F410" s="9">
        <f>+'II-I TOTAL COMPANY'!H485</f>
        <v>24216684.38848288</v>
      </c>
      <c r="G410" s="66">
        <f>+Distribution!I485+Meter!I485+TDCustSvc!I485</f>
        <v>0</v>
      </c>
      <c r="H410" s="66">
        <f>+Distribution!J485+Meter!J485+TDCustSvc!J485</f>
        <v>24216684.388482876</v>
      </c>
      <c r="I410" s="79">
        <f t="shared" si="48"/>
        <v>0.99999999999999989</v>
      </c>
      <c r="J410" s="66">
        <f>+Distribution!H485+Meter!H485+TDCustSvc!H485</f>
        <v>24216684.38848288</v>
      </c>
      <c r="K410" s="66">
        <f>+Distribution!I485+Meter!I485+TDCustSvc!I485</f>
        <v>0</v>
      </c>
      <c r="L410" s="66">
        <f>+Distribution!J485+Meter!J485+TDCustSvc!J485</f>
        <v>24216684.388482876</v>
      </c>
      <c r="M410" s="79">
        <f t="shared" si="49"/>
        <v>0.99999999999999989</v>
      </c>
      <c r="N410" s="27" t="str">
        <f t="shared" si="47"/>
        <v>OK</v>
      </c>
    </row>
    <row r="411" spans="1:14" x14ac:dyDescent="0.2">
      <c r="A411" s="3">
        <f t="shared" si="46"/>
        <v>53</v>
      </c>
      <c r="B411" s="3" t="s">
        <v>199</v>
      </c>
      <c r="C411" s="3" t="s">
        <v>172</v>
      </c>
      <c r="D411" s="16"/>
      <c r="E411" s="4"/>
      <c r="F411" s="9">
        <f>+'II-I TOTAL COMPANY'!H486</f>
        <v>138093.55144080854</v>
      </c>
      <c r="G411" s="66">
        <f>+Distribution!I486+Meter!I486+TDCustSvc!I486</f>
        <v>0</v>
      </c>
      <c r="H411" s="66">
        <f>+Distribution!J486+Meter!J486+TDCustSvc!J486</f>
        <v>138093.55144080851</v>
      </c>
      <c r="I411" s="79">
        <f t="shared" si="48"/>
        <v>0.99999999999999978</v>
      </c>
      <c r="J411" s="66">
        <f>+Distribution!H486+Meter!H486+TDCustSvc!H486</f>
        <v>138093.55144080854</v>
      </c>
      <c r="K411" s="66">
        <f>+Distribution!I486+Meter!I486+TDCustSvc!I486</f>
        <v>0</v>
      </c>
      <c r="L411" s="66">
        <f>+Distribution!J486+Meter!J486+TDCustSvc!J486</f>
        <v>138093.55144080851</v>
      </c>
      <c r="M411" s="79">
        <f t="shared" si="49"/>
        <v>0.99999999999999978</v>
      </c>
      <c r="N411" s="27" t="str">
        <f t="shared" si="47"/>
        <v>OK</v>
      </c>
    </row>
    <row r="412" spans="1:14" x14ac:dyDescent="0.2">
      <c r="A412" s="3">
        <f t="shared" si="46"/>
        <v>54</v>
      </c>
      <c r="B412" s="3" t="s">
        <v>200</v>
      </c>
      <c r="C412" s="3" t="s">
        <v>201</v>
      </c>
      <c r="D412" s="16"/>
      <c r="E412" s="4"/>
      <c r="F412" s="9">
        <f>+'II-I TOTAL COMPANY'!H487</f>
        <v>632344.21496128733</v>
      </c>
      <c r="G412" s="66">
        <f>+Distribution!I487+Meter!I487+TDCustSvc!I487</f>
        <v>0</v>
      </c>
      <c r="H412" s="66">
        <f>+Distribution!J487+Meter!J487+TDCustSvc!J487</f>
        <v>632344.21496128722</v>
      </c>
      <c r="I412" s="79">
        <f t="shared" si="48"/>
        <v>0.99999999999999978</v>
      </c>
      <c r="J412" s="66">
        <f>+Distribution!H487+Meter!H487+TDCustSvc!H487</f>
        <v>632344.21496128733</v>
      </c>
      <c r="K412" s="66">
        <f>+Distribution!I487+Meter!I487+TDCustSvc!I487</f>
        <v>0</v>
      </c>
      <c r="L412" s="66">
        <f>+Distribution!J487+Meter!J487+TDCustSvc!J487</f>
        <v>632344.21496128722</v>
      </c>
      <c r="M412" s="79">
        <f t="shared" si="49"/>
        <v>0.99999999999999978</v>
      </c>
      <c r="N412" s="27" t="str">
        <f t="shared" si="47"/>
        <v>OK</v>
      </c>
    </row>
    <row r="413" spans="1:14" x14ac:dyDescent="0.2">
      <c r="A413" s="3">
        <f t="shared" si="46"/>
        <v>55</v>
      </c>
      <c r="B413" s="3" t="s">
        <v>202</v>
      </c>
      <c r="C413" s="3" t="s">
        <v>203</v>
      </c>
      <c r="D413" s="16"/>
      <c r="E413" s="4"/>
      <c r="F413" s="9">
        <f>+'II-I TOTAL COMPANY'!H488</f>
        <v>198783.2452518057</v>
      </c>
      <c r="G413" s="66">
        <f>+Distribution!I488+Meter!I488+TDCustSvc!I488</f>
        <v>0</v>
      </c>
      <c r="H413" s="66">
        <f>+Distribution!J488+Meter!J488+TDCustSvc!J488</f>
        <v>198783.2452518057</v>
      </c>
      <c r="I413" s="79">
        <f t="shared" si="48"/>
        <v>1</v>
      </c>
      <c r="J413" s="66">
        <f>+Distribution!H488+Meter!H488+TDCustSvc!H488</f>
        <v>198783.2452518057</v>
      </c>
      <c r="K413" s="66">
        <f>+Distribution!I488+Meter!I488+TDCustSvc!I488</f>
        <v>0</v>
      </c>
      <c r="L413" s="66">
        <f>+Distribution!J488+Meter!J488+TDCustSvc!J488</f>
        <v>198783.2452518057</v>
      </c>
      <c r="M413" s="79">
        <f t="shared" si="49"/>
        <v>1</v>
      </c>
      <c r="N413" s="27" t="str">
        <f t="shared" si="47"/>
        <v>OK</v>
      </c>
    </row>
    <row r="414" spans="1:14" x14ac:dyDescent="0.2">
      <c r="A414" s="3">
        <f t="shared" si="46"/>
        <v>56</v>
      </c>
      <c r="B414" s="3" t="s">
        <v>204</v>
      </c>
      <c r="C414" s="3" t="s">
        <v>205</v>
      </c>
      <c r="D414" s="16"/>
      <c r="E414" s="4"/>
      <c r="F414" s="9">
        <f>+'II-I TOTAL COMPANY'!H489</f>
        <v>294104.39664804225</v>
      </c>
      <c r="G414" s="66">
        <f>+Distribution!I489+Meter!I489+TDCustSvc!I489</f>
        <v>0</v>
      </c>
      <c r="H414" s="66">
        <f>+Distribution!J489+Meter!J489+TDCustSvc!J489</f>
        <v>294104.39664804231</v>
      </c>
      <c r="I414" s="79">
        <f t="shared" si="48"/>
        <v>1.0000000000000002</v>
      </c>
      <c r="J414" s="66">
        <f>+Distribution!H489+Meter!H489+TDCustSvc!H489</f>
        <v>294104.39664804225</v>
      </c>
      <c r="K414" s="66">
        <f>+Distribution!I489+Meter!I489+TDCustSvc!I489</f>
        <v>0</v>
      </c>
      <c r="L414" s="66">
        <f>+Distribution!J489+Meter!J489+TDCustSvc!J489</f>
        <v>294104.39664804231</v>
      </c>
      <c r="M414" s="79">
        <f t="shared" si="49"/>
        <v>1.0000000000000002</v>
      </c>
      <c r="N414" s="27" t="str">
        <f t="shared" si="47"/>
        <v>OK</v>
      </c>
    </row>
    <row r="415" spans="1:14" x14ac:dyDescent="0.2">
      <c r="A415" s="3">
        <f t="shared" si="46"/>
        <v>57</v>
      </c>
      <c r="B415" s="3" t="s">
        <v>309</v>
      </c>
      <c r="C415" s="3" t="s">
        <v>206</v>
      </c>
      <c r="D415" s="16"/>
      <c r="E415" s="4"/>
      <c r="F415" s="9">
        <f>+'II-I TOTAL COMPANY'!H490</f>
        <v>75021.630658222668</v>
      </c>
      <c r="G415" s="66">
        <f>+Distribution!I490+Meter!I490+TDCustSvc!I490</f>
        <v>0</v>
      </c>
      <c r="H415" s="66">
        <f ca="1">+Distribution!J490+Meter!J490+TDCustSvc!J490</f>
        <v>75021.630658222683</v>
      </c>
      <c r="I415" s="79">
        <f t="shared" ca="1" si="48"/>
        <v>1.0000000000000002</v>
      </c>
      <c r="J415" s="66">
        <f>+Distribution!H490+Meter!H490+TDCustSvc!H490</f>
        <v>75021.630658222668</v>
      </c>
      <c r="K415" s="66">
        <f>+Distribution!I490+Meter!I490+TDCustSvc!I490</f>
        <v>0</v>
      </c>
      <c r="L415" s="66">
        <f ca="1">+Distribution!J490+Meter!J490+TDCustSvc!J490</f>
        <v>75021.630658222683</v>
      </c>
      <c r="M415" s="79">
        <f t="shared" ca="1" si="49"/>
        <v>1.0000000000000002</v>
      </c>
      <c r="N415" s="27" t="str">
        <f t="shared" ca="1" si="47"/>
        <v>OK</v>
      </c>
    </row>
    <row r="416" spans="1:14" x14ac:dyDescent="0.2">
      <c r="A416" s="3">
        <f t="shared" si="46"/>
        <v>58</v>
      </c>
      <c r="B416" s="3"/>
      <c r="C416" s="3" t="s">
        <v>280</v>
      </c>
      <c r="D416" s="3"/>
      <c r="E416" s="4"/>
      <c r="F416" s="9">
        <f>+'II-I TOTAL COMPANY'!H491</f>
        <v>25930968.123857632</v>
      </c>
      <c r="G416" s="66">
        <f>+Distribution!I491+Meter!I491+TDCustSvc!I491</f>
        <v>0</v>
      </c>
      <c r="H416" s="66">
        <f ca="1">+Distribution!J491+Meter!J491+TDCustSvc!J491</f>
        <v>25930968.123857625</v>
      </c>
      <c r="I416" s="79">
        <f t="shared" ca="1" si="48"/>
        <v>0.99999999999999967</v>
      </c>
      <c r="J416" s="66">
        <f>+Distribution!H491+Meter!H491+TDCustSvc!H491</f>
        <v>25930968.123857629</v>
      </c>
      <c r="K416" s="66">
        <f>+Distribution!I491+Meter!I491+TDCustSvc!I491</f>
        <v>0</v>
      </c>
      <c r="L416" s="66">
        <f ca="1">+Distribution!J491+Meter!J491+TDCustSvc!J491</f>
        <v>25930968.123857625</v>
      </c>
      <c r="M416" s="79">
        <f t="shared" ca="1" si="49"/>
        <v>0.99999999999999989</v>
      </c>
      <c r="N416" s="27" t="str">
        <f t="shared" ca="1" si="47"/>
        <v>OK</v>
      </c>
    </row>
    <row r="417" spans="1:14" x14ac:dyDescent="0.2">
      <c r="A417" s="3">
        <f t="shared" si="46"/>
        <v>59</v>
      </c>
      <c r="B417" s="3"/>
      <c r="C417" s="3"/>
      <c r="D417" s="3"/>
      <c r="E417" s="4"/>
      <c r="F417" s="9"/>
      <c r="G417" s="66"/>
      <c r="H417" s="66"/>
      <c r="I417" s="79"/>
      <c r="J417" s="79"/>
      <c r="K417" s="79"/>
      <c r="L417" s="79"/>
      <c r="M417" s="79"/>
      <c r="N417" s="27" t="str">
        <f t="shared" si="47"/>
        <v>OK</v>
      </c>
    </row>
    <row r="418" spans="1:14" x14ac:dyDescent="0.2">
      <c r="A418" s="3">
        <f t="shared" si="46"/>
        <v>60</v>
      </c>
      <c r="B418" s="3"/>
      <c r="C418" s="3" t="s">
        <v>281</v>
      </c>
      <c r="D418" s="3"/>
      <c r="E418" s="4"/>
      <c r="F418" s="9">
        <f>+'II-I TOTAL COMPANY'!H493</f>
        <v>53988992.693850718</v>
      </c>
      <c r="G418" s="66">
        <f>+Distribution!I493+Meter!I493+TDCustSvc!I493</f>
        <v>0</v>
      </c>
      <c r="H418" s="66">
        <f ca="1">+Distribution!J493+Meter!J493+TDCustSvc!J493</f>
        <v>53988992.693850726</v>
      </c>
      <c r="I418" s="79">
        <f ca="1">+H418/F418</f>
        <v>1.0000000000000002</v>
      </c>
      <c r="J418" s="66">
        <f>+Distribution!H493+Meter!H493+TDCustSvc!H493</f>
        <v>53988992.693850711</v>
      </c>
      <c r="K418" s="66">
        <f>+Distribution!I493+Meter!I493+TDCustSvc!I493</f>
        <v>0</v>
      </c>
      <c r="L418" s="66">
        <f ca="1">+Distribution!J493+Meter!J493+TDCustSvc!J493</f>
        <v>53988992.693850726</v>
      </c>
      <c r="M418" s="79">
        <f ca="1">+L418/J418</f>
        <v>1.0000000000000002</v>
      </c>
      <c r="N418" s="27" t="str">
        <f t="shared" ca="1" si="47"/>
        <v>OK</v>
      </c>
    </row>
    <row r="419" spans="1:14" x14ac:dyDescent="0.2">
      <c r="A419" s="3">
        <f t="shared" si="46"/>
        <v>61</v>
      </c>
      <c r="B419" s="3"/>
      <c r="C419" s="3"/>
      <c r="D419" s="3"/>
      <c r="E419" s="4"/>
      <c r="F419" s="9"/>
      <c r="G419" s="66"/>
      <c r="H419" s="66"/>
      <c r="I419" s="79"/>
      <c r="J419" s="79"/>
      <c r="K419" s="79"/>
      <c r="L419" s="79"/>
      <c r="M419" s="79"/>
      <c r="N419" s="27" t="str">
        <f t="shared" si="47"/>
        <v>OK</v>
      </c>
    </row>
    <row r="420" spans="1:14" x14ac:dyDescent="0.2">
      <c r="A420" s="3">
        <f t="shared" si="46"/>
        <v>62</v>
      </c>
      <c r="B420" s="3"/>
      <c r="C420" s="3" t="s">
        <v>211</v>
      </c>
      <c r="D420" s="3"/>
      <c r="E420" s="4"/>
      <c r="F420" s="9">
        <f>+'II-I TOTAL COMPANY'!H495</f>
        <v>53988992.693850718</v>
      </c>
      <c r="G420" s="66">
        <f>+Distribution!I495+Meter!I495+TDCustSvc!I495</f>
        <v>0</v>
      </c>
      <c r="H420" s="66">
        <f ca="1">+Distribution!J495+Meter!J495+TDCustSvc!J495</f>
        <v>53988992.693850726</v>
      </c>
      <c r="I420" s="79">
        <f ca="1">+H420/F420</f>
        <v>1.0000000000000002</v>
      </c>
      <c r="J420" s="66">
        <f>+Distribution!H495+Meter!H495+TDCustSvc!H495</f>
        <v>53988992.693850711</v>
      </c>
      <c r="K420" s="66">
        <f>+Distribution!I495+Meter!I495+TDCustSvc!I495</f>
        <v>0</v>
      </c>
      <c r="L420" s="66">
        <f ca="1">+Distribution!J495+Meter!J495+TDCustSvc!J495</f>
        <v>53988992.693850726</v>
      </c>
      <c r="M420" s="79">
        <f ca="1">+L420/J420</f>
        <v>1.0000000000000002</v>
      </c>
      <c r="N420" s="27" t="str">
        <f t="shared" ca="1" si="47"/>
        <v>OK</v>
      </c>
    </row>
    <row r="421" spans="1:14" x14ac:dyDescent="0.2">
      <c r="A421" s="3"/>
      <c r="B421" s="7" t="s">
        <v>274</v>
      </c>
      <c r="C421" s="3"/>
      <c r="D421" s="3"/>
      <c r="E421" s="4"/>
      <c r="F421" s="9"/>
      <c r="G421" s="66"/>
      <c r="H421" s="66"/>
      <c r="I421" s="79"/>
      <c r="J421" s="79"/>
      <c r="K421" s="79"/>
      <c r="L421" s="79"/>
      <c r="M421" s="79"/>
      <c r="N421" s="27" t="str">
        <f t="shared" si="47"/>
        <v>OK</v>
      </c>
    </row>
    <row r="422" spans="1:14" x14ac:dyDescent="0.2">
      <c r="A422" s="3"/>
      <c r="B422" s="3"/>
      <c r="C422" s="3"/>
      <c r="D422" s="3"/>
      <c r="E422" s="4"/>
      <c r="F422" s="9"/>
      <c r="G422" s="66"/>
      <c r="H422" s="66"/>
      <c r="I422" s="79"/>
      <c r="J422" s="79"/>
      <c r="K422" s="79"/>
      <c r="L422" s="79"/>
      <c r="M422" s="79"/>
      <c r="N422" s="27" t="str">
        <f t="shared" si="47"/>
        <v>OK</v>
      </c>
    </row>
    <row r="423" spans="1:14" x14ac:dyDescent="0.2">
      <c r="A423" s="3">
        <v>1</v>
      </c>
      <c r="B423" s="3" t="s">
        <v>282</v>
      </c>
      <c r="C423" s="3"/>
      <c r="D423" s="3"/>
      <c r="E423" s="4"/>
      <c r="F423" s="9"/>
      <c r="G423" s="66"/>
      <c r="H423" s="66"/>
      <c r="I423" s="79"/>
      <c r="J423" s="79"/>
      <c r="K423" s="79"/>
      <c r="L423" s="79"/>
      <c r="M423" s="79"/>
      <c r="N423" s="27" t="str">
        <f t="shared" si="47"/>
        <v>OK</v>
      </c>
    </row>
    <row r="424" spans="1:14" x14ac:dyDescent="0.2">
      <c r="A424" s="3">
        <f t="shared" ref="A424:A450" si="50">+A423+1</f>
        <v>2</v>
      </c>
      <c r="B424" s="3"/>
      <c r="C424" s="3" t="s">
        <v>213</v>
      </c>
      <c r="D424" s="3"/>
      <c r="E424" s="4"/>
      <c r="F424" s="9"/>
      <c r="G424" s="66"/>
      <c r="H424" s="66"/>
      <c r="I424" s="79"/>
      <c r="J424" s="79"/>
      <c r="K424" s="79"/>
      <c r="L424" s="79"/>
      <c r="M424" s="79"/>
      <c r="N424" s="27" t="str">
        <f t="shared" si="47"/>
        <v>OK</v>
      </c>
    </row>
    <row r="425" spans="1:14" x14ac:dyDescent="0.2">
      <c r="A425" s="3">
        <f t="shared" si="50"/>
        <v>3</v>
      </c>
      <c r="B425" s="3" t="s">
        <v>214</v>
      </c>
      <c r="C425" s="3" t="s">
        <v>215</v>
      </c>
      <c r="D425" s="16"/>
      <c r="E425" s="4"/>
      <c r="F425" s="9">
        <f>+'II-I TOTAL COMPANY'!H500</f>
        <v>307220.77621167613</v>
      </c>
      <c r="G425" s="66">
        <f>+Distribution!I500+Meter!I500+TDCustSvc!I500</f>
        <v>0</v>
      </c>
      <c r="H425" s="66">
        <f>+Distribution!J500+Meter!J500+TDCustSvc!J500</f>
        <v>307220.77621167625</v>
      </c>
      <c r="I425" s="79">
        <f>+H425/F425</f>
        <v>1.0000000000000004</v>
      </c>
      <c r="J425" s="66">
        <f>+Distribution!H500+Meter!H500+TDCustSvc!H500</f>
        <v>307220.77621167613</v>
      </c>
      <c r="K425" s="66">
        <f>+Distribution!I500+Meter!I500+TDCustSvc!I500</f>
        <v>0</v>
      </c>
      <c r="L425" s="66">
        <f>+Distribution!J500+Meter!J500+TDCustSvc!J500</f>
        <v>307220.77621167625</v>
      </c>
      <c r="M425" s="79">
        <f>+L425/J425</f>
        <v>1.0000000000000004</v>
      </c>
      <c r="N425" s="27" t="str">
        <f t="shared" si="47"/>
        <v>OK</v>
      </c>
    </row>
    <row r="426" spans="1:14" x14ac:dyDescent="0.2">
      <c r="A426" s="3">
        <f t="shared" si="50"/>
        <v>4</v>
      </c>
      <c r="B426" s="3" t="s">
        <v>216</v>
      </c>
      <c r="C426" s="3" t="s">
        <v>217</v>
      </c>
      <c r="D426" s="16"/>
      <c r="E426" s="4"/>
      <c r="F426" s="9">
        <f>+'II-I TOTAL COMPANY'!H501</f>
        <v>15700.196145589029</v>
      </c>
      <c r="G426" s="66">
        <f>+Distribution!I501+Meter!I501+TDCustSvc!I501</f>
        <v>0</v>
      </c>
      <c r="H426" s="66">
        <f>+Distribution!J501+Meter!J501+TDCustSvc!J501</f>
        <v>15700.196145589029</v>
      </c>
      <c r="I426" s="79">
        <f>+H426/F426</f>
        <v>1</v>
      </c>
      <c r="J426" s="66">
        <f>+Distribution!H501+Meter!H501+TDCustSvc!H501</f>
        <v>15700.196145589029</v>
      </c>
      <c r="K426" s="66">
        <f>+Distribution!I501+Meter!I501+TDCustSvc!I501</f>
        <v>0</v>
      </c>
      <c r="L426" s="66">
        <f>+Distribution!J501+Meter!J501+TDCustSvc!J501</f>
        <v>15700.196145589029</v>
      </c>
      <c r="M426" s="79">
        <f>+L426/J426</f>
        <v>1</v>
      </c>
      <c r="N426" s="27" t="str">
        <f t="shared" si="47"/>
        <v>OK</v>
      </c>
    </row>
    <row r="427" spans="1:14" x14ac:dyDescent="0.2">
      <c r="A427" s="3">
        <f t="shared" si="50"/>
        <v>5</v>
      </c>
      <c r="B427" s="3" t="s">
        <v>218</v>
      </c>
      <c r="C427" s="3" t="s">
        <v>219</v>
      </c>
      <c r="D427" s="16"/>
      <c r="E427" s="4"/>
      <c r="F427" s="9">
        <f>+'II-I TOTAL COMPANY'!H502</f>
        <v>8418787.6661461648</v>
      </c>
      <c r="G427" s="66">
        <f>+Distribution!I502+Meter!I502+TDCustSvc!I502</f>
        <v>0</v>
      </c>
      <c r="H427" s="66">
        <f>+Distribution!J502+Meter!J502+TDCustSvc!J502</f>
        <v>8418787.6661461629</v>
      </c>
      <c r="I427" s="79">
        <f>+H427/F427</f>
        <v>0.99999999999999978</v>
      </c>
      <c r="J427" s="66">
        <f>+Distribution!H502+Meter!H502+TDCustSvc!H502</f>
        <v>8418787.6661461648</v>
      </c>
      <c r="K427" s="66">
        <f>+Distribution!I502+Meter!I502+TDCustSvc!I502</f>
        <v>0</v>
      </c>
      <c r="L427" s="66">
        <f>+Distribution!J502+Meter!J502+TDCustSvc!J502</f>
        <v>8418787.6661461629</v>
      </c>
      <c r="M427" s="79">
        <f>+L427/J427</f>
        <v>0.99999999999999978</v>
      </c>
      <c r="N427" s="27" t="str">
        <f t="shared" si="47"/>
        <v>OK</v>
      </c>
    </row>
    <row r="428" spans="1:14" x14ac:dyDescent="0.2">
      <c r="A428" s="3">
        <f t="shared" si="50"/>
        <v>6</v>
      </c>
      <c r="B428" s="3" t="s">
        <v>218</v>
      </c>
      <c r="C428" s="3" t="s">
        <v>219</v>
      </c>
      <c r="D428" s="16"/>
      <c r="E428" s="4"/>
      <c r="F428" s="9">
        <f>+'II-I TOTAL COMPANY'!H503</f>
        <v>0</v>
      </c>
      <c r="G428" s="66">
        <f>+Distribution!I503+Meter!I503+TDCustSvc!I503</f>
        <v>0</v>
      </c>
      <c r="H428" s="66">
        <f>+Distribution!J503+Meter!J503+TDCustSvc!J503</f>
        <v>0</v>
      </c>
      <c r="I428" s="79"/>
      <c r="J428" s="66">
        <f>+Distribution!H503+Meter!H503+TDCustSvc!H503</f>
        <v>0</v>
      </c>
      <c r="K428" s="66">
        <f>+Distribution!I503+Meter!I503+TDCustSvc!I503</f>
        <v>0</v>
      </c>
      <c r="L428" s="66">
        <f>+Distribution!J503+Meter!J503+TDCustSvc!J503</f>
        <v>0</v>
      </c>
      <c r="M428" s="79"/>
      <c r="N428" s="27" t="str">
        <f t="shared" si="47"/>
        <v>OK</v>
      </c>
    </row>
    <row r="429" spans="1:14" x14ac:dyDescent="0.2">
      <c r="A429" s="3">
        <f t="shared" si="50"/>
        <v>7</v>
      </c>
      <c r="B429" s="3" t="s">
        <v>220</v>
      </c>
      <c r="C429" s="3" t="s">
        <v>221</v>
      </c>
      <c r="D429" s="16"/>
      <c r="E429" s="4"/>
      <c r="F429" s="9">
        <f>+'II-I TOTAL COMPANY'!H504</f>
        <v>14317.16</v>
      </c>
      <c r="G429" s="66">
        <f>+Distribution!I504+Meter!I504+TDCustSvc!I504</f>
        <v>0</v>
      </c>
      <c r="H429" s="66">
        <f>+Distribution!J504+Meter!J504+TDCustSvc!J504</f>
        <v>14317.159999999998</v>
      </c>
      <c r="I429" s="79"/>
      <c r="J429" s="66">
        <f>+Distribution!H504+Meter!H504+TDCustSvc!H504</f>
        <v>14317.16</v>
      </c>
      <c r="K429" s="66">
        <f>+Distribution!I504+Meter!I504+TDCustSvc!I504</f>
        <v>0</v>
      </c>
      <c r="L429" s="66">
        <f>+Distribution!J504+Meter!J504+TDCustSvc!J504</f>
        <v>14317.159999999998</v>
      </c>
      <c r="M429" s="79"/>
      <c r="N429" s="27" t="str">
        <f t="shared" si="47"/>
        <v>OK</v>
      </c>
    </row>
    <row r="430" spans="1:14" x14ac:dyDescent="0.2">
      <c r="A430" s="3">
        <f t="shared" si="50"/>
        <v>8</v>
      </c>
      <c r="B430" s="3" t="s">
        <v>222</v>
      </c>
      <c r="C430" s="3" t="s">
        <v>223</v>
      </c>
      <c r="D430" s="16"/>
      <c r="E430" s="4"/>
      <c r="F430" s="9">
        <f>+'II-I TOTAL COMPANY'!H505</f>
        <v>59278.868977762206</v>
      </c>
      <c r="G430" s="66">
        <f>+Distribution!I505+Meter!I505+TDCustSvc!I505</f>
        <v>0</v>
      </c>
      <c r="H430" s="66">
        <f>+Distribution!J505+Meter!J505+TDCustSvc!J505</f>
        <v>59225.037460638778</v>
      </c>
      <c r="I430" s="79"/>
      <c r="J430" s="66">
        <f>+Distribution!H505+Meter!H505+TDCustSvc!H505</f>
        <v>59278.868977762206</v>
      </c>
      <c r="K430" s="66">
        <f>+Distribution!I505+Meter!I505+TDCustSvc!I505</f>
        <v>0</v>
      </c>
      <c r="L430" s="66">
        <f>+Distribution!J505+Meter!J505+TDCustSvc!J505</f>
        <v>59225.037460638778</v>
      </c>
      <c r="M430" s="79"/>
      <c r="N430" s="27">
        <f t="shared" si="47"/>
        <v>0</v>
      </c>
    </row>
    <row r="431" spans="1:14" x14ac:dyDescent="0.2">
      <c r="A431" s="3">
        <f t="shared" si="50"/>
        <v>9</v>
      </c>
      <c r="B431" s="3"/>
      <c r="C431" s="3" t="s">
        <v>135</v>
      </c>
      <c r="D431" s="3"/>
      <c r="E431" s="4"/>
      <c r="F431" s="9">
        <f>+'II-I TOTAL COMPANY'!H506</f>
        <v>8815304.6674811933</v>
      </c>
      <c r="G431" s="66">
        <f>+Distribution!I506+Meter!I506+TDCustSvc!I506</f>
        <v>0</v>
      </c>
      <c r="H431" s="66">
        <f>+Distribution!J506+Meter!J506+TDCustSvc!J506</f>
        <v>8815250.8359640669</v>
      </c>
      <c r="I431" s="79">
        <f>+H431/F431</f>
        <v>0.99999389340253608</v>
      </c>
      <c r="J431" s="66">
        <f>+Distribution!H506+Meter!H506+TDCustSvc!H506</f>
        <v>8815304.6674811933</v>
      </c>
      <c r="K431" s="66">
        <f>+Distribution!I506+Meter!I506+TDCustSvc!I506</f>
        <v>0</v>
      </c>
      <c r="L431" s="66">
        <f>+Distribution!J506+Meter!J506+TDCustSvc!J506</f>
        <v>8815250.8359640669</v>
      </c>
      <c r="M431" s="79">
        <f>+L431/J431</f>
        <v>0.99999389340253608</v>
      </c>
      <c r="N431" s="27">
        <f t="shared" si="47"/>
        <v>0</v>
      </c>
    </row>
    <row r="432" spans="1:14" x14ac:dyDescent="0.2">
      <c r="A432" s="3">
        <f t="shared" si="50"/>
        <v>10</v>
      </c>
      <c r="B432" s="3"/>
      <c r="C432" s="3"/>
      <c r="D432" s="3"/>
      <c r="E432" s="4"/>
      <c r="F432" s="9"/>
      <c r="G432" s="66"/>
      <c r="H432" s="66"/>
      <c r="I432" s="79"/>
      <c r="J432" s="79"/>
      <c r="K432" s="79"/>
      <c r="L432" s="79"/>
      <c r="M432" s="79"/>
      <c r="N432" s="27" t="str">
        <f t="shared" si="47"/>
        <v>OK</v>
      </c>
    </row>
    <row r="433" spans="1:14" x14ac:dyDescent="0.2">
      <c r="A433" s="3">
        <f t="shared" si="50"/>
        <v>11</v>
      </c>
      <c r="B433" s="3"/>
      <c r="C433" s="3" t="s">
        <v>224</v>
      </c>
      <c r="D433" s="3"/>
      <c r="E433" s="4"/>
      <c r="F433" s="9"/>
      <c r="G433" s="66"/>
      <c r="H433" s="66"/>
      <c r="I433" s="79"/>
      <c r="J433" s="66">
        <f>+Distribution!H508+Meter!H508+TDCustSvc!H508</f>
        <v>0</v>
      </c>
      <c r="K433" s="66">
        <f>+Distribution!I508+Meter!I508+TDCustSvc!I508</f>
        <v>0</v>
      </c>
      <c r="L433" s="66">
        <f>+Distribution!J508+Meter!J508+TDCustSvc!J508</f>
        <v>0</v>
      </c>
      <c r="M433" s="79"/>
      <c r="N433" s="27" t="str">
        <f t="shared" si="47"/>
        <v>OK</v>
      </c>
    </row>
    <row r="434" spans="1:14" x14ac:dyDescent="0.2">
      <c r="A434" s="3">
        <f t="shared" si="50"/>
        <v>12</v>
      </c>
      <c r="B434" s="3" t="s">
        <v>225</v>
      </c>
      <c r="C434" s="3" t="s">
        <v>226</v>
      </c>
      <c r="D434" s="16"/>
      <c r="E434" s="4"/>
      <c r="F434" s="9">
        <f>+'II-I TOTAL COMPANY'!H509</f>
        <v>0</v>
      </c>
      <c r="G434" s="66">
        <f>+Distribution!I509+Meter!I509+TDCustSvc!I509</f>
        <v>0</v>
      </c>
      <c r="H434" s="66">
        <f>+Distribution!J509+Meter!J509+TDCustSvc!J509</f>
        <v>0</v>
      </c>
      <c r="I434" s="79"/>
      <c r="J434" s="66">
        <f>+Distribution!H509+Meter!H509+TDCustSvc!H509</f>
        <v>0</v>
      </c>
      <c r="K434" s="66">
        <f>+Distribution!I509+Meter!I509+TDCustSvc!I509</f>
        <v>0</v>
      </c>
      <c r="L434" s="66">
        <f>+Distribution!J509+Meter!J509+TDCustSvc!J509</f>
        <v>0</v>
      </c>
      <c r="M434" s="79"/>
      <c r="N434" s="27" t="str">
        <f t="shared" si="47"/>
        <v>OK</v>
      </c>
    </row>
    <row r="435" spans="1:14" x14ac:dyDescent="0.2">
      <c r="A435" s="3">
        <f t="shared" si="50"/>
        <v>13</v>
      </c>
      <c r="B435" s="3" t="s">
        <v>227</v>
      </c>
      <c r="C435" s="3" t="s">
        <v>228</v>
      </c>
      <c r="D435" s="16"/>
      <c r="E435" s="4"/>
      <c r="F435" s="9">
        <f>+'II-I TOTAL COMPANY'!H510</f>
        <v>942803.65724735917</v>
      </c>
      <c r="G435" s="66">
        <f>+Distribution!I510+Meter!I510+TDCustSvc!I510</f>
        <v>0</v>
      </c>
      <c r="H435" s="66">
        <f>+Distribution!J510+Meter!J510+TDCustSvc!J510</f>
        <v>942803.65724735928</v>
      </c>
      <c r="I435" s="79">
        <f>+H435/F435</f>
        <v>1.0000000000000002</v>
      </c>
      <c r="J435" s="66">
        <f>+Distribution!H510+Meter!H510+TDCustSvc!H510</f>
        <v>942803.65724735917</v>
      </c>
      <c r="K435" s="66">
        <f>+Distribution!I510+Meter!I510+TDCustSvc!I510</f>
        <v>0</v>
      </c>
      <c r="L435" s="66">
        <f>+Distribution!J510+Meter!J510+TDCustSvc!J510</f>
        <v>942803.65724735928</v>
      </c>
      <c r="M435" s="79">
        <f>+L435/J435</f>
        <v>1.0000000000000002</v>
      </c>
      <c r="N435" s="27" t="str">
        <f t="shared" si="47"/>
        <v>OK</v>
      </c>
    </row>
    <row r="436" spans="1:14" x14ac:dyDescent="0.2">
      <c r="A436" s="3">
        <f t="shared" si="50"/>
        <v>14</v>
      </c>
      <c r="B436" s="3" t="s">
        <v>229</v>
      </c>
      <c r="C436" s="3" t="s">
        <v>230</v>
      </c>
      <c r="D436" s="16"/>
      <c r="E436" s="4"/>
      <c r="F436" s="9">
        <f>+'II-I TOTAL COMPANY'!H511</f>
        <v>1096186.6875632836</v>
      </c>
      <c r="G436" s="66">
        <f>+Distribution!I511+Meter!I511+TDCustSvc!I511</f>
        <v>0</v>
      </c>
      <c r="H436" s="66">
        <f>+Distribution!J511+Meter!J511+TDCustSvc!J511</f>
        <v>1096186.6875632836</v>
      </c>
      <c r="I436" s="79">
        <f>+H436/F436</f>
        <v>1</v>
      </c>
      <c r="J436" s="66">
        <f>+Distribution!H511+Meter!H511+TDCustSvc!H511</f>
        <v>1096186.6875632836</v>
      </c>
      <c r="K436" s="66">
        <f>+Distribution!I511+Meter!I511+TDCustSvc!I511</f>
        <v>0</v>
      </c>
      <c r="L436" s="66">
        <f>+Distribution!J511+Meter!J511+TDCustSvc!J511</f>
        <v>1096186.6875632836</v>
      </c>
      <c r="M436" s="79">
        <f>+L436/J436</f>
        <v>1</v>
      </c>
      <c r="N436" s="27" t="str">
        <f t="shared" si="47"/>
        <v>OK</v>
      </c>
    </row>
    <row r="437" spans="1:14" x14ac:dyDescent="0.2">
      <c r="A437" s="3">
        <f t="shared" si="50"/>
        <v>15</v>
      </c>
      <c r="B437" s="3" t="s">
        <v>231</v>
      </c>
      <c r="C437" s="3" t="s">
        <v>232</v>
      </c>
      <c r="D437" s="16"/>
      <c r="E437" s="4"/>
      <c r="F437" s="9">
        <f>+'II-I TOTAL COMPANY'!H512</f>
        <v>0</v>
      </c>
      <c r="G437" s="66">
        <f>+Distribution!I512+Meter!I512+TDCustSvc!I512</f>
        <v>0</v>
      </c>
      <c r="H437" s="66">
        <f>+Distribution!J512+Meter!J512+TDCustSvc!J512</f>
        <v>0</v>
      </c>
      <c r="I437" s="79"/>
      <c r="J437" s="66">
        <f>+Distribution!H512+Meter!H512+TDCustSvc!H512</f>
        <v>0</v>
      </c>
      <c r="K437" s="66">
        <f>+Distribution!I512+Meter!I512+TDCustSvc!I512</f>
        <v>0</v>
      </c>
      <c r="L437" s="66">
        <f>+Distribution!J512+Meter!J512+TDCustSvc!J512</f>
        <v>0</v>
      </c>
      <c r="M437" s="79"/>
      <c r="N437" s="27" t="str">
        <f t="shared" si="47"/>
        <v>OK</v>
      </c>
    </row>
    <row r="438" spans="1:14" x14ac:dyDescent="0.2">
      <c r="A438" s="3">
        <f t="shared" si="50"/>
        <v>16</v>
      </c>
      <c r="B438" s="3" t="s">
        <v>233</v>
      </c>
      <c r="C438" s="3" t="s">
        <v>234</v>
      </c>
      <c r="D438" s="16"/>
      <c r="E438" s="4"/>
      <c r="F438" s="9">
        <f>+'II-I TOTAL COMPANY'!H513</f>
        <v>16289.23</v>
      </c>
      <c r="G438" s="66">
        <f>+Distribution!I513+Meter!I513+TDCustSvc!I513</f>
        <v>0</v>
      </c>
      <c r="H438" s="66">
        <f>+Distribution!J513+Meter!J513+TDCustSvc!J513</f>
        <v>16289.229999999996</v>
      </c>
      <c r="I438" s="79"/>
      <c r="J438" s="66">
        <f>+Distribution!H513+Meter!H513+TDCustSvc!H513</f>
        <v>16289.23</v>
      </c>
      <c r="K438" s="66">
        <f>+Distribution!I513+Meter!I513+TDCustSvc!I513</f>
        <v>0</v>
      </c>
      <c r="L438" s="66">
        <f>+Distribution!J513+Meter!J513+TDCustSvc!J513</f>
        <v>16289.229999999996</v>
      </c>
      <c r="M438" s="79"/>
      <c r="N438" s="27" t="str">
        <f t="shared" si="47"/>
        <v>OK</v>
      </c>
    </row>
    <row r="439" spans="1:14" x14ac:dyDescent="0.2">
      <c r="A439" s="3">
        <f t="shared" si="50"/>
        <v>17</v>
      </c>
      <c r="B439" s="3"/>
      <c r="C439" s="3" t="s">
        <v>135</v>
      </c>
      <c r="D439" s="3"/>
      <c r="E439" s="4"/>
      <c r="F439" s="9">
        <f>+'II-I TOTAL COMPANY'!H514</f>
        <v>2055279.5748106427</v>
      </c>
      <c r="G439" s="66">
        <f>+Distribution!I514+Meter!I514+TDCustSvc!I514</f>
        <v>0</v>
      </c>
      <c r="H439" s="66">
        <f>+Distribution!J514+Meter!J514+TDCustSvc!J514</f>
        <v>2055279.5748106427</v>
      </c>
      <c r="I439" s="79">
        <f>+H439/F439</f>
        <v>1</v>
      </c>
      <c r="J439" s="66">
        <f>+Distribution!H514+Meter!H514+TDCustSvc!H514</f>
        <v>2055279.5748106427</v>
      </c>
      <c r="K439" s="66">
        <f>+Distribution!I514+Meter!I514+TDCustSvc!I514</f>
        <v>0</v>
      </c>
      <c r="L439" s="66">
        <f>+Distribution!J514+Meter!J514+TDCustSvc!J514</f>
        <v>2055279.5748106427</v>
      </c>
      <c r="M439" s="79">
        <f>+L439/J439</f>
        <v>1</v>
      </c>
      <c r="N439" s="27" t="str">
        <f t="shared" si="47"/>
        <v>OK</v>
      </c>
    </row>
    <row r="440" spans="1:14" x14ac:dyDescent="0.2">
      <c r="A440" s="3">
        <f t="shared" si="50"/>
        <v>18</v>
      </c>
      <c r="B440" s="3"/>
      <c r="C440" s="3"/>
      <c r="D440" s="3"/>
      <c r="E440" s="4"/>
      <c r="F440" s="9"/>
      <c r="G440" s="66"/>
      <c r="H440" s="66"/>
      <c r="I440" s="79"/>
      <c r="J440" s="79"/>
      <c r="K440" s="79"/>
      <c r="L440" s="79"/>
      <c r="M440" s="79"/>
      <c r="N440" s="27" t="str">
        <f t="shared" si="47"/>
        <v>OK</v>
      </c>
    </row>
    <row r="441" spans="1:14" x14ac:dyDescent="0.2">
      <c r="A441" s="3">
        <f t="shared" si="50"/>
        <v>19</v>
      </c>
      <c r="B441" s="3"/>
      <c r="C441" s="3" t="s">
        <v>235</v>
      </c>
      <c r="D441" s="3"/>
      <c r="E441" s="4"/>
      <c r="F441" s="9"/>
      <c r="G441" s="66"/>
      <c r="H441" s="66"/>
      <c r="I441" s="79"/>
      <c r="J441" s="79"/>
      <c r="K441" s="79"/>
      <c r="L441" s="79"/>
      <c r="M441" s="79"/>
      <c r="N441" s="27" t="str">
        <f t="shared" si="47"/>
        <v>OK</v>
      </c>
    </row>
    <row r="442" spans="1:14" x14ac:dyDescent="0.2">
      <c r="A442" s="3">
        <f t="shared" si="50"/>
        <v>20</v>
      </c>
      <c r="B442" s="3" t="s">
        <v>236</v>
      </c>
      <c r="C442" s="3" t="s">
        <v>228</v>
      </c>
      <c r="D442" s="16"/>
      <c r="E442" s="4"/>
      <c r="F442" s="9">
        <f>+'II-I TOTAL COMPANY'!H517</f>
        <v>0</v>
      </c>
      <c r="G442" s="66">
        <f>+Distribution!I517+Meter!I517+TDCustSvc!I517</f>
        <v>0</v>
      </c>
      <c r="H442" s="66">
        <f>+Distribution!J517+Meter!J517+TDCustSvc!J517</f>
        <v>0</v>
      </c>
      <c r="I442" s="79"/>
      <c r="J442" s="66">
        <f>+Distribution!H517+Meter!H517+TDCustSvc!H517</f>
        <v>0</v>
      </c>
      <c r="K442" s="66">
        <f>+Distribution!I517+Meter!I517+TDCustSvc!I517</f>
        <v>0</v>
      </c>
      <c r="L442" s="66">
        <f>+Distribution!J517+Meter!J517+TDCustSvc!J517</f>
        <v>0</v>
      </c>
      <c r="M442" s="79"/>
      <c r="N442" s="27" t="str">
        <f t="shared" si="47"/>
        <v>OK</v>
      </c>
    </row>
    <row r="443" spans="1:14" x14ac:dyDescent="0.2">
      <c r="A443" s="3">
        <f t="shared" si="50"/>
        <v>21</v>
      </c>
      <c r="B443" s="3" t="s">
        <v>237</v>
      </c>
      <c r="C443" s="3" t="s">
        <v>238</v>
      </c>
      <c r="D443" s="16"/>
      <c r="E443" s="4"/>
      <c r="F443" s="9">
        <f>+'II-I TOTAL COMPANY'!H518</f>
        <v>0</v>
      </c>
      <c r="G443" s="66">
        <f>+Distribution!I518+Meter!I518+TDCustSvc!I518</f>
        <v>0</v>
      </c>
      <c r="H443" s="66">
        <f>+Distribution!J518+Meter!J518+TDCustSvc!J518</f>
        <v>0</v>
      </c>
      <c r="I443" s="79"/>
      <c r="J443" s="66">
        <f>+Distribution!H518+Meter!H518+TDCustSvc!H518</f>
        <v>876.21</v>
      </c>
      <c r="K443" s="66">
        <f>+Distribution!I518+Meter!I518+TDCustSvc!I518</f>
        <v>0</v>
      </c>
      <c r="L443" s="66">
        <f>+Distribution!J518+Meter!J518+TDCustSvc!J518</f>
        <v>0</v>
      </c>
      <c r="M443" s="79"/>
      <c r="N443" s="27" t="str">
        <f t="shared" si="47"/>
        <v>OK</v>
      </c>
    </row>
    <row r="444" spans="1:14" x14ac:dyDescent="0.2">
      <c r="A444" s="3">
        <f t="shared" si="50"/>
        <v>22</v>
      </c>
      <c r="B444" s="3" t="s">
        <v>239</v>
      </c>
      <c r="C444" s="3" t="s">
        <v>240</v>
      </c>
      <c r="D444" s="16"/>
      <c r="E444" s="4"/>
      <c r="F444" s="9">
        <f>+'II-I TOTAL COMPANY'!H519</f>
        <v>0</v>
      </c>
      <c r="G444" s="66">
        <f>+Distribution!I519+Meter!I519+TDCustSvc!I519</f>
        <v>0</v>
      </c>
      <c r="H444" s="66">
        <f>+Distribution!J519+Meter!J519+TDCustSvc!J519</f>
        <v>0</v>
      </c>
      <c r="I444" s="79"/>
      <c r="J444" s="66">
        <f>+Distribution!H519+Meter!H519+TDCustSvc!H519</f>
        <v>0</v>
      </c>
      <c r="K444" s="66">
        <f>+Distribution!I519+Meter!I519+TDCustSvc!I519</f>
        <v>0</v>
      </c>
      <c r="L444" s="66">
        <f>+Distribution!J519+Meter!J519+TDCustSvc!J519</f>
        <v>0</v>
      </c>
      <c r="M444" s="79"/>
      <c r="N444" s="27" t="str">
        <f t="shared" si="47"/>
        <v>OK</v>
      </c>
    </row>
    <row r="445" spans="1:14" x14ac:dyDescent="0.2">
      <c r="A445" s="3">
        <f t="shared" si="50"/>
        <v>23</v>
      </c>
      <c r="B445" s="3" t="s">
        <v>241</v>
      </c>
      <c r="C445" s="3" t="s">
        <v>242</v>
      </c>
      <c r="D445" s="16"/>
      <c r="E445" s="4"/>
      <c r="F445" s="9">
        <f>+'II-I TOTAL COMPANY'!H520</f>
        <v>0</v>
      </c>
      <c r="G445" s="66">
        <f>+Distribution!I520+Meter!I520+TDCustSvc!I520</f>
        <v>0</v>
      </c>
      <c r="H445" s="66">
        <f>+Distribution!J520+Meter!J520+TDCustSvc!J520</f>
        <v>0</v>
      </c>
      <c r="I445" s="79"/>
      <c r="J445" s="66">
        <f>+Distribution!H520+Meter!H520+TDCustSvc!H520</f>
        <v>0</v>
      </c>
      <c r="K445" s="66">
        <f>+Distribution!I520+Meter!I520+TDCustSvc!I520</f>
        <v>0</v>
      </c>
      <c r="L445" s="66">
        <f>+Distribution!J520+Meter!J520+TDCustSvc!J520</f>
        <v>0</v>
      </c>
      <c r="M445" s="79"/>
      <c r="N445" s="27" t="str">
        <f t="shared" si="47"/>
        <v>OK</v>
      </c>
    </row>
    <row r="446" spans="1:14" x14ac:dyDescent="0.2">
      <c r="A446" s="3">
        <f t="shared" si="50"/>
        <v>24</v>
      </c>
      <c r="B446" s="3" t="s">
        <v>243</v>
      </c>
      <c r="C446" s="3" t="s">
        <v>244</v>
      </c>
      <c r="D446" s="16"/>
      <c r="E446" s="4"/>
      <c r="F446" s="9">
        <f>+'II-I TOTAL COMPANY'!H521</f>
        <v>0</v>
      </c>
      <c r="G446" s="66">
        <f>+Distribution!I521+Meter!I521+TDCustSvc!I521</f>
        <v>0</v>
      </c>
      <c r="H446" s="66">
        <f>+Distribution!J521+Meter!J521+TDCustSvc!J521</f>
        <v>0</v>
      </c>
      <c r="I446" s="79"/>
      <c r="J446" s="66">
        <f>+Distribution!H521+Meter!H521+TDCustSvc!H521</f>
        <v>0</v>
      </c>
      <c r="K446" s="66">
        <f>+Distribution!I521+Meter!I521+TDCustSvc!I521</f>
        <v>0</v>
      </c>
      <c r="L446" s="66">
        <f>+Distribution!J521+Meter!J521+TDCustSvc!J521</f>
        <v>0</v>
      </c>
      <c r="M446" s="79"/>
      <c r="N446" s="27" t="str">
        <f t="shared" si="47"/>
        <v>OK</v>
      </c>
    </row>
    <row r="447" spans="1:14" x14ac:dyDescent="0.2">
      <c r="A447" s="3">
        <f t="shared" si="50"/>
        <v>25</v>
      </c>
      <c r="B447" s="3"/>
      <c r="C447" s="3" t="s">
        <v>135</v>
      </c>
      <c r="D447" s="3"/>
      <c r="E447" s="4"/>
      <c r="F447" s="9">
        <f>+'II-I TOTAL COMPANY'!H522</f>
        <v>876.21</v>
      </c>
      <c r="G447" s="66">
        <f>+Distribution!I522+Meter!I522+TDCustSvc!I522</f>
        <v>0</v>
      </c>
      <c r="H447" s="66">
        <f>+Distribution!J522+Meter!J522+TDCustSvc!J522</f>
        <v>0</v>
      </c>
      <c r="I447" s="79"/>
      <c r="J447" s="66">
        <f>+Distribution!H522+Meter!H522+TDCustSvc!H522</f>
        <v>876.21</v>
      </c>
      <c r="K447" s="66">
        <f>+Distribution!I522+Meter!I522+TDCustSvc!I522</f>
        <v>0</v>
      </c>
      <c r="L447" s="66">
        <f>+Distribution!J522+Meter!J522+TDCustSvc!J522</f>
        <v>0</v>
      </c>
      <c r="M447" s="79"/>
      <c r="N447" s="27">
        <f t="shared" si="47"/>
        <v>0</v>
      </c>
    </row>
    <row r="448" spans="1:14" x14ac:dyDescent="0.2">
      <c r="A448" s="3">
        <f t="shared" si="50"/>
        <v>26</v>
      </c>
      <c r="B448" s="3"/>
      <c r="C448" s="3" t="s">
        <v>245</v>
      </c>
      <c r="D448" s="3"/>
      <c r="E448" s="4"/>
      <c r="F448" s="9">
        <f>+'II-I TOTAL COMPANY'!H523</f>
        <v>10871460.452291837</v>
      </c>
      <c r="G448" s="66">
        <f>+Distribution!I523+Meter!I523+TDCustSvc!I523</f>
        <v>0</v>
      </c>
      <c r="H448" s="66">
        <f>+Distribution!J523+Meter!J523+TDCustSvc!J523</f>
        <v>10870530.410774712</v>
      </c>
      <c r="I448" s="79">
        <f>+H448/F448</f>
        <v>0.99991445109686905</v>
      </c>
      <c r="J448" s="66">
        <f>+Distribution!H523+Meter!H523+TDCustSvc!H523</f>
        <v>10871460.452291837</v>
      </c>
      <c r="K448" s="66">
        <f>+Distribution!I523+Meter!I523+TDCustSvc!I523</f>
        <v>0</v>
      </c>
      <c r="L448" s="66">
        <f>+Distribution!J523+Meter!J523+TDCustSvc!J523</f>
        <v>10870530.410774712</v>
      </c>
      <c r="M448" s="79">
        <f>+L448/J448</f>
        <v>0.99991445109686905</v>
      </c>
      <c r="N448" s="27">
        <f t="shared" si="47"/>
        <v>0</v>
      </c>
    </row>
    <row r="449" spans="1:14" x14ac:dyDescent="0.2">
      <c r="A449" s="3">
        <f t="shared" si="50"/>
        <v>27</v>
      </c>
      <c r="B449" s="3"/>
      <c r="C449" s="3"/>
      <c r="D449" s="3"/>
      <c r="E449" s="4"/>
      <c r="F449" s="9"/>
      <c r="G449" s="66"/>
      <c r="H449" s="66"/>
      <c r="I449" s="79"/>
      <c r="J449" s="79"/>
      <c r="K449" s="79"/>
      <c r="L449" s="79"/>
      <c r="M449" s="79"/>
      <c r="N449" s="27" t="str">
        <f t="shared" si="47"/>
        <v>OK</v>
      </c>
    </row>
    <row r="450" spans="1:14" x14ac:dyDescent="0.2">
      <c r="A450" s="3">
        <f t="shared" si="50"/>
        <v>28</v>
      </c>
      <c r="B450" s="3"/>
      <c r="C450" s="3" t="s">
        <v>283</v>
      </c>
      <c r="D450" s="3"/>
      <c r="E450" s="4"/>
      <c r="F450" s="9">
        <f>+'II-I TOTAL COMPANY'!H525</f>
        <v>64860453.146142557</v>
      </c>
      <c r="G450" s="66">
        <f>+Distribution!I525+Meter!I525+TDCustSvc!I525</f>
        <v>0</v>
      </c>
      <c r="H450" s="66">
        <f ca="1">+Distribution!J525+Meter!J525+TDCustSvc!J525</f>
        <v>64859523.104625419</v>
      </c>
      <c r="I450" s="79">
        <f ca="1">+H450/F450</f>
        <v>0.99998566088468355</v>
      </c>
      <c r="J450" s="66">
        <f>+Distribution!H525+Meter!H525+TDCustSvc!H525</f>
        <v>64860453.14614255</v>
      </c>
      <c r="K450" s="66">
        <f>+Distribution!I525+Meter!I525+TDCustSvc!I525</f>
        <v>0</v>
      </c>
      <c r="L450" s="66">
        <f ca="1">+Distribution!J525+Meter!J525+TDCustSvc!J525</f>
        <v>64859523.104625419</v>
      </c>
      <c r="M450" s="79">
        <f ca="1">+L450/J450</f>
        <v>0.99998566088468366</v>
      </c>
      <c r="N450" s="27">
        <f t="shared" ca="1" si="47"/>
        <v>0</v>
      </c>
    </row>
    <row r="451" spans="1:14" x14ac:dyDescent="0.2">
      <c r="A451" s="3"/>
      <c r="B451" s="3"/>
      <c r="C451" s="3"/>
      <c r="D451" s="3"/>
      <c r="E451" s="4"/>
      <c r="F451" s="9"/>
      <c r="G451" s="66"/>
      <c r="H451" s="66"/>
      <c r="I451" s="79"/>
      <c r="J451" s="79"/>
      <c r="K451" s="79"/>
      <c r="L451" s="79"/>
      <c r="M451" s="79"/>
      <c r="N451" s="27" t="str">
        <f t="shared" si="47"/>
        <v>OK</v>
      </c>
    </row>
    <row r="452" spans="1:14" x14ac:dyDescent="0.2">
      <c r="A452" s="3"/>
      <c r="B452" s="3"/>
      <c r="C452" s="3"/>
      <c r="D452" s="3"/>
      <c r="E452" s="4"/>
      <c r="F452" s="9"/>
      <c r="G452" s="66"/>
      <c r="H452" s="66"/>
      <c r="I452" s="79"/>
      <c r="J452" s="79"/>
      <c r="K452" s="79"/>
      <c r="L452" s="79"/>
      <c r="M452" s="79"/>
      <c r="N452" s="27" t="str">
        <f t="shared" si="47"/>
        <v>OK</v>
      </c>
    </row>
    <row r="453" spans="1:14" x14ac:dyDescent="0.2">
      <c r="A453" s="3"/>
      <c r="B453" s="7" t="s">
        <v>284</v>
      </c>
      <c r="C453" s="3"/>
      <c r="D453" s="3"/>
      <c r="E453" s="4"/>
      <c r="F453" s="9"/>
      <c r="G453" s="66"/>
      <c r="H453" s="66"/>
      <c r="I453" s="79"/>
      <c r="J453" s="79"/>
      <c r="K453" s="79"/>
      <c r="L453" s="79"/>
      <c r="M453" s="79"/>
      <c r="N453" s="27" t="str">
        <f t="shared" si="47"/>
        <v>OK</v>
      </c>
    </row>
    <row r="454" spans="1:14" x14ac:dyDescent="0.2">
      <c r="A454" s="3"/>
      <c r="B454" s="3"/>
      <c r="C454" s="3"/>
      <c r="D454" s="3"/>
      <c r="E454" s="4"/>
      <c r="F454" s="9"/>
      <c r="G454" s="66"/>
      <c r="H454" s="66"/>
      <c r="I454" s="79"/>
      <c r="J454" s="79"/>
      <c r="K454" s="79"/>
      <c r="L454" s="79"/>
      <c r="M454" s="79"/>
      <c r="N454" s="27" t="str">
        <f t="shared" si="47"/>
        <v>OK</v>
      </c>
    </row>
    <row r="455" spans="1:14" x14ac:dyDescent="0.2">
      <c r="A455" s="3">
        <v>1</v>
      </c>
      <c r="B455" s="3" t="s">
        <v>285</v>
      </c>
      <c r="C455" s="3"/>
      <c r="D455" s="3"/>
      <c r="E455" s="4"/>
      <c r="F455" s="9"/>
      <c r="G455" s="66"/>
      <c r="H455" s="66"/>
      <c r="I455" s="79"/>
      <c r="J455" s="79"/>
      <c r="K455" s="79"/>
      <c r="L455" s="79"/>
      <c r="M455" s="79"/>
      <c r="N455" s="27" t="str">
        <f t="shared" si="47"/>
        <v>OK</v>
      </c>
    </row>
    <row r="456" spans="1:14" x14ac:dyDescent="0.2">
      <c r="A456" s="3">
        <f t="shared" ref="A456:A462" si="51">+A455+1</f>
        <v>2</v>
      </c>
      <c r="B456" s="3"/>
      <c r="C456" s="3"/>
      <c r="D456" s="3"/>
      <c r="E456" s="4"/>
      <c r="F456" s="9"/>
      <c r="G456" s="66"/>
      <c r="H456" s="66"/>
      <c r="I456" s="79"/>
      <c r="J456" s="79"/>
      <c r="K456" s="79"/>
      <c r="L456" s="79"/>
      <c r="M456" s="79"/>
      <c r="N456" s="27" t="str">
        <f t="shared" si="47"/>
        <v>OK</v>
      </c>
    </row>
    <row r="457" spans="1:14" x14ac:dyDescent="0.2">
      <c r="A457" s="3">
        <f t="shared" si="51"/>
        <v>3</v>
      </c>
      <c r="B457" s="3" t="s">
        <v>23</v>
      </c>
      <c r="C457" s="3"/>
      <c r="D457" s="3"/>
      <c r="E457" s="4"/>
      <c r="F457" s="9"/>
      <c r="G457" s="66"/>
      <c r="H457" s="66"/>
      <c r="I457" s="79"/>
      <c r="J457" s="66">
        <f>+Distribution!H532+Meter!H532+TDCustSvc!H532</f>
        <v>0</v>
      </c>
      <c r="K457" s="66">
        <f>+Distribution!I532+Meter!I532+TDCustSvc!I532</f>
        <v>0</v>
      </c>
      <c r="L457" s="66">
        <f>+Distribution!J532+Meter!J532+TDCustSvc!J532</f>
        <v>0</v>
      </c>
      <c r="M457" s="79"/>
      <c r="N457" s="27" t="str">
        <f t="shared" si="47"/>
        <v>OK</v>
      </c>
    </row>
    <row r="458" spans="1:14" x14ac:dyDescent="0.2">
      <c r="A458" s="3">
        <f t="shared" si="51"/>
        <v>4</v>
      </c>
      <c r="B458" s="3" t="s">
        <v>24</v>
      </c>
      <c r="C458" s="3" t="s">
        <v>25</v>
      </c>
      <c r="D458" s="16"/>
      <c r="E458" s="4"/>
      <c r="F458" s="9">
        <f>+'II-I TOTAL COMPANY'!H533</f>
        <v>0</v>
      </c>
      <c r="G458" s="66">
        <f>+Distribution!I533+Meter!I533+TDCustSvc!I533</f>
        <v>0</v>
      </c>
      <c r="H458" s="66">
        <f ca="1">+Distribution!J533+Meter!J533+TDCustSvc!J533</f>
        <v>0</v>
      </c>
      <c r="I458" s="79"/>
      <c r="J458" s="66">
        <f>+Distribution!H533+Meter!H533+TDCustSvc!H533</f>
        <v>0</v>
      </c>
      <c r="K458" s="66">
        <f>+Distribution!I533+Meter!I533+TDCustSvc!I533</f>
        <v>0</v>
      </c>
      <c r="L458" s="66">
        <f ca="1">+Distribution!J533+Meter!J533+TDCustSvc!J533</f>
        <v>0</v>
      </c>
      <c r="M458" s="79"/>
      <c r="N458" s="27" t="str">
        <f t="shared" ca="1" si="47"/>
        <v>OK</v>
      </c>
    </row>
    <row r="459" spans="1:14" x14ac:dyDescent="0.2">
      <c r="A459" s="3">
        <f t="shared" si="51"/>
        <v>5</v>
      </c>
      <c r="B459" s="3" t="s">
        <v>26</v>
      </c>
      <c r="C459" s="3" t="s">
        <v>27</v>
      </c>
      <c r="D459" s="16"/>
      <c r="E459" s="4"/>
      <c r="F459" s="9">
        <f>+'II-I TOTAL COMPANY'!H534</f>
        <v>0</v>
      </c>
      <c r="G459" s="66">
        <f>+Distribution!I534+Meter!I534+TDCustSvc!I534</f>
        <v>0</v>
      </c>
      <c r="H459" s="66">
        <f>+Distribution!J534+Meter!J534+TDCustSvc!J534</f>
        <v>0</v>
      </c>
      <c r="I459" s="79"/>
      <c r="J459" s="66">
        <f>+Distribution!H534+Meter!H534+TDCustSvc!H534</f>
        <v>0</v>
      </c>
      <c r="K459" s="66">
        <f>+Distribution!I534+Meter!I534+TDCustSvc!I534</f>
        <v>0</v>
      </c>
      <c r="L459" s="66">
        <f>+Distribution!J534+Meter!J534+TDCustSvc!J534</f>
        <v>0</v>
      </c>
      <c r="M459" s="79"/>
      <c r="N459" s="27" t="str">
        <f t="shared" si="47"/>
        <v>OK</v>
      </c>
    </row>
    <row r="460" spans="1:14" x14ac:dyDescent="0.2">
      <c r="A460" s="3">
        <f t="shared" si="51"/>
        <v>6</v>
      </c>
      <c r="B460" s="3" t="s">
        <v>28</v>
      </c>
      <c r="C460" s="3" t="s">
        <v>29</v>
      </c>
      <c r="D460" s="16"/>
      <c r="E460" s="4"/>
      <c r="F460" s="9">
        <f>+'II-I TOTAL COMPANY'!H535</f>
        <v>28020402.840000004</v>
      </c>
      <c r="G460" s="66">
        <f>+Distribution!I535+Meter!I535+TDCustSvc!I535</f>
        <v>0</v>
      </c>
      <c r="H460" s="66">
        <f ca="1">+Distribution!J535+Meter!J535+TDCustSvc!J535</f>
        <v>28020402.84</v>
      </c>
      <c r="I460" s="79">
        <f ca="1">+H460/F460</f>
        <v>0.99999999999999989</v>
      </c>
      <c r="J460" s="66">
        <f>+Distribution!H535+Meter!H535+TDCustSvc!H535</f>
        <v>28020402.840000004</v>
      </c>
      <c r="K460" s="66">
        <f>+Distribution!I535+Meter!I535+TDCustSvc!I535</f>
        <v>0</v>
      </c>
      <c r="L460" s="66">
        <f ca="1">+Distribution!J535+Meter!J535+TDCustSvc!J535</f>
        <v>28020402.84</v>
      </c>
      <c r="M460" s="79">
        <f ca="1">+L460/J460</f>
        <v>0.99999999999999989</v>
      </c>
      <c r="N460" s="27" t="str">
        <f t="shared" ca="1" si="47"/>
        <v>OK</v>
      </c>
    </row>
    <row r="461" spans="1:14" x14ac:dyDescent="0.2">
      <c r="A461" s="3">
        <f t="shared" si="51"/>
        <v>7</v>
      </c>
      <c r="B461" s="3"/>
      <c r="C461" s="3" t="s">
        <v>30</v>
      </c>
      <c r="D461" s="3"/>
      <c r="E461" s="4"/>
      <c r="F461" s="9">
        <f>+'II-I TOTAL COMPANY'!H536</f>
        <v>28020402.840000004</v>
      </c>
      <c r="G461" s="66">
        <f>+Distribution!I536+Meter!I536+TDCustSvc!I536</f>
        <v>0</v>
      </c>
      <c r="H461" s="66">
        <f ca="1">+Distribution!J536+Meter!J536+TDCustSvc!J536</f>
        <v>28020402.84</v>
      </c>
      <c r="I461" s="79">
        <f ca="1">+H461/F461</f>
        <v>0.99999999999999989</v>
      </c>
      <c r="J461" s="66">
        <f>+Distribution!H536+Meter!H536+TDCustSvc!H536</f>
        <v>28020402.840000004</v>
      </c>
      <c r="K461" s="66">
        <f>+Distribution!I536+Meter!I536+TDCustSvc!I536</f>
        <v>0</v>
      </c>
      <c r="L461" s="66">
        <f ca="1">+Distribution!J536+Meter!J536+TDCustSvc!J536</f>
        <v>28020402.84</v>
      </c>
      <c r="M461" s="79">
        <f ca="1">+L461/J461</f>
        <v>0.99999999999999989</v>
      </c>
      <c r="N461" s="27" t="str">
        <f t="shared" ca="1" si="47"/>
        <v>OK</v>
      </c>
    </row>
    <row r="462" spans="1:14" x14ac:dyDescent="0.2">
      <c r="A462" s="3">
        <f t="shared" si="51"/>
        <v>8</v>
      </c>
      <c r="B462" s="3"/>
      <c r="C462" s="3"/>
      <c r="D462" s="3"/>
      <c r="E462" s="4"/>
      <c r="F462" s="9"/>
      <c r="G462" s="66"/>
      <c r="H462" s="66"/>
      <c r="I462" s="79"/>
      <c r="J462" s="79"/>
      <c r="K462" s="79"/>
      <c r="L462" s="79"/>
      <c r="M462" s="79"/>
      <c r="N462" s="27" t="str">
        <f t="shared" si="47"/>
        <v>OK</v>
      </c>
    </row>
    <row r="463" spans="1:14" x14ac:dyDescent="0.2">
      <c r="A463" s="3">
        <f t="shared" ref="A463:A507" si="52">1+A462</f>
        <v>9</v>
      </c>
      <c r="B463" s="3"/>
      <c r="C463" s="3"/>
      <c r="D463" s="3"/>
      <c r="E463" s="4"/>
      <c r="F463" s="9"/>
      <c r="G463" s="66"/>
      <c r="H463" s="66"/>
      <c r="I463" s="79"/>
      <c r="J463" s="79"/>
      <c r="K463" s="79"/>
      <c r="L463" s="79"/>
      <c r="M463" s="79"/>
      <c r="N463" s="27" t="str">
        <f t="shared" si="47"/>
        <v>OK</v>
      </c>
    </row>
    <row r="464" spans="1:14" x14ac:dyDescent="0.2">
      <c r="A464" s="3">
        <f t="shared" si="52"/>
        <v>10</v>
      </c>
      <c r="B464" s="3" t="s">
        <v>33</v>
      </c>
      <c r="C464" s="3"/>
      <c r="D464" s="3"/>
      <c r="E464" s="4"/>
      <c r="F464" s="9"/>
      <c r="G464" s="66"/>
      <c r="H464" s="66"/>
      <c r="I464" s="79"/>
      <c r="J464" s="79"/>
      <c r="K464" s="79"/>
      <c r="L464" s="79"/>
      <c r="M464" s="79"/>
      <c r="N464" s="27" t="str">
        <f t="shared" si="47"/>
        <v>OK</v>
      </c>
    </row>
    <row r="465" spans="1:14" x14ac:dyDescent="0.2">
      <c r="A465" s="3">
        <f t="shared" si="52"/>
        <v>11</v>
      </c>
      <c r="B465" s="3" t="s">
        <v>34</v>
      </c>
      <c r="C465" s="3" t="s">
        <v>35</v>
      </c>
      <c r="D465" s="16"/>
      <c r="E465" s="4"/>
      <c r="F465" s="9">
        <f>+'II-I TOTAL COMPANY'!H540</f>
        <v>0</v>
      </c>
      <c r="G465" s="66">
        <f>+Distribution!I540+Meter!I540+TDCustSvc!I540</f>
        <v>0</v>
      </c>
      <c r="H465" s="66">
        <f>+Distribution!J540+Meter!J540+TDCustSvc!J540</f>
        <v>0</v>
      </c>
      <c r="I465" s="79">
        <f>IFERROR(+H465/F465,0)</f>
        <v>0</v>
      </c>
      <c r="J465" s="66">
        <f>+Distribution!H540+Meter!H540+TDCustSvc!H540</f>
        <v>0</v>
      </c>
      <c r="K465" s="66">
        <f>+Distribution!I540+Meter!I540+TDCustSvc!I540</f>
        <v>0</v>
      </c>
      <c r="L465" s="66">
        <f>+Distribution!J540+Meter!J540+TDCustSvc!J540</f>
        <v>0</v>
      </c>
      <c r="M465" s="79">
        <f>IFERROR(+L465/J465,0)</f>
        <v>0</v>
      </c>
      <c r="N465" s="27" t="str">
        <f t="shared" si="47"/>
        <v>OK</v>
      </c>
    </row>
    <row r="466" spans="1:14" x14ac:dyDescent="0.2">
      <c r="A466" s="3">
        <f t="shared" si="52"/>
        <v>12</v>
      </c>
      <c r="B466" s="3" t="s">
        <v>36</v>
      </c>
      <c r="C466" s="3" t="s">
        <v>31</v>
      </c>
      <c r="D466" s="16"/>
      <c r="E466" s="4"/>
      <c r="F466" s="9">
        <f>+'II-I TOTAL COMPANY'!H541</f>
        <v>0</v>
      </c>
      <c r="G466" s="66">
        <f>+Distribution!I541+Meter!I541+TDCustSvc!I541</f>
        <v>0</v>
      </c>
      <c r="H466" s="66">
        <f>+Distribution!J541+Meter!J541+TDCustSvc!J541</f>
        <v>0</v>
      </c>
      <c r="I466" s="79">
        <f t="shared" ref="I466:I474" si="53">IFERROR(+H466/F466,0)</f>
        <v>0</v>
      </c>
      <c r="J466" s="66">
        <f>+Distribution!H541+Meter!H541+TDCustSvc!H541</f>
        <v>0</v>
      </c>
      <c r="K466" s="66">
        <f>+Distribution!I541+Meter!I541+TDCustSvc!I541</f>
        <v>0</v>
      </c>
      <c r="L466" s="66">
        <f>+Distribution!J541+Meter!J541+TDCustSvc!J541</f>
        <v>0</v>
      </c>
      <c r="M466" s="79">
        <f t="shared" ref="M466:M474" si="54">IFERROR(+L466/J466,0)</f>
        <v>0</v>
      </c>
      <c r="N466" s="27" t="str">
        <f t="shared" si="47"/>
        <v>OK</v>
      </c>
    </row>
    <row r="467" spans="1:14" x14ac:dyDescent="0.2">
      <c r="A467" s="3">
        <f t="shared" si="52"/>
        <v>13</v>
      </c>
      <c r="B467" s="3" t="s">
        <v>37</v>
      </c>
      <c r="C467" s="3" t="s">
        <v>38</v>
      </c>
      <c r="D467" s="16"/>
      <c r="E467" s="4"/>
      <c r="F467" s="9">
        <f>+'II-I TOTAL COMPANY'!H542</f>
        <v>0</v>
      </c>
      <c r="G467" s="66">
        <f>+Distribution!I542+Meter!I542+TDCustSvc!I542</f>
        <v>0</v>
      </c>
      <c r="H467" s="66">
        <f>+Distribution!J542+Meter!J542+TDCustSvc!J542</f>
        <v>0</v>
      </c>
      <c r="I467" s="79">
        <f t="shared" si="53"/>
        <v>0</v>
      </c>
      <c r="J467" s="66">
        <f>+Distribution!H542+Meter!H542+TDCustSvc!H542</f>
        <v>0</v>
      </c>
      <c r="K467" s="66">
        <f>+Distribution!I542+Meter!I542+TDCustSvc!I542</f>
        <v>0</v>
      </c>
      <c r="L467" s="66">
        <f>+Distribution!J542+Meter!J542+TDCustSvc!J542</f>
        <v>0</v>
      </c>
      <c r="M467" s="79">
        <f t="shared" si="54"/>
        <v>0</v>
      </c>
      <c r="N467" s="27" t="str">
        <f t="shared" ref="N467:N530" si="55">IF(SUM(G467+H467)=F467,"OK",0)</f>
        <v>OK</v>
      </c>
    </row>
    <row r="468" spans="1:14" x14ac:dyDescent="0.2">
      <c r="A468" s="3">
        <f t="shared" si="52"/>
        <v>14</v>
      </c>
      <c r="B468" s="3" t="s">
        <v>39</v>
      </c>
      <c r="C468" s="3" t="s">
        <v>40</v>
      </c>
      <c r="D468" s="16"/>
      <c r="E468" s="4"/>
      <c r="F468" s="9">
        <f>+'II-I TOTAL COMPANY'!H543</f>
        <v>0</v>
      </c>
      <c r="G468" s="66">
        <f>+Distribution!I543+Meter!I543+TDCustSvc!I543</f>
        <v>0</v>
      </c>
      <c r="H468" s="66">
        <f>+Distribution!J543+Meter!J543+TDCustSvc!J543</f>
        <v>0</v>
      </c>
      <c r="I468" s="79">
        <f t="shared" si="53"/>
        <v>0</v>
      </c>
      <c r="J468" s="66">
        <f>+Distribution!H543+Meter!H543+TDCustSvc!H543</f>
        <v>0</v>
      </c>
      <c r="K468" s="66">
        <f>+Distribution!I543+Meter!I543+TDCustSvc!I543</f>
        <v>0</v>
      </c>
      <c r="L468" s="66">
        <f>+Distribution!J543+Meter!J543+TDCustSvc!J543</f>
        <v>0</v>
      </c>
      <c r="M468" s="79">
        <f t="shared" si="54"/>
        <v>0</v>
      </c>
      <c r="N468" s="27" t="str">
        <f t="shared" si="55"/>
        <v>OK</v>
      </c>
    </row>
    <row r="469" spans="1:14" x14ac:dyDescent="0.2">
      <c r="A469" s="3">
        <f t="shared" si="52"/>
        <v>15</v>
      </c>
      <c r="B469" s="3" t="s">
        <v>41</v>
      </c>
      <c r="C469" s="3" t="s">
        <v>42</v>
      </c>
      <c r="D469" s="16"/>
      <c r="E469" s="4"/>
      <c r="F469" s="9">
        <f>+'II-I TOTAL COMPANY'!H544</f>
        <v>0</v>
      </c>
      <c r="G469" s="66">
        <f>+Distribution!I544+Meter!I544+TDCustSvc!I544</f>
        <v>0</v>
      </c>
      <c r="H469" s="66">
        <f>+Distribution!J544+Meter!J544+TDCustSvc!J544</f>
        <v>0</v>
      </c>
      <c r="I469" s="79">
        <f t="shared" si="53"/>
        <v>0</v>
      </c>
      <c r="J469" s="66">
        <f>+Distribution!H544+Meter!H544+TDCustSvc!H544</f>
        <v>0</v>
      </c>
      <c r="K469" s="66">
        <f>+Distribution!I544+Meter!I544+TDCustSvc!I544</f>
        <v>0</v>
      </c>
      <c r="L469" s="66">
        <f>+Distribution!J544+Meter!J544+TDCustSvc!J544</f>
        <v>0</v>
      </c>
      <c r="M469" s="79">
        <f t="shared" si="54"/>
        <v>0</v>
      </c>
      <c r="N469" s="27" t="str">
        <f t="shared" si="55"/>
        <v>OK</v>
      </c>
    </row>
    <row r="470" spans="1:14" x14ac:dyDescent="0.2">
      <c r="A470" s="3">
        <f t="shared" si="52"/>
        <v>16</v>
      </c>
      <c r="B470" s="3" t="s">
        <v>43</v>
      </c>
      <c r="C470" s="3" t="s">
        <v>44</v>
      </c>
      <c r="D470" s="16"/>
      <c r="E470" s="4"/>
      <c r="F470" s="9">
        <f>+'II-I TOTAL COMPANY'!H545</f>
        <v>0</v>
      </c>
      <c r="G470" s="66">
        <f>+Distribution!I545+Meter!I545+TDCustSvc!I545</f>
        <v>0</v>
      </c>
      <c r="H470" s="66">
        <f>+Distribution!J545+Meter!J545+TDCustSvc!J545</f>
        <v>0</v>
      </c>
      <c r="I470" s="79">
        <f t="shared" si="53"/>
        <v>0</v>
      </c>
      <c r="J470" s="66">
        <f>+Distribution!H545+Meter!H545+TDCustSvc!H545</f>
        <v>0</v>
      </c>
      <c r="K470" s="66">
        <f>+Distribution!I545+Meter!I545+TDCustSvc!I545</f>
        <v>0</v>
      </c>
      <c r="L470" s="66">
        <f>+Distribution!J545+Meter!J545+TDCustSvc!J545</f>
        <v>0</v>
      </c>
      <c r="M470" s="79">
        <f t="shared" si="54"/>
        <v>0</v>
      </c>
      <c r="N470" s="27" t="str">
        <f t="shared" si="55"/>
        <v>OK</v>
      </c>
    </row>
    <row r="471" spans="1:14" x14ac:dyDescent="0.2">
      <c r="A471" s="3">
        <f t="shared" si="52"/>
        <v>17</v>
      </c>
      <c r="B471" s="3" t="s">
        <v>45</v>
      </c>
      <c r="C471" s="3" t="s">
        <v>46</v>
      </c>
      <c r="D471" s="16"/>
      <c r="E471" s="4"/>
      <c r="F471" s="9">
        <f>+'II-I TOTAL COMPANY'!H546</f>
        <v>0</v>
      </c>
      <c r="G471" s="66">
        <f>+Distribution!I546+Meter!I546+TDCustSvc!I546</f>
        <v>0</v>
      </c>
      <c r="H471" s="66">
        <f>+Distribution!J546+Meter!J546+TDCustSvc!J546</f>
        <v>0</v>
      </c>
      <c r="I471" s="79">
        <f t="shared" si="53"/>
        <v>0</v>
      </c>
      <c r="J471" s="66">
        <f>+Distribution!H546+Meter!H546+TDCustSvc!H546</f>
        <v>0</v>
      </c>
      <c r="K471" s="66">
        <f>+Distribution!I546+Meter!I546+TDCustSvc!I546</f>
        <v>0</v>
      </c>
      <c r="L471" s="66">
        <f>+Distribution!J546+Meter!J546+TDCustSvc!J546</f>
        <v>0</v>
      </c>
      <c r="M471" s="79">
        <f t="shared" si="54"/>
        <v>0</v>
      </c>
      <c r="N471" s="27" t="str">
        <f t="shared" si="55"/>
        <v>OK</v>
      </c>
    </row>
    <row r="472" spans="1:14" x14ac:dyDescent="0.2">
      <c r="A472" s="3">
        <f t="shared" si="52"/>
        <v>18</v>
      </c>
      <c r="B472" s="3" t="s">
        <v>47</v>
      </c>
      <c r="C472" s="3" t="s">
        <v>48</v>
      </c>
      <c r="D472" s="16"/>
      <c r="E472" s="4"/>
      <c r="F472" s="9">
        <f>+'II-I TOTAL COMPANY'!H547</f>
        <v>0</v>
      </c>
      <c r="G472" s="66">
        <f>+Distribution!I547+Meter!I547+TDCustSvc!I547</f>
        <v>0</v>
      </c>
      <c r="H472" s="66">
        <f>+Distribution!J547+Meter!J547+TDCustSvc!J547</f>
        <v>0</v>
      </c>
      <c r="I472" s="79">
        <f t="shared" si="53"/>
        <v>0</v>
      </c>
      <c r="J472" s="66">
        <f>+Distribution!H547+Meter!H547+TDCustSvc!H547</f>
        <v>0</v>
      </c>
      <c r="K472" s="66">
        <f>+Distribution!I547+Meter!I547+TDCustSvc!I547</f>
        <v>0</v>
      </c>
      <c r="L472" s="66">
        <f>+Distribution!J547+Meter!J547+TDCustSvc!J547</f>
        <v>0</v>
      </c>
      <c r="M472" s="79">
        <f t="shared" si="54"/>
        <v>0</v>
      </c>
      <c r="N472" s="27" t="str">
        <f t="shared" si="55"/>
        <v>OK</v>
      </c>
    </row>
    <row r="473" spans="1:14" x14ac:dyDescent="0.2">
      <c r="A473" s="3">
        <f t="shared" si="52"/>
        <v>19</v>
      </c>
      <c r="B473" s="3" t="s">
        <v>49</v>
      </c>
      <c r="C473" s="3" t="s">
        <v>50</v>
      </c>
      <c r="D473" s="16"/>
      <c r="E473" s="4"/>
      <c r="F473" s="9">
        <f>+'II-I TOTAL COMPANY'!H548</f>
        <v>0</v>
      </c>
      <c r="G473" s="66">
        <f>+Distribution!I548+Meter!I548+TDCustSvc!I548</f>
        <v>0</v>
      </c>
      <c r="H473" s="66">
        <f>+Distribution!J548+Meter!J548+TDCustSvc!J548</f>
        <v>0</v>
      </c>
      <c r="I473" s="79">
        <f t="shared" si="53"/>
        <v>0</v>
      </c>
      <c r="J473" s="66">
        <f>+Distribution!H548+Meter!H548+TDCustSvc!H548</f>
        <v>0</v>
      </c>
      <c r="K473" s="66">
        <f>+Distribution!I548+Meter!I548+TDCustSvc!I548</f>
        <v>0</v>
      </c>
      <c r="L473" s="66">
        <f>+Distribution!J548+Meter!J548+TDCustSvc!J548</f>
        <v>0</v>
      </c>
      <c r="M473" s="79">
        <f t="shared" si="54"/>
        <v>0</v>
      </c>
      <c r="N473" s="27" t="str">
        <f t="shared" si="55"/>
        <v>OK</v>
      </c>
    </row>
    <row r="474" spans="1:14" x14ac:dyDescent="0.2">
      <c r="A474" s="3">
        <f t="shared" si="52"/>
        <v>20</v>
      </c>
      <c r="B474" s="3"/>
      <c r="C474" s="3" t="s">
        <v>51</v>
      </c>
      <c r="D474" s="3"/>
      <c r="E474" s="4"/>
      <c r="F474" s="9">
        <f>+'II-I TOTAL COMPANY'!H549</f>
        <v>0</v>
      </c>
      <c r="G474" s="66">
        <f>+Distribution!I549+Meter!I549+TDCustSvc!I549</f>
        <v>0</v>
      </c>
      <c r="H474" s="66">
        <f>+Distribution!J549+Meter!J549+TDCustSvc!J549</f>
        <v>0</v>
      </c>
      <c r="I474" s="79">
        <f t="shared" si="53"/>
        <v>0</v>
      </c>
      <c r="J474" s="66">
        <f>+Distribution!H549+Meter!H549+TDCustSvc!H549</f>
        <v>0</v>
      </c>
      <c r="K474" s="66">
        <f>+Distribution!I549+Meter!I549+TDCustSvc!I549</f>
        <v>0</v>
      </c>
      <c r="L474" s="66">
        <f>+Distribution!J549+Meter!J549+TDCustSvc!J549</f>
        <v>0</v>
      </c>
      <c r="M474" s="79">
        <f t="shared" si="54"/>
        <v>0</v>
      </c>
      <c r="N474" s="27" t="str">
        <f t="shared" si="55"/>
        <v>OK</v>
      </c>
    </row>
    <row r="475" spans="1:14" x14ac:dyDescent="0.2">
      <c r="A475" s="3">
        <f t="shared" si="52"/>
        <v>21</v>
      </c>
      <c r="B475" s="7" t="s">
        <v>286</v>
      </c>
      <c r="C475" s="3"/>
      <c r="D475" s="3"/>
      <c r="E475" s="4"/>
      <c r="F475" s="9"/>
      <c r="G475" s="66"/>
      <c r="H475" s="66"/>
      <c r="I475" s="79"/>
      <c r="J475" s="79"/>
      <c r="K475" s="79"/>
      <c r="L475" s="79"/>
      <c r="M475" s="79"/>
      <c r="N475" s="27" t="str">
        <f t="shared" si="55"/>
        <v>OK</v>
      </c>
    </row>
    <row r="476" spans="1:14" x14ac:dyDescent="0.2">
      <c r="A476" s="3">
        <f t="shared" si="52"/>
        <v>22</v>
      </c>
      <c r="B476" s="3"/>
      <c r="C476" s="3"/>
      <c r="D476" s="3"/>
      <c r="E476" s="4"/>
      <c r="F476" s="9"/>
      <c r="G476" s="66"/>
      <c r="H476" s="66"/>
      <c r="I476" s="79"/>
      <c r="J476" s="79"/>
      <c r="K476" s="79"/>
      <c r="L476" s="79"/>
      <c r="M476" s="79"/>
      <c r="N476" s="27" t="str">
        <f t="shared" si="55"/>
        <v>OK</v>
      </c>
    </row>
    <row r="477" spans="1:14" x14ac:dyDescent="0.2">
      <c r="A477" s="3">
        <f t="shared" si="52"/>
        <v>23</v>
      </c>
      <c r="B477" s="3" t="s">
        <v>176</v>
      </c>
      <c r="C477" s="3"/>
      <c r="D477" s="3"/>
      <c r="E477" s="4"/>
      <c r="F477" s="9"/>
      <c r="G477" s="66"/>
      <c r="H477" s="66"/>
      <c r="I477" s="79"/>
      <c r="J477" s="79"/>
      <c r="K477" s="79"/>
      <c r="L477" s="79"/>
      <c r="M477" s="79"/>
      <c r="N477" s="27" t="str">
        <f t="shared" si="55"/>
        <v>OK</v>
      </c>
    </row>
    <row r="478" spans="1:14" x14ac:dyDescent="0.2">
      <c r="A478" s="3">
        <f t="shared" si="52"/>
        <v>24</v>
      </c>
      <c r="B478" s="3" t="s">
        <v>53</v>
      </c>
      <c r="C478" s="3" t="s">
        <v>35</v>
      </c>
      <c r="D478" s="16"/>
      <c r="E478" s="4"/>
      <c r="F478" s="9">
        <f>+'II-I TOTAL COMPANY'!H553</f>
        <v>120015.99900380966</v>
      </c>
      <c r="G478" s="66">
        <f>+Distribution!I553+Meter!I553+TDCustSvc!I553</f>
        <v>0</v>
      </c>
      <c r="H478" s="66">
        <f>+Distribution!J553+Meter!J553+TDCustSvc!J553</f>
        <v>120015.99900380967</v>
      </c>
      <c r="I478" s="79">
        <f t="shared" ref="I478:I531" si="56">+H478/F478</f>
        <v>1.0000000000000002</v>
      </c>
      <c r="J478" s="66">
        <f>+Distribution!H553+Meter!H553+TDCustSvc!H553</f>
        <v>120015.99900380966</v>
      </c>
      <c r="K478" s="66">
        <f>+Distribution!I553+Meter!I553+TDCustSvc!I553</f>
        <v>0</v>
      </c>
      <c r="L478" s="66">
        <f>+Distribution!J553+Meter!J553+TDCustSvc!J553</f>
        <v>120015.99900380967</v>
      </c>
      <c r="M478" s="79">
        <f t="shared" ref="M478:M536" si="57">+L478/J478</f>
        <v>1.0000000000000002</v>
      </c>
      <c r="N478" s="27" t="str">
        <f t="shared" si="55"/>
        <v>OK</v>
      </c>
    </row>
    <row r="479" spans="1:14" x14ac:dyDescent="0.2">
      <c r="A479" s="3">
        <f t="shared" si="52"/>
        <v>25</v>
      </c>
      <c r="B479" s="3" t="s">
        <v>54</v>
      </c>
      <c r="C479" s="3" t="s">
        <v>31</v>
      </c>
      <c r="D479" s="16"/>
      <c r="E479" s="4"/>
      <c r="F479" s="9">
        <f>+'II-I TOTAL COMPANY'!H554</f>
        <v>1531230.1427943213</v>
      </c>
      <c r="G479" s="66">
        <f>+Distribution!I554+Meter!I554+TDCustSvc!I554</f>
        <v>0</v>
      </c>
      <c r="H479" s="66">
        <f>+Distribution!J554+Meter!J554+TDCustSvc!J554</f>
        <v>1531230.1427943218</v>
      </c>
      <c r="I479" s="79">
        <f t="shared" si="56"/>
        <v>1.0000000000000002</v>
      </c>
      <c r="J479" s="66">
        <f>+Distribution!H554+Meter!H554+TDCustSvc!H554</f>
        <v>1531230.1427943213</v>
      </c>
      <c r="K479" s="66">
        <f>+Distribution!I554+Meter!I554+TDCustSvc!I554</f>
        <v>0</v>
      </c>
      <c r="L479" s="66">
        <f>+Distribution!J554+Meter!J554+TDCustSvc!J554</f>
        <v>1531230.1427943218</v>
      </c>
      <c r="M479" s="79">
        <f t="shared" si="57"/>
        <v>1.0000000000000002</v>
      </c>
      <c r="N479" s="27" t="str">
        <f t="shared" si="55"/>
        <v>OK</v>
      </c>
    </row>
    <row r="480" spans="1:14" x14ac:dyDescent="0.2">
      <c r="A480" s="3">
        <f t="shared" si="52"/>
        <v>26</v>
      </c>
      <c r="B480" s="3" t="s">
        <v>55</v>
      </c>
      <c r="C480" s="3" t="s">
        <v>38</v>
      </c>
      <c r="D480" s="16"/>
      <c r="E480" s="4"/>
      <c r="F480" s="9">
        <f>+'II-I TOTAL COMPANY'!H555</f>
        <v>19245285.888670489</v>
      </c>
      <c r="G480" s="66">
        <f>+Distribution!I555+Meter!I555+TDCustSvc!I555</f>
        <v>0</v>
      </c>
      <c r="H480" s="66">
        <f>+Distribution!J555+Meter!J555+TDCustSvc!J555</f>
        <v>19245285.888670493</v>
      </c>
      <c r="I480" s="79">
        <f t="shared" si="56"/>
        <v>1.0000000000000002</v>
      </c>
      <c r="J480" s="66">
        <f>+Distribution!H555+Meter!H555+TDCustSvc!H555</f>
        <v>19245285.888670489</v>
      </c>
      <c r="K480" s="66">
        <f>+Distribution!I555+Meter!I555+TDCustSvc!I555</f>
        <v>0</v>
      </c>
      <c r="L480" s="66">
        <f>+Distribution!J555+Meter!J555+TDCustSvc!J555</f>
        <v>19245285.888670493</v>
      </c>
      <c r="M480" s="79">
        <f t="shared" si="57"/>
        <v>1.0000000000000002</v>
      </c>
      <c r="N480" s="27" t="str">
        <f t="shared" si="55"/>
        <v>OK</v>
      </c>
    </row>
    <row r="481" spans="1:14" x14ac:dyDescent="0.2">
      <c r="A481" s="3">
        <f t="shared" si="52"/>
        <v>27</v>
      </c>
      <c r="B481" s="3" t="s">
        <v>56</v>
      </c>
      <c r="C481" s="3" t="s">
        <v>57</v>
      </c>
      <c r="D481" s="16"/>
      <c r="E481" s="4"/>
      <c r="F481" s="9">
        <f>+'II-I TOTAL COMPANY'!H556</f>
        <v>0</v>
      </c>
      <c r="G481" s="66">
        <f>+Distribution!I556+Meter!I556+TDCustSvc!I556</f>
        <v>0</v>
      </c>
      <c r="H481" s="66">
        <f>+Distribution!J556+Meter!J556+TDCustSvc!J556</f>
        <v>0</v>
      </c>
      <c r="I481" s="79"/>
      <c r="J481" s="66">
        <f>+Distribution!H556+Meter!H556+TDCustSvc!H556</f>
        <v>0</v>
      </c>
      <c r="K481" s="66">
        <f>+Distribution!I556+Meter!I556+TDCustSvc!I556</f>
        <v>0</v>
      </c>
      <c r="L481" s="66">
        <f>+Distribution!J556+Meter!J556+TDCustSvc!J556</f>
        <v>0</v>
      </c>
      <c r="M481" s="79"/>
      <c r="N481" s="27" t="str">
        <f t="shared" si="55"/>
        <v>OK</v>
      </c>
    </row>
    <row r="482" spans="1:14" x14ac:dyDescent="0.2">
      <c r="A482" s="3">
        <f t="shared" si="52"/>
        <v>28</v>
      </c>
      <c r="B482" s="3" t="s">
        <v>58</v>
      </c>
      <c r="C482" s="3" t="s">
        <v>59</v>
      </c>
      <c r="D482" s="3"/>
      <c r="E482" s="4"/>
      <c r="F482" s="9">
        <f>+'II-I TOTAL COMPANY'!H557</f>
        <v>43484356.269545406</v>
      </c>
      <c r="G482" s="66">
        <f>+Distribution!I557+Meter!I557+TDCustSvc!I557</f>
        <v>0</v>
      </c>
      <c r="H482" s="66">
        <f>+Distribution!J557+Meter!J557+TDCustSvc!J557</f>
        <v>43484356.269545414</v>
      </c>
      <c r="I482" s="79">
        <f t="shared" si="56"/>
        <v>1.0000000000000002</v>
      </c>
      <c r="J482" s="66">
        <f>+Distribution!H557+Meter!H557+TDCustSvc!H557</f>
        <v>43484356.269545406</v>
      </c>
      <c r="K482" s="66">
        <f>+Distribution!I557+Meter!I557+TDCustSvc!I557</f>
        <v>0</v>
      </c>
      <c r="L482" s="66">
        <f>+Distribution!J557+Meter!J557+TDCustSvc!J557</f>
        <v>43484356.269545414</v>
      </c>
      <c r="M482" s="79">
        <f t="shared" si="57"/>
        <v>1.0000000000000002</v>
      </c>
      <c r="N482" s="27" t="str">
        <f t="shared" si="55"/>
        <v>OK</v>
      </c>
    </row>
    <row r="483" spans="1:14" x14ac:dyDescent="0.2">
      <c r="A483" s="3">
        <f t="shared" si="52"/>
        <v>29</v>
      </c>
      <c r="B483" s="3" t="s">
        <v>63</v>
      </c>
      <c r="C483" s="3" t="s">
        <v>44</v>
      </c>
      <c r="D483" s="3"/>
      <c r="E483" s="4"/>
      <c r="F483" s="9">
        <f>+'II-I TOTAL COMPANY'!H558</f>
        <v>40621699.592868529</v>
      </c>
      <c r="G483" s="66">
        <f>+Distribution!I558+Meter!I558+TDCustSvc!I558</f>
        <v>0</v>
      </c>
      <c r="H483" s="66">
        <f>+Distribution!J558+Meter!J558+TDCustSvc!J558</f>
        <v>40621699.592868514</v>
      </c>
      <c r="I483" s="79">
        <f t="shared" si="56"/>
        <v>0.99999999999999967</v>
      </c>
      <c r="J483" s="66">
        <f>+Distribution!H558+Meter!H558+TDCustSvc!H558</f>
        <v>40621699.592868529</v>
      </c>
      <c r="K483" s="66">
        <f>+Distribution!I558+Meter!I558+TDCustSvc!I558</f>
        <v>0</v>
      </c>
      <c r="L483" s="66">
        <f>+Distribution!J558+Meter!J558+TDCustSvc!J558</f>
        <v>40621699.592868514</v>
      </c>
      <c r="M483" s="79">
        <f t="shared" si="57"/>
        <v>0.99999999999999967</v>
      </c>
      <c r="N483" s="27" t="str">
        <f t="shared" si="55"/>
        <v>OK</v>
      </c>
    </row>
    <row r="484" spans="1:14" x14ac:dyDescent="0.2">
      <c r="A484" s="3">
        <f t="shared" si="52"/>
        <v>30</v>
      </c>
      <c r="B484" s="3" t="s">
        <v>64</v>
      </c>
      <c r="C484" s="3" t="s">
        <v>65</v>
      </c>
      <c r="D484" s="3"/>
      <c r="E484" s="4"/>
      <c r="F484" s="9">
        <f>+'II-I TOTAL COMPANY'!H559</f>
        <v>1485236.3349345445</v>
      </c>
      <c r="G484" s="66">
        <f>+Distribution!I559+Meter!I559+TDCustSvc!I559</f>
        <v>0</v>
      </c>
      <c r="H484" s="66">
        <f>+Distribution!J559+Meter!J559+TDCustSvc!J559</f>
        <v>1485236.3349345443</v>
      </c>
      <c r="I484" s="79">
        <f t="shared" si="56"/>
        <v>0.99999999999999989</v>
      </c>
      <c r="J484" s="66">
        <f>+Distribution!H559+Meter!H559+TDCustSvc!H559</f>
        <v>1485236.3349345445</v>
      </c>
      <c r="K484" s="66">
        <f>+Distribution!I559+Meter!I559+TDCustSvc!I559</f>
        <v>0</v>
      </c>
      <c r="L484" s="66">
        <f>+Distribution!J559+Meter!J559+TDCustSvc!J559</f>
        <v>1485236.3349345443</v>
      </c>
      <c r="M484" s="79">
        <f t="shared" si="57"/>
        <v>0.99999999999999989</v>
      </c>
      <c r="N484" s="27" t="str">
        <f t="shared" si="55"/>
        <v>OK</v>
      </c>
    </row>
    <row r="485" spans="1:14" x14ac:dyDescent="0.2">
      <c r="A485" s="3">
        <f t="shared" si="52"/>
        <v>31</v>
      </c>
      <c r="B485" s="3" t="s">
        <v>66</v>
      </c>
      <c r="C485" s="3" t="s">
        <v>67</v>
      </c>
      <c r="D485" s="3"/>
      <c r="E485" s="4"/>
      <c r="F485" s="9">
        <f>+'II-I TOTAL COMPANY'!H560</f>
        <v>12658093.909374265</v>
      </c>
      <c r="G485" s="66">
        <f>+Distribution!I560+Meter!I560+TDCustSvc!I560</f>
        <v>0</v>
      </c>
      <c r="H485" s="66">
        <f>+Distribution!J560+Meter!J560+TDCustSvc!J560</f>
        <v>12658093.909374271</v>
      </c>
      <c r="I485" s="79">
        <f t="shared" si="56"/>
        <v>1.0000000000000004</v>
      </c>
      <c r="J485" s="66">
        <f>+Distribution!H560+Meter!H560+TDCustSvc!H560</f>
        <v>12658093.909374265</v>
      </c>
      <c r="K485" s="66">
        <f>+Distribution!I560+Meter!I560+TDCustSvc!I560</f>
        <v>0</v>
      </c>
      <c r="L485" s="66">
        <f>+Distribution!J560+Meter!J560+TDCustSvc!J560</f>
        <v>12658093.909374271</v>
      </c>
      <c r="M485" s="79">
        <f t="shared" si="57"/>
        <v>1.0000000000000004</v>
      </c>
      <c r="N485" s="27" t="str">
        <f t="shared" si="55"/>
        <v>OK</v>
      </c>
    </row>
    <row r="486" spans="1:14" x14ac:dyDescent="0.2">
      <c r="A486" s="3">
        <f t="shared" si="52"/>
        <v>32</v>
      </c>
      <c r="B486" s="3" t="s">
        <v>69</v>
      </c>
      <c r="C486" s="3" t="s">
        <v>70</v>
      </c>
      <c r="D486" s="3"/>
      <c r="E486" s="4"/>
      <c r="F486" s="9">
        <f>+'II-I TOTAL COMPANY'!H561</f>
        <v>31322680.60329067</v>
      </c>
      <c r="G486" s="66">
        <f>+Distribution!I561+Meter!I561+TDCustSvc!I561</f>
        <v>0</v>
      </c>
      <c r="H486" s="66">
        <f>+Distribution!J561+Meter!J561+TDCustSvc!J561</f>
        <v>31322680.603290681</v>
      </c>
      <c r="I486" s="79">
        <f t="shared" si="56"/>
        <v>1.0000000000000004</v>
      </c>
      <c r="J486" s="66">
        <f>+Distribution!H561+Meter!H561+TDCustSvc!H561</f>
        <v>31322680.60329067</v>
      </c>
      <c r="K486" s="66">
        <f>+Distribution!I561+Meter!I561+TDCustSvc!I561</f>
        <v>0</v>
      </c>
      <c r="L486" s="66">
        <f>+Distribution!J561+Meter!J561+TDCustSvc!J561</f>
        <v>31322680.603290681</v>
      </c>
      <c r="M486" s="79">
        <f t="shared" si="57"/>
        <v>1.0000000000000004</v>
      </c>
      <c r="N486" s="27" t="str">
        <f t="shared" si="55"/>
        <v>OK</v>
      </c>
    </row>
    <row r="487" spans="1:14" x14ac:dyDescent="0.2">
      <c r="A487" s="3">
        <f t="shared" si="52"/>
        <v>33</v>
      </c>
      <c r="B487" s="3" t="s">
        <v>72</v>
      </c>
      <c r="C487" s="3" t="s">
        <v>73</v>
      </c>
      <c r="D487" s="16"/>
      <c r="E487" s="4"/>
      <c r="F487" s="9">
        <f>+'II-I TOTAL COMPANY'!H562</f>
        <v>7344259.7496501962</v>
      </c>
      <c r="G487" s="66">
        <f>+Distribution!I562+Meter!I562+TDCustSvc!I562</f>
        <v>0</v>
      </c>
      <c r="H487" s="66">
        <f>+Distribution!J562+Meter!J562+TDCustSvc!J562</f>
        <v>7344259.7496501962</v>
      </c>
      <c r="I487" s="79">
        <f t="shared" si="56"/>
        <v>1</v>
      </c>
      <c r="J487" s="66">
        <f>+Distribution!H562+Meter!H562+TDCustSvc!H562</f>
        <v>7344259.7496501962</v>
      </c>
      <c r="K487" s="66">
        <f>+Distribution!I562+Meter!I562+TDCustSvc!I562</f>
        <v>0</v>
      </c>
      <c r="L487" s="66">
        <f>+Distribution!J562+Meter!J562+TDCustSvc!J562</f>
        <v>7344259.7496501962</v>
      </c>
      <c r="M487" s="79">
        <f t="shared" si="57"/>
        <v>1</v>
      </c>
      <c r="N487" s="27" t="str">
        <f t="shared" si="55"/>
        <v>OK</v>
      </c>
    </row>
    <row r="488" spans="1:14" x14ac:dyDescent="0.2">
      <c r="A488" s="3">
        <f t="shared" si="52"/>
        <v>34</v>
      </c>
      <c r="B488" s="3" t="s">
        <v>74</v>
      </c>
      <c r="C488" s="3" t="s">
        <v>75</v>
      </c>
      <c r="D488" s="16"/>
      <c r="E488" s="4"/>
      <c r="F488" s="9">
        <f>+'II-I TOTAL COMPANY'!H563</f>
        <v>4617176.8369425312</v>
      </c>
      <c r="G488" s="66">
        <f>+Distribution!I563+Meter!I563+TDCustSvc!I563</f>
        <v>0</v>
      </c>
      <c r="H488" s="66">
        <f>+Distribution!J563+Meter!J563+TDCustSvc!J563</f>
        <v>4617176.8369425312</v>
      </c>
      <c r="I488" s="79">
        <f t="shared" si="56"/>
        <v>1</v>
      </c>
      <c r="J488" s="66">
        <f>+Distribution!H563+Meter!H563+TDCustSvc!H563</f>
        <v>4617176.8369425312</v>
      </c>
      <c r="K488" s="66">
        <f>+Distribution!I563+Meter!I563+TDCustSvc!I563</f>
        <v>0</v>
      </c>
      <c r="L488" s="66">
        <f>+Distribution!J563+Meter!J563+TDCustSvc!J563</f>
        <v>4617176.8369425312</v>
      </c>
      <c r="M488" s="79">
        <f t="shared" si="57"/>
        <v>1</v>
      </c>
      <c r="N488" s="27" t="str">
        <f t="shared" si="55"/>
        <v>OK</v>
      </c>
    </row>
    <row r="489" spans="1:14" x14ac:dyDescent="0.2">
      <c r="A489" s="3">
        <f t="shared" si="52"/>
        <v>35</v>
      </c>
      <c r="B489" s="3" t="s">
        <v>76</v>
      </c>
      <c r="C489" s="3" t="s">
        <v>77</v>
      </c>
      <c r="D489" s="16"/>
      <c r="E489" s="4"/>
      <c r="F489" s="9">
        <f>+'II-I TOTAL COMPANY'!H564</f>
        <v>1338981.8461807715</v>
      </c>
      <c r="G489" s="66">
        <f>+Distribution!I564+Meter!I564+TDCustSvc!I564</f>
        <v>0</v>
      </c>
      <c r="H489" s="66">
        <f>+Distribution!J564+Meter!J564+TDCustSvc!J564</f>
        <v>1338981.8461807715</v>
      </c>
      <c r="I489" s="79">
        <f t="shared" si="56"/>
        <v>1</v>
      </c>
      <c r="J489" s="66">
        <f>+Distribution!H564+Meter!H564+TDCustSvc!H564</f>
        <v>1338981.8461807715</v>
      </c>
      <c r="K489" s="66">
        <f>+Distribution!I564+Meter!I564+TDCustSvc!I564</f>
        <v>0</v>
      </c>
      <c r="L489" s="66">
        <f>+Distribution!J564+Meter!J564+TDCustSvc!J564</f>
        <v>1338981.8461807715</v>
      </c>
      <c r="M489" s="79">
        <f t="shared" si="57"/>
        <v>1</v>
      </c>
      <c r="N489" s="27" t="str">
        <f t="shared" si="55"/>
        <v>OK</v>
      </c>
    </row>
    <row r="490" spans="1:14" x14ac:dyDescent="0.2">
      <c r="A490" s="3">
        <f t="shared" si="52"/>
        <v>36</v>
      </c>
      <c r="B490" s="3" t="s">
        <v>74</v>
      </c>
      <c r="C490" s="3" t="s">
        <v>817</v>
      </c>
      <c r="D490" s="16"/>
      <c r="E490" s="4"/>
      <c r="F490" s="9">
        <f>+'II-I TOTAL COMPANY'!H565</f>
        <v>6511912.3360271519</v>
      </c>
      <c r="G490" s="66">
        <f>+Distribution!I565+Meter!I565+TDCustSvc!I565</f>
        <v>0</v>
      </c>
      <c r="H490" s="66">
        <f>+Distribution!J565+Meter!J565+TDCustSvc!J565</f>
        <v>6511912.33602715</v>
      </c>
      <c r="I490" s="79">
        <f>+H490/F490</f>
        <v>0.99999999999999967</v>
      </c>
      <c r="J490" s="66">
        <f>+Distribution!H565+Meter!H565+TDCustSvc!H565</f>
        <v>6511912.3360271519</v>
      </c>
      <c r="K490" s="66">
        <f>+Distribution!I565+Meter!I565+TDCustSvc!I565</f>
        <v>0</v>
      </c>
      <c r="L490" s="66">
        <f>+Distribution!J565+Meter!J565+TDCustSvc!J565</f>
        <v>6511912.33602715</v>
      </c>
      <c r="M490" s="79">
        <f>+L490/J490</f>
        <v>0.99999999999999967</v>
      </c>
      <c r="N490" s="27" t="str">
        <f t="shared" si="55"/>
        <v>OK</v>
      </c>
    </row>
    <row r="491" spans="1:14" x14ac:dyDescent="0.2">
      <c r="A491" s="3">
        <f t="shared" si="52"/>
        <v>37</v>
      </c>
      <c r="B491" s="3" t="s">
        <v>78</v>
      </c>
      <c r="C491" s="3" t="s">
        <v>79</v>
      </c>
      <c r="D491" s="16"/>
      <c r="E491" s="4"/>
      <c r="F491" s="9">
        <f>+'II-I TOTAL COMPANY'!H566</f>
        <v>1349.017365706957</v>
      </c>
      <c r="G491" s="66">
        <f>+Distribution!I566+Meter!I566+TDCustSvc!I566</f>
        <v>0</v>
      </c>
      <c r="H491" s="66">
        <f>+Distribution!J566+Meter!J566+TDCustSvc!J566</f>
        <v>1349.0173657069572</v>
      </c>
      <c r="I491" s="79">
        <f>+H491/F491</f>
        <v>1.0000000000000002</v>
      </c>
      <c r="J491" s="66">
        <f>+Distribution!H566+Meter!H566+TDCustSvc!H566</f>
        <v>1349.017365706957</v>
      </c>
      <c r="K491" s="66">
        <f>+Distribution!I566+Meter!I566+TDCustSvc!I566</f>
        <v>0</v>
      </c>
      <c r="L491" s="66">
        <f>+Distribution!J566+Meter!J566+TDCustSvc!J566</f>
        <v>1349.0173657069572</v>
      </c>
      <c r="M491" s="79">
        <f>+L491/J491</f>
        <v>1.0000000000000002</v>
      </c>
      <c r="N491" s="27" t="str">
        <f t="shared" si="55"/>
        <v>OK</v>
      </c>
    </row>
    <row r="492" spans="1:14" x14ac:dyDescent="0.2">
      <c r="A492" s="3">
        <f t="shared" si="52"/>
        <v>38</v>
      </c>
      <c r="B492" s="3" t="s">
        <v>80</v>
      </c>
      <c r="C492" s="3" t="s">
        <v>81</v>
      </c>
      <c r="D492" s="16"/>
      <c r="E492" s="4"/>
      <c r="F492" s="9">
        <f>+'II-I TOTAL COMPANY'!H567</f>
        <v>3826298.220244647</v>
      </c>
      <c r="G492" s="66">
        <f>+Distribution!I567+Meter!I567+TDCustSvc!I567</f>
        <v>0</v>
      </c>
      <c r="H492" s="66">
        <f>+Distribution!J567+Meter!J567+TDCustSvc!J567</f>
        <v>3826298.220244647</v>
      </c>
      <c r="I492" s="79"/>
      <c r="J492" s="66">
        <f>+Distribution!H567+Meter!H567+TDCustSvc!H567</f>
        <v>3826298.220244647</v>
      </c>
      <c r="K492" s="66">
        <f>+Distribution!I567+Meter!I567+TDCustSvc!I567</f>
        <v>0</v>
      </c>
      <c r="L492" s="66">
        <f>+Distribution!J567+Meter!J567+TDCustSvc!J567</f>
        <v>3826298.220244647</v>
      </c>
      <c r="M492" s="79"/>
      <c r="N492" s="27" t="str">
        <f t="shared" si="55"/>
        <v>OK</v>
      </c>
    </row>
    <row r="493" spans="1:14" x14ac:dyDescent="0.2">
      <c r="A493" s="3">
        <f t="shared" si="52"/>
        <v>39</v>
      </c>
      <c r="B493" s="3"/>
      <c r="C493" s="3" t="s">
        <v>287</v>
      </c>
      <c r="D493" s="3"/>
      <c r="E493" s="4"/>
      <c r="F493" s="9">
        <f>+'II-I TOTAL COMPANY'!H568</f>
        <v>174108576.74689302</v>
      </c>
      <c r="G493" s="66">
        <f>+Distribution!I568+Meter!I568+TDCustSvc!I568</f>
        <v>0</v>
      </c>
      <c r="H493" s="66">
        <f>+Distribution!J568+Meter!J568+TDCustSvc!J568</f>
        <v>174108576.74689305</v>
      </c>
      <c r="I493" s="79">
        <f t="shared" si="56"/>
        <v>1.0000000000000002</v>
      </c>
      <c r="J493" s="66">
        <f>+Distribution!H568+Meter!H568+TDCustSvc!H568</f>
        <v>174108576.74689305</v>
      </c>
      <c r="K493" s="66">
        <f>+Distribution!I568+Meter!I568+TDCustSvc!I568</f>
        <v>0</v>
      </c>
      <c r="L493" s="66">
        <f>+Distribution!J568+Meter!J568+TDCustSvc!J568</f>
        <v>174108576.74689305</v>
      </c>
      <c r="M493" s="79">
        <f t="shared" si="57"/>
        <v>1</v>
      </c>
      <c r="N493" s="27" t="str">
        <f t="shared" si="55"/>
        <v>OK</v>
      </c>
    </row>
    <row r="494" spans="1:14" x14ac:dyDescent="0.2">
      <c r="A494" s="3">
        <f t="shared" si="52"/>
        <v>40</v>
      </c>
      <c r="B494" s="3"/>
      <c r="C494" s="3"/>
      <c r="D494" s="3"/>
      <c r="E494" s="4"/>
      <c r="F494" s="9"/>
      <c r="G494" s="66"/>
      <c r="H494" s="66"/>
      <c r="I494" s="79"/>
      <c r="J494" s="79"/>
      <c r="K494" s="79"/>
      <c r="L494" s="79"/>
      <c r="M494" s="79"/>
      <c r="N494" s="27" t="str">
        <f t="shared" si="55"/>
        <v>OK</v>
      </c>
    </row>
    <row r="495" spans="1:14" x14ac:dyDescent="0.2">
      <c r="A495" s="3">
        <f t="shared" si="52"/>
        <v>41</v>
      </c>
      <c r="B495" s="3" t="s">
        <v>84</v>
      </c>
      <c r="C495" s="3"/>
      <c r="D495" s="3"/>
      <c r="E495" s="4"/>
      <c r="F495" s="9"/>
      <c r="G495" s="66"/>
      <c r="H495" s="66"/>
      <c r="I495" s="79"/>
      <c r="J495" s="79"/>
      <c r="K495" s="79"/>
      <c r="L495" s="79"/>
      <c r="M495" s="79"/>
      <c r="N495" s="27" t="str">
        <f t="shared" si="55"/>
        <v>OK</v>
      </c>
    </row>
    <row r="496" spans="1:14" x14ac:dyDescent="0.2">
      <c r="A496" s="3">
        <f t="shared" si="52"/>
        <v>42</v>
      </c>
      <c r="B496" s="3" t="s">
        <v>85</v>
      </c>
      <c r="C496" s="3" t="s">
        <v>35</v>
      </c>
      <c r="D496" s="16"/>
      <c r="E496" s="4"/>
      <c r="F496" s="9"/>
      <c r="G496" s="66"/>
      <c r="H496" s="66"/>
      <c r="I496" s="79"/>
      <c r="J496" s="79"/>
      <c r="K496" s="79"/>
      <c r="L496" s="79"/>
      <c r="M496" s="79"/>
      <c r="N496" s="27" t="str">
        <f t="shared" si="55"/>
        <v>OK</v>
      </c>
    </row>
    <row r="497" spans="1:14" x14ac:dyDescent="0.2">
      <c r="A497" s="3">
        <f t="shared" si="52"/>
        <v>43</v>
      </c>
      <c r="B497" s="3" t="s">
        <v>86</v>
      </c>
      <c r="C497" s="3" t="s">
        <v>31</v>
      </c>
      <c r="D497" s="16"/>
      <c r="E497" s="4"/>
      <c r="F497" s="9">
        <f>+'II-I TOTAL COMPANY'!H572</f>
        <v>5324713.8300614394</v>
      </c>
      <c r="G497" s="66">
        <f>+Distribution!I572+Meter!I572+TDCustSvc!I572</f>
        <v>0</v>
      </c>
      <c r="H497" s="66">
        <f ca="1">+Distribution!J572+Meter!J572+TDCustSvc!J572</f>
        <v>5324713.8300614394</v>
      </c>
      <c r="I497" s="79">
        <f t="shared" ca="1" si="56"/>
        <v>1</v>
      </c>
      <c r="J497" s="66">
        <f>+Distribution!H572+Meter!H572+TDCustSvc!H572</f>
        <v>5324713.8300614394</v>
      </c>
      <c r="K497" s="66">
        <f>+Distribution!I572+Meter!I572+TDCustSvc!I572</f>
        <v>0</v>
      </c>
      <c r="L497" s="66">
        <f ca="1">+Distribution!J572+Meter!J572+TDCustSvc!J572</f>
        <v>5324713.8300614394</v>
      </c>
      <c r="M497" s="79">
        <f t="shared" ca="1" si="57"/>
        <v>1</v>
      </c>
      <c r="N497" s="27" t="str">
        <f t="shared" ca="1" si="55"/>
        <v>OK</v>
      </c>
    </row>
    <row r="498" spans="1:14" x14ac:dyDescent="0.2">
      <c r="A498" s="3">
        <f t="shared" si="52"/>
        <v>44</v>
      </c>
      <c r="B498" s="3" t="s">
        <v>87</v>
      </c>
      <c r="C498" s="3" t="s">
        <v>88</v>
      </c>
      <c r="D498" s="16"/>
      <c r="E498" s="4"/>
      <c r="F498" s="9">
        <f>+'II-I TOTAL COMPANY'!H573</f>
        <v>479032.69887918991</v>
      </c>
      <c r="G498" s="66">
        <f>+Distribution!I573+Meter!I573+TDCustSvc!I573</f>
        <v>0</v>
      </c>
      <c r="H498" s="66">
        <f ca="1">+Distribution!J573+Meter!J573+TDCustSvc!J573</f>
        <v>479032.69887919014</v>
      </c>
      <c r="I498" s="79">
        <f t="shared" ca="1" si="56"/>
        <v>1.0000000000000004</v>
      </c>
      <c r="J498" s="66">
        <f>+Distribution!H573+Meter!H573+TDCustSvc!H573</f>
        <v>479032.69887918991</v>
      </c>
      <c r="K498" s="66">
        <f>+Distribution!I573+Meter!I573+TDCustSvc!I573</f>
        <v>0</v>
      </c>
      <c r="L498" s="66">
        <f ca="1">+Distribution!J573+Meter!J573+TDCustSvc!J573</f>
        <v>479032.69887919014</v>
      </c>
      <c r="M498" s="79">
        <f t="shared" ca="1" si="57"/>
        <v>1.0000000000000004</v>
      </c>
      <c r="N498" s="27" t="str">
        <f t="shared" ca="1" si="55"/>
        <v>OK</v>
      </c>
    </row>
    <row r="499" spans="1:14" x14ac:dyDescent="0.2">
      <c r="A499" s="3">
        <f t="shared" si="52"/>
        <v>45</v>
      </c>
      <c r="B499" s="3" t="s">
        <v>89</v>
      </c>
      <c r="C499" s="3" t="s">
        <v>90</v>
      </c>
      <c r="D499" s="16"/>
      <c r="E499" s="4"/>
      <c r="F499" s="9">
        <f>+'II-I TOTAL COMPANY'!H574</f>
        <v>6196.7720329601943</v>
      </c>
      <c r="G499" s="66">
        <f>+Distribution!I574+Meter!I574+TDCustSvc!I574</f>
        <v>0</v>
      </c>
      <c r="H499" s="66">
        <f ca="1">+Distribution!J574+Meter!J574+TDCustSvc!J574</f>
        <v>6196.7720329601934</v>
      </c>
      <c r="I499" s="79">
        <f t="shared" ca="1" si="56"/>
        <v>0.99999999999999989</v>
      </c>
      <c r="J499" s="66">
        <f>+Distribution!H574+Meter!H574+TDCustSvc!H574</f>
        <v>6196.7720329601943</v>
      </c>
      <c r="K499" s="66">
        <f>+Distribution!I574+Meter!I574+TDCustSvc!I574</f>
        <v>0</v>
      </c>
      <c r="L499" s="66">
        <f ca="1">+Distribution!J574+Meter!J574+TDCustSvc!J574</f>
        <v>6196.7720329601934</v>
      </c>
      <c r="M499" s="79">
        <f t="shared" ca="1" si="57"/>
        <v>0.99999999999999989</v>
      </c>
      <c r="N499" s="27" t="str">
        <f t="shared" ca="1" si="55"/>
        <v>OK</v>
      </c>
    </row>
    <row r="500" spans="1:14" x14ac:dyDescent="0.2">
      <c r="A500" s="3">
        <f t="shared" si="52"/>
        <v>46</v>
      </c>
      <c r="B500" s="3" t="s">
        <v>91</v>
      </c>
      <c r="C500" s="3" t="s">
        <v>114</v>
      </c>
      <c r="D500" s="16"/>
      <c r="E500" s="4"/>
      <c r="F500" s="9">
        <f>+'II-I TOTAL COMPANY'!H575</f>
        <v>103300.9214806368</v>
      </c>
      <c r="G500" s="66">
        <f>+Distribution!I575+Meter!I575+TDCustSvc!I575</f>
        <v>0</v>
      </c>
      <c r="H500" s="66">
        <f ca="1">+Distribution!J575+Meter!J575+TDCustSvc!J575</f>
        <v>103300.9214806368</v>
      </c>
      <c r="I500" s="79">
        <f t="shared" ca="1" si="56"/>
        <v>1</v>
      </c>
      <c r="J500" s="66">
        <f>+Distribution!H575+Meter!H575+TDCustSvc!H575</f>
        <v>103300.9214806368</v>
      </c>
      <c r="K500" s="66">
        <f>+Distribution!I575+Meter!I575+TDCustSvc!I575</f>
        <v>0</v>
      </c>
      <c r="L500" s="66">
        <f ca="1">+Distribution!J575+Meter!J575+TDCustSvc!J575</f>
        <v>103300.9214806368</v>
      </c>
      <c r="M500" s="79">
        <f t="shared" ca="1" si="57"/>
        <v>1</v>
      </c>
      <c r="N500" s="27" t="str">
        <f t="shared" ca="1" si="55"/>
        <v>OK</v>
      </c>
    </row>
    <row r="501" spans="1:14" x14ac:dyDescent="0.2">
      <c r="A501" s="3">
        <f t="shared" si="52"/>
        <v>47</v>
      </c>
      <c r="B501" s="3" t="s">
        <v>93</v>
      </c>
      <c r="C501" s="3" t="s">
        <v>94</v>
      </c>
      <c r="D501" s="16"/>
      <c r="E501" s="4"/>
      <c r="F501" s="9">
        <f>+'II-I TOTAL COMPANY'!H576</f>
        <v>1094412.2206685692</v>
      </c>
      <c r="G501" s="66">
        <f>+Distribution!I576+Meter!I576+TDCustSvc!I576</f>
        <v>0</v>
      </c>
      <c r="H501" s="66">
        <f ca="1">+Distribution!J576+Meter!J576+TDCustSvc!J576</f>
        <v>1094412.2206685692</v>
      </c>
      <c r="I501" s="79">
        <f t="shared" ca="1" si="56"/>
        <v>1</v>
      </c>
      <c r="J501" s="66">
        <f>+Distribution!H576+Meter!H576+TDCustSvc!H576</f>
        <v>1094412.2206685692</v>
      </c>
      <c r="K501" s="66">
        <f>+Distribution!I576+Meter!I576+TDCustSvc!I576</f>
        <v>0</v>
      </c>
      <c r="L501" s="66">
        <f ca="1">+Distribution!J576+Meter!J576+TDCustSvc!J576</f>
        <v>1094412.2206685692</v>
      </c>
      <c r="M501" s="79">
        <f t="shared" ca="1" si="57"/>
        <v>1</v>
      </c>
      <c r="N501" s="27" t="str">
        <f t="shared" ca="1" si="55"/>
        <v>OK</v>
      </c>
    </row>
    <row r="502" spans="1:14" x14ac:dyDescent="0.2">
      <c r="A502" s="3">
        <f t="shared" si="52"/>
        <v>48</v>
      </c>
      <c r="B502" s="3" t="s">
        <v>95</v>
      </c>
      <c r="C502" s="3" t="s">
        <v>96</v>
      </c>
      <c r="D502" s="16"/>
      <c r="E502" s="4"/>
      <c r="F502" s="9">
        <f>+'II-I TOTAL COMPANY'!H577</f>
        <v>9886.4384860594728</v>
      </c>
      <c r="G502" s="66">
        <f>+Distribution!I577+Meter!I577+TDCustSvc!I577</f>
        <v>0</v>
      </c>
      <c r="H502" s="66">
        <f ca="1">+Distribution!J577+Meter!J577+TDCustSvc!J577</f>
        <v>9886.4384860594764</v>
      </c>
      <c r="I502" s="79">
        <f t="shared" ca="1" si="56"/>
        <v>1.0000000000000004</v>
      </c>
      <c r="J502" s="66">
        <f>+Distribution!H577+Meter!H577+TDCustSvc!H577</f>
        <v>9886.4384860594728</v>
      </c>
      <c r="K502" s="66">
        <f>+Distribution!I577+Meter!I577+TDCustSvc!I577</f>
        <v>0</v>
      </c>
      <c r="L502" s="66">
        <f ca="1">+Distribution!J577+Meter!J577+TDCustSvc!J577</f>
        <v>9886.4384860594764</v>
      </c>
      <c r="M502" s="79">
        <f t="shared" ca="1" si="57"/>
        <v>1.0000000000000004</v>
      </c>
      <c r="N502" s="27">
        <f t="shared" ca="1" si="55"/>
        <v>0</v>
      </c>
    </row>
    <row r="503" spans="1:14" x14ac:dyDescent="0.2">
      <c r="A503" s="3">
        <f t="shared" si="52"/>
        <v>49</v>
      </c>
      <c r="B503" s="3" t="s">
        <v>97</v>
      </c>
      <c r="C503" s="3" t="s">
        <v>98</v>
      </c>
      <c r="D503" s="16"/>
      <c r="E503" s="4"/>
      <c r="F503" s="9">
        <f>+'II-I TOTAL COMPANY'!H578</f>
        <v>1456.2739959115183</v>
      </c>
      <c r="G503" s="66">
        <f>+Distribution!I578+Meter!I578+TDCustSvc!I578</f>
        <v>0</v>
      </c>
      <c r="H503" s="66">
        <f ca="1">+Distribution!J578+Meter!J578+TDCustSvc!J578</f>
        <v>1456.2739959115183</v>
      </c>
      <c r="I503" s="79">
        <f t="shared" ca="1" si="56"/>
        <v>1</v>
      </c>
      <c r="J503" s="66">
        <f>+Distribution!H578+Meter!H578+TDCustSvc!H578</f>
        <v>1456.2739959115183</v>
      </c>
      <c r="K503" s="66">
        <f>+Distribution!I578+Meter!I578+TDCustSvc!I578</f>
        <v>0</v>
      </c>
      <c r="L503" s="66">
        <f ca="1">+Distribution!J578+Meter!J578+TDCustSvc!J578</f>
        <v>1456.2739959115183</v>
      </c>
      <c r="M503" s="79">
        <f t="shared" ca="1" si="57"/>
        <v>1</v>
      </c>
      <c r="N503" s="27" t="str">
        <f t="shared" ca="1" si="55"/>
        <v>OK</v>
      </c>
    </row>
    <row r="504" spans="1:14" x14ac:dyDescent="0.2">
      <c r="A504" s="3">
        <f t="shared" si="52"/>
        <v>50</v>
      </c>
      <c r="B504" s="3" t="s">
        <v>105</v>
      </c>
      <c r="C504" s="3" t="s">
        <v>106</v>
      </c>
      <c r="D504" s="16"/>
      <c r="E504" s="4"/>
      <c r="F504" s="9">
        <f>+'II-I TOTAL COMPANY'!H579</f>
        <v>11303668.099257478</v>
      </c>
      <c r="G504" s="66">
        <f>+Distribution!I579+Meter!I579+TDCustSvc!I579</f>
        <v>0</v>
      </c>
      <c r="H504" s="66">
        <f ca="1">+Distribution!J579+Meter!J579+TDCustSvc!J579</f>
        <v>11303668.099257475</v>
      </c>
      <c r="I504" s="79">
        <f t="shared" ca="1" si="56"/>
        <v>0.99999999999999967</v>
      </c>
      <c r="J504" s="66">
        <f>+Distribution!H579+Meter!H579+TDCustSvc!H579</f>
        <v>11303668.099257478</v>
      </c>
      <c r="K504" s="66">
        <f>+Distribution!I579+Meter!I579+TDCustSvc!I579</f>
        <v>0</v>
      </c>
      <c r="L504" s="66">
        <f ca="1">+Distribution!J579+Meter!J579+TDCustSvc!J579</f>
        <v>11303668.099257475</v>
      </c>
      <c r="M504" s="79">
        <f t="shared" ca="1" si="57"/>
        <v>0.99999999999999967</v>
      </c>
      <c r="N504" s="27" t="str">
        <f t="shared" ca="1" si="55"/>
        <v>OK</v>
      </c>
    </row>
    <row r="505" spans="1:14" x14ac:dyDescent="0.2">
      <c r="A505" s="3">
        <f t="shared" si="52"/>
        <v>51</v>
      </c>
      <c r="B505" s="3" t="s">
        <v>99</v>
      </c>
      <c r="C505" s="3" t="s">
        <v>100</v>
      </c>
      <c r="D505" s="16"/>
      <c r="E505" s="4"/>
      <c r="F505" s="9">
        <f>+'II-I TOTAL COMPANY'!H580</f>
        <v>317367.31053991488</v>
      </c>
      <c r="G505" s="66">
        <f>+Distribution!I580+Meter!I580+TDCustSvc!I580</f>
        <v>0</v>
      </c>
      <c r="H505" s="66">
        <f ca="1">+Distribution!J580+Meter!J580+TDCustSvc!J580</f>
        <v>317367.31053991494</v>
      </c>
      <c r="I505" s="79">
        <f t="shared" ca="1" si="56"/>
        <v>1.0000000000000002</v>
      </c>
      <c r="J505" s="66">
        <f>+Distribution!H580+Meter!H580+TDCustSvc!H580</f>
        <v>317367.31053991488</v>
      </c>
      <c r="K505" s="66">
        <f>+Distribution!I580+Meter!I580+TDCustSvc!I580</f>
        <v>0</v>
      </c>
      <c r="L505" s="66">
        <f ca="1">+Distribution!J580+Meter!J580+TDCustSvc!J580</f>
        <v>317367.31053991494</v>
      </c>
      <c r="M505" s="79">
        <f t="shared" ca="1" si="57"/>
        <v>1.0000000000000002</v>
      </c>
      <c r="N505" s="27" t="str">
        <f t="shared" ca="1" si="55"/>
        <v>OK</v>
      </c>
    </row>
    <row r="506" spans="1:14" x14ac:dyDescent="0.2">
      <c r="A506" s="3">
        <f t="shared" si="52"/>
        <v>52</v>
      </c>
      <c r="B506" s="3" t="s">
        <v>101</v>
      </c>
      <c r="C506" s="3" t="s">
        <v>115</v>
      </c>
      <c r="D506" s="16"/>
      <c r="E506" s="4"/>
      <c r="F506" s="9">
        <f>+'II-I TOTAL COMPANY'!H581</f>
        <v>36857.56</v>
      </c>
      <c r="G506" s="66">
        <f>+Distribution!I581+Meter!I581+TDCustSvc!I581</f>
        <v>0</v>
      </c>
      <c r="H506" s="66">
        <f ca="1">+Distribution!J581+Meter!J581+TDCustSvc!J581</f>
        <v>36857.56</v>
      </c>
      <c r="I506" s="79"/>
      <c r="J506" s="66">
        <f>+Distribution!H581+Meter!H581+TDCustSvc!H581</f>
        <v>36857.56</v>
      </c>
      <c r="K506" s="66">
        <f>+Distribution!I581+Meter!I581+TDCustSvc!I581</f>
        <v>0</v>
      </c>
      <c r="L506" s="66">
        <f ca="1">+Distribution!J581+Meter!J581+TDCustSvc!J581</f>
        <v>36857.56</v>
      </c>
      <c r="M506" s="79"/>
      <c r="N506" s="27" t="str">
        <f t="shared" ca="1" si="55"/>
        <v>OK</v>
      </c>
    </row>
    <row r="507" spans="1:14" x14ac:dyDescent="0.2">
      <c r="A507" s="3">
        <f t="shared" si="52"/>
        <v>53</v>
      </c>
      <c r="B507" s="3"/>
      <c r="C507" s="3" t="s">
        <v>288</v>
      </c>
      <c r="D507" s="3"/>
      <c r="E507" s="4"/>
      <c r="F507" s="9">
        <f>+'II-I TOTAL COMPANY'!H582</f>
        <v>18676892.12540216</v>
      </c>
      <c r="G507" s="66">
        <f>+Distribution!I582+Meter!I582+TDCustSvc!I582</f>
        <v>0</v>
      </c>
      <c r="H507" s="66">
        <f ca="1">+Distribution!J582+Meter!J582+TDCustSvc!J582</f>
        <v>18676892.125402164</v>
      </c>
      <c r="I507" s="79">
        <f t="shared" ca="1" si="56"/>
        <v>1.0000000000000002</v>
      </c>
      <c r="J507" s="66">
        <f>+Distribution!H582+Meter!H582+TDCustSvc!H582</f>
        <v>18676892.125402164</v>
      </c>
      <c r="K507" s="66">
        <f>+Distribution!I582+Meter!I582+TDCustSvc!I582</f>
        <v>0</v>
      </c>
      <c r="L507" s="66">
        <f ca="1">+Distribution!J582+Meter!J582+TDCustSvc!J582</f>
        <v>18676892.125402164</v>
      </c>
      <c r="M507" s="79">
        <f t="shared" ca="1" si="57"/>
        <v>1</v>
      </c>
      <c r="N507" s="27" t="str">
        <f t="shared" ca="1" si="55"/>
        <v>OK</v>
      </c>
    </row>
    <row r="508" spans="1:14" x14ac:dyDescent="0.2">
      <c r="A508" s="3"/>
      <c r="B508" s="7" t="s">
        <v>286</v>
      </c>
      <c r="C508" s="3"/>
      <c r="D508" s="3"/>
      <c r="E508" s="4"/>
      <c r="F508" s="9"/>
      <c r="G508" s="66"/>
      <c r="H508" s="66"/>
      <c r="I508" s="79"/>
      <c r="J508" s="79"/>
      <c r="K508" s="79"/>
      <c r="L508" s="79"/>
      <c r="M508" s="79"/>
      <c r="N508" s="27" t="str">
        <f t="shared" si="55"/>
        <v>OK</v>
      </c>
    </row>
    <row r="509" spans="1:14" x14ac:dyDescent="0.2">
      <c r="A509" s="3"/>
      <c r="B509" s="3"/>
      <c r="C509" s="3"/>
      <c r="D509" s="3"/>
      <c r="E509" s="4"/>
      <c r="F509" s="9"/>
      <c r="G509" s="66"/>
      <c r="H509" s="66"/>
      <c r="I509" s="79"/>
      <c r="J509" s="79"/>
      <c r="K509" s="79"/>
      <c r="L509" s="79"/>
      <c r="M509" s="79"/>
      <c r="N509" s="27" t="str">
        <f t="shared" si="55"/>
        <v>OK</v>
      </c>
    </row>
    <row r="510" spans="1:14" x14ac:dyDescent="0.2">
      <c r="A510" s="3">
        <f t="shared" ref="A510:A518" si="58">+A509+1</f>
        <v>1</v>
      </c>
      <c r="B510" s="3" t="s">
        <v>289</v>
      </c>
      <c r="C510" s="3"/>
      <c r="D510" s="3"/>
      <c r="E510" s="4"/>
      <c r="F510" s="9"/>
      <c r="G510" s="66"/>
      <c r="H510" s="66"/>
      <c r="I510" s="79"/>
      <c r="J510" s="79"/>
      <c r="K510" s="79"/>
      <c r="L510" s="79"/>
      <c r="M510" s="79"/>
      <c r="N510" s="27" t="str">
        <f t="shared" si="55"/>
        <v>OK</v>
      </c>
    </row>
    <row r="511" spans="1:14" x14ac:dyDescent="0.2">
      <c r="A511" s="3">
        <f t="shared" si="58"/>
        <v>2</v>
      </c>
      <c r="B511" s="3"/>
      <c r="C511" s="3" t="s">
        <v>814</v>
      </c>
      <c r="D511" s="80"/>
      <c r="E511" s="4"/>
      <c r="F511" s="9">
        <f>+'II-I TOTAL COMPANY'!H586</f>
        <v>-1286124.8801766695</v>
      </c>
      <c r="G511" s="66">
        <f>+Distribution!I586+Meter!I586+TDCustSvc!I586</f>
        <v>0</v>
      </c>
      <c r="H511" s="66">
        <f>+Distribution!J586+Meter!J586+TDCustSvc!J586</f>
        <v>-1286124.8801766697</v>
      </c>
      <c r="I511" s="79">
        <f>IFERROR(+H511/F511,0)</f>
        <v>1.0000000000000002</v>
      </c>
      <c r="J511" s="66">
        <f>+Distribution!H586+Meter!H586+TDCustSvc!H586</f>
        <v>-1286124.8801766695</v>
      </c>
      <c r="K511" s="66">
        <f>+Distribution!I586+Meter!I586+TDCustSvc!I586</f>
        <v>0</v>
      </c>
      <c r="L511" s="66">
        <f>+Distribution!J586+Meter!J586+TDCustSvc!J586</f>
        <v>-1286124.8801766697</v>
      </c>
      <c r="M511" s="79">
        <f>IFERROR(+L511/J511,0)</f>
        <v>1.0000000000000002</v>
      </c>
      <c r="N511" s="27" t="str">
        <f t="shared" si="55"/>
        <v>OK</v>
      </c>
    </row>
    <row r="512" spans="1:14" x14ac:dyDescent="0.2">
      <c r="A512" s="3">
        <f t="shared" si="58"/>
        <v>3</v>
      </c>
      <c r="B512" s="3"/>
      <c r="C512" s="3" t="s">
        <v>820</v>
      </c>
      <c r="D512" s="80"/>
      <c r="E512" s="4"/>
      <c r="F512" s="9">
        <f>+'II-I TOTAL COMPANY'!H587</f>
        <v>939710.90400000033</v>
      </c>
      <c r="G512" s="66">
        <f>+Distribution!I587+Meter!I587+TDCustSvc!I587</f>
        <v>0</v>
      </c>
      <c r="H512" s="66">
        <f>+Distribution!J587+Meter!J587+TDCustSvc!J587</f>
        <v>939710.90400000033</v>
      </c>
      <c r="I512" s="79">
        <f>IFERROR(+H512/F512,0)</f>
        <v>1</v>
      </c>
      <c r="J512" s="66">
        <f>+Distribution!H587+Meter!H587+TDCustSvc!H587</f>
        <v>939710.90400000033</v>
      </c>
      <c r="K512" s="66">
        <f>+Distribution!I587+Meter!I587+TDCustSvc!I587</f>
        <v>0</v>
      </c>
      <c r="L512" s="66">
        <f>+Distribution!J587+Meter!J587+TDCustSvc!J587</f>
        <v>939710.90400000033</v>
      </c>
      <c r="M512" s="79">
        <f>IFERROR(+L512/J512,0)</f>
        <v>1</v>
      </c>
      <c r="N512" s="27" t="str">
        <f t="shared" si="55"/>
        <v>OK</v>
      </c>
    </row>
    <row r="513" spans="1:14" x14ac:dyDescent="0.2">
      <c r="A513" s="3">
        <f t="shared" si="58"/>
        <v>4</v>
      </c>
      <c r="B513" s="3"/>
      <c r="C513" s="3" t="s">
        <v>821</v>
      </c>
      <c r="D513" s="1"/>
      <c r="E513" s="4"/>
      <c r="F513" s="9">
        <f>+'II-I TOTAL COMPANY'!H588</f>
        <v>2212976.5979999993</v>
      </c>
      <c r="G513" s="66">
        <f>+Distribution!I588+Meter!I588+TDCustSvc!I588</f>
        <v>0</v>
      </c>
      <c r="H513" s="66">
        <f>+Distribution!J588+Meter!J588+TDCustSvc!J588</f>
        <v>2212976.5979999993</v>
      </c>
      <c r="I513" s="79">
        <f>IFERROR(+H513/F513,0)</f>
        <v>1</v>
      </c>
      <c r="J513" s="66">
        <f>+Distribution!H588+Meter!H588+TDCustSvc!H588</f>
        <v>2212976.5979999993</v>
      </c>
      <c r="K513" s="66">
        <f>+Distribution!I588+Meter!I588+TDCustSvc!I588</f>
        <v>0</v>
      </c>
      <c r="L513" s="66">
        <f>+Distribution!J588+Meter!J588+TDCustSvc!J588</f>
        <v>2212976.5979999993</v>
      </c>
      <c r="M513" s="79">
        <f>IFERROR(+L513/J513,0)</f>
        <v>1</v>
      </c>
      <c r="N513" s="27" t="str">
        <f t="shared" si="55"/>
        <v>OK</v>
      </c>
    </row>
    <row r="514" spans="1:14" x14ac:dyDescent="0.2">
      <c r="A514" s="3">
        <f t="shared" si="58"/>
        <v>5</v>
      </c>
      <c r="B514" s="3"/>
      <c r="C514" s="3" t="s">
        <v>653</v>
      </c>
      <c r="D514" s="1"/>
      <c r="E514" s="4"/>
      <c r="F514" s="9">
        <f>+'II-I TOTAL COMPANY'!H589</f>
        <v>0</v>
      </c>
      <c r="G514" s="66">
        <f>+Distribution!I589+Meter!I589+TDCustSvc!I589</f>
        <v>0</v>
      </c>
      <c r="H514" s="66">
        <f>+Distribution!J589+Meter!J589+TDCustSvc!J589</f>
        <v>0</v>
      </c>
      <c r="I514" s="79">
        <f>IFERROR(+H514/F514,0)</f>
        <v>0</v>
      </c>
      <c r="J514" s="66">
        <f>+Distribution!H589+Meter!H589+TDCustSvc!H589</f>
        <v>0</v>
      </c>
      <c r="K514" s="66">
        <f>+Distribution!I589+Meter!I589+TDCustSvc!I589</f>
        <v>0</v>
      </c>
      <c r="L514" s="66">
        <f>+Distribution!J589+Meter!J589+TDCustSvc!J589</f>
        <v>0</v>
      </c>
      <c r="M514" s="79">
        <f>IFERROR(+L514/J514,0)</f>
        <v>0</v>
      </c>
      <c r="N514" s="27" t="str">
        <f t="shared" si="55"/>
        <v>OK</v>
      </c>
    </row>
    <row r="515" spans="1:14" x14ac:dyDescent="0.2">
      <c r="A515" s="3">
        <f t="shared" si="58"/>
        <v>6</v>
      </c>
      <c r="B515" s="3"/>
      <c r="C515" s="3" t="s">
        <v>531</v>
      </c>
      <c r="D515" s="1"/>
      <c r="E515" s="4"/>
      <c r="F515" s="9">
        <f>+'II-I TOTAL COMPANY'!H590</f>
        <v>0</v>
      </c>
      <c r="G515" s="66">
        <f>+Distribution!I590+Meter!I590+TDCustSvc!I590</f>
        <v>0</v>
      </c>
      <c r="H515" s="66">
        <f>+Distribution!J590+Meter!J590+TDCustSvc!J590</f>
        <v>0</v>
      </c>
      <c r="I515" s="79">
        <f>IFERROR(+H515/F515,0)</f>
        <v>0</v>
      </c>
      <c r="J515" s="66">
        <f>+Distribution!H590+Meter!H590+TDCustSvc!H590</f>
        <v>0</v>
      </c>
      <c r="K515" s="66">
        <f>+Distribution!I590+Meter!I590+TDCustSvc!I590</f>
        <v>0</v>
      </c>
      <c r="L515" s="66">
        <f>+Distribution!J590+Meter!J590+TDCustSvc!J590</f>
        <v>0</v>
      </c>
      <c r="M515" s="79">
        <f>IFERROR(+L515/J515,0)</f>
        <v>0</v>
      </c>
      <c r="N515" s="27" t="str">
        <f t="shared" si="55"/>
        <v>OK</v>
      </c>
    </row>
    <row r="516" spans="1:14" x14ac:dyDescent="0.2">
      <c r="A516" s="3">
        <f t="shared" si="58"/>
        <v>7</v>
      </c>
      <c r="B516" s="3"/>
      <c r="C516" s="3" t="s">
        <v>654</v>
      </c>
      <c r="D516" s="1"/>
      <c r="E516" s="4"/>
      <c r="F516" s="9">
        <f>+'II-I TOTAL COMPANY'!H591</f>
        <v>59660.879999999946</v>
      </c>
      <c r="G516" s="66">
        <f>+Distribution!I591+Meter!I591+TDCustSvc!I591</f>
        <v>0</v>
      </c>
      <c r="H516" s="66">
        <f ca="1">+Distribution!J591+Meter!J591+TDCustSvc!J591</f>
        <v>59660.879999999946</v>
      </c>
      <c r="I516" s="79">
        <f t="shared" ca="1" si="56"/>
        <v>1</v>
      </c>
      <c r="J516" s="66">
        <f>+Distribution!H591+Meter!H591+TDCustSvc!H591</f>
        <v>59660.879999999946</v>
      </c>
      <c r="K516" s="66">
        <f>+Distribution!I591+Meter!I591+TDCustSvc!I591</f>
        <v>0</v>
      </c>
      <c r="L516" s="66">
        <f ca="1">+Distribution!J591+Meter!J591+TDCustSvc!J591</f>
        <v>59660.879999999946</v>
      </c>
      <c r="M516" s="79">
        <f t="shared" ca="1" si="57"/>
        <v>1</v>
      </c>
      <c r="N516" s="27" t="str">
        <f t="shared" ca="1" si="55"/>
        <v>OK</v>
      </c>
    </row>
    <row r="517" spans="1:14" x14ac:dyDescent="0.2">
      <c r="A517" s="3">
        <f t="shared" si="58"/>
        <v>8</v>
      </c>
      <c r="B517" s="3"/>
      <c r="C517" s="3"/>
      <c r="D517" s="1"/>
      <c r="E517" s="4"/>
      <c r="F517" s="9"/>
      <c r="G517" s="66"/>
      <c r="H517" s="66"/>
      <c r="I517" s="79"/>
      <c r="J517" s="79"/>
      <c r="K517" s="79"/>
      <c r="L517" s="79"/>
      <c r="M517" s="79"/>
      <c r="N517" s="27" t="str">
        <f t="shared" si="55"/>
        <v>OK</v>
      </c>
    </row>
    <row r="518" spans="1:14" x14ac:dyDescent="0.2">
      <c r="A518" s="3">
        <f t="shared" si="58"/>
        <v>9</v>
      </c>
      <c r="B518" s="3"/>
      <c r="C518" s="3"/>
      <c r="D518" s="1"/>
      <c r="E518" s="4"/>
      <c r="F518" s="9"/>
      <c r="G518" s="66"/>
      <c r="H518" s="66"/>
      <c r="I518" s="79"/>
      <c r="J518" s="79"/>
      <c r="K518" s="79"/>
      <c r="L518" s="79"/>
      <c r="M518" s="79"/>
      <c r="N518" s="27" t="str">
        <f t="shared" si="55"/>
        <v>OK</v>
      </c>
    </row>
    <row r="519" spans="1:14" x14ac:dyDescent="0.2">
      <c r="A519" s="3">
        <f>+A513+1</f>
        <v>5</v>
      </c>
      <c r="B519" s="3"/>
      <c r="C519" s="3" t="s">
        <v>290</v>
      </c>
      <c r="D519" s="3"/>
      <c r="E519" s="4"/>
      <c r="F519" s="9">
        <f>+'II-I TOTAL COMPANY'!H594</f>
        <v>1926223.5018233301</v>
      </c>
      <c r="G519" s="66">
        <f>+Distribution!I594+Meter!I594+TDCustSvc!I594</f>
        <v>0</v>
      </c>
      <c r="H519" s="66">
        <f ca="1">+Distribution!J594+Meter!J594+TDCustSvc!J594</f>
        <v>1926223.5018233301</v>
      </c>
      <c r="I519" s="79">
        <f t="shared" ca="1" si="56"/>
        <v>1</v>
      </c>
      <c r="J519" s="66">
        <f>+Distribution!H594+Meter!H594+TDCustSvc!H594</f>
        <v>1926223.5018233301</v>
      </c>
      <c r="K519" s="66">
        <f>+Distribution!I594+Meter!I594+TDCustSvc!I594</f>
        <v>0</v>
      </c>
      <c r="L519" s="66">
        <f ca="1">+Distribution!J594+Meter!J594+TDCustSvc!J594</f>
        <v>1926223.5018233301</v>
      </c>
      <c r="M519" s="79">
        <f t="shared" ca="1" si="57"/>
        <v>1</v>
      </c>
      <c r="N519" s="27" t="str">
        <f t="shared" ca="1" si="55"/>
        <v>OK</v>
      </c>
    </row>
    <row r="520" spans="1:14" x14ac:dyDescent="0.2">
      <c r="A520" s="3">
        <f t="shared" ref="A520:A551" si="59">+A519+1</f>
        <v>6</v>
      </c>
      <c r="B520" s="3"/>
      <c r="C520" s="3"/>
      <c r="D520" s="3"/>
      <c r="E520" s="4"/>
      <c r="F520" s="9"/>
      <c r="G520" s="66"/>
      <c r="H520" s="66"/>
      <c r="I520" s="79"/>
      <c r="J520" s="79"/>
      <c r="K520" s="79"/>
      <c r="L520" s="79"/>
      <c r="M520" s="79"/>
      <c r="N520" s="27" t="str">
        <f t="shared" si="55"/>
        <v>OK</v>
      </c>
    </row>
    <row r="521" spans="1:14" x14ac:dyDescent="0.2">
      <c r="A521" s="3">
        <f t="shared" si="59"/>
        <v>7</v>
      </c>
      <c r="B521" s="3"/>
      <c r="C521" s="3"/>
      <c r="D521" s="3"/>
      <c r="E521" s="4"/>
      <c r="F521" s="9"/>
      <c r="G521" s="66"/>
      <c r="H521" s="66"/>
      <c r="I521" s="79"/>
      <c r="J521" s="79"/>
      <c r="K521" s="79"/>
      <c r="L521" s="79"/>
      <c r="M521" s="79"/>
      <c r="N521" s="27" t="str">
        <f t="shared" si="55"/>
        <v>OK</v>
      </c>
    </row>
    <row r="522" spans="1:14" x14ac:dyDescent="0.2">
      <c r="A522" s="3">
        <f t="shared" si="59"/>
        <v>8</v>
      </c>
      <c r="B522" s="3" t="s">
        <v>291</v>
      </c>
      <c r="C522" s="3"/>
      <c r="D522" s="3"/>
      <c r="E522" s="4"/>
      <c r="F522" s="9">
        <f>+'II-I TOTAL COMPANY'!H597</f>
        <v>222732095.21411851</v>
      </c>
      <c r="G522" s="66">
        <f>+Distribution!I597+Meter!I597+TDCustSvc!I597</f>
        <v>0</v>
      </c>
      <c r="H522" s="66">
        <f ca="1">+Distribution!J597+Meter!J597+TDCustSvc!J597</f>
        <v>222732095.21411866</v>
      </c>
      <c r="I522" s="79">
        <f t="shared" ca="1" si="56"/>
        <v>1.0000000000000007</v>
      </c>
      <c r="J522" s="66">
        <f>+Distribution!H597+Meter!H597+TDCustSvc!H597</f>
        <v>222732095.21411851</v>
      </c>
      <c r="K522" s="66">
        <f>+Distribution!I597+Meter!I597+TDCustSvc!I597</f>
        <v>0</v>
      </c>
      <c r="L522" s="66">
        <f ca="1">+Distribution!J597+Meter!J597+TDCustSvc!J597</f>
        <v>222732095.21411866</v>
      </c>
      <c r="M522" s="79">
        <f t="shared" ca="1" si="57"/>
        <v>1.0000000000000007</v>
      </c>
      <c r="N522" s="27" t="str">
        <f t="shared" ca="1" si="55"/>
        <v>OK</v>
      </c>
    </row>
    <row r="523" spans="1:14" x14ac:dyDescent="0.2">
      <c r="A523" s="3">
        <f t="shared" si="59"/>
        <v>9</v>
      </c>
      <c r="B523" s="3"/>
      <c r="C523" s="3"/>
      <c r="D523" s="3"/>
      <c r="E523" s="4"/>
      <c r="F523" s="9"/>
      <c r="G523" s="66"/>
      <c r="H523" s="66"/>
      <c r="I523" s="79"/>
      <c r="J523" s="79"/>
      <c r="K523" s="79"/>
      <c r="L523" s="79"/>
      <c r="M523" s="79"/>
      <c r="N523" s="27" t="str">
        <f t="shared" si="55"/>
        <v>OK</v>
      </c>
    </row>
    <row r="524" spans="1:14" x14ac:dyDescent="0.2">
      <c r="A524" s="3">
        <f t="shared" si="59"/>
        <v>10</v>
      </c>
      <c r="B524" s="3"/>
      <c r="C524" s="3"/>
      <c r="D524" s="3"/>
      <c r="E524" s="4"/>
      <c r="F524" s="9"/>
      <c r="G524" s="66"/>
      <c r="H524" s="66"/>
      <c r="I524" s="79"/>
      <c r="J524" s="79"/>
      <c r="K524" s="79"/>
      <c r="L524" s="79"/>
      <c r="M524" s="79"/>
      <c r="N524" s="27" t="str">
        <f t="shared" si="55"/>
        <v>OK</v>
      </c>
    </row>
    <row r="525" spans="1:14" x14ac:dyDescent="0.2">
      <c r="A525" s="3">
        <f t="shared" si="59"/>
        <v>11</v>
      </c>
      <c r="B525" s="3"/>
      <c r="C525" s="3"/>
      <c r="D525" s="3"/>
      <c r="E525" s="4"/>
      <c r="F525" s="9"/>
      <c r="G525" s="66"/>
      <c r="H525" s="66"/>
      <c r="I525" s="79"/>
      <c r="J525" s="79"/>
      <c r="K525" s="79"/>
      <c r="L525" s="79"/>
      <c r="M525" s="79"/>
      <c r="N525" s="27" t="str">
        <f t="shared" si="55"/>
        <v>OK</v>
      </c>
    </row>
    <row r="526" spans="1:14" x14ac:dyDescent="0.2">
      <c r="A526" s="3">
        <f t="shared" si="59"/>
        <v>12</v>
      </c>
      <c r="B526" s="7" t="s">
        <v>292</v>
      </c>
      <c r="C526" s="3"/>
      <c r="D526" s="3"/>
      <c r="E526" s="4"/>
      <c r="F526" s="9"/>
      <c r="G526" s="66"/>
      <c r="H526" s="66"/>
      <c r="I526" s="79"/>
      <c r="J526" s="79"/>
      <c r="K526" s="79"/>
      <c r="L526" s="79"/>
      <c r="M526" s="79"/>
      <c r="N526" s="27" t="str">
        <f t="shared" si="55"/>
        <v>OK</v>
      </c>
    </row>
    <row r="527" spans="1:14" x14ac:dyDescent="0.2">
      <c r="A527" s="3">
        <f t="shared" si="59"/>
        <v>13</v>
      </c>
      <c r="B527" s="3"/>
      <c r="C527" s="3"/>
      <c r="D527" s="3"/>
      <c r="E527" s="4"/>
      <c r="F527" s="9"/>
      <c r="G527" s="66"/>
      <c r="H527" s="66"/>
      <c r="I527" s="79"/>
      <c r="J527" s="79"/>
      <c r="K527" s="79"/>
      <c r="L527" s="79"/>
      <c r="M527" s="79"/>
      <c r="N527" s="27" t="str">
        <f t="shared" si="55"/>
        <v>OK</v>
      </c>
    </row>
    <row r="528" spans="1:14" x14ac:dyDescent="0.2">
      <c r="A528" s="3">
        <f t="shared" si="59"/>
        <v>14</v>
      </c>
      <c r="B528" s="3" t="s">
        <v>293</v>
      </c>
      <c r="C528" s="3"/>
      <c r="D528" s="3"/>
      <c r="E528" s="4"/>
      <c r="F528" s="9"/>
      <c r="G528" s="66"/>
      <c r="H528" s="66"/>
      <c r="I528" s="79"/>
      <c r="J528" s="79"/>
      <c r="K528" s="79"/>
      <c r="L528" s="79"/>
      <c r="M528" s="79"/>
      <c r="N528" s="27" t="str">
        <f t="shared" si="55"/>
        <v>OK</v>
      </c>
    </row>
    <row r="529" spans="1:14" x14ac:dyDescent="0.2">
      <c r="A529" s="3">
        <f t="shared" si="59"/>
        <v>15</v>
      </c>
      <c r="B529" s="3"/>
      <c r="C529" s="3"/>
      <c r="D529" s="3"/>
      <c r="E529" s="4"/>
      <c r="F529" s="9"/>
      <c r="G529" s="66"/>
      <c r="H529" s="66"/>
      <c r="I529" s="79"/>
      <c r="J529" s="79"/>
      <c r="K529" s="79"/>
      <c r="L529" s="79"/>
      <c r="M529" s="79"/>
      <c r="N529" s="27" t="str">
        <f t="shared" si="55"/>
        <v>OK</v>
      </c>
    </row>
    <row r="530" spans="1:14" x14ac:dyDescent="0.2">
      <c r="A530" s="3">
        <f t="shared" si="59"/>
        <v>16</v>
      </c>
      <c r="B530" s="3"/>
      <c r="C530" s="3" t="s">
        <v>294</v>
      </c>
      <c r="D530" s="1"/>
      <c r="E530" s="4"/>
      <c r="F530" s="9">
        <f>+'II-I TOTAL COMPANY'!H605</f>
        <v>5308158.7176223211</v>
      </c>
      <c r="G530" s="66">
        <f>+Distribution!I605+Meter!I605+TDCustSvc!I605</f>
        <v>0</v>
      </c>
      <c r="H530" s="66">
        <f ca="1">+Distribution!J605+Meter!J605+TDCustSvc!J605</f>
        <v>5308158.717622322</v>
      </c>
      <c r="I530" s="79">
        <f t="shared" ca="1" si="56"/>
        <v>1.0000000000000002</v>
      </c>
      <c r="J530" s="66">
        <f>+Distribution!H605+Meter!H605+TDCustSvc!H605</f>
        <v>5308158.7176223211</v>
      </c>
      <c r="K530" s="66">
        <f>+Distribution!I605+Meter!I605+TDCustSvc!I605</f>
        <v>0</v>
      </c>
      <c r="L530" s="66">
        <f ca="1">+Distribution!J605+Meter!J605+TDCustSvc!J605</f>
        <v>5308158.717622322</v>
      </c>
      <c r="M530" s="79">
        <f t="shared" ca="1" si="57"/>
        <v>1.0000000000000002</v>
      </c>
      <c r="N530" s="27" t="str">
        <f t="shared" ca="1" si="55"/>
        <v>OK</v>
      </c>
    </row>
    <row r="531" spans="1:14" x14ac:dyDescent="0.2">
      <c r="A531" s="3">
        <f t="shared" si="59"/>
        <v>17</v>
      </c>
      <c r="B531" s="3"/>
      <c r="C531" s="3" t="s">
        <v>540</v>
      </c>
      <c r="D531" s="1"/>
      <c r="E531" s="4"/>
      <c r="F531" s="9">
        <f>+'II-I TOTAL COMPANY'!H606</f>
        <v>47464638.425944977</v>
      </c>
      <c r="G531" s="66">
        <f>+Distribution!I606+Meter!I606+TDCustSvc!I606</f>
        <v>0</v>
      </c>
      <c r="H531" s="66">
        <f ca="1">+Distribution!J606+Meter!J606+TDCustSvc!J606</f>
        <v>47464638.425944977</v>
      </c>
      <c r="I531" s="79">
        <f t="shared" ca="1" si="56"/>
        <v>1</v>
      </c>
      <c r="J531" s="66">
        <f>+Distribution!H606+Meter!H606+TDCustSvc!H606</f>
        <v>47464638.425944977</v>
      </c>
      <c r="K531" s="66">
        <f>+Distribution!I606+Meter!I606+TDCustSvc!I606</f>
        <v>0</v>
      </c>
      <c r="L531" s="66">
        <f ca="1">+Distribution!J606+Meter!J606+TDCustSvc!J606</f>
        <v>47464638.425944977</v>
      </c>
      <c r="M531" s="79">
        <f t="shared" ca="1" si="57"/>
        <v>1</v>
      </c>
      <c r="N531" s="27" t="str">
        <f t="shared" ref="N531:N594" ca="1" si="60">IF(SUM(G531+H531)=F531,"OK",0)</f>
        <v>OK</v>
      </c>
    </row>
    <row r="532" spans="1:14" x14ac:dyDescent="0.2">
      <c r="A532" s="3">
        <f t="shared" si="59"/>
        <v>18</v>
      </c>
      <c r="B532" s="3"/>
      <c r="C532" s="3" t="s">
        <v>539</v>
      </c>
      <c r="D532" s="43"/>
      <c r="E532" s="4"/>
      <c r="F532" s="9">
        <f>+'II-I TOTAL COMPANY'!H607</f>
        <v>51762292.913373299</v>
      </c>
      <c r="G532" s="66">
        <f>+Distribution!I607+Meter!I607+TDCustSvc!I607</f>
        <v>0</v>
      </c>
      <c r="H532" s="66">
        <f>+Distribution!J607+Meter!J607+TDCustSvc!J607</f>
        <v>51762292.913373299</v>
      </c>
      <c r="I532" s="79">
        <f>+H532/F532</f>
        <v>1</v>
      </c>
      <c r="J532" s="66">
        <f>+Distribution!H607+Meter!H607+TDCustSvc!H607</f>
        <v>51762292.913373299</v>
      </c>
      <c r="K532" s="66">
        <f>+Distribution!I607+Meter!I607+TDCustSvc!I607</f>
        <v>0</v>
      </c>
      <c r="L532" s="66">
        <f>+Distribution!J607+Meter!J607+TDCustSvc!J607</f>
        <v>51762292.913373299</v>
      </c>
      <c r="M532" s="79">
        <f t="shared" si="57"/>
        <v>1</v>
      </c>
      <c r="N532" s="27" t="str">
        <f t="shared" si="60"/>
        <v>OK</v>
      </c>
    </row>
    <row r="533" spans="1:14" x14ac:dyDescent="0.2">
      <c r="A533" s="3">
        <f t="shared" si="59"/>
        <v>19</v>
      </c>
      <c r="B533" s="3"/>
      <c r="C533" s="3" t="s">
        <v>358</v>
      </c>
      <c r="D533" s="43"/>
      <c r="E533" s="4"/>
      <c r="F533" s="9">
        <f>+'II-I TOTAL COMPANY'!H608</f>
        <v>10218098.332804846</v>
      </c>
      <c r="G533" s="66">
        <f>+Distribution!I608+Meter!I608+TDCustSvc!I608</f>
        <v>0</v>
      </c>
      <c r="H533" s="66">
        <f ca="1">+Distribution!J608+Meter!J608+TDCustSvc!J608</f>
        <v>10218098.332804842</v>
      </c>
      <c r="I533" s="79">
        <f ca="1">+H533/F533</f>
        <v>0.99999999999999967</v>
      </c>
      <c r="J533" s="66">
        <f>+Distribution!H608+Meter!H608+TDCustSvc!H608</f>
        <v>10218098.332804846</v>
      </c>
      <c r="K533" s="66">
        <f>+Distribution!I608+Meter!I608+TDCustSvc!I608</f>
        <v>0</v>
      </c>
      <c r="L533" s="66">
        <f ca="1">+Distribution!J608+Meter!J608+TDCustSvc!J608</f>
        <v>10218098.332804842</v>
      </c>
      <c r="M533" s="79">
        <f t="shared" ca="1" si="57"/>
        <v>0.99999999999999967</v>
      </c>
      <c r="N533" s="27" t="str">
        <f t="shared" ca="1" si="60"/>
        <v>OK</v>
      </c>
    </row>
    <row r="534" spans="1:14" x14ac:dyDescent="0.2">
      <c r="A534" s="3">
        <f t="shared" si="59"/>
        <v>20</v>
      </c>
      <c r="B534" s="3"/>
      <c r="C534" s="3"/>
      <c r="D534" s="1"/>
      <c r="E534" s="4"/>
      <c r="F534" s="9"/>
      <c r="G534" s="66"/>
      <c r="H534" s="66"/>
      <c r="I534" s="79"/>
      <c r="J534" s="79"/>
      <c r="K534" s="79"/>
      <c r="L534" s="79"/>
      <c r="M534" s="79"/>
      <c r="N534" s="27" t="str">
        <f t="shared" si="60"/>
        <v>OK</v>
      </c>
    </row>
    <row r="535" spans="1:14" x14ac:dyDescent="0.2">
      <c r="A535" s="3">
        <f t="shared" si="59"/>
        <v>21</v>
      </c>
      <c r="B535" s="3"/>
      <c r="C535" s="3"/>
      <c r="D535" s="28"/>
      <c r="E535" s="4"/>
      <c r="F535" s="9"/>
      <c r="G535" s="66"/>
      <c r="H535" s="66"/>
      <c r="I535" s="79"/>
      <c r="J535" s="79"/>
      <c r="K535" s="79"/>
      <c r="L535" s="79"/>
      <c r="M535" s="79"/>
      <c r="N535" s="27" t="str">
        <f t="shared" si="60"/>
        <v>OK</v>
      </c>
    </row>
    <row r="536" spans="1:14" x14ac:dyDescent="0.2">
      <c r="A536" s="3">
        <f t="shared" si="59"/>
        <v>22</v>
      </c>
      <c r="B536" s="3"/>
      <c r="C536" s="3" t="s">
        <v>296</v>
      </c>
      <c r="D536" s="1"/>
      <c r="E536" s="4"/>
      <c r="F536" s="9">
        <f>+'II-I TOTAL COMPANY'!H611</f>
        <v>114753188.38974543</v>
      </c>
      <c r="G536" s="66">
        <f>+Distribution!I611+Meter!I611+TDCustSvc!I611</f>
        <v>0</v>
      </c>
      <c r="H536" s="66">
        <f ca="1">+Distribution!J611+Meter!J611+TDCustSvc!J611</f>
        <v>114753188.38974547</v>
      </c>
      <c r="I536" s="79">
        <f ca="1">+H536/F536</f>
        <v>1.0000000000000004</v>
      </c>
      <c r="J536" s="66">
        <f>+Distribution!H611+Meter!H611+TDCustSvc!H611</f>
        <v>114753188.38974544</v>
      </c>
      <c r="K536" s="66">
        <f>+Distribution!I611+Meter!I611+TDCustSvc!I611</f>
        <v>0</v>
      </c>
      <c r="L536" s="66">
        <f ca="1">+Distribution!J611+Meter!J611+TDCustSvc!J611</f>
        <v>114753188.38974547</v>
      </c>
      <c r="M536" s="79">
        <f t="shared" ca="1" si="57"/>
        <v>1.0000000000000002</v>
      </c>
      <c r="N536" s="27" t="str">
        <f t="shared" ca="1" si="60"/>
        <v>OK</v>
      </c>
    </row>
    <row r="537" spans="1:14" x14ac:dyDescent="0.2">
      <c r="A537" s="3">
        <f t="shared" si="59"/>
        <v>23</v>
      </c>
      <c r="B537" s="3"/>
      <c r="C537" s="3"/>
      <c r="D537" s="3"/>
      <c r="E537" s="4"/>
      <c r="F537" s="9"/>
      <c r="G537" s="66"/>
      <c r="H537" s="66"/>
      <c r="I537" s="79"/>
      <c r="J537" s="79"/>
      <c r="K537" s="79"/>
      <c r="L537" s="79"/>
      <c r="M537" s="79"/>
      <c r="N537" s="27" t="str">
        <f t="shared" si="60"/>
        <v>OK</v>
      </c>
    </row>
    <row r="538" spans="1:14" x14ac:dyDescent="0.2">
      <c r="A538" s="3">
        <f t="shared" si="59"/>
        <v>24</v>
      </c>
      <c r="B538" s="3"/>
      <c r="C538" s="3"/>
      <c r="D538" s="3"/>
      <c r="E538" s="4"/>
      <c r="F538" s="9"/>
      <c r="G538" s="66"/>
      <c r="H538" s="66"/>
      <c r="I538" s="79"/>
      <c r="J538" s="79"/>
      <c r="K538" s="79"/>
      <c r="L538" s="79"/>
      <c r="M538" s="79"/>
      <c r="N538" s="27" t="str">
        <f t="shared" si="60"/>
        <v>OK</v>
      </c>
    </row>
    <row r="539" spans="1:14" x14ac:dyDescent="0.2">
      <c r="A539" s="3">
        <f t="shared" si="59"/>
        <v>25</v>
      </c>
      <c r="B539" s="3"/>
      <c r="C539" s="3"/>
      <c r="D539" s="3"/>
      <c r="E539" s="4"/>
      <c r="F539" s="9"/>
      <c r="G539" s="66"/>
      <c r="H539" s="66"/>
      <c r="I539" s="79"/>
      <c r="J539" s="79"/>
      <c r="K539" s="79"/>
      <c r="L539" s="79"/>
      <c r="M539" s="79"/>
      <c r="N539" s="27" t="str">
        <f t="shared" si="60"/>
        <v>OK</v>
      </c>
    </row>
    <row r="540" spans="1:14" x14ac:dyDescent="0.2">
      <c r="A540" s="3">
        <f t="shared" si="59"/>
        <v>26</v>
      </c>
      <c r="B540" s="3"/>
      <c r="C540" s="3"/>
      <c r="D540" s="3"/>
      <c r="E540" s="4"/>
      <c r="F540" s="9"/>
      <c r="G540" s="66"/>
      <c r="H540" s="66"/>
      <c r="I540" s="79"/>
      <c r="J540" s="79"/>
      <c r="K540" s="79"/>
      <c r="L540" s="79"/>
      <c r="M540" s="79"/>
      <c r="N540" s="27" t="str">
        <f t="shared" si="60"/>
        <v>OK</v>
      </c>
    </row>
    <row r="541" spans="1:14" x14ac:dyDescent="0.2">
      <c r="A541" s="3">
        <f t="shared" si="59"/>
        <v>27</v>
      </c>
      <c r="B541" s="3"/>
      <c r="C541" s="3"/>
      <c r="D541" s="3"/>
      <c r="E541" s="4"/>
      <c r="F541" s="9"/>
      <c r="G541" s="66"/>
      <c r="H541" s="66"/>
      <c r="I541" s="79"/>
      <c r="J541" s="79"/>
      <c r="K541" s="79"/>
      <c r="L541" s="79"/>
      <c r="M541" s="79"/>
      <c r="N541" s="27" t="str">
        <f t="shared" si="60"/>
        <v>OK</v>
      </c>
    </row>
    <row r="542" spans="1:14" x14ac:dyDescent="0.2">
      <c r="A542" s="3">
        <f t="shared" si="59"/>
        <v>28</v>
      </c>
      <c r="B542" s="3"/>
      <c r="C542" s="3"/>
      <c r="D542" s="3"/>
      <c r="E542" s="4"/>
      <c r="F542" s="9"/>
      <c r="G542" s="66"/>
      <c r="H542" s="66"/>
      <c r="I542" s="79"/>
      <c r="J542" s="79"/>
      <c r="K542" s="79"/>
      <c r="L542" s="79"/>
      <c r="M542" s="79"/>
      <c r="N542" s="27" t="str">
        <f t="shared" si="60"/>
        <v>OK</v>
      </c>
    </row>
    <row r="543" spans="1:14" x14ac:dyDescent="0.2">
      <c r="A543" s="3">
        <f t="shared" si="59"/>
        <v>29</v>
      </c>
      <c r="B543" s="3"/>
      <c r="C543" s="3"/>
      <c r="D543" s="3"/>
      <c r="E543" s="4"/>
      <c r="F543" s="9"/>
      <c r="G543" s="66"/>
      <c r="H543" s="66"/>
      <c r="I543" s="79"/>
      <c r="J543" s="79"/>
      <c r="K543" s="79"/>
      <c r="L543" s="79"/>
      <c r="M543" s="79"/>
      <c r="N543" s="27" t="str">
        <f t="shared" si="60"/>
        <v>OK</v>
      </c>
    </row>
    <row r="544" spans="1:14" x14ac:dyDescent="0.2">
      <c r="A544" s="3">
        <f t="shared" si="59"/>
        <v>30</v>
      </c>
      <c r="B544" s="7" t="s">
        <v>297</v>
      </c>
      <c r="C544" s="3"/>
      <c r="D544" s="3"/>
      <c r="E544" s="4"/>
      <c r="F544" s="9"/>
      <c r="G544" s="66"/>
      <c r="H544" s="66"/>
      <c r="I544" s="79"/>
      <c r="J544" s="79"/>
      <c r="K544" s="79"/>
      <c r="L544" s="79"/>
      <c r="M544" s="79"/>
      <c r="N544" s="27" t="str">
        <f t="shared" si="60"/>
        <v>OK</v>
      </c>
    </row>
    <row r="545" spans="1:14" x14ac:dyDescent="0.2">
      <c r="A545" s="3">
        <f t="shared" si="59"/>
        <v>31</v>
      </c>
      <c r="B545" s="3"/>
      <c r="C545" s="3"/>
      <c r="D545" s="3"/>
      <c r="E545" s="4"/>
      <c r="F545" s="9"/>
      <c r="G545" s="66"/>
      <c r="H545" s="66"/>
      <c r="I545" s="79"/>
      <c r="J545" s="79"/>
      <c r="K545" s="79"/>
      <c r="L545" s="79"/>
      <c r="M545" s="79"/>
      <c r="N545" s="27" t="str">
        <f t="shared" si="60"/>
        <v>OK</v>
      </c>
    </row>
    <row r="546" spans="1:14" x14ac:dyDescent="0.2">
      <c r="A546" s="3">
        <f t="shared" si="59"/>
        <v>32</v>
      </c>
      <c r="B546" s="3" t="s">
        <v>298</v>
      </c>
      <c r="C546" s="3"/>
      <c r="D546" s="3"/>
      <c r="E546" s="4"/>
      <c r="F546" s="9"/>
      <c r="G546" s="66"/>
      <c r="H546" s="66"/>
      <c r="I546" s="79"/>
      <c r="J546" s="79"/>
      <c r="K546" s="79"/>
      <c r="L546" s="79"/>
      <c r="M546" s="79"/>
      <c r="N546" s="27" t="str">
        <f t="shared" si="60"/>
        <v>OK</v>
      </c>
    </row>
    <row r="547" spans="1:14" x14ac:dyDescent="0.2">
      <c r="A547" s="3">
        <f t="shared" si="59"/>
        <v>33</v>
      </c>
      <c r="B547" s="3"/>
      <c r="C547" s="3"/>
      <c r="D547" s="3"/>
      <c r="E547" s="4"/>
      <c r="F547" s="9"/>
      <c r="G547" s="66"/>
      <c r="H547" s="66"/>
      <c r="I547" s="79"/>
      <c r="J547" s="79"/>
      <c r="K547" s="79"/>
      <c r="L547" s="79"/>
      <c r="M547" s="79"/>
      <c r="N547" s="27" t="str">
        <f t="shared" si="60"/>
        <v>OK</v>
      </c>
    </row>
    <row r="548" spans="1:14" x14ac:dyDescent="0.2">
      <c r="A548" s="3">
        <f t="shared" si="59"/>
        <v>34</v>
      </c>
      <c r="B548" s="3"/>
      <c r="C548" s="3" t="s">
        <v>20</v>
      </c>
      <c r="D548" s="3"/>
      <c r="E548" s="4"/>
      <c r="F548" s="9">
        <f>+'II-I TOTAL COMPANY'!H623</f>
        <v>304847727.78070819</v>
      </c>
      <c r="G548" s="66">
        <f>+Distribution!I623+Meter!I623+TDCustSvc!I623</f>
        <v>0</v>
      </c>
      <c r="H548" s="66">
        <f ca="1">+Distribution!J623+Meter!J623+TDCustSvc!J623</f>
        <v>304847727.63665259</v>
      </c>
      <c r="I548" s="79">
        <f ca="1">+H548/F548</f>
        <v>0.99999999952745067</v>
      </c>
      <c r="J548" s="66">
        <f ca="1">+Distribution!H623+Meter!H623+TDCustSvc!H623</f>
        <v>304847727.63665259</v>
      </c>
      <c r="K548" s="66">
        <f>+Distribution!I623+Meter!I623+TDCustSvc!I623</f>
        <v>0</v>
      </c>
      <c r="L548" s="66">
        <f ca="1">+Distribution!J623+Meter!J623+TDCustSvc!J623</f>
        <v>304847727.63665259</v>
      </c>
      <c r="M548" s="79">
        <f ca="1">+L548/J548</f>
        <v>1</v>
      </c>
      <c r="N548" s="27">
        <f t="shared" ca="1" si="60"/>
        <v>0</v>
      </c>
    </row>
    <row r="549" spans="1:14" x14ac:dyDescent="0.2">
      <c r="A549" s="3">
        <f t="shared" si="59"/>
        <v>35</v>
      </c>
      <c r="B549" s="3"/>
      <c r="C549" s="3"/>
      <c r="D549" s="3"/>
      <c r="E549" s="4"/>
      <c r="F549" s="9"/>
      <c r="G549" s="66"/>
      <c r="H549" s="66"/>
      <c r="I549" s="79"/>
      <c r="J549" s="79"/>
      <c r="K549" s="79"/>
      <c r="L549" s="79"/>
      <c r="M549" s="79"/>
      <c r="N549" s="27" t="str">
        <f t="shared" si="60"/>
        <v>OK</v>
      </c>
    </row>
    <row r="550" spans="1:14" x14ac:dyDescent="0.2">
      <c r="A550" s="3">
        <f t="shared" si="59"/>
        <v>36</v>
      </c>
      <c r="B550" s="3"/>
      <c r="C550" s="3" t="s">
        <v>299</v>
      </c>
      <c r="D550" s="3"/>
      <c r="E550" s="4"/>
      <c r="F550" s="9"/>
      <c r="G550" s="66"/>
      <c r="H550" s="66"/>
      <c r="I550" s="79"/>
      <c r="J550" s="79"/>
      <c r="K550" s="79"/>
      <c r="L550" s="79"/>
      <c r="M550" s="79"/>
      <c r="N550" s="27" t="str">
        <f t="shared" si="60"/>
        <v>OK</v>
      </c>
    </row>
    <row r="551" spans="1:14" x14ac:dyDescent="0.2">
      <c r="A551" s="3">
        <f t="shared" si="59"/>
        <v>37</v>
      </c>
      <c r="B551" s="3"/>
      <c r="C551" s="3" t="s">
        <v>552</v>
      </c>
      <c r="D551" s="43"/>
      <c r="E551" s="4"/>
      <c r="F551" s="9">
        <f>+'II-I TOTAL COMPANY'!H626</f>
        <v>-102196531.12932651</v>
      </c>
      <c r="G551" s="66">
        <f>+Distribution!I626+Meter!I626+TDCustSvc!I626</f>
        <v>0</v>
      </c>
      <c r="H551" s="66">
        <f ca="1">+Distribution!J626+Meter!J626+TDCustSvc!J626</f>
        <v>-102196531.12932646</v>
      </c>
      <c r="I551" s="79">
        <f ca="1">+H551/F551</f>
        <v>0.99999999999999956</v>
      </c>
      <c r="J551" s="66">
        <f>+Distribution!H626+Meter!H626+TDCustSvc!H626</f>
        <v>-102196531.12932651</v>
      </c>
      <c r="K551" s="66">
        <f>+Distribution!I626+Meter!I626+TDCustSvc!I626</f>
        <v>0</v>
      </c>
      <c r="L551" s="66">
        <f ca="1">+Distribution!J626+Meter!J626+TDCustSvc!J626</f>
        <v>-102196531.12932646</v>
      </c>
      <c r="M551" s="79">
        <f ca="1">+L551/J551</f>
        <v>0.99999999999999956</v>
      </c>
      <c r="N551" s="27">
        <f t="shared" ca="1" si="60"/>
        <v>0</v>
      </c>
    </row>
    <row r="552" spans="1:14" x14ac:dyDescent="0.2">
      <c r="A552" s="3">
        <f t="shared" ref="A552:A578" si="61">+A551+1</f>
        <v>38</v>
      </c>
      <c r="B552" s="3"/>
      <c r="C552" s="3" t="s">
        <v>311</v>
      </c>
      <c r="D552" s="1"/>
      <c r="E552" s="4"/>
      <c r="F552" s="9">
        <f>+'II-I TOTAL COMPANY'!H627</f>
        <v>-320920.72984977008</v>
      </c>
      <c r="G552" s="66">
        <f>+Distribution!I627+Meter!I627+TDCustSvc!I627</f>
        <v>0</v>
      </c>
      <c r="H552" s="66">
        <f ca="1">+Distribution!J627+Meter!J627+TDCustSvc!J627</f>
        <v>-320920.72984977008</v>
      </c>
      <c r="I552" s="79">
        <f ca="1">+H552/F552</f>
        <v>1</v>
      </c>
      <c r="J552" s="66">
        <f>+Distribution!H627+Meter!H627+TDCustSvc!H627</f>
        <v>-320920.72984977008</v>
      </c>
      <c r="K552" s="66">
        <f>+Distribution!I627+Meter!I627+TDCustSvc!I627</f>
        <v>0</v>
      </c>
      <c r="L552" s="66">
        <f ca="1">+Distribution!J627+Meter!J627+TDCustSvc!J627</f>
        <v>-320920.72984977008</v>
      </c>
      <c r="M552" s="79">
        <f ca="1">+L552/J552</f>
        <v>1</v>
      </c>
      <c r="N552" s="27" t="str">
        <f t="shared" ca="1" si="60"/>
        <v>OK</v>
      </c>
    </row>
    <row r="553" spans="1:14" x14ac:dyDescent="0.2">
      <c r="A553" s="3">
        <f t="shared" si="61"/>
        <v>39</v>
      </c>
      <c r="B553" s="3"/>
      <c r="C553" s="3" t="s">
        <v>537</v>
      </c>
      <c r="D553" s="1"/>
      <c r="E553" s="4"/>
      <c r="F553" s="9">
        <f>+'II-I TOTAL COMPANY'!H628</f>
        <v>-3369413.2949001351</v>
      </c>
      <c r="G553" s="66">
        <f>+Distribution!I628+Meter!I628+TDCustSvc!I628</f>
        <v>0</v>
      </c>
      <c r="H553" s="66">
        <f>+Distribution!J628+Meter!J628+TDCustSvc!J628</f>
        <v>-3369413.2949001361</v>
      </c>
      <c r="I553" s="79">
        <f>+H553/F553</f>
        <v>1.0000000000000002</v>
      </c>
      <c r="J553" s="66">
        <f>+Distribution!H628+Meter!H628+TDCustSvc!H628</f>
        <v>-3369413.2949001351</v>
      </c>
      <c r="K553" s="66">
        <f>+Distribution!I628+Meter!I628+TDCustSvc!I628</f>
        <v>0</v>
      </c>
      <c r="L553" s="66">
        <f>+Distribution!J628+Meter!J628+TDCustSvc!J628</f>
        <v>-3369413.2949001361</v>
      </c>
      <c r="M553" s="79">
        <f>+L553/J553</f>
        <v>1.0000000000000002</v>
      </c>
      <c r="N553" s="27" t="str">
        <f t="shared" si="60"/>
        <v>OK</v>
      </c>
    </row>
    <row r="554" spans="1:14" x14ac:dyDescent="0.2">
      <c r="A554" s="3">
        <f t="shared" si="61"/>
        <v>40</v>
      </c>
      <c r="B554" s="3"/>
      <c r="C554" s="3" t="s">
        <v>150</v>
      </c>
      <c r="D554" s="43"/>
      <c r="E554" s="4"/>
      <c r="F554" s="9">
        <f>+'II-I TOTAL COMPANY'!H629</f>
        <v>284537.79600363062</v>
      </c>
      <c r="G554" s="66">
        <f>+Distribution!I629+Meter!I629+TDCustSvc!I629</f>
        <v>0</v>
      </c>
      <c r="H554" s="66">
        <f ca="1">+Distribution!J629+Meter!J629+TDCustSvc!J629</f>
        <v>284537.79600363056</v>
      </c>
      <c r="I554" s="79">
        <f ca="1">IFERROR(+H554/F554,0)</f>
        <v>0.99999999999999978</v>
      </c>
      <c r="J554" s="66">
        <f>+Distribution!H629+Meter!H629+TDCustSvc!H629</f>
        <v>284537.79600363062</v>
      </c>
      <c r="K554" s="66">
        <f>+Distribution!I629+Meter!I629+TDCustSvc!I629</f>
        <v>0</v>
      </c>
      <c r="L554" s="66">
        <f ca="1">+Distribution!J629+Meter!J629+TDCustSvc!J629</f>
        <v>284537.79600363056</v>
      </c>
      <c r="M554" s="79">
        <f ca="1">IFERROR(+L554/J554,0)</f>
        <v>0.99999999999999978</v>
      </c>
      <c r="N554" s="27" t="str">
        <f t="shared" ca="1" si="60"/>
        <v>OK</v>
      </c>
    </row>
    <row r="555" spans="1:14" x14ac:dyDescent="0.2">
      <c r="A555" s="3">
        <f t="shared" si="61"/>
        <v>41</v>
      </c>
      <c r="B555" s="3"/>
      <c r="C555" s="3" t="s">
        <v>638</v>
      </c>
      <c r="D555" s="43"/>
      <c r="E555" s="4"/>
      <c r="F555" s="9">
        <f>+'II-I TOTAL COMPANY'!H630</f>
        <v>254165.30000000031</v>
      </c>
      <c r="G555" s="66">
        <f>+Distribution!I630+Meter!I630+TDCustSvc!I630</f>
        <v>0</v>
      </c>
      <c r="H555" s="66">
        <f ca="1">+Distribution!J630+Meter!J630+TDCustSvc!J630</f>
        <v>254165.30000000037</v>
      </c>
      <c r="I555" s="79">
        <f ca="1">IFERROR(+H555/F555,0)</f>
        <v>1.0000000000000002</v>
      </c>
      <c r="J555" s="66">
        <f>+Distribution!H630+Meter!H630+TDCustSvc!H630</f>
        <v>254165.30000000031</v>
      </c>
      <c r="K555" s="66">
        <f>+Distribution!I630+Meter!I630+TDCustSvc!I630</f>
        <v>0</v>
      </c>
      <c r="L555" s="66">
        <f ca="1">+Distribution!J630+Meter!J630+TDCustSvc!J630</f>
        <v>254165.30000000037</v>
      </c>
      <c r="M555" s="79">
        <f ca="1">IFERROR(+L555/J555,0)</f>
        <v>1.0000000000000002</v>
      </c>
      <c r="N555" s="27" t="str">
        <f t="shared" ca="1" si="60"/>
        <v>OK</v>
      </c>
    </row>
    <row r="556" spans="1:14" x14ac:dyDescent="0.2">
      <c r="A556" s="3">
        <f t="shared" si="61"/>
        <v>42</v>
      </c>
      <c r="B556" s="3"/>
      <c r="C556" s="3" t="s">
        <v>553</v>
      </c>
      <c r="D556" s="1"/>
      <c r="E556" s="4"/>
      <c r="F556" s="9"/>
      <c r="G556" s="66">
        <f>+Distribution!I631+Meter!I631+TDCustSvc!I631</f>
        <v>0</v>
      </c>
      <c r="H556" s="66"/>
      <c r="I556" s="79"/>
      <c r="J556" s="79"/>
      <c r="K556" s="79"/>
      <c r="L556" s="79"/>
      <c r="M556" s="79"/>
      <c r="N556" s="27" t="str">
        <f t="shared" si="60"/>
        <v>OK</v>
      </c>
    </row>
    <row r="557" spans="1:14" x14ac:dyDescent="0.2">
      <c r="A557" s="3">
        <f t="shared" si="61"/>
        <v>43</v>
      </c>
      <c r="B557" s="3"/>
      <c r="C557" s="3" t="s">
        <v>554</v>
      </c>
      <c r="D557" s="1"/>
      <c r="E557" s="4"/>
      <c r="F557" s="9">
        <f>+'II-I TOTAL COMPANY'!H632</f>
        <v>3156036.38</v>
      </c>
      <c r="G557" s="66">
        <f>+Distribution!I632+Meter!I632+TDCustSvc!I632</f>
        <v>0</v>
      </c>
      <c r="H557" s="66">
        <f>+Distribution!J632+Meter!J632+TDCustSvc!J632</f>
        <v>3156036.38</v>
      </c>
      <c r="I557" s="79">
        <f>+H557/F557</f>
        <v>1</v>
      </c>
      <c r="J557" s="66">
        <f>+Distribution!H632+Meter!H632+TDCustSvc!H632</f>
        <v>3156036.38</v>
      </c>
      <c r="K557" s="66">
        <f>+Distribution!I632+Meter!I632+TDCustSvc!I632</f>
        <v>0</v>
      </c>
      <c r="L557" s="66">
        <f>+Distribution!J632+Meter!J632+TDCustSvc!J632</f>
        <v>3156036.38</v>
      </c>
      <c r="M557" s="79">
        <f>+L557/J557</f>
        <v>1</v>
      </c>
      <c r="N557" s="27" t="str">
        <f t="shared" si="60"/>
        <v>OK</v>
      </c>
    </row>
    <row r="558" spans="1:14" x14ac:dyDescent="0.2">
      <c r="A558" s="3">
        <f t="shared" si="61"/>
        <v>44</v>
      </c>
      <c r="B558" s="3"/>
      <c r="C558" s="3" t="s">
        <v>555</v>
      </c>
      <c r="D558" s="1"/>
      <c r="E558" s="4"/>
      <c r="F558" s="9">
        <f>+'II-I TOTAL COMPANY'!H633</f>
        <v>427218.18999999994</v>
      </c>
      <c r="G558" s="66">
        <f>+Distribution!I633+Meter!I633+TDCustSvc!I633</f>
        <v>0</v>
      </c>
      <c r="H558" s="66">
        <f ca="1">+Distribution!J633+Meter!J633+TDCustSvc!J633</f>
        <v>427218.18999999989</v>
      </c>
      <c r="I558" s="79">
        <f ca="1">+H558/F558</f>
        <v>0.99999999999999989</v>
      </c>
      <c r="J558" s="66">
        <f>+Distribution!H633+Meter!H633+TDCustSvc!H633</f>
        <v>427218.18999999994</v>
      </c>
      <c r="K558" s="66">
        <f>+Distribution!I633+Meter!I633+TDCustSvc!I633</f>
        <v>0</v>
      </c>
      <c r="L558" s="66">
        <f ca="1">+Distribution!J633+Meter!J633+TDCustSvc!J633</f>
        <v>427218.18999999989</v>
      </c>
      <c r="M558" s="79">
        <f ca="1">+L558/J558</f>
        <v>0.99999999999999989</v>
      </c>
      <c r="N558" s="27" t="str">
        <f t="shared" ca="1" si="60"/>
        <v>OK</v>
      </c>
    </row>
    <row r="559" spans="1:14" x14ac:dyDescent="0.2">
      <c r="A559" s="3">
        <f t="shared" si="61"/>
        <v>45</v>
      </c>
      <c r="B559" s="3"/>
      <c r="C559" s="3" t="s">
        <v>670</v>
      </c>
      <c r="D559" s="1"/>
      <c r="E559" s="4"/>
      <c r="F559" s="9">
        <f>+'II-I TOTAL COMPANY'!H634</f>
        <v>-22990.289999999997</v>
      </c>
      <c r="G559" s="66">
        <f>+Distribution!I634+Meter!I634+TDCustSvc!I634</f>
        <v>0</v>
      </c>
      <c r="H559" s="66">
        <f>+Distribution!J634+Meter!J634+TDCustSvc!J634</f>
        <v>-22990.289999999997</v>
      </c>
      <c r="I559" s="79">
        <f>+H559/F559</f>
        <v>1</v>
      </c>
      <c r="J559" s="66">
        <f>+Distribution!H634+Meter!H634+TDCustSvc!H634</f>
        <v>-22990.289999999997</v>
      </c>
      <c r="K559" s="66">
        <f>+Distribution!I634+Meter!I634+TDCustSvc!I634</f>
        <v>0</v>
      </c>
      <c r="L559" s="66">
        <f>+Distribution!J634+Meter!J634+TDCustSvc!J634</f>
        <v>-22990.289999999997</v>
      </c>
      <c r="M559" s="79">
        <f>+L559/J559</f>
        <v>1</v>
      </c>
      <c r="N559" s="27" t="str">
        <f t="shared" si="60"/>
        <v>OK</v>
      </c>
    </row>
    <row r="560" spans="1:14" x14ac:dyDescent="0.2">
      <c r="A560" s="3">
        <f t="shared" si="61"/>
        <v>46</v>
      </c>
      <c r="B560" s="3"/>
      <c r="C560" s="3"/>
      <c r="D560" s="1"/>
      <c r="E560" s="4"/>
      <c r="F560" s="9"/>
      <c r="G560" s="66"/>
      <c r="H560" s="66"/>
      <c r="I560" s="79"/>
      <c r="J560" s="79"/>
      <c r="K560" s="79"/>
      <c r="L560" s="79"/>
      <c r="M560" s="79"/>
      <c r="N560" s="27" t="str">
        <f t="shared" si="60"/>
        <v>OK</v>
      </c>
    </row>
    <row r="561" spans="1:14" x14ac:dyDescent="0.2">
      <c r="A561" s="3">
        <f t="shared" si="61"/>
        <v>47</v>
      </c>
      <c r="B561" s="3"/>
      <c r="C561" s="3"/>
      <c r="D561" s="1"/>
      <c r="E561" s="4"/>
      <c r="F561" s="9"/>
      <c r="G561" s="66"/>
      <c r="H561" s="66"/>
      <c r="I561" s="79"/>
      <c r="J561" s="79"/>
      <c r="K561" s="79"/>
      <c r="L561" s="79"/>
      <c r="M561" s="79"/>
      <c r="N561" s="27" t="str">
        <f t="shared" si="60"/>
        <v>OK</v>
      </c>
    </row>
    <row r="562" spans="1:14" x14ac:dyDescent="0.2">
      <c r="A562" s="3">
        <f t="shared" si="61"/>
        <v>48</v>
      </c>
      <c r="B562" s="3"/>
      <c r="C562" s="3"/>
      <c r="D562" s="1"/>
      <c r="E562" s="4"/>
      <c r="F562" s="9"/>
      <c r="G562" s="66"/>
      <c r="H562" s="66"/>
      <c r="I562" s="79"/>
      <c r="J562" s="79"/>
      <c r="K562" s="79"/>
      <c r="L562" s="79"/>
      <c r="M562" s="79"/>
      <c r="N562" s="27" t="str">
        <f t="shared" si="60"/>
        <v>OK</v>
      </c>
    </row>
    <row r="563" spans="1:14" x14ac:dyDescent="0.2">
      <c r="A563" s="3">
        <f t="shared" si="61"/>
        <v>49</v>
      </c>
      <c r="B563" s="3"/>
      <c r="C563" s="3"/>
      <c r="D563" s="1"/>
      <c r="E563" s="4"/>
      <c r="F563" s="9"/>
      <c r="G563" s="66"/>
      <c r="H563" s="66"/>
      <c r="I563" s="79"/>
      <c r="J563" s="79"/>
      <c r="K563" s="79"/>
      <c r="L563" s="79"/>
      <c r="M563" s="79"/>
      <c r="N563" s="27" t="str">
        <f t="shared" si="60"/>
        <v>OK</v>
      </c>
    </row>
    <row r="564" spans="1:14" x14ac:dyDescent="0.2">
      <c r="A564" s="3">
        <f t="shared" si="61"/>
        <v>50</v>
      </c>
      <c r="B564" s="3"/>
      <c r="C564" s="3"/>
      <c r="D564" s="3"/>
      <c r="E564" s="4"/>
      <c r="F564" s="9"/>
      <c r="G564" s="66"/>
      <c r="H564" s="66"/>
      <c r="I564" s="79"/>
      <c r="J564" s="66"/>
      <c r="K564" s="66"/>
      <c r="L564" s="66"/>
      <c r="M564" s="79"/>
      <c r="N564" s="27" t="str">
        <f t="shared" si="60"/>
        <v>OK</v>
      </c>
    </row>
    <row r="565" spans="1:14" x14ac:dyDescent="0.2">
      <c r="A565" s="3">
        <f t="shared" si="61"/>
        <v>51</v>
      </c>
      <c r="B565" s="3"/>
      <c r="C565" s="3" t="s">
        <v>596</v>
      </c>
      <c r="D565" s="3"/>
      <c r="E565" s="4"/>
      <c r="F565" s="9">
        <f>+'II-I TOTAL COMPANY'!H636</f>
        <v>203059830.00263542</v>
      </c>
      <c r="G565" s="66">
        <f>+Distribution!I636+Meter!I636+TDCustSvc!I636</f>
        <v>0</v>
      </c>
      <c r="H565" s="66">
        <f ca="1">+Distribution!J636+Meter!J636+TDCustSvc!J636</f>
        <v>203059829.85857987</v>
      </c>
      <c r="I565" s="79">
        <f ca="1">+H565/F565</f>
        <v>0.99999999929057581</v>
      </c>
      <c r="J565" s="66">
        <f ca="1">+Distribution!H636+Meter!H636+TDCustSvc!H636</f>
        <v>203059829.85857987</v>
      </c>
      <c r="K565" s="66">
        <f>+Distribution!I636+Meter!I636+TDCustSvc!I636</f>
        <v>0</v>
      </c>
      <c r="L565" s="66">
        <f ca="1">+Distribution!J636+Meter!J636+TDCustSvc!J636</f>
        <v>203059829.85857987</v>
      </c>
      <c r="M565" s="79">
        <f ca="1">+L565/J565</f>
        <v>1</v>
      </c>
      <c r="N565" s="27">
        <f t="shared" ca="1" si="60"/>
        <v>0</v>
      </c>
    </row>
    <row r="566" spans="1:14" x14ac:dyDescent="0.2">
      <c r="A566" s="3">
        <f t="shared" si="61"/>
        <v>52</v>
      </c>
      <c r="B566" s="3"/>
      <c r="C566" s="3"/>
      <c r="D566" s="3"/>
      <c r="E566" s="4"/>
      <c r="F566" s="9"/>
      <c r="G566" s="66"/>
      <c r="H566" s="66"/>
      <c r="I566" s="79"/>
      <c r="J566" s="79"/>
      <c r="K566" s="79"/>
      <c r="L566" s="79"/>
      <c r="M566" s="79"/>
      <c r="N566" s="27" t="str">
        <f t="shared" si="60"/>
        <v>OK</v>
      </c>
    </row>
    <row r="567" spans="1:14" x14ac:dyDescent="0.2">
      <c r="A567" s="3">
        <f t="shared" si="61"/>
        <v>53</v>
      </c>
      <c r="B567" s="3"/>
      <c r="C567" s="3" t="s">
        <v>301</v>
      </c>
      <c r="D567" s="1"/>
      <c r="E567" s="4"/>
      <c r="F567" s="85">
        <f>+'II-I TOTAL COMPANY'!H638</f>
        <v>0.26582278481012656</v>
      </c>
      <c r="G567" s="85">
        <f>+$F$567</f>
        <v>0.26582278481012656</v>
      </c>
      <c r="H567" s="85">
        <f>+$F$567</f>
        <v>0.26582278481012656</v>
      </c>
      <c r="I567" s="85"/>
      <c r="J567" s="85">
        <f>+$F$567</f>
        <v>0.26582278481012656</v>
      </c>
      <c r="K567" s="85">
        <f>+$F$567</f>
        <v>0.26582278481012656</v>
      </c>
      <c r="L567" s="85">
        <f>+$F$567</f>
        <v>0.26582278481012656</v>
      </c>
      <c r="M567" s="85"/>
      <c r="N567" s="27">
        <f t="shared" si="60"/>
        <v>0</v>
      </c>
    </row>
    <row r="568" spans="1:14" x14ac:dyDescent="0.2">
      <c r="A568" s="3">
        <f t="shared" si="61"/>
        <v>54</v>
      </c>
      <c r="B568" s="3"/>
      <c r="C568" s="3"/>
      <c r="D568" s="3"/>
      <c r="E568" s="4"/>
      <c r="F568" s="9"/>
      <c r="G568" s="66"/>
      <c r="H568" s="66"/>
      <c r="I568" s="79"/>
      <c r="J568" s="79"/>
      <c r="K568" s="79"/>
      <c r="L568" s="79"/>
      <c r="M568" s="79"/>
      <c r="N568" s="27" t="str">
        <f t="shared" si="60"/>
        <v>OK</v>
      </c>
    </row>
    <row r="569" spans="1:14" x14ac:dyDescent="0.2">
      <c r="A569" s="3">
        <f t="shared" si="61"/>
        <v>55</v>
      </c>
      <c r="B569" s="3"/>
      <c r="C569" s="3" t="s">
        <v>302</v>
      </c>
      <c r="D569" s="3"/>
      <c r="E569" s="4"/>
      <c r="F569" s="9">
        <f>+'II-I TOTAL COMPANY'!H640</f>
        <v>53977929.494371437</v>
      </c>
      <c r="G569" s="66">
        <f>+Distribution!I640+Meter!I640+TDCustSvc!I640</f>
        <v>0</v>
      </c>
      <c r="H569" s="66">
        <f ca="1">+Distribution!J640+Meter!J640+TDCustSvc!J640</f>
        <v>53977929.456078179</v>
      </c>
      <c r="I569" s="79">
        <f ca="1">+H569/F569</f>
        <v>0.9999999992905757</v>
      </c>
      <c r="J569" s="66">
        <f ca="1">+Distribution!H640+Meter!H640+TDCustSvc!H640</f>
        <v>53977929.456078179</v>
      </c>
      <c r="K569" s="66">
        <f>+Distribution!I640+Meter!I640+TDCustSvc!I640</f>
        <v>0</v>
      </c>
      <c r="L569" s="66">
        <f ca="1">+Distribution!J640+Meter!J640+TDCustSvc!J640</f>
        <v>53977929.456078179</v>
      </c>
      <c r="M569" s="79">
        <f ca="1">+L569/J569</f>
        <v>1</v>
      </c>
      <c r="N569" s="27">
        <f t="shared" ca="1" si="60"/>
        <v>0</v>
      </c>
    </row>
    <row r="570" spans="1:14" x14ac:dyDescent="0.2">
      <c r="A570" s="3">
        <f t="shared" si="61"/>
        <v>56</v>
      </c>
      <c r="B570" s="3"/>
      <c r="C570" s="3"/>
      <c r="D570" s="3"/>
      <c r="E570" s="4"/>
      <c r="F570" s="9"/>
      <c r="G570" s="66"/>
      <c r="H570" s="66"/>
      <c r="I570" s="79"/>
      <c r="J570" s="79"/>
      <c r="K570" s="79"/>
      <c r="L570" s="94"/>
      <c r="M570" s="79"/>
      <c r="N570" s="27" t="str">
        <f t="shared" si="60"/>
        <v>OK</v>
      </c>
    </row>
    <row r="571" spans="1:14" x14ac:dyDescent="0.2">
      <c r="A571" s="3">
        <f t="shared" si="61"/>
        <v>57</v>
      </c>
      <c r="B571" s="3"/>
      <c r="C571" s="3" t="s">
        <v>303</v>
      </c>
      <c r="D571" s="3"/>
      <c r="E571" s="4"/>
      <c r="F571" s="9"/>
      <c r="G571" s="66"/>
      <c r="H571" s="66"/>
      <c r="I571" s="79"/>
      <c r="J571" s="66">
        <f>+Distribution!H642+Meter!H642+TDCustSvc!H642</f>
        <v>0</v>
      </c>
      <c r="K571" s="66">
        <f>+Distribution!I642+Meter!I642+TDCustSvc!I642</f>
        <v>0</v>
      </c>
      <c r="L571" s="66">
        <f>+Distribution!J642+Meter!J642+TDCustSvc!J642</f>
        <v>0</v>
      </c>
      <c r="M571" s="79"/>
      <c r="N571" s="27" t="str">
        <f t="shared" si="60"/>
        <v>OK</v>
      </c>
    </row>
    <row r="572" spans="1:14" x14ac:dyDescent="0.2">
      <c r="A572" s="3">
        <f t="shared" si="61"/>
        <v>58</v>
      </c>
      <c r="B572" s="3"/>
      <c r="C572" s="3" t="s">
        <v>311</v>
      </c>
      <c r="D572" s="3"/>
      <c r="E572" s="4"/>
      <c r="F572" s="9">
        <f>+'II-I TOTAL COMPANY'!H643</f>
        <v>-320920.72984977008</v>
      </c>
      <c r="G572" s="66">
        <f>+Distribution!I643+Meter!I643+TDCustSvc!I643</f>
        <v>0</v>
      </c>
      <c r="H572" s="66">
        <f ca="1">+Distribution!J643+Meter!J643+TDCustSvc!J643</f>
        <v>-320920.72984977008</v>
      </c>
      <c r="I572" s="79">
        <f ca="1">+H572/F572</f>
        <v>1</v>
      </c>
      <c r="J572" s="66">
        <f>+Distribution!H643+Meter!H643+TDCustSvc!H643</f>
        <v>-320920.72984977008</v>
      </c>
      <c r="K572" s="66">
        <f>+Distribution!I643+Meter!I643+TDCustSvc!I643</f>
        <v>0</v>
      </c>
      <c r="L572" s="66">
        <f ca="1">+Distribution!J643+Meter!J643+TDCustSvc!J643</f>
        <v>-320920.72984977008</v>
      </c>
      <c r="M572" s="79">
        <f ca="1">+L572/J572</f>
        <v>1</v>
      </c>
      <c r="N572" s="27" t="str">
        <f t="shared" ca="1" si="60"/>
        <v>OK</v>
      </c>
    </row>
    <row r="573" spans="1:14" x14ac:dyDescent="0.2">
      <c r="A573" s="3">
        <f t="shared" si="61"/>
        <v>59</v>
      </c>
      <c r="B573" s="3"/>
      <c r="C573" s="3" t="s">
        <v>300</v>
      </c>
      <c r="D573" s="3"/>
      <c r="E573" s="4"/>
      <c r="F573" s="9">
        <f>+'II-I TOTAL COMPANY'!H644</f>
        <v>-3369413.2949001351</v>
      </c>
      <c r="G573" s="66">
        <f>+Distribution!I644+Meter!I644+TDCustSvc!I644</f>
        <v>0</v>
      </c>
      <c r="H573" s="66">
        <f>+Distribution!J644+Meter!J644+TDCustSvc!J644</f>
        <v>-3369413.2949001361</v>
      </c>
      <c r="I573" s="79">
        <f>+H573/F573</f>
        <v>1.0000000000000002</v>
      </c>
      <c r="J573" s="66">
        <f>+Distribution!H644+Meter!H644+TDCustSvc!H644</f>
        <v>-3369413.2949001351</v>
      </c>
      <c r="K573" s="66">
        <f>+Distribution!I644+Meter!I644+TDCustSvc!I644</f>
        <v>0</v>
      </c>
      <c r="L573" s="66">
        <f>+Distribution!J644+Meter!J644+TDCustSvc!J644</f>
        <v>-3369413.2949001361</v>
      </c>
      <c r="M573" s="79">
        <f>+L573/J573</f>
        <v>1.0000000000000002</v>
      </c>
      <c r="N573" s="27" t="str">
        <f t="shared" si="60"/>
        <v>OK</v>
      </c>
    </row>
    <row r="574" spans="1:14" x14ac:dyDescent="0.2">
      <c r="A574" s="3">
        <f t="shared" si="61"/>
        <v>60</v>
      </c>
      <c r="B574" s="3"/>
      <c r="C574" s="3" t="s">
        <v>638</v>
      </c>
      <c r="D574" s="3"/>
      <c r="E574" s="4"/>
      <c r="F574" s="9">
        <f>+'II-I TOTAL COMPANY'!H645</f>
        <v>284537.79600363062</v>
      </c>
      <c r="G574" s="66">
        <f>+Distribution!I645+Meter!I645+TDCustSvc!I645</f>
        <v>0</v>
      </c>
      <c r="H574" s="66">
        <f ca="1">+Distribution!J645+Meter!J645+TDCustSvc!J645</f>
        <v>284537.79600363062</v>
      </c>
      <c r="I574" s="79">
        <f ca="1">IFERROR(+H574/F574,0)</f>
        <v>1</v>
      </c>
      <c r="J574" s="66">
        <f>+Distribution!H645+Meter!H645+TDCustSvc!H645</f>
        <v>284537.79600363062</v>
      </c>
      <c r="K574" s="66">
        <f>+Distribution!I645+Meter!I645+TDCustSvc!I645</f>
        <v>0</v>
      </c>
      <c r="L574" s="66">
        <f ca="1">+Distribution!J645+Meter!J645+TDCustSvc!J645</f>
        <v>284537.79600363062</v>
      </c>
      <c r="M574" s="79">
        <f ca="1">IFERROR(+L574/J574,0)</f>
        <v>1</v>
      </c>
      <c r="N574" s="27" t="str">
        <f t="shared" ca="1" si="60"/>
        <v>OK</v>
      </c>
    </row>
    <row r="575" spans="1:14" x14ac:dyDescent="0.2">
      <c r="A575" s="3">
        <f t="shared" si="61"/>
        <v>61</v>
      </c>
      <c r="B575" s="3"/>
      <c r="C575" s="3" t="s">
        <v>812</v>
      </c>
      <c r="D575" s="3"/>
      <c r="E575" s="4"/>
      <c r="F575" s="9">
        <f>+'II-I TOTAL COMPANY'!H646</f>
        <v>-77000.03</v>
      </c>
      <c r="G575" s="66">
        <f>+Distribution!I646+Meter!I646+TDCustSvc!I646</f>
        <v>0</v>
      </c>
      <c r="H575" s="66">
        <f ca="1">+Distribution!J646+Meter!J646+TDCustSvc!J646</f>
        <v>-77000.029999999984</v>
      </c>
      <c r="I575" s="79">
        <f ca="1">IFERROR(+H575/F575,0)</f>
        <v>0.99999999999999978</v>
      </c>
      <c r="J575" s="66">
        <f>+Distribution!H646+Meter!H646+TDCustSvc!H646</f>
        <v>-77000.03</v>
      </c>
      <c r="K575" s="66">
        <f>+Distribution!I646+Meter!I646+TDCustSvc!I646</f>
        <v>0</v>
      </c>
      <c r="L575" s="66">
        <f ca="1">+Distribution!J646+Meter!J646+TDCustSvc!J646</f>
        <v>-77000.029999999984</v>
      </c>
      <c r="M575" s="79">
        <f ca="1">IFERROR(+L575/J575,0)</f>
        <v>0.99999999999999978</v>
      </c>
      <c r="N575" s="27" t="str">
        <f ca="1">IF(SUM(G575+H575)=F575,"OK",0)</f>
        <v>OK</v>
      </c>
    </row>
    <row r="576" spans="1:14" x14ac:dyDescent="0.2">
      <c r="A576" s="3">
        <f t="shared" si="61"/>
        <v>62</v>
      </c>
      <c r="B576" s="3"/>
      <c r="C576" s="3" t="s">
        <v>304</v>
      </c>
      <c r="D576" s="3"/>
      <c r="E576" s="4"/>
      <c r="F576" s="9">
        <f>+'II-I TOTAL COMPANY'!H647</f>
        <v>50495133.235625163</v>
      </c>
      <c r="G576" s="66">
        <f>+Distribution!I647+Meter!I647+TDCustSvc!I647</f>
        <v>0</v>
      </c>
      <c r="H576" s="66">
        <f ca="1">+Distribution!J647+Meter!J647+TDCustSvc!J647</f>
        <v>50495133.197331913</v>
      </c>
      <c r="I576" s="79">
        <f ca="1">+H576/F576</f>
        <v>0.99999999924164473</v>
      </c>
      <c r="J576" s="66">
        <f ca="1">+Distribution!H647+Meter!H647+TDCustSvc!H647</f>
        <v>50495133.197331898</v>
      </c>
      <c r="K576" s="66">
        <f>+Distribution!I647+Meter!I647+TDCustSvc!I647</f>
        <v>0</v>
      </c>
      <c r="L576" s="66">
        <f ca="1">+Distribution!J647+Meter!J647+TDCustSvc!J647</f>
        <v>50495133.197331913</v>
      </c>
      <c r="M576" s="79">
        <f ca="1">+L576/J576</f>
        <v>1.0000000000000002</v>
      </c>
      <c r="N576" s="27">
        <f t="shared" ca="1" si="60"/>
        <v>0</v>
      </c>
    </row>
    <row r="577" spans="1:14" x14ac:dyDescent="0.2">
      <c r="A577" s="3">
        <f t="shared" si="61"/>
        <v>63</v>
      </c>
      <c r="B577" s="3"/>
      <c r="C577" s="3"/>
      <c r="D577" s="3"/>
      <c r="E577" s="4"/>
      <c r="F577" s="9"/>
      <c r="G577" s="66"/>
      <c r="H577" s="66"/>
      <c r="I577" s="79"/>
      <c r="J577" s="79"/>
      <c r="K577" s="79"/>
      <c r="L577" s="79"/>
      <c r="M577" s="79"/>
      <c r="N577" s="27" t="str">
        <f t="shared" si="60"/>
        <v>OK</v>
      </c>
    </row>
    <row r="578" spans="1:14" x14ac:dyDescent="0.2">
      <c r="A578" s="3">
        <f t="shared" si="61"/>
        <v>64</v>
      </c>
      <c r="B578" s="3"/>
      <c r="C578" s="3"/>
      <c r="D578" s="3"/>
      <c r="E578" s="4"/>
      <c r="F578" s="9"/>
      <c r="G578" s="66"/>
      <c r="H578" s="66"/>
      <c r="I578" s="79"/>
      <c r="J578" s="79"/>
      <c r="K578" s="79"/>
      <c r="L578" s="79"/>
      <c r="M578" s="79"/>
      <c r="N578" s="27" t="str">
        <f t="shared" si="60"/>
        <v>OK</v>
      </c>
    </row>
    <row r="579" spans="1:14" x14ac:dyDescent="0.2">
      <c r="A579" s="3"/>
      <c r="B579" s="7" t="s">
        <v>305</v>
      </c>
      <c r="C579" s="3"/>
      <c r="D579" s="3"/>
      <c r="E579" s="4"/>
      <c r="F579" s="9"/>
      <c r="G579" s="66"/>
      <c r="H579" s="66"/>
      <c r="I579" s="79"/>
      <c r="J579" s="79"/>
      <c r="K579" s="79"/>
      <c r="L579" s="79"/>
      <c r="M579" s="79"/>
      <c r="N579" s="27" t="str">
        <f t="shared" si="60"/>
        <v>OK</v>
      </c>
    </row>
    <row r="580" spans="1:14" x14ac:dyDescent="0.2">
      <c r="A580" s="3"/>
      <c r="B580" s="3"/>
      <c r="C580" s="3"/>
      <c r="D580" s="3"/>
      <c r="E580" s="4"/>
      <c r="F580" s="9"/>
      <c r="G580" s="66"/>
      <c r="H580" s="66"/>
      <c r="I580" s="79"/>
      <c r="J580" s="79"/>
      <c r="K580" s="79"/>
      <c r="L580" s="79"/>
      <c r="M580" s="79"/>
      <c r="N580" s="27" t="str">
        <f t="shared" si="60"/>
        <v>OK</v>
      </c>
    </row>
    <row r="581" spans="1:14" x14ac:dyDescent="0.2">
      <c r="A581" s="3">
        <v>1</v>
      </c>
      <c r="B581" s="3" t="s">
        <v>306</v>
      </c>
      <c r="C581" s="3" t="str">
        <f>'II-I TOTAL COMPANY'!C652</f>
        <v>ND - Nuclear Decommissioning</v>
      </c>
      <c r="D581" s="3"/>
      <c r="E581" s="4"/>
      <c r="F581" s="9">
        <f>+'II-I TOTAL COMPANY'!H652</f>
        <v>0</v>
      </c>
      <c r="G581" s="66">
        <f>+Distribution!I652+Meter!I652+TDCustSvc!I652</f>
        <v>0</v>
      </c>
      <c r="H581" s="66">
        <f>+Distribution!J652+Meter!J652+TDCustSvc!J652</f>
        <v>0</v>
      </c>
      <c r="I581" s="79">
        <f>IFERROR(+H581/F581,0)</f>
        <v>0</v>
      </c>
      <c r="J581" s="66">
        <f>+Distribution!H652+Meter!H652+TDCustSvc!H652</f>
        <v>0</v>
      </c>
      <c r="K581" s="66">
        <f>+Distribution!I652+Meter!I652+TDCustSvc!I652</f>
        <v>0</v>
      </c>
      <c r="L581" s="66">
        <f>+Distribution!J652+Meter!J652+TDCustSvc!J652</f>
        <v>0</v>
      </c>
      <c r="M581" s="79">
        <f>IFERROR(+L581/J581,0)</f>
        <v>0</v>
      </c>
      <c r="N581" s="27" t="str">
        <f t="shared" si="60"/>
        <v>OK</v>
      </c>
    </row>
    <row r="582" spans="1:14" x14ac:dyDescent="0.2">
      <c r="A582" s="3">
        <f t="shared" ref="A582:A605" si="62">+A581+1</f>
        <v>2</v>
      </c>
      <c r="B582" s="3"/>
      <c r="C582" s="3"/>
      <c r="D582" s="3"/>
      <c r="E582" s="4"/>
      <c r="F582" s="9"/>
      <c r="G582" s="66"/>
      <c r="H582" s="66"/>
      <c r="I582" s="79"/>
      <c r="J582" s="79"/>
      <c r="K582" s="79"/>
      <c r="L582" s="79"/>
      <c r="M582" s="79"/>
      <c r="N582" s="27" t="str">
        <f t="shared" si="60"/>
        <v>OK</v>
      </c>
    </row>
    <row r="583" spans="1:14" x14ac:dyDescent="0.2">
      <c r="A583" s="3">
        <f t="shared" si="62"/>
        <v>3</v>
      </c>
      <c r="B583" s="3"/>
      <c r="C583" s="3"/>
      <c r="D583" s="44"/>
      <c r="E583" s="4"/>
      <c r="F583" s="9"/>
      <c r="G583" s="66"/>
      <c r="H583" s="66"/>
      <c r="I583" s="79"/>
      <c r="J583" s="79"/>
      <c r="K583" s="79"/>
      <c r="L583" s="79"/>
      <c r="M583" s="79"/>
      <c r="N583" s="27" t="str">
        <f t="shared" si="60"/>
        <v>OK</v>
      </c>
    </row>
    <row r="584" spans="1:14" x14ac:dyDescent="0.2">
      <c r="A584" s="3">
        <f t="shared" si="62"/>
        <v>4</v>
      </c>
      <c r="B584" s="3"/>
      <c r="C584" s="3"/>
      <c r="D584" s="3"/>
      <c r="E584" s="4"/>
      <c r="F584" s="9"/>
      <c r="G584" s="66"/>
      <c r="H584" s="66"/>
      <c r="I584" s="79"/>
      <c r="J584" s="79"/>
      <c r="K584" s="79"/>
      <c r="L584" s="79"/>
      <c r="M584" s="79"/>
      <c r="N584" s="27" t="str">
        <f t="shared" si="60"/>
        <v>OK</v>
      </c>
    </row>
    <row r="585" spans="1:14" x14ac:dyDescent="0.2">
      <c r="A585" s="3">
        <f t="shared" si="62"/>
        <v>5</v>
      </c>
      <c r="B585" s="3"/>
      <c r="C585" s="3"/>
      <c r="D585" s="3"/>
      <c r="E585" s="4"/>
      <c r="F585" s="9"/>
      <c r="G585" s="66"/>
      <c r="H585" s="66"/>
      <c r="I585" s="79"/>
      <c r="J585" s="79"/>
      <c r="K585" s="79"/>
      <c r="L585" s="79"/>
      <c r="M585" s="79"/>
      <c r="N585" s="27" t="str">
        <f t="shared" si="60"/>
        <v>OK</v>
      </c>
    </row>
    <row r="586" spans="1:14" x14ac:dyDescent="0.2">
      <c r="A586" s="3">
        <f t="shared" si="62"/>
        <v>6</v>
      </c>
      <c r="B586" s="3"/>
      <c r="C586" s="3"/>
      <c r="D586" s="3"/>
      <c r="E586" s="4"/>
      <c r="F586" s="9"/>
      <c r="G586" s="66"/>
      <c r="H586" s="66"/>
      <c r="I586" s="79"/>
      <c r="J586" s="79"/>
      <c r="K586" s="79"/>
      <c r="L586" s="79"/>
      <c r="M586" s="79"/>
      <c r="N586" s="27" t="str">
        <f t="shared" si="60"/>
        <v>OK</v>
      </c>
    </row>
    <row r="587" spans="1:14" x14ac:dyDescent="0.2">
      <c r="A587" s="3">
        <f t="shared" si="62"/>
        <v>7</v>
      </c>
      <c r="B587" s="3"/>
      <c r="C587" s="3"/>
      <c r="D587" s="3"/>
      <c r="E587" s="4"/>
      <c r="F587" s="9"/>
      <c r="G587" s="66"/>
      <c r="H587" s="66"/>
      <c r="I587" s="79"/>
      <c r="J587" s="79"/>
      <c r="K587" s="79"/>
      <c r="L587" s="79"/>
      <c r="M587" s="79"/>
      <c r="N587" s="27" t="str">
        <f t="shared" si="60"/>
        <v>OK</v>
      </c>
    </row>
    <row r="588" spans="1:14" x14ac:dyDescent="0.2">
      <c r="A588" s="3">
        <f t="shared" si="62"/>
        <v>8</v>
      </c>
      <c r="B588" s="3"/>
      <c r="C588" s="3"/>
      <c r="D588" s="1"/>
      <c r="E588" s="4"/>
      <c r="F588" s="9"/>
      <c r="G588" s="66"/>
      <c r="H588" s="66"/>
      <c r="I588" s="79"/>
      <c r="J588" s="79"/>
      <c r="K588" s="79"/>
      <c r="L588" s="79"/>
      <c r="M588" s="79"/>
      <c r="N588" s="27" t="str">
        <f t="shared" si="60"/>
        <v>OK</v>
      </c>
    </row>
    <row r="589" spans="1:14" x14ac:dyDescent="0.2">
      <c r="A589" s="3">
        <f t="shared" si="62"/>
        <v>9</v>
      </c>
      <c r="B589" s="3"/>
      <c r="C589" s="3" t="s">
        <v>450</v>
      </c>
      <c r="D589" s="1"/>
      <c r="E589" s="4"/>
      <c r="F589" s="9">
        <f>+'II-I TOTAL COMPANY'!H654</f>
        <v>0</v>
      </c>
      <c r="G589" s="66">
        <f>+Distribution!I654+Meter!I654+TDCustSvc!I654</f>
        <v>0</v>
      </c>
      <c r="H589" s="66">
        <f>+Distribution!J654+Meter!J654+TDCustSvc!J654</f>
        <v>0</v>
      </c>
      <c r="I589" s="79">
        <f>IFERROR(+H589/F589,0)</f>
        <v>0</v>
      </c>
      <c r="J589" s="66">
        <f>+Distribution!H654+Meter!H654+TDCustSvc!H654</f>
        <v>0</v>
      </c>
      <c r="K589" s="66">
        <f>+Distribution!I654+Meter!I654+TDCustSvc!I654</f>
        <v>0</v>
      </c>
      <c r="L589" s="66">
        <f>+Distribution!J654+Meter!J654+TDCustSvc!J654</f>
        <v>0</v>
      </c>
      <c r="M589" s="79">
        <f>IFERROR(+L589/J589,0)</f>
        <v>0</v>
      </c>
      <c r="N589" s="27" t="str">
        <f t="shared" si="60"/>
        <v>OK</v>
      </c>
    </row>
    <row r="590" spans="1:14" x14ac:dyDescent="0.2">
      <c r="A590" s="3">
        <f t="shared" si="62"/>
        <v>10</v>
      </c>
      <c r="B590" s="3"/>
      <c r="C590" s="3"/>
      <c r="D590" s="3"/>
      <c r="E590" s="4"/>
      <c r="F590" s="9"/>
      <c r="G590" s="66"/>
      <c r="H590" s="66"/>
      <c r="I590" s="79"/>
      <c r="J590" s="79"/>
      <c r="K590" s="79"/>
      <c r="L590" s="79"/>
      <c r="M590" s="79"/>
      <c r="N590" s="27" t="str">
        <f t="shared" si="60"/>
        <v>OK</v>
      </c>
    </row>
    <row r="591" spans="1:14" x14ac:dyDescent="0.2">
      <c r="A591" s="3">
        <f t="shared" si="62"/>
        <v>11</v>
      </c>
      <c r="B591" s="3"/>
      <c r="C591" s="3"/>
      <c r="D591" s="3"/>
      <c r="E591" s="4"/>
      <c r="F591" s="9"/>
      <c r="G591" s="66"/>
      <c r="H591" s="66"/>
      <c r="I591" s="79"/>
      <c r="J591" s="79"/>
      <c r="K591" s="79"/>
      <c r="L591" s="79"/>
      <c r="M591" s="79"/>
      <c r="N591" s="27" t="str">
        <f t="shared" si="60"/>
        <v>OK</v>
      </c>
    </row>
    <row r="592" spans="1:14" x14ac:dyDescent="0.2">
      <c r="A592" s="3">
        <f t="shared" si="62"/>
        <v>12</v>
      </c>
      <c r="B592" s="7" t="s">
        <v>307</v>
      </c>
      <c r="C592" s="3"/>
      <c r="D592" s="3"/>
      <c r="E592" s="4"/>
      <c r="F592" s="9"/>
      <c r="G592" s="66"/>
      <c r="H592" s="66"/>
      <c r="I592" s="79"/>
      <c r="J592" s="79"/>
      <c r="K592" s="79"/>
      <c r="L592" s="79"/>
      <c r="M592" s="79"/>
      <c r="N592" s="27" t="str">
        <f t="shared" si="60"/>
        <v>OK</v>
      </c>
    </row>
    <row r="593" spans="1:14" x14ac:dyDescent="0.2">
      <c r="A593" s="3">
        <f t="shared" si="62"/>
        <v>13</v>
      </c>
      <c r="B593" s="3"/>
      <c r="C593" s="3"/>
      <c r="D593" s="3"/>
      <c r="E593" s="4"/>
      <c r="F593" s="9"/>
      <c r="G593" s="66"/>
      <c r="H593" s="66"/>
      <c r="I593" s="79"/>
      <c r="J593" s="79"/>
      <c r="K593" s="79"/>
      <c r="L593" s="79"/>
      <c r="M593" s="79"/>
      <c r="N593" s="27" t="str">
        <f t="shared" si="60"/>
        <v>OK</v>
      </c>
    </row>
    <row r="594" spans="1:14" x14ac:dyDescent="0.2">
      <c r="A594" s="3">
        <f t="shared" si="62"/>
        <v>14</v>
      </c>
      <c r="B594" s="3" t="s">
        <v>549</v>
      </c>
      <c r="C594" s="3"/>
      <c r="D594" s="4"/>
      <c r="E594" s="4"/>
      <c r="F594" s="9">
        <f>+'II-I TOTAL COMPANY'!H659</f>
        <v>135194.97</v>
      </c>
      <c r="G594" s="66">
        <f>+Distribution!I659+Meter!I659+TDCustSvc!I659</f>
        <v>0</v>
      </c>
      <c r="H594" s="66">
        <f>+Distribution!J659+Meter!J659+TDCustSvc!J659</f>
        <v>135194.97</v>
      </c>
      <c r="I594" s="79">
        <f>+H594/F594</f>
        <v>1</v>
      </c>
      <c r="J594" s="66">
        <f>+Distribution!H659+Meter!H659+TDCustSvc!H659</f>
        <v>135194.97</v>
      </c>
      <c r="K594" s="66">
        <f>+Distribution!I659+Meter!I659+TDCustSvc!I659</f>
        <v>0</v>
      </c>
      <c r="L594" s="66">
        <f>+Distribution!J659+Meter!J659+TDCustSvc!J659</f>
        <v>135194.97</v>
      </c>
      <c r="M594" s="79">
        <f>+L594/J594</f>
        <v>1</v>
      </c>
      <c r="N594" s="27" t="str">
        <f t="shared" si="60"/>
        <v>OK</v>
      </c>
    </row>
    <row r="595" spans="1:14" x14ac:dyDescent="0.2">
      <c r="A595" s="3">
        <f t="shared" si="62"/>
        <v>15</v>
      </c>
      <c r="B595" s="3" t="s">
        <v>550</v>
      </c>
      <c r="C595" s="3"/>
      <c r="D595" s="4"/>
      <c r="E595" s="4"/>
      <c r="F595" s="9">
        <f>+'II-I TOTAL COMPANY'!H660</f>
        <v>3601508.67</v>
      </c>
      <c r="G595" s="66">
        <f>+Distribution!I660+Meter!I660+TDCustSvc!I660</f>
        <v>0</v>
      </c>
      <c r="H595" s="66">
        <f>+Distribution!J660+Meter!J660+TDCustSvc!J660</f>
        <v>3601508.6700000004</v>
      </c>
      <c r="I595" s="79">
        <f>+H595/F595</f>
        <v>1.0000000000000002</v>
      </c>
      <c r="J595" s="66">
        <f>+Distribution!H660+Meter!H660+TDCustSvc!H660</f>
        <v>3601508.67</v>
      </c>
      <c r="K595" s="66">
        <f>+Distribution!I660+Meter!I660+TDCustSvc!I660</f>
        <v>0</v>
      </c>
      <c r="L595" s="66">
        <f>+Distribution!J660+Meter!J660+TDCustSvc!J660</f>
        <v>3601508.6700000004</v>
      </c>
      <c r="M595" s="79">
        <f>+L595/J595</f>
        <v>1.0000000000000002</v>
      </c>
      <c r="N595" s="27" t="str">
        <f t="shared" ref="N595:N607" si="63">IF(SUM(G595+H595)=F595,"OK",0)</f>
        <v>OK</v>
      </c>
    </row>
    <row r="596" spans="1:14" x14ac:dyDescent="0.2">
      <c r="A596" s="3">
        <f t="shared" si="62"/>
        <v>16</v>
      </c>
      <c r="B596" s="3" t="s">
        <v>447</v>
      </c>
      <c r="C596" s="3"/>
      <c r="D596" s="4"/>
      <c r="E596" s="4"/>
      <c r="F596" s="9">
        <f>+'II-I TOTAL COMPANY'!H661</f>
        <v>19790829.601</v>
      </c>
      <c r="G596" s="66">
        <f>+Distribution!I661+Meter!I661+TDCustSvc!I661</f>
        <v>0</v>
      </c>
      <c r="H596" s="66">
        <f>+Distribution!J661+Meter!J661+TDCustSvc!J661</f>
        <v>19790829.601</v>
      </c>
      <c r="I596" s="79">
        <f>+H596/F596</f>
        <v>1</v>
      </c>
      <c r="J596" s="66">
        <f>+Distribution!H661+Meter!H661+TDCustSvc!H661</f>
        <v>19790829.601</v>
      </c>
      <c r="K596" s="66">
        <f>+Distribution!I661+Meter!I661+TDCustSvc!I661</f>
        <v>0</v>
      </c>
      <c r="L596" s="66">
        <f>+Distribution!J661+Meter!J661+TDCustSvc!J661</f>
        <v>19790829.601</v>
      </c>
      <c r="M596" s="79">
        <f>+L596/J596</f>
        <v>1</v>
      </c>
      <c r="N596" s="27" t="str">
        <f t="shared" si="63"/>
        <v>OK</v>
      </c>
    </row>
    <row r="597" spans="1:14" x14ac:dyDescent="0.2">
      <c r="A597" s="3">
        <f t="shared" si="62"/>
        <v>17</v>
      </c>
      <c r="B597" s="3" t="s">
        <v>551</v>
      </c>
      <c r="C597" s="3"/>
      <c r="D597" s="28"/>
      <c r="E597" s="4"/>
      <c r="F597" s="9">
        <f>+'II-I TOTAL COMPANY'!H662</f>
        <v>3319219.85</v>
      </c>
      <c r="G597" s="66">
        <f>+Distribution!I662+Meter!I662+TDCustSvc!I662</f>
        <v>0</v>
      </c>
      <c r="H597" s="66">
        <f>+Distribution!J662+Meter!J662+TDCustSvc!J662</f>
        <v>3319219.8499999996</v>
      </c>
      <c r="I597" s="79">
        <f>+H597/F597</f>
        <v>0.99999999999999989</v>
      </c>
      <c r="J597" s="66">
        <f>+Distribution!H662+Meter!H662+TDCustSvc!H662</f>
        <v>3319219.85</v>
      </c>
      <c r="K597" s="66">
        <f>+Distribution!I662+Meter!I662+TDCustSvc!I662</f>
        <v>0</v>
      </c>
      <c r="L597" s="66">
        <f>+Distribution!J662+Meter!J662+TDCustSvc!J662</f>
        <v>3319219.8499999996</v>
      </c>
      <c r="M597" s="79">
        <f>+L597/J597</f>
        <v>0.99999999999999989</v>
      </c>
      <c r="N597" s="27" t="str">
        <f t="shared" si="63"/>
        <v>OK</v>
      </c>
    </row>
    <row r="598" spans="1:14" x14ac:dyDescent="0.2">
      <c r="A598" s="3">
        <f t="shared" si="62"/>
        <v>18</v>
      </c>
      <c r="B598" s="3"/>
      <c r="C598" s="3"/>
      <c r="D598" s="44"/>
      <c r="E598" s="4"/>
      <c r="F598" s="9"/>
      <c r="G598" s="66"/>
      <c r="H598" s="66"/>
      <c r="I598" s="79"/>
      <c r="J598" s="79"/>
      <c r="K598" s="79"/>
      <c r="L598" s="79"/>
      <c r="M598" s="79"/>
      <c r="N598" s="27" t="str">
        <f t="shared" si="63"/>
        <v>OK</v>
      </c>
    </row>
    <row r="599" spans="1:14" x14ac:dyDescent="0.2">
      <c r="A599" s="3">
        <f t="shared" si="62"/>
        <v>19</v>
      </c>
      <c r="B599" s="140"/>
      <c r="C599" s="3"/>
      <c r="D599" s="28"/>
      <c r="E599" s="4"/>
      <c r="F599" s="9"/>
      <c r="G599" s="66"/>
      <c r="H599" s="66"/>
      <c r="I599" s="79"/>
      <c r="J599" s="66"/>
      <c r="K599" s="66"/>
      <c r="L599" s="66"/>
      <c r="M599" s="79"/>
      <c r="N599" s="27" t="str">
        <f t="shared" si="63"/>
        <v>OK</v>
      </c>
    </row>
    <row r="600" spans="1:14" x14ac:dyDescent="0.2">
      <c r="A600" s="3">
        <f t="shared" si="62"/>
        <v>20</v>
      </c>
      <c r="B600" s="3"/>
      <c r="C600" s="3"/>
      <c r="D600" s="28"/>
      <c r="E600" s="4"/>
      <c r="F600" s="9"/>
      <c r="G600" s="66"/>
      <c r="H600" s="66"/>
      <c r="I600" s="79"/>
      <c r="J600" s="79"/>
      <c r="K600" s="79"/>
      <c r="L600" s="79"/>
      <c r="M600" s="79"/>
      <c r="N600" s="27" t="str">
        <f t="shared" si="63"/>
        <v>OK</v>
      </c>
    </row>
    <row r="601" spans="1:14" x14ac:dyDescent="0.2">
      <c r="A601" s="3">
        <f t="shared" si="62"/>
        <v>21</v>
      </c>
      <c r="B601" s="3"/>
      <c r="C601" s="3"/>
      <c r="D601" s="28"/>
      <c r="E601" s="4"/>
      <c r="F601" s="9"/>
      <c r="G601" s="66"/>
      <c r="H601" s="66"/>
      <c r="I601" s="79"/>
      <c r="J601" s="79"/>
      <c r="K601" s="79"/>
      <c r="L601" s="79"/>
      <c r="M601" s="79"/>
      <c r="N601" s="27" t="str">
        <f t="shared" si="63"/>
        <v>OK</v>
      </c>
    </row>
    <row r="602" spans="1:14" x14ac:dyDescent="0.2">
      <c r="A602" s="3">
        <f t="shared" si="62"/>
        <v>22</v>
      </c>
      <c r="B602" s="3"/>
      <c r="C602" s="3"/>
      <c r="D602" s="28"/>
      <c r="E602" s="4"/>
      <c r="F602" s="9"/>
      <c r="G602" s="66"/>
      <c r="H602" s="66"/>
      <c r="I602" s="79"/>
      <c r="J602" s="79"/>
      <c r="K602" s="79"/>
      <c r="L602" s="79"/>
      <c r="M602" s="79"/>
      <c r="N602" s="27" t="str">
        <f t="shared" si="63"/>
        <v>OK</v>
      </c>
    </row>
    <row r="603" spans="1:14" x14ac:dyDescent="0.2">
      <c r="A603" s="3">
        <f t="shared" si="62"/>
        <v>23</v>
      </c>
      <c r="B603" s="3"/>
      <c r="C603" s="3"/>
      <c r="D603" s="28"/>
      <c r="E603" s="4"/>
      <c r="F603" s="9"/>
      <c r="G603" s="66"/>
      <c r="H603" s="66"/>
      <c r="I603" s="79"/>
      <c r="J603" s="79"/>
      <c r="K603" s="79"/>
      <c r="L603" s="79"/>
      <c r="M603" s="79"/>
      <c r="N603" s="27" t="str">
        <f t="shared" si="63"/>
        <v>OK</v>
      </c>
    </row>
    <row r="604" spans="1:14" x14ac:dyDescent="0.2">
      <c r="A604" s="3">
        <f t="shared" si="62"/>
        <v>24</v>
      </c>
      <c r="B604" s="3" t="s">
        <v>451</v>
      </c>
      <c r="C604" s="3"/>
      <c r="D604" s="3"/>
      <c r="E604" s="4"/>
      <c r="F604" s="9"/>
      <c r="G604" s="66"/>
      <c r="H604" s="66"/>
      <c r="I604" s="79"/>
      <c r="J604" s="79"/>
      <c r="K604" s="79"/>
      <c r="L604" s="79"/>
      <c r="M604" s="79"/>
      <c r="N604" s="27" t="str">
        <f t="shared" si="63"/>
        <v>OK</v>
      </c>
    </row>
    <row r="605" spans="1:14" x14ac:dyDescent="0.2">
      <c r="A605" s="3">
        <f t="shared" si="62"/>
        <v>25</v>
      </c>
      <c r="B605" s="3" t="s">
        <v>448</v>
      </c>
      <c r="C605" s="3"/>
      <c r="D605" s="3"/>
      <c r="E605" s="4"/>
      <c r="F605" s="9">
        <f>+'II-I TOTAL COMPANY'!H664</f>
        <v>26846753.091000002</v>
      </c>
      <c r="G605" s="66">
        <f>+Distribution!I664+Meter!I664+TDCustSvc!I664</f>
        <v>0</v>
      </c>
      <c r="H605" s="66">
        <f>+Distribution!J664+Meter!J664+TDCustSvc!J664</f>
        <v>26846753.090999987</v>
      </c>
      <c r="I605" s="79">
        <f>+H605/F605</f>
        <v>0.99999999999999944</v>
      </c>
      <c r="J605" s="66">
        <f>+Distribution!H664+Meter!H664+TDCustSvc!H664</f>
        <v>26846753.091000002</v>
      </c>
      <c r="K605" s="66">
        <f>+Distribution!I664+Meter!I664+TDCustSvc!I664</f>
        <v>0</v>
      </c>
      <c r="L605" s="66">
        <f>+Distribution!J664+Meter!J664+TDCustSvc!J664</f>
        <v>26846753.090999987</v>
      </c>
      <c r="M605" s="79">
        <f>+L605/J605</f>
        <v>0.99999999999999944</v>
      </c>
      <c r="N605" s="27" t="str">
        <f t="shared" si="63"/>
        <v>OK</v>
      </c>
    </row>
    <row r="606" spans="1:14" x14ac:dyDescent="0.2">
      <c r="A606" s="3"/>
      <c r="B606" s="3"/>
      <c r="C606" s="3"/>
      <c r="D606" s="3"/>
      <c r="E606" s="3"/>
      <c r="F606" s="9"/>
      <c r="G606" s="66"/>
      <c r="H606" s="66"/>
      <c r="I606" s="79"/>
      <c r="J606" s="79"/>
      <c r="K606" s="79"/>
      <c r="L606" s="79"/>
      <c r="M606" s="79"/>
      <c r="N606" s="27" t="str">
        <f t="shared" si="63"/>
        <v>OK</v>
      </c>
    </row>
    <row r="607" spans="1:14" x14ac:dyDescent="0.2">
      <c r="A607" s="3"/>
      <c r="B607" s="3"/>
      <c r="C607" s="3"/>
      <c r="D607" s="3"/>
      <c r="E607" s="3"/>
      <c r="F607" s="9"/>
      <c r="G607" s="66"/>
      <c r="H607" s="66"/>
      <c r="I607" s="79"/>
      <c r="J607" s="79"/>
      <c r="K607" s="79"/>
      <c r="L607" s="79"/>
      <c r="M607" s="79"/>
      <c r="N607" s="27" t="str">
        <f t="shared" si="63"/>
        <v>OK</v>
      </c>
    </row>
  </sheetData>
  <phoneticPr fontId="0" type="noConversion"/>
  <pageMargins left="0.7" right="0.7" top="0.75" bottom="0.75" header="0.3" footer="0.3"/>
  <pageSetup scale="75" orientation="landscape" r:id="rId1"/>
  <headerFooter>
    <oddHeader>&amp;RDocket No. 56165
&amp;F
&amp;A
Page &amp;P of &amp;N</oddHeader>
    <oddFooter>&amp;LSponsored by: Earlyne Reynolds</oddFooter>
  </headerFooter>
  <rowBreaks count="10" manualBreakCount="10">
    <brk id="55" max="12" man="1"/>
    <brk id="106" max="12" man="1"/>
    <brk id="174" max="16383" man="1"/>
    <brk id="238" max="16383" man="1"/>
    <brk id="304" max="12" man="1"/>
    <brk id="364" max="12" man="1"/>
    <brk id="420" max="16383" man="1"/>
    <brk id="452" max="16383" man="1"/>
    <brk id="507" max="12" man="1"/>
    <brk id="562" max="1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11111111111"/>
  <dimension ref="A1:W102"/>
  <sheetViews>
    <sheetView showGridLines="0" zoomScale="130" zoomScaleNormal="130" workbookViewId="0">
      <pane xSplit="4" ySplit="12" topLeftCell="E13" activePane="bottomRight" state="frozen"/>
      <selection activeCell="K25" sqref="K25"/>
      <selection pane="topRight" activeCell="K25" sqref="K25"/>
      <selection pane="bottomLeft" activeCell="K25" sqref="K25"/>
      <selection pane="bottomRight" activeCell="K25" sqref="K25"/>
    </sheetView>
  </sheetViews>
  <sheetFormatPr defaultColWidth="0.7109375" defaultRowHeight="12.75" customHeight="1" x14ac:dyDescent="0.2"/>
  <cols>
    <col min="1" max="1" width="2.7109375" bestFit="1" customWidth="1"/>
    <col min="2" max="2" width="22.7109375" bestFit="1" customWidth="1"/>
    <col min="3" max="3" width="2.85546875" customWidth="1"/>
    <col min="4" max="4" width="12" bestFit="1" customWidth="1"/>
    <col min="5" max="5" width="10.85546875" bestFit="1" customWidth="1"/>
    <col min="6" max="6" width="11" bestFit="1" customWidth="1"/>
    <col min="7" max="7" width="10.85546875" bestFit="1" customWidth="1"/>
    <col min="8" max="9" width="11" bestFit="1" customWidth="1"/>
    <col min="10" max="10" width="10.140625" bestFit="1" customWidth="1"/>
    <col min="11" max="11" width="10" bestFit="1" customWidth="1"/>
    <col min="12" max="12" width="9.85546875" bestFit="1" customWidth="1"/>
    <col min="13" max="14" width="10" bestFit="1" customWidth="1"/>
    <col min="15" max="15" width="10" style="132" customWidth="1"/>
    <col min="16" max="16" width="10.7109375" bestFit="1" customWidth="1"/>
    <col min="17" max="17" width="10" bestFit="1" customWidth="1"/>
    <col min="18" max="18" width="11.140625" customWidth="1"/>
    <col min="19" max="22" width="5.140625" bestFit="1" customWidth="1"/>
    <col min="23" max="23" width="4.85546875" bestFit="1" customWidth="1"/>
  </cols>
  <sheetData>
    <row r="1" spans="1:23" ht="8.25" customHeight="1" x14ac:dyDescent="0.2">
      <c r="A1" s="3"/>
      <c r="B1" s="3"/>
      <c r="C1" s="3"/>
      <c r="D1" s="4"/>
      <c r="E1" s="4"/>
      <c r="F1" s="4"/>
      <c r="G1" s="4"/>
      <c r="H1" s="13"/>
      <c r="I1" s="4"/>
      <c r="J1" s="4"/>
      <c r="K1" s="4"/>
      <c r="L1" s="23"/>
      <c r="M1" s="23"/>
      <c r="N1" s="23"/>
      <c r="O1" s="23"/>
      <c r="P1" s="23"/>
      <c r="Q1" s="23"/>
      <c r="R1" s="23"/>
      <c r="S1" s="3"/>
      <c r="T1" s="4"/>
      <c r="U1" s="4"/>
      <c r="V1" s="4"/>
      <c r="W1" s="3"/>
    </row>
    <row r="2" spans="1:23" x14ac:dyDescent="0.2">
      <c r="A2" s="3"/>
      <c r="B2" s="3"/>
      <c r="C2" s="3"/>
      <c r="D2" s="5"/>
      <c r="E2" s="5"/>
      <c r="F2" s="5"/>
      <c r="G2" s="5"/>
      <c r="H2" s="31"/>
      <c r="I2" s="5"/>
      <c r="J2" s="5"/>
      <c r="K2" s="5"/>
      <c r="L2" s="23"/>
      <c r="M2" s="23"/>
      <c r="N2" s="23"/>
      <c r="O2" s="23"/>
      <c r="P2" s="23"/>
      <c r="Q2" s="23"/>
      <c r="R2" s="23"/>
      <c r="S2" s="39"/>
      <c r="T2" s="39"/>
      <c r="U2" s="39"/>
      <c r="V2" s="39"/>
      <c r="W2" s="131">
        <f>+V2+1</f>
        <v>1</v>
      </c>
    </row>
    <row r="3" spans="1:23" x14ac:dyDescent="0.2">
      <c r="A3" s="3"/>
      <c r="B3" s="3" t="str">
        <f>'II-I TOTAL COMPANY'!B4</f>
        <v>PUBLIC UTILITY COMMISION OF TEXAS</v>
      </c>
      <c r="C3" s="5"/>
      <c r="D3" s="5"/>
      <c r="E3" s="5"/>
      <c r="F3" s="5"/>
      <c r="G3" s="5"/>
      <c r="H3" s="31"/>
      <c r="I3" s="5"/>
      <c r="J3" s="5"/>
      <c r="K3" s="5"/>
      <c r="L3" s="23"/>
      <c r="M3" s="23"/>
      <c r="N3" s="23"/>
      <c r="O3" s="23"/>
      <c r="P3" s="23"/>
      <c r="Q3" s="23"/>
      <c r="R3" s="23"/>
      <c r="S3" s="3"/>
      <c r="T3" s="4"/>
      <c r="U3" s="4"/>
      <c r="V3" s="4"/>
      <c r="W3" s="3"/>
    </row>
    <row r="4" spans="1:23" x14ac:dyDescent="0.2">
      <c r="A4" s="3"/>
      <c r="B4" s="3" t="str">
        <f>'II-I TOTAL COMPANY'!B5</f>
        <v>AEP TEXAS INC</v>
      </c>
      <c r="C4" s="3"/>
      <c r="D4" s="5"/>
      <c r="E4" s="5"/>
      <c r="F4" s="5"/>
      <c r="G4" s="5"/>
      <c r="H4" s="31"/>
      <c r="I4" s="5"/>
      <c r="J4" s="5"/>
      <c r="K4" s="5"/>
      <c r="L4" s="23"/>
      <c r="M4" s="23"/>
      <c r="N4" s="23"/>
      <c r="O4" s="23"/>
      <c r="P4" s="23"/>
      <c r="Q4" s="23"/>
      <c r="R4" s="23"/>
      <c r="S4" s="3"/>
      <c r="T4" s="4"/>
      <c r="U4" s="4"/>
      <c r="V4" s="4"/>
      <c r="W4" s="3"/>
    </row>
    <row r="5" spans="1:23" x14ac:dyDescent="0.2">
      <c r="A5" s="3"/>
      <c r="B5" s="3" t="str">
        <f>'II-I TOTAL COMPANY'!B6</f>
        <v>II-I COST OF SERVICE</v>
      </c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23"/>
      <c r="Q5" s="3"/>
      <c r="R5" s="3"/>
      <c r="S5" s="4"/>
      <c r="T5" s="3"/>
      <c r="U5" s="3"/>
      <c r="V5" s="3"/>
      <c r="W5" s="3"/>
    </row>
    <row r="6" spans="1:23" x14ac:dyDescent="0.2">
      <c r="A6" s="3"/>
      <c r="B6" s="3" t="str">
        <f>'II-I TOTAL COMPANY'!B7</f>
        <v>TEST YEAR ENDING 09/30/2023</v>
      </c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23"/>
      <c r="Q6" s="3"/>
      <c r="R6" s="3"/>
      <c r="S6" s="4"/>
      <c r="T6" s="3"/>
      <c r="U6" s="3"/>
      <c r="V6" s="3"/>
      <c r="W6" s="3"/>
    </row>
    <row r="7" spans="1:23" x14ac:dyDescent="0.2">
      <c r="A7" s="3"/>
      <c r="B7" s="3" t="s">
        <v>858</v>
      </c>
      <c r="C7" s="3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3"/>
      <c r="Q7" s="3"/>
      <c r="R7" s="3"/>
      <c r="S7" s="4"/>
      <c r="T7" s="3"/>
      <c r="U7" s="3"/>
      <c r="V7" s="3"/>
      <c r="W7" s="3"/>
    </row>
    <row r="8" spans="1:23" x14ac:dyDescent="0.2">
      <c r="A8" s="3"/>
      <c r="B8" s="3"/>
      <c r="C8" s="3"/>
      <c r="D8" s="3"/>
      <c r="E8" s="3"/>
      <c r="F8" s="3"/>
      <c r="G8" s="3"/>
      <c r="H8" s="13"/>
      <c r="I8" s="4" t="s">
        <v>466</v>
      </c>
      <c r="J8" s="4"/>
      <c r="K8" s="42"/>
      <c r="L8" s="4" t="s">
        <v>466</v>
      </c>
      <c r="M8" s="4"/>
      <c r="N8" s="42"/>
      <c r="O8" s="42"/>
      <c r="P8" s="4"/>
      <c r="Q8" s="4"/>
      <c r="R8" s="42"/>
      <c r="S8" s="4"/>
      <c r="T8" s="3"/>
      <c r="U8" s="3"/>
      <c r="V8" s="3"/>
      <c r="W8" s="3"/>
    </row>
    <row r="9" spans="1:23" x14ac:dyDescent="0.2">
      <c r="A9" s="4"/>
      <c r="B9" s="4"/>
      <c r="C9" s="4"/>
      <c r="D9" s="4"/>
      <c r="E9" s="4"/>
      <c r="F9" s="4"/>
      <c r="G9" s="4"/>
      <c r="H9" s="13" t="s">
        <v>317</v>
      </c>
      <c r="I9" s="13" t="s">
        <v>317</v>
      </c>
      <c r="J9" s="13" t="s">
        <v>317</v>
      </c>
      <c r="K9" s="13" t="s">
        <v>317</v>
      </c>
      <c r="L9" s="4" t="s">
        <v>320</v>
      </c>
      <c r="M9" s="4" t="s">
        <v>320</v>
      </c>
      <c r="N9" s="4" t="s">
        <v>320</v>
      </c>
      <c r="O9" s="4" t="s">
        <v>800</v>
      </c>
      <c r="P9" s="4" t="s">
        <v>321</v>
      </c>
      <c r="Q9" s="4" t="s">
        <v>318</v>
      </c>
      <c r="R9" s="4" t="s">
        <v>857</v>
      </c>
      <c r="S9" s="4"/>
      <c r="T9" s="4"/>
      <c r="U9" s="4"/>
      <c r="V9" s="4"/>
      <c r="W9" s="4"/>
    </row>
    <row r="10" spans="1:23" x14ac:dyDescent="0.2">
      <c r="A10" s="4" t="s">
        <v>0</v>
      </c>
      <c r="B10" s="4"/>
      <c r="C10" s="4"/>
      <c r="D10" s="4" t="s">
        <v>5</v>
      </c>
      <c r="E10" s="4" t="s">
        <v>315</v>
      </c>
      <c r="F10" s="4" t="s">
        <v>314</v>
      </c>
      <c r="G10" s="4" t="s">
        <v>316</v>
      </c>
      <c r="H10" s="13" t="s">
        <v>490</v>
      </c>
      <c r="I10" s="13" t="s">
        <v>491</v>
      </c>
      <c r="J10" s="13" t="s">
        <v>491</v>
      </c>
      <c r="K10" s="13" t="s">
        <v>491</v>
      </c>
      <c r="L10" s="4"/>
      <c r="M10" s="4" t="s">
        <v>690</v>
      </c>
      <c r="N10" s="4" t="s">
        <v>364</v>
      </c>
      <c r="O10" s="4" t="s">
        <v>801</v>
      </c>
      <c r="P10" s="4"/>
      <c r="Q10" s="4"/>
      <c r="R10" s="4"/>
      <c r="S10" s="4" t="s">
        <v>350</v>
      </c>
      <c r="T10" s="4"/>
      <c r="U10" s="4"/>
      <c r="V10" s="4"/>
      <c r="W10" s="4"/>
    </row>
    <row r="11" spans="1:23" x14ac:dyDescent="0.2">
      <c r="A11" s="4" t="s">
        <v>7</v>
      </c>
      <c r="B11" s="4"/>
      <c r="C11" s="4"/>
      <c r="D11" s="4" t="s">
        <v>673</v>
      </c>
      <c r="E11" s="4"/>
      <c r="F11" s="4"/>
      <c r="G11" s="4"/>
      <c r="H11" s="4"/>
      <c r="I11" s="4"/>
      <c r="J11" s="4" t="s">
        <v>690</v>
      </c>
      <c r="K11" s="4" t="s">
        <v>364</v>
      </c>
      <c r="L11" s="4"/>
      <c r="M11" s="4"/>
      <c r="N11" s="4"/>
      <c r="O11" s="4"/>
      <c r="P11" s="4"/>
      <c r="Q11" s="4"/>
      <c r="R11" s="4"/>
      <c r="S11" s="4" t="s">
        <v>4</v>
      </c>
      <c r="T11" s="4"/>
      <c r="U11" s="4"/>
      <c r="V11" s="4"/>
      <c r="W11" s="4"/>
    </row>
    <row r="12" spans="1:23" x14ac:dyDescent="0.2">
      <c r="A12" s="33">
        <v>-1</v>
      </c>
      <c r="B12" s="33">
        <f t="shared" ref="B12:O12" si="0">+A12-1</f>
        <v>-2</v>
      </c>
      <c r="C12" s="33">
        <f t="shared" si="0"/>
        <v>-3</v>
      </c>
      <c r="D12" s="33">
        <f t="shared" si="0"/>
        <v>-4</v>
      </c>
      <c r="E12" s="33">
        <f t="shared" si="0"/>
        <v>-5</v>
      </c>
      <c r="F12" s="33">
        <f t="shared" si="0"/>
        <v>-6</v>
      </c>
      <c r="G12" s="33">
        <f t="shared" si="0"/>
        <v>-7</v>
      </c>
      <c r="H12" s="33">
        <f t="shared" si="0"/>
        <v>-8</v>
      </c>
      <c r="I12" s="33">
        <f t="shared" si="0"/>
        <v>-9</v>
      </c>
      <c r="J12" s="33">
        <f t="shared" si="0"/>
        <v>-10</v>
      </c>
      <c r="K12" s="33">
        <f t="shared" si="0"/>
        <v>-11</v>
      </c>
      <c r="L12" s="33">
        <f t="shared" si="0"/>
        <v>-12</v>
      </c>
      <c r="M12" s="33">
        <f t="shared" si="0"/>
        <v>-13</v>
      </c>
      <c r="N12" s="33">
        <f t="shared" si="0"/>
        <v>-14</v>
      </c>
      <c r="O12" s="33">
        <f t="shared" si="0"/>
        <v>-15</v>
      </c>
      <c r="P12" s="33">
        <f>+O12-1</f>
        <v>-16</v>
      </c>
      <c r="Q12" s="33">
        <f>+P12-1</f>
        <v>-17</v>
      </c>
      <c r="R12" s="33">
        <f>+Q12-1</f>
        <v>-18</v>
      </c>
      <c r="S12" s="33"/>
      <c r="T12" s="33"/>
      <c r="U12" s="33"/>
      <c r="V12" s="33"/>
      <c r="W12" s="33"/>
    </row>
    <row r="13" spans="1:23" x14ac:dyDescent="0.2">
      <c r="A13" s="3"/>
      <c r="B13" s="7" t="s">
        <v>525</v>
      </c>
      <c r="C13" s="3"/>
      <c r="D13" s="8"/>
      <c r="E13" s="26"/>
      <c r="F13" s="27"/>
      <c r="G13" s="27"/>
      <c r="H13" s="13"/>
      <c r="I13" s="27"/>
      <c r="J13" s="27"/>
      <c r="K13" s="27"/>
      <c r="L13" s="13"/>
      <c r="M13" s="13"/>
      <c r="N13" s="13"/>
      <c r="O13" s="13"/>
      <c r="P13" s="13"/>
      <c r="Q13" s="13"/>
      <c r="R13" s="13"/>
      <c r="S13" s="4"/>
      <c r="T13" s="4"/>
      <c r="U13" s="4"/>
      <c r="V13" s="4"/>
      <c r="W13" s="3"/>
    </row>
    <row r="14" spans="1:23" x14ac:dyDescent="0.2">
      <c r="A14" s="3"/>
      <c r="B14" s="3"/>
      <c r="C14" s="3"/>
      <c r="D14" s="8"/>
      <c r="E14" s="8"/>
      <c r="F14" s="10"/>
      <c r="G14" s="10"/>
      <c r="H14" s="31"/>
      <c r="I14" s="10"/>
      <c r="J14" s="10"/>
      <c r="K14" s="10"/>
      <c r="L14" s="23"/>
      <c r="M14" s="23"/>
      <c r="N14" s="23"/>
      <c r="O14" s="23"/>
      <c r="P14" s="23"/>
      <c r="Q14" s="23"/>
      <c r="R14" s="23"/>
      <c r="S14" s="3"/>
      <c r="T14" s="4"/>
      <c r="U14" s="4"/>
      <c r="V14" s="4"/>
      <c r="W14" s="3"/>
    </row>
    <row r="15" spans="1:23" ht="12.95" customHeight="1" x14ac:dyDescent="0.2">
      <c r="A15" s="4"/>
      <c r="B15" s="64" t="s">
        <v>522</v>
      </c>
      <c r="C15" s="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27"/>
      <c r="U15" s="9"/>
      <c r="V15" s="9"/>
      <c r="W15" s="3"/>
    </row>
    <row r="16" spans="1:23" ht="12.95" customHeight="1" x14ac:dyDescent="0.2">
      <c r="A16" s="4">
        <v>1</v>
      </c>
      <c r="B16" s="3" t="s">
        <v>321</v>
      </c>
      <c r="C16" s="3"/>
      <c r="D16" s="9">
        <f>E16+F16</f>
        <v>0</v>
      </c>
      <c r="E16" s="9">
        <v>0</v>
      </c>
      <c r="F16" s="9">
        <f>SUM(G16:R16)-(L16+I16)</f>
        <v>0</v>
      </c>
      <c r="G16" s="9">
        <f>+Distribution!K332</f>
        <v>0</v>
      </c>
      <c r="H16" s="9">
        <f>+Distribution!L332</f>
        <v>0</v>
      </c>
      <c r="I16" s="9">
        <f>+Distribution!M332</f>
        <v>0</v>
      </c>
      <c r="J16" s="9">
        <f>+Distribution!N332</f>
        <v>0</v>
      </c>
      <c r="K16" s="9">
        <f>+Distribution!O332</f>
        <v>0</v>
      </c>
      <c r="L16" s="9">
        <f>+Distribution!P332</f>
        <v>0</v>
      </c>
      <c r="M16" s="9">
        <f>+Distribution!Q332</f>
        <v>0</v>
      </c>
      <c r="N16" s="9">
        <f>+Distribution!R332</f>
        <v>0</v>
      </c>
      <c r="O16" s="9">
        <f>+Distribution!S332</f>
        <v>0</v>
      </c>
      <c r="P16" s="9">
        <f>+Distribution!T332</f>
        <v>0</v>
      </c>
      <c r="Q16" s="9">
        <f>+Distribution!U332</f>
        <v>0</v>
      </c>
      <c r="R16" s="9">
        <f>+Distribution!V332</f>
        <v>0</v>
      </c>
      <c r="S16" s="9"/>
      <c r="T16" s="27"/>
      <c r="U16" s="9"/>
      <c r="V16" s="9"/>
      <c r="W16" s="3"/>
    </row>
    <row r="17" spans="1:23" ht="12.95" customHeight="1" x14ac:dyDescent="0.2">
      <c r="A17" s="4"/>
      <c r="B17" s="3" t="s">
        <v>363</v>
      </c>
      <c r="C17" s="3"/>
      <c r="D17" s="32">
        <f t="shared" ref="D17:Q17" si="1">D16/D$100</f>
        <v>0</v>
      </c>
      <c r="E17" s="32">
        <f>IFERROR(E16/E$100,0)</f>
        <v>0</v>
      </c>
      <c r="F17" s="32">
        <f t="shared" si="1"/>
        <v>0</v>
      </c>
      <c r="G17" s="32">
        <f t="shared" si="1"/>
        <v>0</v>
      </c>
      <c r="H17" s="32">
        <f t="shared" si="1"/>
        <v>0</v>
      </c>
      <c r="I17" s="32">
        <f t="shared" si="1"/>
        <v>0</v>
      </c>
      <c r="J17" s="32">
        <f t="shared" si="1"/>
        <v>0</v>
      </c>
      <c r="K17" s="32">
        <f t="shared" si="1"/>
        <v>0</v>
      </c>
      <c r="L17" s="32">
        <f t="shared" si="1"/>
        <v>0</v>
      </c>
      <c r="M17" s="32">
        <f t="shared" si="1"/>
        <v>0</v>
      </c>
      <c r="N17" s="32">
        <f t="shared" si="1"/>
        <v>0</v>
      </c>
      <c r="O17" s="32">
        <f>O16/O$100</f>
        <v>0</v>
      </c>
      <c r="P17" s="32">
        <f t="shared" si="1"/>
        <v>0</v>
      </c>
      <c r="Q17" s="32">
        <f t="shared" si="1"/>
        <v>0</v>
      </c>
      <c r="R17" s="32">
        <f>IFERROR(R16/R$100,0)</f>
        <v>0</v>
      </c>
      <c r="S17" s="32"/>
      <c r="T17" s="27"/>
      <c r="U17" s="32"/>
      <c r="V17" s="32"/>
      <c r="W17" s="3"/>
    </row>
    <row r="18" spans="1:23" ht="12.95" customHeight="1" x14ac:dyDescent="0.2">
      <c r="A18" s="4"/>
      <c r="B18" s="3" t="s">
        <v>362</v>
      </c>
      <c r="C18" s="3"/>
      <c r="D18" s="39">
        <f t="shared" ref="D18:Q18" si="2">D16/D$101</f>
        <v>0</v>
      </c>
      <c r="E18" s="39">
        <f>IFERROR(E16/E$101,0)</f>
        <v>0</v>
      </c>
      <c r="F18" s="39">
        <f t="shared" si="2"/>
        <v>0</v>
      </c>
      <c r="G18" s="39">
        <f t="shared" si="2"/>
        <v>0</v>
      </c>
      <c r="H18" s="39">
        <f t="shared" si="2"/>
        <v>0</v>
      </c>
      <c r="I18" s="39">
        <f t="shared" si="2"/>
        <v>0</v>
      </c>
      <c r="J18" s="39">
        <f t="shared" si="2"/>
        <v>0</v>
      </c>
      <c r="K18" s="39">
        <f t="shared" si="2"/>
        <v>0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>O16/O$101</f>
        <v>0</v>
      </c>
      <c r="P18" s="39">
        <f t="shared" si="2"/>
        <v>0</v>
      </c>
      <c r="Q18" s="39">
        <f t="shared" si="2"/>
        <v>0</v>
      </c>
      <c r="R18" s="39">
        <f>IFERROR(R16/R$101,0)</f>
        <v>0</v>
      </c>
      <c r="S18" s="39"/>
      <c r="T18" s="27"/>
      <c r="U18" s="39"/>
      <c r="V18" s="39"/>
      <c r="W18" s="3"/>
    </row>
    <row r="19" spans="1:23" ht="12.95" customHeight="1" x14ac:dyDescent="0.2">
      <c r="A19" s="4"/>
      <c r="B19" s="3" t="s">
        <v>444</v>
      </c>
      <c r="C19" s="3"/>
      <c r="D19" s="35">
        <f t="shared" ref="D19:Q19" si="3">+(D16/D$102)/12</f>
        <v>0</v>
      </c>
      <c r="E19" s="35">
        <f>IFERROR(+(E16/E$102)/12,0)</f>
        <v>0</v>
      </c>
      <c r="F19" s="35">
        <f t="shared" si="3"/>
        <v>0</v>
      </c>
      <c r="G19" s="35">
        <f t="shared" si="3"/>
        <v>0</v>
      </c>
      <c r="H19" s="35">
        <f t="shared" si="3"/>
        <v>0</v>
      </c>
      <c r="I19" s="35">
        <f t="shared" si="3"/>
        <v>0</v>
      </c>
      <c r="J19" s="35">
        <f t="shared" si="3"/>
        <v>0</v>
      </c>
      <c r="K19" s="35">
        <f t="shared" si="3"/>
        <v>0</v>
      </c>
      <c r="L19" s="35">
        <f t="shared" si="3"/>
        <v>0</v>
      </c>
      <c r="M19" s="35">
        <f t="shared" si="3"/>
        <v>0</v>
      </c>
      <c r="N19" s="35">
        <f t="shared" si="3"/>
        <v>0</v>
      </c>
      <c r="O19" s="35">
        <f>+(O16/O$102)/12</f>
        <v>0</v>
      </c>
      <c r="P19" s="35">
        <f t="shared" si="3"/>
        <v>0</v>
      </c>
      <c r="Q19" s="35">
        <f t="shared" si="3"/>
        <v>0</v>
      </c>
      <c r="R19" s="35">
        <f>IFERROR(+(R16/R$102)/12,0)</f>
        <v>0</v>
      </c>
      <c r="S19" s="35"/>
      <c r="T19" s="27"/>
      <c r="U19" s="35"/>
      <c r="V19" s="35"/>
      <c r="W19" s="3"/>
    </row>
    <row r="20" spans="1:23" ht="12.95" customHeight="1" x14ac:dyDescent="0.2">
      <c r="A20" s="4"/>
      <c r="B20" s="3"/>
      <c r="C20" s="3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27"/>
      <c r="U20" s="9"/>
      <c r="V20" s="9"/>
      <c r="W20" s="3"/>
    </row>
    <row r="21" spans="1:23" ht="12.95" customHeight="1" x14ac:dyDescent="0.2">
      <c r="A21" s="4">
        <v>2</v>
      </c>
      <c r="B21" s="3" t="s">
        <v>520</v>
      </c>
      <c r="C21" s="3"/>
      <c r="D21" s="9">
        <f>E21+F21</f>
        <v>505557424.04040056</v>
      </c>
      <c r="E21" s="9">
        <f>Distribution!I39</f>
        <v>0</v>
      </c>
      <c r="F21" s="9">
        <f>Distribution!J39</f>
        <v>505557424.04040056</v>
      </c>
      <c r="G21" s="9">
        <f>Distribution!K39</f>
        <v>274280246.75195694</v>
      </c>
      <c r="H21" s="9">
        <f>Distribution!L39</f>
        <v>14156857.073246393</v>
      </c>
      <c r="I21" s="9">
        <f>Distribution!M39</f>
        <v>153089024.09332699</v>
      </c>
      <c r="J21" s="9">
        <f>Distribution!N39</f>
        <v>17640817.432595063</v>
      </c>
      <c r="K21" s="9">
        <f>Distribution!O39</f>
        <v>135448206.66073191</v>
      </c>
      <c r="L21" s="9">
        <f>Distribution!P39</f>
        <v>34155357.463968903</v>
      </c>
      <c r="M21" s="9">
        <f>Distribution!Q39</f>
        <v>25236654.615626764</v>
      </c>
      <c r="N21" s="9">
        <f>Distribution!R39</f>
        <v>2304334.5364451767</v>
      </c>
      <c r="O21" s="9">
        <f>Distribution!S39</f>
        <v>6614368.3118969649</v>
      </c>
      <c r="P21" s="9">
        <f>Distribution!T39</f>
        <v>8293460.5320387157</v>
      </c>
      <c r="Q21" s="9">
        <f>Distribution!U39</f>
        <v>21582477.125862662</v>
      </c>
      <c r="R21" s="9">
        <f>Distribution!V39</f>
        <v>1</v>
      </c>
      <c r="S21" s="9"/>
      <c r="T21" s="27"/>
      <c r="U21" s="9"/>
      <c r="V21" s="9"/>
      <c r="W21" s="3"/>
    </row>
    <row r="22" spans="1:23" ht="12.95" customHeight="1" x14ac:dyDescent="0.2">
      <c r="A22" s="4"/>
      <c r="B22" s="3" t="s">
        <v>363</v>
      </c>
      <c r="C22" s="3"/>
      <c r="D22" s="32">
        <f t="shared" ref="D22:Q22" si="4">D21/D$100</f>
        <v>3.3564061199629971</v>
      </c>
      <c r="E22" s="32">
        <f>IFERROR(E21/E$100,0)</f>
        <v>0</v>
      </c>
      <c r="F22" s="32">
        <f t="shared" si="4"/>
        <v>3.3564061199629971</v>
      </c>
      <c r="G22" s="32">
        <f t="shared" si="4"/>
        <v>3.4639299676669668</v>
      </c>
      <c r="H22" s="32">
        <f t="shared" si="4"/>
        <v>4.8859789540155365</v>
      </c>
      <c r="I22" s="32">
        <f t="shared" si="4"/>
        <v>4.8443026178669371</v>
      </c>
      <c r="J22" s="32">
        <f t="shared" si="4"/>
        <v>4.8360198553493809</v>
      </c>
      <c r="K22" s="32">
        <f t="shared" si="4"/>
        <v>4.8453834561836686</v>
      </c>
      <c r="L22" s="32">
        <f t="shared" si="4"/>
        <v>3.1043426187549605</v>
      </c>
      <c r="M22" s="32">
        <f t="shared" si="4"/>
        <v>3.108129585748824</v>
      </c>
      <c r="N22" s="32">
        <f t="shared" si="4"/>
        <v>3.0880744791711736</v>
      </c>
      <c r="O22" s="32">
        <f>O21/O$100</f>
        <v>3.0956332248144975</v>
      </c>
      <c r="P22" s="32">
        <f t="shared" si="4"/>
        <v>0.25842841920450738</v>
      </c>
      <c r="Q22" s="32">
        <f t="shared" si="4"/>
        <v>26.665747293607502</v>
      </c>
      <c r="R22" s="32">
        <f>IFERROR(R21/R$100,0)</f>
        <v>1.8161561758889501E-6</v>
      </c>
      <c r="S22" s="32"/>
      <c r="T22" s="27"/>
      <c r="U22" s="32"/>
      <c r="V22" s="32"/>
      <c r="W22" s="3"/>
    </row>
    <row r="23" spans="1:23" ht="12.95" customHeight="1" x14ac:dyDescent="0.2">
      <c r="A23" s="4"/>
      <c r="B23" s="3" t="s">
        <v>362</v>
      </c>
      <c r="C23" s="3"/>
      <c r="D23" s="39">
        <f t="shared" ref="D23:Q23" si="5">D21/D$101</f>
        <v>1.3201381447123227E-2</v>
      </c>
      <c r="E23" s="39">
        <f>IFERROR(E21/E$101,0)</f>
        <v>0</v>
      </c>
      <c r="F23" s="39">
        <f t="shared" si="5"/>
        <v>1.3201381447123227E-2</v>
      </c>
      <c r="G23" s="39">
        <f t="shared" si="5"/>
        <v>2.178576690783196E-2</v>
      </c>
      <c r="H23" s="39">
        <f t="shared" si="5"/>
        <v>2.1063613804610005E-2</v>
      </c>
      <c r="I23" s="39">
        <f t="shared" si="5"/>
        <v>1.6630969329715528E-2</v>
      </c>
      <c r="J23" s="39">
        <f t="shared" si="5"/>
        <v>1.3470727622344839E-2</v>
      </c>
      <c r="K23" s="39">
        <f t="shared" si="5"/>
        <v>1.7155135321007278E-2</v>
      </c>
      <c r="L23" s="39">
        <f t="shared" si="5"/>
        <v>7.548025780194206E-3</v>
      </c>
      <c r="M23" s="39">
        <f t="shared" si="5"/>
        <v>6.7152445334616824E-3</v>
      </c>
      <c r="N23" s="39">
        <f t="shared" si="5"/>
        <v>8.8235383021770305E-3</v>
      </c>
      <c r="O23" s="39">
        <f>O21/O$101</f>
        <v>1.3077043442937591E-2</v>
      </c>
      <c r="P23" s="39">
        <f t="shared" si="5"/>
        <v>7.5151218051854019E-4</v>
      </c>
      <c r="Q23" s="39">
        <f t="shared" si="5"/>
        <v>9.0536260235837981E-2</v>
      </c>
      <c r="R23" s="39">
        <f>IFERROR(R21/R$101,0)</f>
        <v>3.3779412023179235E-8</v>
      </c>
      <c r="S23" s="39"/>
      <c r="T23" s="27"/>
      <c r="U23" s="39"/>
      <c r="V23" s="39"/>
      <c r="W23" s="3"/>
    </row>
    <row r="24" spans="1:23" ht="12.95" customHeight="1" x14ac:dyDescent="0.2">
      <c r="A24" s="4"/>
      <c r="B24" s="3" t="s">
        <v>444</v>
      </c>
      <c r="C24" s="3"/>
      <c r="D24" s="35">
        <f t="shared" ref="D24:Q24" si="6">+(D21/D$102)/12</f>
        <v>31.685321218217723</v>
      </c>
      <c r="E24" s="35">
        <f>IFERROR(+(E21/E$102)/12,0)</f>
        <v>0</v>
      </c>
      <c r="F24" s="35">
        <f t="shared" si="6"/>
        <v>31.685321218217723</v>
      </c>
      <c r="G24" s="35">
        <f t="shared" si="6"/>
        <v>24.439433843930363</v>
      </c>
      <c r="H24" s="35">
        <f t="shared" si="6"/>
        <v>11.872653517674047</v>
      </c>
      <c r="I24" s="35">
        <f t="shared" si="6"/>
        <v>176.18553873750383</v>
      </c>
      <c r="J24" s="35">
        <f t="shared" si="6"/>
        <v>2552.201596150906</v>
      </c>
      <c r="K24" s="35">
        <f t="shared" si="6"/>
        <v>157.13321948214599</v>
      </c>
      <c r="L24" s="35">
        <f t="shared" si="6"/>
        <v>2620.8837833002535</v>
      </c>
      <c r="M24" s="35">
        <f t="shared" si="6"/>
        <v>4484.1248428618983</v>
      </c>
      <c r="N24" s="35">
        <f t="shared" si="6"/>
        <v>349.14159643108741</v>
      </c>
      <c r="O24" s="35">
        <f>+(O21/O$102)/12</f>
        <v>8226.8262585783141</v>
      </c>
      <c r="P24" s="35">
        <f t="shared" si="6"/>
        <v>5618.8756992132221</v>
      </c>
      <c r="Q24" s="35">
        <f t="shared" si="6"/>
        <v>8.1238527507500571</v>
      </c>
      <c r="R24" s="35">
        <f>IFERROR(+(R21/R$102)/12,0)</f>
        <v>4.3859649122807015E-3</v>
      </c>
      <c r="S24" s="35"/>
      <c r="T24" s="27"/>
      <c r="U24" s="35"/>
      <c r="V24" s="35"/>
      <c r="W24" s="3"/>
    </row>
    <row r="25" spans="1:23" ht="12.95" customHeight="1" x14ac:dyDescent="0.2">
      <c r="A25" s="4"/>
      <c r="B25" s="3"/>
      <c r="C25" s="3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27"/>
      <c r="U25" s="9"/>
      <c r="V25" s="9"/>
      <c r="W25" s="3"/>
    </row>
    <row r="26" spans="1:23" ht="12.95" customHeight="1" x14ac:dyDescent="0.2">
      <c r="A26" s="4">
        <v>3</v>
      </c>
      <c r="B26" s="3" t="s">
        <v>75</v>
      </c>
      <c r="C26" s="3"/>
      <c r="D26" s="9">
        <f>E26+F26</f>
        <v>56905340.492062181</v>
      </c>
      <c r="E26" s="9">
        <f>Meter!I39</f>
        <v>0</v>
      </c>
      <c r="F26" s="9">
        <f>Meter!J39</f>
        <v>56905340.492062181</v>
      </c>
      <c r="G26" s="9">
        <f>Meter!K39</f>
        <v>38036476.375195511</v>
      </c>
      <c r="H26" s="9">
        <f>Meter!L39</f>
        <v>5099900.9656802686</v>
      </c>
      <c r="I26" s="9">
        <f>Meter!M39</f>
        <v>10956922.521470765</v>
      </c>
      <c r="J26" s="9">
        <f>Meter!N39</f>
        <v>87790.730090504308</v>
      </c>
      <c r="K26" s="9">
        <f>Meter!O39</f>
        <v>10869131.79138026</v>
      </c>
      <c r="L26" s="9">
        <f>Meter!P39</f>
        <v>1645621.6706345179</v>
      </c>
      <c r="M26" s="9">
        <f>Meter!Q39</f>
        <v>713143.33128456166</v>
      </c>
      <c r="N26" s="9">
        <f>Meter!R39</f>
        <v>830965.62931467756</v>
      </c>
      <c r="O26" s="9">
        <f>Meter!S39</f>
        <v>101512.71003527872</v>
      </c>
      <c r="P26" s="9">
        <f>Meter!T39</f>
        <v>1166417.9590811178</v>
      </c>
      <c r="Q26" s="9">
        <f>Meter!U39</f>
        <v>0</v>
      </c>
      <c r="R26" s="9">
        <f>Meter!V39</f>
        <v>1</v>
      </c>
      <c r="S26" s="9"/>
      <c r="T26" s="27"/>
      <c r="U26" s="9"/>
      <c r="V26" s="9"/>
      <c r="W26" s="3"/>
    </row>
    <row r="27" spans="1:23" ht="12.95" customHeight="1" x14ac:dyDescent="0.2">
      <c r="A27" s="4"/>
      <c r="B27" s="3" t="s">
        <v>363</v>
      </c>
      <c r="C27" s="3"/>
      <c r="D27" s="32">
        <f t="shared" ref="D27:Q27" si="7">D26/D$100</f>
        <v>0.3777957240933969</v>
      </c>
      <c r="E27" s="32">
        <f>IFERROR(E26/E$100,0)</f>
        <v>0</v>
      </c>
      <c r="F27" s="32">
        <f t="shared" si="7"/>
        <v>0.3777957240933969</v>
      </c>
      <c r="G27" s="32">
        <f t="shared" si="7"/>
        <v>0.4803688633824531</v>
      </c>
      <c r="H27" s="32">
        <f t="shared" si="7"/>
        <v>1.7601370598681341</v>
      </c>
      <c r="I27" s="32">
        <f t="shared" si="7"/>
        <v>0.34671753098489888</v>
      </c>
      <c r="J27" s="32">
        <f t="shared" si="7"/>
        <v>2.4066782361731088E-2</v>
      </c>
      <c r="K27" s="32">
        <f t="shared" si="7"/>
        <v>0.38882103103032178</v>
      </c>
      <c r="L27" s="32">
        <f t="shared" si="7"/>
        <v>0.14956873140287283</v>
      </c>
      <c r="M27" s="32">
        <f t="shared" si="7"/>
        <v>8.7830258035568556E-2</v>
      </c>
      <c r="N27" s="32">
        <f t="shared" si="7"/>
        <v>1.1135899377326024</v>
      </c>
      <c r="O27" s="32">
        <f>O26/O$100</f>
        <v>4.7509618924750321E-2</v>
      </c>
      <c r="P27" s="32">
        <f t="shared" si="7"/>
        <v>3.6346172762575561E-2</v>
      </c>
      <c r="Q27" s="32">
        <f t="shared" si="7"/>
        <v>0</v>
      </c>
      <c r="R27" s="32">
        <f>IFERROR(R26/R$100,0)</f>
        <v>1.8161561758889501E-6</v>
      </c>
      <c r="S27" s="32"/>
      <c r="T27" s="27"/>
      <c r="U27" s="32"/>
      <c r="V27" s="32"/>
      <c r="W27" s="3"/>
    </row>
    <row r="28" spans="1:23" ht="12.95" customHeight="1" x14ac:dyDescent="0.2">
      <c r="A28" s="4"/>
      <c r="B28" s="3" t="s">
        <v>362</v>
      </c>
      <c r="C28" s="3"/>
      <c r="D28" s="39">
        <f t="shared" ref="D28:Q28" si="8">D26/D$101</f>
        <v>1.4859421907215567E-3</v>
      </c>
      <c r="E28" s="39">
        <f>IFERROR(E26/E$101,0)</f>
        <v>0</v>
      </c>
      <c r="F28" s="39">
        <f t="shared" si="8"/>
        <v>1.4859421907215567E-3</v>
      </c>
      <c r="G28" s="39">
        <f t="shared" si="8"/>
        <v>3.0211938997366174E-3</v>
      </c>
      <c r="H28" s="39">
        <f t="shared" si="8"/>
        <v>7.5880079757147077E-3</v>
      </c>
      <c r="I28" s="39">
        <f t="shared" si="8"/>
        <v>1.1903155270724115E-3</v>
      </c>
      <c r="J28" s="39">
        <f t="shared" si="8"/>
        <v>6.703799397815143E-5</v>
      </c>
      <c r="K28" s="39">
        <f t="shared" si="8"/>
        <v>1.3766252894734563E-3</v>
      </c>
      <c r="L28" s="39">
        <f t="shared" si="8"/>
        <v>3.6366753905295649E-4</v>
      </c>
      <c r="M28" s="39">
        <f t="shared" si="8"/>
        <v>1.897609619786117E-4</v>
      </c>
      <c r="N28" s="39">
        <f t="shared" si="8"/>
        <v>3.1818544321961287E-3</v>
      </c>
      <c r="O28" s="39">
        <f>O26/O$101</f>
        <v>2.0069733896644029E-4</v>
      </c>
      <c r="P28" s="39">
        <f t="shared" si="8"/>
        <v>1.0569499914284323E-4</v>
      </c>
      <c r="Q28" s="39">
        <f t="shared" si="8"/>
        <v>0</v>
      </c>
      <c r="R28" s="39">
        <f>IFERROR(R26/R$101,0)</f>
        <v>3.3779412023179235E-8</v>
      </c>
      <c r="S28" s="39"/>
      <c r="T28" s="27"/>
      <c r="U28" s="39"/>
      <c r="V28" s="39"/>
      <c r="W28" s="3"/>
    </row>
    <row r="29" spans="1:23" ht="12.95" customHeight="1" x14ac:dyDescent="0.2">
      <c r="A29" s="4"/>
      <c r="B29" s="3" t="s">
        <v>444</v>
      </c>
      <c r="C29" s="3"/>
      <c r="D29" s="35">
        <f t="shared" ref="D29:Q29" si="9">+(D26/D$102)/12</f>
        <v>3.5664870235966579</v>
      </c>
      <c r="E29" s="35">
        <f>IFERROR(+(E26/E$102)/12,0)</f>
        <v>0</v>
      </c>
      <c r="F29" s="35">
        <f t="shared" si="9"/>
        <v>3.5664870235966579</v>
      </c>
      <c r="G29" s="35">
        <f t="shared" si="9"/>
        <v>3.3891975781561761</v>
      </c>
      <c r="H29" s="35">
        <f t="shared" si="9"/>
        <v>4.2770338661113696</v>
      </c>
      <c r="I29" s="35">
        <f t="shared" si="9"/>
        <v>12.60999153129073</v>
      </c>
      <c r="J29" s="35">
        <f t="shared" si="9"/>
        <v>12.701205163556757</v>
      </c>
      <c r="K29" s="35">
        <f t="shared" si="9"/>
        <v>12.609260125778148</v>
      </c>
      <c r="L29" s="35">
        <f t="shared" si="9"/>
        <v>126.27545047840069</v>
      </c>
      <c r="M29" s="35">
        <f t="shared" si="9"/>
        <v>126.71345616285744</v>
      </c>
      <c r="N29" s="35">
        <f t="shared" si="9"/>
        <v>125.9038832294966</v>
      </c>
      <c r="O29" s="35">
        <f>+(O26/O$102)/12</f>
        <v>126.25958959611781</v>
      </c>
      <c r="P29" s="35">
        <f t="shared" si="9"/>
        <v>790.25606983815567</v>
      </c>
      <c r="Q29" s="35">
        <f t="shared" si="9"/>
        <v>0</v>
      </c>
      <c r="R29" s="35">
        <f>IFERROR(+(R26/R$102)/12,0)</f>
        <v>4.3859649122807015E-3</v>
      </c>
      <c r="S29" s="35"/>
      <c r="T29" s="27"/>
      <c r="U29" s="35"/>
      <c r="V29" s="35"/>
      <c r="W29" s="3"/>
    </row>
    <row r="30" spans="1:23" ht="12.95" customHeight="1" x14ac:dyDescent="0.2">
      <c r="A30" s="4"/>
      <c r="B30" s="3"/>
      <c r="C30" s="3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27"/>
      <c r="U30" s="9"/>
      <c r="V30" s="9"/>
      <c r="W30" s="3"/>
    </row>
    <row r="31" spans="1:23" ht="12.95" customHeight="1" x14ac:dyDescent="0.2">
      <c r="A31" s="4">
        <v>4</v>
      </c>
      <c r="B31" s="3" t="s">
        <v>353</v>
      </c>
      <c r="C31" s="3"/>
      <c r="D31" s="9">
        <f>E31+F31</f>
        <v>19273107.563460864</v>
      </c>
      <c r="E31" s="9">
        <f>TDCustSvc!I39</f>
        <v>0</v>
      </c>
      <c r="F31" s="9">
        <f>TDCustSvc!J39</f>
        <v>19273107.563460864</v>
      </c>
      <c r="G31" s="9">
        <f>TDCustSvc!K39</f>
        <v>15708279.328989297</v>
      </c>
      <c r="H31" s="9">
        <f>TDCustSvc!L39</f>
        <v>1667059.1296076565</v>
      </c>
      <c r="I31" s="9">
        <f>TDCustSvc!M39</f>
        <v>1746841.799300642</v>
      </c>
      <c r="J31" s="9">
        <f>TDCustSvc!N39</f>
        <v>13996.627843947808</v>
      </c>
      <c r="K31" s="9">
        <f>TDCustSvc!O39</f>
        <v>1732845.1714566941</v>
      </c>
      <c r="L31" s="9">
        <f>TDCustSvc!P39</f>
        <v>95337.200156615378</v>
      </c>
      <c r="M31" s="9">
        <f>TDCustSvc!Q39</f>
        <v>41315.412650891303</v>
      </c>
      <c r="N31" s="9">
        <f>TDCustSvc!R39</f>
        <v>48140.819437943675</v>
      </c>
      <c r="O31" s="9">
        <f>TDCustSvc!S39</f>
        <v>5880.9680677803935</v>
      </c>
      <c r="P31" s="9">
        <f>TDCustSvc!T39</f>
        <v>11457.395054401524</v>
      </c>
      <c r="Q31" s="9">
        <f>TDCustSvc!U39</f>
        <v>44131.710352257905</v>
      </c>
      <c r="R31" s="9">
        <f>TDCustSvc!V39</f>
        <v>1</v>
      </c>
      <c r="S31" s="9"/>
      <c r="T31" s="27"/>
      <c r="U31" s="9"/>
      <c r="V31" s="9"/>
      <c r="W31" s="3"/>
    </row>
    <row r="32" spans="1:23" ht="12.95" customHeight="1" x14ac:dyDescent="0.2">
      <c r="A32" s="4"/>
      <c r="B32" s="3" t="s">
        <v>363</v>
      </c>
      <c r="C32" s="3"/>
      <c r="D32" s="32">
        <f t="shared" ref="D32:Q32" si="10">D31/D$100</f>
        <v>0.12795455689230614</v>
      </c>
      <c r="E32" s="32">
        <f>IFERROR(E31/E$100,0)</f>
        <v>0</v>
      </c>
      <c r="F32" s="32">
        <f t="shared" si="10"/>
        <v>0.12795455689230614</v>
      </c>
      <c r="G32" s="32">
        <f t="shared" si="10"/>
        <v>0.19838242145588034</v>
      </c>
      <c r="H32" s="32">
        <f t="shared" si="10"/>
        <v>0.57535481076200767</v>
      </c>
      <c r="I32" s="32">
        <f t="shared" si="10"/>
        <v>5.5276531753136654E-2</v>
      </c>
      <c r="J32" s="32">
        <f t="shared" si="10"/>
        <v>3.837008711183647E-3</v>
      </c>
      <c r="K32" s="32">
        <f t="shared" si="10"/>
        <v>6.198900327218735E-2</v>
      </c>
      <c r="L32" s="32">
        <f t="shared" si="10"/>
        <v>8.6650925527910518E-3</v>
      </c>
      <c r="M32" s="32">
        <f t="shared" si="10"/>
        <v>5.0883787238638839E-3</v>
      </c>
      <c r="N32" s="32">
        <f t="shared" si="10"/>
        <v>6.4514259349702854E-2</v>
      </c>
      <c r="O32" s="32">
        <f>O31/O$100</f>
        <v>2.7523898407575851E-3</v>
      </c>
      <c r="P32" s="32">
        <f t="shared" si="10"/>
        <v>3.5701821702437977E-4</v>
      </c>
      <c r="Q32" s="32">
        <f t="shared" si="10"/>
        <v>5.4525948482429074E-2</v>
      </c>
      <c r="R32" s="32">
        <f>IFERROR(R31/R$100,0)</f>
        <v>1.8161561758889501E-6</v>
      </c>
      <c r="S32" s="32"/>
      <c r="T32" s="27"/>
      <c r="U32" s="32"/>
      <c r="V32" s="32"/>
      <c r="W32" s="3"/>
    </row>
    <row r="33" spans="1:23" ht="12.95" customHeight="1" x14ac:dyDescent="0.2">
      <c r="A33" s="4"/>
      <c r="B33" s="3" t="s">
        <v>362</v>
      </c>
      <c r="C33" s="3"/>
      <c r="D33" s="39">
        <f t="shared" ref="D33:Q33" si="11">D31/D$101</f>
        <v>5.0326952492018044E-4</v>
      </c>
      <c r="E33" s="39">
        <f>IFERROR(E31/E$101,0)</f>
        <v>0</v>
      </c>
      <c r="F33" s="39">
        <f t="shared" si="11"/>
        <v>5.0326952492018044E-4</v>
      </c>
      <c r="G33" s="39">
        <f t="shared" si="11"/>
        <v>1.2476906960564203E-3</v>
      </c>
      <c r="H33" s="39">
        <f t="shared" si="11"/>
        <v>2.4803732575547368E-3</v>
      </c>
      <c r="I33" s="39">
        <f t="shared" si="11"/>
        <v>1.8976979283846906E-4</v>
      </c>
      <c r="J33" s="39">
        <f t="shared" si="11"/>
        <v>1.0687983254606622E-5</v>
      </c>
      <c r="K33" s="39">
        <f>K31/K$101</f>
        <v>2.1947277220992487E-4</v>
      </c>
      <c r="L33" s="39">
        <f t="shared" si="11"/>
        <v>2.1068660907817899E-5</v>
      </c>
      <c r="M33" s="39">
        <f t="shared" si="11"/>
        <v>1.0993655980845265E-5</v>
      </c>
      <c r="N33" s="39">
        <f t="shared" si="11"/>
        <v>1.8433624002535989E-4</v>
      </c>
      <c r="O33" s="39">
        <f>O31/O$101</f>
        <v>1.1627062673629196E-5</v>
      </c>
      <c r="P33" s="39">
        <f t="shared" si="11"/>
        <v>1.0382122043184076E-6</v>
      </c>
      <c r="Q33" s="39">
        <f t="shared" si="11"/>
        <v>1.8512796236520713E-4</v>
      </c>
      <c r="R33" s="39">
        <f>IFERROR(R31/R$101,0)</f>
        <v>3.3779412023179235E-8</v>
      </c>
      <c r="S33" s="39"/>
      <c r="T33" s="39"/>
      <c r="U33" s="39"/>
      <c r="V33" s="39"/>
      <c r="W33" s="39"/>
    </row>
    <row r="34" spans="1:23" ht="12.95" customHeight="1" x14ac:dyDescent="0.2">
      <c r="A34" s="4"/>
      <c r="B34" s="3" t="s">
        <v>444</v>
      </c>
      <c r="C34" s="3"/>
      <c r="D34" s="35">
        <f t="shared" ref="D34:Q34" si="12">+(D31/D$102)/12</f>
        <v>1.2079233238056815</v>
      </c>
      <c r="E34" s="35">
        <f>IFERROR(+(E31/E$102)/12,0)</f>
        <v>0</v>
      </c>
      <c r="F34" s="35">
        <f t="shared" si="12"/>
        <v>1.2079233238056815</v>
      </c>
      <c r="G34" s="35">
        <f t="shared" si="12"/>
        <v>1.3996686163476835</v>
      </c>
      <c r="H34" s="35">
        <f t="shared" si="12"/>
        <v>1.3980797670628924</v>
      </c>
      <c r="I34" s="35">
        <f t="shared" si="12"/>
        <v>2.0103875200834174</v>
      </c>
      <c r="J34" s="35">
        <f t="shared" si="12"/>
        <v>2.0249750931637451</v>
      </c>
      <c r="K34" s="35">
        <f t="shared" si="12"/>
        <v>2.0102705481889638</v>
      </c>
      <c r="L34" s="35">
        <f>+(L31/L$102)/12</f>
        <v>7.3156230936629356</v>
      </c>
      <c r="M34" s="35">
        <f t="shared" si="12"/>
        <v>7.3410470239678931</v>
      </c>
      <c r="N34" s="35">
        <f t="shared" si="12"/>
        <v>7.2940635512035881</v>
      </c>
      <c r="O34" s="35">
        <f>+(O31/O$102)/12</f>
        <v>7.3146369002243707</v>
      </c>
      <c r="P34" s="35">
        <f t="shared" si="12"/>
        <v>7.7624627739847725</v>
      </c>
      <c r="Q34" s="35">
        <f t="shared" si="12"/>
        <v>1.6611601830953636E-2</v>
      </c>
      <c r="R34" s="35">
        <f>IFERROR(+(R31/R$102)/12,0)</f>
        <v>4.3859649122807015E-3</v>
      </c>
      <c r="S34" s="9"/>
      <c r="T34" s="9"/>
      <c r="U34" s="9"/>
      <c r="V34" s="9"/>
      <c r="W34" s="9"/>
    </row>
    <row r="35" spans="1:23" ht="12.95" customHeight="1" x14ac:dyDescent="0.2">
      <c r="A35" s="4"/>
      <c r="B35" s="3"/>
      <c r="C35" s="3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2.95" customHeight="1" x14ac:dyDescent="0.2">
      <c r="A36" s="4">
        <v>5</v>
      </c>
      <c r="B36" s="3" t="s">
        <v>519</v>
      </c>
      <c r="C36" s="3"/>
      <c r="D36" s="9">
        <f>E36+F36</f>
        <v>0</v>
      </c>
      <c r="E36" s="9">
        <v>0</v>
      </c>
      <c r="F36" s="9">
        <v>0</v>
      </c>
      <c r="G36" s="9">
        <v>0</v>
      </c>
      <c r="H36" s="9">
        <v>0</v>
      </c>
      <c r="I36" s="9">
        <f>SUM(G36:H36)</f>
        <v>0</v>
      </c>
      <c r="J36" s="9">
        <v>0</v>
      </c>
      <c r="K36" s="9">
        <v>0</v>
      </c>
      <c r="L36" s="9">
        <f>SUM(M36:O36)</f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/>
      <c r="T36" s="27"/>
      <c r="U36" s="9"/>
      <c r="V36" s="9"/>
      <c r="W36" s="3"/>
    </row>
    <row r="37" spans="1:23" ht="12.95" customHeight="1" x14ac:dyDescent="0.2">
      <c r="A37" s="4"/>
      <c r="B37" s="3" t="s">
        <v>363</v>
      </c>
      <c r="C37" s="3"/>
      <c r="D37" s="32">
        <f t="shared" ref="D37:Q37" si="13">D36/D$100</f>
        <v>0</v>
      </c>
      <c r="E37" s="32">
        <f>IFERROR(E36/E$100,0)</f>
        <v>0</v>
      </c>
      <c r="F37" s="32">
        <f t="shared" si="13"/>
        <v>0</v>
      </c>
      <c r="G37" s="32">
        <f t="shared" si="13"/>
        <v>0</v>
      </c>
      <c r="H37" s="32">
        <f t="shared" si="13"/>
        <v>0</v>
      </c>
      <c r="I37" s="32">
        <f t="shared" si="13"/>
        <v>0</v>
      </c>
      <c r="J37" s="32">
        <f t="shared" si="13"/>
        <v>0</v>
      </c>
      <c r="K37" s="32">
        <f t="shared" si="13"/>
        <v>0</v>
      </c>
      <c r="L37" s="32">
        <f t="shared" si="13"/>
        <v>0</v>
      </c>
      <c r="M37" s="32">
        <f t="shared" si="13"/>
        <v>0</v>
      </c>
      <c r="N37" s="32">
        <f t="shared" si="13"/>
        <v>0</v>
      </c>
      <c r="O37" s="32">
        <f>O36/O$100</f>
        <v>0</v>
      </c>
      <c r="P37" s="32">
        <f t="shared" si="13"/>
        <v>0</v>
      </c>
      <c r="Q37" s="32">
        <f t="shared" si="13"/>
        <v>0</v>
      </c>
      <c r="R37" s="32">
        <f>IFERROR(R36/R$100,0)</f>
        <v>0</v>
      </c>
      <c r="S37" s="32"/>
      <c r="T37" s="27"/>
      <c r="U37" s="32"/>
      <c r="V37" s="32"/>
      <c r="W37" s="3"/>
    </row>
    <row r="38" spans="1:23" ht="12.95" customHeight="1" x14ac:dyDescent="0.2">
      <c r="A38" s="4"/>
      <c r="B38" s="3" t="s">
        <v>362</v>
      </c>
      <c r="C38" s="3"/>
      <c r="D38" s="39">
        <f t="shared" ref="D38:Q38" si="14">D36/D$101</f>
        <v>0</v>
      </c>
      <c r="E38" s="39">
        <f>IFERROR(E36/E$101,0)</f>
        <v>0</v>
      </c>
      <c r="F38" s="39">
        <f t="shared" si="14"/>
        <v>0</v>
      </c>
      <c r="G38" s="39">
        <f t="shared" si="14"/>
        <v>0</v>
      </c>
      <c r="H38" s="39">
        <f t="shared" si="14"/>
        <v>0</v>
      </c>
      <c r="I38" s="39">
        <f t="shared" si="14"/>
        <v>0</v>
      </c>
      <c r="J38" s="39">
        <f t="shared" si="14"/>
        <v>0</v>
      </c>
      <c r="K38" s="39">
        <f t="shared" si="14"/>
        <v>0</v>
      </c>
      <c r="L38" s="39">
        <f t="shared" si="14"/>
        <v>0</v>
      </c>
      <c r="M38" s="39">
        <f t="shared" si="14"/>
        <v>0</v>
      </c>
      <c r="N38" s="39">
        <f t="shared" si="14"/>
        <v>0</v>
      </c>
      <c r="O38" s="39">
        <f>O36/O$101</f>
        <v>0</v>
      </c>
      <c r="P38" s="39">
        <f t="shared" si="14"/>
        <v>0</v>
      </c>
      <c r="Q38" s="39">
        <f t="shared" si="14"/>
        <v>0</v>
      </c>
      <c r="R38" s="39">
        <f>IFERROR(R36/R$101,0)</f>
        <v>0</v>
      </c>
      <c r="S38" s="39"/>
      <c r="T38" s="39"/>
      <c r="U38" s="39"/>
      <c r="V38" s="39"/>
      <c r="W38" s="39"/>
    </row>
    <row r="39" spans="1:23" ht="12.95" customHeight="1" x14ac:dyDescent="0.2">
      <c r="A39" s="4"/>
      <c r="B39" s="3" t="s">
        <v>444</v>
      </c>
      <c r="C39" s="3"/>
      <c r="D39" s="35">
        <f t="shared" ref="D39:Q39" si="15">+(D36/D$102)/12</f>
        <v>0</v>
      </c>
      <c r="E39" s="35">
        <f>IFERROR(+(E36/E$102)/12,0)</f>
        <v>0</v>
      </c>
      <c r="F39" s="35">
        <f t="shared" si="15"/>
        <v>0</v>
      </c>
      <c r="G39" s="35">
        <f t="shared" si="15"/>
        <v>0</v>
      </c>
      <c r="H39" s="35">
        <f t="shared" si="15"/>
        <v>0</v>
      </c>
      <c r="I39" s="35">
        <f t="shared" si="15"/>
        <v>0</v>
      </c>
      <c r="J39" s="35">
        <f t="shared" si="15"/>
        <v>0</v>
      </c>
      <c r="K39" s="35">
        <f t="shared" si="15"/>
        <v>0</v>
      </c>
      <c r="L39" s="35">
        <f t="shared" si="15"/>
        <v>0</v>
      </c>
      <c r="M39" s="35">
        <f t="shared" si="15"/>
        <v>0</v>
      </c>
      <c r="N39" s="35">
        <f t="shared" si="15"/>
        <v>0</v>
      </c>
      <c r="O39" s="35">
        <f>+(O36/O$102)/12</f>
        <v>0</v>
      </c>
      <c r="P39" s="35">
        <f t="shared" si="15"/>
        <v>0</v>
      </c>
      <c r="Q39" s="35">
        <f t="shared" si="15"/>
        <v>0</v>
      </c>
      <c r="R39" s="35">
        <f>IFERROR(+(R36/R$102)/12,0)</f>
        <v>0</v>
      </c>
      <c r="S39" s="9"/>
      <c r="T39" s="9"/>
      <c r="U39" s="9"/>
      <c r="V39" s="9"/>
      <c r="W39" s="9"/>
    </row>
    <row r="40" spans="1:23" ht="12.95" customHeight="1" x14ac:dyDescent="0.2">
      <c r="A40" s="4"/>
      <c r="B40" s="3"/>
      <c r="C40" s="3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27"/>
      <c r="U40" s="9"/>
      <c r="V40" s="9"/>
      <c r="W40" s="3"/>
    </row>
    <row r="41" spans="1:23" ht="12.95" customHeight="1" x14ac:dyDescent="0.2">
      <c r="A41" s="4">
        <v>6</v>
      </c>
      <c r="B41" s="3" t="s">
        <v>449</v>
      </c>
      <c r="C41" s="3"/>
      <c r="D41" s="9">
        <f>E41+F41</f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/>
      <c r="T41" s="27"/>
      <c r="U41" s="9"/>
      <c r="V41" s="9"/>
      <c r="W41" s="3"/>
    </row>
    <row r="42" spans="1:23" ht="12.95" customHeight="1" x14ac:dyDescent="0.2">
      <c r="A42" s="4"/>
      <c r="B42" s="3" t="s">
        <v>363</v>
      </c>
      <c r="C42" s="3"/>
      <c r="D42" s="32">
        <f t="shared" ref="D42:Q42" si="16">D41/D$100</f>
        <v>0</v>
      </c>
      <c r="E42" s="32">
        <f>IFERROR(E41/E$100,0)</f>
        <v>0</v>
      </c>
      <c r="F42" s="32">
        <f t="shared" si="16"/>
        <v>0</v>
      </c>
      <c r="G42" s="32">
        <f t="shared" si="16"/>
        <v>0</v>
      </c>
      <c r="H42" s="32">
        <f t="shared" si="16"/>
        <v>0</v>
      </c>
      <c r="I42" s="32">
        <f t="shared" si="16"/>
        <v>0</v>
      </c>
      <c r="J42" s="32">
        <f t="shared" si="16"/>
        <v>0</v>
      </c>
      <c r="K42" s="32">
        <f t="shared" si="16"/>
        <v>0</v>
      </c>
      <c r="L42" s="32">
        <f t="shared" si="16"/>
        <v>0</v>
      </c>
      <c r="M42" s="32">
        <f t="shared" si="16"/>
        <v>0</v>
      </c>
      <c r="N42" s="32">
        <f t="shared" si="16"/>
        <v>0</v>
      </c>
      <c r="O42" s="32">
        <f>O41/O$100</f>
        <v>0</v>
      </c>
      <c r="P42" s="32">
        <f t="shared" si="16"/>
        <v>0</v>
      </c>
      <c r="Q42" s="32">
        <f t="shared" si="16"/>
        <v>0</v>
      </c>
      <c r="R42" s="32">
        <f>IFERROR(R41/R$100,0)</f>
        <v>0</v>
      </c>
      <c r="S42" s="32"/>
      <c r="T42" s="27"/>
      <c r="U42" s="32"/>
      <c r="V42" s="32"/>
      <c r="W42" s="3"/>
    </row>
    <row r="43" spans="1:23" ht="12.95" customHeight="1" x14ac:dyDescent="0.2">
      <c r="A43" s="4"/>
      <c r="B43" s="3" t="s">
        <v>362</v>
      </c>
      <c r="C43" s="3"/>
      <c r="D43" s="39">
        <f t="shared" ref="D43:Q43" si="17">D41/D$101</f>
        <v>0</v>
      </c>
      <c r="E43" s="39">
        <f>IFERROR(E41/E$101,0)</f>
        <v>0</v>
      </c>
      <c r="F43" s="39">
        <f t="shared" si="17"/>
        <v>0</v>
      </c>
      <c r="G43" s="39">
        <f t="shared" si="17"/>
        <v>0</v>
      </c>
      <c r="H43" s="39">
        <f t="shared" si="17"/>
        <v>0</v>
      </c>
      <c r="I43" s="39">
        <f t="shared" si="17"/>
        <v>0</v>
      </c>
      <c r="J43" s="39">
        <f t="shared" si="17"/>
        <v>0</v>
      </c>
      <c r="K43" s="39">
        <f t="shared" si="17"/>
        <v>0</v>
      </c>
      <c r="L43" s="39">
        <f t="shared" si="17"/>
        <v>0</v>
      </c>
      <c r="M43" s="39">
        <f t="shared" si="17"/>
        <v>0</v>
      </c>
      <c r="N43" s="39">
        <f t="shared" si="17"/>
        <v>0</v>
      </c>
      <c r="O43" s="39">
        <f>O41/O$101</f>
        <v>0</v>
      </c>
      <c r="P43" s="39">
        <f t="shared" si="17"/>
        <v>0</v>
      </c>
      <c r="Q43" s="39">
        <f t="shared" si="17"/>
        <v>0</v>
      </c>
      <c r="R43" s="39">
        <f>IFERROR(R41/R$101,0)</f>
        <v>0</v>
      </c>
      <c r="S43" s="39"/>
      <c r="T43" s="39"/>
      <c r="U43" s="39"/>
      <c r="V43" s="39"/>
      <c r="W43" s="39"/>
    </row>
    <row r="44" spans="1:23" ht="12.95" customHeight="1" x14ac:dyDescent="0.2">
      <c r="A44" s="4"/>
      <c r="B44" s="3" t="s">
        <v>444</v>
      </c>
      <c r="C44" s="3"/>
      <c r="D44" s="35">
        <f t="shared" ref="D44:Q44" si="18">+(D41/D$102)/12</f>
        <v>0</v>
      </c>
      <c r="E44" s="35">
        <f>IFERROR(+(E41/E$102)/12,0)</f>
        <v>0</v>
      </c>
      <c r="F44" s="35">
        <f t="shared" si="18"/>
        <v>0</v>
      </c>
      <c r="G44" s="35">
        <f t="shared" si="18"/>
        <v>0</v>
      </c>
      <c r="H44" s="35">
        <f t="shared" si="18"/>
        <v>0</v>
      </c>
      <c r="I44" s="35">
        <f t="shared" si="18"/>
        <v>0</v>
      </c>
      <c r="J44" s="35">
        <f t="shared" si="18"/>
        <v>0</v>
      </c>
      <c r="K44" s="35">
        <f t="shared" si="18"/>
        <v>0</v>
      </c>
      <c r="L44" s="35">
        <f t="shared" si="18"/>
        <v>0</v>
      </c>
      <c r="M44" s="35">
        <f t="shared" si="18"/>
        <v>0</v>
      </c>
      <c r="N44" s="35">
        <f t="shared" si="18"/>
        <v>0</v>
      </c>
      <c r="O44" s="35">
        <f>+(O41/O$102)/12</f>
        <v>0</v>
      </c>
      <c r="P44" s="35">
        <f t="shared" si="18"/>
        <v>0</v>
      </c>
      <c r="Q44" s="35">
        <f t="shared" si="18"/>
        <v>0</v>
      </c>
      <c r="R44" s="35">
        <f>IFERROR(+(R41/R$102)/12,0)</f>
        <v>0</v>
      </c>
      <c r="S44" s="9"/>
      <c r="T44" s="9"/>
      <c r="U44" s="9"/>
      <c r="V44" s="9"/>
      <c r="W44" s="9"/>
    </row>
    <row r="45" spans="1:23" ht="12.95" customHeight="1" x14ac:dyDescent="0.2">
      <c r="A45" s="4"/>
      <c r="B45" s="3"/>
      <c r="C45" s="3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27"/>
      <c r="U45" s="9"/>
      <c r="V45" s="9"/>
      <c r="W45" s="3"/>
    </row>
    <row r="46" spans="1:23" ht="12.95" customHeight="1" x14ac:dyDescent="0.2">
      <c r="A46" s="4">
        <v>7</v>
      </c>
      <c r="B46" s="3" t="s">
        <v>21</v>
      </c>
      <c r="C46" s="3"/>
      <c r="D46" s="9">
        <f>E46+F46</f>
        <v>581735872.09592366</v>
      </c>
      <c r="E46" s="9">
        <v>0</v>
      </c>
      <c r="F46" s="9">
        <f>+F41+F36+F31+F26+F21+F16</f>
        <v>581735872.09592366</v>
      </c>
      <c r="G46" s="9">
        <f t="shared" ref="G46:R46" si="19">+G41+G36+G31+G26+G21+G16</f>
        <v>328025002.45614177</v>
      </c>
      <c r="H46" s="9">
        <f t="shared" si="19"/>
        <v>20923817.168534316</v>
      </c>
      <c r="I46" s="9">
        <f t="shared" si="19"/>
        <v>165792788.41409838</v>
      </c>
      <c r="J46" s="9">
        <f t="shared" si="19"/>
        <v>17742604.790529516</v>
      </c>
      <c r="K46" s="9">
        <f t="shared" si="19"/>
        <v>148050183.62356886</v>
      </c>
      <c r="L46" s="9">
        <f t="shared" si="19"/>
        <v>35896316.334760033</v>
      </c>
      <c r="M46" s="9">
        <f t="shared" si="19"/>
        <v>25991113.359562218</v>
      </c>
      <c r="N46" s="9">
        <f t="shared" si="19"/>
        <v>3183440.9851977979</v>
      </c>
      <c r="O46" s="9">
        <f>+O41+O36+O31+O26+O21+O16</f>
        <v>6721761.9900000244</v>
      </c>
      <c r="P46" s="9">
        <f>+P41+P36+P31+P26+P21+P16</f>
        <v>9471335.8861742355</v>
      </c>
      <c r="Q46" s="9">
        <f t="shared" si="19"/>
        <v>21626608.836214919</v>
      </c>
      <c r="R46" s="9">
        <f t="shared" si="19"/>
        <v>3</v>
      </c>
      <c r="S46" s="9"/>
      <c r="T46" s="27"/>
      <c r="U46" s="9"/>
      <c r="V46" s="9"/>
      <c r="W46" s="3"/>
    </row>
    <row r="47" spans="1:23" ht="12.95" customHeight="1" x14ac:dyDescent="0.2">
      <c r="A47" s="4"/>
      <c r="B47" s="3" t="s">
        <v>363</v>
      </c>
      <c r="C47" s="3"/>
      <c r="D47" s="32">
        <f t="shared" ref="D47:Q47" si="20">D46/D$100</f>
        <v>3.8621564009487002</v>
      </c>
      <c r="E47" s="32">
        <f>IFERROR(E46/E$100,0)</f>
        <v>0</v>
      </c>
      <c r="F47" s="32">
        <f t="shared" si="20"/>
        <v>3.8621564009487002</v>
      </c>
      <c r="G47" s="32">
        <f t="shared" si="20"/>
        <v>4.1426812525053007</v>
      </c>
      <c r="H47" s="32">
        <f t="shared" si="20"/>
        <v>7.2214708246456771</v>
      </c>
      <c r="I47" s="32">
        <f t="shared" si="20"/>
        <v>5.2462966806049725</v>
      </c>
      <c r="J47" s="32">
        <f t="shared" si="20"/>
        <v>4.8639236464222959</v>
      </c>
      <c r="K47" s="32">
        <f t="shared" si="20"/>
        <v>5.2961934904861776</v>
      </c>
      <c r="L47" s="32">
        <f t="shared" si="20"/>
        <v>3.2625764427106239</v>
      </c>
      <c r="M47" s="32">
        <f t="shared" si="20"/>
        <v>3.2010482225082568</v>
      </c>
      <c r="N47" s="32">
        <f t="shared" si="20"/>
        <v>4.266178676253479</v>
      </c>
      <c r="O47" s="32">
        <f>O46/O$100</f>
        <v>3.1458952335800059</v>
      </c>
      <c r="P47" s="32">
        <f t="shared" si="20"/>
        <v>0.29513161018410733</v>
      </c>
      <c r="Q47" s="32">
        <f t="shared" si="20"/>
        <v>26.720273242089927</v>
      </c>
      <c r="R47" s="32">
        <f>IFERROR(R46/R$100,0)</f>
        <v>5.4484685276668507E-6</v>
      </c>
      <c r="S47" s="32"/>
      <c r="T47" s="27"/>
      <c r="U47" s="32"/>
      <c r="V47" s="32"/>
      <c r="W47" s="3"/>
    </row>
    <row r="48" spans="1:23" ht="12.95" customHeight="1" x14ac:dyDescent="0.2">
      <c r="A48" s="4"/>
      <c r="B48" s="3" t="s">
        <v>362</v>
      </c>
      <c r="C48" s="3"/>
      <c r="D48" s="39">
        <f t="shared" ref="D48:Q48" si="21">D46/D$101</f>
        <v>1.5190593162764965E-2</v>
      </c>
      <c r="E48" s="39">
        <f>IFERROR(E46/E$101,0)</f>
        <v>0</v>
      </c>
      <c r="F48" s="39">
        <f t="shared" si="21"/>
        <v>1.5190593162764965E-2</v>
      </c>
      <c r="G48" s="39">
        <f t="shared" si="21"/>
        <v>2.6054651503625001E-2</v>
      </c>
      <c r="H48" s="39">
        <f t="shared" si="21"/>
        <v>3.1131995037879449E-2</v>
      </c>
      <c r="I48" s="39">
        <f t="shared" si="21"/>
        <v>1.8011054649626407E-2</v>
      </c>
      <c r="J48" s="39">
        <f t="shared" si="21"/>
        <v>1.3548453599577596E-2</v>
      </c>
      <c r="K48" s="39">
        <f t="shared" si="21"/>
        <v>1.875123338269066E-2</v>
      </c>
      <c r="L48" s="39">
        <f t="shared" si="21"/>
        <v>7.9327619801549797E-3</v>
      </c>
      <c r="M48" s="39">
        <f t="shared" si="21"/>
        <v>6.9159991514211394E-3</v>
      </c>
      <c r="N48" s="39">
        <f t="shared" si="21"/>
        <v>1.2189728974398519E-2</v>
      </c>
      <c r="O48" s="39">
        <f>O46/O$101</f>
        <v>1.3289367844577661E-2</v>
      </c>
      <c r="P48" s="39">
        <f t="shared" si="21"/>
        <v>8.5824539186570188E-4</v>
      </c>
      <c r="Q48" s="39">
        <f t="shared" si="21"/>
        <v>9.072138819820319E-2</v>
      </c>
      <c r="R48" s="39">
        <f>IFERROR(R46/R$101,0)</f>
        <v>1.013382360695377E-7</v>
      </c>
      <c r="S48" s="39"/>
      <c r="T48" s="39"/>
      <c r="U48" s="39"/>
      <c r="V48" s="39"/>
      <c r="W48" s="39"/>
    </row>
    <row r="49" spans="1:23" ht="12.95" customHeight="1" x14ac:dyDescent="0.2">
      <c r="A49" s="4"/>
      <c r="B49" s="3" t="s">
        <v>444</v>
      </c>
      <c r="C49" s="3"/>
      <c r="D49" s="35">
        <f t="shared" ref="D49:Q49" si="22">+(D46/D$102)/12</f>
        <v>36.459731565620068</v>
      </c>
      <c r="E49" s="35">
        <f>IFERROR(+(E46/E$102)/12,0)</f>
        <v>0</v>
      </c>
      <c r="F49" s="35">
        <f t="shared" si="22"/>
        <v>36.459731565620068</v>
      </c>
      <c r="G49" s="35">
        <f t="shared" si="22"/>
        <v>29.228300038434224</v>
      </c>
      <c r="H49" s="35">
        <f t="shared" si="22"/>
        <v>17.547767150848308</v>
      </c>
      <c r="I49" s="35">
        <f t="shared" si="22"/>
        <v>190.80591778887799</v>
      </c>
      <c r="J49" s="35">
        <f t="shared" si="22"/>
        <v>2566.9277764076264</v>
      </c>
      <c r="K49" s="35">
        <f t="shared" si="22"/>
        <v>171.75275015611308</v>
      </c>
      <c r="L49" s="35">
        <f t="shared" si="22"/>
        <v>2754.4748568723171</v>
      </c>
      <c r="M49" s="35">
        <f t="shared" si="22"/>
        <v>4618.1793460487233</v>
      </c>
      <c r="N49" s="35">
        <f t="shared" si="22"/>
        <v>482.33954321178754</v>
      </c>
      <c r="O49" s="35">
        <f>+(O46/O$102)/12</f>
        <v>8360.4004850746569</v>
      </c>
      <c r="P49" s="35">
        <f t="shared" si="22"/>
        <v>6416.8942318253621</v>
      </c>
      <c r="Q49" s="35">
        <f t="shared" si="22"/>
        <v>8.1404643525810112</v>
      </c>
      <c r="R49" s="35">
        <f>IFERROR(+(R46/R$102)/12,0)</f>
        <v>1.3157894736842105E-2</v>
      </c>
      <c r="S49" s="9"/>
      <c r="T49" s="9"/>
      <c r="U49" s="9"/>
      <c r="V49" s="9"/>
      <c r="W49" s="9"/>
    </row>
    <row r="50" spans="1:23" ht="12.95" customHeight="1" x14ac:dyDescent="0.2">
      <c r="A50" s="4"/>
      <c r="B50" s="3"/>
      <c r="C50" s="3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2.95" customHeight="1" x14ac:dyDescent="0.2">
      <c r="A51" s="4"/>
      <c r="B51" s="64" t="s">
        <v>521</v>
      </c>
      <c r="C51" s="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27"/>
      <c r="U51" s="9"/>
      <c r="V51" s="9"/>
      <c r="W51" s="3"/>
    </row>
    <row r="52" spans="1:23" ht="12.95" customHeight="1" x14ac:dyDescent="0.2">
      <c r="A52" s="4">
        <v>1</v>
      </c>
      <c r="B52" s="3" t="s">
        <v>578</v>
      </c>
      <c r="C52" s="3"/>
      <c r="D52" s="9">
        <f>SUM(E52:F52)</f>
        <v>0</v>
      </c>
      <c r="E52" s="9">
        <v>0</v>
      </c>
      <c r="F52" s="9">
        <f>SUM(G52:R52)-L52-I52</f>
        <v>0</v>
      </c>
      <c r="G52" s="9">
        <f>+Distribution!K332</f>
        <v>0</v>
      </c>
      <c r="H52" s="9">
        <f>+Distribution!L332</f>
        <v>0</v>
      </c>
      <c r="I52" s="9">
        <f>SUM(J52:K52)</f>
        <v>0</v>
      </c>
      <c r="J52" s="9">
        <f>+Distribution!N332</f>
        <v>0</v>
      </c>
      <c r="K52" s="9">
        <f>+Distribution!O332</f>
        <v>0</v>
      </c>
      <c r="L52" s="9">
        <f>SUM(M52:O52)</f>
        <v>0</v>
      </c>
      <c r="M52" s="9">
        <f>+Distribution!Q332</f>
        <v>0</v>
      </c>
      <c r="N52" s="9">
        <f>+Distribution!R332</f>
        <v>0</v>
      </c>
      <c r="O52" s="9">
        <f>+Distribution!S332</f>
        <v>0</v>
      </c>
      <c r="P52" s="9">
        <f>+Distribution!T332</f>
        <v>0</v>
      </c>
      <c r="Q52" s="9">
        <f>+Distribution!U332</f>
        <v>0</v>
      </c>
      <c r="R52" s="9">
        <f>+Distribution!V332</f>
        <v>0</v>
      </c>
      <c r="S52" s="9"/>
      <c r="T52" s="27"/>
      <c r="U52" s="9"/>
      <c r="V52" s="9"/>
      <c r="W52" s="3"/>
    </row>
    <row r="53" spans="1:23" ht="12.95" customHeight="1" x14ac:dyDescent="0.2">
      <c r="A53" s="4"/>
      <c r="B53" s="3" t="s">
        <v>363</v>
      </c>
      <c r="C53" s="3"/>
      <c r="D53" s="32">
        <f t="shared" ref="D53:Q53" si="23">D52/D$100</f>
        <v>0</v>
      </c>
      <c r="E53" s="32">
        <f>IFERROR(E52/E$100,0)</f>
        <v>0</v>
      </c>
      <c r="F53" s="32">
        <f t="shared" si="23"/>
        <v>0</v>
      </c>
      <c r="G53" s="32">
        <f t="shared" si="23"/>
        <v>0</v>
      </c>
      <c r="H53" s="32">
        <f t="shared" si="23"/>
        <v>0</v>
      </c>
      <c r="I53" s="32">
        <f t="shared" si="23"/>
        <v>0</v>
      </c>
      <c r="J53" s="32">
        <f t="shared" si="23"/>
        <v>0</v>
      </c>
      <c r="K53" s="32">
        <f t="shared" si="23"/>
        <v>0</v>
      </c>
      <c r="L53" s="32">
        <f t="shared" si="23"/>
        <v>0</v>
      </c>
      <c r="M53" s="32">
        <f t="shared" si="23"/>
        <v>0</v>
      </c>
      <c r="N53" s="32">
        <f t="shared" si="23"/>
        <v>0</v>
      </c>
      <c r="O53" s="32">
        <f>O52/O$100</f>
        <v>0</v>
      </c>
      <c r="P53" s="32">
        <f t="shared" si="23"/>
        <v>0</v>
      </c>
      <c r="Q53" s="32">
        <f t="shared" si="23"/>
        <v>0</v>
      </c>
      <c r="R53" s="32">
        <f>IFERROR(R52/R$100,0)</f>
        <v>0</v>
      </c>
      <c r="S53" s="32"/>
      <c r="T53" s="27"/>
      <c r="U53" s="32"/>
      <c r="V53" s="32"/>
      <c r="W53" s="3"/>
    </row>
    <row r="54" spans="1:23" ht="12.95" customHeight="1" x14ac:dyDescent="0.2">
      <c r="A54" s="4"/>
      <c r="B54" s="3" t="s">
        <v>362</v>
      </c>
      <c r="C54" s="3"/>
      <c r="D54" s="39">
        <f t="shared" ref="D54:Q54" si="24">D52/D$101</f>
        <v>0</v>
      </c>
      <c r="E54" s="39">
        <f>IFERROR(E52/E$101,0)</f>
        <v>0</v>
      </c>
      <c r="F54" s="39">
        <f t="shared" si="24"/>
        <v>0</v>
      </c>
      <c r="G54" s="39">
        <f t="shared" si="24"/>
        <v>0</v>
      </c>
      <c r="H54" s="39">
        <f t="shared" si="24"/>
        <v>0</v>
      </c>
      <c r="I54" s="39">
        <f t="shared" si="24"/>
        <v>0</v>
      </c>
      <c r="J54" s="39">
        <f t="shared" si="24"/>
        <v>0</v>
      </c>
      <c r="K54" s="39">
        <f t="shared" si="24"/>
        <v>0</v>
      </c>
      <c r="L54" s="39">
        <f t="shared" si="24"/>
        <v>0</v>
      </c>
      <c r="M54" s="39">
        <f t="shared" si="24"/>
        <v>0</v>
      </c>
      <c r="N54" s="39">
        <f t="shared" si="24"/>
        <v>0</v>
      </c>
      <c r="O54" s="39">
        <f>O52/O$101</f>
        <v>0</v>
      </c>
      <c r="P54" s="39">
        <f t="shared" si="24"/>
        <v>0</v>
      </c>
      <c r="Q54" s="39">
        <f t="shared" si="24"/>
        <v>0</v>
      </c>
      <c r="R54" s="39">
        <f>IFERROR(R52/R$101,0)</f>
        <v>0</v>
      </c>
      <c r="S54" s="39"/>
      <c r="T54" s="27"/>
      <c r="U54" s="39"/>
      <c r="V54" s="39"/>
      <c r="W54" s="3"/>
    </row>
    <row r="55" spans="1:23" ht="12.95" customHeight="1" x14ac:dyDescent="0.2">
      <c r="A55" s="4"/>
      <c r="B55" s="3" t="s">
        <v>444</v>
      </c>
      <c r="C55" s="3"/>
      <c r="D55" s="35">
        <f t="shared" ref="D55:Q55" si="25">+(D52/D$102)/12</f>
        <v>0</v>
      </c>
      <c r="E55" s="35">
        <f>IFERROR(+(E52/E$102)/12,0)</f>
        <v>0</v>
      </c>
      <c r="F55" s="35">
        <f t="shared" si="25"/>
        <v>0</v>
      </c>
      <c r="G55" s="35">
        <f t="shared" si="25"/>
        <v>0</v>
      </c>
      <c r="H55" s="35">
        <f t="shared" si="25"/>
        <v>0</v>
      </c>
      <c r="I55" s="35">
        <f t="shared" si="25"/>
        <v>0</v>
      </c>
      <c r="J55" s="35">
        <f t="shared" si="25"/>
        <v>0</v>
      </c>
      <c r="K55" s="35">
        <f t="shared" si="25"/>
        <v>0</v>
      </c>
      <c r="L55" s="35">
        <f t="shared" si="25"/>
        <v>0</v>
      </c>
      <c r="M55" s="35">
        <f t="shared" si="25"/>
        <v>0</v>
      </c>
      <c r="N55" s="35">
        <f t="shared" si="25"/>
        <v>0</v>
      </c>
      <c r="O55" s="35">
        <f>+(O52/O$102)/12</f>
        <v>0</v>
      </c>
      <c r="P55" s="35">
        <f t="shared" si="25"/>
        <v>0</v>
      </c>
      <c r="Q55" s="35">
        <f t="shared" si="25"/>
        <v>0</v>
      </c>
      <c r="R55" s="35">
        <f>IFERROR(+(R52/R$102)/12,0)</f>
        <v>0</v>
      </c>
      <c r="S55" s="35"/>
      <c r="T55" s="27"/>
      <c r="U55" s="35"/>
      <c r="V55" s="35"/>
      <c r="W55" s="3"/>
    </row>
    <row r="56" spans="1:23" ht="12.95" customHeight="1" x14ac:dyDescent="0.2">
      <c r="A56" s="4"/>
      <c r="B56" s="3"/>
      <c r="C56" s="3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27"/>
      <c r="U56" s="9"/>
      <c r="V56" s="9"/>
      <c r="W56" s="3"/>
    </row>
    <row r="57" spans="1:23" ht="12.95" customHeight="1" x14ac:dyDescent="0.2">
      <c r="A57" s="4">
        <v>2</v>
      </c>
      <c r="B57" s="3" t="s">
        <v>520</v>
      </c>
      <c r="C57" s="3"/>
      <c r="D57" s="9">
        <f ca="1">E57+F57</f>
        <v>746512977.56729388</v>
      </c>
      <c r="E57" s="9">
        <f>Distribution!I77-E52</f>
        <v>0</v>
      </c>
      <c r="F57" s="9">
        <f ca="1">Distribution!J77-F52</f>
        <v>746512977.56729388</v>
      </c>
      <c r="G57" s="9">
        <f ca="1">Distribution!K77-G52</f>
        <v>431533506.31527013</v>
      </c>
      <c r="H57" s="9">
        <f ca="1">Distribution!L77-H52</f>
        <v>16585326.931923557</v>
      </c>
      <c r="I57" s="9">
        <f ca="1">SUM(J57:K57)</f>
        <v>218032012.80138281</v>
      </c>
      <c r="J57" s="9">
        <f ca="1">Distribution!N77-J52</f>
        <v>28867976.052056193</v>
      </c>
      <c r="K57" s="9">
        <f ca="1">Distribution!O77-K52</f>
        <v>189164036.74932662</v>
      </c>
      <c r="L57" s="9">
        <f ca="1">SUM(M57:O57)</f>
        <v>50209141.550451651</v>
      </c>
      <c r="M57" s="9">
        <f ca="1">Distribution!Q77-M52</f>
        <v>40840093.287214883</v>
      </c>
      <c r="N57" s="9">
        <f ca="1">Distribution!R77-N52</f>
        <v>2956297.7490608413</v>
      </c>
      <c r="O57" s="9">
        <f ca="1">Distribution!S77-O52</f>
        <v>6412750.5141759282</v>
      </c>
      <c r="P57" s="9">
        <f ca="1">Distribution!T77-P52</f>
        <v>16068.328938787485</v>
      </c>
      <c r="Q57" s="9">
        <f ca="1">Distribution!U77-Q52</f>
        <v>28274936.236523345</v>
      </c>
      <c r="R57" s="9">
        <f ca="1">Distribution!V77-R52</f>
        <v>1861985.4028035237</v>
      </c>
      <c r="S57" s="9"/>
      <c r="T57" s="27"/>
      <c r="U57" s="9"/>
      <c r="V57" s="9"/>
      <c r="W57" s="3"/>
    </row>
    <row r="58" spans="1:23" ht="12.95" customHeight="1" x14ac:dyDescent="0.2">
      <c r="A58" s="4"/>
      <c r="B58" s="3" t="s">
        <v>363</v>
      </c>
      <c r="C58" s="3"/>
      <c r="D58" s="32">
        <f t="shared" ref="D58:Q58" ca="1" si="26">D57/D$100</f>
        <v>4.9561149879156652</v>
      </c>
      <c r="E58" s="32">
        <f>IFERROR(E57/E$100,0)</f>
        <v>0</v>
      </c>
      <c r="F58" s="32">
        <f t="shared" ca="1" si="26"/>
        <v>4.9561149879156652</v>
      </c>
      <c r="G58" s="32">
        <f t="shared" ca="1" si="26"/>
        <v>5.4499070285935609</v>
      </c>
      <c r="H58" s="32">
        <f t="shared" ca="1" si="26"/>
        <v>5.724120679863784</v>
      </c>
      <c r="I58" s="32">
        <f t="shared" ca="1" si="26"/>
        <v>6.8993388431860527</v>
      </c>
      <c r="J58" s="32">
        <f t="shared" ca="1" si="26"/>
        <v>7.9138115852581183</v>
      </c>
      <c r="K58" s="32">
        <f t="shared" ca="1" si="26"/>
        <v>6.7669577675983525</v>
      </c>
      <c r="L58" s="32">
        <f t="shared" ca="1" si="26"/>
        <v>4.563453277588847</v>
      </c>
      <c r="M58" s="32">
        <f t="shared" ca="1" si="26"/>
        <v>5.0298387073908923</v>
      </c>
      <c r="N58" s="32">
        <f t="shared" ca="1" si="26"/>
        <v>3.9617804998875727</v>
      </c>
      <c r="O58" s="32">
        <f ca="1">O57/O$100</f>
        <v>3.0012727773902794</v>
      </c>
      <c r="P58" s="32">
        <f t="shared" ca="1" si="26"/>
        <v>5.0069724584414336E-4</v>
      </c>
      <c r="Q58" s="32">
        <f t="shared" ca="1" si="26"/>
        <v>34.934465586552101</v>
      </c>
      <c r="R58" s="32">
        <f ca="1">IFERROR(R57/R$100,0)</f>
        <v>3.3816562887166941</v>
      </c>
      <c r="S58" s="32"/>
      <c r="T58" s="27"/>
      <c r="U58" s="32"/>
      <c r="V58" s="32"/>
      <c r="W58" s="3"/>
    </row>
    <row r="59" spans="1:23" ht="12.95" customHeight="1" x14ac:dyDescent="0.2">
      <c r="A59" s="4"/>
      <c r="B59" s="3" t="s">
        <v>362</v>
      </c>
      <c r="C59" s="3"/>
      <c r="D59" s="39">
        <f t="shared" ref="D59:Q59" ca="1" si="27">D57/D$101</f>
        <v>1.9493339635550579E-2</v>
      </c>
      <c r="E59" s="39">
        <f>IFERROR(E57/E$101,0)</f>
        <v>0</v>
      </c>
      <c r="F59" s="39">
        <f t="shared" ca="1" si="27"/>
        <v>1.9493339635550579E-2</v>
      </c>
      <c r="G59" s="39">
        <f t="shared" ca="1" si="27"/>
        <v>3.4276213809906197E-2</v>
      </c>
      <c r="H59" s="39">
        <f t="shared" ca="1" si="27"/>
        <v>2.4676869979667341E-2</v>
      </c>
      <c r="I59" s="39">
        <f t="shared" ca="1" si="27"/>
        <v>2.3686111654780601E-2</v>
      </c>
      <c r="J59" s="39">
        <f t="shared" ca="1" si="27"/>
        <v>2.2043912868068116E-2</v>
      </c>
      <c r="K59" s="39">
        <f t="shared" ca="1" si="27"/>
        <v>2.3958491059472224E-2</v>
      </c>
      <c r="L59" s="39">
        <f t="shared" ca="1" si="27"/>
        <v>1.1095767193302597E-2</v>
      </c>
      <c r="M59" s="39">
        <f t="shared" ca="1" si="27"/>
        <v>1.0867177816160152E-2</v>
      </c>
      <c r="N59" s="39">
        <f t="shared" ca="1" si="27"/>
        <v>1.1319973731643399E-2</v>
      </c>
      <c r="O59" s="39">
        <f ca="1">O57/O$101</f>
        <v>1.2678431727450697E-2</v>
      </c>
      <c r="P59" s="39">
        <f t="shared" ca="1" si="27"/>
        <v>1.4560321196957464E-6</v>
      </c>
      <c r="Q59" s="39">
        <f t="shared" ca="1" si="27"/>
        <v>0.1186104343043191</v>
      </c>
      <c r="R59" s="39">
        <f ca="1">IFERROR(R57/R$101,0)</f>
        <v>6.2896772102445583E-2</v>
      </c>
      <c r="S59" s="39"/>
      <c r="T59" s="27"/>
      <c r="U59" s="39"/>
      <c r="V59" s="39"/>
      <c r="W59" s="3"/>
    </row>
    <row r="60" spans="1:23" ht="12.95" customHeight="1" x14ac:dyDescent="0.2">
      <c r="A60" s="4"/>
      <c r="B60" s="3" t="s">
        <v>444</v>
      </c>
      <c r="C60" s="3"/>
      <c r="D60" s="35">
        <f t="shared" ref="D60:Q60" ca="1" si="28">+(D57/D$102)/12</f>
        <v>46.786976835884907</v>
      </c>
      <c r="E60" s="35">
        <f>IFERROR(+(E57/E$102)/12,0)</f>
        <v>0</v>
      </c>
      <c r="F60" s="35">
        <f t="shared" ca="1" si="28"/>
        <v>46.786976835884907</v>
      </c>
      <c r="G60" s="35">
        <f t="shared" ca="1" si="28"/>
        <v>38.45130921356116</v>
      </c>
      <c r="H60" s="35">
        <f t="shared" ca="1" si="28"/>
        <v>13.909290679511065</v>
      </c>
      <c r="I60" s="35">
        <f t="shared" ca="1" si="28"/>
        <v>250.92646494379474</v>
      </c>
      <c r="J60" s="35">
        <f t="shared" ca="1" si="28"/>
        <v>4176.5011649386852</v>
      </c>
      <c r="K60" s="35">
        <f t="shared" ca="1" si="28"/>
        <v>219.44885678045679</v>
      </c>
      <c r="L60" s="35">
        <f t="shared" ca="1" si="28"/>
        <v>3852.7579458603172</v>
      </c>
      <c r="M60" s="35">
        <f t="shared" ca="1" si="28"/>
        <v>7256.5908470531067</v>
      </c>
      <c r="N60" s="35">
        <f t="shared" ca="1" si="28"/>
        <v>447.92390137285474</v>
      </c>
      <c r="O60" s="35">
        <f ca="1">+(O57/O$102)/12</f>
        <v>7976.0578534526467</v>
      </c>
      <c r="P60" s="35">
        <f t="shared" ca="1" si="28"/>
        <v>10.88640172004572</v>
      </c>
      <c r="Q60" s="35">
        <f t="shared" ca="1" si="28"/>
        <v>10.64295897003905</v>
      </c>
      <c r="R60" s="35">
        <f ca="1">IFERROR(+(R57/R$102)/12,0)</f>
        <v>8166.6026438751041</v>
      </c>
      <c r="S60" s="35"/>
      <c r="T60" s="27"/>
      <c r="U60" s="35"/>
      <c r="V60" s="35"/>
      <c r="W60" s="3"/>
    </row>
    <row r="61" spans="1:23" ht="12.95" customHeight="1" x14ac:dyDescent="0.2">
      <c r="A61" s="4"/>
      <c r="B61" s="3"/>
      <c r="C61" s="3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27"/>
      <c r="U61" s="9"/>
      <c r="V61" s="9"/>
      <c r="W61" s="3"/>
    </row>
    <row r="62" spans="1:23" ht="12.95" customHeight="1" x14ac:dyDescent="0.2">
      <c r="A62" s="4">
        <v>3</v>
      </c>
      <c r="B62" s="3" t="s">
        <v>75</v>
      </c>
      <c r="C62" s="3"/>
      <c r="D62" s="9">
        <f ca="1">E62+F62</f>
        <v>50185561.150717929</v>
      </c>
      <c r="E62" s="9">
        <f>Meter!I77</f>
        <v>0</v>
      </c>
      <c r="F62" s="9">
        <f ca="1">Meter!J77</f>
        <v>50185561.150717929</v>
      </c>
      <c r="G62" s="9">
        <f ca="1">Meter!K77</f>
        <v>23527397.047757253</v>
      </c>
      <c r="H62" s="9">
        <f ca="1">Meter!L77</f>
        <v>4470397.6607326753</v>
      </c>
      <c r="I62" s="9">
        <f ca="1">Meter!M77</f>
        <v>17747327.39044667</v>
      </c>
      <c r="J62" s="9">
        <f ca="1">Meter!N77</f>
        <v>346260.54710040474</v>
      </c>
      <c r="K62" s="9">
        <f ca="1">Meter!O77</f>
        <v>17401066.843346264</v>
      </c>
      <c r="L62" s="9">
        <f ca="1">Meter!P77</f>
        <v>2386784.1775244419</v>
      </c>
      <c r="M62" s="9">
        <f ca="1">Meter!Q77</f>
        <v>1030783.3084557947</v>
      </c>
      <c r="N62" s="9">
        <f ca="1">Meter!R77</f>
        <v>1208745.3146014586</v>
      </c>
      <c r="O62" s="9">
        <f ca="1">Meter!S77</f>
        <v>147255.55446718854</v>
      </c>
      <c r="P62" s="9">
        <f ca="1">Meter!T77</f>
        <v>2011888.2170185286</v>
      </c>
      <c r="Q62" s="9">
        <f ca="1">Meter!U77</f>
        <v>7.553946624049642</v>
      </c>
      <c r="R62" s="9">
        <f ca="1">Meter!V77</f>
        <v>41759.103291734915</v>
      </c>
      <c r="S62" s="9"/>
      <c r="T62" s="27"/>
      <c r="U62" s="9"/>
      <c r="V62" s="9"/>
      <c r="W62" s="3"/>
    </row>
    <row r="63" spans="1:23" ht="12.95" customHeight="1" x14ac:dyDescent="0.2">
      <c r="A63" s="4"/>
      <c r="B63" s="3" t="s">
        <v>363</v>
      </c>
      <c r="C63" s="3"/>
      <c r="D63" s="32">
        <f t="shared" ref="D63:Q63" ca="1" si="29">D62/D$100</f>
        <v>0.33318297105372169</v>
      </c>
      <c r="E63" s="32">
        <f>IFERROR(E62/E$100,0)</f>
        <v>0</v>
      </c>
      <c r="F63" s="32">
        <f t="shared" ca="1" si="29"/>
        <v>0.33318297105372169</v>
      </c>
      <c r="G63" s="32">
        <f t="shared" ca="1" si="29"/>
        <v>0.29713133431962757</v>
      </c>
      <c r="H63" s="32">
        <f t="shared" ca="1" si="29"/>
        <v>1.5428755671834553</v>
      </c>
      <c r="I63" s="32">
        <f t="shared" ca="1" si="29"/>
        <v>0.56159104185856468</v>
      </c>
      <c r="J63" s="32">
        <f t="shared" ca="1" si="29"/>
        <v>9.4923202243886326E-2</v>
      </c>
      <c r="K63" s="32">
        <f t="shared" ca="1" si="29"/>
        <v>0.62248769091410994</v>
      </c>
      <c r="L63" s="32">
        <f t="shared" ca="1" si="29"/>
        <v>0.21693217094493694</v>
      </c>
      <c r="M63" s="32">
        <f t="shared" ca="1" si="29"/>
        <v>0.12695058621294775</v>
      </c>
      <c r="N63" s="32">
        <f t="shared" ca="1" si="29"/>
        <v>1.6198583577178016</v>
      </c>
      <c r="O63" s="32">
        <f ca="1">O62/O$100</f>
        <v>6.8918022924002356E-2</v>
      </c>
      <c r="P63" s="32">
        <f t="shared" ca="1" si="29"/>
        <v>6.2691453046857762E-2</v>
      </c>
      <c r="Q63" s="32">
        <f t="shared" ca="1" si="29"/>
        <v>9.3331099378267478E-6</v>
      </c>
      <c r="R63" s="32">
        <f ca="1">IFERROR(R62/R$100,0)</f>
        <v>7.5841053342868961E-2</v>
      </c>
      <c r="S63" s="32"/>
      <c r="T63" s="27"/>
      <c r="U63" s="32"/>
      <c r="V63" s="32"/>
      <c r="W63" s="3"/>
    </row>
    <row r="64" spans="1:23" ht="12.95" customHeight="1" x14ac:dyDescent="0.2">
      <c r="A64" s="4"/>
      <c r="B64" s="3" t="s">
        <v>362</v>
      </c>
      <c r="C64" s="3"/>
      <c r="D64" s="39">
        <f t="shared" ref="D64:Q64" ca="1" si="30">D62/D$101</f>
        <v>1.3104717770609023E-3</v>
      </c>
      <c r="E64" s="39">
        <f>IFERROR(E62/E$101,0)</f>
        <v>0</v>
      </c>
      <c r="F64" s="39">
        <f t="shared" ca="1" si="30"/>
        <v>1.3104717770609023E-3</v>
      </c>
      <c r="G64" s="39">
        <f t="shared" ca="1" si="30"/>
        <v>1.8687542909132091E-3</v>
      </c>
      <c r="H64" s="39">
        <f t="shared" ca="1" si="30"/>
        <v>6.6513866313345528E-3</v>
      </c>
      <c r="I64" s="39">
        <f t="shared" ca="1" si="30"/>
        <v>1.9279975116635708E-3</v>
      </c>
      <c r="J64" s="39">
        <f t="shared" ca="1" si="30"/>
        <v>2.6440846826832683E-4</v>
      </c>
      <c r="K64" s="39">
        <f t="shared" ca="1" si="30"/>
        <v>2.203924760519122E-3</v>
      </c>
      <c r="L64" s="39">
        <f t="shared" ca="1" si="30"/>
        <v>5.2745776479484936E-4</v>
      </c>
      <c r="M64" s="39">
        <f t="shared" ca="1" si="30"/>
        <v>2.7428207433663498E-4</v>
      </c>
      <c r="N64" s="39">
        <f t="shared" ca="1" si="30"/>
        <v>4.6284124168082738E-3</v>
      </c>
      <c r="O64" s="39">
        <f ca="1">O62/O$101</f>
        <v>2.9113396656755213E-4</v>
      </c>
      <c r="P64" s="39">
        <f t="shared" ca="1" si="30"/>
        <v>1.8230731250124847E-4</v>
      </c>
      <c r="Q64" s="39">
        <f t="shared" ca="1" si="30"/>
        <v>3.1688025122151128E-8</v>
      </c>
      <c r="R64" s="39">
        <f ca="1">IFERROR(R62/R$101,0)</f>
        <v>1.410597955810014E-3</v>
      </c>
      <c r="S64" s="39"/>
      <c r="T64" s="27"/>
      <c r="U64" s="39"/>
      <c r="V64" s="39"/>
      <c r="W64" s="3"/>
    </row>
    <row r="65" spans="1:23" ht="12.95" customHeight="1" x14ac:dyDescent="0.2">
      <c r="A65" s="4"/>
      <c r="B65" s="3" t="s">
        <v>444</v>
      </c>
      <c r="C65" s="3"/>
      <c r="D65" s="35">
        <f t="shared" ref="D65:Q65" ca="1" si="31">+(D62/D$102)/12</f>
        <v>3.1453313708037496</v>
      </c>
      <c r="E65" s="35">
        <f>IFERROR(+(E62/E$102)/12,0)</f>
        <v>0</v>
      </c>
      <c r="F65" s="35">
        <f t="shared" ca="1" si="31"/>
        <v>3.1453313708037496</v>
      </c>
      <c r="G65" s="35">
        <f t="shared" ca="1" si="31"/>
        <v>2.0963823333166935</v>
      </c>
      <c r="H65" s="35">
        <f t="shared" ca="1" si="31"/>
        <v>3.7491006822694843</v>
      </c>
      <c r="I65" s="35">
        <f t="shared" ca="1" si="31"/>
        <v>20.42486361093081</v>
      </c>
      <c r="J65" s="35">
        <f t="shared" ca="1" si="31"/>
        <v>50.095565263368741</v>
      </c>
      <c r="K65" s="35">
        <f t="shared" ca="1" si="31"/>
        <v>20.186946161404766</v>
      </c>
      <c r="L65" s="35">
        <f t="shared" ca="1" si="31"/>
        <v>183.14795714582885</v>
      </c>
      <c r="M65" s="35">
        <f t="shared" ca="1" si="31"/>
        <v>183.152684515955</v>
      </c>
      <c r="N65" s="35">
        <f t="shared" ca="1" si="31"/>
        <v>183.14322948506947</v>
      </c>
      <c r="O65" s="35">
        <f ca="1">+(O62/O$102)/12</f>
        <v>183.15367471043351</v>
      </c>
      <c r="P65" s="35">
        <f t="shared" ca="1" si="31"/>
        <v>1363.0678977090301</v>
      </c>
      <c r="Q65" s="35">
        <f t="shared" ca="1" si="31"/>
        <v>2.8433784362624187E-6</v>
      </c>
      <c r="R65" s="35">
        <f ca="1">IFERROR(+(R62/R$102)/12,0)</f>
        <v>183.15396180585489</v>
      </c>
      <c r="S65" s="35"/>
      <c r="T65" s="27"/>
      <c r="U65" s="35"/>
      <c r="V65" s="35"/>
      <c r="W65" s="3"/>
    </row>
    <row r="66" spans="1:23" ht="12.95" customHeight="1" x14ac:dyDescent="0.2">
      <c r="A66" s="4"/>
      <c r="B66" s="3"/>
      <c r="C66" s="3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27"/>
      <c r="U66" s="9"/>
      <c r="V66" s="9"/>
      <c r="W66" s="3"/>
    </row>
    <row r="67" spans="1:23" ht="12.95" customHeight="1" x14ac:dyDescent="0.2">
      <c r="A67" s="4">
        <v>4</v>
      </c>
      <c r="B67" s="3" t="s">
        <v>353</v>
      </c>
      <c r="C67" s="3"/>
      <c r="D67" s="9">
        <f ca="1">E67+F67</f>
        <v>18851934.515824977</v>
      </c>
      <c r="E67" s="9">
        <f>TDCustSvc!I77</f>
        <v>0</v>
      </c>
      <c r="F67" s="9">
        <f ca="1">TDCustSvc!J77</f>
        <v>18851934.515824977</v>
      </c>
      <c r="G67" s="9">
        <f ca="1">TDCustSvc!K77</f>
        <v>14986684.255034046</v>
      </c>
      <c r="H67" s="9">
        <f ca="1">TDCustSvc!L77</f>
        <v>1592197.0243637017</v>
      </c>
      <c r="I67" s="9">
        <f ca="1">TDCustSvc!M77</f>
        <v>1966806.2652791096</v>
      </c>
      <c r="J67" s="9">
        <f ca="1">TDCustSvc!N77</f>
        <v>15728.927587367822</v>
      </c>
      <c r="K67" s="9">
        <f ca="1">TDCustSvc!O77</f>
        <v>1951077.3376917418</v>
      </c>
      <c r="L67" s="9">
        <f ca="1">TDCustSvc!P77</f>
        <v>29999.574538913388</v>
      </c>
      <c r="M67" s="9">
        <f ca="1">TDCustSvc!Q77</f>
        <v>12919.257036680456</v>
      </c>
      <c r="N67" s="9">
        <f ca="1">TDCustSvc!R77</f>
        <v>14947.678616447463</v>
      </c>
      <c r="O67" s="9">
        <f ca="1">TDCustSvc!S77</f>
        <v>2132.6388857854686</v>
      </c>
      <c r="P67" s="9">
        <f ca="1">TDCustSvc!T77</f>
        <v>3357.3270181200437</v>
      </c>
      <c r="Q67" s="9">
        <f ca="1">TDCustSvc!U77</f>
        <v>272365.7415845748</v>
      </c>
      <c r="R67" s="9">
        <f ca="1">TDCustSvc!V77</f>
        <v>524.32800650898434</v>
      </c>
      <c r="S67" s="9"/>
      <c r="T67" s="27"/>
      <c r="U67" s="9"/>
      <c r="V67" s="9"/>
      <c r="W67" s="3"/>
    </row>
    <row r="68" spans="1:23" ht="12.95" customHeight="1" x14ac:dyDescent="0.2">
      <c r="A68" s="4"/>
      <c r="B68" s="3" t="s">
        <v>363</v>
      </c>
      <c r="C68" s="3"/>
      <c r="D68" s="32">
        <f t="shared" ref="D68:Q68" ca="1" si="32">D67/D$100</f>
        <v>0.12515838038014876</v>
      </c>
      <c r="E68" s="32">
        <f>IFERROR(E67/E$100,0)</f>
        <v>0</v>
      </c>
      <c r="F68" s="32">
        <f t="shared" ca="1" si="32"/>
        <v>0.12515838038014876</v>
      </c>
      <c r="G68" s="32">
        <f t="shared" ca="1" si="32"/>
        <v>0.18926927958440279</v>
      </c>
      <c r="H68" s="32">
        <f t="shared" ca="1" si="32"/>
        <v>0.54951753142925941</v>
      </c>
      <c r="I68" s="32">
        <f t="shared" ca="1" si="32"/>
        <v>6.2237020558183788E-2</v>
      </c>
      <c r="J68" s="32">
        <f t="shared" ca="1" si="32"/>
        <v>4.3118980402414245E-3</v>
      </c>
      <c r="K68" s="32">
        <f t="shared" ca="1" si="32"/>
        <v>6.9795814111189639E-2</v>
      </c>
      <c r="L68" s="32">
        <f t="shared" ca="1" si="32"/>
        <v>2.7266281105067756E-3</v>
      </c>
      <c r="M68" s="32">
        <f t="shared" ca="1" si="32"/>
        <v>1.5911270979924589E-3</v>
      </c>
      <c r="N68" s="32">
        <f t="shared" ca="1" si="32"/>
        <v>2.0031616125284025E-2</v>
      </c>
      <c r="O68" s="39">
        <f ca="1">O67/O$100</f>
        <v>9.9811009609101836E-4</v>
      </c>
      <c r="P68" s="32">
        <f t="shared" ca="1" si="32"/>
        <v>1.0461600567020038E-4</v>
      </c>
      <c r="Q68" s="32">
        <f t="shared" ca="1" si="32"/>
        <v>0.3365154052602744</v>
      </c>
      <c r="R68" s="32">
        <f ca="1">IFERROR(R67/R$100,0)</f>
        <v>9.5226154721283357E-4</v>
      </c>
      <c r="S68" s="32"/>
      <c r="T68" s="27"/>
      <c r="U68" s="32"/>
      <c r="V68" s="32"/>
      <c r="W68" s="3"/>
    </row>
    <row r="69" spans="1:23" ht="12.95" customHeight="1" x14ac:dyDescent="0.2">
      <c r="A69" s="4"/>
      <c r="B69" s="3" t="s">
        <v>362</v>
      </c>
      <c r="C69" s="3"/>
      <c r="D69" s="39">
        <f t="shared" ref="D69:Q69" ca="1" si="33">D67/D$101</f>
        <v>4.9227163270715963E-4</v>
      </c>
      <c r="E69" s="39">
        <f>IFERROR(E67/E$101,0)</f>
        <v>0</v>
      </c>
      <c r="F69" s="39">
        <f t="shared" ca="1" si="33"/>
        <v>4.9227163270715963E-4</v>
      </c>
      <c r="G69" s="39">
        <f t="shared" ca="1" si="33"/>
        <v>1.1903752230349688E-3</v>
      </c>
      <c r="H69" s="39">
        <f t="shared" ca="1" si="33"/>
        <v>2.3689879080170421E-3</v>
      </c>
      <c r="I69" s="39">
        <f t="shared" ca="1" si="33"/>
        <v>2.1366583835173201E-4</v>
      </c>
      <c r="J69" s="39">
        <f t="shared" ca="1" si="33"/>
        <v>1.2010786922465685E-5</v>
      </c>
      <c r="K69" s="39">
        <f t="shared" ca="1" si="33"/>
        <v>2.4711287491380342E-4</v>
      </c>
      <c r="L69" s="39">
        <f t="shared" ca="1" si="33"/>
        <v>6.6296352557120503E-6</v>
      </c>
      <c r="M69" s="39">
        <f t="shared" ca="1" si="33"/>
        <v>3.4376969338176353E-6</v>
      </c>
      <c r="N69" s="39">
        <f t="shared" ca="1" si="33"/>
        <v>5.7236227081993663E-5</v>
      </c>
      <c r="O69" s="39">
        <f ca="1">O67/O$101</f>
        <v>4.2163680706066234E-6</v>
      </c>
      <c r="P69" s="39">
        <f t="shared" ca="1" si="33"/>
        <v>3.0422429073536278E-7</v>
      </c>
      <c r="Q69" s="39">
        <f t="shared" ca="1" si="33"/>
        <v>1.1425461273802894E-3</v>
      </c>
      <c r="R69" s="39">
        <f ca="1">IFERROR(R67/R$101,0)</f>
        <v>1.7711491767159187E-5</v>
      </c>
      <c r="S69" s="39"/>
      <c r="T69" s="39"/>
      <c r="U69" s="39"/>
      <c r="V69" s="39"/>
      <c r="W69" s="39"/>
    </row>
    <row r="70" spans="1:23" ht="12.95" customHeight="1" x14ac:dyDescent="0.2">
      <c r="A70" s="4"/>
      <c r="B70" s="3" t="s">
        <v>444</v>
      </c>
      <c r="C70" s="3"/>
      <c r="D70" s="35">
        <f t="shared" ref="D70:Q70" ca="1" si="34">+(D67/D$102)/12</f>
        <v>1.1815267115353167</v>
      </c>
      <c r="E70" s="35">
        <f>IFERROR(+(E67/E$102)/12,0)</f>
        <v>0</v>
      </c>
      <c r="F70" s="35">
        <f t="shared" ca="1" si="34"/>
        <v>1.1815267115353167</v>
      </c>
      <c r="G70" s="84">
        <f t="shared" ca="1" si="34"/>
        <v>1.3353716963876261</v>
      </c>
      <c r="H70" s="84">
        <f t="shared" ca="1" si="34"/>
        <v>1.3352966342978665</v>
      </c>
      <c r="I70" s="84">
        <f t="shared" ca="1" si="34"/>
        <v>2.2635379870816124</v>
      </c>
      <c r="J70" s="35">
        <f t="shared" ca="1" si="34"/>
        <v>2.2755971625242797</v>
      </c>
      <c r="K70" s="35">
        <f t="shared" ca="1" si="34"/>
        <v>2.2634412893931546</v>
      </c>
      <c r="L70" s="35">
        <f t="shared" ca="1" si="34"/>
        <v>2.3019931352757355</v>
      </c>
      <c r="M70" s="35">
        <f t="shared" ca="1" si="34"/>
        <v>2.2955325225089651</v>
      </c>
      <c r="N70" s="35">
        <f t="shared" ca="1" si="34"/>
        <v>2.2647997903708279</v>
      </c>
      <c r="O70" s="35">
        <f ca="1">+(O67/O$102)/12</f>
        <v>2.6525359275938665</v>
      </c>
      <c r="P70" s="35">
        <f t="shared" ca="1" si="34"/>
        <v>2.2746118008943386</v>
      </c>
      <c r="Q70" s="35">
        <f t="shared" ca="1" si="34"/>
        <v>0.10252109459346809</v>
      </c>
      <c r="R70" s="35">
        <f ca="1">IFERROR(+(R67/R$102)/12,0)</f>
        <v>2.2996842390744927</v>
      </c>
      <c r="S70" s="9"/>
      <c r="T70" s="9"/>
      <c r="U70" s="9"/>
      <c r="V70" s="9"/>
      <c r="W70" s="9"/>
    </row>
    <row r="71" spans="1:23" ht="12.95" customHeight="1" x14ac:dyDescent="0.2">
      <c r="A71" s="4"/>
      <c r="B71" s="3"/>
      <c r="C71" s="3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2.95" customHeight="1" x14ac:dyDescent="0.2">
      <c r="A72" s="4">
        <v>5</v>
      </c>
      <c r="B72" s="3" t="s">
        <v>519</v>
      </c>
      <c r="C72" s="3"/>
      <c r="D72" s="9">
        <f>E72+F72</f>
        <v>51762292.913373291</v>
      </c>
      <c r="E72" s="9">
        <f>Distribution!I68</f>
        <v>0</v>
      </c>
      <c r="F72" s="9">
        <f>Distribution!J68</f>
        <v>51762292.913373291</v>
      </c>
      <c r="G72" s="9">
        <f>Distribution!K68</f>
        <v>23321633.18082308</v>
      </c>
      <c r="H72" s="9">
        <f>Distribution!L68</f>
        <v>985252.86259934085</v>
      </c>
      <c r="I72" s="9">
        <f>Distribution!M68</f>
        <v>17553758.714965492</v>
      </c>
      <c r="J72" s="9">
        <f>Distribution!N68</f>
        <v>2398321.3904083222</v>
      </c>
      <c r="K72" s="9">
        <f>Distribution!O68</f>
        <v>15155437.324557168</v>
      </c>
      <c r="L72" s="9">
        <f>Distribution!P68</f>
        <v>4558360.2862402443</v>
      </c>
      <c r="M72" s="9">
        <f>Distribution!Q68</f>
        <v>4219751.7849725531</v>
      </c>
      <c r="N72" s="9">
        <f>Distribution!R68</f>
        <v>216654.4401528076</v>
      </c>
      <c r="O72" s="9">
        <f>Distribution!S68</f>
        <v>121954.06111488414</v>
      </c>
      <c r="P72" s="9">
        <f>Distribution!T68</f>
        <v>4870260.6561981272</v>
      </c>
      <c r="Q72" s="9">
        <f>Distribution!U68</f>
        <v>473027.21254701348</v>
      </c>
      <c r="R72" s="9">
        <f>Distribution!V68</f>
        <v>0</v>
      </c>
      <c r="S72" s="9"/>
      <c r="T72" s="27"/>
      <c r="U72" s="9"/>
      <c r="V72" s="9"/>
      <c r="W72" s="3"/>
    </row>
    <row r="73" spans="1:23" ht="12.95" customHeight="1" x14ac:dyDescent="0.2">
      <c r="A73" s="4"/>
      <c r="B73" s="3" t="s">
        <v>363</v>
      </c>
      <c r="C73" s="3"/>
      <c r="D73" s="32">
        <f t="shared" ref="D73:Q73" si="35">D72/D$100</f>
        <v>0.34365092560460492</v>
      </c>
      <c r="E73" s="32">
        <f>IFERROR(E72/E$100,0)</f>
        <v>0</v>
      </c>
      <c r="F73" s="32">
        <f t="shared" si="35"/>
        <v>0.34365092560460492</v>
      </c>
      <c r="G73" s="32">
        <f t="shared" si="35"/>
        <v>0.29453270888678373</v>
      </c>
      <c r="H73" s="32">
        <f t="shared" si="35"/>
        <v>0.3400419122787704</v>
      </c>
      <c r="I73" s="32">
        <f t="shared" si="35"/>
        <v>0.55546581343723211</v>
      </c>
      <c r="J73" s="32">
        <f t="shared" si="35"/>
        <v>0.65747122591345819</v>
      </c>
      <c r="K73" s="32">
        <f t="shared" si="35"/>
        <v>0.5421548730251825</v>
      </c>
      <c r="L73" s="32">
        <f t="shared" si="35"/>
        <v>0.41430431882153451</v>
      </c>
      <c r="M73" s="32">
        <f t="shared" si="35"/>
        <v>0.51970182130512432</v>
      </c>
      <c r="N73" s="32">
        <f t="shared" si="35"/>
        <v>0.290341978065007</v>
      </c>
      <c r="O73" s="32">
        <f>O72/O$100</f>
        <v>5.7076507640080446E-2</v>
      </c>
      <c r="P73" s="32">
        <f t="shared" si="35"/>
        <v>0.1517597820153602</v>
      </c>
      <c r="Q73" s="32">
        <f t="shared" si="35"/>
        <v>0.58443820138065139</v>
      </c>
      <c r="R73" s="32">
        <f>IFERROR(R72/R$100,0)</f>
        <v>0</v>
      </c>
      <c r="S73" s="32"/>
      <c r="T73" s="27"/>
      <c r="U73" s="32"/>
      <c r="V73" s="32"/>
      <c r="W73" s="3"/>
    </row>
    <row r="74" spans="1:23" ht="12.95" customHeight="1" x14ac:dyDescent="0.2">
      <c r="A74" s="4"/>
      <c r="B74" s="3" t="s">
        <v>362</v>
      </c>
      <c r="C74" s="3"/>
      <c r="D74" s="39">
        <f t="shared" ref="D74:Q74" si="36">D72/D$101</f>
        <v>1.3516442264183961E-3</v>
      </c>
      <c r="E74" s="39">
        <f>IFERROR(E72/E$101,0)</f>
        <v>0</v>
      </c>
      <c r="F74" s="39">
        <f t="shared" si="36"/>
        <v>1.3516442264183961E-3</v>
      </c>
      <c r="G74" s="39">
        <f t="shared" si="36"/>
        <v>1.8524107018426628E-3</v>
      </c>
      <c r="H74" s="39">
        <f t="shared" si="36"/>
        <v>1.4659317170686115E-3</v>
      </c>
      <c r="I74" s="39">
        <f t="shared" si="36"/>
        <v>1.9069689975412349E-3</v>
      </c>
      <c r="J74" s="39">
        <f t="shared" si="36"/>
        <v>1.8313853269259362E-3</v>
      </c>
      <c r="K74" s="39">
        <f t="shared" si="36"/>
        <v>1.9195055037018664E-3</v>
      </c>
      <c r="L74" s="39">
        <f t="shared" si="36"/>
        <v>1.0073564884294057E-3</v>
      </c>
      <c r="M74" s="39">
        <f t="shared" si="36"/>
        <v>1.122837616086238E-3</v>
      </c>
      <c r="N74" s="39">
        <f t="shared" si="36"/>
        <v>8.2959254430742236E-4</v>
      </c>
      <c r="O74" s="39">
        <f>O72/O$101</f>
        <v>2.4111124147312965E-4</v>
      </c>
      <c r="P74" s="39">
        <f t="shared" si="36"/>
        <v>4.413188187601331E-4</v>
      </c>
      <c r="Q74" s="39">
        <f t="shared" si="36"/>
        <v>1.9843002526558997E-3</v>
      </c>
      <c r="R74" s="39">
        <f>IFERROR(R72/R$101,0)</f>
        <v>0</v>
      </c>
      <c r="S74" s="39"/>
      <c r="T74" s="39"/>
      <c r="U74" s="39"/>
      <c r="V74" s="39"/>
      <c r="W74" s="39"/>
    </row>
    <row r="75" spans="1:23" ht="12.95" customHeight="1" x14ac:dyDescent="0.2">
      <c r="A75" s="4"/>
      <c r="B75" s="3" t="s">
        <v>444</v>
      </c>
      <c r="C75" s="3"/>
      <c r="D75" s="35">
        <f t="shared" ref="D75:Q75" si="37">+(D72/D$102)/12</f>
        <v>3.2441515047767191</v>
      </c>
      <c r="E75" s="35">
        <f>IFERROR(+(E72/E$102)/12,0)</f>
        <v>0</v>
      </c>
      <c r="F75" s="35">
        <f t="shared" si="37"/>
        <v>3.2441515047767191</v>
      </c>
      <c r="G75" s="35">
        <f t="shared" si="37"/>
        <v>2.0780479746708931</v>
      </c>
      <c r="H75" s="35">
        <f t="shared" si="37"/>
        <v>0.82628268438511909</v>
      </c>
      <c r="I75" s="35">
        <f t="shared" si="37"/>
        <v>20.20209126278673</v>
      </c>
      <c r="J75" s="35">
        <f t="shared" si="37"/>
        <v>346.97936782527813</v>
      </c>
      <c r="K75" s="35">
        <f t="shared" si="37"/>
        <v>17.581795419650636</v>
      </c>
      <c r="L75" s="35">
        <f t="shared" si="37"/>
        <v>349.78209685698624</v>
      </c>
      <c r="M75" s="35">
        <f t="shared" si="37"/>
        <v>749.77821339242234</v>
      </c>
      <c r="N75" s="35">
        <f t="shared" si="37"/>
        <v>32.826430326182965</v>
      </c>
      <c r="O75" s="35">
        <f>+(O72/O$102)/12</f>
        <v>151.68415561552754</v>
      </c>
      <c r="P75" s="35">
        <f t="shared" si="37"/>
        <v>3299.6345909201405</v>
      </c>
      <c r="Q75" s="35">
        <f t="shared" si="37"/>
        <v>0.17805200948063504</v>
      </c>
      <c r="R75" s="35">
        <f>IFERROR(+(R72/R$102)/12,0)</f>
        <v>0</v>
      </c>
      <c r="S75" s="9"/>
      <c r="T75" s="9"/>
      <c r="U75" s="9"/>
      <c r="V75" s="9"/>
      <c r="W75" s="9"/>
    </row>
    <row r="76" spans="1:23" ht="12.95" customHeight="1" x14ac:dyDescent="0.2">
      <c r="A76" s="4"/>
      <c r="B76" s="3"/>
      <c r="C76" s="3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27"/>
      <c r="U76" s="9"/>
      <c r="V76" s="9"/>
      <c r="W76" s="3"/>
    </row>
    <row r="77" spans="1:23" ht="12.95" customHeight="1" x14ac:dyDescent="0.2">
      <c r="A77" s="4">
        <v>6</v>
      </c>
      <c r="B77" s="3" t="s">
        <v>449</v>
      </c>
      <c r="C77" s="3"/>
      <c r="D77" s="9">
        <f>E77+F77</f>
        <v>0</v>
      </c>
      <c r="E77" s="9">
        <f>Distribution!I69</f>
        <v>0</v>
      </c>
      <c r="F77" s="9">
        <f>Distribution!J69</f>
        <v>0</v>
      </c>
      <c r="G77" s="9">
        <f>Distribution!K69</f>
        <v>0</v>
      </c>
      <c r="H77" s="9">
        <f>Distribution!L69</f>
        <v>0</v>
      </c>
      <c r="I77" s="9">
        <f>Distribution!M69</f>
        <v>0</v>
      </c>
      <c r="J77" s="9">
        <f>Distribution!N69</f>
        <v>0</v>
      </c>
      <c r="K77" s="9">
        <f>Distribution!O69</f>
        <v>0</v>
      </c>
      <c r="L77" s="9">
        <f>Distribution!P69</f>
        <v>0</v>
      </c>
      <c r="M77" s="9">
        <f>Distribution!Q69</f>
        <v>0</v>
      </c>
      <c r="N77" s="9">
        <f>Distribution!R69</f>
        <v>0</v>
      </c>
      <c r="O77" s="9">
        <f>Distribution!S69</f>
        <v>0</v>
      </c>
      <c r="P77" s="9">
        <f>Distribution!T69</f>
        <v>0</v>
      </c>
      <c r="Q77" s="9">
        <f>Distribution!U69</f>
        <v>0</v>
      </c>
      <c r="R77" s="9">
        <f>Distribution!V69</f>
        <v>0</v>
      </c>
      <c r="S77" s="9"/>
      <c r="T77" s="27"/>
      <c r="U77" s="9"/>
      <c r="V77" s="9"/>
      <c r="W77" s="3"/>
    </row>
    <row r="78" spans="1:23" ht="12.95" customHeight="1" x14ac:dyDescent="0.2">
      <c r="A78" s="4"/>
      <c r="B78" s="3" t="s">
        <v>363</v>
      </c>
      <c r="C78" s="3"/>
      <c r="D78" s="32">
        <f t="shared" ref="D78:Q78" si="38">D77/D$100</f>
        <v>0</v>
      </c>
      <c r="E78" s="32">
        <f>IFERROR(E77/E$100,0)</f>
        <v>0</v>
      </c>
      <c r="F78" s="32">
        <f t="shared" si="38"/>
        <v>0</v>
      </c>
      <c r="G78" s="32">
        <f t="shared" si="38"/>
        <v>0</v>
      </c>
      <c r="H78" s="32">
        <f t="shared" si="38"/>
        <v>0</v>
      </c>
      <c r="I78" s="32">
        <f t="shared" si="38"/>
        <v>0</v>
      </c>
      <c r="J78" s="32">
        <f t="shared" si="38"/>
        <v>0</v>
      </c>
      <c r="K78" s="32">
        <f t="shared" si="38"/>
        <v>0</v>
      </c>
      <c r="L78" s="32">
        <f t="shared" si="38"/>
        <v>0</v>
      </c>
      <c r="M78" s="32">
        <f t="shared" si="38"/>
        <v>0</v>
      </c>
      <c r="N78" s="32">
        <f t="shared" si="38"/>
        <v>0</v>
      </c>
      <c r="O78" s="32">
        <f>O77/O$100</f>
        <v>0</v>
      </c>
      <c r="P78" s="32">
        <f t="shared" si="38"/>
        <v>0</v>
      </c>
      <c r="Q78" s="32">
        <f t="shared" si="38"/>
        <v>0</v>
      </c>
      <c r="R78" s="32">
        <f>IFERROR(R77/R$100,0)</f>
        <v>0</v>
      </c>
      <c r="S78" s="32"/>
      <c r="T78" s="27"/>
      <c r="U78" s="32"/>
      <c r="V78" s="32"/>
      <c r="W78" s="3"/>
    </row>
    <row r="79" spans="1:23" ht="12.95" customHeight="1" x14ac:dyDescent="0.2">
      <c r="A79" s="4"/>
      <c r="B79" s="3" t="s">
        <v>362</v>
      </c>
      <c r="C79" s="3"/>
      <c r="D79" s="39">
        <f t="shared" ref="D79:Q79" si="39">D77/D$101</f>
        <v>0</v>
      </c>
      <c r="E79" s="39">
        <f>IFERROR(E77/E$101,0)</f>
        <v>0</v>
      </c>
      <c r="F79" s="39">
        <f t="shared" si="39"/>
        <v>0</v>
      </c>
      <c r="G79" s="39">
        <f t="shared" si="39"/>
        <v>0</v>
      </c>
      <c r="H79" s="39">
        <f t="shared" si="39"/>
        <v>0</v>
      </c>
      <c r="I79" s="39">
        <f t="shared" si="39"/>
        <v>0</v>
      </c>
      <c r="J79" s="39">
        <f t="shared" si="39"/>
        <v>0</v>
      </c>
      <c r="K79" s="39">
        <f t="shared" si="39"/>
        <v>0</v>
      </c>
      <c r="L79" s="39">
        <f t="shared" si="39"/>
        <v>0</v>
      </c>
      <c r="M79" s="39">
        <f t="shared" si="39"/>
        <v>0</v>
      </c>
      <c r="N79" s="39">
        <f t="shared" si="39"/>
        <v>0</v>
      </c>
      <c r="O79" s="39">
        <f>O77/O$101</f>
        <v>0</v>
      </c>
      <c r="P79" s="39">
        <f t="shared" si="39"/>
        <v>0</v>
      </c>
      <c r="Q79" s="39">
        <f t="shared" si="39"/>
        <v>0</v>
      </c>
      <c r="R79" s="39">
        <f>IFERROR(R77/R$101,0)</f>
        <v>0</v>
      </c>
      <c r="S79" s="39"/>
      <c r="T79" s="39"/>
      <c r="U79" s="39"/>
      <c r="V79" s="39"/>
      <c r="W79" s="39"/>
    </row>
    <row r="80" spans="1:23" ht="12.95" customHeight="1" x14ac:dyDescent="0.2">
      <c r="A80" s="4"/>
      <c r="B80" s="3" t="s">
        <v>444</v>
      </c>
      <c r="C80" s="3"/>
      <c r="D80" s="35">
        <f t="shared" ref="D80:Q80" si="40">+(D77/D$102)/12</f>
        <v>0</v>
      </c>
      <c r="E80" s="35">
        <f>IFERROR(+(E77/E$102)/12,0)</f>
        <v>0</v>
      </c>
      <c r="F80" s="35">
        <f t="shared" si="40"/>
        <v>0</v>
      </c>
      <c r="G80" s="35">
        <f t="shared" si="40"/>
        <v>0</v>
      </c>
      <c r="H80" s="35">
        <f t="shared" si="40"/>
        <v>0</v>
      </c>
      <c r="I80" s="35">
        <f t="shared" si="40"/>
        <v>0</v>
      </c>
      <c r="J80" s="35">
        <f t="shared" si="40"/>
        <v>0</v>
      </c>
      <c r="K80" s="35">
        <f t="shared" si="40"/>
        <v>0</v>
      </c>
      <c r="L80" s="35">
        <f t="shared" si="40"/>
        <v>0</v>
      </c>
      <c r="M80" s="35">
        <f t="shared" si="40"/>
        <v>0</v>
      </c>
      <c r="N80" s="35">
        <f t="shared" si="40"/>
        <v>0</v>
      </c>
      <c r="O80" s="35">
        <f>+(O77/O$102)/12</f>
        <v>0</v>
      </c>
      <c r="P80" s="35">
        <f t="shared" si="40"/>
        <v>0</v>
      </c>
      <c r="Q80" s="35">
        <f t="shared" si="40"/>
        <v>0</v>
      </c>
      <c r="R80" s="35">
        <f>IFERROR(+(R77/R$102)/12,0)</f>
        <v>0</v>
      </c>
      <c r="S80" s="9"/>
      <c r="T80" s="9"/>
      <c r="U80" s="9"/>
      <c r="V80" s="9"/>
      <c r="W80" s="9"/>
    </row>
    <row r="81" spans="1:23" ht="12.95" customHeight="1" x14ac:dyDescent="0.2">
      <c r="A81" s="4"/>
      <c r="B81" s="3"/>
      <c r="C81" s="3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27"/>
      <c r="U81" s="9"/>
      <c r="V81" s="9"/>
      <c r="W81" s="3"/>
    </row>
    <row r="82" spans="1:23" ht="12.95" customHeight="1" x14ac:dyDescent="0.2">
      <c r="A82" s="4">
        <v>7</v>
      </c>
      <c r="B82" s="3" t="s">
        <v>541</v>
      </c>
      <c r="C82" s="3"/>
      <c r="D82" s="9">
        <f>E82+F82</f>
        <v>0</v>
      </c>
      <c r="E82" s="9">
        <f>+Distribution!I70</f>
        <v>0</v>
      </c>
      <c r="F82" s="9">
        <f>+Distribution!J70</f>
        <v>0</v>
      </c>
      <c r="G82" s="9">
        <f>+Distribution!K70</f>
        <v>0</v>
      </c>
      <c r="H82" s="9">
        <f>+Distribution!L70</f>
        <v>0</v>
      </c>
      <c r="I82" s="9">
        <f>SUM(J82:K82)</f>
        <v>0</v>
      </c>
      <c r="J82" s="9">
        <f>+Distribution!N70</f>
        <v>0</v>
      </c>
      <c r="K82" s="9">
        <f>+Distribution!O70</f>
        <v>0</v>
      </c>
      <c r="L82" s="9">
        <f>SUM(M82:N82)</f>
        <v>0</v>
      </c>
      <c r="M82" s="9">
        <f>+Distribution!Q70</f>
        <v>0</v>
      </c>
      <c r="N82" s="9">
        <f>+Distribution!R70</f>
        <v>0</v>
      </c>
      <c r="O82" s="9">
        <f>+Distribution!S70</f>
        <v>0</v>
      </c>
      <c r="P82" s="9">
        <f>+Distribution!T70</f>
        <v>0</v>
      </c>
      <c r="Q82" s="9">
        <f>+Distribution!U70</f>
        <v>0</v>
      </c>
      <c r="R82" s="9">
        <f>+Distribution!V70</f>
        <v>0</v>
      </c>
      <c r="S82" s="9"/>
      <c r="T82" s="27"/>
      <c r="U82" s="9"/>
      <c r="V82" s="9"/>
      <c r="W82" s="3"/>
    </row>
    <row r="83" spans="1:23" ht="12.95" customHeight="1" x14ac:dyDescent="0.2">
      <c r="A83" s="4"/>
      <c r="B83" s="3" t="s">
        <v>363</v>
      </c>
      <c r="C83" s="3"/>
      <c r="D83" s="32">
        <f t="shared" ref="D83:Q83" si="41">D82/D$100</f>
        <v>0</v>
      </c>
      <c r="E83" s="32">
        <f>IFERROR(E82/E$100,0)</f>
        <v>0</v>
      </c>
      <c r="F83" s="32">
        <f t="shared" si="41"/>
        <v>0</v>
      </c>
      <c r="G83" s="32">
        <f t="shared" si="41"/>
        <v>0</v>
      </c>
      <c r="H83" s="32">
        <f t="shared" si="41"/>
        <v>0</v>
      </c>
      <c r="I83" s="32">
        <f t="shared" si="41"/>
        <v>0</v>
      </c>
      <c r="J83" s="32">
        <f t="shared" si="41"/>
        <v>0</v>
      </c>
      <c r="K83" s="32">
        <f t="shared" si="41"/>
        <v>0</v>
      </c>
      <c r="L83" s="32">
        <f t="shared" si="41"/>
        <v>0</v>
      </c>
      <c r="M83" s="32">
        <f t="shared" si="41"/>
        <v>0</v>
      </c>
      <c r="N83" s="32">
        <f t="shared" si="41"/>
        <v>0</v>
      </c>
      <c r="O83" s="32">
        <f>O82/O$100</f>
        <v>0</v>
      </c>
      <c r="P83" s="32">
        <f t="shared" si="41"/>
        <v>0</v>
      </c>
      <c r="Q83" s="32">
        <f t="shared" si="41"/>
        <v>0</v>
      </c>
      <c r="R83" s="32">
        <f>IFERROR(R82/R$100,0)</f>
        <v>0</v>
      </c>
      <c r="S83" s="9"/>
      <c r="T83" s="27"/>
      <c r="U83" s="9"/>
      <c r="V83" s="9"/>
      <c r="W83" s="3"/>
    </row>
    <row r="84" spans="1:23" ht="12.95" customHeight="1" x14ac:dyDescent="0.2">
      <c r="A84" s="4"/>
      <c r="B84" s="3" t="s">
        <v>362</v>
      </c>
      <c r="C84" s="3"/>
      <c r="D84" s="39">
        <f t="shared" ref="D84:Q84" si="42">D82/D$101</f>
        <v>0</v>
      </c>
      <c r="E84" s="39">
        <f>IFERROR(E82/E$101,0)</f>
        <v>0</v>
      </c>
      <c r="F84" s="39">
        <f t="shared" si="42"/>
        <v>0</v>
      </c>
      <c r="G84" s="39">
        <f t="shared" si="42"/>
        <v>0</v>
      </c>
      <c r="H84" s="39">
        <f t="shared" si="42"/>
        <v>0</v>
      </c>
      <c r="I84" s="39">
        <f t="shared" si="42"/>
        <v>0</v>
      </c>
      <c r="J84" s="39">
        <f t="shared" si="42"/>
        <v>0</v>
      </c>
      <c r="K84" s="39">
        <f t="shared" si="42"/>
        <v>0</v>
      </c>
      <c r="L84" s="39">
        <f t="shared" si="42"/>
        <v>0</v>
      </c>
      <c r="M84" s="39">
        <f t="shared" si="42"/>
        <v>0</v>
      </c>
      <c r="N84" s="39">
        <f t="shared" si="42"/>
        <v>0</v>
      </c>
      <c r="O84" s="39">
        <f>O82/O$101</f>
        <v>0</v>
      </c>
      <c r="P84" s="39">
        <f t="shared" si="42"/>
        <v>0</v>
      </c>
      <c r="Q84" s="39">
        <f t="shared" si="42"/>
        <v>0</v>
      </c>
      <c r="R84" s="39">
        <f>IFERROR(R82/R$101,0)</f>
        <v>0</v>
      </c>
      <c r="S84" s="9"/>
      <c r="T84" s="27"/>
      <c r="U84" s="9"/>
      <c r="V84" s="9"/>
      <c r="W84" s="3"/>
    </row>
    <row r="85" spans="1:23" ht="12.95" customHeight="1" x14ac:dyDescent="0.2">
      <c r="A85" s="4"/>
      <c r="B85" s="3" t="s">
        <v>444</v>
      </c>
      <c r="C85" s="3"/>
      <c r="D85" s="35">
        <f t="shared" ref="D85:Q85" si="43">+(D82/D$102)/12</f>
        <v>0</v>
      </c>
      <c r="E85" s="35">
        <f>IFERROR(+(E82/E$102)/12,0)</f>
        <v>0</v>
      </c>
      <c r="F85" s="35">
        <f t="shared" si="43"/>
        <v>0</v>
      </c>
      <c r="G85" s="35">
        <f t="shared" si="43"/>
        <v>0</v>
      </c>
      <c r="H85" s="35">
        <f t="shared" si="43"/>
        <v>0</v>
      </c>
      <c r="I85" s="35">
        <f t="shared" si="43"/>
        <v>0</v>
      </c>
      <c r="J85" s="35">
        <f t="shared" si="43"/>
        <v>0</v>
      </c>
      <c r="K85" s="35">
        <f t="shared" si="43"/>
        <v>0</v>
      </c>
      <c r="L85" s="35">
        <f t="shared" si="43"/>
        <v>0</v>
      </c>
      <c r="M85" s="35">
        <f t="shared" si="43"/>
        <v>0</v>
      </c>
      <c r="N85" s="35">
        <f t="shared" si="43"/>
        <v>0</v>
      </c>
      <c r="O85" s="35">
        <f>+(O82/O$102)/12</f>
        <v>0</v>
      </c>
      <c r="P85" s="35">
        <f t="shared" si="43"/>
        <v>0</v>
      </c>
      <c r="Q85" s="35">
        <f t="shared" si="43"/>
        <v>0</v>
      </c>
      <c r="R85" s="35">
        <f>IFERROR(+(R82/R$102)/12,0)</f>
        <v>0</v>
      </c>
      <c r="S85" s="9"/>
      <c r="T85" s="27"/>
      <c r="U85" s="9"/>
      <c r="V85" s="9"/>
      <c r="W85" s="3"/>
    </row>
    <row r="86" spans="1:23" ht="12.95" customHeight="1" x14ac:dyDescent="0.2">
      <c r="A86" s="4"/>
      <c r="B86" s="3"/>
      <c r="C86" s="3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27"/>
      <c r="U86" s="9"/>
      <c r="V86" s="9"/>
      <c r="W86" s="3"/>
    </row>
    <row r="87" spans="1:23" ht="12.95" customHeight="1" x14ac:dyDescent="0.2">
      <c r="A87" s="4">
        <v>8</v>
      </c>
      <c r="B87" s="3" t="s">
        <v>489</v>
      </c>
      <c r="C87" s="3"/>
      <c r="D87" s="9">
        <f>E87+F87</f>
        <v>0</v>
      </c>
      <c r="E87" s="9">
        <f>+Distribution!I71</f>
        <v>0</v>
      </c>
      <c r="F87" s="9">
        <f>+Distribution!J71</f>
        <v>0</v>
      </c>
      <c r="G87" s="9">
        <f>+Distribution!K71</f>
        <v>0</v>
      </c>
      <c r="H87" s="9">
        <f>+Distribution!L71</f>
        <v>0</v>
      </c>
      <c r="I87" s="9">
        <f>+Distribution!M71</f>
        <v>0</v>
      </c>
      <c r="J87" s="9">
        <f>+Distribution!N71</f>
        <v>0</v>
      </c>
      <c r="K87" s="9">
        <f>+Distribution!O71</f>
        <v>0</v>
      </c>
      <c r="L87" s="9">
        <f>+Distribution!P71</f>
        <v>0</v>
      </c>
      <c r="M87" s="9">
        <f>+Distribution!Q71</f>
        <v>0</v>
      </c>
      <c r="N87" s="9">
        <f>+Distribution!R71</f>
        <v>0</v>
      </c>
      <c r="O87" s="9">
        <f>+Distribution!S71</f>
        <v>0</v>
      </c>
      <c r="P87" s="9">
        <f>+Distribution!T71</f>
        <v>0</v>
      </c>
      <c r="Q87" s="9">
        <f>+Distribution!U71</f>
        <v>0</v>
      </c>
      <c r="R87" s="9">
        <f>+Distribution!V71</f>
        <v>0</v>
      </c>
      <c r="S87" s="9"/>
      <c r="T87" s="27"/>
      <c r="U87" s="9"/>
      <c r="V87" s="9"/>
      <c r="W87" s="3"/>
    </row>
    <row r="88" spans="1:23" ht="12.95" customHeight="1" x14ac:dyDescent="0.2">
      <c r="A88" s="4"/>
      <c r="B88" s="3" t="s">
        <v>363</v>
      </c>
      <c r="C88" s="3"/>
      <c r="D88" s="32">
        <f t="shared" ref="D88:Q88" si="44">D87/D$100</f>
        <v>0</v>
      </c>
      <c r="E88" s="32">
        <f>IFERROR(E87/E$100,0)</f>
        <v>0</v>
      </c>
      <c r="F88" s="32">
        <f t="shared" si="44"/>
        <v>0</v>
      </c>
      <c r="G88" s="32">
        <f t="shared" si="44"/>
        <v>0</v>
      </c>
      <c r="H88" s="32">
        <f t="shared" si="44"/>
        <v>0</v>
      </c>
      <c r="I88" s="32">
        <f t="shared" si="44"/>
        <v>0</v>
      </c>
      <c r="J88" s="32">
        <f t="shared" si="44"/>
        <v>0</v>
      </c>
      <c r="K88" s="32">
        <f t="shared" si="44"/>
        <v>0</v>
      </c>
      <c r="L88" s="32">
        <f t="shared" si="44"/>
        <v>0</v>
      </c>
      <c r="M88" s="32">
        <f t="shared" si="44"/>
        <v>0</v>
      </c>
      <c r="N88" s="32">
        <f t="shared" si="44"/>
        <v>0</v>
      </c>
      <c r="O88" s="32">
        <f>O87/O$100</f>
        <v>0</v>
      </c>
      <c r="P88" s="32">
        <f t="shared" si="44"/>
        <v>0</v>
      </c>
      <c r="Q88" s="32">
        <f t="shared" si="44"/>
        <v>0</v>
      </c>
      <c r="R88" s="32">
        <f>IFERROR(R87/R$100,0)</f>
        <v>0</v>
      </c>
      <c r="S88" s="9"/>
      <c r="T88" s="27"/>
      <c r="U88" s="9"/>
      <c r="V88" s="9"/>
      <c r="W88" s="3"/>
    </row>
    <row r="89" spans="1:23" ht="12.95" customHeight="1" x14ac:dyDescent="0.2">
      <c r="A89" s="4"/>
      <c r="B89" s="3" t="s">
        <v>362</v>
      </c>
      <c r="C89" s="3"/>
      <c r="D89" s="39">
        <f t="shared" ref="D89:Q89" si="45">D87/D$101</f>
        <v>0</v>
      </c>
      <c r="E89" s="39">
        <f>IFERROR(E87/E$101,0)</f>
        <v>0</v>
      </c>
      <c r="F89" s="39">
        <f t="shared" si="45"/>
        <v>0</v>
      </c>
      <c r="G89" s="39">
        <f t="shared" si="45"/>
        <v>0</v>
      </c>
      <c r="H89" s="39">
        <f t="shared" si="45"/>
        <v>0</v>
      </c>
      <c r="I89" s="39">
        <f t="shared" si="45"/>
        <v>0</v>
      </c>
      <c r="J89" s="39">
        <f t="shared" si="45"/>
        <v>0</v>
      </c>
      <c r="K89" s="39">
        <f t="shared" si="45"/>
        <v>0</v>
      </c>
      <c r="L89" s="39">
        <f t="shared" si="45"/>
        <v>0</v>
      </c>
      <c r="M89" s="39">
        <f t="shared" si="45"/>
        <v>0</v>
      </c>
      <c r="N89" s="39">
        <f t="shared" si="45"/>
        <v>0</v>
      </c>
      <c r="O89" s="39">
        <f>O87/O$101</f>
        <v>0</v>
      </c>
      <c r="P89" s="39">
        <f t="shared" si="45"/>
        <v>0</v>
      </c>
      <c r="Q89" s="39">
        <f t="shared" si="45"/>
        <v>0</v>
      </c>
      <c r="R89" s="39">
        <f>IFERROR(R87/R$101,0)</f>
        <v>0</v>
      </c>
      <c r="S89" s="9"/>
      <c r="T89" s="27"/>
      <c r="U89" s="9"/>
      <c r="V89" s="9"/>
      <c r="W89" s="3"/>
    </row>
    <row r="90" spans="1:23" ht="12.95" customHeight="1" x14ac:dyDescent="0.2">
      <c r="A90" s="4"/>
      <c r="B90" s="3" t="s">
        <v>444</v>
      </c>
      <c r="C90" s="3"/>
      <c r="D90" s="35">
        <f t="shared" ref="D90:Q90" si="46">+(D87/D$102)/12</f>
        <v>0</v>
      </c>
      <c r="E90" s="35">
        <f>IFERROR(+(E87/E$102)/12,0)</f>
        <v>0</v>
      </c>
      <c r="F90" s="35">
        <f t="shared" si="46"/>
        <v>0</v>
      </c>
      <c r="G90" s="35">
        <f t="shared" si="46"/>
        <v>0</v>
      </c>
      <c r="H90" s="35">
        <f t="shared" si="46"/>
        <v>0</v>
      </c>
      <c r="I90" s="35">
        <f t="shared" si="46"/>
        <v>0</v>
      </c>
      <c r="J90" s="35">
        <f t="shared" si="46"/>
        <v>0</v>
      </c>
      <c r="K90" s="35">
        <f t="shared" si="46"/>
        <v>0</v>
      </c>
      <c r="L90" s="35">
        <f t="shared" si="46"/>
        <v>0</v>
      </c>
      <c r="M90" s="35">
        <f t="shared" si="46"/>
        <v>0</v>
      </c>
      <c r="N90" s="35">
        <f t="shared" si="46"/>
        <v>0</v>
      </c>
      <c r="O90" s="35">
        <f>+(O87/O$102)/12</f>
        <v>0</v>
      </c>
      <c r="P90" s="35">
        <f t="shared" si="46"/>
        <v>0</v>
      </c>
      <c r="Q90" s="35">
        <f t="shared" si="46"/>
        <v>0</v>
      </c>
      <c r="R90" s="35">
        <f>IFERROR(+(R87/R$102)/12,0)</f>
        <v>0</v>
      </c>
      <c r="S90" s="9"/>
      <c r="T90" s="27"/>
      <c r="U90" s="9"/>
      <c r="V90" s="9"/>
      <c r="W90" s="3"/>
    </row>
    <row r="91" spans="1:23" ht="12.95" customHeight="1" x14ac:dyDescent="0.2">
      <c r="A91" s="4"/>
      <c r="B91" s="3"/>
      <c r="C91" s="3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27"/>
      <c r="U91" s="9"/>
      <c r="V91" s="9"/>
      <c r="W91" s="3"/>
    </row>
    <row r="92" spans="1:23" ht="12.95" customHeight="1" x14ac:dyDescent="0.2">
      <c r="A92" s="4">
        <v>9</v>
      </c>
      <c r="B92" s="3" t="s">
        <v>21</v>
      </c>
      <c r="C92" s="3"/>
      <c r="D92" s="9">
        <f ca="1">E92+F92</f>
        <v>867312766.14720976</v>
      </c>
      <c r="E92" s="9">
        <f>+E77+E72+E67+E62+E57+E52</f>
        <v>0</v>
      </c>
      <c r="F92" s="9">
        <f ca="1">SUM(G92:R92)-I92-L92</f>
        <v>867312766.14720976</v>
      </c>
      <c r="G92" s="9">
        <f ca="1">+G87+G82+G77+G72+G67+G62+G57+G52</f>
        <v>493369220.79888451</v>
      </c>
      <c r="H92" s="9">
        <f t="shared" ref="H92:R92" ca="1" si="47">+H87+H82+H77+H72+H67+H62+H57+H52</f>
        <v>23633174.479619276</v>
      </c>
      <c r="I92" s="9">
        <f t="shared" ca="1" si="47"/>
        <v>255299905.17207408</v>
      </c>
      <c r="J92" s="9">
        <f t="shared" ca="1" si="47"/>
        <v>31628286.917152289</v>
      </c>
      <c r="K92" s="9">
        <f t="shared" ca="1" si="47"/>
        <v>223671618.25492179</v>
      </c>
      <c r="L92" s="9">
        <f t="shared" ca="1" si="47"/>
        <v>57184285.58875525</v>
      </c>
      <c r="M92" s="9">
        <f t="shared" ca="1" si="47"/>
        <v>46103547.637679912</v>
      </c>
      <c r="N92" s="9">
        <f t="shared" ca="1" si="47"/>
        <v>4396645.1824315544</v>
      </c>
      <c r="O92" s="9">
        <f ca="1">+O87+O82+O77+O72+O67+O62+O57+O52</f>
        <v>6684092.7686437862</v>
      </c>
      <c r="P92" s="9">
        <f t="shared" ca="1" si="47"/>
        <v>6901574.5291735642</v>
      </c>
      <c r="Q92" s="9">
        <f t="shared" ca="1" si="47"/>
        <v>29020336.744601559</v>
      </c>
      <c r="R92" s="9">
        <f t="shared" ca="1" si="47"/>
        <v>1904268.8341017675</v>
      </c>
      <c r="S92" s="9"/>
      <c r="T92" s="27"/>
      <c r="U92" s="9"/>
      <c r="V92" s="9"/>
      <c r="W92" s="3"/>
    </row>
    <row r="93" spans="1:23" ht="12.95" customHeight="1" x14ac:dyDescent="0.2">
      <c r="A93" s="4"/>
      <c r="B93" s="3" t="s">
        <v>363</v>
      </c>
      <c r="C93" s="3"/>
      <c r="D93" s="32">
        <f t="shared" ref="D93:Q93" ca="1" si="48">D92/D$100</f>
        <v>5.7581072649541385</v>
      </c>
      <c r="E93" s="32">
        <f>IFERROR(E92/E$100,0)</f>
        <v>0</v>
      </c>
      <c r="F93" s="32">
        <f t="shared" ca="1" si="48"/>
        <v>5.7581072649541385</v>
      </c>
      <c r="G93" s="32">
        <f t="shared" ca="1" si="48"/>
        <v>6.2308403513843755</v>
      </c>
      <c r="H93" s="32">
        <f t="shared" ca="1" si="48"/>
        <v>8.156555690755269</v>
      </c>
      <c r="I93" s="32">
        <f t="shared" ca="1" si="48"/>
        <v>8.0786327190400335</v>
      </c>
      <c r="J93" s="32">
        <f t="shared" ca="1" si="48"/>
        <v>8.6705179114557041</v>
      </c>
      <c r="K93" s="32">
        <f t="shared" ca="1" si="48"/>
        <v>8.0013961456488349</v>
      </c>
      <c r="L93" s="32">
        <f t="shared" ca="1" si="48"/>
        <v>5.197416395465825</v>
      </c>
      <c r="M93" s="32">
        <f t="shared" ca="1" si="48"/>
        <v>5.6780822420069574</v>
      </c>
      <c r="N93" s="32">
        <f t="shared" ca="1" si="48"/>
        <v>5.8920124517956651</v>
      </c>
      <c r="O93" s="32">
        <f ca="1">O92/O$100</f>
        <v>3.1282654180504528</v>
      </c>
      <c r="P93" s="32">
        <f t="shared" ca="1" si="48"/>
        <v>0.21505654831373233</v>
      </c>
      <c r="Q93" s="32">
        <f t="shared" ca="1" si="48"/>
        <v>35.855428526302966</v>
      </c>
      <c r="R93" s="32">
        <f ca="1">IFERROR(R92/R$100,0)</f>
        <v>3.458449603606776</v>
      </c>
      <c r="S93" s="32"/>
      <c r="T93" s="27"/>
      <c r="U93" s="32"/>
      <c r="V93" s="32"/>
      <c r="W93" s="3"/>
    </row>
    <row r="94" spans="1:23" ht="12.95" customHeight="1" x14ac:dyDescent="0.2">
      <c r="A94" s="4"/>
      <c r="B94" s="3" t="s">
        <v>362</v>
      </c>
      <c r="C94" s="3"/>
      <c r="D94" s="39">
        <f ca="1">D92/D$101</f>
        <v>2.2647727271737028E-2</v>
      </c>
      <c r="E94" s="39">
        <f>IFERROR(E92/E$101,0)</f>
        <v>0</v>
      </c>
      <c r="F94" s="39">
        <f t="shared" ref="F94:Q94" ca="1" si="49">F92/F$101</f>
        <v>2.2647727271737028E-2</v>
      </c>
      <c r="G94" s="39">
        <f t="shared" ca="1" si="49"/>
        <v>3.918775402569704E-2</v>
      </c>
      <c r="H94" s="39">
        <f t="shared" ca="1" si="49"/>
        <v>3.516317623608755E-2</v>
      </c>
      <c r="I94" s="39">
        <f t="shared" ca="1" si="49"/>
        <v>2.773474400233714E-2</v>
      </c>
      <c r="J94" s="39">
        <f t="shared" ca="1" si="49"/>
        <v>2.4151717450184847E-2</v>
      </c>
      <c r="K94" s="39">
        <f t="shared" ca="1" si="49"/>
        <v>2.8329034198607016E-2</v>
      </c>
      <c r="L94" s="39">
        <f t="shared" ca="1" si="49"/>
        <v>1.2637211081782564E-2</v>
      </c>
      <c r="M94" s="39">
        <f t="shared" ca="1" si="49"/>
        <v>1.2267735203516844E-2</v>
      </c>
      <c r="N94" s="39">
        <f t="shared" ca="1" si="49"/>
        <v>1.6835214919841086E-2</v>
      </c>
      <c r="O94" s="39">
        <f ca="1">O92/O$101</f>
        <v>1.3214893303561985E-2</v>
      </c>
      <c r="P94" s="39">
        <f t="shared" ca="1" si="49"/>
        <v>6.2538638767181275E-4</v>
      </c>
      <c r="Q94" s="39">
        <f t="shared" ca="1" si="49"/>
        <v>0.12173731237238042</v>
      </c>
      <c r="R94" s="39">
        <f ca="1">IFERROR(R92/R$101,0)</f>
        <v>6.4325081550022756E-2</v>
      </c>
      <c r="S94" s="39"/>
      <c r="T94" s="39"/>
      <c r="U94" s="39"/>
      <c r="V94" s="39"/>
      <c r="W94" s="39"/>
    </row>
    <row r="95" spans="1:23" ht="12.95" customHeight="1" x14ac:dyDescent="0.2">
      <c r="A95" s="4"/>
      <c r="B95" s="3" t="s">
        <v>444</v>
      </c>
      <c r="C95" s="3"/>
      <c r="D95" s="35">
        <f ca="1">+(D92/D$102)/12</f>
        <v>54.357986423000682</v>
      </c>
      <c r="E95" s="35">
        <f>IFERROR(+(E92/E$102)/12,0)</f>
        <v>0</v>
      </c>
      <c r="F95" s="35">
        <f t="shared" ref="F95:Q95" ca="1" si="50">+(F92/F$102)/12</f>
        <v>54.357986423000682</v>
      </c>
      <c r="G95" s="35">
        <f t="shared" ca="1" si="50"/>
        <v>43.96111121793637</v>
      </c>
      <c r="H95" s="35">
        <f t="shared" ca="1" si="50"/>
        <v>19.819970680463538</v>
      </c>
      <c r="I95" s="35">
        <f t="shared" ca="1" si="50"/>
        <v>293.81695780459387</v>
      </c>
      <c r="J95" s="35">
        <f t="shared" ca="1" si="50"/>
        <v>4575.8516951898564</v>
      </c>
      <c r="K95" s="35">
        <f t="shared" ca="1" si="50"/>
        <v>259.4810396509053</v>
      </c>
      <c r="L95" s="35">
        <f t="shared" ca="1" si="50"/>
        <v>4387.9899929984076</v>
      </c>
      <c r="M95" s="35">
        <f t="shared" ca="1" si="50"/>
        <v>8191.8172774839923</v>
      </c>
      <c r="N95" s="35">
        <f t="shared" ca="1" si="50"/>
        <v>666.15836097447789</v>
      </c>
      <c r="O95" s="35">
        <f ca="1">+(O92/O$102)/12</f>
        <v>8313.5482197062029</v>
      </c>
      <c r="P95" s="35">
        <f t="shared" ca="1" si="50"/>
        <v>4675.8635021501113</v>
      </c>
      <c r="Q95" s="35">
        <f t="shared" ca="1" si="50"/>
        <v>10.923534917491592</v>
      </c>
      <c r="R95" s="35">
        <f ca="1">IFERROR(+(R92/R$102)/12,0)</f>
        <v>8352.0562899200322</v>
      </c>
      <c r="S95" s="9"/>
      <c r="T95" s="9"/>
      <c r="U95" s="9"/>
      <c r="V95" s="9"/>
      <c r="W95" s="9"/>
    </row>
    <row r="96" spans="1:23" ht="12.95" customHeight="1" x14ac:dyDescent="0.2">
      <c r="A96" s="4"/>
      <c r="B96" s="3"/>
      <c r="C96" s="3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2.95" customHeight="1" x14ac:dyDescent="0.2">
      <c r="A97" s="4"/>
      <c r="B97" s="3" t="s">
        <v>647</v>
      </c>
      <c r="C97" s="3"/>
      <c r="D97" s="25">
        <f ca="1">+(D92-(D46-D16))/(D46-D16)</f>
        <v>0.49090473486255409</v>
      </c>
      <c r="E97" s="25"/>
      <c r="F97" s="25">
        <f ca="1">+(F92-(F46-F16))/(F46-F16)</f>
        <v>0.49090473486255409</v>
      </c>
      <c r="G97" s="25">
        <f ca="1">+(G92-(G46-G16))/(G46-G16)</f>
        <v>0.50405980368782988</v>
      </c>
      <c r="H97" s="25">
        <f t="shared" ref="H97:R97" ca="1" si="51">+(H92-(H46-H16))/(H46-H16)</f>
        <v>0.12948676091279124</v>
      </c>
      <c r="I97" s="25">
        <f t="shared" ca="1" si="51"/>
        <v>0.539873402300316</v>
      </c>
      <c r="J97" s="25">
        <f t="shared" ca="1" si="51"/>
        <v>0.78261801412803522</v>
      </c>
      <c r="K97" s="25">
        <f t="shared" ca="1" si="51"/>
        <v>0.51078244403686357</v>
      </c>
      <c r="L97" s="25">
        <f t="shared" ca="1" si="51"/>
        <v>0.59304049628571809</v>
      </c>
      <c r="M97" s="25">
        <f t="shared" ca="1" si="51"/>
        <v>0.77381965135088226</v>
      </c>
      <c r="N97" s="25">
        <f t="shared" ca="1" si="51"/>
        <v>0.38109837841343747</v>
      </c>
      <c r="O97" s="25">
        <f ca="1">+(O92-(O46-O16))/(O46-O16)</f>
        <v>-5.6040695002707317E-3</v>
      </c>
      <c r="P97" s="25">
        <f t="shared" ca="1" si="51"/>
        <v>-0.27131984208815524</v>
      </c>
      <c r="Q97" s="25">
        <f t="shared" ca="1" si="51"/>
        <v>0.34188105793107265</v>
      </c>
      <c r="R97" s="25">
        <f t="shared" ca="1" si="51"/>
        <v>634755.27803392254</v>
      </c>
      <c r="S97" s="9"/>
      <c r="T97" s="9"/>
      <c r="U97" s="9"/>
      <c r="V97" s="9"/>
      <c r="W97" s="9"/>
    </row>
    <row r="98" spans="1:23" ht="12.95" customHeight="1" x14ac:dyDescent="0.2">
      <c r="A98" s="4"/>
      <c r="B98" s="3"/>
      <c r="C98" s="3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27"/>
      <c r="U98" s="9"/>
      <c r="V98" s="9"/>
      <c r="W98" s="3"/>
    </row>
    <row r="99" spans="1:23" ht="12.95" customHeight="1" x14ac:dyDescent="0.2">
      <c r="A99" s="4"/>
      <c r="B99" s="3"/>
      <c r="C99" s="3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27"/>
      <c r="U99" s="9"/>
      <c r="V99" s="9"/>
      <c r="W99" s="3"/>
    </row>
    <row r="100" spans="1:23" ht="12.95" customHeight="1" x14ac:dyDescent="0.2">
      <c r="A100" s="4"/>
      <c r="B100" s="3" t="s">
        <v>827</v>
      </c>
      <c r="C100" s="3"/>
      <c r="D100" s="9">
        <f>+Distribution!H675</f>
        <v>150624628.23955706</v>
      </c>
      <c r="E100" s="9">
        <f>+Distribution!I675</f>
        <v>0</v>
      </c>
      <c r="F100" s="9">
        <f>+Distribution!J675</f>
        <v>150624628.23955706</v>
      </c>
      <c r="G100" s="9">
        <f>+Distribution!K675</f>
        <v>79181810.634783342</v>
      </c>
      <c r="H100" s="9">
        <f>+Distribution!L675</f>
        <v>2897445.3648867225</v>
      </c>
      <c r="I100" s="9">
        <f>SUM(J100:K100)</f>
        <v>31601870.520784218</v>
      </c>
      <c r="J100" s="9">
        <f>+'[2]II-H-4.1 Dist kW'!$P$151</f>
        <v>3647796.7337296205</v>
      </c>
      <c r="K100" s="9">
        <f>+'[2]II-H-4.1 Dist kW'!$P$150</f>
        <v>27954073.787054598</v>
      </c>
      <c r="L100" s="9">
        <f>SUM(M100:O100)</f>
        <v>11002444.52967868</v>
      </c>
      <c r="M100" s="9">
        <f>+'[2]II-H-4.1 Dist kW'!$P$155</f>
        <v>8119563.2033297736</v>
      </c>
      <c r="N100" s="9">
        <f>+'[2]II-H-4.1 Dist kW'!$P$154</f>
        <v>746204.32634890673</v>
      </c>
      <c r="O100" s="9">
        <f>+'[2]II-H-4.1 Dist kW'!$P$156+'[2]II-H-4.1 Dist kW'!$P$157</f>
        <v>2136676.9999999995</v>
      </c>
      <c r="P100" s="9">
        <f>+'[2]II-H-4.1 Dist kW'!$P$160</f>
        <v>32091905.981422596</v>
      </c>
      <c r="Q100" s="9">
        <f>+Distribution!U675</f>
        <v>809370.79648379341</v>
      </c>
      <c r="R100" s="9">
        <f>+Distribution!V675</f>
        <v>550613.44022935256</v>
      </c>
      <c r="S100" s="9"/>
      <c r="T100" s="9"/>
      <c r="U100" s="9"/>
      <c r="V100" s="9"/>
      <c r="W100" s="9"/>
    </row>
    <row r="101" spans="1:23" x14ac:dyDescent="0.2">
      <c r="A101" s="3"/>
      <c r="B101" s="3" t="s">
        <v>523</v>
      </c>
      <c r="C101" s="3"/>
      <c r="D101" s="9">
        <f>+Distribution!H688</f>
        <v>38295797001.651588</v>
      </c>
      <c r="E101" s="9">
        <f>+Distribution!I688</f>
        <v>0</v>
      </c>
      <c r="F101" s="9">
        <f>+Distribution!J688</f>
        <v>38295797001.651588</v>
      </c>
      <c r="G101" s="9">
        <f>+Distribution!K688</f>
        <v>12589882555.539207</v>
      </c>
      <c r="H101" s="9">
        <f>+Distribution!L688</f>
        <v>672100106.11512482</v>
      </c>
      <c r="I101" s="9">
        <f>+Distribution!M688</f>
        <v>9205057207.3266869</v>
      </c>
      <c r="J101" s="9">
        <f>+Distribution!N688</f>
        <v>1309566782.6682951</v>
      </c>
      <c r="K101" s="9">
        <f>+Distribution!O688</f>
        <v>7895490424.658391</v>
      </c>
      <c r="L101" s="9">
        <f>+Distribution!P688</f>
        <v>4525071649.0120554</v>
      </c>
      <c r="M101" s="9">
        <f>+Distribution!Q688</f>
        <v>3758114018.0188446</v>
      </c>
      <c r="N101" s="9">
        <f>+Distribution!R688</f>
        <v>261157650.99321082</v>
      </c>
      <c r="O101" s="9">
        <f>+Distribution!S688</f>
        <v>505799980</v>
      </c>
      <c r="P101" s="9">
        <f>+Distribution!T688</f>
        <v>11035696755.195988</v>
      </c>
      <c r="Q101" s="9">
        <f>+Distribution!U688</f>
        <v>238384897.60503083</v>
      </c>
      <c r="R101" s="9">
        <f>+Distribution!V688</f>
        <v>29603830.857500002</v>
      </c>
      <c r="S101" s="3"/>
      <c r="T101" s="4"/>
      <c r="U101" s="3"/>
      <c r="V101" s="3"/>
      <c r="W101" s="3"/>
    </row>
    <row r="102" spans="1:23" x14ac:dyDescent="0.2">
      <c r="A102" s="3"/>
      <c r="B102" s="3" t="s">
        <v>524</v>
      </c>
      <c r="C102" s="3"/>
      <c r="D102" s="9">
        <f>+Distribution!H676</f>
        <v>1329631</v>
      </c>
      <c r="E102" s="9">
        <f>+Distribution!I676</f>
        <v>0</v>
      </c>
      <c r="F102" s="9">
        <f>+Distribution!J676</f>
        <v>1329631</v>
      </c>
      <c r="G102" s="9">
        <f>+Distribution!K676</f>
        <v>935238</v>
      </c>
      <c r="H102" s="9">
        <f>+Distribution!L676</f>
        <v>99366</v>
      </c>
      <c r="I102" s="9">
        <f>+Distribution!M676</f>
        <v>72409</v>
      </c>
      <c r="J102" s="9">
        <f>+Distribution!N676</f>
        <v>576</v>
      </c>
      <c r="K102" s="9">
        <f>+Distribution!O676</f>
        <v>71833</v>
      </c>
      <c r="L102" s="9">
        <f>+Distribution!P676</f>
        <v>1086</v>
      </c>
      <c r="M102" s="9">
        <f>+Distribution!Q676</f>
        <v>469</v>
      </c>
      <c r="N102" s="9">
        <f>+Distribution!R676</f>
        <v>550</v>
      </c>
      <c r="O102" s="9">
        <f>+Distribution!S676</f>
        <v>67</v>
      </c>
      <c r="P102" s="9">
        <f>+Distribution!T676</f>
        <v>123</v>
      </c>
      <c r="Q102" s="9">
        <f>+Distribution!U676</f>
        <v>221390</v>
      </c>
      <c r="R102" s="9">
        <f>+Distribution!V676</f>
        <v>19</v>
      </c>
      <c r="S102" s="3"/>
      <c r="T102" s="4"/>
      <c r="U102" s="3"/>
      <c r="V102" s="3"/>
      <c r="W102" s="3"/>
    </row>
  </sheetData>
  <phoneticPr fontId="0" type="noConversion"/>
  <pageMargins left="0.7" right="0.7" top="0.75" bottom="0.75" header="0.3" footer="0.3"/>
  <pageSetup scale="62" fitToWidth="12" orientation="landscape" r:id="rId1"/>
  <headerFooter>
    <oddHeader>&amp;RDocket No. 56165
&amp;F
&amp;A
Page &amp;P of &amp;N</oddHeader>
    <oddFooter>&amp;LSponsored by: Earlyne Reynolds</oddFooter>
  </headerFooter>
  <rowBreaks count="1" manualBreakCount="1">
    <brk id="5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3"/>
  <dimension ref="A1:X812"/>
  <sheetViews>
    <sheetView showGridLines="0" zoomScale="120" zoomScaleNormal="120" zoomScaleSheetLayoutView="55" workbookViewId="0">
      <pane xSplit="7" ySplit="13" topLeftCell="J14" activePane="bottomRight" state="frozen"/>
      <selection activeCell="K25" sqref="K25"/>
      <selection pane="topRight" activeCell="K25" sqref="K25"/>
      <selection pane="bottomLeft" activeCell="K25" sqref="K25"/>
      <selection pane="bottomRight" activeCell="B2" sqref="B2"/>
    </sheetView>
  </sheetViews>
  <sheetFormatPr defaultColWidth="3.5703125" defaultRowHeight="12.75" customHeight="1" x14ac:dyDescent="0.2"/>
  <cols>
    <col min="1" max="1" width="2.5703125" bestFit="1" customWidth="1"/>
    <col min="2" max="2" width="6.42578125" customWidth="1"/>
    <col min="3" max="3" width="18.42578125" customWidth="1"/>
    <col min="4" max="4" width="9.140625" customWidth="1"/>
    <col min="5" max="7" width="10.28515625" customWidth="1"/>
    <col min="8" max="8" width="13.140625" bestFit="1" customWidth="1"/>
    <col min="9" max="9" width="10.42578125" customWidth="1"/>
    <col min="10" max="10" width="13.140625" bestFit="1" customWidth="1"/>
    <col min="11" max="11" width="11.140625" bestFit="1" customWidth="1"/>
    <col min="12" max="12" width="10.42578125" customWidth="1"/>
    <col min="13" max="13" width="11.140625" bestFit="1" customWidth="1"/>
    <col min="14" max="14" width="10.42578125" customWidth="1"/>
    <col min="15" max="15" width="14.28515625" bestFit="1" customWidth="1"/>
    <col min="16" max="18" width="10.42578125" customWidth="1"/>
    <col min="19" max="19" width="11.42578125" bestFit="1" customWidth="1"/>
    <col min="20" max="20" width="11.28515625" bestFit="1" customWidth="1"/>
    <col min="21" max="22" width="10.42578125" customWidth="1"/>
    <col min="23" max="23" width="10.28515625" bestFit="1" customWidth="1"/>
    <col min="24" max="24" width="11.5703125" bestFit="1" customWidth="1"/>
    <col min="25" max="29" width="3.5703125" customWidth="1"/>
  </cols>
  <sheetData>
    <row r="1" spans="1:23" ht="8.25" customHeight="1" x14ac:dyDescent="0.2">
      <c r="A1" s="3"/>
      <c r="B1" s="3"/>
      <c r="C1" s="3"/>
      <c r="D1" s="130">
        <v>1</v>
      </c>
      <c r="E1" s="130">
        <v>2</v>
      </c>
      <c r="F1" s="130"/>
      <c r="G1" s="130"/>
      <c r="H1" s="130">
        <v>7</v>
      </c>
      <c r="I1" s="130">
        <v>13</v>
      </c>
      <c r="J1" s="130">
        <v>6</v>
      </c>
      <c r="K1" s="130">
        <f t="shared" ref="K1:S1" si="0">J1+1</f>
        <v>7</v>
      </c>
      <c r="L1" s="130">
        <f t="shared" si="0"/>
        <v>8</v>
      </c>
      <c r="M1" s="130">
        <f t="shared" si="0"/>
        <v>9</v>
      </c>
      <c r="N1" s="130">
        <f t="shared" si="0"/>
        <v>10</v>
      </c>
      <c r="O1" s="130">
        <f>N1+1</f>
        <v>11</v>
      </c>
      <c r="P1" s="130">
        <f t="shared" si="0"/>
        <v>12</v>
      </c>
      <c r="Q1" s="130">
        <f t="shared" si="0"/>
        <v>13</v>
      </c>
      <c r="R1" s="130">
        <f t="shared" si="0"/>
        <v>14</v>
      </c>
      <c r="S1" s="130">
        <f t="shared" si="0"/>
        <v>15</v>
      </c>
      <c r="T1" s="130">
        <f>S1+1</f>
        <v>16</v>
      </c>
      <c r="U1" s="130">
        <f>T1+1</f>
        <v>17</v>
      </c>
      <c r="V1" s="130">
        <f>U1+1</f>
        <v>18</v>
      </c>
      <c r="W1" s="4"/>
    </row>
    <row r="2" spans="1:23" x14ac:dyDescent="0.2">
      <c r="A2" s="3"/>
      <c r="B2" s="3"/>
      <c r="C2" s="3"/>
      <c r="D2" s="3"/>
      <c r="E2" s="3"/>
      <c r="F2" s="3"/>
      <c r="G2" s="3"/>
      <c r="H2" s="5"/>
      <c r="I2" s="5"/>
      <c r="J2" s="5"/>
      <c r="K2" s="5"/>
      <c r="L2" s="2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spans="1:23" x14ac:dyDescent="0.2">
      <c r="A3" s="3"/>
      <c r="B3" s="3" t="str">
        <f>'II-I TOTAL COMPANY'!B4</f>
        <v>PUBLIC UTILITY COMMISION OF TEXAS</v>
      </c>
      <c r="C3" s="5"/>
      <c r="D3" s="5"/>
      <c r="E3" s="3"/>
      <c r="F3" s="3"/>
      <c r="G3" s="3"/>
      <c r="H3" s="5"/>
      <c r="I3" s="5"/>
      <c r="J3" s="5"/>
      <c r="K3" s="5"/>
      <c r="L3" s="23"/>
      <c r="M3" s="3"/>
      <c r="N3" s="3"/>
      <c r="O3" s="3"/>
      <c r="P3" s="3"/>
      <c r="Q3" s="3"/>
      <c r="R3" s="3"/>
      <c r="S3" s="3"/>
      <c r="T3" s="3"/>
      <c r="U3" s="3"/>
      <c r="V3" s="3"/>
      <c r="W3" s="4"/>
    </row>
    <row r="4" spans="1:23" x14ac:dyDescent="0.2">
      <c r="A4" s="3"/>
      <c r="B4" s="3" t="str">
        <f>'II-I TOTAL COMPANY'!B5</f>
        <v>AEP TEXAS INC</v>
      </c>
      <c r="C4" s="3"/>
      <c r="D4" s="3"/>
      <c r="E4" s="3"/>
      <c r="F4" s="3"/>
      <c r="G4" s="3"/>
      <c r="H4" s="5"/>
      <c r="I4" s="5"/>
      <c r="J4" s="5"/>
      <c r="K4" s="5"/>
      <c r="L4" s="23"/>
      <c r="M4" s="3"/>
      <c r="N4" s="3"/>
      <c r="O4" s="3"/>
      <c r="P4" s="3"/>
      <c r="Q4" s="3"/>
      <c r="R4" s="3"/>
      <c r="S4" s="3"/>
      <c r="T4" s="3"/>
      <c r="U4" s="3"/>
      <c r="V4" s="3"/>
      <c r="W4" s="4"/>
    </row>
    <row r="5" spans="1:23" x14ac:dyDescent="0.2">
      <c r="A5" s="3"/>
      <c r="B5" s="3" t="str">
        <f>'II-I TOTAL COMPANY'!B6</f>
        <v>II-I COST OF SERVICE</v>
      </c>
      <c r="C5" s="3"/>
      <c r="D5" s="3"/>
      <c r="E5" s="3"/>
      <c r="F5" s="3"/>
      <c r="G5" s="3"/>
      <c r="H5" s="3"/>
      <c r="I5" s="5"/>
      <c r="J5" s="5"/>
      <c r="K5" s="5"/>
      <c r="L5" s="23"/>
      <c r="M5" s="3"/>
      <c r="N5" s="3"/>
      <c r="O5" s="3"/>
      <c r="P5" s="3"/>
      <c r="Q5" s="3"/>
      <c r="R5" s="3"/>
      <c r="S5" s="3"/>
      <c r="T5" s="3"/>
      <c r="U5" s="3"/>
      <c r="V5" s="3"/>
      <c r="W5" s="4"/>
    </row>
    <row r="6" spans="1:23" x14ac:dyDescent="0.2">
      <c r="A6" s="3"/>
      <c r="B6" s="3" t="str">
        <f>'II-I TOTAL COMPANY'!B7</f>
        <v>TEST YEAR ENDING 09/30/2023</v>
      </c>
      <c r="C6" s="3"/>
      <c r="D6" s="3"/>
      <c r="E6" s="3"/>
      <c r="F6" s="3"/>
      <c r="G6" s="3"/>
      <c r="H6" s="5"/>
      <c r="I6" s="5"/>
      <c r="J6" s="5"/>
      <c r="K6" s="5"/>
      <c r="L6" s="23"/>
      <c r="M6" s="3"/>
      <c r="N6" s="3"/>
      <c r="O6" s="3"/>
      <c r="P6" s="3"/>
      <c r="Q6" s="3"/>
      <c r="R6" s="3"/>
      <c r="S6" s="3"/>
      <c r="T6" s="3"/>
      <c r="U6" s="3"/>
      <c r="V6" s="3"/>
      <c r="W6" s="4"/>
    </row>
    <row r="7" spans="1:23" x14ac:dyDescent="0.2">
      <c r="A7" s="3"/>
      <c r="B7" s="3" t="s">
        <v>858</v>
      </c>
      <c r="C7" s="3"/>
      <c r="D7" s="3" t="s">
        <v>176</v>
      </c>
      <c r="E7" s="3"/>
      <c r="F7" s="3"/>
      <c r="G7" s="3"/>
      <c r="H7" s="5"/>
      <c r="I7" s="5"/>
      <c r="J7" s="5"/>
      <c r="K7" s="5"/>
      <c r="L7" s="23"/>
      <c r="M7" s="3"/>
      <c r="N7" s="3"/>
      <c r="O7" s="3"/>
      <c r="P7" s="3"/>
      <c r="Q7" s="3"/>
      <c r="R7" s="3"/>
      <c r="S7" s="3"/>
      <c r="T7" s="3"/>
      <c r="U7" s="3"/>
      <c r="V7" s="3"/>
      <c r="W7" s="4"/>
    </row>
    <row r="8" spans="1:23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13"/>
      <c r="M8" s="4" t="s">
        <v>466</v>
      </c>
      <c r="N8" s="4"/>
      <c r="O8" s="42"/>
      <c r="P8" s="4" t="s">
        <v>466</v>
      </c>
      <c r="Q8" s="4"/>
      <c r="R8" s="42"/>
      <c r="S8" s="42"/>
      <c r="T8" s="4"/>
      <c r="U8" s="4"/>
      <c r="V8" s="42"/>
      <c r="W8" s="4"/>
    </row>
    <row r="9" spans="1:23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13" t="s">
        <v>317</v>
      </c>
      <c r="M9" s="13" t="s">
        <v>317</v>
      </c>
      <c r="N9" s="13" t="s">
        <v>317</v>
      </c>
      <c r="O9" s="13" t="s">
        <v>317</v>
      </c>
      <c r="P9" s="4" t="s">
        <v>320</v>
      </c>
      <c r="Q9" s="4" t="s">
        <v>320</v>
      </c>
      <c r="R9" s="4" t="s">
        <v>320</v>
      </c>
      <c r="S9" s="4" t="s">
        <v>800</v>
      </c>
      <c r="T9" s="4" t="s">
        <v>321</v>
      </c>
      <c r="U9" s="4" t="s">
        <v>318</v>
      </c>
      <c r="V9" s="4" t="s">
        <v>857</v>
      </c>
      <c r="W9" s="4"/>
    </row>
    <row r="10" spans="1:23" x14ac:dyDescent="0.2">
      <c r="A10" s="4" t="s">
        <v>0</v>
      </c>
      <c r="B10" s="4" t="s">
        <v>1</v>
      </c>
      <c r="C10" s="4" t="s">
        <v>2</v>
      </c>
      <c r="D10" s="4"/>
      <c r="E10" s="4" t="s">
        <v>3</v>
      </c>
      <c r="F10" s="4" t="s">
        <v>674</v>
      </c>
      <c r="G10" s="4" t="s">
        <v>646</v>
      </c>
      <c r="H10" s="4" t="s">
        <v>5</v>
      </c>
      <c r="I10" s="4" t="s">
        <v>315</v>
      </c>
      <c r="J10" s="4" t="s">
        <v>314</v>
      </c>
      <c r="K10" s="4" t="s">
        <v>316</v>
      </c>
      <c r="L10" s="13" t="s">
        <v>490</v>
      </c>
      <c r="M10" s="13" t="s">
        <v>491</v>
      </c>
      <c r="N10" s="13" t="s">
        <v>491</v>
      </c>
      <c r="O10" s="13" t="s">
        <v>491</v>
      </c>
      <c r="P10" s="4"/>
      <c r="Q10" s="4" t="s">
        <v>690</v>
      </c>
      <c r="R10" s="4" t="s">
        <v>364</v>
      </c>
      <c r="S10" s="4" t="s">
        <v>801</v>
      </c>
      <c r="T10" s="4"/>
      <c r="U10" s="4"/>
      <c r="V10" s="4"/>
      <c r="W10" s="4" t="s">
        <v>350</v>
      </c>
    </row>
    <row r="11" spans="1:23" x14ac:dyDescent="0.2">
      <c r="A11" s="4" t="s">
        <v>7</v>
      </c>
      <c r="B11" s="4" t="s">
        <v>7</v>
      </c>
      <c r="C11" s="4"/>
      <c r="D11" s="4" t="s">
        <v>8</v>
      </c>
      <c r="E11" s="4" t="s">
        <v>9</v>
      </c>
      <c r="F11" s="4" t="s">
        <v>645</v>
      </c>
      <c r="G11" s="4"/>
      <c r="H11" s="4"/>
      <c r="I11" s="4"/>
      <c r="J11" s="4"/>
      <c r="K11" s="4"/>
      <c r="L11" s="4"/>
      <c r="M11" s="4"/>
      <c r="N11" s="4" t="s">
        <v>690</v>
      </c>
      <c r="O11" s="4" t="s">
        <v>364</v>
      </c>
      <c r="P11" s="4"/>
      <c r="Q11" s="4"/>
      <c r="R11" s="4"/>
      <c r="S11" s="4"/>
      <c r="T11" s="4"/>
      <c r="U11" s="4"/>
      <c r="V11" s="4"/>
      <c r="W11" s="4" t="s">
        <v>4</v>
      </c>
    </row>
    <row r="12" spans="1:23" x14ac:dyDescent="0.2">
      <c r="A12" s="33">
        <v>-1</v>
      </c>
      <c r="B12" s="33">
        <f t="shared" ref="B12:S12" si="1">+A12-1</f>
        <v>-2</v>
      </c>
      <c r="C12" s="33">
        <f t="shared" si="1"/>
        <v>-3</v>
      </c>
      <c r="D12" s="33">
        <f t="shared" si="1"/>
        <v>-4</v>
      </c>
      <c r="E12" s="33">
        <f t="shared" si="1"/>
        <v>-5</v>
      </c>
      <c r="F12" s="33"/>
      <c r="G12" s="33"/>
      <c r="H12" s="33">
        <f>+E12-1</f>
        <v>-6</v>
      </c>
      <c r="I12" s="33">
        <f t="shared" si="1"/>
        <v>-7</v>
      </c>
      <c r="J12" s="33">
        <f t="shared" si="1"/>
        <v>-8</v>
      </c>
      <c r="K12" s="33">
        <f t="shared" si="1"/>
        <v>-9</v>
      </c>
      <c r="L12" s="33">
        <f t="shared" si="1"/>
        <v>-10</v>
      </c>
      <c r="M12" s="33">
        <f t="shared" si="1"/>
        <v>-11</v>
      </c>
      <c r="N12" s="33">
        <f t="shared" si="1"/>
        <v>-12</v>
      </c>
      <c r="O12" s="33">
        <f>+N12-1</f>
        <v>-13</v>
      </c>
      <c r="P12" s="33">
        <f t="shared" si="1"/>
        <v>-14</v>
      </c>
      <c r="Q12" s="33">
        <f t="shared" si="1"/>
        <v>-15</v>
      </c>
      <c r="R12" s="33">
        <f t="shared" si="1"/>
        <v>-16</v>
      </c>
      <c r="S12" s="33">
        <f t="shared" si="1"/>
        <v>-17</v>
      </c>
      <c r="T12" s="33">
        <f>+S12-1</f>
        <v>-18</v>
      </c>
      <c r="U12" s="33">
        <f>+T12-1</f>
        <v>-19</v>
      </c>
      <c r="V12" s="33">
        <f>+U12-1</f>
        <v>-20</v>
      </c>
      <c r="W12" s="33"/>
    </row>
    <row r="13" spans="1:23" x14ac:dyDescent="0.2">
      <c r="A13" s="3"/>
      <c r="B13" s="7" t="s">
        <v>465</v>
      </c>
      <c r="C13" s="3"/>
      <c r="D13" s="3"/>
      <c r="E13" s="3"/>
      <c r="F13" s="3"/>
      <c r="G13" s="3"/>
      <c r="H13" s="8"/>
      <c r="I13" s="9"/>
      <c r="J13" s="8"/>
      <c r="K13" s="27"/>
      <c r="L13" s="1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">
      <c r="A14" s="3"/>
      <c r="B14" s="3"/>
      <c r="C14" s="3"/>
      <c r="D14" s="3"/>
      <c r="E14" s="11"/>
      <c r="F14" s="11"/>
      <c r="G14" s="11"/>
      <c r="H14" s="8"/>
      <c r="I14" s="9"/>
      <c r="J14" s="8"/>
      <c r="K14" s="10"/>
      <c r="L14" s="2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</row>
    <row r="15" spans="1:23" x14ac:dyDescent="0.2">
      <c r="A15" s="3"/>
      <c r="B15" s="7" t="s">
        <v>492</v>
      </c>
      <c r="C15" s="3"/>
      <c r="D15" s="3"/>
      <c r="E15" s="3"/>
      <c r="F15" s="3"/>
      <c r="G15" s="3"/>
      <c r="H15" s="9"/>
      <c r="I15" s="12"/>
      <c r="J15" s="12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27"/>
    </row>
    <row r="16" spans="1:23" x14ac:dyDescent="0.2">
      <c r="A16" s="3"/>
      <c r="B16" s="3"/>
      <c r="C16" s="3"/>
      <c r="D16" s="3"/>
      <c r="E16" s="11"/>
      <c r="F16" s="11"/>
      <c r="G16" s="11"/>
      <c r="H16" s="9"/>
      <c r="I16" s="12"/>
      <c r="J16" s="12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27"/>
    </row>
    <row r="17" spans="1:24" x14ac:dyDescent="0.2">
      <c r="A17" s="3">
        <f t="shared" ref="A17:A53" si="2">+A16+1</f>
        <v>1</v>
      </c>
      <c r="B17" s="48" t="s">
        <v>487</v>
      </c>
      <c r="C17" s="3"/>
      <c r="D17" s="3"/>
      <c r="E17" s="11"/>
      <c r="F17" s="11"/>
      <c r="G17" s="11"/>
      <c r="H17" s="9"/>
      <c r="I17" s="12"/>
      <c r="J17" s="1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27"/>
    </row>
    <row r="18" spans="1:24" x14ac:dyDescent="0.2">
      <c r="A18" s="3">
        <f t="shared" si="2"/>
        <v>2</v>
      </c>
      <c r="B18" s="3" t="s">
        <v>478</v>
      </c>
      <c r="C18" s="3"/>
      <c r="D18" s="3"/>
      <c r="E18" s="11"/>
      <c r="F18" s="11"/>
      <c r="G18" s="11"/>
      <c r="H18" s="9"/>
      <c r="I18" s="12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27"/>
    </row>
    <row r="19" spans="1:24" x14ac:dyDescent="0.2">
      <c r="A19" s="3">
        <f t="shared" si="2"/>
        <v>3</v>
      </c>
      <c r="B19" s="3"/>
      <c r="C19" s="3" t="s">
        <v>467</v>
      </c>
      <c r="D19" s="3"/>
      <c r="E19" s="11"/>
      <c r="F19" s="11"/>
      <c r="G19" s="11"/>
      <c r="H19" s="9">
        <f>+I19+J19</f>
        <v>152369039.81184542</v>
      </c>
      <c r="I19" s="66">
        <v>0</v>
      </c>
      <c r="J19" s="66">
        <f>+K19+L19+M19+P19+T19+U19+V19</f>
        <v>152369039.81184542</v>
      </c>
      <c r="K19" s="9">
        <f t="shared" ref="K19:V19" si="3">+K96</f>
        <v>87564018.925074622</v>
      </c>
      <c r="L19" s="9">
        <f t="shared" si="3"/>
        <v>3238501.3365357928</v>
      </c>
      <c r="M19" s="9">
        <f>SUM(N19:O19)</f>
        <v>44981883.239167288</v>
      </c>
      <c r="N19" s="9">
        <f t="shared" si="3"/>
        <v>5991324.2547453437</v>
      </c>
      <c r="O19" s="9">
        <f t="shared" si="3"/>
        <v>38990558.984421946</v>
      </c>
      <c r="P19" s="9">
        <f>SUM(Q19:S19)</f>
        <v>11862740.106619805</v>
      </c>
      <c r="Q19" s="9">
        <f t="shared" si="3"/>
        <v>9650052.5817148816</v>
      </c>
      <c r="R19" s="9">
        <f t="shared" si="3"/>
        <v>698380.77784730494</v>
      </c>
      <c r="S19" s="9">
        <f>+S96</f>
        <v>1514306.7470576188</v>
      </c>
      <c r="T19" s="9">
        <f t="shared" si="3"/>
        <v>820.99541515306419</v>
      </c>
      <c r="U19" s="9">
        <f t="shared" si="3"/>
        <v>4280695.3902280722</v>
      </c>
      <c r="V19" s="9">
        <f t="shared" si="3"/>
        <v>440379.81880467484</v>
      </c>
      <c r="W19" s="27" t="str">
        <f t="shared" ref="W19:W82" si="4">IF((+K19+L19+M19+P19+T19+U19+V19)-H19=0,"OK",(+K19+L19+M19+P19+T19+U19+V19)-H19)</f>
        <v>OK</v>
      </c>
      <c r="X19" s="143">
        <f>+'II-I TOTAL COMPANY'!K19-Distribution!H19</f>
        <v>0</v>
      </c>
    </row>
    <row r="20" spans="1:24" x14ac:dyDescent="0.2">
      <c r="A20" s="3">
        <f t="shared" si="2"/>
        <v>4</v>
      </c>
      <c r="B20" s="3"/>
      <c r="C20" s="3" t="s">
        <v>321</v>
      </c>
      <c r="D20" s="3"/>
      <c r="E20" s="11"/>
      <c r="F20" s="11"/>
      <c r="G20" s="11"/>
      <c r="H20" s="9">
        <f>+I20+J20</f>
        <v>0</v>
      </c>
      <c r="I20" s="66">
        <v>0</v>
      </c>
      <c r="J20" s="66">
        <f t="shared" ref="J20:J22" si="5">+K20+L20+M20+P20+T20+U20+V20</f>
        <v>0</v>
      </c>
      <c r="K20" s="9">
        <f t="shared" ref="K20:V20" si="6">+K111</f>
        <v>0</v>
      </c>
      <c r="L20" s="9">
        <f t="shared" si="6"/>
        <v>0</v>
      </c>
      <c r="M20" s="9">
        <f>SUM(N20:O20)</f>
        <v>0</v>
      </c>
      <c r="N20" s="9">
        <f t="shared" si="6"/>
        <v>0</v>
      </c>
      <c r="O20" s="9">
        <f t="shared" si="6"/>
        <v>0</v>
      </c>
      <c r="P20" s="9">
        <f t="shared" ref="P20:P36" si="7">SUM(Q20:S20)</f>
        <v>0</v>
      </c>
      <c r="Q20" s="9">
        <f t="shared" si="6"/>
        <v>0</v>
      </c>
      <c r="R20" s="9">
        <f t="shared" si="6"/>
        <v>0</v>
      </c>
      <c r="S20" s="9">
        <f>+S111</f>
        <v>0</v>
      </c>
      <c r="T20" s="9">
        <f t="shared" si="6"/>
        <v>0</v>
      </c>
      <c r="U20" s="9">
        <f t="shared" si="6"/>
        <v>0</v>
      </c>
      <c r="V20" s="9">
        <f t="shared" si="6"/>
        <v>0</v>
      </c>
      <c r="W20" s="27" t="str">
        <f t="shared" si="4"/>
        <v>OK</v>
      </c>
      <c r="X20" s="143">
        <f>+'II-I TOTAL COMPANY'!K20-Distribution!H20</f>
        <v>0</v>
      </c>
    </row>
    <row r="21" spans="1:24" x14ac:dyDescent="0.2">
      <c r="A21" s="3">
        <f t="shared" si="2"/>
        <v>5</v>
      </c>
      <c r="B21" s="3"/>
      <c r="C21" s="3" t="s">
        <v>176</v>
      </c>
      <c r="D21" s="3"/>
      <c r="E21" s="11"/>
      <c r="F21" s="11"/>
      <c r="G21" s="11"/>
      <c r="H21" s="9">
        <f>+I21+J21</f>
        <v>5530937010.1372623</v>
      </c>
      <c r="I21" s="66">
        <v>0</v>
      </c>
      <c r="J21" s="66">
        <f t="shared" si="5"/>
        <v>5530937010.1372623</v>
      </c>
      <c r="K21" s="9">
        <f t="shared" ref="K21:V21" si="8">+K147</f>
        <v>3215444143.0635533</v>
      </c>
      <c r="L21" s="9">
        <f t="shared" si="8"/>
        <v>134154026.56165403</v>
      </c>
      <c r="M21" s="9">
        <f>SUM(N21:O21)</f>
        <v>1561454898.387897</v>
      </c>
      <c r="N21" s="9">
        <f t="shared" si="8"/>
        <v>203858215.23612881</v>
      </c>
      <c r="O21" s="9">
        <f t="shared" si="8"/>
        <v>1357596683.1517682</v>
      </c>
      <c r="P21" s="9">
        <f t="shared" si="7"/>
        <v>336942598.7382285</v>
      </c>
      <c r="Q21" s="9">
        <f t="shared" si="8"/>
        <v>274101832.72711378</v>
      </c>
      <c r="R21" s="9">
        <f t="shared" si="8"/>
        <v>19835589.249885038</v>
      </c>
      <c r="S21" s="9">
        <f>+S147</f>
        <v>43005176.761229701</v>
      </c>
      <c r="T21" s="9">
        <f t="shared" si="8"/>
        <v>0</v>
      </c>
      <c r="U21" s="9">
        <f t="shared" si="8"/>
        <v>270429476.51136535</v>
      </c>
      <c r="V21" s="9">
        <f t="shared" si="8"/>
        <v>12511866.874564579</v>
      </c>
      <c r="W21" s="27" t="str">
        <f t="shared" si="4"/>
        <v>OK</v>
      </c>
      <c r="X21" s="143">
        <f>+'II-I TOTAL COMPANY'!K21-Distribution!H21</f>
        <v>0</v>
      </c>
    </row>
    <row r="22" spans="1:24" x14ac:dyDescent="0.2">
      <c r="A22" s="3">
        <f t="shared" si="2"/>
        <v>6</v>
      </c>
      <c r="B22" s="3"/>
      <c r="C22" s="3" t="s">
        <v>468</v>
      </c>
      <c r="D22" s="3"/>
      <c r="E22" s="11"/>
      <c r="F22" s="11"/>
      <c r="G22" s="11"/>
      <c r="H22" s="9">
        <f>+I22+J22</f>
        <v>651539327.46740794</v>
      </c>
      <c r="I22" s="66">
        <v>0</v>
      </c>
      <c r="J22" s="66">
        <f t="shared" si="5"/>
        <v>651539327.46740794</v>
      </c>
      <c r="K22" s="9">
        <f t="shared" ref="K22:V22" si="9">+K162+K168</f>
        <v>374429097.08715796</v>
      </c>
      <c r="L22" s="9">
        <f t="shared" si="9"/>
        <v>13848029.661500804</v>
      </c>
      <c r="M22" s="9">
        <f>SUM(N22:O22)</f>
        <v>192345282.15216929</v>
      </c>
      <c r="N22" s="9">
        <f t="shared" si="9"/>
        <v>25619268.720183134</v>
      </c>
      <c r="O22" s="9">
        <f t="shared" si="9"/>
        <v>166726013.43198615</v>
      </c>
      <c r="P22" s="9">
        <f t="shared" si="7"/>
        <v>50725801.780545503</v>
      </c>
      <c r="Q22" s="9">
        <f t="shared" si="9"/>
        <v>41264214.678255439</v>
      </c>
      <c r="R22" s="9">
        <f t="shared" si="9"/>
        <v>2986318.8931077328</v>
      </c>
      <c r="S22" s="9">
        <f>+S162+S168</f>
        <v>6475268.2091823285</v>
      </c>
      <c r="T22" s="9">
        <f t="shared" si="9"/>
        <v>3510.6265767848458</v>
      </c>
      <c r="U22" s="9">
        <f t="shared" si="9"/>
        <v>18304515.136973433</v>
      </c>
      <c r="V22" s="9">
        <f t="shared" si="9"/>
        <v>1883091.0224841544</v>
      </c>
      <c r="W22" s="27" t="str">
        <f t="shared" si="4"/>
        <v>OK</v>
      </c>
      <c r="X22" s="143">
        <f>+'II-I TOTAL COMPANY'!K22-Distribution!H22</f>
        <v>0</v>
      </c>
    </row>
    <row r="23" spans="1:24" x14ac:dyDescent="0.2">
      <c r="A23" s="3">
        <f t="shared" si="2"/>
        <v>7</v>
      </c>
      <c r="B23" s="3"/>
      <c r="C23" s="3"/>
      <c r="D23" s="3"/>
      <c r="E23" s="11"/>
      <c r="F23" s="11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27" t="str">
        <f t="shared" si="4"/>
        <v>OK</v>
      </c>
      <c r="X23" s="143">
        <f>+'II-I TOTAL COMPANY'!K23-Distribution!H23</f>
        <v>0</v>
      </c>
    </row>
    <row r="24" spans="1:24" x14ac:dyDescent="0.2">
      <c r="A24" s="3">
        <f t="shared" si="2"/>
        <v>8</v>
      </c>
      <c r="B24" s="3" t="s">
        <v>479</v>
      </c>
      <c r="C24" s="3"/>
      <c r="D24" s="3"/>
      <c r="E24" s="11"/>
      <c r="F24" s="11"/>
      <c r="G24" s="11"/>
      <c r="H24" s="9">
        <f>+I24+J24</f>
        <v>6334845377.4165154</v>
      </c>
      <c r="I24" s="66">
        <v>0</v>
      </c>
      <c r="J24" s="66">
        <f>+K24+L24+M24+P24+T24+U24+V24</f>
        <v>6334845377.4165154</v>
      </c>
      <c r="K24" s="8">
        <f t="shared" ref="K24:V24" si="10">SUM(K19:K23)</f>
        <v>3677437259.0757856</v>
      </c>
      <c r="L24" s="8">
        <f t="shared" si="10"/>
        <v>151240557.55969062</v>
      </c>
      <c r="M24" s="9">
        <f>SUM(N24:O24)</f>
        <v>1798782063.7792335</v>
      </c>
      <c r="N24" s="8">
        <f t="shared" si="10"/>
        <v>235468808.21105728</v>
      </c>
      <c r="O24" s="8">
        <f t="shared" si="10"/>
        <v>1563313255.5681763</v>
      </c>
      <c r="P24" s="9">
        <f t="shared" si="7"/>
        <v>399531140.62539381</v>
      </c>
      <c r="Q24" s="8">
        <f t="shared" si="10"/>
        <v>325016099.98708409</v>
      </c>
      <c r="R24" s="8">
        <f t="shared" si="10"/>
        <v>23520288.920840077</v>
      </c>
      <c r="S24" s="8">
        <f>SUM(S19:S23)</f>
        <v>50994751.717469648</v>
      </c>
      <c r="T24" s="8">
        <f t="shared" si="10"/>
        <v>4331.62199193791</v>
      </c>
      <c r="U24" s="8">
        <f>SUM(U19:U23)</f>
        <v>293014687.03856689</v>
      </c>
      <c r="V24" s="8">
        <f t="shared" si="10"/>
        <v>14835337.715853408</v>
      </c>
      <c r="W24" s="27" t="str">
        <f t="shared" si="4"/>
        <v>OK</v>
      </c>
      <c r="X24" s="143">
        <f>+'II-I TOTAL COMPANY'!K24-Distribution!H24</f>
        <v>0</v>
      </c>
    </row>
    <row r="25" spans="1:24" x14ac:dyDescent="0.2">
      <c r="A25" s="3">
        <f t="shared" si="2"/>
        <v>9</v>
      </c>
      <c r="B25" s="3"/>
      <c r="C25" s="3"/>
      <c r="D25" s="3"/>
      <c r="E25" s="11"/>
      <c r="F25" s="11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27" t="str">
        <f t="shared" si="4"/>
        <v>OK</v>
      </c>
      <c r="X25" s="143">
        <f>+'II-I TOTAL COMPANY'!K25-Distribution!H25</f>
        <v>0</v>
      </c>
    </row>
    <row r="26" spans="1:24" x14ac:dyDescent="0.2">
      <c r="A26" s="3">
        <f t="shared" si="2"/>
        <v>10</v>
      </c>
      <c r="B26" s="3"/>
      <c r="C26" s="3" t="s">
        <v>480</v>
      </c>
      <c r="D26" s="3"/>
      <c r="E26" s="11"/>
      <c r="F26" s="11"/>
      <c r="G26" s="11"/>
      <c r="H26" s="9">
        <f>+I26+J26</f>
        <v>-1557757541.0002408</v>
      </c>
      <c r="I26" s="66">
        <v>0</v>
      </c>
      <c r="J26" s="66">
        <f>+K26+L26+M26+P26+T26+U26+V26</f>
        <v>-1557757541.0002408</v>
      </c>
      <c r="K26" s="9">
        <f t="shared" ref="K26:V26" si="11">-K247</f>
        <v>-911166966.57254899</v>
      </c>
      <c r="L26" s="9">
        <f t="shared" si="11"/>
        <v>-42978044.272129506</v>
      </c>
      <c r="M26" s="9">
        <f>SUM(N26:O26)</f>
        <v>-413093603.1248219</v>
      </c>
      <c r="N26" s="9">
        <f t="shared" si="11"/>
        <v>-52510668.508627027</v>
      </c>
      <c r="O26" s="9">
        <f t="shared" si="11"/>
        <v>-360582934.6161949</v>
      </c>
      <c r="P26" s="9">
        <f t="shared" si="7"/>
        <v>-89509327.790391803</v>
      </c>
      <c r="Q26" s="9">
        <f t="shared" si="11"/>
        <v>-72815200.428302199</v>
      </c>
      <c r="R26" s="9">
        <f t="shared" si="11"/>
        <v>-5269399.0196822276</v>
      </c>
      <c r="S26" s="9">
        <f>-S247</f>
        <v>-11424728.342407376</v>
      </c>
      <c r="T26" s="9">
        <f t="shared" si="11"/>
        <v>-1235.5420271092023</v>
      </c>
      <c r="U26" s="9">
        <f t="shared" si="11"/>
        <v>-97684755.664479584</v>
      </c>
      <c r="V26" s="9">
        <f t="shared" si="11"/>
        <v>-3323608.0338419485</v>
      </c>
      <c r="W26" s="27" t="str">
        <f t="shared" si="4"/>
        <v>OK</v>
      </c>
      <c r="X26" s="143">
        <f>+'II-I TOTAL COMPANY'!K26-Distribution!H26</f>
        <v>0</v>
      </c>
    </row>
    <row r="27" spans="1:24" x14ac:dyDescent="0.2">
      <c r="A27" s="3">
        <f t="shared" si="2"/>
        <v>11</v>
      </c>
      <c r="B27" s="3"/>
      <c r="C27" s="3"/>
      <c r="D27" s="3"/>
      <c r="E27" s="3"/>
      <c r="F27" s="3"/>
      <c r="G27" s="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27" t="str">
        <f t="shared" si="4"/>
        <v>OK</v>
      </c>
      <c r="X27" s="143">
        <f>+'II-I TOTAL COMPANY'!K27-Distribution!H27</f>
        <v>0</v>
      </c>
    </row>
    <row r="28" spans="1:24" x14ac:dyDescent="0.2">
      <c r="A28" s="3">
        <f t="shared" si="2"/>
        <v>12</v>
      </c>
      <c r="B28" s="3" t="s">
        <v>481</v>
      </c>
      <c r="C28" s="3"/>
      <c r="D28" s="3"/>
      <c r="E28" s="3"/>
      <c r="F28" s="11"/>
      <c r="G28" s="11"/>
      <c r="H28" s="9">
        <f>+I28+J28</f>
        <v>4777087836.416275</v>
      </c>
      <c r="I28" s="66">
        <v>0</v>
      </c>
      <c r="J28" s="66">
        <f>+K28+L28+M28+P28+T28+U28+V28</f>
        <v>4777087836.416275</v>
      </c>
      <c r="K28" s="9">
        <f t="shared" ref="K28:V28" si="12">+K24+K26</f>
        <v>2766270292.5032368</v>
      </c>
      <c r="L28" s="9">
        <f t="shared" si="12"/>
        <v>108262513.28756112</v>
      </c>
      <c r="M28" s="9">
        <f>SUM(N28:O28)</f>
        <v>1385688460.6544116</v>
      </c>
      <c r="N28" s="9">
        <f t="shared" si="12"/>
        <v>182958139.70243025</v>
      </c>
      <c r="O28" s="9">
        <f t="shared" si="12"/>
        <v>1202730320.9519813</v>
      </c>
      <c r="P28" s="9">
        <f t="shared" si="7"/>
        <v>310021812.83500201</v>
      </c>
      <c r="Q28" s="9">
        <f t="shared" si="12"/>
        <v>252200899.55878189</v>
      </c>
      <c r="R28" s="9">
        <f t="shared" si="12"/>
        <v>18250889.901157849</v>
      </c>
      <c r="S28" s="9">
        <f>+S24+S26</f>
        <v>39570023.375062272</v>
      </c>
      <c r="T28" s="9">
        <f t="shared" si="12"/>
        <v>3096.0799648287075</v>
      </c>
      <c r="U28" s="9">
        <f t="shared" si="12"/>
        <v>195329931.3740873</v>
      </c>
      <c r="V28" s="9">
        <f t="shared" si="12"/>
        <v>11511729.682011459</v>
      </c>
      <c r="W28" s="27" t="str">
        <f t="shared" si="4"/>
        <v>OK</v>
      </c>
      <c r="X28" s="143">
        <f>+'II-I TOTAL COMPANY'!K28-Distribution!H28</f>
        <v>0</v>
      </c>
    </row>
    <row r="29" spans="1:24" x14ac:dyDescent="0.2">
      <c r="A29" s="3">
        <f t="shared" si="2"/>
        <v>13</v>
      </c>
      <c r="B29" s="3"/>
      <c r="C29" s="3"/>
      <c r="D29" s="3"/>
      <c r="E29" s="3"/>
      <c r="F29" s="3"/>
      <c r="G29" s="3"/>
      <c r="H29" s="9"/>
      <c r="I29" s="66"/>
      <c r="J29" s="66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27" t="str">
        <f t="shared" si="4"/>
        <v>OK</v>
      </c>
      <c r="X29" s="143">
        <f>+'II-I TOTAL COMPANY'!K29-Distribution!H29</f>
        <v>0</v>
      </c>
    </row>
    <row r="30" spans="1:24" x14ac:dyDescent="0.2">
      <c r="A30" s="3">
        <f t="shared" si="2"/>
        <v>14</v>
      </c>
      <c r="B30" s="3" t="s">
        <v>482</v>
      </c>
      <c r="C30" s="3"/>
      <c r="D30" s="3"/>
      <c r="E30" s="3"/>
      <c r="F30" s="11"/>
      <c r="G30" s="11"/>
      <c r="H30" s="9">
        <f t="shared" ref="H30:H36" si="13">+I30+J30</f>
        <v>115238456.01426548</v>
      </c>
      <c r="I30" s="66">
        <v>0</v>
      </c>
      <c r="J30" s="66">
        <f t="shared" ref="J30:J36" si="14">+K30+L30+M30+P30+T30+U30+V30</f>
        <v>115238456.01426548</v>
      </c>
      <c r="K30" s="9">
        <f t="shared" ref="K30:V30" si="15">+K266</f>
        <v>66897006.410921007</v>
      </c>
      <c r="L30" s="9">
        <f t="shared" si="15"/>
        <v>2751247.631402046</v>
      </c>
      <c r="M30" s="9">
        <f>SUM(N30:O30)</f>
        <v>32722009.044616912</v>
      </c>
      <c r="N30" s="9">
        <f t="shared" si="15"/>
        <v>4283460.8078196989</v>
      </c>
      <c r="O30" s="9">
        <f t="shared" si="15"/>
        <v>28438548.236797214</v>
      </c>
      <c r="P30" s="9">
        <f t="shared" si="7"/>
        <v>7267951.9439297505</v>
      </c>
      <c r="Q30" s="9">
        <f t="shared" si="15"/>
        <v>5912433.7392374333</v>
      </c>
      <c r="R30" s="9">
        <f t="shared" si="15"/>
        <v>427862.34213540028</v>
      </c>
      <c r="S30" s="9">
        <f>+S266</f>
        <v>927655.86255691678</v>
      </c>
      <c r="T30" s="9">
        <f t="shared" si="15"/>
        <v>78.797413456669673</v>
      </c>
      <c r="U30" s="9">
        <f t="shared" si="15"/>
        <v>5330289.5512184342</v>
      </c>
      <c r="V30" s="9">
        <f t="shared" si="15"/>
        <v>269872.63476387464</v>
      </c>
      <c r="W30" s="27" t="str">
        <f t="shared" si="4"/>
        <v>OK</v>
      </c>
      <c r="X30" s="143">
        <f>+'II-I TOTAL COMPANY'!K30-Distribution!H30</f>
        <v>0</v>
      </c>
    </row>
    <row r="31" spans="1:24" x14ac:dyDescent="0.2">
      <c r="A31" s="3">
        <f t="shared" si="2"/>
        <v>15</v>
      </c>
      <c r="B31" s="3" t="s">
        <v>483</v>
      </c>
      <c r="C31" s="3"/>
      <c r="D31" s="3"/>
      <c r="E31" s="3"/>
      <c r="F31" s="11"/>
      <c r="G31" s="11"/>
      <c r="H31" s="9">
        <f t="shared" si="13"/>
        <v>-16416705.70964602</v>
      </c>
      <c r="I31" s="66">
        <v>0</v>
      </c>
      <c r="J31" s="66">
        <f t="shared" si="14"/>
        <v>-16416705.70964602</v>
      </c>
      <c r="K31" s="9">
        <f t="shared" ref="K31:V31" si="16">+K270</f>
        <v>-9449452.8185732476</v>
      </c>
      <c r="L31" s="9">
        <f t="shared" si="16"/>
        <v>-352463.1870157721</v>
      </c>
      <c r="M31" s="9">
        <f>SUM(N31:O31)</f>
        <v>-4843118.4818287902</v>
      </c>
      <c r="N31" s="9">
        <f t="shared" si="16"/>
        <v>-643964.50353377871</v>
      </c>
      <c r="O31" s="9">
        <f t="shared" si="16"/>
        <v>-4199153.9782950114</v>
      </c>
      <c r="P31" s="9">
        <f t="shared" si="7"/>
        <v>-1240918.0401867265</v>
      </c>
      <c r="Q31" s="9">
        <f t="shared" si="16"/>
        <v>-1008991.1826366467</v>
      </c>
      <c r="R31" s="9">
        <f t="shared" si="16"/>
        <v>-73108.72006416379</v>
      </c>
      <c r="S31" s="9">
        <f>+S270</f>
        <v>-158818.13748591597</v>
      </c>
      <c r="T31" s="9">
        <f t="shared" si="16"/>
        <v>-1601.2038522738294</v>
      </c>
      <c r="U31" s="9">
        <f t="shared" si="16"/>
        <v>-483317.18838823814</v>
      </c>
      <c r="V31" s="9">
        <f t="shared" si="16"/>
        <v>-45834.78980097358</v>
      </c>
      <c r="W31" s="27" t="str">
        <f t="shared" si="4"/>
        <v>OK</v>
      </c>
      <c r="X31" s="143">
        <f>+'II-I TOTAL COMPANY'!K31-Distribution!H31</f>
        <v>0</v>
      </c>
    </row>
    <row r="32" spans="1:24" x14ac:dyDescent="0.2">
      <c r="A32" s="3">
        <f t="shared" si="2"/>
        <v>16</v>
      </c>
      <c r="B32" s="3" t="s">
        <v>484</v>
      </c>
      <c r="C32" s="3"/>
      <c r="D32" s="3"/>
      <c r="E32" s="3"/>
      <c r="F32" s="11"/>
      <c r="G32" s="11"/>
      <c r="H32" s="9">
        <f t="shared" si="13"/>
        <v>57619309.015125193</v>
      </c>
      <c r="I32" s="66">
        <v>0</v>
      </c>
      <c r="J32" s="66">
        <f t="shared" si="14"/>
        <v>57619309.015125193</v>
      </c>
      <c r="K32" s="9">
        <f t="shared" ref="K32:V32" si="17">+K276</f>
        <v>33448550.23136121</v>
      </c>
      <c r="L32" s="9">
        <f t="shared" si="17"/>
        <v>1375625.7497172798</v>
      </c>
      <c r="M32" s="9">
        <f>SUM(N32:O32)</f>
        <v>16361027.524562679</v>
      </c>
      <c r="N32" s="9">
        <f t="shared" si="17"/>
        <v>2141733.4150102474</v>
      </c>
      <c r="O32" s="9">
        <f t="shared" si="17"/>
        <v>14219294.109552432</v>
      </c>
      <c r="P32" s="9">
        <f t="shared" si="7"/>
        <v>3633981.0810423177</v>
      </c>
      <c r="Q32" s="9">
        <f t="shared" si="17"/>
        <v>2956221.0258214655</v>
      </c>
      <c r="R32" s="9">
        <f t="shared" si="17"/>
        <v>213931.47183769115</v>
      </c>
      <c r="S32" s="9">
        <f>+S276</f>
        <v>463828.58338316117</v>
      </c>
      <c r="T32" s="9">
        <f t="shared" si="17"/>
        <v>39.398762119742308</v>
      </c>
      <c r="U32" s="9">
        <f t="shared" si="17"/>
        <v>2665148.5225880528</v>
      </c>
      <c r="V32" s="9">
        <f t="shared" si="17"/>
        <v>134936.5070915283</v>
      </c>
      <c r="W32" s="27" t="str">
        <f t="shared" si="4"/>
        <v>OK</v>
      </c>
      <c r="X32" s="143">
        <f>+'II-I TOTAL COMPANY'!K32-Distribution!H32</f>
        <v>0</v>
      </c>
    </row>
    <row r="33" spans="1:24" x14ac:dyDescent="0.2">
      <c r="A33" s="3">
        <f t="shared" si="2"/>
        <v>17</v>
      </c>
      <c r="B33" s="3" t="s">
        <v>485</v>
      </c>
      <c r="C33" s="3"/>
      <c r="D33" s="3"/>
      <c r="E33" s="3"/>
      <c r="F33" s="11"/>
      <c r="G33" s="11"/>
      <c r="H33" s="9">
        <f t="shared" si="13"/>
        <v>-259720593.7358754</v>
      </c>
      <c r="I33" s="66">
        <v>0</v>
      </c>
      <c r="J33" s="66">
        <f t="shared" si="14"/>
        <v>-259720593.7358754</v>
      </c>
      <c r="K33" s="9">
        <f t="shared" ref="K33:V33" si="18">+K253+K259+K292</f>
        <v>-151158869.75320485</v>
      </c>
      <c r="L33" s="9">
        <f t="shared" si="18"/>
        <v>-6348106.3271572003</v>
      </c>
      <c r="M33" s="9">
        <f>SUM(N33:O33)</f>
        <v>-73158727.955158234</v>
      </c>
      <c r="N33" s="9">
        <f t="shared" si="18"/>
        <v>-9539471.348040998</v>
      </c>
      <c r="O33" s="9">
        <f t="shared" si="18"/>
        <v>-63619256.607117228</v>
      </c>
      <c r="P33" s="9">
        <f t="shared" si="7"/>
        <v>-15379319.122607224</v>
      </c>
      <c r="Q33" s="9">
        <f t="shared" si="18"/>
        <v>-12511031.770360444</v>
      </c>
      <c r="R33" s="9">
        <f t="shared" si="18"/>
        <v>-905370.40493339149</v>
      </c>
      <c r="S33" s="9">
        <f>+S253+S259+S292</f>
        <v>-1962916.9473133895</v>
      </c>
      <c r="T33" s="9">
        <f t="shared" si="18"/>
        <v>0</v>
      </c>
      <c r="U33" s="9">
        <f t="shared" si="18"/>
        <v>-13104482.225595055</v>
      </c>
      <c r="V33" s="9">
        <f t="shared" si="18"/>
        <v>-571088.35215282929</v>
      </c>
      <c r="W33" s="27" t="str">
        <f t="shared" si="4"/>
        <v>OK</v>
      </c>
      <c r="X33" s="143">
        <f>+'II-I TOTAL COMPANY'!K33-Distribution!H33</f>
        <v>0</v>
      </c>
    </row>
    <row r="34" spans="1:24" x14ac:dyDescent="0.2">
      <c r="A34" s="3">
        <f t="shared" si="2"/>
        <v>18</v>
      </c>
      <c r="B34" s="3" t="s">
        <v>486</v>
      </c>
      <c r="C34" s="3"/>
      <c r="D34" s="3"/>
      <c r="E34" s="3"/>
      <c r="F34" s="11"/>
      <c r="G34" s="11"/>
      <c r="H34" s="9">
        <f t="shared" si="13"/>
        <v>-555902745.93647027</v>
      </c>
      <c r="I34" s="66">
        <v>0</v>
      </c>
      <c r="J34" s="66">
        <f t="shared" si="14"/>
        <v>-555902745.93647027</v>
      </c>
      <c r="K34" s="9">
        <f>+K306</f>
        <v>-323177469.79548579</v>
      </c>
      <c r="L34" s="9">
        <f t="shared" ref="L34:V34" si="19">+L306</f>
        <v>-13483536.624512535</v>
      </c>
      <c r="M34" s="9">
        <f t="shared" si="19"/>
        <v>-156938519.47307608</v>
      </c>
      <c r="N34" s="9">
        <f t="shared" si="19"/>
        <v>-20489356.762473699</v>
      </c>
      <c r="O34" s="9">
        <f t="shared" si="19"/>
        <v>-136449162.71060237</v>
      </c>
      <c r="P34" s="9">
        <f t="shared" si="19"/>
        <v>-33865385.832138233</v>
      </c>
      <c r="Q34" s="9">
        <f t="shared" si="19"/>
        <v>-27549393.74647481</v>
      </c>
      <c r="R34" s="9">
        <f t="shared" si="19"/>
        <v>-1993632.9976401899</v>
      </c>
      <c r="S34" s="9">
        <f t="shared" si="19"/>
        <v>-4322359.088023237</v>
      </c>
      <c r="T34" s="9">
        <f t="shared" si="19"/>
        <v>0</v>
      </c>
      <c r="U34" s="9">
        <f t="shared" si="19"/>
        <v>-27180293.013515867</v>
      </c>
      <c r="V34" s="9">
        <f t="shared" si="19"/>
        <v>-1257541.1977417183</v>
      </c>
      <c r="W34" s="27" t="str">
        <f t="shared" si="4"/>
        <v>OK</v>
      </c>
      <c r="X34" s="143">
        <f>+'II-I TOTAL COMPANY'!K34-Distribution!H34</f>
        <v>0</v>
      </c>
    </row>
    <row r="35" spans="1:24" x14ac:dyDescent="0.2">
      <c r="A35" s="3">
        <f t="shared" si="2"/>
        <v>19</v>
      </c>
      <c r="B35" s="3" t="s">
        <v>134</v>
      </c>
      <c r="C35" s="3"/>
      <c r="D35" s="3"/>
      <c r="E35" s="3"/>
      <c r="F35" s="11"/>
      <c r="G35" s="11"/>
      <c r="H35" s="9">
        <f t="shared" si="13"/>
        <v>-42130</v>
      </c>
      <c r="I35" s="66"/>
      <c r="J35" s="66">
        <f t="shared" si="14"/>
        <v>-42130</v>
      </c>
      <c r="K35" s="9">
        <f>K271</f>
        <v>-29633.467435702085</v>
      </c>
      <c r="L35" s="9">
        <f t="shared" ref="L35:V35" si="20">L271</f>
        <v>-3148.4596703897546</v>
      </c>
      <c r="M35" s="9">
        <f t="shared" si="20"/>
        <v>-2294.3141142166514</v>
      </c>
      <c r="N35" s="9">
        <f t="shared" si="20"/>
        <v>-18.250838014456644</v>
      </c>
      <c r="O35" s="9">
        <f t="shared" si="20"/>
        <v>-2276.0632762021946</v>
      </c>
      <c r="P35" s="9">
        <f t="shared" si="20"/>
        <v>-34.410434173090131</v>
      </c>
      <c r="Q35" s="9">
        <f t="shared" si="20"/>
        <v>-14.86049136941001</v>
      </c>
      <c r="R35" s="9">
        <f t="shared" si="20"/>
        <v>-17.427015465192977</v>
      </c>
      <c r="S35" s="9">
        <f t="shared" si="20"/>
        <v>-2.1229273384871439</v>
      </c>
      <c r="T35" s="9">
        <f t="shared" si="20"/>
        <v>-3.8973143676704289</v>
      </c>
      <c r="U35" s="9">
        <f t="shared" si="20"/>
        <v>-7014.8490069801319</v>
      </c>
      <c r="V35" s="9">
        <f t="shared" si="20"/>
        <v>-0.6020241706157573</v>
      </c>
      <c r="W35" s="27" t="str">
        <f t="shared" si="4"/>
        <v>OK</v>
      </c>
      <c r="X35" s="143">
        <f>+'II-I TOTAL COMPANY'!K35-Distribution!H35</f>
        <v>0</v>
      </c>
    </row>
    <row r="36" spans="1:24" x14ac:dyDescent="0.2">
      <c r="A36" s="3">
        <f t="shared" si="2"/>
        <v>20</v>
      </c>
      <c r="B36" s="3" t="s">
        <v>138</v>
      </c>
      <c r="C36" s="1"/>
      <c r="D36" s="3"/>
      <c r="E36" s="3"/>
      <c r="F36" s="9"/>
      <c r="G36" s="9"/>
      <c r="H36" s="9">
        <f t="shared" si="13"/>
        <v>4117863426.063674</v>
      </c>
      <c r="I36" s="66">
        <v>0</v>
      </c>
      <c r="J36" s="66">
        <f t="shared" si="14"/>
        <v>4117863426.063674</v>
      </c>
      <c r="K36" s="9">
        <f t="shared" ref="K36:V36" si="21">SUM(K28:K35)</f>
        <v>2382800423.3108191</v>
      </c>
      <c r="L36" s="9">
        <f t="shared" si="21"/>
        <v>92202132.07032454</v>
      </c>
      <c r="M36" s="9">
        <f>SUM(N36:O36)</f>
        <v>1199828836.9994137</v>
      </c>
      <c r="N36" s="9">
        <f t="shared" si="21"/>
        <v>158710523.06037369</v>
      </c>
      <c r="O36" s="9">
        <f t="shared" si="21"/>
        <v>1041118313.9390399</v>
      </c>
      <c r="P36" s="9">
        <f t="shared" si="7"/>
        <v>270438088.45460773</v>
      </c>
      <c r="Q36" s="9">
        <f t="shared" si="21"/>
        <v>220000122.76387754</v>
      </c>
      <c r="R36" s="9">
        <f t="shared" si="21"/>
        <v>15920554.165477728</v>
      </c>
      <c r="S36" s="9">
        <f>SUM(S28:S35)</f>
        <v>34517411.525252469</v>
      </c>
      <c r="T36" s="9">
        <f t="shared" si="21"/>
        <v>1609.1749737636198</v>
      </c>
      <c r="U36" s="9">
        <f t="shared" si="21"/>
        <v>162550262.17138764</v>
      </c>
      <c r="V36" s="9">
        <f t="shared" si="21"/>
        <v>10042073.882147167</v>
      </c>
      <c r="W36" s="27" t="str">
        <f t="shared" si="4"/>
        <v>OK</v>
      </c>
      <c r="X36" s="143">
        <f>+'II-I TOTAL COMPANY'!K36-Distribution!H36</f>
        <v>0</v>
      </c>
    </row>
    <row r="37" spans="1:24" x14ac:dyDescent="0.2">
      <c r="A37" s="3">
        <f t="shared" si="2"/>
        <v>21</v>
      </c>
      <c r="B37" s="3"/>
      <c r="C37" s="1"/>
      <c r="D37" s="3"/>
      <c r="E37" s="3"/>
      <c r="F37" s="3"/>
      <c r="G37" s="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27" t="str">
        <f t="shared" si="4"/>
        <v>OK</v>
      </c>
    </row>
    <row r="38" spans="1:24" x14ac:dyDescent="0.2">
      <c r="A38" s="3">
        <f t="shared" si="2"/>
        <v>22</v>
      </c>
      <c r="B38" s="3"/>
      <c r="C38" s="1"/>
      <c r="D38" s="3"/>
      <c r="E38" s="3"/>
      <c r="F38" s="3"/>
      <c r="G38" s="3"/>
      <c r="H38" s="8"/>
      <c r="I38" s="8"/>
      <c r="J38" s="6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 t="str">
        <f t="shared" si="4"/>
        <v>OK</v>
      </c>
    </row>
    <row r="39" spans="1:24" s="132" customFormat="1" x14ac:dyDescent="0.2">
      <c r="A39" s="3">
        <f t="shared" si="2"/>
        <v>23</v>
      </c>
      <c r="B39" s="3" t="s">
        <v>493</v>
      </c>
      <c r="C39" s="1"/>
      <c r="D39" s="3"/>
      <c r="E39" s="3"/>
      <c r="F39" s="11"/>
      <c r="G39" s="11"/>
      <c r="H39" s="9">
        <f>+I39+J39</f>
        <v>505557424.04040056</v>
      </c>
      <c r="I39" s="66">
        <v>0</v>
      </c>
      <c r="J39" s="66">
        <f t="shared" ref="J39:J52" si="22">+K39+L39+M39+P39+T39+U39+V39</f>
        <v>505557424.04040056</v>
      </c>
      <c r="K39" s="144">
        <f>+'[2]II-H-4.1 Functions'!$F$189</f>
        <v>274280246.75195694</v>
      </c>
      <c r="L39" s="144">
        <f>+'[2]II-H-4.1 Functions'!$F$191</f>
        <v>14156857.073246393</v>
      </c>
      <c r="M39" s="145">
        <f>SUM(N39:O39)</f>
        <v>153089024.09332699</v>
      </c>
      <c r="N39" s="144">
        <f>+'[2]II-H-4.1 Functions'!$F$194</f>
        <v>17640817.432595063</v>
      </c>
      <c r="O39" s="144">
        <f>+'[2]II-H-4.1 Functions'!$F$193</f>
        <v>135448206.66073191</v>
      </c>
      <c r="P39" s="145">
        <f>SUM(Q39:S39)</f>
        <v>34155357.463968903</v>
      </c>
      <c r="Q39" s="144">
        <f>+'[2]II-H-4.1 Functions'!$F$198</f>
        <v>25236654.615626764</v>
      </c>
      <c r="R39" s="144">
        <f>+'[2]II-H-4.1 Functions'!$F$197</f>
        <v>2304334.5364451767</v>
      </c>
      <c r="S39" s="144">
        <f>+'[2]II-H-4.1 Functions'!$F$199+'[2]II-H-4.1 Functions'!$F$200</f>
        <v>6614368.3118969649</v>
      </c>
      <c r="T39" s="144">
        <f>+'[2]II-H-4.1 Functions'!$F$203</f>
        <v>8293460.5320387157</v>
      </c>
      <c r="U39" s="144">
        <f>+'[2]II-H-4.1 Functions'!$F$205</f>
        <v>21582477.125862662</v>
      </c>
      <c r="V39" s="144">
        <v>1</v>
      </c>
      <c r="W39" s="27" t="str">
        <f t="shared" si="4"/>
        <v>OK</v>
      </c>
      <c r="X39" s="146">
        <f>+'II-I TOTAL COMPANY'!K39-Distribution!H39</f>
        <v>-0.99999994039535522</v>
      </c>
    </row>
    <row r="40" spans="1:24" x14ac:dyDescent="0.2">
      <c r="A40" s="3">
        <f t="shared" si="2"/>
        <v>24</v>
      </c>
      <c r="B40" s="3" t="s">
        <v>494</v>
      </c>
      <c r="C40" s="1"/>
      <c r="D40" s="3"/>
      <c r="E40" s="3"/>
      <c r="F40" s="11"/>
      <c r="G40" s="11"/>
      <c r="H40" s="9">
        <f>+I40+J40</f>
        <v>25990115.611000001</v>
      </c>
      <c r="I40" s="66">
        <v>0</v>
      </c>
      <c r="J40" s="66">
        <f t="shared" si="22"/>
        <v>25990115.611000001</v>
      </c>
      <c r="K40" s="13">
        <f t="shared" ref="K40:V40" si="23">+K664</f>
        <v>15127423.341131372</v>
      </c>
      <c r="L40" s="13">
        <f t="shared" si="23"/>
        <v>558594.36578333774</v>
      </c>
      <c r="M40" s="9">
        <f>SUM(N40:O40)</f>
        <v>7773135.941387957</v>
      </c>
      <c r="N40" s="13">
        <f t="shared" si="23"/>
        <v>1036465.2824708235</v>
      </c>
      <c r="O40" s="13">
        <f t="shared" si="23"/>
        <v>6736670.6589171337</v>
      </c>
      <c r="P40" s="9">
        <f>SUM(Q40:S40)</f>
        <v>1915541.8282882329</v>
      </c>
      <c r="Q40" s="13">
        <f t="shared" si="23"/>
        <v>1558245.6136604871</v>
      </c>
      <c r="R40" s="13">
        <f t="shared" si="23"/>
        <v>112816.11065872089</v>
      </c>
      <c r="S40" s="13">
        <f>+S664</f>
        <v>244480.10396902502</v>
      </c>
      <c r="T40" s="13">
        <f t="shared" si="23"/>
        <v>12.506463304480716</v>
      </c>
      <c r="U40" s="13">
        <f t="shared" si="23"/>
        <v>544278.97345679603</v>
      </c>
      <c r="V40" s="13">
        <f t="shared" si="23"/>
        <v>71128.654489000284</v>
      </c>
      <c r="W40" s="27" t="str">
        <f t="shared" si="4"/>
        <v>OK</v>
      </c>
      <c r="X40" s="143">
        <f>+'II-I TOTAL COMPANY'!K40-Distribution!H40</f>
        <v>0</v>
      </c>
    </row>
    <row r="41" spans="1:24" x14ac:dyDescent="0.2">
      <c r="A41" s="3">
        <f t="shared" si="2"/>
        <v>25</v>
      </c>
      <c r="B41" s="3" t="s">
        <v>495</v>
      </c>
      <c r="C41" s="1"/>
      <c r="D41" s="3"/>
      <c r="E41" s="3"/>
      <c r="F41" s="11"/>
      <c r="G41" s="11"/>
      <c r="H41" s="9">
        <f>+I41+J41</f>
        <v>0</v>
      </c>
      <c r="I41" s="66">
        <v>0</v>
      </c>
      <c r="J41" s="66">
        <f t="shared" si="22"/>
        <v>0</v>
      </c>
      <c r="K41" s="13">
        <f>K666</f>
        <v>0</v>
      </c>
      <c r="L41" s="13">
        <f>L666</f>
        <v>0</v>
      </c>
      <c r="M41" s="9">
        <f>SUM(N41:O41)</f>
        <v>0</v>
      </c>
      <c r="N41" s="13">
        <f>N666</f>
        <v>0</v>
      </c>
      <c r="O41" s="13">
        <f>O666</f>
        <v>0</v>
      </c>
      <c r="P41" s="9">
        <f>SUM(Q41:S41)</f>
        <v>0</v>
      </c>
      <c r="Q41" s="13">
        <f t="shared" ref="Q41:V41" si="24">Q666</f>
        <v>0</v>
      </c>
      <c r="R41" s="13">
        <f t="shared" si="24"/>
        <v>0</v>
      </c>
      <c r="S41" s="13">
        <f t="shared" si="24"/>
        <v>0</v>
      </c>
      <c r="T41" s="13">
        <f t="shared" si="24"/>
        <v>0</v>
      </c>
      <c r="U41" s="13">
        <f t="shared" si="24"/>
        <v>0</v>
      </c>
      <c r="V41" s="13">
        <f t="shared" si="24"/>
        <v>0</v>
      </c>
      <c r="W41" s="27" t="str">
        <f t="shared" si="4"/>
        <v>OK</v>
      </c>
      <c r="X41" s="143">
        <f>+'II-I TOTAL COMPANY'!K41-Distribution!H41</f>
        <v>0</v>
      </c>
    </row>
    <row r="42" spans="1:24" x14ac:dyDescent="0.2">
      <c r="A42" s="3">
        <f t="shared" si="2"/>
        <v>26</v>
      </c>
      <c r="B42" s="3" t="s">
        <v>517</v>
      </c>
      <c r="C42" s="1"/>
      <c r="D42" s="3"/>
      <c r="E42" s="3"/>
      <c r="F42" s="11"/>
      <c r="G42" s="11"/>
      <c r="H42" s="9">
        <f>+I42+J42</f>
        <v>0</v>
      </c>
      <c r="I42" s="66">
        <v>0</v>
      </c>
      <c r="J42" s="66">
        <f t="shared" si="22"/>
        <v>0</v>
      </c>
      <c r="K42" s="13">
        <v>0</v>
      </c>
      <c r="L42" s="13">
        <v>0</v>
      </c>
      <c r="M42" s="9">
        <f>SUM(N42:O42)</f>
        <v>0</v>
      </c>
      <c r="N42" s="13">
        <v>0</v>
      </c>
      <c r="O42" s="13">
        <v>0</v>
      </c>
      <c r="P42" s="9">
        <f>SUM(Q42:S42)</f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27" t="str">
        <f t="shared" si="4"/>
        <v>OK</v>
      </c>
      <c r="X42" s="143">
        <f>+'II-I TOTAL COMPANY'!K42-Distribution!H42</f>
        <v>0</v>
      </c>
    </row>
    <row r="43" spans="1:24" x14ac:dyDescent="0.2">
      <c r="A43" s="3">
        <f t="shared" si="2"/>
        <v>27</v>
      </c>
      <c r="B43" s="3" t="s">
        <v>496</v>
      </c>
      <c r="C43" s="1"/>
      <c r="D43" s="3"/>
      <c r="E43" s="3"/>
      <c r="F43" s="11"/>
      <c r="G43" s="11"/>
      <c r="H43" s="9">
        <f>+I43+J43</f>
        <v>531547539.65140063</v>
      </c>
      <c r="I43" s="66">
        <v>0</v>
      </c>
      <c r="J43" s="66">
        <f t="shared" si="22"/>
        <v>531547539.65140063</v>
      </c>
      <c r="K43" s="13">
        <f t="shared" ref="K43:V43" si="25">SUM(K39:K42)</f>
        <v>289407670.09308833</v>
      </c>
      <c r="L43" s="13">
        <f t="shared" si="25"/>
        <v>14715451.439029731</v>
      </c>
      <c r="M43" s="9">
        <f>SUM(N43:O43)</f>
        <v>160862160.03471494</v>
      </c>
      <c r="N43" s="13">
        <f t="shared" si="25"/>
        <v>18677282.715065885</v>
      </c>
      <c r="O43" s="13">
        <f t="shared" si="25"/>
        <v>142184877.31964904</v>
      </c>
      <c r="P43" s="9">
        <f>SUM(Q43:S43)</f>
        <v>36070899.292257138</v>
      </c>
      <c r="Q43" s="13">
        <f t="shared" si="25"/>
        <v>26794900.229287252</v>
      </c>
      <c r="R43" s="13">
        <f t="shared" si="25"/>
        <v>2417150.6471038978</v>
      </c>
      <c r="S43" s="13">
        <f>SUM(S39:S42)</f>
        <v>6858848.4158659903</v>
      </c>
      <c r="T43" s="13">
        <f t="shared" si="25"/>
        <v>8293473.0385020198</v>
      </c>
      <c r="U43" s="13">
        <f t="shared" si="25"/>
        <v>22126756.099319458</v>
      </c>
      <c r="V43" s="13">
        <f t="shared" si="25"/>
        <v>71129.654489000284</v>
      </c>
      <c r="W43" s="27" t="str">
        <f t="shared" si="4"/>
        <v>OK</v>
      </c>
      <c r="X43" s="143">
        <f>+'II-I TOTAL COMPANY'!K43-Distribution!H43</f>
        <v>-1</v>
      </c>
    </row>
    <row r="44" spans="1:24" x14ac:dyDescent="0.2">
      <c r="A44" s="3">
        <f t="shared" si="2"/>
        <v>28</v>
      </c>
      <c r="B44" s="3"/>
      <c r="C44" s="1"/>
      <c r="D44" s="3"/>
      <c r="E44" s="3"/>
      <c r="F44" s="3"/>
      <c r="G44" s="3"/>
      <c r="H44" s="6"/>
      <c r="I44" s="6"/>
      <c r="J44" s="6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27" t="str">
        <f t="shared" si="4"/>
        <v>OK</v>
      </c>
      <c r="X44" s="143">
        <f>+'II-I TOTAL COMPANY'!K44-Distribution!H44</f>
        <v>0</v>
      </c>
    </row>
    <row r="45" spans="1:24" x14ac:dyDescent="0.2">
      <c r="A45" s="3">
        <f t="shared" si="2"/>
        <v>29</v>
      </c>
      <c r="B45" s="3" t="s">
        <v>16</v>
      </c>
      <c r="C45" s="1"/>
      <c r="D45" s="3"/>
      <c r="E45" s="3"/>
      <c r="F45" s="11"/>
      <c r="G45" s="11"/>
      <c r="H45" s="9">
        <f t="shared" ref="H45:H50" si="26">+I45+J45</f>
        <v>160396763.47701162</v>
      </c>
      <c r="I45" s="66">
        <v>0</v>
      </c>
      <c r="J45" s="66">
        <f t="shared" si="22"/>
        <v>160396763.47701162</v>
      </c>
      <c r="K45" s="13">
        <f t="shared" ref="K45:V45" si="27">+K429</f>
        <v>92324347.864584744</v>
      </c>
      <c r="L45" s="13">
        <f t="shared" si="27"/>
        <v>3443684.4664215827</v>
      </c>
      <c r="M45" s="9">
        <f t="shared" ref="M45:M52" si="28">SUM(N45:O45)</f>
        <v>47318904.496448204</v>
      </c>
      <c r="N45" s="13">
        <f t="shared" si="27"/>
        <v>6291750.8535350272</v>
      </c>
      <c r="O45" s="13">
        <f t="shared" si="27"/>
        <v>41027153.642913178</v>
      </c>
      <c r="P45" s="9">
        <f t="shared" ref="P45:P52" si="29">SUM(Q45:S45)</f>
        <v>12124188.671374973</v>
      </c>
      <c r="Q45" s="13">
        <f t="shared" si="27"/>
        <v>9858184.8839909565</v>
      </c>
      <c r="R45" s="13">
        <f t="shared" si="27"/>
        <v>714296.90509397443</v>
      </c>
      <c r="S45" s="13">
        <f>+S429</f>
        <v>1551706.8822900429</v>
      </c>
      <c r="T45" s="13">
        <f t="shared" si="27"/>
        <v>15644.302828717944</v>
      </c>
      <c r="U45" s="13">
        <f t="shared" si="27"/>
        <v>4722172.2872654237</v>
      </c>
      <c r="V45" s="13">
        <f t="shared" si="27"/>
        <v>447821.38808796508</v>
      </c>
      <c r="W45" s="27" t="str">
        <f t="shared" si="4"/>
        <v>OK</v>
      </c>
      <c r="X45" s="143">
        <f>+'II-I TOTAL COMPANY'!K45-Distribution!H45</f>
        <v>-26.200000017881393</v>
      </c>
    </row>
    <row r="46" spans="1:24" x14ac:dyDescent="0.2">
      <c r="A46" s="3">
        <f t="shared" si="2"/>
        <v>30</v>
      </c>
      <c r="B46" s="3" t="s">
        <v>18</v>
      </c>
      <c r="C46" s="1"/>
      <c r="D46" s="3"/>
      <c r="E46" s="3"/>
      <c r="F46" s="11"/>
      <c r="G46" s="11"/>
      <c r="H46" s="9">
        <f t="shared" si="26"/>
        <v>208304527.77060384</v>
      </c>
      <c r="I46" s="66">
        <v>0</v>
      </c>
      <c r="J46" s="66">
        <f t="shared" si="22"/>
        <v>208304527.77060384</v>
      </c>
      <c r="K46" s="13">
        <f t="shared" ref="K46:V46" si="30">+K597</f>
        <v>120682288.73989421</v>
      </c>
      <c r="L46" s="13">
        <f t="shared" si="30"/>
        <v>4657071.7486916305</v>
      </c>
      <c r="M46" s="9">
        <f t="shared" si="28"/>
        <v>60843978.160590403</v>
      </c>
      <c r="N46" s="13">
        <f t="shared" si="30"/>
        <v>8051790.0753271077</v>
      </c>
      <c r="O46" s="13">
        <f t="shared" si="30"/>
        <v>52792188.085263297</v>
      </c>
      <c r="P46" s="9">
        <f t="shared" si="29"/>
        <v>13452438.451683411</v>
      </c>
      <c r="Q46" s="13">
        <f t="shared" si="30"/>
        <v>10943444.374169096</v>
      </c>
      <c r="R46" s="13">
        <f t="shared" si="30"/>
        <v>791944.90811476612</v>
      </c>
      <c r="S46" s="13">
        <f>+S597</f>
        <v>1717049.1693995476</v>
      </c>
      <c r="T46" s="13">
        <f t="shared" si="30"/>
        <v>245.76563071203265</v>
      </c>
      <c r="U46" s="13">
        <f t="shared" si="30"/>
        <v>8169006.0107717309</v>
      </c>
      <c r="V46" s="13">
        <f t="shared" si="30"/>
        <v>499498.89334175381</v>
      </c>
      <c r="W46" s="27" t="str">
        <f t="shared" si="4"/>
        <v>OK</v>
      </c>
      <c r="X46" s="143">
        <f>+'II-I TOTAL COMPANY'!K46-Distribution!H46</f>
        <v>0</v>
      </c>
    </row>
    <row r="47" spans="1:24" x14ac:dyDescent="0.2">
      <c r="A47" s="3">
        <f t="shared" si="2"/>
        <v>31</v>
      </c>
      <c r="B47" s="3" t="s">
        <v>19</v>
      </c>
      <c r="C47" s="1"/>
      <c r="D47" s="3"/>
      <c r="E47" s="3"/>
      <c r="F47" s="11"/>
      <c r="G47" s="11"/>
      <c r="H47" s="9">
        <f t="shared" ca="1" si="26"/>
        <v>111190107.17414142</v>
      </c>
      <c r="I47" s="66">
        <v>0</v>
      </c>
      <c r="J47" s="66">
        <f t="shared" ca="1" si="22"/>
        <v>111190107.17414142</v>
      </c>
      <c r="K47" s="13">
        <f t="shared" ref="K47:V47" ca="1" si="31">+K611</f>
        <v>57713869.662337489</v>
      </c>
      <c r="L47" s="13">
        <f t="shared" ca="1" si="31"/>
        <v>2324144.5473639998</v>
      </c>
      <c r="M47" s="9">
        <f t="shared" ca="1" si="28"/>
        <v>34823760.41764994</v>
      </c>
      <c r="N47" s="13">
        <f t="shared" ca="1" si="31"/>
        <v>4680519.5014808411</v>
      </c>
      <c r="O47" s="13">
        <f t="shared" ca="1" si="31"/>
        <v>30143240.9161691</v>
      </c>
      <c r="P47" s="9">
        <f t="shared" ca="1" si="29"/>
        <v>8471736.5020369124</v>
      </c>
      <c r="Q47" s="13">
        <f t="shared" ca="1" si="31"/>
        <v>7403255.4256705921</v>
      </c>
      <c r="R47" s="13">
        <f t="shared" ca="1" si="31"/>
        <v>447034.2095022439</v>
      </c>
      <c r="S47" s="13">
        <f ca="1">+S611</f>
        <v>621446.8668640753</v>
      </c>
      <c r="T47" s="13">
        <f t="shared" ca="1" si="31"/>
        <v>4870314.8569468874</v>
      </c>
      <c r="U47" s="13">
        <f t="shared" ca="1" si="31"/>
        <v>2840972.0182579504</v>
      </c>
      <c r="V47" s="13">
        <f t="shared" ca="1" si="31"/>
        <v>145309.16954823618</v>
      </c>
      <c r="W47" s="27" t="str">
        <f t="shared" ca="1" si="4"/>
        <v>OK</v>
      </c>
      <c r="X47" s="143">
        <f ca="1">+'II-I TOTAL COMPANY'!K47-Distribution!H47</f>
        <v>0</v>
      </c>
    </row>
    <row r="48" spans="1:24" s="132" customFormat="1" x14ac:dyDescent="0.2">
      <c r="A48" s="3">
        <f t="shared" si="2"/>
        <v>32</v>
      </c>
      <c r="B48" s="3" t="s">
        <v>488</v>
      </c>
      <c r="C48" s="1"/>
      <c r="D48" s="3"/>
      <c r="E48" s="3"/>
      <c r="F48" s="11"/>
      <c r="G48" s="11"/>
      <c r="H48" s="9">
        <f t="shared" ca="1" si="26"/>
        <v>-12574050.21974463</v>
      </c>
      <c r="I48" s="66">
        <v>0</v>
      </c>
      <c r="J48" s="66">
        <f t="shared" ca="1" si="22"/>
        <v>-12574050.21974463</v>
      </c>
      <c r="K48" s="13">
        <f ca="1">(((+K52+SUM(K626:K634))*K638)+SUM(K643:K646))</f>
        <v>-9636515.2805282809</v>
      </c>
      <c r="L48" s="13">
        <f ca="1">(((+L52+SUM(L626:L634))*L638)+SUM(L643:L646))</f>
        <v>371427.63965481776</v>
      </c>
      <c r="M48" s="9">
        <f ca="1">SUM(N48:O48)</f>
        <v>-3045770.774679705</v>
      </c>
      <c r="N48" s="13">
        <f t="shared" ref="N48:V48" ca="1" si="32">(((+N52+SUM(N626:N634))*N638)+SUM(N643:N646))</f>
        <v>-970922.08967733791</v>
      </c>
      <c r="O48" s="13">
        <f t="shared" ca="1" si="32"/>
        <v>-2074848.685002367</v>
      </c>
      <c r="P48" s="9">
        <f t="shared" ca="1" si="29"/>
        <v>-1099155.3154473715</v>
      </c>
      <c r="Q48" s="13">
        <f t="shared" ca="1" si="32"/>
        <v>-1535772.8027824967</v>
      </c>
      <c r="R48" s="13">
        <f t="shared" ca="1" si="32"/>
        <v>7703.2059361518277</v>
      </c>
      <c r="S48" s="13">
        <f t="shared" ca="1" si="32"/>
        <v>428914.28139897337</v>
      </c>
      <c r="T48" s="13">
        <f t="shared" ca="1" si="32"/>
        <v>715518.72469303757</v>
      </c>
      <c r="U48" s="13">
        <f t="shared" ca="1" si="32"/>
        <v>391545.91625051328</v>
      </c>
      <c r="V48" s="13">
        <f t="shared" ca="1" si="32"/>
        <v>-271101.12968764087</v>
      </c>
      <c r="W48" s="27" t="str">
        <f t="shared" ref="W48" ca="1" si="33">IF((+K48+L48+M48+P48+T48+U48+V48)-H48=0,"OK",(+K48+L48+M48+P48+T48+U48+V48)-H48)</f>
        <v>OK</v>
      </c>
      <c r="X48" s="143">
        <f ca="1">+'II-I TOTAL COMPANY'!K48-Distribution!H48</f>
        <v>5.2920000124722719</v>
      </c>
    </row>
    <row r="49" spans="1:24" x14ac:dyDescent="0.2">
      <c r="A49" s="3">
        <f t="shared" si="2"/>
        <v>33</v>
      </c>
      <c r="B49" s="3" t="s">
        <v>518</v>
      </c>
      <c r="C49" s="1"/>
      <c r="D49" s="3"/>
      <c r="E49" s="3"/>
      <c r="F49" s="11"/>
      <c r="G49" s="11"/>
      <c r="H49" s="9">
        <f t="shared" si="26"/>
        <v>0</v>
      </c>
      <c r="I49" s="66">
        <v>0</v>
      </c>
      <c r="J49" s="66">
        <f t="shared" si="22"/>
        <v>0</v>
      </c>
      <c r="K49" s="13">
        <f t="shared" ref="K49:V49" si="34">+K654</f>
        <v>0</v>
      </c>
      <c r="L49" s="13">
        <f t="shared" si="34"/>
        <v>0</v>
      </c>
      <c r="M49" s="9">
        <f t="shared" si="28"/>
        <v>0</v>
      </c>
      <c r="N49" s="13">
        <f t="shared" si="34"/>
        <v>0</v>
      </c>
      <c r="O49" s="13">
        <f t="shared" si="34"/>
        <v>0</v>
      </c>
      <c r="P49" s="9">
        <f t="shared" si="29"/>
        <v>0</v>
      </c>
      <c r="Q49" s="13">
        <f t="shared" si="34"/>
        <v>0</v>
      </c>
      <c r="R49" s="13">
        <f t="shared" si="34"/>
        <v>0</v>
      </c>
      <c r="S49" s="13">
        <f>+S654</f>
        <v>0</v>
      </c>
      <c r="T49" s="13">
        <f t="shared" si="34"/>
        <v>0</v>
      </c>
      <c r="U49" s="13">
        <f t="shared" si="34"/>
        <v>0</v>
      </c>
      <c r="V49" s="13">
        <f t="shared" si="34"/>
        <v>0</v>
      </c>
      <c r="W49" s="27" t="str">
        <f t="shared" si="4"/>
        <v>OK</v>
      </c>
      <c r="X49" s="143">
        <f>+'II-I TOTAL COMPANY'!K49-Distribution!H49</f>
        <v>0</v>
      </c>
    </row>
    <row r="50" spans="1:24" x14ac:dyDescent="0.2">
      <c r="A50" s="3">
        <f t="shared" si="2"/>
        <v>34</v>
      </c>
      <c r="B50" s="3" t="s">
        <v>497</v>
      </c>
      <c r="C50" s="1"/>
      <c r="D50" s="3"/>
      <c r="E50" s="3"/>
      <c r="F50" s="11"/>
      <c r="G50" s="11"/>
      <c r="H50" s="9">
        <f t="shared" ca="1" si="26"/>
        <v>467317348.20201218</v>
      </c>
      <c r="I50" s="66">
        <v>0</v>
      </c>
      <c r="J50" s="66">
        <f t="shared" ca="1" si="22"/>
        <v>467317348.20201218</v>
      </c>
      <c r="K50" s="13">
        <f t="shared" ref="K50:V50" ca="1" si="35">SUM(K45:K49)</f>
        <v>261083990.98628816</v>
      </c>
      <c r="L50" s="13">
        <f t="shared" ca="1" si="35"/>
        <v>10796328.402132031</v>
      </c>
      <c r="M50" s="9">
        <f t="shared" ca="1" si="28"/>
        <v>139940872.30000883</v>
      </c>
      <c r="N50" s="13">
        <f t="shared" ca="1" si="35"/>
        <v>18053138.340665638</v>
      </c>
      <c r="O50" s="13">
        <f t="shared" ca="1" si="35"/>
        <v>121887733.95934321</v>
      </c>
      <c r="P50" s="9">
        <f t="shared" ca="1" si="29"/>
        <v>32949208.309647925</v>
      </c>
      <c r="Q50" s="13">
        <f t="shared" ca="1" si="35"/>
        <v>26669111.88104815</v>
      </c>
      <c r="R50" s="13">
        <f t="shared" ca="1" si="35"/>
        <v>1960979.2286471364</v>
      </c>
      <c r="S50" s="13">
        <f ca="1">SUM(S45:S49)</f>
        <v>4319117.1999526387</v>
      </c>
      <c r="T50" s="13">
        <f t="shared" ca="1" si="35"/>
        <v>5601723.6500993548</v>
      </c>
      <c r="U50" s="13">
        <f t="shared" ca="1" si="35"/>
        <v>16123696.23254562</v>
      </c>
      <c r="V50" s="13">
        <f t="shared" ca="1" si="35"/>
        <v>821528.3212903142</v>
      </c>
      <c r="W50" s="27" t="str">
        <f t="shared" ca="1" si="4"/>
        <v>OK</v>
      </c>
      <c r="X50" s="143">
        <f ca="1">+'II-I TOTAL COMPANY'!K50-Distribution!H50</f>
        <v>-20.907999992370605</v>
      </c>
    </row>
    <row r="51" spans="1:24" x14ac:dyDescent="0.2">
      <c r="A51" s="3">
        <f t="shared" si="2"/>
        <v>35</v>
      </c>
      <c r="B51" s="3"/>
      <c r="C51" s="1"/>
      <c r="D51" s="3"/>
      <c r="E51" s="3"/>
      <c r="F51" s="3"/>
      <c r="G51" s="3"/>
      <c r="H51" s="6"/>
      <c r="I51" s="6"/>
      <c r="J51" s="6"/>
      <c r="K51" s="13">
        <f t="shared" ref="K51:V51" si="36">+K650</f>
        <v>0</v>
      </c>
      <c r="L51" s="13">
        <f t="shared" si="36"/>
        <v>0</v>
      </c>
      <c r="M51" s="9">
        <f t="shared" si="28"/>
        <v>0</v>
      </c>
      <c r="N51" s="13">
        <f t="shared" si="36"/>
        <v>0</v>
      </c>
      <c r="O51" s="13">
        <f t="shared" si="36"/>
        <v>0</v>
      </c>
      <c r="P51" s="9">
        <f t="shared" si="29"/>
        <v>0</v>
      </c>
      <c r="Q51" s="13">
        <f t="shared" si="36"/>
        <v>0</v>
      </c>
      <c r="R51" s="13">
        <f t="shared" si="36"/>
        <v>0</v>
      </c>
      <c r="S51" s="13">
        <f>+S650</f>
        <v>0</v>
      </c>
      <c r="T51" s="13">
        <f t="shared" si="36"/>
        <v>0</v>
      </c>
      <c r="U51" s="13">
        <f t="shared" si="36"/>
        <v>0</v>
      </c>
      <c r="V51" s="13">
        <f t="shared" si="36"/>
        <v>0</v>
      </c>
      <c r="W51" s="27" t="str">
        <f t="shared" si="4"/>
        <v>OK</v>
      </c>
      <c r="X51" s="143">
        <f>+'II-I TOTAL COMPANY'!K51-Distribution!H51</f>
        <v>0</v>
      </c>
    </row>
    <row r="52" spans="1:24" x14ac:dyDescent="0.2">
      <c r="A52" s="3">
        <f t="shared" si="2"/>
        <v>36</v>
      </c>
      <c r="B52" s="3" t="s">
        <v>498</v>
      </c>
      <c r="C52" s="1"/>
      <c r="D52" s="3"/>
      <c r="E52" s="3"/>
      <c r="F52" s="13"/>
      <c r="G52" s="13"/>
      <c r="H52" s="9">
        <f ca="1">+I52+J52</f>
        <v>64230191.449388348</v>
      </c>
      <c r="I52" s="66">
        <v>0</v>
      </c>
      <c r="J52" s="66">
        <f t="shared" ca="1" si="22"/>
        <v>64230191.449388348</v>
      </c>
      <c r="K52" s="13">
        <f ca="1">+K43-K50</f>
        <v>28323679.106800169</v>
      </c>
      <c r="L52" s="13">
        <f ca="1">+L43-L50</f>
        <v>3919123.0368977003</v>
      </c>
      <c r="M52" s="9">
        <f t="shared" ca="1" si="28"/>
        <v>20921287.734706078</v>
      </c>
      <c r="N52" s="13">
        <f ca="1">+N43-N50</f>
        <v>624144.37440024689</v>
      </c>
      <c r="O52" s="13">
        <f ca="1">+O43-O50</f>
        <v>20297143.360305831</v>
      </c>
      <c r="P52" s="9">
        <f t="shared" ca="1" si="29"/>
        <v>3121690.9826092143</v>
      </c>
      <c r="Q52" s="13">
        <f t="shared" ref="Q52:V52" ca="1" si="37">+Q43-Q50</f>
        <v>125788.34823910147</v>
      </c>
      <c r="R52" s="13">
        <f t="shared" ca="1" si="37"/>
        <v>456171.4184567614</v>
      </c>
      <c r="S52" s="13">
        <f t="shared" ca="1" si="37"/>
        <v>2539731.2159133516</v>
      </c>
      <c r="T52" s="13">
        <f t="shared" ca="1" si="37"/>
        <v>2691749.388402665</v>
      </c>
      <c r="U52" s="13">
        <f t="shared" ca="1" si="37"/>
        <v>6003059.8667738382</v>
      </c>
      <c r="V52" s="13">
        <f t="shared" ca="1" si="37"/>
        <v>-750398.66680131387</v>
      </c>
      <c r="W52" s="27" t="str">
        <f t="shared" ca="1" si="4"/>
        <v>OK</v>
      </c>
      <c r="X52" s="143">
        <f ca="1">+'II-I TOTAL COMPANY'!K52-Distribution!H52</f>
        <v>19.908000089228153</v>
      </c>
    </row>
    <row r="53" spans="1:24" x14ac:dyDescent="0.2">
      <c r="A53" s="3">
        <f t="shared" si="2"/>
        <v>37</v>
      </c>
      <c r="B53" s="3" t="s">
        <v>499</v>
      </c>
      <c r="C53" s="1"/>
      <c r="D53" s="3"/>
      <c r="E53" s="3"/>
      <c r="F53" s="65"/>
      <c r="G53" s="65"/>
      <c r="H53" s="65">
        <f ca="1">+H52/H36</f>
        <v>1.5597941166005821E-2</v>
      </c>
      <c r="I53" s="65"/>
      <c r="J53" s="65">
        <f ca="1">+J52/J36</f>
        <v>1.5597941166005821E-2</v>
      </c>
      <c r="K53" s="65">
        <f ca="1">+K52/K36</f>
        <v>1.188671901755221E-2</v>
      </c>
      <c r="L53" s="65">
        <f t="shared" ref="L53:U53" ca="1" si="38">+L52/L36</f>
        <v>4.2505774529253852E-2</v>
      </c>
      <c r="M53" s="65">
        <f t="shared" ca="1" si="38"/>
        <v>1.7436893571442225E-2</v>
      </c>
      <c r="N53" s="65">
        <f t="shared" ca="1" si="38"/>
        <v>3.9325960394120908E-3</v>
      </c>
      <c r="O53" s="65">
        <f t="shared" ca="1" si="38"/>
        <v>1.9495520430826155E-2</v>
      </c>
      <c r="P53" s="65">
        <f t="shared" ca="1" si="38"/>
        <v>1.154308921664036E-2</v>
      </c>
      <c r="Q53" s="65">
        <f t="shared" ca="1" si="38"/>
        <v>5.717649002137513E-4</v>
      </c>
      <c r="R53" s="65">
        <f t="shared" ca="1" si="38"/>
        <v>2.8652986178453986E-2</v>
      </c>
      <c r="S53" s="65">
        <f t="shared" ca="1" si="38"/>
        <v>7.3578263945293779E-2</v>
      </c>
      <c r="T53" s="65">
        <f t="shared" ca="1" si="38"/>
        <v>1672.7512124471245</v>
      </c>
      <c r="U53" s="65">
        <f t="shared" ca="1" si="38"/>
        <v>3.6930484064334572E-2</v>
      </c>
      <c r="V53" s="65"/>
      <c r="W53" s="27"/>
      <c r="X53" s="143">
        <f ca="1">+'II-I TOTAL COMPANY'!K53-Distribution!H53</f>
        <v>4.8345459770920973E-9</v>
      </c>
    </row>
    <row r="54" spans="1:24" x14ac:dyDescent="0.2">
      <c r="A54" s="3"/>
      <c r="B54" s="3"/>
      <c r="C54" s="1"/>
      <c r="D54" s="3"/>
      <c r="E54" s="3"/>
      <c r="F54" s="3"/>
      <c r="G54" s="3"/>
      <c r="H54" s="6"/>
      <c r="I54" s="6"/>
      <c r="J54" s="6"/>
      <c r="K54" s="13"/>
      <c r="L54" s="13"/>
      <c r="M54" s="9"/>
      <c r="N54" s="13"/>
      <c r="O54" s="13"/>
      <c r="P54" s="9"/>
      <c r="Q54" s="13"/>
      <c r="R54" s="13"/>
      <c r="S54" s="13"/>
      <c r="T54" s="13"/>
      <c r="U54" s="13"/>
      <c r="V54" s="13"/>
      <c r="W54" s="27" t="str">
        <f t="shared" si="4"/>
        <v>OK</v>
      </c>
      <c r="X54" s="143">
        <f>+'II-I TOTAL COMPANY'!K54-Distribution!H54</f>
        <v>0</v>
      </c>
    </row>
    <row r="55" spans="1:24" x14ac:dyDescent="0.2">
      <c r="A55" s="3"/>
      <c r="B55" s="64" t="s">
        <v>500</v>
      </c>
      <c r="C55" s="1"/>
      <c r="D55" s="3"/>
      <c r="E55" s="3"/>
      <c r="F55" s="3"/>
      <c r="G55" s="3"/>
      <c r="H55" s="6"/>
      <c r="I55" s="6"/>
      <c r="J55" s="6"/>
      <c r="K55" s="13"/>
      <c r="L55" s="13"/>
      <c r="M55" s="9"/>
      <c r="N55" s="13"/>
      <c r="O55" s="13"/>
      <c r="P55" s="9"/>
      <c r="Q55" s="13"/>
      <c r="R55" s="13"/>
      <c r="S55" s="13"/>
      <c r="T55" s="13"/>
      <c r="U55" s="13"/>
      <c r="V55" s="13"/>
      <c r="W55" s="27" t="str">
        <f t="shared" si="4"/>
        <v>OK</v>
      </c>
      <c r="X55" s="143">
        <f>+'II-I TOTAL COMPANY'!K55-Distribution!H55</f>
        <v>0</v>
      </c>
    </row>
    <row r="56" spans="1:24" x14ac:dyDescent="0.2">
      <c r="A56" s="3"/>
      <c r="B56" s="3"/>
      <c r="C56" s="1"/>
      <c r="D56" s="3"/>
      <c r="E56" s="3"/>
      <c r="F56" s="3"/>
      <c r="G56" s="3"/>
      <c r="H56" s="6"/>
      <c r="I56" s="6"/>
      <c r="J56" s="6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27" t="str">
        <f t="shared" si="4"/>
        <v>OK</v>
      </c>
      <c r="X56" s="143">
        <f>+'II-I TOTAL COMPANY'!K56-Distribution!H56</f>
        <v>0</v>
      </c>
    </row>
    <row r="57" spans="1:24" x14ac:dyDescent="0.2">
      <c r="A57" s="3">
        <v>1</v>
      </c>
      <c r="B57" s="3" t="s">
        <v>501</v>
      </c>
      <c r="C57" s="1"/>
      <c r="D57" s="3"/>
      <c r="E57" s="3"/>
      <c r="F57" s="11"/>
      <c r="G57" s="11"/>
      <c r="H57" s="9">
        <f>+I57+J57</f>
        <v>4117863426.063674</v>
      </c>
      <c r="I57" s="66">
        <v>0</v>
      </c>
      <c r="J57" s="66">
        <f>+K57+L57+M57+P57+T57+U57+V57</f>
        <v>4117863426.063674</v>
      </c>
      <c r="K57" s="13">
        <f t="shared" ref="K57:V57" si="39">+K36</f>
        <v>2382800423.3108191</v>
      </c>
      <c r="L57" s="13">
        <f t="shared" si="39"/>
        <v>92202132.07032454</v>
      </c>
      <c r="M57" s="9">
        <f>SUM(N57:O57)</f>
        <v>1199828836.9994137</v>
      </c>
      <c r="N57" s="13">
        <f t="shared" si="39"/>
        <v>158710523.06037369</v>
      </c>
      <c r="O57" s="13">
        <f t="shared" si="39"/>
        <v>1041118313.9390399</v>
      </c>
      <c r="P57" s="9">
        <f t="shared" ref="P57:P71" si="40">SUM(Q57:S57)</f>
        <v>270438088.45460773</v>
      </c>
      <c r="Q57" s="13">
        <f t="shared" si="39"/>
        <v>220000122.76387754</v>
      </c>
      <c r="R57" s="13">
        <f t="shared" si="39"/>
        <v>15920554.165477728</v>
      </c>
      <c r="S57" s="13">
        <f>+S36</f>
        <v>34517411.525252469</v>
      </c>
      <c r="T57" s="13">
        <f t="shared" si="39"/>
        <v>1609.1749737636198</v>
      </c>
      <c r="U57" s="13">
        <f t="shared" si="39"/>
        <v>162550262.17138764</v>
      </c>
      <c r="V57" s="13">
        <f t="shared" si="39"/>
        <v>10042073.882147167</v>
      </c>
      <c r="W57" s="27" t="str">
        <f t="shared" si="4"/>
        <v>OK</v>
      </c>
      <c r="X57" s="143">
        <f>+'II-I TOTAL COMPANY'!K57-Distribution!H57</f>
        <v>0</v>
      </c>
    </row>
    <row r="58" spans="1:24" x14ac:dyDescent="0.2">
      <c r="A58" s="3">
        <f>+A57+1</f>
        <v>2</v>
      </c>
      <c r="B58" s="3" t="s">
        <v>502</v>
      </c>
      <c r="C58" s="1"/>
      <c r="D58" s="3"/>
      <c r="E58" s="3"/>
      <c r="F58" s="25"/>
      <c r="G58" s="25"/>
      <c r="H58" s="95">
        <f>+'II-I TOTAL COMPANY'!K58</f>
        <v>7.1754999999999999E-2</v>
      </c>
      <c r="I58" s="65">
        <f>$H$58</f>
        <v>7.1754999999999999E-2</v>
      </c>
      <c r="J58" s="65">
        <f t="shared" ref="J58:V58" si="41">$H$58</f>
        <v>7.1754999999999999E-2</v>
      </c>
      <c r="K58" s="65">
        <f t="shared" si="41"/>
        <v>7.1754999999999999E-2</v>
      </c>
      <c r="L58" s="65">
        <f t="shared" si="41"/>
        <v>7.1754999999999999E-2</v>
      </c>
      <c r="M58" s="65">
        <f t="shared" si="41"/>
        <v>7.1754999999999999E-2</v>
      </c>
      <c r="N58" s="65">
        <f t="shared" si="41"/>
        <v>7.1754999999999999E-2</v>
      </c>
      <c r="O58" s="65">
        <f t="shared" si="41"/>
        <v>7.1754999999999999E-2</v>
      </c>
      <c r="P58" s="65">
        <f t="shared" si="41"/>
        <v>7.1754999999999999E-2</v>
      </c>
      <c r="Q58" s="65">
        <f t="shared" si="41"/>
        <v>7.1754999999999999E-2</v>
      </c>
      <c r="R58" s="65">
        <f t="shared" si="41"/>
        <v>7.1754999999999999E-2</v>
      </c>
      <c r="S58" s="65">
        <f t="shared" si="41"/>
        <v>7.1754999999999999E-2</v>
      </c>
      <c r="T58" s="65">
        <f t="shared" si="41"/>
        <v>7.1754999999999999E-2</v>
      </c>
      <c r="U58" s="65">
        <f t="shared" si="41"/>
        <v>7.1754999999999999E-2</v>
      </c>
      <c r="V58" s="65">
        <f t="shared" si="41"/>
        <v>7.1754999999999999E-2</v>
      </c>
      <c r="W58" s="27">
        <f t="shared" si="4"/>
        <v>0.43052999999999997</v>
      </c>
      <c r="X58" s="143">
        <f>+'II-I TOTAL COMPANY'!K58-Distribution!H58</f>
        <v>0</v>
      </c>
    </row>
    <row r="59" spans="1:24" x14ac:dyDescent="0.2">
      <c r="A59" s="3">
        <f t="shared" ref="A59:A87" si="42">+A58+1</f>
        <v>3</v>
      </c>
      <c r="B59" s="3" t="s">
        <v>503</v>
      </c>
      <c r="C59" s="1"/>
      <c r="D59" s="3"/>
      <c r="E59" s="3"/>
      <c r="F59" s="11"/>
      <c r="G59" s="11"/>
      <c r="H59" s="9">
        <f>+I59+J59</f>
        <v>295477290.13719887</v>
      </c>
      <c r="I59" s="66">
        <v>0</v>
      </c>
      <c r="J59" s="66">
        <f>+K59+L59+M59+P59+T59+U59+V59</f>
        <v>295477290.13719887</v>
      </c>
      <c r="K59" s="13">
        <f t="shared" ref="K59:V59" si="43">+K57*K58</f>
        <v>170977844.37466782</v>
      </c>
      <c r="L59" s="13">
        <f t="shared" si="43"/>
        <v>6615963.9867061377</v>
      </c>
      <c r="M59" s="9">
        <f>SUM(N59:O59)</f>
        <v>86093718.198892921</v>
      </c>
      <c r="N59" s="13">
        <f t="shared" si="43"/>
        <v>11388273.582197115</v>
      </c>
      <c r="O59" s="13">
        <f t="shared" si="43"/>
        <v>74705444.616695806</v>
      </c>
      <c r="P59" s="9">
        <f t="shared" si="40"/>
        <v>19405285.037060376</v>
      </c>
      <c r="Q59" s="13">
        <f t="shared" si="43"/>
        <v>15786108.808922032</v>
      </c>
      <c r="R59" s="13">
        <f t="shared" si="43"/>
        <v>1142379.3641438545</v>
      </c>
      <c r="S59" s="13">
        <f>+S57*S58</f>
        <v>2476796.8639944908</v>
      </c>
      <c r="T59" s="13">
        <f t="shared" si="43"/>
        <v>115.46635024240854</v>
      </c>
      <c r="U59" s="13">
        <f t="shared" si="43"/>
        <v>11663794.062107921</v>
      </c>
      <c r="V59" s="13">
        <f t="shared" si="43"/>
        <v>720569.01141346991</v>
      </c>
      <c r="W59" s="27" t="str">
        <f t="shared" si="4"/>
        <v>OK</v>
      </c>
      <c r="X59" s="143">
        <f>+'II-I TOTAL COMPANY'!K59-Distribution!H59</f>
        <v>0</v>
      </c>
    </row>
    <row r="60" spans="1:24" x14ac:dyDescent="0.2">
      <c r="A60" s="3">
        <f t="shared" si="42"/>
        <v>4</v>
      </c>
      <c r="B60" s="3"/>
      <c r="C60" s="1"/>
      <c r="D60" s="3"/>
      <c r="E60" s="3"/>
      <c r="F60" s="3"/>
      <c r="G60" s="3"/>
      <c r="H60" s="6"/>
      <c r="I60" s="6"/>
      <c r="J60" s="6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27" t="str">
        <f t="shared" si="4"/>
        <v>OK</v>
      </c>
      <c r="X60" s="143">
        <f>+'II-I TOTAL COMPANY'!K60-Distribution!H60</f>
        <v>0</v>
      </c>
    </row>
    <row r="61" spans="1:24" x14ac:dyDescent="0.2">
      <c r="A61" s="3">
        <f t="shared" si="42"/>
        <v>5</v>
      </c>
      <c r="B61" s="3" t="s">
        <v>504</v>
      </c>
      <c r="C61" s="1"/>
      <c r="D61" s="3"/>
      <c r="E61" s="3"/>
      <c r="F61" s="11"/>
      <c r="G61" s="11"/>
      <c r="H61" s="9">
        <f t="shared" ref="H61:H66" si="44">+I61+J61</f>
        <v>160396763.47701162</v>
      </c>
      <c r="I61" s="66">
        <v>0</v>
      </c>
      <c r="J61" s="66">
        <f>+K61+L61+M61+P61+T61+U61+V61</f>
        <v>160396763.47701162</v>
      </c>
      <c r="K61" s="13">
        <f>+K429-K70</f>
        <v>92324347.864584744</v>
      </c>
      <c r="L61" s="13">
        <f>+L429-L70</f>
        <v>3443684.4664215827</v>
      </c>
      <c r="M61" s="9">
        <f t="shared" ref="M61:M66" si="45">SUM(N61:O61)</f>
        <v>47318904.496448204</v>
      </c>
      <c r="N61" s="13">
        <f>+N429-N70</f>
        <v>6291750.8535350272</v>
      </c>
      <c r="O61" s="13">
        <f>+O429-O70</f>
        <v>41027153.642913178</v>
      </c>
      <c r="P61" s="9">
        <f t="shared" si="40"/>
        <v>12124188.671374973</v>
      </c>
      <c r="Q61" s="13">
        <f t="shared" ref="Q61:V61" si="46">+Q429-Q70</f>
        <v>9858184.8839909565</v>
      </c>
      <c r="R61" s="13">
        <f t="shared" si="46"/>
        <v>714296.90509397443</v>
      </c>
      <c r="S61" s="13">
        <f t="shared" si="46"/>
        <v>1551706.8822900429</v>
      </c>
      <c r="T61" s="13">
        <f t="shared" si="46"/>
        <v>15644.302828717944</v>
      </c>
      <c r="U61" s="13">
        <f t="shared" si="46"/>
        <v>4722172.2872654237</v>
      </c>
      <c r="V61" s="13">
        <f t="shared" si="46"/>
        <v>447821.38808796508</v>
      </c>
      <c r="W61" s="27" t="str">
        <f t="shared" si="4"/>
        <v>OK</v>
      </c>
      <c r="X61" s="143">
        <f>+'II-I TOTAL COMPANY'!K61-Distribution!H61</f>
        <v>-26.200000017881393</v>
      </c>
    </row>
    <row r="62" spans="1:24" x14ac:dyDescent="0.2">
      <c r="A62" s="3">
        <f t="shared" si="42"/>
        <v>6</v>
      </c>
      <c r="B62" s="3" t="s">
        <v>18</v>
      </c>
      <c r="C62" s="1"/>
      <c r="D62" s="3"/>
      <c r="E62" s="3"/>
      <c r="F62" s="11"/>
      <c r="G62" s="11"/>
      <c r="H62" s="9">
        <f t="shared" si="44"/>
        <v>208304527.77060384</v>
      </c>
      <c r="I62" s="66">
        <v>0</v>
      </c>
      <c r="J62" s="66">
        <f t="shared" ref="J62:J66" si="47">+K62+L62+M62+P62+T62+U62+V62</f>
        <v>208304527.77060384</v>
      </c>
      <c r="K62" s="13">
        <f>+K597-K71</f>
        <v>120682288.73989421</v>
      </c>
      <c r="L62" s="13">
        <f>+L597-L71</f>
        <v>4657071.7486916305</v>
      </c>
      <c r="M62" s="9">
        <f t="shared" si="45"/>
        <v>60843978.160590403</v>
      </c>
      <c r="N62" s="13">
        <f>+N597-N71</f>
        <v>8051790.0753271077</v>
      </c>
      <c r="O62" s="13">
        <f>+O597-O71</f>
        <v>52792188.085263297</v>
      </c>
      <c r="P62" s="9">
        <f t="shared" si="40"/>
        <v>13452438.451683411</v>
      </c>
      <c r="Q62" s="13">
        <f t="shared" ref="Q62:V62" si="48">+Q597-Q71</f>
        <v>10943444.374169096</v>
      </c>
      <c r="R62" s="13">
        <f t="shared" si="48"/>
        <v>791944.90811476612</v>
      </c>
      <c r="S62" s="13">
        <f t="shared" si="48"/>
        <v>1717049.1693995476</v>
      </c>
      <c r="T62" s="13">
        <f t="shared" si="48"/>
        <v>245.76563071203265</v>
      </c>
      <c r="U62" s="13">
        <f t="shared" si="48"/>
        <v>8169006.0107717309</v>
      </c>
      <c r="V62" s="13">
        <f t="shared" si="48"/>
        <v>499498.89334175381</v>
      </c>
      <c r="W62" s="27" t="str">
        <f t="shared" si="4"/>
        <v>OK</v>
      </c>
      <c r="X62" s="143">
        <f>+'II-I TOTAL COMPANY'!K62-Distribution!H62</f>
        <v>0</v>
      </c>
    </row>
    <row r="63" spans="1:24" x14ac:dyDescent="0.2">
      <c r="A63" s="3">
        <f t="shared" si="42"/>
        <v>7</v>
      </c>
      <c r="B63" s="3" t="s">
        <v>293</v>
      </c>
      <c r="C63" s="1"/>
      <c r="D63" s="3"/>
      <c r="E63" s="3"/>
      <c r="F63" s="11"/>
      <c r="G63" s="11"/>
      <c r="H63" s="9">
        <f t="shared" ca="1" si="44"/>
        <v>59427814.260768116</v>
      </c>
      <c r="I63" s="66">
        <v>0</v>
      </c>
      <c r="J63" s="66">
        <f t="shared" ca="1" si="47"/>
        <v>59427814.260768116</v>
      </c>
      <c r="K63" s="13">
        <f ca="1">+K611-K68</f>
        <v>34392236.481514409</v>
      </c>
      <c r="L63" s="13">
        <f ca="1">+L611-L68</f>
        <v>1338891.684764659</v>
      </c>
      <c r="M63" s="9">
        <f t="shared" ca="1" si="45"/>
        <v>17270001.702684451</v>
      </c>
      <c r="N63" s="13">
        <f ca="1">+N611-N68</f>
        <v>2282198.1110725189</v>
      </c>
      <c r="O63" s="13">
        <f ca="1">+O611-O68</f>
        <v>14987803.591611931</v>
      </c>
      <c r="P63" s="9">
        <f t="shared" ca="1" si="40"/>
        <v>3913376.2157966662</v>
      </c>
      <c r="Q63" s="13">
        <f t="shared" ref="Q63:V63" ca="1" si="49">+Q611-Q68</f>
        <v>3183503.640698039</v>
      </c>
      <c r="R63" s="13">
        <f t="shared" ca="1" si="49"/>
        <v>230379.7693494363</v>
      </c>
      <c r="S63" s="13">
        <f t="shared" ca="1" si="49"/>
        <v>499492.80574919115</v>
      </c>
      <c r="T63" s="13">
        <f t="shared" ca="1" si="49"/>
        <v>54.200748760253191</v>
      </c>
      <c r="U63" s="13">
        <f t="shared" ca="1" si="49"/>
        <v>2367944.8057109369</v>
      </c>
      <c r="V63" s="13">
        <f t="shared" ca="1" si="49"/>
        <v>145309.16954823618</v>
      </c>
      <c r="W63" s="27" t="str">
        <f t="shared" ca="1" si="4"/>
        <v>OK</v>
      </c>
      <c r="X63" s="143">
        <f ca="1">+'II-I TOTAL COMPANY'!K63-Distribution!H63</f>
        <v>0</v>
      </c>
    </row>
    <row r="64" spans="1:24" x14ac:dyDescent="0.2">
      <c r="A64" s="3">
        <f t="shared" si="42"/>
        <v>8</v>
      </c>
      <c r="B64" s="3" t="s">
        <v>304</v>
      </c>
      <c r="C64" s="1"/>
      <c r="D64" s="3"/>
      <c r="E64" s="3"/>
      <c r="F64" s="11"/>
      <c r="G64" s="11"/>
      <c r="H64" s="9">
        <f t="shared" ca="1" si="44"/>
        <v>48896697.532711342</v>
      </c>
      <c r="I64" s="66">
        <v>0</v>
      </c>
      <c r="J64" s="66">
        <f t="shared" ca="1" si="47"/>
        <v>48896697.532711342</v>
      </c>
      <c r="K64" s="13">
        <f ca="1">(((+K59+SUM(K626:K634))*K638)+SUM(K642:K646))</f>
        <v>28284212.195740335</v>
      </c>
      <c r="L64" s="13">
        <f ca="1">(((+L59+SUM(L626:L634))*L638)+SUM(L642:L646))</f>
        <v>1088309.4111228832</v>
      </c>
      <c r="M64" s="9">
        <f t="shared" ca="1" si="45"/>
        <v>14278546.184154771</v>
      </c>
      <c r="N64" s="13">
        <f t="shared" ref="N64:V64" ca="1" si="50">(((+N59+SUM(N626:N634))*N638)+SUM(N642:N646))</f>
        <v>1890428.7123952473</v>
      </c>
      <c r="O64" s="13">
        <f t="shared" ca="1" si="50"/>
        <v>12388117.471759524</v>
      </c>
      <c r="P64" s="9">
        <f t="shared" ca="1" si="40"/>
        <v>3229395.0028244564</v>
      </c>
      <c r="Q64" s="13">
        <f t="shared" ca="1" si="50"/>
        <v>2627097.1930952445</v>
      </c>
      <c r="R64" s="13">
        <f t="shared" ca="1" si="50"/>
        <v>190112.91301753098</v>
      </c>
      <c r="S64" s="13">
        <f t="shared" ca="1" si="50"/>
        <v>412184.89671168127</v>
      </c>
      <c r="T64" s="13">
        <f t="shared" ca="1" si="50"/>
        <v>21.099843659503378</v>
      </c>
      <c r="U64" s="13">
        <f t="shared" ca="1" si="50"/>
        <v>1896298.0441241302</v>
      </c>
      <c r="V64" s="13">
        <f t="shared" ca="1" si="50"/>
        <v>119915.5949010991</v>
      </c>
      <c r="W64" s="27" t="str">
        <f t="shared" ca="1" si="4"/>
        <v>OK</v>
      </c>
      <c r="X64" s="143">
        <f ca="1">+'II-I TOTAL COMPANY'!K64-Distribution!H64</f>
        <v>0</v>
      </c>
    </row>
    <row r="65" spans="1:24" x14ac:dyDescent="0.2">
      <c r="A65" s="3">
        <f t="shared" si="42"/>
        <v>9</v>
      </c>
      <c r="B65" s="3" t="s">
        <v>518</v>
      </c>
      <c r="C65" s="1"/>
      <c r="D65" s="3"/>
      <c r="E65" s="3"/>
      <c r="F65" s="11"/>
      <c r="G65" s="11"/>
      <c r="H65" s="9">
        <f t="shared" si="44"/>
        <v>0</v>
      </c>
      <c r="I65" s="66">
        <v>0</v>
      </c>
      <c r="J65" s="66">
        <f t="shared" si="47"/>
        <v>0</v>
      </c>
      <c r="K65" s="13">
        <v>0</v>
      </c>
      <c r="L65" s="13">
        <v>0</v>
      </c>
      <c r="M65" s="9">
        <f t="shared" si="45"/>
        <v>0</v>
      </c>
      <c r="N65" s="13">
        <v>0</v>
      </c>
      <c r="O65" s="13">
        <v>0</v>
      </c>
      <c r="P65" s="9">
        <f t="shared" si="40"/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27" t="str">
        <f t="shared" si="4"/>
        <v>OK</v>
      </c>
      <c r="X65" s="143">
        <f>+'II-I TOTAL COMPANY'!K65-Distribution!H65</f>
        <v>0</v>
      </c>
    </row>
    <row r="66" spans="1:24" x14ac:dyDescent="0.2">
      <c r="A66" s="3">
        <f t="shared" si="42"/>
        <v>10</v>
      </c>
      <c r="B66" s="3" t="s">
        <v>505</v>
      </c>
      <c r="C66" s="1"/>
      <c r="D66" s="3"/>
      <c r="E66" s="3"/>
      <c r="F66" s="11"/>
      <c r="G66" s="11"/>
      <c r="H66" s="9">
        <f t="shared" ca="1" si="44"/>
        <v>477025803.04109496</v>
      </c>
      <c r="I66" s="66">
        <v>0</v>
      </c>
      <c r="J66" s="66">
        <f t="shared" ca="1" si="47"/>
        <v>477025803.04109496</v>
      </c>
      <c r="K66" s="13">
        <f t="shared" ref="K66:V66" ca="1" si="51">SUM(K61:K65)</f>
        <v>275683085.28173369</v>
      </c>
      <c r="L66" s="13">
        <f t="shared" ca="1" si="51"/>
        <v>10527957.311000755</v>
      </c>
      <c r="M66" s="9">
        <f t="shared" ca="1" si="45"/>
        <v>139711430.54387784</v>
      </c>
      <c r="N66" s="13">
        <f t="shared" ca="1" si="51"/>
        <v>18516167.752329901</v>
      </c>
      <c r="O66" s="13">
        <f t="shared" ca="1" si="51"/>
        <v>121195262.79154794</v>
      </c>
      <c r="P66" s="9">
        <f t="shared" ca="1" si="40"/>
        <v>32719398.341679506</v>
      </c>
      <c r="Q66" s="13">
        <f t="shared" ca="1" si="51"/>
        <v>26612230.091953337</v>
      </c>
      <c r="R66" s="13">
        <f t="shared" ca="1" si="51"/>
        <v>1926734.4955757079</v>
      </c>
      <c r="S66" s="13">
        <f ca="1">SUM(S61:S65)</f>
        <v>4180433.7541504623</v>
      </c>
      <c r="T66" s="13">
        <f t="shared" ca="1" si="51"/>
        <v>15965.369051849733</v>
      </c>
      <c r="U66" s="13">
        <f t="shared" ca="1" si="51"/>
        <v>17155421.147872221</v>
      </c>
      <c r="V66" s="13">
        <f t="shared" ca="1" si="51"/>
        <v>1212545.0458790541</v>
      </c>
      <c r="W66" s="27" t="str">
        <f t="shared" ca="1" si="4"/>
        <v>OK</v>
      </c>
      <c r="X66" s="143">
        <f ca="1">+'II-I TOTAL COMPANY'!K66-Distribution!H66</f>
        <v>-26.200000047683716</v>
      </c>
    </row>
    <row r="67" spans="1:24" x14ac:dyDescent="0.2">
      <c r="A67" s="3">
        <f t="shared" si="42"/>
        <v>11</v>
      </c>
      <c r="B67" s="3"/>
      <c r="C67" s="1"/>
      <c r="D67" s="3"/>
      <c r="E67" s="3"/>
      <c r="F67" s="3"/>
      <c r="G67" s="3"/>
      <c r="H67" s="6"/>
      <c r="I67" s="6"/>
      <c r="J67" s="6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27" t="str">
        <f t="shared" si="4"/>
        <v>OK</v>
      </c>
      <c r="X67" s="143">
        <f>+'II-I TOTAL COMPANY'!K67-Distribution!H67</f>
        <v>0</v>
      </c>
    </row>
    <row r="68" spans="1:24" x14ac:dyDescent="0.2">
      <c r="A68" s="3">
        <f t="shared" si="42"/>
        <v>12</v>
      </c>
      <c r="B68" s="3" t="s">
        <v>510</v>
      </c>
      <c r="C68" s="1"/>
      <c r="D68" s="3"/>
      <c r="E68" s="3"/>
      <c r="F68" s="11"/>
      <c r="G68" s="11"/>
      <c r="H68" s="9">
        <f>+I68+J68</f>
        <v>51762292.913373291</v>
      </c>
      <c r="I68" s="66">
        <v>0</v>
      </c>
      <c r="J68" s="66">
        <f>+K68+L68+M68+P68+T68+U68+V68</f>
        <v>51762292.913373291</v>
      </c>
      <c r="K68" s="13">
        <f>K607</f>
        <v>23321633.18082308</v>
      </c>
      <c r="L68" s="13">
        <f t="shared" ref="L68:V68" si="52">L607</f>
        <v>985252.86259934085</v>
      </c>
      <c r="M68" s="13">
        <f t="shared" si="52"/>
        <v>17553758.714965492</v>
      </c>
      <c r="N68" s="13">
        <f t="shared" si="52"/>
        <v>2398321.3904083222</v>
      </c>
      <c r="O68" s="13">
        <f t="shared" si="52"/>
        <v>15155437.324557168</v>
      </c>
      <c r="P68" s="9">
        <f t="shared" si="40"/>
        <v>4558360.2862402443</v>
      </c>
      <c r="Q68" s="13">
        <f t="shared" si="52"/>
        <v>4219751.7849725531</v>
      </c>
      <c r="R68" s="13">
        <f t="shared" si="52"/>
        <v>216654.4401528076</v>
      </c>
      <c r="S68" s="13">
        <f>S607</f>
        <v>121954.06111488414</v>
      </c>
      <c r="T68" s="13">
        <f t="shared" si="52"/>
        <v>4870260.6561981272</v>
      </c>
      <c r="U68" s="13">
        <f t="shared" si="52"/>
        <v>473027.21254701348</v>
      </c>
      <c r="V68" s="13">
        <f t="shared" si="52"/>
        <v>0</v>
      </c>
      <c r="W68" s="27" t="str">
        <f t="shared" si="4"/>
        <v>OK</v>
      </c>
      <c r="X68" s="143">
        <f>+'II-I TOTAL COMPANY'!K68-Distribution!H68</f>
        <v>0</v>
      </c>
    </row>
    <row r="69" spans="1:24" x14ac:dyDescent="0.2">
      <c r="A69" s="3">
        <f t="shared" si="42"/>
        <v>13</v>
      </c>
      <c r="B69" s="3" t="s">
        <v>449</v>
      </c>
      <c r="C69" s="1"/>
      <c r="D69" s="3"/>
      <c r="E69" s="3"/>
      <c r="F69" s="11"/>
      <c r="G69" s="11"/>
      <c r="H69" s="9">
        <f>+I69+J69</f>
        <v>0</v>
      </c>
      <c r="I69" s="66">
        <v>0</v>
      </c>
      <c r="J69" s="66">
        <f t="shared" ref="J69:J71" si="53">+K69+L69+M69+P69+T69+U69+V69</f>
        <v>0</v>
      </c>
      <c r="K69" s="13">
        <f>K652</f>
        <v>0</v>
      </c>
      <c r="L69" s="13">
        <f>L652</f>
        <v>0</v>
      </c>
      <c r="M69" s="9">
        <f>SUM(N69:O69)</f>
        <v>0</v>
      </c>
      <c r="N69" s="13">
        <f>N652</f>
        <v>0</v>
      </c>
      <c r="O69" s="13">
        <f>O652</f>
        <v>0</v>
      </c>
      <c r="P69" s="9">
        <f t="shared" si="40"/>
        <v>0</v>
      </c>
      <c r="Q69" s="13">
        <f t="shared" ref="Q69:V69" si="54">Q652</f>
        <v>0</v>
      </c>
      <c r="R69" s="13">
        <f t="shared" si="54"/>
        <v>0</v>
      </c>
      <c r="S69" s="13">
        <f t="shared" si="54"/>
        <v>0</v>
      </c>
      <c r="T69" s="13">
        <f t="shared" si="54"/>
        <v>0</v>
      </c>
      <c r="U69" s="13">
        <f t="shared" si="54"/>
        <v>0</v>
      </c>
      <c r="V69" s="13">
        <f t="shared" si="54"/>
        <v>0</v>
      </c>
      <c r="W69" s="27" t="str">
        <f t="shared" si="4"/>
        <v>OK</v>
      </c>
      <c r="X69" s="143">
        <f>+'II-I TOTAL COMPANY'!K69-Distribution!H69</f>
        <v>0</v>
      </c>
    </row>
    <row r="70" spans="1:24" x14ac:dyDescent="0.2">
      <c r="A70" s="3">
        <f t="shared" si="42"/>
        <v>14</v>
      </c>
      <c r="B70" s="3" t="s">
        <v>541</v>
      </c>
      <c r="C70" s="1"/>
      <c r="D70" s="3"/>
      <c r="E70" s="3"/>
      <c r="F70" s="11"/>
      <c r="G70" s="11"/>
      <c r="H70" s="9">
        <f>+I70+J70</f>
        <v>0</v>
      </c>
      <c r="I70" s="66">
        <v>0</v>
      </c>
      <c r="J70" s="66">
        <f t="shared" si="53"/>
        <v>0</v>
      </c>
      <c r="K70" s="13">
        <f>K393</f>
        <v>0</v>
      </c>
      <c r="L70" s="13">
        <f t="shared" ref="L70:V70" si="55">L393</f>
        <v>0</v>
      </c>
      <c r="M70" s="13">
        <f t="shared" si="55"/>
        <v>0</v>
      </c>
      <c r="N70" s="13">
        <f t="shared" si="55"/>
        <v>0</v>
      </c>
      <c r="O70" s="13">
        <f t="shared" si="55"/>
        <v>0</v>
      </c>
      <c r="P70" s="9">
        <f t="shared" si="40"/>
        <v>0</v>
      </c>
      <c r="Q70" s="13">
        <f t="shared" si="55"/>
        <v>0</v>
      </c>
      <c r="R70" s="13">
        <f t="shared" si="55"/>
        <v>0</v>
      </c>
      <c r="S70" s="13">
        <f>S393</f>
        <v>0</v>
      </c>
      <c r="T70" s="13">
        <f t="shared" si="55"/>
        <v>0</v>
      </c>
      <c r="U70" s="13">
        <f t="shared" si="55"/>
        <v>0</v>
      </c>
      <c r="V70" s="13">
        <f t="shared" si="55"/>
        <v>0</v>
      </c>
      <c r="W70" s="27" t="str">
        <f t="shared" si="4"/>
        <v>OK</v>
      </c>
      <c r="X70" s="143">
        <f>+'II-I TOTAL COMPANY'!K70-Distribution!H70</f>
        <v>0</v>
      </c>
    </row>
    <row r="71" spans="1:24" x14ac:dyDescent="0.2">
      <c r="A71" s="3">
        <f t="shared" si="42"/>
        <v>15</v>
      </c>
      <c r="B71" s="3" t="s">
        <v>557</v>
      </c>
      <c r="C71" s="1"/>
      <c r="D71" s="3"/>
      <c r="E71" s="3"/>
      <c r="F71" s="11"/>
      <c r="G71" s="11"/>
      <c r="H71" s="9">
        <f>+I71+J71</f>
        <v>0</v>
      </c>
      <c r="I71" s="66">
        <v>0</v>
      </c>
      <c r="J71" s="66">
        <f t="shared" si="53"/>
        <v>0</v>
      </c>
      <c r="K71" s="13">
        <f>K590</f>
        <v>0</v>
      </c>
      <c r="L71" s="13">
        <f t="shared" ref="L71:V71" si="56">L590</f>
        <v>0</v>
      </c>
      <c r="M71" s="13">
        <f t="shared" si="56"/>
        <v>0</v>
      </c>
      <c r="N71" s="13">
        <f t="shared" si="56"/>
        <v>0</v>
      </c>
      <c r="O71" s="13">
        <f t="shared" si="56"/>
        <v>0</v>
      </c>
      <c r="P71" s="9">
        <f t="shared" si="40"/>
        <v>0</v>
      </c>
      <c r="Q71" s="13">
        <f t="shared" si="56"/>
        <v>0</v>
      </c>
      <c r="R71" s="13">
        <f t="shared" si="56"/>
        <v>0</v>
      </c>
      <c r="S71" s="13">
        <f>S590</f>
        <v>0</v>
      </c>
      <c r="T71" s="13">
        <f t="shared" si="56"/>
        <v>0</v>
      </c>
      <c r="U71" s="13">
        <f t="shared" si="56"/>
        <v>0</v>
      </c>
      <c r="V71" s="13">
        <f t="shared" si="56"/>
        <v>0</v>
      </c>
      <c r="W71" s="27" t="str">
        <f t="shared" si="4"/>
        <v>OK</v>
      </c>
      <c r="X71" s="143">
        <f>+'II-I TOTAL COMPANY'!K71-Distribution!H71</f>
        <v>0</v>
      </c>
    </row>
    <row r="72" spans="1:24" x14ac:dyDescent="0.2">
      <c r="A72" s="3">
        <f t="shared" si="42"/>
        <v>16</v>
      </c>
      <c r="B72" s="3"/>
      <c r="C72" s="1"/>
      <c r="D72" s="3"/>
      <c r="E72" s="3"/>
      <c r="F72" s="11"/>
      <c r="G72" s="11"/>
      <c r="H72" s="9"/>
      <c r="I72" s="66"/>
      <c r="J72" s="66"/>
      <c r="K72" s="13"/>
      <c r="L72" s="13"/>
      <c r="M72" s="9"/>
      <c r="N72" s="13"/>
      <c r="O72" s="13"/>
      <c r="P72" s="9"/>
      <c r="Q72" s="13"/>
      <c r="R72" s="13"/>
      <c r="S72" s="13"/>
      <c r="T72" s="13"/>
      <c r="U72" s="13"/>
      <c r="V72" s="13"/>
      <c r="W72" s="27" t="str">
        <f t="shared" si="4"/>
        <v>OK</v>
      </c>
      <c r="X72" s="143">
        <f>+'II-I TOTAL COMPANY'!K72-Distribution!H72</f>
        <v>0</v>
      </c>
    </row>
    <row r="73" spans="1:24" x14ac:dyDescent="0.2">
      <c r="A73" s="3">
        <f t="shared" si="42"/>
        <v>17</v>
      </c>
      <c r="B73" s="3"/>
      <c r="C73" s="1"/>
      <c r="D73" s="3"/>
      <c r="E73" s="3"/>
      <c r="F73" s="3"/>
      <c r="G73" s="3"/>
      <c r="H73" s="6"/>
      <c r="I73" s="6"/>
      <c r="J73" s="6"/>
      <c r="K73" s="13"/>
      <c r="L73" s="13"/>
      <c r="M73" s="9"/>
      <c r="N73" s="13"/>
      <c r="O73" s="13"/>
      <c r="P73" s="9"/>
      <c r="Q73" s="13"/>
      <c r="R73" s="13"/>
      <c r="S73" s="13"/>
      <c r="T73" s="13"/>
      <c r="U73" s="13"/>
      <c r="V73" s="13"/>
      <c r="W73" s="27" t="str">
        <f t="shared" si="4"/>
        <v>OK</v>
      </c>
      <c r="X73" s="143">
        <f>+'II-I TOTAL COMPANY'!K73-Distribution!H73</f>
        <v>0</v>
      </c>
    </row>
    <row r="74" spans="1:24" x14ac:dyDescent="0.2">
      <c r="A74" s="3">
        <f t="shared" si="42"/>
        <v>18</v>
      </c>
      <c r="B74" s="3" t="s">
        <v>606</v>
      </c>
      <c r="C74" s="1"/>
      <c r="D74" s="3"/>
      <c r="E74" s="3"/>
      <c r="F74" s="13"/>
      <c r="G74" s="13"/>
      <c r="H74" s="9">
        <f ca="1">+I74+J74</f>
        <v>824265386.09166729</v>
      </c>
      <c r="I74" s="66">
        <v>0</v>
      </c>
      <c r="J74" s="66">
        <f ca="1">+K74+L74+M74+P74+T74+U74+V74</f>
        <v>824265386.09166729</v>
      </c>
      <c r="K74" s="13">
        <f ca="1">+K59+K66+K68+K69+K70+K71+K72</f>
        <v>469982562.8372246</v>
      </c>
      <c r="L74" s="13">
        <f t="shared" ref="L74:V74" ca="1" si="57">+L59+L66+L68+L69+L70+L71+L72</f>
        <v>18129174.160306234</v>
      </c>
      <c r="M74" s="9">
        <f ca="1">SUM(N74:O74)</f>
        <v>243358907.45773625</v>
      </c>
      <c r="N74" s="13">
        <f t="shared" ca="1" si="57"/>
        <v>32302762.724935338</v>
      </c>
      <c r="O74" s="13">
        <f t="shared" ca="1" si="57"/>
        <v>211056144.7328009</v>
      </c>
      <c r="P74" s="9">
        <f t="shared" ref="P74:P87" ca="1" si="58">SUM(Q74:S74)</f>
        <v>56683043.664980128</v>
      </c>
      <c r="Q74" s="13">
        <f t="shared" ca="1" si="57"/>
        <v>46618090.685847923</v>
      </c>
      <c r="R74" s="13">
        <f t="shared" ca="1" si="57"/>
        <v>3285768.29987237</v>
      </c>
      <c r="S74" s="13">
        <f ca="1">+S59+S66+S68+S69+S70+S71+S72</f>
        <v>6779184.6792598376</v>
      </c>
      <c r="T74" s="13">
        <f t="shared" ca="1" si="57"/>
        <v>4886341.4916002192</v>
      </c>
      <c r="U74" s="13">
        <f t="shared" ca="1" si="57"/>
        <v>29292242.422527153</v>
      </c>
      <c r="V74" s="13">
        <f t="shared" ca="1" si="57"/>
        <v>1933114.057292524</v>
      </c>
      <c r="W74" s="27" t="str">
        <f t="shared" ca="1" si="4"/>
        <v>OK</v>
      </c>
      <c r="X74" s="143">
        <f ca="1">+'II-I TOTAL COMPANY'!K74-Distribution!H74</f>
        <v>-26.200000047683716</v>
      </c>
    </row>
    <row r="75" spans="1:24" x14ac:dyDescent="0.2">
      <c r="A75" s="3">
        <f t="shared" si="42"/>
        <v>19</v>
      </c>
      <c r="B75" s="3" t="s">
        <v>607</v>
      </c>
      <c r="C75" s="1"/>
      <c r="D75" s="3"/>
      <c r="E75" s="3"/>
      <c r="F75" s="13"/>
      <c r="G75" s="13"/>
      <c r="H75" s="9">
        <f ca="1">+I75+J75</f>
        <v>798275270.480667</v>
      </c>
      <c r="I75" s="66">
        <v>0</v>
      </c>
      <c r="J75" s="66">
        <f ca="1">+K75+L75+M75+P75+T75+U75+V75</f>
        <v>798275270.480667</v>
      </c>
      <c r="K75" s="13">
        <f ca="1">+K74-K78</f>
        <v>454855139.49609321</v>
      </c>
      <c r="L75" s="13">
        <f t="shared" ref="L75:T75" ca="1" si="59">+L74-L78</f>
        <v>17570579.794522896</v>
      </c>
      <c r="M75" s="9">
        <f ca="1">SUM(N75:O75)</f>
        <v>235585771.5163483</v>
      </c>
      <c r="N75" s="13">
        <f t="shared" ca="1" si="59"/>
        <v>31266297.442464516</v>
      </c>
      <c r="O75" s="13">
        <f t="shared" ca="1" si="59"/>
        <v>204319474.07388377</v>
      </c>
      <c r="P75" s="9">
        <f t="shared" ca="1" si="58"/>
        <v>54767501.836691901</v>
      </c>
      <c r="Q75" s="13">
        <f t="shared" ca="1" si="59"/>
        <v>45059845.072187439</v>
      </c>
      <c r="R75" s="13">
        <f t="shared" ca="1" si="59"/>
        <v>3172952.1892136489</v>
      </c>
      <c r="S75" s="13">
        <f ca="1">+S74-S78</f>
        <v>6534704.5752908122</v>
      </c>
      <c r="T75" s="13">
        <f t="shared" ca="1" si="59"/>
        <v>4886328.985136915</v>
      </c>
      <c r="U75" s="13">
        <f ca="1">+U74-U78</f>
        <v>28747963.449070357</v>
      </c>
      <c r="V75" s="13">
        <f ca="1">+V74-V78</f>
        <v>1861985.4028035237</v>
      </c>
      <c r="W75" s="27" t="str">
        <f t="shared" ca="1" si="4"/>
        <v>OK</v>
      </c>
      <c r="X75" s="143">
        <f ca="1">+'II-I TOTAL COMPANY'!K75-Distribution!H75</f>
        <v>-26.199999690055847</v>
      </c>
    </row>
    <row r="76" spans="1:24" x14ac:dyDescent="0.2">
      <c r="A76" s="3">
        <f t="shared" si="42"/>
        <v>20</v>
      </c>
      <c r="B76" s="3"/>
      <c r="C76" s="1"/>
      <c r="D76" s="3"/>
      <c r="E76" s="3"/>
      <c r="F76" s="3"/>
      <c r="G76" s="3"/>
      <c r="H76" s="6"/>
      <c r="I76" s="6"/>
      <c r="J76" s="6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27" t="str">
        <f t="shared" si="4"/>
        <v>OK</v>
      </c>
      <c r="X76" s="143">
        <f>+'II-I TOTAL COMPANY'!K76-Distribution!H76</f>
        <v>0</v>
      </c>
    </row>
    <row r="77" spans="1:24" s="132" customFormat="1" x14ac:dyDescent="0.2">
      <c r="A77" s="3">
        <f t="shared" si="42"/>
        <v>21</v>
      </c>
      <c r="B77" s="3" t="s">
        <v>506</v>
      </c>
      <c r="C77" s="1"/>
      <c r="D77" s="3"/>
      <c r="E77" s="3"/>
      <c r="F77" s="11"/>
      <c r="G77" s="11"/>
      <c r="H77" s="9">
        <f ca="1">+I77+J77</f>
        <v>746512977.56729388</v>
      </c>
      <c r="I77" s="66">
        <v>0</v>
      </c>
      <c r="J77" s="66">
        <f t="shared" ref="J77:J81" ca="1" si="60">+K77+L77+M77+P77+T77+U77+V77</f>
        <v>746512977.56729388</v>
      </c>
      <c r="K77" s="13">
        <f ca="1">+K74-K80-K78</f>
        <v>431533506.31527013</v>
      </c>
      <c r="L77" s="13">
        <f ca="1">+L74-L80-L78</f>
        <v>16585326.931923557</v>
      </c>
      <c r="M77" s="9">
        <f ca="1">SUM(N77:O77)</f>
        <v>218032012.80138281</v>
      </c>
      <c r="N77" s="13">
        <f ca="1">+N74-N80-N78</f>
        <v>28867976.052056193</v>
      </c>
      <c r="O77" s="13">
        <f ca="1">+O74-O80-O78</f>
        <v>189164036.74932662</v>
      </c>
      <c r="P77" s="9">
        <f t="shared" ca="1" si="58"/>
        <v>50209141.550451651</v>
      </c>
      <c r="Q77" s="13">
        <f t="shared" ref="Q77:V77" ca="1" si="61">+Q74-Q80-Q78</f>
        <v>40840093.287214883</v>
      </c>
      <c r="R77" s="13">
        <f t="shared" ca="1" si="61"/>
        <v>2956297.7490608413</v>
      </c>
      <c r="S77" s="13">
        <f t="shared" ca="1" si="61"/>
        <v>6412750.5141759282</v>
      </c>
      <c r="T77" s="13">
        <f t="shared" ca="1" si="61"/>
        <v>16068.328938787485</v>
      </c>
      <c r="U77" s="13">
        <f t="shared" ca="1" si="61"/>
        <v>28274936.236523345</v>
      </c>
      <c r="V77" s="13">
        <f t="shared" ca="1" si="61"/>
        <v>1861985.4028035237</v>
      </c>
      <c r="W77" s="27" t="str">
        <f t="shared" ca="1" si="4"/>
        <v>OK</v>
      </c>
      <c r="X77" s="146">
        <f ca="1">+'II-I TOTAL COMPANY'!K77-Distribution!H77</f>
        <v>-26.199999928474426</v>
      </c>
    </row>
    <row r="78" spans="1:24" x14ac:dyDescent="0.2">
      <c r="A78" s="3">
        <f t="shared" si="42"/>
        <v>22</v>
      </c>
      <c r="B78" s="3" t="s">
        <v>507</v>
      </c>
      <c r="C78" s="1"/>
      <c r="D78" s="3"/>
      <c r="E78" s="3"/>
      <c r="F78" s="11"/>
      <c r="G78" s="11"/>
      <c r="H78" s="9">
        <f>+I78+J78</f>
        <v>25990115.611000001</v>
      </c>
      <c r="I78" s="66">
        <v>0</v>
      </c>
      <c r="J78" s="66">
        <f t="shared" si="60"/>
        <v>25990115.611000001</v>
      </c>
      <c r="K78" s="13">
        <f t="shared" ref="K78:V78" si="62">K40</f>
        <v>15127423.341131372</v>
      </c>
      <c r="L78" s="13">
        <f t="shared" si="62"/>
        <v>558594.36578333774</v>
      </c>
      <c r="M78" s="9">
        <f>SUM(N78:O78)</f>
        <v>7773135.941387957</v>
      </c>
      <c r="N78" s="13">
        <f t="shared" si="62"/>
        <v>1036465.2824708235</v>
      </c>
      <c r="O78" s="13">
        <f t="shared" si="62"/>
        <v>6736670.6589171337</v>
      </c>
      <c r="P78" s="9">
        <f t="shared" si="58"/>
        <v>1915541.8282882329</v>
      </c>
      <c r="Q78" s="13">
        <f t="shared" si="62"/>
        <v>1558245.6136604871</v>
      </c>
      <c r="R78" s="13">
        <f t="shared" si="62"/>
        <v>112816.11065872089</v>
      </c>
      <c r="S78" s="13">
        <f>S40</f>
        <v>244480.10396902502</v>
      </c>
      <c r="T78" s="13">
        <f t="shared" si="62"/>
        <v>12.506463304480716</v>
      </c>
      <c r="U78" s="13">
        <f t="shared" si="62"/>
        <v>544278.97345679603</v>
      </c>
      <c r="V78" s="13">
        <f t="shared" si="62"/>
        <v>71128.654489000284</v>
      </c>
      <c r="W78" s="27" t="str">
        <f t="shared" si="4"/>
        <v>OK</v>
      </c>
      <c r="X78" s="143">
        <f>+'II-I TOTAL COMPANY'!K78-Distribution!H78</f>
        <v>0</v>
      </c>
    </row>
    <row r="79" spans="1:24" x14ac:dyDescent="0.2">
      <c r="A79" s="3">
        <f t="shared" si="42"/>
        <v>23</v>
      </c>
      <c r="B79" s="3" t="s">
        <v>508</v>
      </c>
      <c r="C79" s="1"/>
      <c r="D79" s="3"/>
      <c r="E79" s="3"/>
      <c r="F79" s="11"/>
      <c r="G79" s="11"/>
      <c r="H79" s="9">
        <f>+I79+J79</f>
        <v>0</v>
      </c>
      <c r="I79" s="66">
        <v>0</v>
      </c>
      <c r="J79" s="66">
        <f t="shared" si="60"/>
        <v>0</v>
      </c>
      <c r="K79" s="13">
        <v>0</v>
      </c>
      <c r="L79" s="13">
        <v>0</v>
      </c>
      <c r="M79" s="9">
        <f>SUM(N79:O79)</f>
        <v>0</v>
      </c>
      <c r="N79" s="13">
        <v>0</v>
      </c>
      <c r="O79" s="13">
        <v>0</v>
      </c>
      <c r="P79" s="9">
        <f t="shared" si="58"/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27" t="str">
        <f t="shared" si="4"/>
        <v>OK</v>
      </c>
      <c r="X79" s="143">
        <f>+'II-I TOTAL COMPANY'!K79-Distribution!H79</f>
        <v>0</v>
      </c>
    </row>
    <row r="80" spans="1:24" x14ac:dyDescent="0.2">
      <c r="A80" s="3">
        <f t="shared" si="42"/>
        <v>24</v>
      </c>
      <c r="B80" s="3" t="s">
        <v>511</v>
      </c>
      <c r="C80" s="1"/>
      <c r="D80" s="3"/>
      <c r="E80" s="3"/>
      <c r="F80" s="11"/>
      <c r="G80" s="11"/>
      <c r="H80" s="9">
        <f>+I80+J80</f>
        <v>51762292.913373291</v>
      </c>
      <c r="I80" s="66">
        <v>0</v>
      </c>
      <c r="J80" s="66">
        <f t="shared" si="60"/>
        <v>51762292.913373291</v>
      </c>
      <c r="K80" s="13">
        <f>+K69+K68+K70+K71</f>
        <v>23321633.18082308</v>
      </c>
      <c r="L80" s="13">
        <f t="shared" ref="L80:V80" si="63">+L69+L68+L70+L71</f>
        <v>985252.86259934085</v>
      </c>
      <c r="M80" s="9">
        <f>SUM(N80:O80)</f>
        <v>17553758.714965492</v>
      </c>
      <c r="N80" s="13">
        <f t="shared" si="63"/>
        <v>2398321.3904083222</v>
      </c>
      <c r="O80" s="13">
        <f t="shared" si="63"/>
        <v>15155437.324557168</v>
      </c>
      <c r="P80" s="9">
        <f t="shared" si="58"/>
        <v>4558360.2862402443</v>
      </c>
      <c r="Q80" s="13">
        <f t="shared" si="63"/>
        <v>4219751.7849725531</v>
      </c>
      <c r="R80" s="13">
        <f t="shared" si="63"/>
        <v>216654.4401528076</v>
      </c>
      <c r="S80" s="13">
        <f>+S69+S68+S70+S71</f>
        <v>121954.06111488414</v>
      </c>
      <c r="T80" s="13">
        <f t="shared" si="63"/>
        <v>4870260.6561981272</v>
      </c>
      <c r="U80" s="13">
        <f t="shared" si="63"/>
        <v>473027.21254701348</v>
      </c>
      <c r="V80" s="13">
        <f t="shared" si="63"/>
        <v>0</v>
      </c>
      <c r="W80" s="27" t="str">
        <f t="shared" si="4"/>
        <v>OK</v>
      </c>
      <c r="X80" s="143">
        <f>+'II-I TOTAL COMPANY'!K80-Distribution!H80</f>
        <v>0</v>
      </c>
    </row>
    <row r="81" spans="1:24" x14ac:dyDescent="0.2">
      <c r="A81" s="3">
        <f t="shared" si="42"/>
        <v>25</v>
      </c>
      <c r="B81" s="3" t="s">
        <v>509</v>
      </c>
      <c r="C81" s="3"/>
      <c r="D81" s="3"/>
      <c r="E81" s="3"/>
      <c r="F81" s="11"/>
      <c r="G81" s="11"/>
      <c r="H81" s="9">
        <f ca="1">+I81+J81</f>
        <v>824265386.09166729</v>
      </c>
      <c r="I81" s="66">
        <v>0</v>
      </c>
      <c r="J81" s="66">
        <f t="shared" ca="1" si="60"/>
        <v>824265386.09166729</v>
      </c>
      <c r="K81" s="13">
        <f ca="1">SUM(K77:K80)</f>
        <v>469982562.8372246</v>
      </c>
      <c r="L81" s="13">
        <f t="shared" ref="L81:V81" ca="1" si="64">SUM(L77:L80)</f>
        <v>18129174.160306234</v>
      </c>
      <c r="M81" s="9">
        <f ca="1">SUM(N81:O81)</f>
        <v>243358907.45773625</v>
      </c>
      <c r="N81" s="13">
        <f t="shared" ca="1" si="64"/>
        <v>32302762.724935338</v>
      </c>
      <c r="O81" s="13">
        <f t="shared" ca="1" si="64"/>
        <v>211056144.7328009</v>
      </c>
      <c r="P81" s="9">
        <f t="shared" ca="1" si="58"/>
        <v>56683043.664980128</v>
      </c>
      <c r="Q81" s="13">
        <f t="shared" ca="1" si="64"/>
        <v>46618090.685847923</v>
      </c>
      <c r="R81" s="13">
        <f t="shared" ca="1" si="64"/>
        <v>3285768.29987237</v>
      </c>
      <c r="S81" s="13">
        <f ca="1">SUM(S77:S80)</f>
        <v>6779184.6792598376</v>
      </c>
      <c r="T81" s="13">
        <f t="shared" ca="1" si="64"/>
        <v>4886341.4916002192</v>
      </c>
      <c r="U81" s="13">
        <f t="shared" ca="1" si="64"/>
        <v>29292242.422527153</v>
      </c>
      <c r="V81" s="13">
        <f t="shared" ca="1" si="64"/>
        <v>1933114.057292524</v>
      </c>
      <c r="W81" s="27" t="str">
        <f t="shared" ca="1" si="4"/>
        <v>OK</v>
      </c>
      <c r="X81" s="143">
        <f ca="1">+'II-I TOTAL COMPANY'!K81-Distribution!H81</f>
        <v>-26.200000047683716</v>
      </c>
    </row>
    <row r="82" spans="1:24" x14ac:dyDescent="0.2">
      <c r="A82" s="3">
        <f t="shared" si="42"/>
        <v>26</v>
      </c>
      <c r="B82" s="3"/>
      <c r="C82" s="3"/>
      <c r="D82" s="3"/>
      <c r="E82" s="3"/>
      <c r="F82" s="3"/>
      <c r="G82" s="3"/>
      <c r="H82" s="6"/>
      <c r="I82" s="6"/>
      <c r="J82" s="6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27" t="str">
        <f t="shared" si="4"/>
        <v>OK</v>
      </c>
      <c r="X82" s="143">
        <f>+'II-I TOTAL COMPANY'!K82-Distribution!H82</f>
        <v>0</v>
      </c>
    </row>
    <row r="83" spans="1:24" x14ac:dyDescent="0.2">
      <c r="A83" s="3">
        <f t="shared" si="42"/>
        <v>27</v>
      </c>
      <c r="B83" s="3" t="s">
        <v>512</v>
      </c>
      <c r="C83" s="3"/>
      <c r="D83" s="3"/>
      <c r="E83" s="3"/>
      <c r="F83" s="11"/>
      <c r="G83" s="11"/>
      <c r="H83" s="9">
        <f ca="1">+I83+J83</f>
        <v>240955553.5268932</v>
      </c>
      <c r="I83" s="66">
        <v>0</v>
      </c>
      <c r="J83" s="66">
        <f ca="1">+K83+L83+M83+P83+T83+U83+V83</f>
        <v>240955553.5268932</v>
      </c>
      <c r="K83" s="13">
        <f t="shared" ref="K83:L86" ca="1" si="65">+K77-K39</f>
        <v>157253259.56331319</v>
      </c>
      <c r="L83" s="13">
        <f t="shared" ca="1" si="65"/>
        <v>2428469.8586771637</v>
      </c>
      <c r="M83" s="9">
        <f ca="1">SUM(N83:O83)</f>
        <v>64942988.708055839</v>
      </c>
      <c r="N83" s="13">
        <f t="shared" ref="N83:O86" ca="1" si="66">+N77-N39</f>
        <v>11227158.61946113</v>
      </c>
      <c r="O83" s="13">
        <f t="shared" ca="1" si="66"/>
        <v>53715830.088594705</v>
      </c>
      <c r="P83" s="9">
        <f t="shared" ca="1" si="58"/>
        <v>16053784.086482748</v>
      </c>
      <c r="Q83" s="13">
        <f t="shared" ref="Q83:V86" ca="1" si="67">+Q77-Q39</f>
        <v>15603438.671588119</v>
      </c>
      <c r="R83" s="13">
        <f t="shared" ca="1" si="67"/>
        <v>651963.21261566458</v>
      </c>
      <c r="S83" s="13">
        <f ca="1">+S77-S39</f>
        <v>-201617.79772103671</v>
      </c>
      <c r="T83" s="13">
        <f t="shared" ca="1" si="67"/>
        <v>-8277392.2030999279</v>
      </c>
      <c r="U83" s="13">
        <f t="shared" ca="1" si="67"/>
        <v>6692459.1106606834</v>
      </c>
      <c r="V83" s="13">
        <f t="shared" ca="1" si="67"/>
        <v>1861984.4028035237</v>
      </c>
      <c r="W83" s="27" t="str">
        <f ca="1">IF((+K83+L83+M83+P83+T83+U83+V83)-H83=0,"OK",(+K83+L83+M83+P83+T83+U83+V83)-H83)</f>
        <v>OK</v>
      </c>
      <c r="X83" s="143">
        <f ca="1">+'II-I TOTAL COMPANY'!K83-Distribution!H83</f>
        <v>-25.199999868869781</v>
      </c>
    </row>
    <row r="84" spans="1:24" x14ac:dyDescent="0.2">
      <c r="A84" s="3">
        <f t="shared" si="42"/>
        <v>28</v>
      </c>
      <c r="B84" s="3" t="s">
        <v>513</v>
      </c>
      <c r="C84" s="3"/>
      <c r="D84" s="3"/>
      <c r="E84" s="3"/>
      <c r="F84" s="11"/>
      <c r="G84" s="11"/>
      <c r="H84" s="9">
        <f>+I84+J84</f>
        <v>0</v>
      </c>
      <c r="I84" s="66">
        <v>0</v>
      </c>
      <c r="J84" s="66">
        <f t="shared" ref="J84:J87" si="68">+K84+L84+M84+P84+T84+U84+V84</f>
        <v>0</v>
      </c>
      <c r="K84" s="13">
        <f t="shared" si="65"/>
        <v>0</v>
      </c>
      <c r="L84" s="13">
        <f t="shared" si="65"/>
        <v>0</v>
      </c>
      <c r="M84" s="9">
        <f>SUM(N84:O84)</f>
        <v>0</v>
      </c>
      <c r="N84" s="13">
        <f t="shared" si="66"/>
        <v>0</v>
      </c>
      <c r="O84" s="13">
        <f t="shared" si="66"/>
        <v>0</v>
      </c>
      <c r="P84" s="9">
        <f t="shared" si="58"/>
        <v>0</v>
      </c>
      <c r="Q84" s="13">
        <f t="shared" si="67"/>
        <v>0</v>
      </c>
      <c r="R84" s="13">
        <f t="shared" si="67"/>
        <v>0</v>
      </c>
      <c r="S84" s="13">
        <f>+S78-S40</f>
        <v>0</v>
      </c>
      <c r="T84" s="13">
        <f t="shared" si="67"/>
        <v>0</v>
      </c>
      <c r="U84" s="13">
        <f t="shared" si="67"/>
        <v>0</v>
      </c>
      <c r="V84" s="13">
        <f t="shared" si="67"/>
        <v>0</v>
      </c>
      <c r="W84" s="27" t="str">
        <f>IF((+K84+L84+M84+P84+T84+U84+V84)-H84=0,"OK",(+K84+L84+M84+P84+T84+U84+V84)-H84)</f>
        <v>OK</v>
      </c>
      <c r="X84" s="143">
        <f>+'II-I TOTAL COMPANY'!K84-Distribution!H84</f>
        <v>0</v>
      </c>
    </row>
    <row r="85" spans="1:24" x14ac:dyDescent="0.2">
      <c r="A85" s="3">
        <f t="shared" si="42"/>
        <v>29</v>
      </c>
      <c r="B85" s="3" t="s">
        <v>514</v>
      </c>
      <c r="C85" s="3"/>
      <c r="D85" s="3"/>
      <c r="E85" s="3"/>
      <c r="F85" s="11"/>
      <c r="G85" s="11"/>
      <c r="H85" s="9">
        <f>+I85+J85</f>
        <v>0</v>
      </c>
      <c r="I85" s="66">
        <v>0</v>
      </c>
      <c r="J85" s="66">
        <f t="shared" si="68"/>
        <v>0</v>
      </c>
      <c r="K85" s="13">
        <f t="shared" si="65"/>
        <v>0</v>
      </c>
      <c r="L85" s="13">
        <f t="shared" si="65"/>
        <v>0</v>
      </c>
      <c r="M85" s="9">
        <f>SUM(N85:O85)</f>
        <v>0</v>
      </c>
      <c r="N85" s="13">
        <f t="shared" si="66"/>
        <v>0</v>
      </c>
      <c r="O85" s="13">
        <f t="shared" si="66"/>
        <v>0</v>
      </c>
      <c r="P85" s="9">
        <f t="shared" si="58"/>
        <v>0</v>
      </c>
      <c r="Q85" s="13">
        <f t="shared" si="67"/>
        <v>0</v>
      </c>
      <c r="R85" s="13">
        <f t="shared" si="67"/>
        <v>0</v>
      </c>
      <c r="S85" s="13">
        <f>+S79-S41</f>
        <v>0</v>
      </c>
      <c r="T85" s="13">
        <f t="shared" si="67"/>
        <v>0</v>
      </c>
      <c r="U85" s="13">
        <f t="shared" si="67"/>
        <v>0</v>
      </c>
      <c r="V85" s="13">
        <f t="shared" si="67"/>
        <v>0</v>
      </c>
      <c r="W85" s="27" t="str">
        <f>IF((+K85+L85+M85+P85+T85+U85+V85)-H85=0,"OK",(+K85+L85+M85+P85+T85+U85+V85)-H85)</f>
        <v>OK</v>
      </c>
      <c r="X85" s="143">
        <f>+'II-I TOTAL COMPANY'!K85-Distribution!H85</f>
        <v>0</v>
      </c>
    </row>
    <row r="86" spans="1:24" x14ac:dyDescent="0.2">
      <c r="A86" s="3">
        <f t="shared" si="42"/>
        <v>30</v>
      </c>
      <c r="B86" s="3" t="s">
        <v>515</v>
      </c>
      <c r="C86" s="3"/>
      <c r="D86" s="3"/>
      <c r="E86" s="3"/>
      <c r="F86" s="11"/>
      <c r="G86" s="11"/>
      <c r="H86" s="9">
        <f>+I86+J86</f>
        <v>51762292.913373291</v>
      </c>
      <c r="I86" s="66">
        <v>0</v>
      </c>
      <c r="J86" s="66">
        <f t="shared" si="68"/>
        <v>51762292.913373291</v>
      </c>
      <c r="K86" s="13">
        <f t="shared" si="65"/>
        <v>23321633.18082308</v>
      </c>
      <c r="L86" s="13">
        <f t="shared" si="65"/>
        <v>985252.86259934085</v>
      </c>
      <c r="M86" s="9">
        <f>SUM(N86:O86)</f>
        <v>17553758.714965492</v>
      </c>
      <c r="N86" s="13">
        <f t="shared" si="66"/>
        <v>2398321.3904083222</v>
      </c>
      <c r="O86" s="13">
        <f t="shared" si="66"/>
        <v>15155437.324557168</v>
      </c>
      <c r="P86" s="9">
        <f t="shared" si="58"/>
        <v>4558360.2862402443</v>
      </c>
      <c r="Q86" s="13">
        <f t="shared" si="67"/>
        <v>4219751.7849725531</v>
      </c>
      <c r="R86" s="13">
        <f t="shared" si="67"/>
        <v>216654.4401528076</v>
      </c>
      <c r="S86" s="13">
        <f>+S80-S42</f>
        <v>121954.06111488414</v>
      </c>
      <c r="T86" s="13">
        <f t="shared" si="67"/>
        <v>4870260.6561981272</v>
      </c>
      <c r="U86" s="13">
        <f t="shared" si="67"/>
        <v>473027.21254701348</v>
      </c>
      <c r="V86" s="13">
        <f t="shared" si="67"/>
        <v>0</v>
      </c>
      <c r="W86" s="27" t="str">
        <f>IF((+K86+L86+M86+P86+T86+U86+V86)-H86=0,"OK",(+K86+L86+M86+P86+T86+U86+V86)-H86)</f>
        <v>OK</v>
      </c>
      <c r="X86" s="143">
        <f>+'II-I TOTAL COMPANY'!K86-Distribution!H86</f>
        <v>0</v>
      </c>
    </row>
    <row r="87" spans="1:24" x14ac:dyDescent="0.2">
      <c r="A87" s="3">
        <f t="shared" si="42"/>
        <v>31</v>
      </c>
      <c r="B87" s="3" t="s">
        <v>516</v>
      </c>
      <c r="C87" s="3"/>
      <c r="D87" s="3"/>
      <c r="E87" s="3"/>
      <c r="F87" s="11"/>
      <c r="G87" s="11"/>
      <c r="H87" s="9">
        <f ca="1">+I87+J87</f>
        <v>292717846.44026649</v>
      </c>
      <c r="I87" s="66">
        <v>0</v>
      </c>
      <c r="J87" s="66">
        <f t="shared" ca="1" si="68"/>
        <v>292717846.44026649</v>
      </c>
      <c r="K87" s="13">
        <f ca="1">SUM(K83:K86)</f>
        <v>180574892.74413627</v>
      </c>
      <c r="L87" s="13">
        <f t="shared" ref="L87:V87" ca="1" si="69">SUM(L83:L86)</f>
        <v>3413722.7212765045</v>
      </c>
      <c r="M87" s="9">
        <f ca="1">SUM(N87:O87)</f>
        <v>82496747.423021331</v>
      </c>
      <c r="N87" s="13">
        <f t="shared" ca="1" si="69"/>
        <v>13625480.009869453</v>
      </c>
      <c r="O87" s="13">
        <f t="shared" ca="1" si="69"/>
        <v>68871267.413151875</v>
      </c>
      <c r="P87" s="9">
        <f t="shared" ca="1" si="58"/>
        <v>20612144.372722991</v>
      </c>
      <c r="Q87" s="13">
        <f t="shared" ca="1" si="69"/>
        <v>19823190.456560671</v>
      </c>
      <c r="R87" s="13">
        <f t="shared" ca="1" si="69"/>
        <v>868617.65276847221</v>
      </c>
      <c r="S87" s="13">
        <f ca="1">SUM(S83:S86)</f>
        <v>-79663.736606152568</v>
      </c>
      <c r="T87" s="13">
        <f t="shared" ca="1" si="69"/>
        <v>-3407131.5469018007</v>
      </c>
      <c r="U87" s="13">
        <f t="shared" ca="1" si="69"/>
        <v>7165486.3232076969</v>
      </c>
      <c r="V87" s="13">
        <f t="shared" ca="1" si="69"/>
        <v>1861984.4028035237</v>
      </c>
      <c r="W87" s="27" t="str">
        <f ca="1">IF((+K87+L87+M87+P87+T87+U87+V87)-H87=0,"OK",(+K87+L87+M87+P87+T87+U87+V87)-H87)</f>
        <v>OK</v>
      </c>
      <c r="X87" s="143">
        <f ca="1">+'II-I TOTAL COMPANY'!K87-Distribution!H87</f>
        <v>-25.199999868869781</v>
      </c>
    </row>
    <row r="88" spans="1:24" x14ac:dyDescent="0.2">
      <c r="A88" s="3"/>
      <c r="B88" s="69"/>
      <c r="C88" s="4"/>
      <c r="D88" s="3"/>
      <c r="E88" s="3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2"/>
      <c r="W88" s="4"/>
    </row>
    <row r="89" spans="1:24" x14ac:dyDescent="0.2">
      <c r="A89" s="3"/>
      <c r="B89" s="4"/>
      <c r="C89" s="4"/>
      <c r="D89" s="3"/>
      <c r="E89" s="3"/>
      <c r="F89" s="3"/>
      <c r="G89" s="3"/>
      <c r="H89" s="6"/>
      <c r="I89" s="6"/>
      <c r="J89" s="6"/>
      <c r="K89" s="13"/>
      <c r="L89" s="1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</row>
    <row r="90" spans="1:24" x14ac:dyDescent="0.2">
      <c r="A90" s="3"/>
      <c r="B90" s="7" t="s">
        <v>22</v>
      </c>
      <c r="C90" s="3"/>
      <c r="D90" s="3"/>
      <c r="E90" s="3"/>
      <c r="F90" s="3"/>
      <c r="G90" s="3"/>
      <c r="H90" s="5"/>
      <c r="I90" s="8"/>
      <c r="J90" s="8"/>
      <c r="K90" s="8"/>
      <c r="L90" s="8"/>
      <c r="M90" s="3"/>
      <c r="N90" s="3"/>
      <c r="O90" s="3"/>
      <c r="P90" s="3"/>
      <c r="Q90" s="3"/>
      <c r="R90" s="3"/>
      <c r="S90" s="3"/>
      <c r="T90" s="3"/>
      <c r="U90" s="3"/>
      <c r="V90" s="3"/>
      <c r="W90" s="4"/>
    </row>
    <row r="91" spans="1:24" x14ac:dyDescent="0.2">
      <c r="A91" s="3"/>
      <c r="B91" s="3"/>
      <c r="C91" s="3"/>
      <c r="D91" s="3"/>
      <c r="E91" s="3"/>
      <c r="F91" s="3"/>
      <c r="G91" s="3"/>
      <c r="H91" s="5"/>
      <c r="I91" s="5"/>
      <c r="J91" s="5"/>
      <c r="K91" s="5"/>
      <c r="L91" s="5"/>
      <c r="M91" s="3"/>
      <c r="N91" s="3"/>
      <c r="O91" s="3"/>
      <c r="P91" s="3"/>
      <c r="Q91" s="3"/>
      <c r="R91" s="3"/>
      <c r="S91" s="3"/>
      <c r="T91" s="3"/>
      <c r="U91" s="3"/>
      <c r="V91" s="3"/>
      <c r="W91" s="4"/>
    </row>
    <row r="92" spans="1:24" x14ac:dyDescent="0.2">
      <c r="A92" s="3">
        <v>1</v>
      </c>
      <c r="B92" s="3" t="s">
        <v>23</v>
      </c>
      <c r="C92" s="3"/>
      <c r="D92" s="3"/>
      <c r="E92" s="3"/>
      <c r="F92" s="3"/>
      <c r="G92" s="3"/>
      <c r="H92" s="5"/>
      <c r="I92" s="5"/>
      <c r="J92" s="5"/>
      <c r="K92" s="5"/>
      <c r="L92" s="5"/>
      <c r="M92" s="3"/>
      <c r="N92" s="3"/>
      <c r="O92" s="3"/>
      <c r="P92" s="3"/>
      <c r="Q92" s="3"/>
      <c r="R92" s="3"/>
      <c r="S92" s="3"/>
      <c r="T92" s="3"/>
      <c r="U92" s="3"/>
      <c r="V92" s="3"/>
      <c r="W92" s="27">
        <f>SUM(Q94:V94,N94:O94,K94:L94)</f>
        <v>0</v>
      </c>
    </row>
    <row r="93" spans="1:24" x14ac:dyDescent="0.2">
      <c r="A93" s="3">
        <f>+A92+1</f>
        <v>2</v>
      </c>
      <c r="B93" s="3" t="s">
        <v>24</v>
      </c>
      <c r="C93" s="3" t="s">
        <v>25</v>
      </c>
      <c r="D93" s="1" t="s">
        <v>323</v>
      </c>
      <c r="E93" s="4" t="s">
        <v>595</v>
      </c>
      <c r="F93" s="11"/>
      <c r="G93" s="1"/>
      <c r="H93" s="14">
        <f>'II-I TOTAL COMPANY'!K93</f>
        <v>17344.857570852197</v>
      </c>
      <c r="I93" s="66">
        <v>0</v>
      </c>
      <c r="J93" s="66">
        <f>SUM(K93:V93)-M93-P93</f>
        <v>17344.857570852197</v>
      </c>
      <c r="K93" s="66">
        <f t="shared" ref="K93:L95" si="70">VLOOKUP($D93,$E$741:$V$815,K$1,FALSE)*$H93</f>
        <v>9967.8086733519795</v>
      </c>
      <c r="L93" s="66">
        <f t="shared" si="70"/>
        <v>368.65326771496103</v>
      </c>
      <c r="M93" s="9">
        <f>SUM(N93:O93)</f>
        <v>5120.4914004544762</v>
      </c>
      <c r="N93" s="66">
        <f t="shared" ref="N93:O95" si="71">VLOOKUP($D93,$E$741:$V$815,N$1,FALSE)*$H93</f>
        <v>682.01956242341146</v>
      </c>
      <c r="O93" s="66">
        <f t="shared" si="71"/>
        <v>4438.4718380310651</v>
      </c>
      <c r="P93" s="9">
        <f>SUM(Q93:S93)</f>
        <v>1350.3894085270767</v>
      </c>
      <c r="Q93" s="66">
        <f t="shared" ref="Q93:V95" si="72">VLOOKUP($D93,$E$741:$V$815,Q$1,FALSE)*$H93</f>
        <v>1098.5091708116602</v>
      </c>
      <c r="R93" s="66">
        <f t="shared" si="72"/>
        <v>79.499845486594481</v>
      </c>
      <c r="S93" s="66">
        <f t="shared" si="72"/>
        <v>172.38039222882196</v>
      </c>
      <c r="T93" s="66">
        <f t="shared" si="72"/>
        <v>9.3457624723087107E-2</v>
      </c>
      <c r="U93" s="66">
        <f t="shared" si="72"/>
        <v>487.29093482111261</v>
      </c>
      <c r="V93" s="66">
        <f t="shared" si="72"/>
        <v>50.130428357867537</v>
      </c>
      <c r="W93" s="27">
        <f t="shared" ref="W93:W124" si="73">IF((+K93+L93+M93+P93+T93+U93+V93)-H93=0,"OK",(+K93+L93+M93+P93+T93+U93+V93)-H93)</f>
        <v>3.637978807091713E-12</v>
      </c>
    </row>
    <row r="94" spans="1:24" x14ac:dyDescent="0.2">
      <c r="A94" s="3">
        <f>+A93+1</f>
        <v>3</v>
      </c>
      <c r="B94" s="3" t="s">
        <v>26</v>
      </c>
      <c r="C94" s="3" t="s">
        <v>27</v>
      </c>
      <c r="D94" s="1" t="s">
        <v>323</v>
      </c>
      <c r="E94" s="4" t="s">
        <v>595</v>
      </c>
      <c r="F94" s="11"/>
      <c r="G94" s="1"/>
      <c r="H94" s="14">
        <f>'II-I TOTAL COMPANY'!K94</f>
        <v>0</v>
      </c>
      <c r="I94" s="66">
        <v>0</v>
      </c>
      <c r="J94" s="66">
        <f t="shared" ref="J94:J96" si="74">SUM(K94:V94)-M94-P94</f>
        <v>0</v>
      </c>
      <c r="K94" s="66">
        <f t="shared" si="70"/>
        <v>0</v>
      </c>
      <c r="L94" s="66">
        <f t="shared" si="70"/>
        <v>0</v>
      </c>
      <c r="M94" s="9">
        <f>SUM(N94:O94)</f>
        <v>0</v>
      </c>
      <c r="N94" s="66">
        <f t="shared" si="71"/>
        <v>0</v>
      </c>
      <c r="O94" s="66">
        <f t="shared" si="71"/>
        <v>0</v>
      </c>
      <c r="P94" s="9">
        <f>SUM(Q94:S94)</f>
        <v>0</v>
      </c>
      <c r="Q94" s="66">
        <f t="shared" si="72"/>
        <v>0</v>
      </c>
      <c r="R94" s="66">
        <f t="shared" si="72"/>
        <v>0</v>
      </c>
      <c r="S94" s="66">
        <f t="shared" si="72"/>
        <v>0</v>
      </c>
      <c r="T94" s="66">
        <f t="shared" si="72"/>
        <v>0</v>
      </c>
      <c r="U94" s="66">
        <f t="shared" si="72"/>
        <v>0</v>
      </c>
      <c r="V94" s="66">
        <f t="shared" si="72"/>
        <v>0</v>
      </c>
      <c r="W94" s="27" t="str">
        <f t="shared" si="73"/>
        <v>OK</v>
      </c>
    </row>
    <row r="95" spans="1:24" x14ac:dyDescent="0.2">
      <c r="A95" s="3">
        <f>+A94+1</f>
        <v>4</v>
      </c>
      <c r="B95" s="3" t="s">
        <v>28</v>
      </c>
      <c r="C95" s="3" t="s">
        <v>29</v>
      </c>
      <c r="D95" s="1" t="s">
        <v>323</v>
      </c>
      <c r="E95" s="4" t="s">
        <v>595</v>
      </c>
      <c r="F95" s="11"/>
      <c r="G95" s="1"/>
      <c r="H95" s="14">
        <f>'II-I TOTAL COMPANY'!K95</f>
        <v>152351694.95427456</v>
      </c>
      <c r="I95" s="66">
        <v>0</v>
      </c>
      <c r="J95" s="66">
        <f t="shared" si="74"/>
        <v>152351694.95427456</v>
      </c>
      <c r="K95" s="66">
        <f t="shared" si="70"/>
        <v>87554051.11640127</v>
      </c>
      <c r="L95" s="66">
        <f t="shared" si="70"/>
        <v>3238132.6832680777</v>
      </c>
      <c r="M95" s="9">
        <f>SUM(N95:O95)</f>
        <v>44976762.74776683</v>
      </c>
      <c r="N95" s="66">
        <f t="shared" si="71"/>
        <v>5990642.2351829205</v>
      </c>
      <c r="O95" s="66">
        <f t="shared" si="71"/>
        <v>38986120.512583911</v>
      </c>
      <c r="P95" s="9">
        <f>SUM(Q95:S95)</f>
        <v>11861389.717211278</v>
      </c>
      <c r="Q95" s="66">
        <f t="shared" si="72"/>
        <v>9648954.07254407</v>
      </c>
      <c r="R95" s="66">
        <f t="shared" si="72"/>
        <v>698301.27800181834</v>
      </c>
      <c r="S95" s="66">
        <f t="shared" si="72"/>
        <v>1514134.3666653901</v>
      </c>
      <c r="T95" s="66">
        <f t="shared" si="72"/>
        <v>820.90195752834109</v>
      </c>
      <c r="U95" s="66">
        <f t="shared" si="72"/>
        <v>4280208.0992932515</v>
      </c>
      <c r="V95" s="66">
        <f t="shared" si="72"/>
        <v>440329.68837631698</v>
      </c>
      <c r="W95" s="27" t="str">
        <f t="shared" si="73"/>
        <v>OK</v>
      </c>
    </row>
    <row r="96" spans="1:24" x14ac:dyDescent="0.2">
      <c r="A96" s="3">
        <f>+A95+1</f>
        <v>5</v>
      </c>
      <c r="B96" s="3"/>
      <c r="C96" s="3" t="s">
        <v>30</v>
      </c>
      <c r="D96" s="3"/>
      <c r="E96" s="27"/>
      <c r="F96" s="11"/>
      <c r="G96" s="11"/>
      <c r="H96" s="11">
        <f t="shared" ref="H96:V96" si="75">SUM(H93:H95)</f>
        <v>152369039.81184542</v>
      </c>
      <c r="I96" s="11">
        <f t="shared" si="75"/>
        <v>0</v>
      </c>
      <c r="J96" s="66">
        <f t="shared" si="74"/>
        <v>152369039.81184539</v>
      </c>
      <c r="K96" s="8">
        <f t="shared" si="75"/>
        <v>87564018.925074622</v>
      </c>
      <c r="L96" s="8">
        <f t="shared" si="75"/>
        <v>3238501.3365357928</v>
      </c>
      <c r="M96" s="9">
        <f>SUM(N96:O96)</f>
        <v>44981883.239167288</v>
      </c>
      <c r="N96" s="8">
        <f t="shared" si="75"/>
        <v>5991324.2547453437</v>
      </c>
      <c r="O96" s="8">
        <f t="shared" si="75"/>
        <v>38990558.984421946</v>
      </c>
      <c r="P96" s="9">
        <f>SUM(Q96:S96)</f>
        <v>11862740.106619805</v>
      </c>
      <c r="Q96" s="8">
        <f t="shared" si="75"/>
        <v>9650052.5817148816</v>
      </c>
      <c r="R96" s="8">
        <f t="shared" si="75"/>
        <v>698380.77784730494</v>
      </c>
      <c r="S96" s="8">
        <f>SUM(S93:S95)</f>
        <v>1514306.7470576188</v>
      </c>
      <c r="T96" s="8">
        <f t="shared" si="75"/>
        <v>820.99541515306419</v>
      </c>
      <c r="U96" s="8">
        <f t="shared" si="75"/>
        <v>4280695.3902280722</v>
      </c>
      <c r="V96" s="8">
        <f t="shared" si="75"/>
        <v>440379.81880467484</v>
      </c>
      <c r="W96" s="27" t="str">
        <f t="shared" si="73"/>
        <v>OK</v>
      </c>
    </row>
    <row r="97" spans="1:23" x14ac:dyDescent="0.2">
      <c r="A97" s="3">
        <f>+A96+1</f>
        <v>6</v>
      </c>
      <c r="B97" s="3"/>
      <c r="C97" s="3"/>
      <c r="D97" s="3"/>
      <c r="E97" s="4"/>
      <c r="F97" s="4"/>
      <c r="G97" s="4"/>
      <c r="H97" s="8"/>
      <c r="I97" s="8"/>
      <c r="J97" s="8"/>
      <c r="K97" s="8"/>
      <c r="L97" s="8"/>
      <c r="M97" s="3"/>
      <c r="N97" s="3"/>
      <c r="O97" s="3"/>
      <c r="P97" s="3"/>
      <c r="Q97" s="3"/>
      <c r="R97" s="3"/>
      <c r="S97" s="3"/>
      <c r="T97" s="3"/>
      <c r="U97" s="3"/>
      <c r="V97" s="3"/>
      <c r="W97" s="27" t="str">
        <f t="shared" si="73"/>
        <v>OK</v>
      </c>
    </row>
    <row r="98" spans="1:23" x14ac:dyDescent="0.2">
      <c r="A98" s="3">
        <f>1+A97</f>
        <v>7</v>
      </c>
      <c r="B98" s="7" t="s">
        <v>32</v>
      </c>
      <c r="C98" s="3"/>
      <c r="D98" s="3"/>
      <c r="E98" s="4"/>
      <c r="F98" s="4"/>
      <c r="G98" s="4"/>
      <c r="H98" s="8"/>
      <c r="I98" s="8"/>
      <c r="J98" s="8"/>
      <c r="K98" s="8"/>
      <c r="L98" s="8"/>
      <c r="M98" s="3"/>
      <c r="N98" s="3"/>
      <c r="O98" s="3"/>
      <c r="P98" s="3"/>
      <c r="Q98" s="3"/>
      <c r="R98" s="3"/>
      <c r="S98" s="3"/>
      <c r="T98" s="3"/>
      <c r="U98" s="3"/>
      <c r="V98" s="3"/>
      <c r="W98" s="27" t="str">
        <f t="shared" si="73"/>
        <v>OK</v>
      </c>
    </row>
    <row r="99" spans="1:23" x14ac:dyDescent="0.2">
      <c r="A99" s="3">
        <f>1+A98</f>
        <v>8</v>
      </c>
      <c r="B99" s="3"/>
      <c r="C99" s="3"/>
      <c r="D99" s="3"/>
      <c r="E99" s="4"/>
      <c r="F99" s="4"/>
      <c r="G99" s="4"/>
      <c r="H99" s="8"/>
      <c r="I99" s="8"/>
      <c r="J99" s="8"/>
      <c r="K99" s="8"/>
      <c r="L99" s="8"/>
      <c r="M99" s="3"/>
      <c r="N99" s="3"/>
      <c r="O99" s="3"/>
      <c r="P99" s="3"/>
      <c r="Q99" s="3"/>
      <c r="R99" s="3"/>
      <c r="S99" s="3"/>
      <c r="T99" s="3"/>
      <c r="U99" s="3"/>
      <c r="V99" s="3"/>
      <c r="W99" s="27" t="str">
        <f t="shared" si="73"/>
        <v>OK</v>
      </c>
    </row>
    <row r="100" spans="1:23" x14ac:dyDescent="0.2">
      <c r="A100" s="3">
        <f>1+A99</f>
        <v>9</v>
      </c>
      <c r="B100" s="3" t="s">
        <v>33</v>
      </c>
      <c r="C100" s="3"/>
      <c r="D100" s="3"/>
      <c r="E100" s="4"/>
      <c r="F100" s="4"/>
      <c r="G100" s="4"/>
      <c r="H100" s="8"/>
      <c r="I100" s="8"/>
      <c r="J100" s="8"/>
      <c r="K100" s="8"/>
      <c r="L100" s="8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27" t="str">
        <f t="shared" si="73"/>
        <v>OK</v>
      </c>
    </row>
    <row r="101" spans="1:23" x14ac:dyDescent="0.2">
      <c r="A101" s="3">
        <f t="shared" ref="A101:A147" si="76">+A100+1</f>
        <v>10</v>
      </c>
      <c r="B101" s="3" t="s">
        <v>34</v>
      </c>
      <c r="C101" s="3" t="s">
        <v>35</v>
      </c>
      <c r="D101" s="1" t="s">
        <v>368</v>
      </c>
      <c r="E101" s="4" t="s">
        <v>595</v>
      </c>
      <c r="F101" s="11"/>
      <c r="G101" s="11"/>
      <c r="H101" s="14">
        <f>'II-I TOTAL COMPANY'!K101</f>
        <v>0</v>
      </c>
      <c r="I101" s="66">
        <v>0</v>
      </c>
      <c r="J101" s="66">
        <f>SUM(K101:V101)-M101-P101</f>
        <v>0</v>
      </c>
      <c r="K101" s="66">
        <f t="shared" ref="K101:L109" si="77">VLOOKUP($D101,$E$741:$V$815,K$1,FALSE)*$H101</f>
        <v>0</v>
      </c>
      <c r="L101" s="66">
        <f t="shared" si="77"/>
        <v>0</v>
      </c>
      <c r="M101" s="9">
        <f t="shared" ref="M101:M109" si="78">SUM(N101:O101)</f>
        <v>0</v>
      </c>
      <c r="N101" s="66">
        <f t="shared" ref="N101:O109" si="79">VLOOKUP($D101,$E$741:$V$815,N$1,FALSE)*$H101</f>
        <v>0</v>
      </c>
      <c r="O101" s="66">
        <f t="shared" si="79"/>
        <v>0</v>
      </c>
      <c r="P101" s="9">
        <f t="shared" ref="P101:P109" si="80">SUM(Q101:S101)</f>
        <v>0</v>
      </c>
      <c r="Q101" s="66">
        <f t="shared" ref="Q101:V109" si="81">VLOOKUP($D101,$E$741:$V$815,Q$1,FALSE)*$H101</f>
        <v>0</v>
      </c>
      <c r="R101" s="66">
        <f t="shared" si="81"/>
        <v>0</v>
      </c>
      <c r="S101" s="66">
        <f t="shared" si="81"/>
        <v>0</v>
      </c>
      <c r="T101" s="66">
        <f t="shared" si="81"/>
        <v>0</v>
      </c>
      <c r="U101" s="66">
        <f t="shared" si="81"/>
        <v>0</v>
      </c>
      <c r="V101" s="66">
        <f t="shared" si="81"/>
        <v>0</v>
      </c>
      <c r="W101" s="27" t="str">
        <f t="shared" si="73"/>
        <v>OK</v>
      </c>
    </row>
    <row r="102" spans="1:23" x14ac:dyDescent="0.2">
      <c r="A102" s="3">
        <f t="shared" si="76"/>
        <v>11</v>
      </c>
      <c r="B102" s="3" t="s">
        <v>36</v>
      </c>
      <c r="C102" s="3" t="s">
        <v>31</v>
      </c>
      <c r="D102" s="1" t="s">
        <v>368</v>
      </c>
      <c r="E102" s="4" t="s">
        <v>595</v>
      </c>
      <c r="F102" s="11"/>
      <c r="G102" s="11"/>
      <c r="H102" s="14">
        <f>'II-I TOTAL COMPANY'!K102</f>
        <v>0</v>
      </c>
      <c r="I102" s="66">
        <v>0</v>
      </c>
      <c r="J102" s="66">
        <f t="shared" ref="J102:J109" si="82">SUM(K102:V102)-M102-P102</f>
        <v>0</v>
      </c>
      <c r="K102" s="66">
        <f t="shared" si="77"/>
        <v>0</v>
      </c>
      <c r="L102" s="66">
        <f t="shared" si="77"/>
        <v>0</v>
      </c>
      <c r="M102" s="9">
        <f t="shared" si="78"/>
        <v>0</v>
      </c>
      <c r="N102" s="66">
        <f t="shared" si="79"/>
        <v>0</v>
      </c>
      <c r="O102" s="66">
        <f t="shared" si="79"/>
        <v>0</v>
      </c>
      <c r="P102" s="9">
        <f t="shared" si="80"/>
        <v>0</v>
      </c>
      <c r="Q102" s="66">
        <f t="shared" si="81"/>
        <v>0</v>
      </c>
      <c r="R102" s="66">
        <f t="shared" si="81"/>
        <v>0</v>
      </c>
      <c r="S102" s="66">
        <f t="shared" si="81"/>
        <v>0</v>
      </c>
      <c r="T102" s="66">
        <f t="shared" si="81"/>
        <v>0</v>
      </c>
      <c r="U102" s="66">
        <f t="shared" si="81"/>
        <v>0</v>
      </c>
      <c r="V102" s="66">
        <f t="shared" si="81"/>
        <v>0</v>
      </c>
      <c r="W102" s="27" t="str">
        <f t="shared" si="73"/>
        <v>OK</v>
      </c>
    </row>
    <row r="103" spans="1:23" x14ac:dyDescent="0.2">
      <c r="A103" s="3">
        <f t="shared" si="76"/>
        <v>12</v>
      </c>
      <c r="B103" s="3" t="s">
        <v>37</v>
      </c>
      <c r="C103" s="3" t="s">
        <v>38</v>
      </c>
      <c r="D103" s="1" t="s">
        <v>368</v>
      </c>
      <c r="E103" s="4" t="s">
        <v>595</v>
      </c>
      <c r="F103" s="11"/>
      <c r="G103" s="11"/>
      <c r="H103" s="14">
        <f>'II-I TOTAL COMPANY'!K103</f>
        <v>0</v>
      </c>
      <c r="I103" s="66">
        <v>0</v>
      </c>
      <c r="J103" s="66">
        <f t="shared" si="82"/>
        <v>0</v>
      </c>
      <c r="K103" s="66">
        <f t="shared" si="77"/>
        <v>0</v>
      </c>
      <c r="L103" s="66">
        <f t="shared" si="77"/>
        <v>0</v>
      </c>
      <c r="M103" s="9">
        <f t="shared" si="78"/>
        <v>0</v>
      </c>
      <c r="N103" s="66">
        <f t="shared" si="79"/>
        <v>0</v>
      </c>
      <c r="O103" s="66">
        <f t="shared" si="79"/>
        <v>0</v>
      </c>
      <c r="P103" s="9">
        <f t="shared" si="80"/>
        <v>0</v>
      </c>
      <c r="Q103" s="66">
        <f t="shared" si="81"/>
        <v>0</v>
      </c>
      <c r="R103" s="66">
        <f t="shared" si="81"/>
        <v>0</v>
      </c>
      <c r="S103" s="66">
        <f t="shared" si="81"/>
        <v>0</v>
      </c>
      <c r="T103" s="66">
        <f t="shared" si="81"/>
        <v>0</v>
      </c>
      <c r="U103" s="66">
        <f t="shared" si="81"/>
        <v>0</v>
      </c>
      <c r="V103" s="66">
        <f t="shared" si="81"/>
        <v>0</v>
      </c>
      <c r="W103" s="27" t="str">
        <f t="shared" si="73"/>
        <v>OK</v>
      </c>
    </row>
    <row r="104" spans="1:23" x14ac:dyDescent="0.2">
      <c r="A104" s="3">
        <f t="shared" si="76"/>
        <v>13</v>
      </c>
      <c r="B104" s="3" t="s">
        <v>39</v>
      </c>
      <c r="C104" s="3" t="s">
        <v>40</v>
      </c>
      <c r="D104" s="1" t="s">
        <v>368</v>
      </c>
      <c r="E104" s="4" t="s">
        <v>595</v>
      </c>
      <c r="F104" s="11"/>
      <c r="G104" s="11"/>
      <c r="H104" s="14">
        <f>'II-I TOTAL COMPANY'!K104</f>
        <v>0</v>
      </c>
      <c r="I104" s="66">
        <v>0</v>
      </c>
      <c r="J104" s="66">
        <f t="shared" si="82"/>
        <v>0</v>
      </c>
      <c r="K104" s="66">
        <f t="shared" si="77"/>
        <v>0</v>
      </c>
      <c r="L104" s="66">
        <f t="shared" si="77"/>
        <v>0</v>
      </c>
      <c r="M104" s="9">
        <f t="shared" si="78"/>
        <v>0</v>
      </c>
      <c r="N104" s="66">
        <f t="shared" si="79"/>
        <v>0</v>
      </c>
      <c r="O104" s="66">
        <f t="shared" si="79"/>
        <v>0</v>
      </c>
      <c r="P104" s="9">
        <f t="shared" si="80"/>
        <v>0</v>
      </c>
      <c r="Q104" s="66">
        <f t="shared" si="81"/>
        <v>0</v>
      </c>
      <c r="R104" s="66">
        <f t="shared" si="81"/>
        <v>0</v>
      </c>
      <c r="S104" s="66">
        <f t="shared" si="81"/>
        <v>0</v>
      </c>
      <c r="T104" s="66">
        <f t="shared" si="81"/>
        <v>0</v>
      </c>
      <c r="U104" s="66">
        <f t="shared" si="81"/>
        <v>0</v>
      </c>
      <c r="V104" s="66">
        <f t="shared" si="81"/>
        <v>0</v>
      </c>
      <c r="W104" s="27" t="str">
        <f t="shared" si="73"/>
        <v>OK</v>
      </c>
    </row>
    <row r="105" spans="1:23" x14ac:dyDescent="0.2">
      <c r="A105" s="3">
        <f t="shared" si="76"/>
        <v>14</v>
      </c>
      <c r="B105" s="3" t="s">
        <v>41</v>
      </c>
      <c r="C105" s="3" t="s">
        <v>42</v>
      </c>
      <c r="D105" s="1" t="s">
        <v>368</v>
      </c>
      <c r="E105" s="4" t="s">
        <v>595</v>
      </c>
      <c r="F105" s="11"/>
      <c r="G105" s="11"/>
      <c r="H105" s="14">
        <f>'II-I TOTAL COMPANY'!K105</f>
        <v>0</v>
      </c>
      <c r="I105" s="66">
        <v>0</v>
      </c>
      <c r="J105" s="66">
        <f t="shared" si="82"/>
        <v>0</v>
      </c>
      <c r="K105" s="66">
        <f t="shared" si="77"/>
        <v>0</v>
      </c>
      <c r="L105" s="66">
        <f t="shared" si="77"/>
        <v>0</v>
      </c>
      <c r="M105" s="9">
        <f t="shared" si="78"/>
        <v>0</v>
      </c>
      <c r="N105" s="66">
        <f t="shared" si="79"/>
        <v>0</v>
      </c>
      <c r="O105" s="66">
        <f t="shared" si="79"/>
        <v>0</v>
      </c>
      <c r="P105" s="9">
        <f t="shared" si="80"/>
        <v>0</v>
      </c>
      <c r="Q105" s="66">
        <f t="shared" si="81"/>
        <v>0</v>
      </c>
      <c r="R105" s="66">
        <f t="shared" si="81"/>
        <v>0</v>
      </c>
      <c r="S105" s="66">
        <f t="shared" si="81"/>
        <v>0</v>
      </c>
      <c r="T105" s="66">
        <f t="shared" si="81"/>
        <v>0</v>
      </c>
      <c r="U105" s="66">
        <f t="shared" si="81"/>
        <v>0</v>
      </c>
      <c r="V105" s="66">
        <f t="shared" si="81"/>
        <v>0</v>
      </c>
      <c r="W105" s="27" t="str">
        <f t="shared" si="73"/>
        <v>OK</v>
      </c>
    </row>
    <row r="106" spans="1:23" x14ac:dyDescent="0.2">
      <c r="A106" s="3">
        <f t="shared" si="76"/>
        <v>15</v>
      </c>
      <c r="B106" s="3" t="s">
        <v>43</v>
      </c>
      <c r="C106" s="3" t="s">
        <v>44</v>
      </c>
      <c r="D106" s="1" t="s">
        <v>368</v>
      </c>
      <c r="E106" s="4" t="s">
        <v>595</v>
      </c>
      <c r="F106" s="11"/>
      <c r="G106" s="11"/>
      <c r="H106" s="14">
        <f>'II-I TOTAL COMPANY'!K106</f>
        <v>0</v>
      </c>
      <c r="I106" s="66">
        <v>0</v>
      </c>
      <c r="J106" s="66">
        <f t="shared" si="82"/>
        <v>0</v>
      </c>
      <c r="K106" s="66">
        <f t="shared" si="77"/>
        <v>0</v>
      </c>
      <c r="L106" s="66">
        <f t="shared" si="77"/>
        <v>0</v>
      </c>
      <c r="M106" s="9">
        <f t="shared" si="78"/>
        <v>0</v>
      </c>
      <c r="N106" s="66">
        <f t="shared" si="79"/>
        <v>0</v>
      </c>
      <c r="O106" s="66">
        <f t="shared" si="79"/>
        <v>0</v>
      </c>
      <c r="P106" s="9">
        <f t="shared" si="80"/>
        <v>0</v>
      </c>
      <c r="Q106" s="66">
        <f t="shared" si="81"/>
        <v>0</v>
      </c>
      <c r="R106" s="66">
        <f t="shared" si="81"/>
        <v>0</v>
      </c>
      <c r="S106" s="66">
        <f t="shared" si="81"/>
        <v>0</v>
      </c>
      <c r="T106" s="66">
        <f t="shared" si="81"/>
        <v>0</v>
      </c>
      <c r="U106" s="66">
        <f t="shared" si="81"/>
        <v>0</v>
      </c>
      <c r="V106" s="66">
        <f t="shared" si="81"/>
        <v>0</v>
      </c>
      <c r="W106" s="27" t="str">
        <f t="shared" si="73"/>
        <v>OK</v>
      </c>
    </row>
    <row r="107" spans="1:23" x14ac:dyDescent="0.2">
      <c r="A107" s="3">
        <f t="shared" si="76"/>
        <v>16</v>
      </c>
      <c r="B107" s="3" t="s">
        <v>45</v>
      </c>
      <c r="C107" s="3" t="s">
        <v>46</v>
      </c>
      <c r="D107" s="1" t="s">
        <v>368</v>
      </c>
      <c r="E107" s="4" t="s">
        <v>595</v>
      </c>
      <c r="F107" s="11"/>
      <c r="G107" s="11"/>
      <c r="H107" s="14">
        <f>'II-I TOTAL COMPANY'!K107</f>
        <v>0</v>
      </c>
      <c r="I107" s="66">
        <v>0</v>
      </c>
      <c r="J107" s="66">
        <f t="shared" si="82"/>
        <v>0</v>
      </c>
      <c r="K107" s="66">
        <f t="shared" si="77"/>
        <v>0</v>
      </c>
      <c r="L107" s="66">
        <f t="shared" si="77"/>
        <v>0</v>
      </c>
      <c r="M107" s="9">
        <f t="shared" si="78"/>
        <v>0</v>
      </c>
      <c r="N107" s="66">
        <f t="shared" si="79"/>
        <v>0</v>
      </c>
      <c r="O107" s="66">
        <f t="shared" si="79"/>
        <v>0</v>
      </c>
      <c r="P107" s="9">
        <f t="shared" si="80"/>
        <v>0</v>
      </c>
      <c r="Q107" s="66">
        <f t="shared" si="81"/>
        <v>0</v>
      </c>
      <c r="R107" s="66">
        <f t="shared" si="81"/>
        <v>0</v>
      </c>
      <c r="S107" s="66">
        <f t="shared" si="81"/>
        <v>0</v>
      </c>
      <c r="T107" s="66">
        <f t="shared" si="81"/>
        <v>0</v>
      </c>
      <c r="U107" s="66">
        <f t="shared" si="81"/>
        <v>0</v>
      </c>
      <c r="V107" s="66">
        <f t="shared" si="81"/>
        <v>0</v>
      </c>
      <c r="W107" s="27" t="str">
        <f t="shared" si="73"/>
        <v>OK</v>
      </c>
    </row>
    <row r="108" spans="1:23" x14ac:dyDescent="0.2">
      <c r="A108" s="3">
        <f t="shared" si="76"/>
        <v>17</v>
      </c>
      <c r="B108" s="3" t="s">
        <v>47</v>
      </c>
      <c r="C108" s="3" t="s">
        <v>48</v>
      </c>
      <c r="D108" s="1" t="s">
        <v>368</v>
      </c>
      <c r="E108" s="4" t="s">
        <v>595</v>
      </c>
      <c r="F108" s="11"/>
      <c r="G108" s="11"/>
      <c r="H108" s="14">
        <f>'II-I TOTAL COMPANY'!K108</f>
        <v>0</v>
      </c>
      <c r="I108" s="66">
        <v>0</v>
      </c>
      <c r="J108" s="66">
        <f t="shared" si="82"/>
        <v>0</v>
      </c>
      <c r="K108" s="66">
        <f t="shared" si="77"/>
        <v>0</v>
      </c>
      <c r="L108" s="66">
        <f t="shared" si="77"/>
        <v>0</v>
      </c>
      <c r="M108" s="9">
        <f t="shared" si="78"/>
        <v>0</v>
      </c>
      <c r="N108" s="66">
        <f t="shared" si="79"/>
        <v>0</v>
      </c>
      <c r="O108" s="66">
        <f t="shared" si="79"/>
        <v>0</v>
      </c>
      <c r="P108" s="9">
        <f t="shared" si="80"/>
        <v>0</v>
      </c>
      <c r="Q108" s="66">
        <f t="shared" si="81"/>
        <v>0</v>
      </c>
      <c r="R108" s="66">
        <f t="shared" si="81"/>
        <v>0</v>
      </c>
      <c r="S108" s="66">
        <f t="shared" si="81"/>
        <v>0</v>
      </c>
      <c r="T108" s="66">
        <f t="shared" si="81"/>
        <v>0</v>
      </c>
      <c r="U108" s="66">
        <f t="shared" si="81"/>
        <v>0</v>
      </c>
      <c r="V108" s="66">
        <f t="shared" si="81"/>
        <v>0</v>
      </c>
      <c r="W108" s="27" t="str">
        <f t="shared" si="73"/>
        <v>OK</v>
      </c>
    </row>
    <row r="109" spans="1:23" x14ac:dyDescent="0.2">
      <c r="A109" s="3">
        <f t="shared" si="76"/>
        <v>18</v>
      </c>
      <c r="B109" s="3" t="s">
        <v>49</v>
      </c>
      <c r="C109" s="3" t="s">
        <v>50</v>
      </c>
      <c r="D109" s="1" t="s">
        <v>368</v>
      </c>
      <c r="E109" s="4" t="s">
        <v>595</v>
      </c>
      <c r="F109" s="11"/>
      <c r="G109" s="11"/>
      <c r="H109" s="14">
        <f>'II-I TOTAL COMPANY'!K109</f>
        <v>0</v>
      </c>
      <c r="I109" s="66">
        <v>0</v>
      </c>
      <c r="J109" s="66">
        <f t="shared" si="82"/>
        <v>0</v>
      </c>
      <c r="K109" s="66">
        <f t="shared" si="77"/>
        <v>0</v>
      </c>
      <c r="L109" s="66">
        <f t="shared" si="77"/>
        <v>0</v>
      </c>
      <c r="M109" s="9">
        <f t="shared" si="78"/>
        <v>0</v>
      </c>
      <c r="N109" s="66">
        <f t="shared" si="79"/>
        <v>0</v>
      </c>
      <c r="O109" s="66">
        <f t="shared" si="79"/>
        <v>0</v>
      </c>
      <c r="P109" s="9">
        <f t="shared" si="80"/>
        <v>0</v>
      </c>
      <c r="Q109" s="66">
        <f t="shared" si="81"/>
        <v>0</v>
      </c>
      <c r="R109" s="66">
        <f t="shared" si="81"/>
        <v>0</v>
      </c>
      <c r="S109" s="66">
        <f t="shared" si="81"/>
        <v>0</v>
      </c>
      <c r="T109" s="66">
        <f t="shared" si="81"/>
        <v>0</v>
      </c>
      <c r="U109" s="66">
        <f t="shared" si="81"/>
        <v>0</v>
      </c>
      <c r="V109" s="66">
        <f t="shared" si="81"/>
        <v>0</v>
      </c>
      <c r="W109" s="27" t="str">
        <f t="shared" si="73"/>
        <v>OK</v>
      </c>
    </row>
    <row r="110" spans="1:23" x14ac:dyDescent="0.2">
      <c r="A110" s="3">
        <f t="shared" si="76"/>
        <v>19</v>
      </c>
      <c r="B110" s="3"/>
      <c r="C110" s="3"/>
      <c r="D110" s="1"/>
      <c r="E110" s="4"/>
      <c r="F110" s="4"/>
      <c r="G110" s="4"/>
      <c r="H110" s="14"/>
      <c r="I110" s="66"/>
      <c r="J110" s="66"/>
      <c r="K110" s="66"/>
      <c r="L110" s="66"/>
      <c r="M110" s="12"/>
      <c r="N110" s="66"/>
      <c r="O110" s="66"/>
      <c r="P110" s="66"/>
      <c r="Q110" s="66"/>
      <c r="R110" s="66"/>
      <c r="S110" s="66"/>
      <c r="T110" s="66"/>
      <c r="U110" s="66"/>
      <c r="V110" s="66"/>
      <c r="W110" s="27" t="str">
        <f t="shared" si="73"/>
        <v>OK</v>
      </c>
    </row>
    <row r="111" spans="1:23" x14ac:dyDescent="0.2">
      <c r="A111" s="3">
        <f t="shared" si="76"/>
        <v>20</v>
      </c>
      <c r="B111" s="3"/>
      <c r="C111" s="3" t="s">
        <v>51</v>
      </c>
      <c r="D111" s="3"/>
      <c r="E111" s="4"/>
      <c r="F111" s="11"/>
      <c r="G111" s="11"/>
      <c r="H111" s="11">
        <f>SUM(H101:H109)</f>
        <v>0</v>
      </c>
      <c r="I111" s="11">
        <f>SUM(I101:I109)</f>
        <v>0</v>
      </c>
      <c r="J111" s="11">
        <f>SUM(K111:V111)-M111-P111</f>
        <v>0</v>
      </c>
      <c r="K111" s="8">
        <f>SUM(K101:K109)</f>
        <v>0</v>
      </c>
      <c r="L111" s="8">
        <f>SUM(L101:L109)</f>
        <v>0</v>
      </c>
      <c r="M111" s="9">
        <f>SUM(N111:O111)</f>
        <v>0</v>
      </c>
      <c r="N111" s="8">
        <f>SUM(N101:N109)</f>
        <v>0</v>
      </c>
      <c r="O111" s="8">
        <f>SUM(O101:O109)</f>
        <v>0</v>
      </c>
      <c r="P111" s="9">
        <f>SUM(Q111:S111)</f>
        <v>0</v>
      </c>
      <c r="Q111" s="8">
        <f t="shared" ref="Q111:V111" si="83">SUM(Q101:Q109)</f>
        <v>0</v>
      </c>
      <c r="R111" s="8">
        <f t="shared" si="83"/>
        <v>0</v>
      </c>
      <c r="S111" s="8">
        <f t="shared" si="83"/>
        <v>0</v>
      </c>
      <c r="T111" s="8">
        <f t="shared" si="83"/>
        <v>0</v>
      </c>
      <c r="U111" s="8">
        <f t="shared" si="83"/>
        <v>0</v>
      </c>
      <c r="V111" s="8">
        <f t="shared" si="83"/>
        <v>0</v>
      </c>
      <c r="W111" s="27" t="str">
        <f t="shared" si="73"/>
        <v>OK</v>
      </c>
    </row>
    <row r="112" spans="1:23" x14ac:dyDescent="0.2">
      <c r="A112" s="3">
        <f t="shared" si="76"/>
        <v>21</v>
      </c>
      <c r="B112" s="3"/>
      <c r="C112" s="3"/>
      <c r="D112" s="3"/>
      <c r="E112" s="4"/>
      <c r="F112" s="4"/>
      <c r="G112" s="4"/>
      <c r="H112" s="8"/>
      <c r="I112" s="8"/>
      <c r="J112" s="8"/>
      <c r="K112" s="8"/>
      <c r="L112" s="8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27" t="str">
        <f t="shared" si="73"/>
        <v>OK</v>
      </c>
    </row>
    <row r="113" spans="1:23" x14ac:dyDescent="0.2">
      <c r="A113" s="3">
        <f t="shared" si="76"/>
        <v>22</v>
      </c>
      <c r="B113" s="3" t="s">
        <v>52</v>
      </c>
      <c r="C113" s="3"/>
      <c r="D113" s="3"/>
      <c r="E113" s="4"/>
      <c r="F113" s="4"/>
      <c r="G113" s="4"/>
      <c r="H113" s="8"/>
      <c r="I113" s="8"/>
      <c r="J113" s="8"/>
      <c r="K113" s="8"/>
      <c r="L113" s="8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27" t="str">
        <f t="shared" si="73"/>
        <v>OK</v>
      </c>
    </row>
    <row r="114" spans="1:23" x14ac:dyDescent="0.2">
      <c r="A114" s="3">
        <f t="shared" si="76"/>
        <v>23</v>
      </c>
      <c r="B114" s="3" t="s">
        <v>53</v>
      </c>
      <c r="C114" s="3" t="s">
        <v>35</v>
      </c>
      <c r="D114" s="1" t="s">
        <v>368</v>
      </c>
      <c r="E114" s="4" t="s">
        <v>595</v>
      </c>
      <c r="F114" s="11"/>
      <c r="G114" s="11"/>
      <c r="H114" s="14">
        <f>'II-I TOTAL COMPANY'!K114</f>
        <v>42018494.529999994</v>
      </c>
      <c r="I114" s="66">
        <v>0</v>
      </c>
      <c r="J114" s="66">
        <f>SUM(K114:V114)-M114-P114</f>
        <v>42018494.530000009</v>
      </c>
      <c r="K114" s="66">
        <f t="shared" ref="K114:L117" si="84">VLOOKUP($D114,$E$741:$V$815,K$1,FALSE)*$H114</f>
        <v>23766872.589737553</v>
      </c>
      <c r="L114" s="66">
        <f t="shared" si="84"/>
        <v>829078.06525327987</v>
      </c>
      <c r="M114" s="9">
        <f>SUM(N114:O114)</f>
        <v>12503761.566775557</v>
      </c>
      <c r="N114" s="66">
        <f t="shared" ref="N114:O117" si="85">VLOOKUP($D114,$E$741:$V$815,N$1,FALSE)*$H114</f>
        <v>1678990.7146732565</v>
      </c>
      <c r="O114" s="66">
        <f t="shared" si="85"/>
        <v>10824770.8521023</v>
      </c>
      <c r="P114" s="9">
        <f>SUM(Q114:S114)</f>
        <v>4294045.9375862256</v>
      </c>
      <c r="Q114" s="66">
        <f t="shared" ref="Q114:V117" si="86">VLOOKUP($D114,$E$741:$V$815,Q$1,FALSE)*$H114</f>
        <v>3493193.9912448428</v>
      </c>
      <c r="R114" s="66">
        <f t="shared" si="86"/>
        <v>252787.66103501929</v>
      </c>
      <c r="S114" s="66">
        <f t="shared" si="86"/>
        <v>548064.28530636325</v>
      </c>
      <c r="T114" s="66">
        <f t="shared" si="86"/>
        <v>0</v>
      </c>
      <c r="U114" s="66">
        <f t="shared" si="86"/>
        <v>465283.3026009624</v>
      </c>
      <c r="V114" s="66">
        <f t="shared" si="86"/>
        <v>159453.06804641805</v>
      </c>
      <c r="W114" s="27">
        <f t="shared" si="73"/>
        <v>7.4505805969238281E-9</v>
      </c>
    </row>
    <row r="115" spans="1:23" x14ac:dyDescent="0.2">
      <c r="A115" s="3">
        <f t="shared" si="76"/>
        <v>24</v>
      </c>
      <c r="B115" s="3" t="s">
        <v>54</v>
      </c>
      <c r="C115" s="3" t="s">
        <v>31</v>
      </c>
      <c r="D115" s="1" t="s">
        <v>368</v>
      </c>
      <c r="E115" s="4" t="s">
        <v>595</v>
      </c>
      <c r="F115" s="11"/>
      <c r="G115" s="11"/>
      <c r="H115" s="14">
        <f>'II-I TOTAL COMPANY'!K115</f>
        <v>88124441.371371984</v>
      </c>
      <c r="I115" s="66">
        <v>0</v>
      </c>
      <c r="J115" s="66">
        <f t="shared" ref="J115:J117" si="87">SUM(K115:V115)-M115-P115</f>
        <v>88124441.371371984</v>
      </c>
      <c r="K115" s="66">
        <f t="shared" si="84"/>
        <v>49845726.115194902</v>
      </c>
      <c r="L115" s="66">
        <f t="shared" si="84"/>
        <v>1738806.7366749418</v>
      </c>
      <c r="M115" s="9">
        <f>SUM(N115:O115)</f>
        <v>26223857.266618904</v>
      </c>
      <c r="N115" s="66">
        <f t="shared" si="85"/>
        <v>3521309.3770568594</v>
      </c>
      <c r="O115" s="66">
        <f t="shared" si="85"/>
        <v>22702547.889562044</v>
      </c>
      <c r="P115" s="9">
        <f>SUM(Q115:S115)</f>
        <v>9005805.7459107973</v>
      </c>
      <c r="Q115" s="66">
        <f t="shared" si="86"/>
        <v>7326197.0121394796</v>
      </c>
      <c r="R115" s="66">
        <f t="shared" si="86"/>
        <v>530165.86299592047</v>
      </c>
      <c r="S115" s="66">
        <f t="shared" si="86"/>
        <v>1149442.8707753967</v>
      </c>
      <c r="T115" s="66">
        <f t="shared" si="86"/>
        <v>0</v>
      </c>
      <c r="U115" s="66">
        <f t="shared" si="86"/>
        <v>975828.18184649618</v>
      </c>
      <c r="V115" s="66">
        <f t="shared" si="86"/>
        <v>334417.32512594986</v>
      </c>
      <c r="W115" s="27" t="str">
        <f t="shared" si="73"/>
        <v>OK</v>
      </c>
    </row>
    <row r="116" spans="1:23" x14ac:dyDescent="0.2">
      <c r="A116" s="3">
        <f t="shared" si="76"/>
        <v>25</v>
      </c>
      <c r="B116" s="3" t="s">
        <v>55</v>
      </c>
      <c r="C116" s="3" t="s">
        <v>38</v>
      </c>
      <c r="D116" s="1" t="s">
        <v>368</v>
      </c>
      <c r="E116" s="4" t="s">
        <v>595</v>
      </c>
      <c r="F116" s="11"/>
      <c r="G116" s="11"/>
      <c r="H116" s="14">
        <f>'II-I TOTAL COMPANY'!K116</f>
        <v>937709681.18433952</v>
      </c>
      <c r="I116" s="66">
        <v>0</v>
      </c>
      <c r="J116" s="66">
        <f t="shared" si="87"/>
        <v>937709681.18433976</v>
      </c>
      <c r="K116" s="66">
        <f t="shared" si="84"/>
        <v>530395645.25472832</v>
      </c>
      <c r="L116" s="66">
        <f t="shared" si="84"/>
        <v>18502198.542370819</v>
      </c>
      <c r="M116" s="9">
        <f>SUM(N116:O116)</f>
        <v>279041369.84286445</v>
      </c>
      <c r="N116" s="66">
        <f t="shared" si="85"/>
        <v>37469354.039889395</v>
      </c>
      <c r="O116" s="66">
        <f t="shared" si="85"/>
        <v>241572015.80297506</v>
      </c>
      <c r="P116" s="9">
        <f>SUM(Q116:S116)</f>
        <v>95828479.629369736</v>
      </c>
      <c r="Q116" s="66">
        <f t="shared" si="86"/>
        <v>77956191.921787366</v>
      </c>
      <c r="R116" s="66">
        <f t="shared" si="86"/>
        <v>5641359.5891028903</v>
      </c>
      <c r="S116" s="66">
        <f t="shared" si="86"/>
        <v>12230928.11847947</v>
      </c>
      <c r="T116" s="66">
        <f t="shared" si="86"/>
        <v>0</v>
      </c>
      <c r="U116" s="66">
        <f t="shared" si="86"/>
        <v>10383538.539936002</v>
      </c>
      <c r="V116" s="66">
        <f t="shared" si="86"/>
        <v>3558449.3750702566</v>
      </c>
      <c r="W116" s="27" t="str">
        <f t="shared" si="73"/>
        <v>OK</v>
      </c>
    </row>
    <row r="117" spans="1:23" x14ac:dyDescent="0.2">
      <c r="A117" s="3">
        <f t="shared" si="76"/>
        <v>26</v>
      </c>
      <c r="B117" s="3" t="s">
        <v>56</v>
      </c>
      <c r="C117" s="3" t="s">
        <v>57</v>
      </c>
      <c r="D117" s="1" t="s">
        <v>368</v>
      </c>
      <c r="E117" s="4" t="s">
        <v>595</v>
      </c>
      <c r="F117" s="11"/>
      <c r="G117" s="11"/>
      <c r="H117" s="14">
        <f>'II-I TOTAL COMPANY'!K117</f>
        <v>0</v>
      </c>
      <c r="I117" s="66">
        <v>0</v>
      </c>
      <c r="J117" s="66">
        <f t="shared" si="87"/>
        <v>0</v>
      </c>
      <c r="K117" s="66">
        <f t="shared" si="84"/>
        <v>0</v>
      </c>
      <c r="L117" s="66">
        <f t="shared" si="84"/>
        <v>0</v>
      </c>
      <c r="M117" s="9">
        <f>SUM(N117:O117)</f>
        <v>0</v>
      </c>
      <c r="N117" s="66">
        <f t="shared" si="85"/>
        <v>0</v>
      </c>
      <c r="O117" s="66">
        <f t="shared" si="85"/>
        <v>0</v>
      </c>
      <c r="P117" s="9">
        <f>SUM(Q117:S117)</f>
        <v>0</v>
      </c>
      <c r="Q117" s="66">
        <f t="shared" si="86"/>
        <v>0</v>
      </c>
      <c r="R117" s="66">
        <f t="shared" si="86"/>
        <v>0</v>
      </c>
      <c r="S117" s="66">
        <f t="shared" si="86"/>
        <v>0</v>
      </c>
      <c r="T117" s="66">
        <f t="shared" si="86"/>
        <v>0</v>
      </c>
      <c r="U117" s="66">
        <f t="shared" si="86"/>
        <v>0</v>
      </c>
      <c r="V117" s="66">
        <f t="shared" si="86"/>
        <v>0</v>
      </c>
      <c r="W117" s="27" t="str">
        <f t="shared" si="73"/>
        <v>OK</v>
      </c>
    </row>
    <row r="118" spans="1:23" x14ac:dyDescent="0.2">
      <c r="A118" s="3">
        <f t="shared" si="76"/>
        <v>27</v>
      </c>
      <c r="B118" s="3" t="s">
        <v>58</v>
      </c>
      <c r="C118" s="3" t="s">
        <v>59</v>
      </c>
      <c r="D118" s="3"/>
      <c r="E118" s="4"/>
      <c r="F118" s="4"/>
      <c r="G118" s="4"/>
      <c r="H118" s="10"/>
      <c r="I118" s="10"/>
      <c r="J118" s="10"/>
      <c r="K118" s="10"/>
      <c r="L118" s="1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27" t="str">
        <f t="shared" si="73"/>
        <v>OK</v>
      </c>
    </row>
    <row r="119" spans="1:23" x14ac:dyDescent="0.2">
      <c r="A119" s="3">
        <f t="shared" si="76"/>
        <v>28</v>
      </c>
      <c r="B119" s="3"/>
      <c r="C119" s="3" t="s">
        <v>60</v>
      </c>
      <c r="D119" s="1" t="s">
        <v>368</v>
      </c>
      <c r="E119" s="4" t="s">
        <v>595</v>
      </c>
      <c r="F119" s="11"/>
      <c r="G119" s="11"/>
      <c r="H119" s="14">
        <f>'II-I TOTAL COMPANY'!K119</f>
        <v>853923069.54807723</v>
      </c>
      <c r="I119" s="66">
        <v>0</v>
      </c>
      <c r="J119" s="66">
        <f>SUM(K119:V119)-M119-P119</f>
        <v>853923069.54807711</v>
      </c>
      <c r="K119" s="66">
        <f>VLOOKUP($D119,$E$741:$V$815,K$1,FALSE)*$H119</f>
        <v>483003520.76861411</v>
      </c>
      <c r="L119" s="66">
        <f>VLOOKUP($D119,$E$741:$V$815,L$1,FALSE)*$H119</f>
        <v>16848982.67525012</v>
      </c>
      <c r="M119" s="9">
        <f>SUM(N119:O119)</f>
        <v>254108353.41506606</v>
      </c>
      <c r="N119" s="66">
        <f>VLOOKUP($D119,$E$741:$V$815,N$1,FALSE)*$H119</f>
        <v>34121377.285253897</v>
      </c>
      <c r="O119" s="66">
        <f>VLOOKUP($D119,$E$741:$V$815,O$1,FALSE)*$H119</f>
        <v>219986976.12981218</v>
      </c>
      <c r="P119" s="9">
        <f>SUM(Q119:S119)</f>
        <v>87265974.871758014</v>
      </c>
      <c r="Q119" s="66">
        <f t="shared" ref="Q119:V120" si="88">VLOOKUP($D119,$E$741:$V$815,Q$1,FALSE)*$H119</f>
        <v>70990618.985670164</v>
      </c>
      <c r="R119" s="66">
        <f t="shared" si="88"/>
        <v>5137290.563820269</v>
      </c>
      <c r="S119" s="66">
        <f t="shared" si="88"/>
        <v>11138065.322267577</v>
      </c>
      <c r="T119" s="66">
        <f t="shared" si="88"/>
        <v>0</v>
      </c>
      <c r="U119" s="66">
        <f t="shared" si="88"/>
        <v>9455744.4385069143</v>
      </c>
      <c r="V119" s="66">
        <f t="shared" si="88"/>
        <v>3240493.3788820291</v>
      </c>
      <c r="W119" s="27">
        <f t="shared" si="73"/>
        <v>1.1920928955078125E-7</v>
      </c>
    </row>
    <row r="120" spans="1:23" x14ac:dyDescent="0.2">
      <c r="A120" s="3">
        <f t="shared" si="76"/>
        <v>29</v>
      </c>
      <c r="B120" s="3"/>
      <c r="C120" s="3" t="s">
        <v>61</v>
      </c>
      <c r="D120" s="1" t="s">
        <v>369</v>
      </c>
      <c r="E120" s="4" t="s">
        <v>595</v>
      </c>
      <c r="F120" s="11"/>
      <c r="G120" s="11"/>
      <c r="H120" s="14">
        <f>'II-I TOTAL COMPANY'!K120</f>
        <v>362318305.68063271</v>
      </c>
      <c r="I120" s="66">
        <v>0</v>
      </c>
      <c r="J120" s="66">
        <f>SUM(K120:V120)-M120-P120</f>
        <v>362318305.68063277</v>
      </c>
      <c r="K120" s="66">
        <f>VLOOKUP($D120,$E$741:$V$815,K$1,FALSE)*$H120</f>
        <v>229233968.694482</v>
      </c>
      <c r="L120" s="66">
        <f>VLOOKUP($D120,$E$741:$V$815,L$1,FALSE)*$H120</f>
        <v>7996544.5406399909</v>
      </c>
      <c r="M120" s="9">
        <f>SUM(N120:O120)</f>
        <v>120600086.39080043</v>
      </c>
      <c r="N120" s="66">
        <f>VLOOKUP($D120,$E$741:$V$815,N$1,FALSE)*$H120</f>
        <v>16194040.821842322</v>
      </c>
      <c r="O120" s="66">
        <f>VLOOKUP($D120,$E$741:$V$815,O$1,FALSE)*$H120</f>
        <v>104406045.5689581</v>
      </c>
      <c r="P120" s="9">
        <f>SUM(Q120:S120)</f>
        <v>0</v>
      </c>
      <c r="Q120" s="66">
        <f t="shared" si="88"/>
        <v>0</v>
      </c>
      <c r="R120" s="66">
        <f t="shared" si="88"/>
        <v>0</v>
      </c>
      <c r="S120" s="66">
        <f t="shared" si="88"/>
        <v>0</v>
      </c>
      <c r="T120" s="66">
        <f t="shared" si="88"/>
        <v>0</v>
      </c>
      <c r="U120" s="66">
        <f t="shared" si="88"/>
        <v>4487706.0547103314</v>
      </c>
      <c r="V120" s="66">
        <f t="shared" si="88"/>
        <v>0</v>
      </c>
      <c r="W120" s="27">
        <f t="shared" si="73"/>
        <v>5.9604644775390625E-8</v>
      </c>
    </row>
    <row r="121" spans="1:23" x14ac:dyDescent="0.2">
      <c r="A121" s="3">
        <f t="shared" si="76"/>
        <v>30</v>
      </c>
      <c r="B121" s="3"/>
      <c r="C121" s="3" t="s">
        <v>62</v>
      </c>
      <c r="D121" s="3"/>
      <c r="E121" s="4"/>
      <c r="F121" s="11"/>
      <c r="G121" s="11"/>
      <c r="H121" s="8">
        <f>SUM(H119:H120)</f>
        <v>1216241375.2287099</v>
      </c>
      <c r="I121" s="66">
        <v>0</v>
      </c>
      <c r="J121" s="66">
        <f>SUM(K121:V121)-M121-P121</f>
        <v>1216241375.2287099</v>
      </c>
      <c r="K121" s="8">
        <f t="shared" ref="K121:V121" si="89">SUM(K119:K120)</f>
        <v>712237489.46309614</v>
      </c>
      <c r="L121" s="8">
        <f t="shared" si="89"/>
        <v>24845527.21589011</v>
      </c>
      <c r="M121" s="9">
        <f>SUM(N121:O121)</f>
        <v>374708439.80586648</v>
      </c>
      <c r="N121" s="8">
        <f t="shared" si="89"/>
        <v>50315418.107096218</v>
      </c>
      <c r="O121" s="8">
        <f t="shared" si="89"/>
        <v>324393021.69877028</v>
      </c>
      <c r="P121" s="9">
        <f>SUM(Q121:S121)</f>
        <v>87265974.871758014</v>
      </c>
      <c r="Q121" s="8">
        <f t="shared" si="89"/>
        <v>70990618.985670164</v>
      </c>
      <c r="R121" s="8">
        <f t="shared" si="89"/>
        <v>5137290.563820269</v>
      </c>
      <c r="S121" s="8">
        <f>SUM(S119:S120)</f>
        <v>11138065.322267577</v>
      </c>
      <c r="T121" s="8">
        <f t="shared" si="89"/>
        <v>0</v>
      </c>
      <c r="U121" s="8">
        <f t="shared" si="89"/>
        <v>13943450.493217245</v>
      </c>
      <c r="V121" s="8">
        <f t="shared" si="89"/>
        <v>3240493.3788820291</v>
      </c>
      <c r="W121" s="27" t="str">
        <f t="shared" si="73"/>
        <v>OK</v>
      </c>
    </row>
    <row r="122" spans="1:23" x14ac:dyDescent="0.2">
      <c r="A122" s="3">
        <f t="shared" si="76"/>
        <v>31</v>
      </c>
      <c r="B122" s="3" t="s">
        <v>63</v>
      </c>
      <c r="C122" s="3" t="s">
        <v>44</v>
      </c>
      <c r="D122" s="3"/>
      <c r="E122" s="4"/>
      <c r="F122" s="11"/>
      <c r="G122" s="11"/>
      <c r="H122" s="10"/>
      <c r="I122" s="10"/>
      <c r="J122" s="10"/>
      <c r="K122" s="10"/>
      <c r="L122" s="10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27" t="str">
        <f t="shared" si="73"/>
        <v>OK</v>
      </c>
    </row>
    <row r="123" spans="1:23" x14ac:dyDescent="0.2">
      <c r="A123" s="3">
        <f t="shared" si="76"/>
        <v>32</v>
      </c>
      <c r="B123" s="3"/>
      <c r="C123" s="3" t="s">
        <v>60</v>
      </c>
      <c r="D123" s="1" t="s">
        <v>368</v>
      </c>
      <c r="E123" s="4" t="s">
        <v>595</v>
      </c>
      <c r="F123" s="11"/>
      <c r="G123" s="11"/>
      <c r="H123" s="14">
        <f>'II-I TOTAL COMPANY'!K123</f>
        <v>905630038.81617165</v>
      </c>
      <c r="I123" s="66">
        <v>0</v>
      </c>
      <c r="J123" s="66">
        <f t="shared" ref="J123:J125" si="90">SUM(K123:V123)-M123-P123</f>
        <v>905630038.81617153</v>
      </c>
      <c r="K123" s="66">
        <f>VLOOKUP($D123,$E$741:$V$815,K$1,FALSE)*$H123</f>
        <v>512250474.14812815</v>
      </c>
      <c r="L123" s="66">
        <f>VLOOKUP($D123,$E$741:$V$815,L$1,FALSE)*$H123</f>
        <v>17869226.606414653</v>
      </c>
      <c r="M123" s="9">
        <f>SUM(N123:O123)</f>
        <v>269495187.7674306</v>
      </c>
      <c r="N123" s="66">
        <f>VLOOKUP($D123,$E$741:$V$815,N$1,FALSE)*$H123</f>
        <v>36187503.695923902</v>
      </c>
      <c r="O123" s="66">
        <f>VLOOKUP($D123,$E$741:$V$815,O$1,FALSE)*$H123</f>
        <v>233307684.07150668</v>
      </c>
      <c r="P123" s="9">
        <f>SUM(Q123:S123)</f>
        <v>92550126.620032385</v>
      </c>
      <c r="Q123" s="66">
        <f t="shared" ref="Q123:V124" si="91">VLOOKUP($D123,$E$741:$V$815,Q$1,FALSE)*$H123</f>
        <v>75289261.199608356</v>
      </c>
      <c r="R123" s="66">
        <f t="shared" si="91"/>
        <v>5448365.1029415829</v>
      </c>
      <c r="S123" s="66">
        <f t="shared" si="91"/>
        <v>11812500.31748244</v>
      </c>
      <c r="T123" s="66">
        <f t="shared" si="91"/>
        <v>0</v>
      </c>
      <c r="U123" s="66">
        <f t="shared" si="91"/>
        <v>10028311.10700972</v>
      </c>
      <c r="V123" s="66">
        <f t="shared" si="91"/>
        <v>3436712.567156205</v>
      </c>
      <c r="W123" s="27">
        <f t="shared" si="73"/>
        <v>1.1920928955078125E-7</v>
      </c>
    </row>
    <row r="124" spans="1:23" x14ac:dyDescent="0.2">
      <c r="A124" s="3">
        <f t="shared" si="76"/>
        <v>33</v>
      </c>
      <c r="B124" s="3"/>
      <c r="C124" s="3" t="s">
        <v>61</v>
      </c>
      <c r="D124" s="1" t="s">
        <v>369</v>
      </c>
      <c r="E124" s="4" t="s">
        <v>595</v>
      </c>
      <c r="F124" s="11"/>
      <c r="G124" s="11"/>
      <c r="H124" s="14">
        <f>'II-I TOTAL COMPANY'!K124</f>
        <v>179996955.68894899</v>
      </c>
      <c r="I124" s="66">
        <f>V124</f>
        <v>0</v>
      </c>
      <c r="J124" s="66">
        <f t="shared" si="90"/>
        <v>179996955.68894899</v>
      </c>
      <c r="K124" s="66">
        <f>VLOOKUP($D124,$E$741:$V$815,K$1,FALSE)*$H124</f>
        <v>113881677.68115112</v>
      </c>
      <c r="L124" s="66">
        <f>VLOOKUP($D124,$E$741:$V$815,L$1,FALSE)*$H124</f>
        <v>3972622.0033028335</v>
      </c>
      <c r="M124" s="9">
        <f>SUM(N124:O124)</f>
        <v>59913198.052164219</v>
      </c>
      <c r="N124" s="66">
        <f>VLOOKUP($D124,$E$741:$V$815,N$1,FALSE)*$H124</f>
        <v>8045075.290243594</v>
      </c>
      <c r="O124" s="66">
        <f>VLOOKUP($D124,$E$741:$V$815,O$1,FALSE)*$H124</f>
        <v>51868122.761920623</v>
      </c>
      <c r="P124" s="9">
        <f>SUM(Q124:S124)</f>
        <v>0</v>
      </c>
      <c r="Q124" s="66">
        <f t="shared" si="91"/>
        <v>0</v>
      </c>
      <c r="R124" s="66">
        <f t="shared" si="91"/>
        <v>0</v>
      </c>
      <c r="S124" s="66">
        <f t="shared" si="91"/>
        <v>0</v>
      </c>
      <c r="T124" s="66">
        <f t="shared" si="91"/>
        <v>0</v>
      </c>
      <c r="U124" s="66">
        <f t="shared" si="91"/>
        <v>2229457.9523308421</v>
      </c>
      <c r="V124" s="66">
        <f t="shared" si="91"/>
        <v>0</v>
      </c>
      <c r="W124" s="27" t="str">
        <f t="shared" si="73"/>
        <v>OK</v>
      </c>
    </row>
    <row r="125" spans="1:23" x14ac:dyDescent="0.2">
      <c r="A125" s="3">
        <f t="shared" si="76"/>
        <v>34</v>
      </c>
      <c r="B125" s="3"/>
      <c r="C125" s="3" t="s">
        <v>432</v>
      </c>
      <c r="D125" s="3"/>
      <c r="E125" s="4"/>
      <c r="F125" s="11"/>
      <c r="G125" s="11"/>
      <c r="H125" s="8">
        <f t="shared" ref="H125:V125" si="92">SUM(H123:H124)</f>
        <v>1085626994.5051208</v>
      </c>
      <c r="I125" s="8">
        <v>0</v>
      </c>
      <c r="J125" s="66">
        <f t="shared" si="90"/>
        <v>1085626994.5051208</v>
      </c>
      <c r="K125" s="8">
        <f t="shared" si="92"/>
        <v>626132151.8292793</v>
      </c>
      <c r="L125" s="8">
        <f t="shared" si="92"/>
        <v>21841848.609717488</v>
      </c>
      <c r="M125" s="9">
        <f>SUM(N125:O125)</f>
        <v>329408385.8195948</v>
      </c>
      <c r="N125" s="8">
        <f t="shared" si="92"/>
        <v>44232578.986167498</v>
      </c>
      <c r="O125" s="8">
        <f t="shared" si="92"/>
        <v>285175806.83342731</v>
      </c>
      <c r="P125" s="9">
        <f>SUM(Q125:S125)</f>
        <v>92550126.620032385</v>
      </c>
      <c r="Q125" s="8">
        <f t="shared" si="92"/>
        <v>75289261.199608356</v>
      </c>
      <c r="R125" s="8">
        <f t="shared" si="92"/>
        <v>5448365.1029415829</v>
      </c>
      <c r="S125" s="8">
        <f>SUM(S123:S124)</f>
        <v>11812500.31748244</v>
      </c>
      <c r="T125" s="8">
        <f t="shared" si="92"/>
        <v>0</v>
      </c>
      <c r="U125" s="8">
        <f t="shared" si="92"/>
        <v>12257769.059340563</v>
      </c>
      <c r="V125" s="8">
        <f t="shared" si="92"/>
        <v>3436712.567156205</v>
      </c>
      <c r="W125" s="27">
        <f t="shared" ref="W125:W156" si="93">IF((+K125+L125+M125+P125+T125+U125+V125)-H125=0,"OK",(+K125+L125+M125+P125+T125+U125+V125)-H125)</f>
        <v>2.384185791015625E-7</v>
      </c>
    </row>
    <row r="126" spans="1:23" x14ac:dyDescent="0.2">
      <c r="A126" s="3">
        <f t="shared" si="76"/>
        <v>35</v>
      </c>
      <c r="B126" s="3"/>
      <c r="C126" s="3"/>
      <c r="D126" s="3"/>
      <c r="E126" s="4"/>
      <c r="F126" s="11"/>
      <c r="G126" s="11"/>
      <c r="H126" s="8"/>
      <c r="I126" s="8"/>
      <c r="J126" s="8"/>
      <c r="K126" s="8"/>
      <c r="L126" s="8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7" t="str">
        <f t="shared" si="93"/>
        <v>OK</v>
      </c>
    </row>
    <row r="127" spans="1:23" x14ac:dyDescent="0.2">
      <c r="A127" s="3">
        <f t="shared" si="76"/>
        <v>36</v>
      </c>
      <c r="B127" s="3" t="s">
        <v>64</v>
      </c>
      <c r="C127" s="3" t="s">
        <v>65</v>
      </c>
      <c r="D127" s="3"/>
      <c r="E127" s="4"/>
      <c r="F127" s="11"/>
      <c r="G127" s="11"/>
      <c r="H127" s="14"/>
      <c r="I127" s="66"/>
      <c r="J127" s="66"/>
      <c r="K127" s="66"/>
      <c r="L127" s="66"/>
      <c r="M127" s="12"/>
      <c r="N127" s="66"/>
      <c r="O127" s="66"/>
      <c r="P127" s="66"/>
      <c r="Q127" s="66"/>
      <c r="R127" s="66"/>
      <c r="S127" s="66"/>
      <c r="T127" s="66"/>
      <c r="U127" s="66"/>
      <c r="V127" s="66"/>
      <c r="W127" s="27" t="str">
        <f t="shared" si="93"/>
        <v>OK</v>
      </c>
    </row>
    <row r="128" spans="1:23" x14ac:dyDescent="0.2">
      <c r="A128" s="3">
        <f t="shared" si="76"/>
        <v>37</v>
      </c>
      <c r="B128" s="3"/>
      <c r="C128" s="3" t="s">
        <v>60</v>
      </c>
      <c r="D128" s="1" t="s">
        <v>368</v>
      </c>
      <c r="E128" s="4" t="s">
        <v>595</v>
      </c>
      <c r="F128" s="11"/>
      <c r="G128" s="11"/>
      <c r="H128" s="14">
        <f>'II-I TOTAL COMPANY'!K128</f>
        <v>74685543.970560044</v>
      </c>
      <c r="I128" s="66">
        <v>0</v>
      </c>
      <c r="J128" s="66">
        <f t="shared" ref="J128:J130" si="94">SUM(K128:V128)-M128-P128</f>
        <v>74685543.970560044</v>
      </c>
      <c r="K128" s="66">
        <f>VLOOKUP($D128,$E$741:$V$815,K$1,FALSE)*$H128</f>
        <v>42244298.081079833</v>
      </c>
      <c r="L128" s="66">
        <f>VLOOKUP($D128,$E$741:$V$815,L$1,FALSE)*$H128</f>
        <v>1473640.2860243241</v>
      </c>
      <c r="M128" s="9">
        <f>SUM(N128:O128)</f>
        <v>22224742.812384021</v>
      </c>
      <c r="N128" s="66">
        <f>VLOOKUP($D128,$E$741:$V$815,N$1,FALSE)*$H128</f>
        <v>2984312.890062307</v>
      </c>
      <c r="O128" s="66">
        <f>VLOOKUP($D128,$E$741:$V$815,O$1,FALSE)*$H128</f>
        <v>19240429.922321714</v>
      </c>
      <c r="P128" s="9">
        <f>SUM(Q128:S128)</f>
        <v>7632428.5358255273</v>
      </c>
      <c r="Q128" s="66">
        <f t="shared" ref="Q128:V129" si="95">VLOOKUP($D128,$E$741:$V$815,Q$1,FALSE)*$H128</f>
        <v>6208958.6109408112</v>
      </c>
      <c r="R128" s="66">
        <f t="shared" si="95"/>
        <v>449316.04962587327</v>
      </c>
      <c r="S128" s="66">
        <f t="shared" si="95"/>
        <v>974153.87525884213</v>
      </c>
      <c r="T128" s="66">
        <f t="shared" si="95"/>
        <v>0</v>
      </c>
      <c r="U128" s="66">
        <f t="shared" si="95"/>
        <v>827015.26896355406</v>
      </c>
      <c r="V128" s="66">
        <f t="shared" si="95"/>
        <v>283418.98628278769</v>
      </c>
      <c r="W128" s="27" t="str">
        <f t="shared" si="93"/>
        <v>OK</v>
      </c>
    </row>
    <row r="129" spans="1:23" x14ac:dyDescent="0.2">
      <c r="A129" s="3">
        <f t="shared" si="76"/>
        <v>38</v>
      </c>
      <c r="B129" s="3"/>
      <c r="C129" s="3" t="s">
        <v>61</v>
      </c>
      <c r="D129" s="1" t="s">
        <v>369</v>
      </c>
      <c r="E129" s="4" t="s">
        <v>595</v>
      </c>
      <c r="F129" s="11"/>
      <c r="G129" s="11"/>
      <c r="H129" s="14">
        <f>'II-I TOTAL COMPANY'!K129</f>
        <v>49977356.998493612</v>
      </c>
      <c r="I129" s="66">
        <v>0</v>
      </c>
      <c r="J129" s="66">
        <f t="shared" si="94"/>
        <v>49977356.998493612</v>
      </c>
      <c r="K129" s="66">
        <f>VLOOKUP($D129,$E$741:$V$815,K$1,FALSE)*$H129</f>
        <v>31620008.456663605</v>
      </c>
      <c r="L129" s="66">
        <f>VLOOKUP($D129,$E$741:$V$815,L$1,FALSE)*$H129</f>
        <v>1103025.0335024199</v>
      </c>
      <c r="M129" s="9">
        <f>SUM(N129:O129)</f>
        <v>16635299.616671795</v>
      </c>
      <c r="N129" s="66">
        <f>VLOOKUP($D129,$E$741:$V$815,N$1,FALSE)*$H129</f>
        <v>2233768.8897087779</v>
      </c>
      <c r="O129" s="66">
        <f>VLOOKUP($D129,$E$741:$V$815,O$1,FALSE)*$H129</f>
        <v>14401530.726963017</v>
      </c>
      <c r="P129" s="9">
        <f>SUM(Q129:S129)</f>
        <v>0</v>
      </c>
      <c r="Q129" s="66">
        <f t="shared" si="95"/>
        <v>0</v>
      </c>
      <c r="R129" s="66">
        <f t="shared" si="95"/>
        <v>0</v>
      </c>
      <c r="S129" s="66">
        <f t="shared" si="95"/>
        <v>0</v>
      </c>
      <c r="T129" s="66">
        <f t="shared" si="95"/>
        <v>0</v>
      </c>
      <c r="U129" s="66">
        <f t="shared" si="95"/>
        <v>619023.89165579586</v>
      </c>
      <c r="V129" s="66">
        <f t="shared" si="95"/>
        <v>0</v>
      </c>
      <c r="W129" s="27" t="str">
        <f t="shared" si="93"/>
        <v>OK</v>
      </c>
    </row>
    <row r="130" spans="1:23" x14ac:dyDescent="0.2">
      <c r="A130" s="3">
        <f t="shared" si="76"/>
        <v>39</v>
      </c>
      <c r="B130" s="3"/>
      <c r="C130" s="3" t="s">
        <v>359</v>
      </c>
      <c r="D130" s="3"/>
      <c r="E130" s="4"/>
      <c r="F130" s="11"/>
      <c r="G130" s="11"/>
      <c r="H130" s="14">
        <f>'II-I TOTAL COMPANY'!K130</f>
        <v>124662900.96905367</v>
      </c>
      <c r="I130" s="66">
        <v>0</v>
      </c>
      <c r="J130" s="66">
        <f t="shared" si="94"/>
        <v>124662900.96905366</v>
      </c>
      <c r="K130" s="66">
        <f t="shared" ref="K130:V130" si="96">+K129+K128</f>
        <v>73864306.537743434</v>
      </c>
      <c r="L130" s="66">
        <f t="shared" si="96"/>
        <v>2576665.3195267441</v>
      </c>
      <c r="M130" s="9">
        <f>SUM(N130:O130)</f>
        <v>38860042.429055817</v>
      </c>
      <c r="N130" s="86">
        <f t="shared" si="96"/>
        <v>5218081.7797710849</v>
      </c>
      <c r="O130" s="11">
        <f t="shared" si="96"/>
        <v>33641960.649284735</v>
      </c>
      <c r="P130" s="9">
        <f>SUM(Q130:S130)</f>
        <v>7632428.5358255273</v>
      </c>
      <c r="Q130" s="11">
        <f t="shared" si="96"/>
        <v>6208958.6109408112</v>
      </c>
      <c r="R130" s="11">
        <f t="shared" si="96"/>
        <v>449316.04962587327</v>
      </c>
      <c r="S130" s="11">
        <f>+S129+S128</f>
        <v>974153.87525884213</v>
      </c>
      <c r="T130" s="11">
        <f t="shared" si="96"/>
        <v>0</v>
      </c>
      <c r="U130" s="11">
        <f t="shared" si="96"/>
        <v>1446039.1606193499</v>
      </c>
      <c r="V130" s="11">
        <f t="shared" si="96"/>
        <v>283418.98628278769</v>
      </c>
      <c r="W130" s="27">
        <f t="shared" si="93"/>
        <v>-2.9802322387695313E-8</v>
      </c>
    </row>
    <row r="131" spans="1:23" x14ac:dyDescent="0.2">
      <c r="A131" s="3">
        <f t="shared" si="76"/>
        <v>40</v>
      </c>
      <c r="B131" s="3"/>
      <c r="C131" s="3"/>
      <c r="D131" s="3"/>
      <c r="E131" s="4"/>
      <c r="F131" s="11"/>
      <c r="G131" s="11"/>
      <c r="H131" s="8"/>
      <c r="I131" s="8"/>
      <c r="J131" s="8"/>
      <c r="K131" s="8"/>
      <c r="L131" s="8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27" t="str">
        <f t="shared" si="93"/>
        <v>OK</v>
      </c>
    </row>
    <row r="132" spans="1:23" x14ac:dyDescent="0.2">
      <c r="A132" s="3">
        <f t="shared" si="76"/>
        <v>41</v>
      </c>
      <c r="B132" s="3" t="s">
        <v>66</v>
      </c>
      <c r="C132" s="3" t="s">
        <v>67</v>
      </c>
      <c r="D132" s="3"/>
      <c r="E132" s="4"/>
      <c r="F132" s="11"/>
      <c r="G132" s="11"/>
      <c r="H132" s="10"/>
      <c r="I132" s="10"/>
      <c r="J132" s="10"/>
      <c r="K132" s="10"/>
      <c r="L132" s="1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27" t="str">
        <f t="shared" si="93"/>
        <v>OK</v>
      </c>
    </row>
    <row r="133" spans="1:23" x14ac:dyDescent="0.2">
      <c r="A133" s="3">
        <f t="shared" si="76"/>
        <v>42</v>
      </c>
      <c r="B133" s="3"/>
      <c r="C133" s="3" t="s">
        <v>60</v>
      </c>
      <c r="D133" s="1" t="s">
        <v>368</v>
      </c>
      <c r="E133" s="4" t="s">
        <v>595</v>
      </c>
      <c r="F133" s="11"/>
      <c r="G133" s="11"/>
      <c r="H133" s="14">
        <f>'II-I TOTAL COMPANY'!K133</f>
        <v>299733213.18303227</v>
      </c>
      <c r="I133" s="66">
        <v>0</v>
      </c>
      <c r="J133" s="66">
        <f t="shared" ref="J133:J135" si="97">SUM(K133:V133)-M133-P133</f>
        <v>299733213.18303233</v>
      </c>
      <c r="K133" s="66">
        <f>VLOOKUP($D133,$E$741:$V$815,K$1,FALSE)*$H133</f>
        <v>169537751.60953566</v>
      </c>
      <c r="L133" s="66">
        <f>VLOOKUP($D133,$E$741:$V$815,L$1,FALSE)*$H133</f>
        <v>5914115.5640527261</v>
      </c>
      <c r="M133" s="9">
        <f>SUM(N133:O133)</f>
        <v>89193881.72292389</v>
      </c>
      <c r="N133" s="66">
        <f>VLOOKUP($D133,$E$741:$V$815,N$1,FALSE)*$H133</f>
        <v>11976851.799252003</v>
      </c>
      <c r="O133" s="66">
        <f>VLOOKUP($D133,$E$741:$V$815,O$1,FALSE)*$H133</f>
        <v>77217029.923671886</v>
      </c>
      <c r="P133" s="9">
        <f>SUM(Q133:S133)</f>
        <v>30630992.395725559</v>
      </c>
      <c r="Q133" s="66">
        <f t="shared" ref="Q133:V134" si="98">VLOOKUP($D133,$E$741:$V$815,Q$1,FALSE)*$H133</f>
        <v>24918224.010142278</v>
      </c>
      <c r="R133" s="66">
        <f t="shared" si="98"/>
        <v>1803226.382633789</v>
      </c>
      <c r="S133" s="66">
        <f t="shared" si="98"/>
        <v>3909542.0029494907</v>
      </c>
      <c r="T133" s="66">
        <f t="shared" si="98"/>
        <v>0</v>
      </c>
      <c r="U133" s="66">
        <f t="shared" si="98"/>
        <v>3319035.1270064791</v>
      </c>
      <c r="V133" s="66">
        <f t="shared" si="98"/>
        <v>1137436.7637879667</v>
      </c>
      <c r="W133" s="27" t="str">
        <f t="shared" si="93"/>
        <v>OK</v>
      </c>
    </row>
    <row r="134" spans="1:23" x14ac:dyDescent="0.2">
      <c r="A134" s="3">
        <f t="shared" si="76"/>
        <v>43</v>
      </c>
      <c r="B134" s="3"/>
      <c r="C134" s="3" t="s">
        <v>61</v>
      </c>
      <c r="D134" s="1" t="s">
        <v>369</v>
      </c>
      <c r="E134" s="4" t="s">
        <v>595</v>
      </c>
      <c r="F134" s="11"/>
      <c r="G134" s="11"/>
      <c r="H134" s="14">
        <f>'II-I TOTAL COMPANY'!K134</f>
        <v>200572600.84306064</v>
      </c>
      <c r="I134" s="66">
        <v>0</v>
      </c>
      <c r="J134" s="66">
        <f t="shared" si="97"/>
        <v>200572600.84306064</v>
      </c>
      <c r="K134" s="66">
        <f>VLOOKUP($D134,$E$741:$V$815,K$1,FALSE)*$H134</f>
        <v>126899614.45987934</v>
      </c>
      <c r="L134" s="66">
        <f>VLOOKUP($D134,$E$741:$V$815,L$1,FALSE)*$H134</f>
        <v>4426736.6874013143</v>
      </c>
      <c r="M134" s="9">
        <f>SUM(N134:O134)</f>
        <v>66761940.012554109</v>
      </c>
      <c r="N134" s="66">
        <f>VLOOKUP($D134,$E$741:$V$815,N$1,FALSE)*$H134</f>
        <v>8964716.479599148</v>
      </c>
      <c r="O134" s="66">
        <f>VLOOKUP($D134,$E$741:$V$815,O$1,FALSE)*$H134</f>
        <v>57797223.532954961</v>
      </c>
      <c r="P134" s="9">
        <f>SUM(Q134:S134)</f>
        <v>0</v>
      </c>
      <c r="Q134" s="66">
        <f t="shared" si="98"/>
        <v>0</v>
      </c>
      <c r="R134" s="66">
        <f t="shared" si="98"/>
        <v>0</v>
      </c>
      <c r="S134" s="66">
        <f t="shared" si="98"/>
        <v>0</v>
      </c>
      <c r="T134" s="66">
        <f t="shared" si="98"/>
        <v>0</v>
      </c>
      <c r="U134" s="66">
        <f t="shared" si="98"/>
        <v>2484309.6832259116</v>
      </c>
      <c r="V134" s="66">
        <f t="shared" si="98"/>
        <v>0</v>
      </c>
      <c r="W134" s="27" t="str">
        <f t="shared" si="93"/>
        <v>OK</v>
      </c>
    </row>
    <row r="135" spans="1:23" x14ac:dyDescent="0.2">
      <c r="A135" s="3">
        <f t="shared" si="76"/>
        <v>44</v>
      </c>
      <c r="B135" s="3"/>
      <c r="C135" s="3" t="s">
        <v>68</v>
      </c>
      <c r="D135" s="3"/>
      <c r="E135" s="4"/>
      <c r="F135" s="11"/>
      <c r="G135" s="11"/>
      <c r="H135" s="8">
        <f t="shared" ref="H135:V135" si="99">SUM(H133:H134)</f>
        <v>500305814.02609289</v>
      </c>
      <c r="I135" s="8">
        <f t="shared" si="99"/>
        <v>0</v>
      </c>
      <c r="J135" s="66">
        <f t="shared" si="97"/>
        <v>500305814.02609313</v>
      </c>
      <c r="K135" s="8">
        <f t="shared" si="99"/>
        <v>296437366.06941497</v>
      </c>
      <c r="L135" s="8">
        <f t="shared" si="99"/>
        <v>10340852.25145404</v>
      </c>
      <c r="M135" s="9">
        <f>SUM(N135:O135)</f>
        <v>155955821.73547798</v>
      </c>
      <c r="N135" s="8">
        <f t="shared" si="99"/>
        <v>20941568.278851151</v>
      </c>
      <c r="O135" s="8">
        <f t="shared" si="99"/>
        <v>135014253.45662683</v>
      </c>
      <c r="P135" s="9">
        <f>SUM(Q135:S135)</f>
        <v>30630992.395725559</v>
      </c>
      <c r="Q135" s="8">
        <f t="shared" si="99"/>
        <v>24918224.010142278</v>
      </c>
      <c r="R135" s="8">
        <f t="shared" si="99"/>
        <v>1803226.382633789</v>
      </c>
      <c r="S135" s="8">
        <f>SUM(S133:S134)</f>
        <v>3909542.0029494907</v>
      </c>
      <c r="T135" s="8">
        <f t="shared" si="99"/>
        <v>0</v>
      </c>
      <c r="U135" s="8">
        <f t="shared" si="99"/>
        <v>5803344.8102323906</v>
      </c>
      <c r="V135" s="8">
        <f t="shared" si="99"/>
        <v>1137436.7637879667</v>
      </c>
      <c r="W135" s="27">
        <f t="shared" si="93"/>
        <v>5.9604644775390625E-8</v>
      </c>
    </row>
    <row r="136" spans="1:23" x14ac:dyDescent="0.2">
      <c r="A136" s="3">
        <f t="shared" si="76"/>
        <v>45</v>
      </c>
      <c r="B136" s="3" t="s">
        <v>69</v>
      </c>
      <c r="C136" s="3" t="s">
        <v>70</v>
      </c>
      <c r="D136" s="1"/>
      <c r="E136" s="4"/>
      <c r="F136" s="11"/>
      <c r="G136" s="11"/>
      <c r="H136" s="14"/>
      <c r="I136" s="66"/>
      <c r="J136" s="66"/>
      <c r="K136" s="66"/>
      <c r="L136" s="6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27" t="str">
        <f t="shared" si="93"/>
        <v>OK</v>
      </c>
    </row>
    <row r="137" spans="1:23" x14ac:dyDescent="0.2">
      <c r="A137" s="3">
        <f t="shared" si="76"/>
        <v>46</v>
      </c>
      <c r="B137" s="3"/>
      <c r="C137" s="3" t="s">
        <v>60</v>
      </c>
      <c r="D137" s="1" t="s">
        <v>368</v>
      </c>
      <c r="E137" s="4" t="s">
        <v>595</v>
      </c>
      <c r="F137" s="11"/>
      <c r="G137" s="11"/>
      <c r="H137" s="14">
        <f>'II-I TOTAL COMPANY'!K137</f>
        <v>95170291.662730128</v>
      </c>
      <c r="I137" s="66">
        <v>0</v>
      </c>
      <c r="J137" s="66">
        <f t="shared" ref="J137:J147" si="100">SUM(K137:V137)-M137-P137</f>
        <v>95170291.662730142</v>
      </c>
      <c r="K137" s="66">
        <f>VLOOKUP($D137,$E$741:$V$815,K$1,FALSE)*$H137</f>
        <v>53831062.287615694</v>
      </c>
      <c r="L137" s="66">
        <f>VLOOKUP($D137,$E$741:$V$815,L$1,FALSE)*$H137</f>
        <v>1877830.2784025676</v>
      </c>
      <c r="M137" s="9">
        <f>SUM(N137:O137)</f>
        <v>28320544.286555745</v>
      </c>
      <c r="N137" s="66">
        <f>VLOOKUP($D137,$E$741:$V$815,N$1,FALSE)*$H137</f>
        <v>3802850.0973632941</v>
      </c>
      <c r="O137" s="66">
        <f>VLOOKUP($D137,$E$741:$V$815,O$1,FALSE)*$H137</f>
        <v>24517694.189192452</v>
      </c>
      <c r="P137" s="9">
        <f>SUM(Q137:S137)</f>
        <v>9725850.6965656988</v>
      </c>
      <c r="Q137" s="66">
        <f t="shared" ref="Q137:V138" si="101">VLOOKUP($D137,$E$741:$V$815,Q$1,FALSE)*$H137</f>
        <v>7911951.5037338985</v>
      </c>
      <c r="R137" s="66">
        <f t="shared" si="101"/>
        <v>572554.43581553153</v>
      </c>
      <c r="S137" s="66">
        <f t="shared" si="101"/>
        <v>1241344.7570162702</v>
      </c>
      <c r="T137" s="66">
        <f t="shared" si="101"/>
        <v>0</v>
      </c>
      <c r="U137" s="66">
        <f t="shared" si="101"/>
        <v>1053848.9803035767</v>
      </c>
      <c r="V137" s="66">
        <f t="shared" si="101"/>
        <v>361155.13328684604</v>
      </c>
      <c r="W137" s="27" t="str">
        <f t="shared" si="93"/>
        <v>OK</v>
      </c>
    </row>
    <row r="138" spans="1:23" x14ac:dyDescent="0.2">
      <c r="A138" s="3">
        <f t="shared" si="76"/>
        <v>47</v>
      </c>
      <c r="B138" s="3"/>
      <c r="C138" s="3" t="s">
        <v>61</v>
      </c>
      <c r="D138" s="1" t="s">
        <v>369</v>
      </c>
      <c r="E138" s="4" t="s">
        <v>595</v>
      </c>
      <c r="F138" s="11"/>
      <c r="G138" s="11"/>
      <c r="H138" s="14">
        <f>'II-I TOTAL COMPANY'!K138</f>
        <v>816422540.35575747</v>
      </c>
      <c r="I138" s="66">
        <v>0</v>
      </c>
      <c r="J138" s="66">
        <f t="shared" si="100"/>
        <v>816422540.35575747</v>
      </c>
      <c r="K138" s="66">
        <f>VLOOKUP($D138,$E$741:$V$815,K$1,FALSE)*$H138</f>
        <v>516539672.77697271</v>
      </c>
      <c r="L138" s="66">
        <f>VLOOKUP($D138,$E$741:$V$815,L$1,FALSE)*$H138</f>
        <v>18018850.015521701</v>
      </c>
      <c r="M138" s="9">
        <f>SUM(N138:O138)</f>
        <v>271751736.95223039</v>
      </c>
      <c r="N138" s="66">
        <f>VLOOKUP($D138,$E$741:$V$815,N$1,FALSE)*$H138</f>
        <v>36490510.523769177</v>
      </c>
      <c r="O138" s="66">
        <f>VLOOKUP($D138,$E$741:$V$815,O$1,FALSE)*$H138</f>
        <v>235261226.42846119</v>
      </c>
      <c r="P138" s="9">
        <f>SUM(Q138:S138)</f>
        <v>0</v>
      </c>
      <c r="Q138" s="66">
        <f t="shared" si="101"/>
        <v>0</v>
      </c>
      <c r="R138" s="66">
        <f t="shared" si="101"/>
        <v>0</v>
      </c>
      <c r="S138" s="66">
        <f t="shared" si="101"/>
        <v>0</v>
      </c>
      <c r="T138" s="66">
        <f t="shared" si="101"/>
        <v>0</v>
      </c>
      <c r="U138" s="66">
        <f t="shared" si="101"/>
        <v>10112280.611032814</v>
      </c>
      <c r="V138" s="66">
        <f t="shared" si="101"/>
        <v>0</v>
      </c>
      <c r="W138" s="27">
        <f t="shared" si="93"/>
        <v>1.1920928955078125E-7</v>
      </c>
    </row>
    <row r="139" spans="1:23" x14ac:dyDescent="0.2">
      <c r="A139" s="3">
        <f t="shared" si="76"/>
        <v>48</v>
      </c>
      <c r="B139" s="3"/>
      <c r="C139" s="3" t="s">
        <v>71</v>
      </c>
      <c r="D139" s="3"/>
      <c r="E139" s="4"/>
      <c r="F139" s="11"/>
      <c r="G139" s="11"/>
      <c r="H139" s="8">
        <f t="shared" ref="H139:V139" si="102">SUM(H137:H138)</f>
        <v>911592832.01848757</v>
      </c>
      <c r="I139" s="8">
        <f t="shared" si="102"/>
        <v>0</v>
      </c>
      <c r="J139" s="66">
        <f t="shared" si="100"/>
        <v>911592832.01848769</v>
      </c>
      <c r="K139" s="8">
        <f t="shared" si="102"/>
        <v>570370735.06458843</v>
      </c>
      <c r="L139" s="8">
        <f t="shared" si="102"/>
        <v>19896680.293924268</v>
      </c>
      <c r="M139" s="9">
        <f>SUM(N139:O139)</f>
        <v>300072281.2387861</v>
      </c>
      <c r="N139" s="8">
        <f t="shared" si="102"/>
        <v>40293360.621132471</v>
      </c>
      <c r="O139" s="8">
        <f t="shared" si="102"/>
        <v>259778920.61765364</v>
      </c>
      <c r="P139" s="9">
        <f>SUM(Q139:S139)</f>
        <v>9725850.6965656988</v>
      </c>
      <c r="Q139" s="8">
        <f t="shared" si="102"/>
        <v>7911951.5037338985</v>
      </c>
      <c r="R139" s="8">
        <f t="shared" si="102"/>
        <v>572554.43581553153</v>
      </c>
      <c r="S139" s="8">
        <f>SUM(S137:S138)</f>
        <v>1241344.7570162702</v>
      </c>
      <c r="T139" s="8">
        <f t="shared" si="102"/>
        <v>0</v>
      </c>
      <c r="U139" s="8">
        <f t="shared" si="102"/>
        <v>11166129.59133639</v>
      </c>
      <c r="V139" s="8">
        <f t="shared" si="102"/>
        <v>361155.13328684604</v>
      </c>
      <c r="W139" s="27">
        <f t="shared" si="93"/>
        <v>1.1920928955078125E-7</v>
      </c>
    </row>
    <row r="140" spans="1:23" x14ac:dyDescent="0.2">
      <c r="A140" s="3">
        <f t="shared" si="76"/>
        <v>49</v>
      </c>
      <c r="B140" s="3"/>
      <c r="C140" s="3"/>
      <c r="D140" s="3"/>
      <c r="E140" s="4"/>
      <c r="F140" s="11"/>
      <c r="G140" s="11"/>
      <c r="H140" s="8"/>
      <c r="I140" s="8"/>
      <c r="J140" s="8"/>
      <c r="K140" s="8"/>
      <c r="L140" s="8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27" t="str">
        <f t="shared" si="93"/>
        <v>OK</v>
      </c>
    </row>
    <row r="141" spans="1:23" x14ac:dyDescent="0.2">
      <c r="A141" s="3">
        <f t="shared" si="76"/>
        <v>50</v>
      </c>
      <c r="B141" s="3" t="s">
        <v>72</v>
      </c>
      <c r="C141" s="3" t="s">
        <v>73</v>
      </c>
      <c r="D141" s="1" t="s">
        <v>343</v>
      </c>
      <c r="E141" s="4" t="s">
        <v>595</v>
      </c>
      <c r="F141" s="11"/>
      <c r="G141" s="11"/>
      <c r="H141" s="14">
        <f>'II-I TOTAL COMPANY'!K141</f>
        <v>410580313.29993504</v>
      </c>
      <c r="I141" s="66">
        <v>0</v>
      </c>
      <c r="J141" s="66">
        <f t="shared" si="100"/>
        <v>410580313.29993498</v>
      </c>
      <c r="K141" s="66">
        <f t="shared" ref="K141:L146" si="103">VLOOKUP($D141,$E$741:$V$815,K$1,FALSE)*$H141</f>
        <v>332344621.55032694</v>
      </c>
      <c r="L141" s="66">
        <f t="shared" si="103"/>
        <v>33580652.248158008</v>
      </c>
      <c r="M141" s="9">
        <f t="shared" ref="M141:M146" si="104">SUM(N141:O141)</f>
        <v>44655039.501450092</v>
      </c>
      <c r="N141" s="66">
        <f t="shared" ref="N141:O146" si="105">VLOOKUP($D141,$E$741:$V$815,N$1,FALSE)*$H141</f>
        <v>184075.61921464841</v>
      </c>
      <c r="O141" s="66">
        <f t="shared" si="105"/>
        <v>44470963.882235445</v>
      </c>
      <c r="P141" s="9">
        <f t="shared" ref="P141:P147" si="106">SUM(Q141:S141)</f>
        <v>0</v>
      </c>
      <c r="Q141" s="66">
        <f t="shared" ref="Q141:V146" si="107">VLOOKUP($D141,$E$741:$V$815,Q$1,FALSE)*$H141</f>
        <v>0</v>
      </c>
      <c r="R141" s="66">
        <f t="shared" si="107"/>
        <v>0</v>
      </c>
      <c r="S141" s="66">
        <f t="shared" si="107"/>
        <v>0</v>
      </c>
      <c r="T141" s="66">
        <f t="shared" si="107"/>
        <v>0</v>
      </c>
      <c r="U141" s="66">
        <f t="shared" si="107"/>
        <v>0</v>
      </c>
      <c r="V141" s="66">
        <f t="shared" si="107"/>
        <v>0</v>
      </c>
      <c r="W141" s="27">
        <f t="shared" si="93"/>
        <v>-5.9604644775390625E-8</v>
      </c>
    </row>
    <row r="142" spans="1:23" x14ac:dyDescent="0.2">
      <c r="A142" s="3">
        <f t="shared" si="76"/>
        <v>51</v>
      </c>
      <c r="B142" s="3" t="s">
        <v>74</v>
      </c>
      <c r="C142" s="3" t="s">
        <v>75</v>
      </c>
      <c r="D142" s="1" t="s">
        <v>344</v>
      </c>
      <c r="E142" s="4" t="s">
        <v>595</v>
      </c>
      <c r="F142" s="11"/>
      <c r="G142" s="11"/>
      <c r="H142" s="14">
        <f>'II-I TOTAL COMPANY'!K142</f>
        <v>0</v>
      </c>
      <c r="I142" s="66">
        <v>0</v>
      </c>
      <c r="J142" s="66">
        <f t="shared" si="100"/>
        <v>0</v>
      </c>
      <c r="K142" s="66">
        <f t="shared" si="103"/>
        <v>0</v>
      </c>
      <c r="L142" s="66">
        <f t="shared" si="103"/>
        <v>0</v>
      </c>
      <c r="M142" s="9">
        <f t="shared" si="104"/>
        <v>0</v>
      </c>
      <c r="N142" s="66">
        <f t="shared" si="105"/>
        <v>0</v>
      </c>
      <c r="O142" s="66">
        <f t="shared" si="105"/>
        <v>0</v>
      </c>
      <c r="P142" s="9">
        <f t="shared" si="106"/>
        <v>0</v>
      </c>
      <c r="Q142" s="66">
        <f t="shared" si="107"/>
        <v>0</v>
      </c>
      <c r="R142" s="66">
        <f t="shared" si="107"/>
        <v>0</v>
      </c>
      <c r="S142" s="66">
        <f t="shared" si="107"/>
        <v>0</v>
      </c>
      <c r="T142" s="66">
        <f t="shared" si="107"/>
        <v>0</v>
      </c>
      <c r="U142" s="66">
        <f t="shared" si="107"/>
        <v>0</v>
      </c>
      <c r="V142" s="66">
        <f t="shared" si="107"/>
        <v>0</v>
      </c>
      <c r="W142" s="27" t="str">
        <f t="shared" si="93"/>
        <v>OK</v>
      </c>
    </row>
    <row r="143" spans="1:23" x14ac:dyDescent="0.2">
      <c r="A143" s="3">
        <f t="shared" si="76"/>
        <v>52</v>
      </c>
      <c r="B143" s="3" t="s">
        <v>76</v>
      </c>
      <c r="C143" s="3" t="s">
        <v>77</v>
      </c>
      <c r="D143" s="1" t="s">
        <v>371</v>
      </c>
      <c r="E143" s="4" t="s">
        <v>595</v>
      </c>
      <c r="F143" s="11"/>
      <c r="G143" s="11"/>
      <c r="H143" s="14">
        <f>'II-I TOTAL COMPANY'!K143</f>
        <v>74059352.817488492</v>
      </c>
      <c r="I143" s="66">
        <v>0</v>
      </c>
      <c r="J143" s="66">
        <f t="shared" si="100"/>
        <v>74059352.817488492</v>
      </c>
      <c r="K143" s="66">
        <f t="shared" si="103"/>
        <v>0</v>
      </c>
      <c r="L143" s="66">
        <f t="shared" si="103"/>
        <v>0</v>
      </c>
      <c r="M143" s="9">
        <f t="shared" si="104"/>
        <v>0</v>
      </c>
      <c r="N143" s="66">
        <f t="shared" si="105"/>
        <v>0</v>
      </c>
      <c r="O143" s="66">
        <f t="shared" si="105"/>
        <v>0</v>
      </c>
      <c r="P143" s="9">
        <f t="shared" si="106"/>
        <v>0</v>
      </c>
      <c r="Q143" s="66">
        <f t="shared" si="107"/>
        <v>0</v>
      </c>
      <c r="R143" s="66">
        <f t="shared" si="107"/>
        <v>0</v>
      </c>
      <c r="S143" s="66">
        <f t="shared" si="107"/>
        <v>0</v>
      </c>
      <c r="T143" s="66">
        <f t="shared" si="107"/>
        <v>0</v>
      </c>
      <c r="U143" s="66">
        <f t="shared" si="107"/>
        <v>74059352.817488492</v>
      </c>
      <c r="V143" s="66">
        <f t="shared" si="107"/>
        <v>0</v>
      </c>
      <c r="W143" s="27" t="str">
        <f t="shared" si="93"/>
        <v>OK</v>
      </c>
    </row>
    <row r="144" spans="1:23" x14ac:dyDescent="0.2">
      <c r="A144" s="3">
        <f t="shared" si="76"/>
        <v>53</v>
      </c>
      <c r="B144" s="3" t="s">
        <v>78</v>
      </c>
      <c r="C144" s="3" t="s">
        <v>79</v>
      </c>
      <c r="D144" s="1" t="s">
        <v>368</v>
      </c>
      <c r="E144" s="4" t="s">
        <v>595</v>
      </c>
      <c r="F144" s="11"/>
      <c r="G144" s="11"/>
      <c r="H144" s="14">
        <f>'II-I TOTAL COMPANY'!K144</f>
        <v>87033.378432706901</v>
      </c>
      <c r="I144" s="66">
        <v>0</v>
      </c>
      <c r="J144" s="66">
        <f t="shared" si="100"/>
        <v>87033.378432706915</v>
      </c>
      <c r="K144" s="66">
        <f t="shared" si="103"/>
        <v>49228.589443815028</v>
      </c>
      <c r="L144" s="66">
        <f t="shared" si="103"/>
        <v>1717.2786843166602</v>
      </c>
      <c r="M144" s="9">
        <f t="shared" si="104"/>
        <v>25899.181406809756</v>
      </c>
      <c r="N144" s="66">
        <f t="shared" si="105"/>
        <v>3477.7122762174927</v>
      </c>
      <c r="O144" s="66">
        <f t="shared" si="105"/>
        <v>22421.469130592264</v>
      </c>
      <c r="P144" s="9">
        <f t="shared" si="106"/>
        <v>8894.3054546264266</v>
      </c>
      <c r="Q144" s="66">
        <f t="shared" si="107"/>
        <v>7235.491846615435</v>
      </c>
      <c r="R144" s="66">
        <f t="shared" si="107"/>
        <v>523.60191415881445</v>
      </c>
      <c r="S144" s="66">
        <f t="shared" si="107"/>
        <v>1135.2116938521776</v>
      </c>
      <c r="T144" s="66">
        <f t="shared" si="107"/>
        <v>0</v>
      </c>
      <c r="U144" s="66">
        <f t="shared" si="107"/>
        <v>963.74651701947221</v>
      </c>
      <c r="V144" s="66">
        <f t="shared" si="107"/>
        <v>330.27692611956292</v>
      </c>
      <c r="W144" s="27">
        <f t="shared" si="93"/>
        <v>1.4551915228366852E-11</v>
      </c>
    </row>
    <row r="145" spans="1:23" x14ac:dyDescent="0.2">
      <c r="A145" s="3">
        <f t="shared" si="76"/>
        <v>54</v>
      </c>
      <c r="B145" s="3" t="s">
        <v>80</v>
      </c>
      <c r="C145" s="3" t="s">
        <v>81</v>
      </c>
      <c r="D145" s="1" t="s">
        <v>372</v>
      </c>
      <c r="E145" s="4" t="s">
        <v>595</v>
      </c>
      <c r="F145" s="11"/>
      <c r="G145" s="11"/>
      <c r="H145" s="14">
        <f>'II-I TOTAL COMPANY'!K145</f>
        <v>139927776.80823046</v>
      </c>
      <c r="I145" s="66">
        <v>0</v>
      </c>
      <c r="J145" s="66">
        <f t="shared" si="100"/>
        <v>139927776.80823046</v>
      </c>
      <c r="K145" s="66">
        <f t="shared" si="103"/>
        <v>0</v>
      </c>
      <c r="L145" s="66">
        <f t="shared" si="103"/>
        <v>0</v>
      </c>
      <c r="M145" s="9">
        <f t="shared" si="104"/>
        <v>0</v>
      </c>
      <c r="N145" s="66">
        <f t="shared" si="105"/>
        <v>0</v>
      </c>
      <c r="O145" s="66">
        <f t="shared" si="105"/>
        <v>0</v>
      </c>
      <c r="P145" s="9">
        <f t="shared" si="106"/>
        <v>0</v>
      </c>
      <c r="Q145" s="66">
        <f t="shared" si="107"/>
        <v>0</v>
      </c>
      <c r="R145" s="66">
        <f t="shared" si="107"/>
        <v>0</v>
      </c>
      <c r="S145" s="66">
        <f t="shared" si="107"/>
        <v>0</v>
      </c>
      <c r="T145" s="66">
        <f t="shared" si="107"/>
        <v>0</v>
      </c>
      <c r="U145" s="66">
        <f t="shared" si="107"/>
        <v>139927776.80823046</v>
      </c>
      <c r="V145" s="66">
        <f t="shared" si="107"/>
        <v>0</v>
      </c>
      <c r="W145" s="27" t="str">
        <f t="shared" si="93"/>
        <v>OK</v>
      </c>
    </row>
    <row r="146" spans="1:23" x14ac:dyDescent="0.2">
      <c r="A146" s="3">
        <f t="shared" si="76"/>
        <v>55</v>
      </c>
      <c r="B146" s="3" t="s">
        <v>74</v>
      </c>
      <c r="C146" s="3" t="s">
        <v>817</v>
      </c>
      <c r="D146" s="1" t="s">
        <v>344</v>
      </c>
      <c r="E146" s="4" t="s">
        <v>595</v>
      </c>
      <c r="F146" s="11"/>
      <c r="G146" s="4"/>
      <c r="H146" s="14">
        <f>'II-I TOTAL COMPANY'!K146</f>
        <v>0</v>
      </c>
      <c r="I146" s="66">
        <v>0</v>
      </c>
      <c r="J146" s="66">
        <f t="shared" si="100"/>
        <v>0</v>
      </c>
      <c r="K146" s="66">
        <f t="shared" si="103"/>
        <v>0</v>
      </c>
      <c r="L146" s="66">
        <f t="shared" si="103"/>
        <v>0</v>
      </c>
      <c r="M146" s="9">
        <f t="shared" si="104"/>
        <v>0</v>
      </c>
      <c r="N146" s="66">
        <f t="shared" si="105"/>
        <v>0</v>
      </c>
      <c r="O146" s="66">
        <f t="shared" si="105"/>
        <v>0</v>
      </c>
      <c r="P146" s="9">
        <f t="shared" si="106"/>
        <v>0</v>
      </c>
      <c r="Q146" s="66">
        <f t="shared" si="107"/>
        <v>0</v>
      </c>
      <c r="R146" s="66">
        <f t="shared" si="107"/>
        <v>0</v>
      </c>
      <c r="S146" s="66">
        <f t="shared" si="107"/>
        <v>0</v>
      </c>
      <c r="T146" s="66">
        <f t="shared" si="107"/>
        <v>0</v>
      </c>
      <c r="U146" s="66">
        <f t="shared" si="107"/>
        <v>0</v>
      </c>
      <c r="V146" s="66">
        <f t="shared" si="107"/>
        <v>0</v>
      </c>
      <c r="W146" s="27" t="str">
        <f t="shared" si="93"/>
        <v>OK</v>
      </c>
    </row>
    <row r="147" spans="1:23" x14ac:dyDescent="0.2">
      <c r="A147" s="3">
        <f t="shared" si="76"/>
        <v>56</v>
      </c>
      <c r="B147" s="3"/>
      <c r="C147" s="3" t="s">
        <v>82</v>
      </c>
      <c r="D147" s="3"/>
      <c r="E147" s="4"/>
      <c r="F147" s="8"/>
      <c r="G147" s="8"/>
      <c r="H147" s="8">
        <f>SUM(H140:H146,H139,H135,H130,H125,H121,H114:H117)</f>
        <v>5530937010.1372633</v>
      </c>
      <c r="I147" s="8">
        <f>SUM(I140:I146,I139,I135,I130,I125,I121,I114:I117)</f>
        <v>0</v>
      </c>
      <c r="J147" s="66">
        <f t="shared" si="100"/>
        <v>5530937010.1372614</v>
      </c>
      <c r="K147" s="8">
        <f>SUM(K114:K117,K121,K125,K130,K135,K139,K141:K146)</f>
        <v>3215444143.0635533</v>
      </c>
      <c r="L147" s="8">
        <f>SUM(L114:L117,L121,L125,L130,L135,L139,L141:L146)</f>
        <v>134154026.56165403</v>
      </c>
      <c r="M147" s="8">
        <f>SUM(M114:M117,M121,M125,M130,M135,M139,M141:M146)</f>
        <v>1561454898.3878968</v>
      </c>
      <c r="N147" s="8">
        <f>SUM(N140:N146,N139,N135,N130,N125,N121,N114:N117)</f>
        <v>203858215.23612881</v>
      </c>
      <c r="O147" s="8">
        <f>SUM(O140:O146,O139,O135,O130,O125,O121,O114:O117)</f>
        <v>1357596683.1517682</v>
      </c>
      <c r="P147" s="9">
        <f t="shared" si="106"/>
        <v>336942598.7382285</v>
      </c>
      <c r="Q147" s="8">
        <f t="shared" ref="Q147:V147" si="108">SUM(Q140:Q146,Q139,Q135,Q130,Q125,Q121,Q114:Q117)</f>
        <v>274101832.72711378</v>
      </c>
      <c r="R147" s="8">
        <f t="shared" si="108"/>
        <v>19835589.249885038</v>
      </c>
      <c r="S147" s="8">
        <f t="shared" si="108"/>
        <v>43005176.761229701</v>
      </c>
      <c r="T147" s="8">
        <f t="shared" si="108"/>
        <v>0</v>
      </c>
      <c r="U147" s="8">
        <f t="shared" si="108"/>
        <v>270429476.51136535</v>
      </c>
      <c r="V147" s="8">
        <f t="shared" si="108"/>
        <v>12511866.874564579</v>
      </c>
      <c r="W147" s="27">
        <f t="shared" si="93"/>
        <v>-9.5367431640625E-7</v>
      </c>
    </row>
    <row r="148" spans="1:23" x14ac:dyDescent="0.2">
      <c r="A148" s="3"/>
      <c r="B148" s="7" t="s">
        <v>83</v>
      </c>
      <c r="C148" s="3"/>
      <c r="D148" s="3"/>
      <c r="E148" s="4"/>
      <c r="F148" s="4"/>
      <c r="G148" s="4"/>
      <c r="H148" s="8"/>
      <c r="I148" s="8"/>
      <c r="J148" s="8"/>
      <c r="K148" s="8"/>
      <c r="L148" s="8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27" t="str">
        <f t="shared" si="93"/>
        <v>OK</v>
      </c>
    </row>
    <row r="149" spans="1:23" x14ac:dyDescent="0.2">
      <c r="A149" s="3"/>
      <c r="B149" s="3"/>
      <c r="C149" s="3"/>
      <c r="D149" s="3"/>
      <c r="E149" s="4"/>
      <c r="F149" s="4"/>
      <c r="G149" s="4"/>
      <c r="H149" s="8"/>
      <c r="I149" s="8"/>
      <c r="J149" s="8"/>
      <c r="K149" s="8"/>
      <c r="L149" s="8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27" t="str">
        <f t="shared" si="93"/>
        <v>OK</v>
      </c>
    </row>
    <row r="150" spans="1:23" x14ac:dyDescent="0.2">
      <c r="A150" s="3">
        <v>1</v>
      </c>
      <c r="B150" s="3" t="s">
        <v>84</v>
      </c>
      <c r="C150" s="3"/>
      <c r="D150" s="3"/>
      <c r="E150" s="4"/>
      <c r="F150" s="4"/>
      <c r="G150" s="4"/>
      <c r="H150" s="8"/>
      <c r="I150" s="8"/>
      <c r="J150" s="8"/>
      <c r="K150" s="8"/>
      <c r="L150" s="8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27" t="str">
        <f t="shared" si="93"/>
        <v>OK</v>
      </c>
    </row>
    <row r="151" spans="1:23" x14ac:dyDescent="0.2">
      <c r="A151" s="3">
        <f t="shared" ref="A151:A191" si="109">+A150+1</f>
        <v>2</v>
      </c>
      <c r="B151" s="3" t="s">
        <v>85</v>
      </c>
      <c r="C151" s="3" t="s">
        <v>35</v>
      </c>
      <c r="D151" s="1" t="s">
        <v>323</v>
      </c>
      <c r="E151" s="4" t="s">
        <v>595</v>
      </c>
      <c r="F151" s="11"/>
      <c r="G151" s="1"/>
      <c r="H151" s="14">
        <f>'II-I TOTAL COMPANY'!K151</f>
        <v>31789028.747508913</v>
      </c>
      <c r="I151" s="66">
        <v>0</v>
      </c>
      <c r="J151" s="66">
        <f t="shared" ref="J151:J160" si="110">SUM(K151:V151)-M151-P151</f>
        <v>31789028.747508906</v>
      </c>
      <c r="K151" s="66">
        <f t="shared" ref="K151:L160" si="111">VLOOKUP($D151,$E$741:$V$815,K$1,FALSE)*$H151</f>
        <v>18268639.864725407</v>
      </c>
      <c r="L151" s="66">
        <f t="shared" si="111"/>
        <v>675654.39943120873</v>
      </c>
      <c r="M151" s="9">
        <f t="shared" ref="M151:M160" si="112">SUM(N151:O151)</f>
        <v>9384651.7715983726</v>
      </c>
      <c r="N151" s="66">
        <f t="shared" ref="N151:O160" si="113">VLOOKUP($D151,$E$741:$V$815,N$1,FALSE)*$H151</f>
        <v>1249980.830783844</v>
      </c>
      <c r="O151" s="66">
        <f t="shared" si="113"/>
        <v>8134670.9408145295</v>
      </c>
      <c r="P151" s="9">
        <f t="shared" ref="P151:P160" si="114">SUM(Q151:S151)</f>
        <v>2474944.9542980399</v>
      </c>
      <c r="Q151" s="66">
        <f t="shared" ref="Q151:V160" si="115">VLOOKUP($D151,$E$741:$V$815,Q$1,FALSE)*$H151</f>
        <v>2013307.9483464628</v>
      </c>
      <c r="R151" s="66">
        <f t="shared" si="115"/>
        <v>145704.44659302555</v>
      </c>
      <c r="S151" s="66">
        <f t="shared" si="115"/>
        <v>315932.55935855152</v>
      </c>
      <c r="T151" s="66">
        <f t="shared" si="115"/>
        <v>171.2857604543677</v>
      </c>
      <c r="U151" s="66">
        <f t="shared" si="115"/>
        <v>893089.2324800886</v>
      </c>
      <c r="V151" s="66">
        <f t="shared" si="115"/>
        <v>91877.239215339927</v>
      </c>
      <c r="W151" s="27" t="str">
        <f t="shared" si="93"/>
        <v>OK</v>
      </c>
    </row>
    <row r="152" spans="1:23" x14ac:dyDescent="0.2">
      <c r="A152" s="3">
        <f t="shared" si="109"/>
        <v>3</v>
      </c>
      <c r="B152" s="3" t="s">
        <v>86</v>
      </c>
      <c r="C152" s="3" t="s">
        <v>31</v>
      </c>
      <c r="D152" s="1" t="s">
        <v>323</v>
      </c>
      <c r="E152" s="4" t="s">
        <v>595</v>
      </c>
      <c r="F152" s="11"/>
      <c r="G152" s="1"/>
      <c r="H152" s="14">
        <f>'II-I TOTAL COMPANY'!K152</f>
        <v>317335357.01920229</v>
      </c>
      <c r="I152" s="66">
        <v>0</v>
      </c>
      <c r="J152" s="66">
        <f t="shared" si="110"/>
        <v>317335357.01920217</v>
      </c>
      <c r="K152" s="66">
        <f t="shared" si="111"/>
        <v>182367489.10367894</v>
      </c>
      <c r="L152" s="66">
        <f t="shared" si="111"/>
        <v>6744749.3211600278</v>
      </c>
      <c r="M152" s="9">
        <f t="shared" si="112"/>
        <v>93682692.984900683</v>
      </c>
      <c r="N152" s="66">
        <f t="shared" si="113"/>
        <v>12477987.810024992</v>
      </c>
      <c r="O152" s="66">
        <f t="shared" si="113"/>
        <v>81204705.174875692</v>
      </c>
      <c r="P152" s="9">
        <f t="shared" si="114"/>
        <v>24706245.255655605</v>
      </c>
      <c r="Q152" s="66">
        <f t="shared" si="115"/>
        <v>20097933.83914531</v>
      </c>
      <c r="R152" s="66">
        <f t="shared" si="115"/>
        <v>1454500.9520778875</v>
      </c>
      <c r="S152" s="66">
        <f t="shared" si="115"/>
        <v>3153810.4644324086</v>
      </c>
      <c r="T152" s="66">
        <f t="shared" si="115"/>
        <v>1709.8675262405357</v>
      </c>
      <c r="U152" s="66">
        <f t="shared" si="115"/>
        <v>8915301.9644012582</v>
      </c>
      <c r="V152" s="66">
        <f t="shared" si="115"/>
        <v>917168.52187952737</v>
      </c>
      <c r="W152" s="27">
        <f t="shared" si="93"/>
        <v>-5.9604644775390625E-8</v>
      </c>
    </row>
    <row r="153" spans="1:23" x14ac:dyDescent="0.2">
      <c r="A153" s="3">
        <f t="shared" si="109"/>
        <v>4</v>
      </c>
      <c r="B153" s="3" t="s">
        <v>87</v>
      </c>
      <c r="C153" s="3" t="s">
        <v>88</v>
      </c>
      <c r="D153" s="1" t="s">
        <v>323</v>
      </c>
      <c r="E153" s="4" t="s">
        <v>595</v>
      </c>
      <c r="F153" s="11"/>
      <c r="G153" s="1"/>
      <c r="H153" s="14">
        <f>'II-I TOTAL COMPANY'!K153</f>
        <v>7555329.3939969605</v>
      </c>
      <c r="I153" s="66">
        <v>0</v>
      </c>
      <c r="J153" s="66">
        <f t="shared" si="110"/>
        <v>7555329.3939969596</v>
      </c>
      <c r="K153" s="66">
        <f t="shared" si="111"/>
        <v>4341925.4125252459</v>
      </c>
      <c r="L153" s="66">
        <f t="shared" si="111"/>
        <v>160583.43854264508</v>
      </c>
      <c r="M153" s="9">
        <f t="shared" si="112"/>
        <v>2230459.31807335</v>
      </c>
      <c r="N153" s="66">
        <f t="shared" si="113"/>
        <v>297084.16031722829</v>
      </c>
      <c r="O153" s="66">
        <f t="shared" si="113"/>
        <v>1933375.1577561216</v>
      </c>
      <c r="P153" s="9">
        <f t="shared" si="114"/>
        <v>588222.57547575305</v>
      </c>
      <c r="Q153" s="66">
        <f t="shared" si="115"/>
        <v>478504.85908606887</v>
      </c>
      <c r="R153" s="66">
        <f t="shared" si="115"/>
        <v>34629.717596093957</v>
      </c>
      <c r="S153" s="66">
        <f t="shared" si="115"/>
        <v>75087.998793590217</v>
      </c>
      <c r="T153" s="66">
        <f t="shared" si="115"/>
        <v>40.709653352822798</v>
      </c>
      <c r="U153" s="66">
        <f t="shared" si="115"/>
        <v>212261.38688328941</v>
      </c>
      <c r="V153" s="66">
        <f t="shared" si="115"/>
        <v>21836.552843324753</v>
      </c>
      <c r="W153" s="27">
        <f t="shared" si="93"/>
        <v>9.3132257461547852E-10</v>
      </c>
    </row>
    <row r="154" spans="1:23" x14ac:dyDescent="0.2">
      <c r="A154" s="3">
        <f t="shared" si="109"/>
        <v>5</v>
      </c>
      <c r="B154" s="3" t="s">
        <v>89</v>
      </c>
      <c r="C154" s="3" t="s">
        <v>90</v>
      </c>
      <c r="D154" s="1" t="s">
        <v>323</v>
      </c>
      <c r="E154" s="4" t="s">
        <v>595</v>
      </c>
      <c r="F154" s="11"/>
      <c r="G154" s="1"/>
      <c r="H154" s="14">
        <f>'II-I TOTAL COMPANY'!K154</f>
        <v>181494.0178874397</v>
      </c>
      <c r="I154" s="66">
        <v>0</v>
      </c>
      <c r="J154" s="66">
        <f t="shared" si="110"/>
        <v>181494.01788743967</v>
      </c>
      <c r="K154" s="66">
        <f t="shared" si="111"/>
        <v>104301.67202410962</v>
      </c>
      <c r="L154" s="66">
        <f t="shared" si="111"/>
        <v>3857.5331328958764</v>
      </c>
      <c r="M154" s="9">
        <f t="shared" si="112"/>
        <v>53580.062795575046</v>
      </c>
      <c r="N154" s="66">
        <f t="shared" si="113"/>
        <v>7136.5515776891261</v>
      </c>
      <c r="O154" s="66">
        <f t="shared" si="113"/>
        <v>46443.51121788592</v>
      </c>
      <c r="P154" s="9">
        <f t="shared" si="114"/>
        <v>14130.274547661253</v>
      </c>
      <c r="Q154" s="66">
        <f t="shared" si="115"/>
        <v>11494.637086663164</v>
      </c>
      <c r="R154" s="66">
        <f t="shared" si="115"/>
        <v>831.87459567497331</v>
      </c>
      <c r="S154" s="66">
        <f t="shared" si="115"/>
        <v>1803.7628653231152</v>
      </c>
      <c r="T154" s="66">
        <f t="shared" si="115"/>
        <v>0.97792672807610792</v>
      </c>
      <c r="U154" s="66">
        <f t="shared" si="115"/>
        <v>5098.940091006174</v>
      </c>
      <c r="V154" s="66">
        <f t="shared" si="115"/>
        <v>524.5573694636455</v>
      </c>
      <c r="W154" s="27">
        <f t="shared" si="93"/>
        <v>-2.9103830456733704E-11</v>
      </c>
    </row>
    <row r="155" spans="1:23" x14ac:dyDescent="0.2">
      <c r="A155" s="3">
        <f t="shared" si="109"/>
        <v>6</v>
      </c>
      <c r="B155" s="3" t="s">
        <v>91</v>
      </c>
      <c r="C155" s="3" t="s">
        <v>92</v>
      </c>
      <c r="D155" s="1" t="s">
        <v>323</v>
      </c>
      <c r="E155" s="4" t="s">
        <v>595</v>
      </c>
      <c r="F155" s="11"/>
      <c r="G155" s="1"/>
      <c r="H155" s="14">
        <f>'II-I TOTAL COMPANY'!K155</f>
        <v>2382315.8044728371</v>
      </c>
      <c r="I155" s="66">
        <v>0</v>
      </c>
      <c r="J155" s="66">
        <f t="shared" si="110"/>
        <v>2382315.8044728367</v>
      </c>
      <c r="K155" s="66">
        <f t="shared" si="111"/>
        <v>1369078.3012478272</v>
      </c>
      <c r="L155" s="66">
        <f t="shared" si="111"/>
        <v>50634.518182714426</v>
      </c>
      <c r="M155" s="9">
        <f t="shared" si="112"/>
        <v>703299.38081876107</v>
      </c>
      <c r="N155" s="66">
        <f t="shared" si="113"/>
        <v>93675.371843431742</v>
      </c>
      <c r="O155" s="66">
        <f t="shared" si="113"/>
        <v>609624.00897532934</v>
      </c>
      <c r="P155" s="9">
        <f t="shared" si="114"/>
        <v>185475.95545166064</v>
      </c>
      <c r="Q155" s="66">
        <f t="shared" si="115"/>
        <v>150880.21036164611</v>
      </c>
      <c r="R155" s="66">
        <f t="shared" si="115"/>
        <v>10919.302022643082</v>
      </c>
      <c r="S155" s="66">
        <f t="shared" si="115"/>
        <v>23676.443067371478</v>
      </c>
      <c r="T155" s="66">
        <f t="shared" si="115"/>
        <v>12.836402692660602</v>
      </c>
      <c r="U155" s="66">
        <f t="shared" si="115"/>
        <v>66929.399140845344</v>
      </c>
      <c r="V155" s="66">
        <f t="shared" si="115"/>
        <v>6885.4132283355157</v>
      </c>
      <c r="W155" s="27" t="str">
        <f t="shared" si="93"/>
        <v>OK</v>
      </c>
    </row>
    <row r="156" spans="1:23" x14ac:dyDescent="0.2">
      <c r="A156" s="3">
        <f t="shared" si="109"/>
        <v>7</v>
      </c>
      <c r="B156" s="3" t="s">
        <v>93</v>
      </c>
      <c r="C156" s="3" t="s">
        <v>94</v>
      </c>
      <c r="D156" s="1" t="s">
        <v>323</v>
      </c>
      <c r="E156" s="4" t="s">
        <v>595</v>
      </c>
      <c r="F156" s="11"/>
      <c r="G156" s="1"/>
      <c r="H156" s="14">
        <f>'II-I TOTAL COMPANY'!K156</f>
        <v>38508616.374666736</v>
      </c>
      <c r="I156" s="66">
        <v>0</v>
      </c>
      <c r="J156" s="66">
        <f t="shared" si="110"/>
        <v>38508616.374666736</v>
      </c>
      <c r="K156" s="66">
        <f t="shared" si="111"/>
        <v>22130278.022186592</v>
      </c>
      <c r="L156" s="66">
        <f t="shared" si="111"/>
        <v>818474.70950464811</v>
      </c>
      <c r="M156" s="9">
        <f t="shared" si="112"/>
        <v>11368386.17350453</v>
      </c>
      <c r="N156" s="66">
        <f t="shared" si="113"/>
        <v>1514202.6725844613</v>
      </c>
      <c r="O156" s="66">
        <f t="shared" si="113"/>
        <v>9854183.5009200685</v>
      </c>
      <c r="P156" s="9">
        <f t="shared" si="114"/>
        <v>2998100.5884286049</v>
      </c>
      <c r="Q156" s="66">
        <f t="shared" si="115"/>
        <v>2438882.4220688641</v>
      </c>
      <c r="R156" s="66">
        <f t="shared" si="115"/>
        <v>176503.55669874387</v>
      </c>
      <c r="S156" s="66">
        <f t="shared" si="115"/>
        <v>382714.60966099706</v>
      </c>
      <c r="T156" s="66">
        <f t="shared" si="115"/>
        <v>207.49226697582543</v>
      </c>
      <c r="U156" s="66">
        <f t="shared" si="115"/>
        <v>1081871.0730385659</v>
      </c>
      <c r="V156" s="66">
        <f t="shared" si="115"/>
        <v>111298.3157368174</v>
      </c>
      <c r="W156" s="27">
        <f t="shared" si="93"/>
        <v>-7.4505805969238281E-9</v>
      </c>
    </row>
    <row r="157" spans="1:23" x14ac:dyDescent="0.2">
      <c r="A157" s="3">
        <f t="shared" si="109"/>
        <v>8</v>
      </c>
      <c r="B157" s="3" t="s">
        <v>95</v>
      </c>
      <c r="C157" s="3" t="s">
        <v>96</v>
      </c>
      <c r="D157" s="1" t="s">
        <v>323</v>
      </c>
      <c r="E157" s="4" t="s">
        <v>595</v>
      </c>
      <c r="F157" s="11"/>
      <c r="G157" s="1"/>
      <c r="H157" s="14">
        <f>'II-I TOTAL COMPANY'!K157</f>
        <v>357011.90787752252</v>
      </c>
      <c r="I157" s="66">
        <v>0</v>
      </c>
      <c r="J157" s="66">
        <f t="shared" si="110"/>
        <v>357011.90787752258</v>
      </c>
      <c r="K157" s="66">
        <f t="shared" si="111"/>
        <v>205168.96015403038</v>
      </c>
      <c r="L157" s="66">
        <f t="shared" si="111"/>
        <v>7588.0476916326043</v>
      </c>
      <c r="M157" s="9">
        <f t="shared" si="112"/>
        <v>105395.87290810379</v>
      </c>
      <c r="N157" s="66">
        <f t="shared" si="113"/>
        <v>14038.114997251716</v>
      </c>
      <c r="O157" s="66">
        <f t="shared" si="113"/>
        <v>91357.757910852073</v>
      </c>
      <c r="P157" s="9">
        <f t="shared" si="114"/>
        <v>27795.275755162274</v>
      </c>
      <c r="Q157" s="66">
        <f t="shared" si="115"/>
        <v>22610.785547843348</v>
      </c>
      <c r="R157" s="66">
        <f t="shared" si="115"/>
        <v>1636.3577156628587</v>
      </c>
      <c r="S157" s="66">
        <f t="shared" si="115"/>
        <v>3548.1324916560661</v>
      </c>
      <c r="T157" s="66">
        <f t="shared" si="115"/>
        <v>1.9236528620541169</v>
      </c>
      <c r="U157" s="66">
        <f t="shared" si="115"/>
        <v>10029.985292255091</v>
      </c>
      <c r="V157" s="66">
        <f t="shared" si="115"/>
        <v>1031.8424234763211</v>
      </c>
      <c r="W157" s="27">
        <f t="shared" ref="W157:W188" si="116">IF((+K157+L157+M157+P157+T157+U157+V157)-H157=0,"OK",(+K157+L157+M157+P157+T157+U157+V157)-H157)</f>
        <v>5.8207660913467407E-11</v>
      </c>
    </row>
    <row r="158" spans="1:23" x14ac:dyDescent="0.2">
      <c r="A158" s="3">
        <f t="shared" si="109"/>
        <v>9</v>
      </c>
      <c r="B158" s="3" t="s">
        <v>97</v>
      </c>
      <c r="C158" s="3" t="s">
        <v>98</v>
      </c>
      <c r="D158" s="1" t="s">
        <v>323</v>
      </c>
      <c r="E158" s="4" t="s">
        <v>595</v>
      </c>
      <c r="F158" s="11"/>
      <c r="G158" s="1"/>
      <c r="H158" s="14">
        <f>'II-I TOTAL COMPANY'!K158</f>
        <v>21319.638821861045</v>
      </c>
      <c r="I158" s="66">
        <v>0</v>
      </c>
      <c r="J158" s="66">
        <f t="shared" si="110"/>
        <v>21319.638821861048</v>
      </c>
      <c r="K158" s="66">
        <f t="shared" si="111"/>
        <v>12252.05107007615</v>
      </c>
      <c r="L158" s="66">
        <f t="shared" si="111"/>
        <v>453.13456660432274</v>
      </c>
      <c r="M158" s="9">
        <f t="shared" si="112"/>
        <v>6293.9131556541943</v>
      </c>
      <c r="N158" s="66">
        <f t="shared" si="113"/>
        <v>838.31249008039197</v>
      </c>
      <c r="O158" s="66">
        <f t="shared" si="113"/>
        <v>5455.600665573802</v>
      </c>
      <c r="P158" s="9">
        <f t="shared" si="114"/>
        <v>1659.8472683364516</v>
      </c>
      <c r="Q158" s="66">
        <f t="shared" si="115"/>
        <v>1350.2456661024046</v>
      </c>
      <c r="R158" s="66">
        <f t="shared" si="115"/>
        <v>97.718184496148567</v>
      </c>
      <c r="S158" s="66">
        <f t="shared" si="115"/>
        <v>211.88341773789844</v>
      </c>
      <c r="T158" s="66">
        <f t="shared" si="115"/>
        <v>0.11487455553360031</v>
      </c>
      <c r="U158" s="66">
        <f t="shared" si="115"/>
        <v>598.95947194236442</v>
      </c>
      <c r="V158" s="66">
        <f t="shared" si="115"/>
        <v>61.618414692027109</v>
      </c>
      <c r="W158" s="27">
        <f t="shared" si="116"/>
        <v>3.637978807091713E-12</v>
      </c>
    </row>
    <row r="159" spans="1:23" x14ac:dyDescent="0.2">
      <c r="A159" s="3">
        <f t="shared" si="109"/>
        <v>10</v>
      </c>
      <c r="B159" s="3" t="s">
        <v>99</v>
      </c>
      <c r="C159" s="3" t="s">
        <v>100</v>
      </c>
      <c r="D159" s="1" t="s">
        <v>323</v>
      </c>
      <c r="E159" s="4" t="s">
        <v>595</v>
      </c>
      <c r="F159" s="11"/>
      <c r="G159" s="1"/>
      <c r="H159" s="14">
        <f>'II-I TOTAL COMPANY'!K159</f>
        <v>7235687.6424680334</v>
      </c>
      <c r="I159" s="66">
        <v>0</v>
      </c>
      <c r="J159" s="66">
        <f t="shared" si="110"/>
        <v>7235687.6424680334</v>
      </c>
      <c r="K159" s="66">
        <f t="shared" si="111"/>
        <v>4158232.4758585468</v>
      </c>
      <c r="L159" s="66">
        <f t="shared" si="111"/>
        <v>153789.66835929712</v>
      </c>
      <c r="M159" s="9">
        <f t="shared" si="112"/>
        <v>2136095.7389407908</v>
      </c>
      <c r="N159" s="66">
        <f t="shared" si="113"/>
        <v>284515.48244717414</v>
      </c>
      <c r="O159" s="66">
        <f t="shared" si="113"/>
        <v>1851580.2564936166</v>
      </c>
      <c r="P159" s="9">
        <f t="shared" si="114"/>
        <v>563336.76514122053</v>
      </c>
      <c r="Q159" s="66">
        <f t="shared" si="115"/>
        <v>458260.85339190293</v>
      </c>
      <c r="R159" s="66">
        <f t="shared" si="115"/>
        <v>33164.645325894533</v>
      </c>
      <c r="S159" s="66">
        <f t="shared" si="115"/>
        <v>71911.266423423105</v>
      </c>
      <c r="T159" s="66">
        <f t="shared" si="115"/>
        <v>38.987358503286423</v>
      </c>
      <c r="U159" s="66">
        <f t="shared" si="115"/>
        <v>203281.28847232644</v>
      </c>
      <c r="V159" s="66">
        <f t="shared" si="115"/>
        <v>20912.718337348069</v>
      </c>
      <c r="W159" s="27" t="str">
        <f t="shared" si="116"/>
        <v>OK</v>
      </c>
    </row>
    <row r="160" spans="1:23" x14ac:dyDescent="0.2">
      <c r="A160" s="3">
        <f t="shared" si="109"/>
        <v>11</v>
      </c>
      <c r="B160" s="3" t="s">
        <v>101</v>
      </c>
      <c r="C160" s="3" t="s">
        <v>807</v>
      </c>
      <c r="D160" s="1" t="s">
        <v>323</v>
      </c>
      <c r="E160" s="4" t="s">
        <v>595</v>
      </c>
      <c r="F160" s="11"/>
      <c r="G160" s="1"/>
      <c r="H160" s="14">
        <f>'II-I TOTAL COMPANY'!K160</f>
        <v>1256724.9184018117</v>
      </c>
      <c r="I160" s="66">
        <v>0</v>
      </c>
      <c r="J160" s="66">
        <f t="shared" si="110"/>
        <v>1256724.918401812</v>
      </c>
      <c r="K160" s="66">
        <f t="shared" si="111"/>
        <v>722219.45268171281</v>
      </c>
      <c r="L160" s="66">
        <f t="shared" si="111"/>
        <v>26710.84186740213</v>
      </c>
      <c r="M160" s="9">
        <f t="shared" si="112"/>
        <v>371006.16774319008</v>
      </c>
      <c r="N160" s="66">
        <f t="shared" si="113"/>
        <v>49415.855704423004</v>
      </c>
      <c r="O160" s="66">
        <f t="shared" si="113"/>
        <v>321590.31203876709</v>
      </c>
      <c r="P160" s="9">
        <f t="shared" si="114"/>
        <v>97842.718644963781</v>
      </c>
      <c r="Q160" s="66">
        <f t="shared" si="115"/>
        <v>79592.688634807681</v>
      </c>
      <c r="R160" s="66">
        <f t="shared" si="115"/>
        <v>5760.1762611180829</v>
      </c>
      <c r="S160" s="66">
        <f t="shared" si="115"/>
        <v>12489.853749038008</v>
      </c>
      <c r="T160" s="66">
        <f t="shared" si="115"/>
        <v>6.7714897815893762</v>
      </c>
      <c r="U160" s="66">
        <f t="shared" si="115"/>
        <v>35306.756357003454</v>
      </c>
      <c r="V160" s="66">
        <f t="shared" si="115"/>
        <v>3632.2096177578237</v>
      </c>
      <c r="W160" s="27" t="str">
        <f t="shared" si="116"/>
        <v>OK</v>
      </c>
    </row>
    <row r="161" spans="1:23" x14ac:dyDescent="0.2">
      <c r="A161" s="3">
        <f t="shared" si="109"/>
        <v>12</v>
      </c>
      <c r="B161" s="3"/>
      <c r="C161" s="3"/>
      <c r="D161" s="1"/>
      <c r="E161" s="4"/>
      <c r="F161" s="4"/>
      <c r="G161" s="4"/>
      <c r="H161" s="14"/>
      <c r="I161" s="66"/>
      <c r="J161" s="66"/>
      <c r="K161" s="66"/>
      <c r="L161" s="66"/>
      <c r="M161" s="12"/>
      <c r="N161" s="66"/>
      <c r="O161" s="66"/>
      <c r="P161" s="66"/>
      <c r="Q161" s="66"/>
      <c r="R161" s="66"/>
      <c r="S161" s="66"/>
      <c r="T161" s="66"/>
      <c r="U161" s="66"/>
      <c r="V161" s="66"/>
      <c r="W161" s="27" t="str">
        <f t="shared" si="116"/>
        <v>OK</v>
      </c>
    </row>
    <row r="162" spans="1:23" x14ac:dyDescent="0.2">
      <c r="A162" s="3">
        <f t="shared" si="109"/>
        <v>13</v>
      </c>
      <c r="B162" s="3"/>
      <c r="C162" s="3" t="s">
        <v>103</v>
      </c>
      <c r="D162" s="3"/>
      <c r="E162" s="4"/>
      <c r="F162" s="8"/>
      <c r="G162" s="8"/>
      <c r="H162" s="8">
        <f>SUM(H151:H160)</f>
        <v>406622885.46530443</v>
      </c>
      <c r="I162" s="8">
        <f>SUM(I151:I160)</f>
        <v>0</v>
      </c>
      <c r="J162" s="66">
        <f>SUM(K162:U162)-M162-P162</f>
        <v>405447656.47623837</v>
      </c>
      <c r="K162" s="8">
        <f>SUM(K151:K160)</f>
        <v>233679585.31615248</v>
      </c>
      <c r="L162" s="8">
        <f>SUM(L151:L160)</f>
        <v>8642495.6124390755</v>
      </c>
      <c r="M162" s="9">
        <f>SUM(N162:O162)</f>
        <v>120041861.38443899</v>
      </c>
      <c r="N162" s="8">
        <f>SUM(N151:N160)</f>
        <v>15988875.162770573</v>
      </c>
      <c r="O162" s="8">
        <f>SUM(O151:O160)</f>
        <v>104052986.22166842</v>
      </c>
      <c r="P162" s="9">
        <f>SUM(Q162:S162)</f>
        <v>31657754.210667014</v>
      </c>
      <c r="Q162" s="8">
        <f t="shared" ref="Q162:V162" si="117">SUM(Q151:Q160)</f>
        <v>25752818.489335675</v>
      </c>
      <c r="R162" s="8">
        <f t="shared" si="117"/>
        <v>1863748.7470712403</v>
      </c>
      <c r="S162" s="8">
        <f t="shared" si="117"/>
        <v>4041186.9742600974</v>
      </c>
      <c r="T162" s="8">
        <f t="shared" si="117"/>
        <v>2190.9669121467518</v>
      </c>
      <c r="U162" s="8">
        <f t="shared" si="117"/>
        <v>11423768.985628583</v>
      </c>
      <c r="V162" s="8">
        <f t="shared" si="117"/>
        <v>1175228.9890660828</v>
      </c>
      <c r="W162" s="27">
        <f t="shared" si="116"/>
        <v>-5.9604644775390625E-8</v>
      </c>
    </row>
    <row r="163" spans="1:23" x14ac:dyDescent="0.2">
      <c r="A163" s="3">
        <f t="shared" si="109"/>
        <v>14</v>
      </c>
      <c r="B163" s="3"/>
      <c r="C163" s="3"/>
      <c r="D163" s="3"/>
      <c r="E163" s="4"/>
      <c r="F163" s="4"/>
      <c r="G163" s="4"/>
      <c r="H163" s="8"/>
      <c r="I163" s="8"/>
      <c r="J163" s="8"/>
      <c r="K163" s="8"/>
      <c r="L163" s="8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27" t="str">
        <f t="shared" si="116"/>
        <v>OK</v>
      </c>
    </row>
    <row r="164" spans="1:23" x14ac:dyDescent="0.2">
      <c r="A164" s="3">
        <f t="shared" si="109"/>
        <v>15</v>
      </c>
      <c r="B164" s="3"/>
      <c r="C164" s="3"/>
      <c r="D164" s="3"/>
      <c r="E164" s="4"/>
      <c r="F164" s="4"/>
      <c r="G164" s="4"/>
      <c r="H164" s="5"/>
      <c r="I164" s="5"/>
      <c r="J164" s="5"/>
      <c r="K164" s="5"/>
      <c r="L164" s="5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27" t="str">
        <f t="shared" si="116"/>
        <v>OK</v>
      </c>
    </row>
    <row r="165" spans="1:23" x14ac:dyDescent="0.2">
      <c r="A165" s="3">
        <f t="shared" si="109"/>
        <v>16</v>
      </c>
      <c r="B165" s="3"/>
      <c r="C165" s="3"/>
      <c r="D165" s="3"/>
      <c r="E165" s="4"/>
      <c r="F165" s="4"/>
      <c r="G165" s="4"/>
      <c r="H165" s="8"/>
      <c r="I165" s="8"/>
      <c r="J165" s="8"/>
      <c r="K165" s="8"/>
      <c r="L165" s="8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27" t="str">
        <f t="shared" si="116"/>
        <v>OK</v>
      </c>
    </row>
    <row r="166" spans="1:23" x14ac:dyDescent="0.2">
      <c r="A166" s="3">
        <f t="shared" si="109"/>
        <v>17</v>
      </c>
      <c r="B166" s="7" t="s">
        <v>104</v>
      </c>
      <c r="C166" s="3"/>
      <c r="D166" s="3"/>
      <c r="E166" s="4"/>
      <c r="F166" s="4"/>
      <c r="G166" s="4"/>
      <c r="H166" s="8"/>
      <c r="I166" s="8"/>
      <c r="J166" s="8"/>
      <c r="K166" s="8"/>
      <c r="L166" s="8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27" t="str">
        <f t="shared" si="116"/>
        <v>OK</v>
      </c>
    </row>
    <row r="167" spans="1:23" x14ac:dyDescent="0.2">
      <c r="A167" s="3">
        <f t="shared" si="109"/>
        <v>18</v>
      </c>
      <c r="B167" s="3"/>
      <c r="C167" s="3"/>
      <c r="D167" s="3"/>
      <c r="E167" s="4"/>
      <c r="F167" s="4"/>
      <c r="G167" s="4"/>
      <c r="H167" s="8"/>
      <c r="I167" s="8"/>
      <c r="J167" s="8"/>
      <c r="K167" s="8"/>
      <c r="L167" s="8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27" t="str">
        <f t="shared" si="116"/>
        <v>OK</v>
      </c>
    </row>
    <row r="168" spans="1:23" x14ac:dyDescent="0.2">
      <c r="A168" s="3">
        <f t="shared" si="109"/>
        <v>19</v>
      </c>
      <c r="B168" s="3" t="s">
        <v>105</v>
      </c>
      <c r="C168" s="3" t="s">
        <v>106</v>
      </c>
      <c r="D168" s="1" t="s">
        <v>323</v>
      </c>
      <c r="E168" s="4" t="s">
        <v>595</v>
      </c>
      <c r="F168" s="11"/>
      <c r="G168" s="1"/>
      <c r="H168" s="14">
        <f>'II-I TOTAL COMPANY'!K168</f>
        <v>244916442.00210351</v>
      </c>
      <c r="I168" s="66">
        <v>0</v>
      </c>
      <c r="J168" s="66">
        <f>SUM(K168:V168)-M168-P168</f>
        <v>244916442.00210348</v>
      </c>
      <c r="K168" s="66">
        <f>VLOOKUP($D168,$E$741:$V$815,K$1,FALSE)*$H168</f>
        <v>140749511.77100545</v>
      </c>
      <c r="L168" s="66">
        <f>VLOOKUP($D168,$E$741:$V$815,L$1,FALSE)*$H168</f>
        <v>5205534.0490617277</v>
      </c>
      <c r="M168" s="9">
        <f>SUM(N168:O168)</f>
        <v>72303420.767730281</v>
      </c>
      <c r="N168" s="66">
        <f>VLOOKUP($D168,$E$741:$V$815,N$1,FALSE)*$H168</f>
        <v>9630393.5574125592</v>
      </c>
      <c r="O168" s="66">
        <f>VLOOKUP($D168,$E$741:$V$815,O$1,FALSE)*$H168</f>
        <v>62673027.210317723</v>
      </c>
      <c r="P168" s="9">
        <f>SUM(Q168:S168)</f>
        <v>19068047.569878485</v>
      </c>
      <c r="Q168" s="66">
        <f t="shared" ref="Q168:V168" si="118">VLOOKUP($D168,$E$741:$V$815,Q$1,FALSE)*$H168</f>
        <v>15511396.18891976</v>
      </c>
      <c r="R168" s="66">
        <f t="shared" si="118"/>
        <v>1122570.1460364922</v>
      </c>
      <c r="S168" s="66">
        <f t="shared" si="118"/>
        <v>2434081.2349222312</v>
      </c>
      <c r="T168" s="66">
        <f t="shared" si="118"/>
        <v>1319.659664638094</v>
      </c>
      <c r="U168" s="66">
        <f t="shared" si="118"/>
        <v>6880746.1513448497</v>
      </c>
      <c r="V168" s="66">
        <f t="shared" si="118"/>
        <v>707862.03341807157</v>
      </c>
      <c r="W168" s="27">
        <f t="shared" si="116"/>
        <v>-2.9802322387695313E-8</v>
      </c>
    </row>
    <row r="169" spans="1:23" x14ac:dyDescent="0.2">
      <c r="A169" s="3">
        <f t="shared" si="109"/>
        <v>20</v>
      </c>
      <c r="B169" s="3"/>
      <c r="C169" s="3"/>
      <c r="D169" s="3"/>
      <c r="E169" s="4"/>
      <c r="F169" s="4"/>
      <c r="G169" s="4"/>
      <c r="H169" s="8"/>
      <c r="I169" s="8"/>
      <c r="J169" s="8"/>
      <c r="K169" s="8"/>
      <c r="L169" s="8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27" t="str">
        <f t="shared" si="116"/>
        <v>OK</v>
      </c>
    </row>
    <row r="170" spans="1:23" x14ac:dyDescent="0.2">
      <c r="A170" s="3">
        <f t="shared" si="109"/>
        <v>21</v>
      </c>
      <c r="B170" s="3"/>
      <c r="C170" s="3"/>
      <c r="D170" s="3"/>
      <c r="E170" s="4"/>
      <c r="F170" s="4"/>
      <c r="G170" s="4"/>
      <c r="H170" s="8"/>
      <c r="I170" s="8"/>
      <c r="J170" s="8"/>
      <c r="K170" s="8"/>
      <c r="L170" s="8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27" t="str">
        <f t="shared" si="116"/>
        <v>OK</v>
      </c>
    </row>
    <row r="171" spans="1:23" x14ac:dyDescent="0.2">
      <c r="A171" s="3">
        <f t="shared" si="109"/>
        <v>22</v>
      </c>
      <c r="B171" s="3" t="s">
        <v>107</v>
      </c>
      <c r="C171" s="3"/>
      <c r="D171" s="3"/>
      <c r="E171" s="4"/>
      <c r="F171" s="8"/>
      <c r="G171" s="8"/>
      <c r="H171" s="8">
        <f>H96+H111+H147+H162+H168</f>
        <v>6334845377.4165173</v>
      </c>
      <c r="I171" s="66">
        <v>0</v>
      </c>
      <c r="J171" s="66">
        <f>SUM(K171:V171)-M171-P171</f>
        <v>6334845377.4165163</v>
      </c>
      <c r="K171" s="8">
        <f>K96+K111+K147+K162+K168</f>
        <v>3677437259.0757861</v>
      </c>
      <c r="L171" s="8">
        <f>L96+L111+L147+L162+L168</f>
        <v>151240557.55969059</v>
      </c>
      <c r="M171" s="9">
        <f>SUM(N171:O171)</f>
        <v>1798782063.7792335</v>
      </c>
      <c r="N171" s="8">
        <f>N96+N111+N147+N162+N168</f>
        <v>235468808.21105728</v>
      </c>
      <c r="O171" s="8">
        <f>O96+O111+O147+O162+O168</f>
        <v>1563313255.5681763</v>
      </c>
      <c r="P171" s="9">
        <f>SUM(Q171:S171)</f>
        <v>399531140.62539381</v>
      </c>
      <c r="Q171" s="8">
        <f t="shared" ref="Q171:V171" si="119">Q96+Q111+Q147+Q162+Q168</f>
        <v>325016099.98708409</v>
      </c>
      <c r="R171" s="8">
        <f t="shared" si="119"/>
        <v>23520288.920840073</v>
      </c>
      <c r="S171" s="8">
        <f t="shared" si="119"/>
        <v>50994751.717469648</v>
      </c>
      <c r="T171" s="8">
        <f t="shared" si="119"/>
        <v>4331.62199193791</v>
      </c>
      <c r="U171" s="8">
        <f t="shared" si="119"/>
        <v>293014687.03856689</v>
      </c>
      <c r="V171" s="8">
        <f t="shared" si="119"/>
        <v>14835337.71585341</v>
      </c>
      <c r="W171" s="27">
        <f t="shared" si="116"/>
        <v>-9.5367431640625E-7</v>
      </c>
    </row>
    <row r="172" spans="1:23" x14ac:dyDescent="0.2">
      <c r="A172" s="3">
        <f t="shared" si="109"/>
        <v>23</v>
      </c>
      <c r="B172" s="3"/>
      <c r="C172" s="3"/>
      <c r="D172" s="3"/>
      <c r="E172" s="4"/>
      <c r="F172" s="4"/>
      <c r="G172" s="4"/>
      <c r="H172" s="8"/>
      <c r="I172" s="8"/>
      <c r="J172" s="8"/>
      <c r="K172" s="8"/>
      <c r="L172" s="8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27" t="str">
        <f t="shared" si="116"/>
        <v>OK</v>
      </c>
    </row>
    <row r="173" spans="1:23" x14ac:dyDescent="0.2">
      <c r="A173" s="3">
        <f t="shared" si="109"/>
        <v>24</v>
      </c>
      <c r="B173" s="3"/>
      <c r="C173" s="3"/>
      <c r="D173" s="3"/>
      <c r="E173" s="4"/>
      <c r="F173" s="4"/>
      <c r="G173" s="4"/>
      <c r="H173" s="8"/>
      <c r="I173" s="8"/>
      <c r="J173" s="8"/>
      <c r="K173" s="8"/>
      <c r="L173" s="8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27" t="str">
        <f t="shared" si="116"/>
        <v>OK</v>
      </c>
    </row>
    <row r="174" spans="1:23" x14ac:dyDescent="0.2">
      <c r="A174" s="3">
        <f t="shared" si="109"/>
        <v>25</v>
      </c>
      <c r="B174" s="7" t="s">
        <v>108</v>
      </c>
      <c r="C174" s="3"/>
      <c r="D174" s="3"/>
      <c r="E174" s="4"/>
      <c r="F174" s="4"/>
      <c r="G174" s="4"/>
      <c r="H174" s="8"/>
      <c r="I174" s="8"/>
      <c r="J174" s="8"/>
      <c r="K174" s="8"/>
      <c r="L174" s="8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27" t="str">
        <f t="shared" si="116"/>
        <v>OK</v>
      </c>
    </row>
    <row r="175" spans="1:23" x14ac:dyDescent="0.2">
      <c r="A175" s="3">
        <f t="shared" si="109"/>
        <v>26</v>
      </c>
      <c r="B175" s="3"/>
      <c r="C175" s="3"/>
      <c r="D175" s="3"/>
      <c r="E175" s="4"/>
      <c r="F175" s="4"/>
      <c r="G175" s="4"/>
      <c r="H175" s="8"/>
      <c r="I175" s="8"/>
      <c r="J175" s="8"/>
      <c r="K175" s="8"/>
      <c r="L175" s="8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27" t="str">
        <f t="shared" si="116"/>
        <v>OK</v>
      </c>
    </row>
    <row r="176" spans="1:23" x14ac:dyDescent="0.2">
      <c r="A176" s="3">
        <f t="shared" si="109"/>
        <v>27</v>
      </c>
      <c r="B176" s="3" t="s">
        <v>109</v>
      </c>
      <c r="C176" s="3"/>
      <c r="D176" s="3"/>
      <c r="E176" s="4"/>
      <c r="F176" s="4"/>
      <c r="G176" s="4"/>
      <c r="H176" s="8"/>
      <c r="I176" s="8"/>
      <c r="J176" s="8"/>
      <c r="K176" s="8"/>
      <c r="L176" s="8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27" t="str">
        <f t="shared" si="116"/>
        <v>OK</v>
      </c>
    </row>
    <row r="177" spans="1:23" x14ac:dyDescent="0.2">
      <c r="A177" s="3">
        <f t="shared" si="109"/>
        <v>28</v>
      </c>
      <c r="B177" s="3" t="s">
        <v>110</v>
      </c>
      <c r="C177" s="3"/>
      <c r="D177" s="1" t="s">
        <v>367</v>
      </c>
      <c r="E177" s="4" t="s">
        <v>595</v>
      </c>
      <c r="F177" s="11"/>
      <c r="G177" s="11"/>
      <c r="H177" s="14">
        <f>'II-I TOTAL COMPANY'!K177</f>
        <v>0</v>
      </c>
      <c r="I177" s="66">
        <v>0</v>
      </c>
      <c r="J177" s="66">
        <f>SUM(K177:V177)-M177-P177</f>
        <v>0</v>
      </c>
      <c r="K177" s="66">
        <f>VLOOKUP($D177,$E$741:$V$815,K$1,FALSE)*$H177</f>
        <v>0</v>
      </c>
      <c r="L177" s="66">
        <f>VLOOKUP($D177,$E$741:$V$815,L$1,FALSE)*$H177</f>
        <v>0</v>
      </c>
      <c r="M177" s="9">
        <f>SUM(N177:O177)</f>
        <v>0</v>
      </c>
      <c r="N177" s="66">
        <f>VLOOKUP($D177,$E$741:$V$815,N$1,FALSE)*$H177</f>
        <v>0</v>
      </c>
      <c r="O177" s="66">
        <f>VLOOKUP($D177,$E$741:$V$815,O$1,FALSE)*$H177</f>
        <v>0</v>
      </c>
      <c r="P177" s="9">
        <f>SUM(Q177:S177)</f>
        <v>0</v>
      </c>
      <c r="Q177" s="66">
        <f t="shared" ref="Q177:V177" si="120">VLOOKUP($D177,$E$741:$V$815,Q$1,FALSE)*$H177</f>
        <v>0</v>
      </c>
      <c r="R177" s="66">
        <f t="shared" si="120"/>
        <v>0</v>
      </c>
      <c r="S177" s="66">
        <f t="shared" si="120"/>
        <v>0</v>
      </c>
      <c r="T177" s="66">
        <f t="shared" si="120"/>
        <v>0</v>
      </c>
      <c r="U177" s="66">
        <f t="shared" si="120"/>
        <v>0</v>
      </c>
      <c r="V177" s="66">
        <f t="shared" si="120"/>
        <v>0</v>
      </c>
      <c r="W177" s="27" t="str">
        <f t="shared" si="116"/>
        <v>OK</v>
      </c>
    </row>
    <row r="178" spans="1:23" x14ac:dyDescent="0.2">
      <c r="A178" s="3">
        <f t="shared" si="109"/>
        <v>29</v>
      </c>
      <c r="B178" s="3"/>
      <c r="C178" s="3"/>
      <c r="D178" s="3"/>
      <c r="E178" s="4"/>
      <c r="F178" s="4"/>
      <c r="G178" s="4"/>
      <c r="H178" s="8"/>
      <c r="I178" s="8"/>
      <c r="J178" s="8"/>
      <c r="K178" s="8"/>
      <c r="L178" s="8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27" t="str">
        <f t="shared" si="116"/>
        <v>OK</v>
      </c>
    </row>
    <row r="179" spans="1:23" x14ac:dyDescent="0.2">
      <c r="A179" s="3">
        <f t="shared" si="109"/>
        <v>30</v>
      </c>
      <c r="B179" s="3"/>
      <c r="C179" s="3"/>
      <c r="D179" s="3"/>
      <c r="E179" s="4"/>
      <c r="F179" s="4"/>
      <c r="G179" s="4"/>
      <c r="H179" s="8"/>
      <c r="I179" s="8"/>
      <c r="J179" s="8"/>
      <c r="K179" s="8"/>
      <c r="L179" s="8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27" t="str">
        <f t="shared" si="116"/>
        <v>OK</v>
      </c>
    </row>
    <row r="180" spans="1:23" x14ac:dyDescent="0.2">
      <c r="A180" s="3">
        <f t="shared" si="109"/>
        <v>31</v>
      </c>
      <c r="B180" s="3"/>
      <c r="C180" s="3"/>
      <c r="D180" s="3"/>
      <c r="E180" s="4"/>
      <c r="F180" s="4"/>
      <c r="G180" s="4"/>
      <c r="H180" s="8"/>
      <c r="I180" s="8"/>
      <c r="J180" s="8"/>
      <c r="K180" s="8"/>
      <c r="L180" s="8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27" t="str">
        <f t="shared" si="116"/>
        <v>OK</v>
      </c>
    </row>
    <row r="181" spans="1:23" x14ac:dyDescent="0.2">
      <c r="A181" s="3">
        <f t="shared" si="109"/>
        <v>32</v>
      </c>
      <c r="B181" s="3"/>
      <c r="C181" s="3"/>
      <c r="D181" s="3"/>
      <c r="E181" s="4"/>
      <c r="F181" s="4"/>
      <c r="G181" s="4"/>
      <c r="H181" s="8"/>
      <c r="I181" s="8"/>
      <c r="J181" s="8"/>
      <c r="K181" s="8"/>
      <c r="L181" s="8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27" t="str">
        <f t="shared" si="116"/>
        <v>OK</v>
      </c>
    </row>
    <row r="182" spans="1:23" x14ac:dyDescent="0.2">
      <c r="A182" s="3">
        <f t="shared" si="109"/>
        <v>33</v>
      </c>
      <c r="B182" s="3"/>
      <c r="C182" s="3"/>
      <c r="D182" s="3"/>
      <c r="E182" s="4"/>
      <c r="F182" s="4"/>
      <c r="G182" s="4"/>
      <c r="H182" s="8"/>
      <c r="I182" s="8"/>
      <c r="J182" s="8"/>
      <c r="K182" s="8"/>
      <c r="L182" s="8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27" t="str">
        <f t="shared" si="116"/>
        <v>OK</v>
      </c>
    </row>
    <row r="183" spans="1:23" x14ac:dyDescent="0.2">
      <c r="A183" s="3">
        <f t="shared" si="109"/>
        <v>34</v>
      </c>
      <c r="B183" s="7" t="s">
        <v>111</v>
      </c>
      <c r="C183" s="3"/>
      <c r="D183" s="3"/>
      <c r="E183" s="4"/>
      <c r="F183" s="4"/>
      <c r="G183" s="4"/>
      <c r="H183" s="8"/>
      <c r="I183" s="8"/>
      <c r="J183" s="8"/>
      <c r="K183" s="8"/>
      <c r="L183" s="8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27" t="str">
        <f t="shared" si="116"/>
        <v>OK</v>
      </c>
    </row>
    <row r="184" spans="1:23" x14ac:dyDescent="0.2">
      <c r="A184" s="3">
        <f t="shared" si="109"/>
        <v>35</v>
      </c>
      <c r="B184" s="3"/>
      <c r="C184" s="3"/>
      <c r="D184" s="3"/>
      <c r="E184" s="4"/>
      <c r="F184" s="4"/>
      <c r="G184" s="4"/>
      <c r="H184" s="8"/>
      <c r="I184" s="8"/>
      <c r="J184" s="8"/>
      <c r="K184" s="8"/>
      <c r="L184" s="8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27" t="str">
        <f t="shared" si="116"/>
        <v>OK</v>
      </c>
    </row>
    <row r="185" spans="1:23" x14ac:dyDescent="0.2">
      <c r="A185" s="3">
        <f t="shared" si="109"/>
        <v>36</v>
      </c>
      <c r="B185" s="3" t="s">
        <v>112</v>
      </c>
      <c r="C185" s="3"/>
      <c r="D185" s="3"/>
      <c r="E185" s="4"/>
      <c r="F185" s="4"/>
      <c r="G185" s="4"/>
      <c r="H185" s="8"/>
      <c r="I185" s="8"/>
      <c r="J185" s="8"/>
      <c r="K185" s="8"/>
      <c r="L185" s="8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27" t="str">
        <f t="shared" si="116"/>
        <v>OK</v>
      </c>
    </row>
    <row r="186" spans="1:23" x14ac:dyDescent="0.2">
      <c r="A186" s="3">
        <f t="shared" si="109"/>
        <v>37</v>
      </c>
      <c r="B186" s="3"/>
      <c r="C186" s="3"/>
      <c r="D186" s="3"/>
      <c r="E186" s="4"/>
      <c r="F186" s="4"/>
      <c r="G186" s="4"/>
      <c r="H186" s="8"/>
      <c r="I186" s="8"/>
      <c r="J186" s="8"/>
      <c r="K186" s="8"/>
      <c r="L186" s="8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27" t="str">
        <f t="shared" si="116"/>
        <v>OK</v>
      </c>
    </row>
    <row r="187" spans="1:23" x14ac:dyDescent="0.2">
      <c r="A187" s="3">
        <f t="shared" si="109"/>
        <v>38</v>
      </c>
      <c r="B187" s="3" t="s">
        <v>23</v>
      </c>
      <c r="C187" s="3"/>
      <c r="D187" s="3"/>
      <c r="E187" s="4"/>
      <c r="F187" s="4"/>
      <c r="G187" s="4"/>
      <c r="H187" s="8"/>
      <c r="I187" s="8"/>
      <c r="J187" s="8"/>
      <c r="K187" s="8"/>
      <c r="L187" s="8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27" t="str">
        <f t="shared" si="116"/>
        <v>OK</v>
      </c>
    </row>
    <row r="188" spans="1:23" x14ac:dyDescent="0.2">
      <c r="A188" s="3">
        <f t="shared" si="109"/>
        <v>39</v>
      </c>
      <c r="B188" s="3" t="s">
        <v>24</v>
      </c>
      <c r="C188" s="3" t="s">
        <v>25</v>
      </c>
      <c r="D188" s="1" t="s">
        <v>323</v>
      </c>
      <c r="E188" s="4" t="s">
        <v>595</v>
      </c>
      <c r="F188" s="11"/>
      <c r="G188" s="1"/>
      <c r="H188" s="14">
        <f>'II-I TOTAL COMPANY'!K188</f>
        <v>0</v>
      </c>
      <c r="I188" s="66">
        <v>0</v>
      </c>
      <c r="J188" s="66">
        <f>SUM(K188:V188)-M188-P188</f>
        <v>0</v>
      </c>
      <c r="K188" s="66">
        <f t="shared" ref="K188:L190" si="121">VLOOKUP($D188,$E$741:$V$815,K$1,FALSE)*$H188</f>
        <v>0</v>
      </c>
      <c r="L188" s="66">
        <f t="shared" si="121"/>
        <v>0</v>
      </c>
      <c r="M188" s="9">
        <f>SUM(N188:O188)</f>
        <v>0</v>
      </c>
      <c r="N188" s="66">
        <f t="shared" ref="N188:O190" si="122">VLOOKUP($D188,$E$741:$V$815,N$1,FALSE)*$H188</f>
        <v>0</v>
      </c>
      <c r="O188" s="66">
        <f t="shared" si="122"/>
        <v>0</v>
      </c>
      <c r="P188" s="9">
        <f>SUM(Q188:S188)</f>
        <v>0</v>
      </c>
      <c r="Q188" s="66">
        <f t="shared" ref="Q188:V190" si="123">VLOOKUP($D188,$E$741:$V$815,Q$1,FALSE)*$H188</f>
        <v>0</v>
      </c>
      <c r="R188" s="66">
        <f t="shared" si="123"/>
        <v>0</v>
      </c>
      <c r="S188" s="66">
        <f t="shared" si="123"/>
        <v>0</v>
      </c>
      <c r="T188" s="66">
        <f t="shared" si="123"/>
        <v>0</v>
      </c>
      <c r="U188" s="66">
        <f t="shared" si="123"/>
        <v>0</v>
      </c>
      <c r="V188" s="66">
        <f t="shared" si="123"/>
        <v>0</v>
      </c>
      <c r="W188" s="27" t="str">
        <f t="shared" si="116"/>
        <v>OK</v>
      </c>
    </row>
    <row r="189" spans="1:23" x14ac:dyDescent="0.2">
      <c r="A189" s="3">
        <f t="shared" si="109"/>
        <v>40</v>
      </c>
      <c r="B189" s="3" t="s">
        <v>26</v>
      </c>
      <c r="C189" s="3" t="s">
        <v>27</v>
      </c>
      <c r="D189" s="1" t="s">
        <v>323</v>
      </c>
      <c r="E189" s="4" t="s">
        <v>595</v>
      </c>
      <c r="F189" s="11"/>
      <c r="G189" s="1"/>
      <c r="H189" s="14">
        <f>'II-I TOTAL COMPANY'!K189</f>
        <v>0</v>
      </c>
      <c r="I189" s="66">
        <v>0</v>
      </c>
      <c r="J189" s="66">
        <f t="shared" ref="J189:J191" si="124">SUM(K189:V189)-M189-P189</f>
        <v>0</v>
      </c>
      <c r="K189" s="66">
        <f t="shared" si="121"/>
        <v>0</v>
      </c>
      <c r="L189" s="66">
        <f t="shared" si="121"/>
        <v>0</v>
      </c>
      <c r="M189" s="9">
        <f>SUM(N189:O189)</f>
        <v>0</v>
      </c>
      <c r="N189" s="66">
        <f t="shared" si="122"/>
        <v>0</v>
      </c>
      <c r="O189" s="66">
        <f t="shared" si="122"/>
        <v>0</v>
      </c>
      <c r="P189" s="9">
        <f>SUM(Q189:S189)</f>
        <v>0</v>
      </c>
      <c r="Q189" s="66">
        <f t="shared" si="123"/>
        <v>0</v>
      </c>
      <c r="R189" s="66">
        <f t="shared" si="123"/>
        <v>0</v>
      </c>
      <c r="S189" s="66">
        <f t="shared" si="123"/>
        <v>0</v>
      </c>
      <c r="T189" s="66">
        <f t="shared" si="123"/>
        <v>0</v>
      </c>
      <c r="U189" s="66">
        <f t="shared" si="123"/>
        <v>0</v>
      </c>
      <c r="V189" s="66">
        <f t="shared" si="123"/>
        <v>0</v>
      </c>
      <c r="W189" s="27" t="str">
        <f t="shared" ref="W189:W220" si="125">IF((+K189+L189+M189+P189+T189+U189+V189)-H189=0,"OK",(+K189+L189+M189+P189+T189+U189+V189)-H189)</f>
        <v>OK</v>
      </c>
    </row>
    <row r="190" spans="1:23" x14ac:dyDescent="0.2">
      <c r="A190" s="3">
        <f t="shared" si="109"/>
        <v>41</v>
      </c>
      <c r="B190" s="3" t="s">
        <v>28</v>
      </c>
      <c r="C190" s="3" t="s">
        <v>29</v>
      </c>
      <c r="D190" s="1" t="s">
        <v>323</v>
      </c>
      <c r="E190" s="4" t="s">
        <v>595</v>
      </c>
      <c r="F190" s="11"/>
      <c r="G190" s="1"/>
      <c r="H190" s="14">
        <f>'II-I TOTAL COMPANY'!K190</f>
        <v>75522094.602452412</v>
      </c>
      <c r="I190" s="66">
        <v>0</v>
      </c>
      <c r="J190" s="66">
        <f t="shared" si="124"/>
        <v>75522094.602452412</v>
      </c>
      <c r="K190" s="66">
        <f t="shared" si="121"/>
        <v>43401324.371385276</v>
      </c>
      <c r="L190" s="66">
        <f t="shared" si="121"/>
        <v>1605171.2645170244</v>
      </c>
      <c r="M190" s="9">
        <f>SUM(N190:O190)</f>
        <v>22295382.615653671</v>
      </c>
      <c r="N190" s="66">
        <f t="shared" si="122"/>
        <v>2969614.8096725699</v>
      </c>
      <c r="O190" s="66">
        <f t="shared" si="122"/>
        <v>19325767.8059811</v>
      </c>
      <c r="P190" s="9">
        <f>SUM(Q190:S190)</f>
        <v>5879796.7204017173</v>
      </c>
      <c r="Q190" s="66">
        <f t="shared" si="123"/>
        <v>4783072.6300754305</v>
      </c>
      <c r="R190" s="66">
        <f t="shared" si="123"/>
        <v>346154.1743535889</v>
      </c>
      <c r="S190" s="66">
        <f t="shared" si="123"/>
        <v>750569.91597269778</v>
      </c>
      <c r="T190" s="66">
        <f t="shared" si="123"/>
        <v>406.92842514420812</v>
      </c>
      <c r="U190" s="66">
        <f t="shared" si="123"/>
        <v>2121737.346539041</v>
      </c>
      <c r="V190" s="66">
        <f t="shared" si="123"/>
        <v>218275.35553053964</v>
      </c>
      <c r="W190" s="27">
        <f t="shared" si="125"/>
        <v>1.4901161193847656E-8</v>
      </c>
    </row>
    <row r="191" spans="1:23" x14ac:dyDescent="0.2">
      <c r="A191" s="3">
        <f t="shared" si="109"/>
        <v>42</v>
      </c>
      <c r="B191" s="3"/>
      <c r="C191" s="3" t="s">
        <v>30</v>
      </c>
      <c r="D191" s="3"/>
      <c r="E191" s="4"/>
      <c r="F191" s="8"/>
      <c r="G191" s="8"/>
      <c r="H191" s="8">
        <f t="shared" ref="H191:V191" si="126">SUM(H188:H190)</f>
        <v>75522094.602452412</v>
      </c>
      <c r="I191" s="8">
        <f t="shared" si="126"/>
        <v>0</v>
      </c>
      <c r="J191" s="66">
        <f t="shared" si="124"/>
        <v>75522094.602452412</v>
      </c>
      <c r="K191" s="8">
        <f t="shared" si="126"/>
        <v>43401324.371385276</v>
      </c>
      <c r="L191" s="8">
        <f t="shared" si="126"/>
        <v>1605171.2645170244</v>
      </c>
      <c r="M191" s="9">
        <f>SUM(N191:O191)</f>
        <v>22295382.615653671</v>
      </c>
      <c r="N191" s="8">
        <f t="shared" si="126"/>
        <v>2969614.8096725699</v>
      </c>
      <c r="O191" s="8">
        <f t="shared" si="126"/>
        <v>19325767.8059811</v>
      </c>
      <c r="P191" s="9">
        <f>SUM(Q191:S191)</f>
        <v>5879796.7204017173</v>
      </c>
      <c r="Q191" s="8">
        <f t="shared" si="126"/>
        <v>4783072.6300754305</v>
      </c>
      <c r="R191" s="8">
        <f t="shared" si="126"/>
        <v>346154.1743535889</v>
      </c>
      <c r="S191" s="8">
        <f>SUM(S188:S190)</f>
        <v>750569.91597269778</v>
      </c>
      <c r="T191" s="8">
        <f t="shared" si="126"/>
        <v>406.92842514420812</v>
      </c>
      <c r="U191" s="8">
        <f t="shared" si="126"/>
        <v>2121737.346539041</v>
      </c>
      <c r="V191" s="8">
        <f t="shared" si="126"/>
        <v>218275.35553053964</v>
      </c>
      <c r="W191" s="27">
        <f t="shared" si="125"/>
        <v>1.4901161193847656E-8</v>
      </c>
    </row>
    <row r="192" spans="1:23" x14ac:dyDescent="0.2">
      <c r="A192" s="3"/>
      <c r="B192" s="3"/>
      <c r="C192" s="3"/>
      <c r="D192" s="3"/>
      <c r="E192" s="4"/>
      <c r="F192" s="4"/>
      <c r="G192" s="4"/>
      <c r="H192" s="8"/>
      <c r="I192" s="8"/>
      <c r="J192" s="8"/>
      <c r="K192" s="8"/>
      <c r="L192" s="8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27" t="str">
        <f t="shared" si="125"/>
        <v>OK</v>
      </c>
    </row>
    <row r="193" spans="1:23" x14ac:dyDescent="0.2">
      <c r="A193" s="3"/>
      <c r="B193" s="7" t="s">
        <v>113</v>
      </c>
      <c r="C193" s="3"/>
      <c r="D193" s="3"/>
      <c r="E193" s="4"/>
      <c r="F193" s="4"/>
      <c r="G193" s="4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 t="str">
        <f t="shared" si="125"/>
        <v>OK</v>
      </c>
    </row>
    <row r="194" spans="1:23" x14ac:dyDescent="0.2">
      <c r="A194" s="3"/>
      <c r="B194" s="3"/>
      <c r="C194" s="3"/>
      <c r="D194" s="3"/>
      <c r="E194" s="4"/>
      <c r="F194" s="4"/>
      <c r="G194" s="4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 t="str">
        <f t="shared" si="125"/>
        <v>OK</v>
      </c>
    </row>
    <row r="195" spans="1:23" x14ac:dyDescent="0.2">
      <c r="A195" s="3">
        <v>1</v>
      </c>
      <c r="B195" s="3" t="s">
        <v>112</v>
      </c>
      <c r="C195" s="3"/>
      <c r="D195" s="3"/>
      <c r="E195" s="4"/>
      <c r="F195" s="4"/>
      <c r="G195" s="4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 t="str">
        <f t="shared" si="125"/>
        <v>OK</v>
      </c>
    </row>
    <row r="196" spans="1:23" x14ac:dyDescent="0.2">
      <c r="A196" s="3">
        <f t="shared" ref="A196:A249" si="127">+A195+1</f>
        <v>2</v>
      </c>
      <c r="B196" s="3"/>
      <c r="C196" s="3"/>
      <c r="D196" s="3"/>
      <c r="E196" s="4"/>
      <c r="F196" s="4"/>
      <c r="G196" s="4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 t="str">
        <f t="shared" si="125"/>
        <v>OK</v>
      </c>
    </row>
    <row r="197" spans="1:23" x14ac:dyDescent="0.2">
      <c r="A197" s="3">
        <f t="shared" si="127"/>
        <v>3</v>
      </c>
      <c r="B197" s="3" t="s">
        <v>33</v>
      </c>
      <c r="C197" s="3"/>
      <c r="D197" s="3"/>
      <c r="E197" s="4"/>
      <c r="F197" s="4"/>
      <c r="G197" s="4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 t="str">
        <f t="shared" si="125"/>
        <v>OK</v>
      </c>
    </row>
    <row r="198" spans="1:23" x14ac:dyDescent="0.2">
      <c r="A198" s="3">
        <f t="shared" si="127"/>
        <v>4</v>
      </c>
      <c r="B198" s="3" t="s">
        <v>34</v>
      </c>
      <c r="C198" s="3" t="s">
        <v>35</v>
      </c>
      <c r="D198" s="3" t="str">
        <f t="shared" ref="D198:D206" si="128">B198</f>
        <v>A350</v>
      </c>
      <c r="E198" s="4" t="s">
        <v>595</v>
      </c>
      <c r="F198" s="11"/>
      <c r="G198" s="11"/>
      <c r="H198" s="14">
        <f>'II-I TOTAL COMPANY'!K198</f>
        <v>0</v>
      </c>
      <c r="I198" s="66">
        <v>0</v>
      </c>
      <c r="J198" s="66">
        <f t="shared" ref="J198:J208" si="129">SUM(K198:V198)-M198-P198</f>
        <v>0</v>
      </c>
      <c r="K198" s="66">
        <f t="shared" ref="K198:L206" si="130">IF($H101&lt;&gt;0,(K101/$H101)*$H198,0)</f>
        <v>0</v>
      </c>
      <c r="L198" s="66">
        <f t="shared" si="130"/>
        <v>0</v>
      </c>
      <c r="M198" s="9">
        <f t="shared" ref="M198:M206" si="131">SUM(N198:O198)</f>
        <v>0</v>
      </c>
      <c r="N198" s="66">
        <f t="shared" ref="N198:O206" si="132">IF($H101&lt;&gt;0,(N101/$H101)*$H198,0)</f>
        <v>0</v>
      </c>
      <c r="O198" s="66">
        <f t="shared" si="132"/>
        <v>0</v>
      </c>
      <c r="P198" s="9">
        <f t="shared" ref="P198:P206" si="133">SUM(Q198:S198)</f>
        <v>0</v>
      </c>
      <c r="Q198" s="66">
        <f t="shared" ref="Q198:V206" si="134">IF($H101&lt;&gt;0,(Q101/$H101)*$H198,0)</f>
        <v>0</v>
      </c>
      <c r="R198" s="66">
        <f t="shared" si="134"/>
        <v>0</v>
      </c>
      <c r="S198" s="66">
        <f t="shared" ref="S198:S206" si="135">IF($H101&lt;&gt;0,(S101/$H101)*$H198,0)</f>
        <v>0</v>
      </c>
      <c r="T198" s="66">
        <f t="shared" si="134"/>
        <v>0</v>
      </c>
      <c r="U198" s="66">
        <f t="shared" si="134"/>
        <v>0</v>
      </c>
      <c r="V198" s="66">
        <f t="shared" si="134"/>
        <v>0</v>
      </c>
      <c r="W198" s="27" t="str">
        <f t="shared" si="125"/>
        <v>OK</v>
      </c>
    </row>
    <row r="199" spans="1:23" x14ac:dyDescent="0.2">
      <c r="A199" s="3">
        <f t="shared" si="127"/>
        <v>5</v>
      </c>
      <c r="B199" s="3" t="s">
        <v>36</v>
      </c>
      <c r="C199" s="3" t="s">
        <v>31</v>
      </c>
      <c r="D199" s="3" t="str">
        <f t="shared" si="128"/>
        <v>A352</v>
      </c>
      <c r="E199" s="4" t="s">
        <v>595</v>
      </c>
      <c r="F199" s="11"/>
      <c r="G199" s="11"/>
      <c r="H199" s="14">
        <f>'II-I TOTAL COMPANY'!K199</f>
        <v>0</v>
      </c>
      <c r="I199" s="66">
        <v>0</v>
      </c>
      <c r="J199" s="66">
        <f t="shared" si="129"/>
        <v>0</v>
      </c>
      <c r="K199" s="66">
        <f t="shared" si="130"/>
        <v>0</v>
      </c>
      <c r="L199" s="66">
        <f t="shared" si="130"/>
        <v>0</v>
      </c>
      <c r="M199" s="9">
        <f t="shared" si="131"/>
        <v>0</v>
      </c>
      <c r="N199" s="66">
        <f t="shared" si="132"/>
        <v>0</v>
      </c>
      <c r="O199" s="66">
        <f t="shared" si="132"/>
        <v>0</v>
      </c>
      <c r="P199" s="9">
        <f t="shared" si="133"/>
        <v>0</v>
      </c>
      <c r="Q199" s="66">
        <f t="shared" si="134"/>
        <v>0</v>
      </c>
      <c r="R199" s="66">
        <f t="shared" si="134"/>
        <v>0</v>
      </c>
      <c r="S199" s="66">
        <f t="shared" si="135"/>
        <v>0</v>
      </c>
      <c r="T199" s="66">
        <f t="shared" si="134"/>
        <v>0</v>
      </c>
      <c r="U199" s="66">
        <f t="shared" si="134"/>
        <v>0</v>
      </c>
      <c r="V199" s="66">
        <f t="shared" si="134"/>
        <v>0</v>
      </c>
      <c r="W199" s="27" t="str">
        <f t="shared" si="125"/>
        <v>OK</v>
      </c>
    </row>
    <row r="200" spans="1:23" x14ac:dyDescent="0.2">
      <c r="A200" s="3">
        <f t="shared" si="127"/>
        <v>6</v>
      </c>
      <c r="B200" s="3" t="s">
        <v>37</v>
      </c>
      <c r="C200" s="3" t="s">
        <v>38</v>
      </c>
      <c r="D200" s="3" t="str">
        <f t="shared" si="128"/>
        <v>A353</v>
      </c>
      <c r="E200" s="4" t="s">
        <v>595</v>
      </c>
      <c r="F200" s="11"/>
      <c r="G200" s="11"/>
      <c r="H200" s="14">
        <f>'II-I TOTAL COMPANY'!K200</f>
        <v>0</v>
      </c>
      <c r="I200" s="66">
        <v>0</v>
      </c>
      <c r="J200" s="66">
        <f t="shared" si="129"/>
        <v>0</v>
      </c>
      <c r="K200" s="66">
        <f t="shared" si="130"/>
        <v>0</v>
      </c>
      <c r="L200" s="66">
        <f t="shared" si="130"/>
        <v>0</v>
      </c>
      <c r="M200" s="9">
        <f t="shared" si="131"/>
        <v>0</v>
      </c>
      <c r="N200" s="66">
        <f t="shared" si="132"/>
        <v>0</v>
      </c>
      <c r="O200" s="66">
        <f t="shared" si="132"/>
        <v>0</v>
      </c>
      <c r="P200" s="9">
        <f t="shared" si="133"/>
        <v>0</v>
      </c>
      <c r="Q200" s="66">
        <f t="shared" si="134"/>
        <v>0</v>
      </c>
      <c r="R200" s="66">
        <f t="shared" si="134"/>
        <v>0</v>
      </c>
      <c r="S200" s="66">
        <f t="shared" si="135"/>
        <v>0</v>
      </c>
      <c r="T200" s="66">
        <f t="shared" si="134"/>
        <v>0</v>
      </c>
      <c r="U200" s="66">
        <f t="shared" si="134"/>
        <v>0</v>
      </c>
      <c r="V200" s="66">
        <f t="shared" si="134"/>
        <v>0</v>
      </c>
      <c r="W200" s="27" t="str">
        <f t="shared" si="125"/>
        <v>OK</v>
      </c>
    </row>
    <row r="201" spans="1:23" x14ac:dyDescent="0.2">
      <c r="A201" s="3">
        <f t="shared" si="127"/>
        <v>7</v>
      </c>
      <c r="B201" s="3" t="s">
        <v>39</v>
      </c>
      <c r="C201" s="3" t="s">
        <v>40</v>
      </c>
      <c r="D201" s="3" t="str">
        <f t="shared" si="128"/>
        <v>A354</v>
      </c>
      <c r="E201" s="4" t="s">
        <v>595</v>
      </c>
      <c r="F201" s="11"/>
      <c r="G201" s="11"/>
      <c r="H201" s="14">
        <f>'II-I TOTAL COMPANY'!K201</f>
        <v>0</v>
      </c>
      <c r="I201" s="66">
        <v>0</v>
      </c>
      <c r="J201" s="66">
        <f t="shared" si="129"/>
        <v>0</v>
      </c>
      <c r="K201" s="66">
        <f t="shared" si="130"/>
        <v>0</v>
      </c>
      <c r="L201" s="66">
        <f t="shared" si="130"/>
        <v>0</v>
      </c>
      <c r="M201" s="9">
        <f t="shared" si="131"/>
        <v>0</v>
      </c>
      <c r="N201" s="66">
        <f t="shared" si="132"/>
        <v>0</v>
      </c>
      <c r="O201" s="66">
        <f t="shared" si="132"/>
        <v>0</v>
      </c>
      <c r="P201" s="9">
        <f t="shared" si="133"/>
        <v>0</v>
      </c>
      <c r="Q201" s="66">
        <f t="shared" si="134"/>
        <v>0</v>
      </c>
      <c r="R201" s="66">
        <f t="shared" si="134"/>
        <v>0</v>
      </c>
      <c r="S201" s="66">
        <f t="shared" si="135"/>
        <v>0</v>
      </c>
      <c r="T201" s="66">
        <f t="shared" si="134"/>
        <v>0</v>
      </c>
      <c r="U201" s="66">
        <f t="shared" si="134"/>
        <v>0</v>
      </c>
      <c r="V201" s="66">
        <f t="shared" si="134"/>
        <v>0</v>
      </c>
      <c r="W201" s="27" t="str">
        <f t="shared" si="125"/>
        <v>OK</v>
      </c>
    </row>
    <row r="202" spans="1:23" x14ac:dyDescent="0.2">
      <c r="A202" s="3">
        <f t="shared" si="127"/>
        <v>8</v>
      </c>
      <c r="B202" s="3" t="s">
        <v>41</v>
      </c>
      <c r="C202" s="3" t="s">
        <v>42</v>
      </c>
      <c r="D202" s="3" t="str">
        <f t="shared" si="128"/>
        <v>A355</v>
      </c>
      <c r="E202" s="4" t="s">
        <v>595</v>
      </c>
      <c r="F202" s="11"/>
      <c r="G202" s="11"/>
      <c r="H202" s="14">
        <f>'II-I TOTAL COMPANY'!K202</f>
        <v>0</v>
      </c>
      <c r="I202" s="66">
        <v>0</v>
      </c>
      <c r="J202" s="66">
        <f t="shared" si="129"/>
        <v>0</v>
      </c>
      <c r="K202" s="66">
        <f t="shared" si="130"/>
        <v>0</v>
      </c>
      <c r="L202" s="66">
        <f t="shared" si="130"/>
        <v>0</v>
      </c>
      <c r="M202" s="9">
        <f t="shared" si="131"/>
        <v>0</v>
      </c>
      <c r="N202" s="66">
        <f t="shared" si="132"/>
        <v>0</v>
      </c>
      <c r="O202" s="66">
        <f t="shared" si="132"/>
        <v>0</v>
      </c>
      <c r="P202" s="9">
        <f t="shared" si="133"/>
        <v>0</v>
      </c>
      <c r="Q202" s="66">
        <f t="shared" si="134"/>
        <v>0</v>
      </c>
      <c r="R202" s="66">
        <f t="shared" si="134"/>
        <v>0</v>
      </c>
      <c r="S202" s="66">
        <f t="shared" si="135"/>
        <v>0</v>
      </c>
      <c r="T202" s="66">
        <f t="shared" si="134"/>
        <v>0</v>
      </c>
      <c r="U202" s="66">
        <f t="shared" si="134"/>
        <v>0</v>
      </c>
      <c r="V202" s="66">
        <f t="shared" si="134"/>
        <v>0</v>
      </c>
      <c r="W202" s="27" t="str">
        <f t="shared" si="125"/>
        <v>OK</v>
      </c>
    </row>
    <row r="203" spans="1:23" x14ac:dyDescent="0.2">
      <c r="A203" s="3">
        <f t="shared" si="127"/>
        <v>9</v>
      </c>
      <c r="B203" s="3" t="s">
        <v>43</v>
      </c>
      <c r="C203" s="3" t="s">
        <v>44</v>
      </c>
      <c r="D203" s="3" t="str">
        <f t="shared" si="128"/>
        <v>A356</v>
      </c>
      <c r="E203" s="4" t="s">
        <v>595</v>
      </c>
      <c r="F203" s="11"/>
      <c r="G203" s="11"/>
      <c r="H203" s="14">
        <f>'II-I TOTAL COMPANY'!K203</f>
        <v>0</v>
      </c>
      <c r="I203" s="66">
        <v>0</v>
      </c>
      <c r="J203" s="66">
        <f t="shared" si="129"/>
        <v>0</v>
      </c>
      <c r="K203" s="66">
        <f t="shared" si="130"/>
        <v>0</v>
      </c>
      <c r="L203" s="66">
        <f t="shared" si="130"/>
        <v>0</v>
      </c>
      <c r="M203" s="9">
        <f t="shared" si="131"/>
        <v>0</v>
      </c>
      <c r="N203" s="66">
        <f t="shared" si="132"/>
        <v>0</v>
      </c>
      <c r="O203" s="66">
        <f t="shared" si="132"/>
        <v>0</v>
      </c>
      <c r="P203" s="9">
        <f t="shared" si="133"/>
        <v>0</v>
      </c>
      <c r="Q203" s="66">
        <f t="shared" si="134"/>
        <v>0</v>
      </c>
      <c r="R203" s="66">
        <f t="shared" si="134"/>
        <v>0</v>
      </c>
      <c r="S203" s="66">
        <f t="shared" si="135"/>
        <v>0</v>
      </c>
      <c r="T203" s="66">
        <f t="shared" si="134"/>
        <v>0</v>
      </c>
      <c r="U203" s="66">
        <f t="shared" si="134"/>
        <v>0</v>
      </c>
      <c r="V203" s="66">
        <f t="shared" si="134"/>
        <v>0</v>
      </c>
      <c r="W203" s="27" t="str">
        <f t="shared" si="125"/>
        <v>OK</v>
      </c>
    </row>
    <row r="204" spans="1:23" x14ac:dyDescent="0.2">
      <c r="A204" s="3">
        <f t="shared" si="127"/>
        <v>10</v>
      </c>
      <c r="B204" s="3" t="s">
        <v>45</v>
      </c>
      <c r="C204" s="3" t="s">
        <v>46</v>
      </c>
      <c r="D204" s="3" t="str">
        <f t="shared" si="128"/>
        <v>A357</v>
      </c>
      <c r="E204" s="4" t="s">
        <v>595</v>
      </c>
      <c r="F204" s="11"/>
      <c r="G204" s="11"/>
      <c r="H204" s="14">
        <f>'II-I TOTAL COMPANY'!K204</f>
        <v>0</v>
      </c>
      <c r="I204" s="66">
        <v>0</v>
      </c>
      <c r="J204" s="66">
        <f t="shared" si="129"/>
        <v>0</v>
      </c>
      <c r="K204" s="66">
        <f t="shared" si="130"/>
        <v>0</v>
      </c>
      <c r="L204" s="66">
        <f t="shared" si="130"/>
        <v>0</v>
      </c>
      <c r="M204" s="9">
        <f t="shared" si="131"/>
        <v>0</v>
      </c>
      <c r="N204" s="66">
        <f t="shared" si="132"/>
        <v>0</v>
      </c>
      <c r="O204" s="66">
        <f t="shared" si="132"/>
        <v>0</v>
      </c>
      <c r="P204" s="9">
        <f t="shared" si="133"/>
        <v>0</v>
      </c>
      <c r="Q204" s="66">
        <f t="shared" si="134"/>
        <v>0</v>
      </c>
      <c r="R204" s="66">
        <f t="shared" si="134"/>
        <v>0</v>
      </c>
      <c r="S204" s="66">
        <f t="shared" si="135"/>
        <v>0</v>
      </c>
      <c r="T204" s="66">
        <f t="shared" si="134"/>
        <v>0</v>
      </c>
      <c r="U204" s="66">
        <f t="shared" si="134"/>
        <v>0</v>
      </c>
      <c r="V204" s="66">
        <f t="shared" si="134"/>
        <v>0</v>
      </c>
      <c r="W204" s="27" t="str">
        <f t="shared" si="125"/>
        <v>OK</v>
      </c>
    </row>
    <row r="205" spans="1:23" x14ac:dyDescent="0.2">
      <c r="A205" s="3">
        <f t="shared" si="127"/>
        <v>11</v>
      </c>
      <c r="B205" s="3" t="s">
        <v>47</v>
      </c>
      <c r="C205" s="3" t="s">
        <v>48</v>
      </c>
      <c r="D205" s="3" t="str">
        <f t="shared" si="128"/>
        <v>A358</v>
      </c>
      <c r="E205" s="4" t="s">
        <v>595</v>
      </c>
      <c r="F205" s="11"/>
      <c r="G205" s="11"/>
      <c r="H205" s="14">
        <f>'II-I TOTAL COMPANY'!K205</f>
        <v>0</v>
      </c>
      <c r="I205" s="66">
        <v>0</v>
      </c>
      <c r="J205" s="66">
        <f t="shared" si="129"/>
        <v>0</v>
      </c>
      <c r="K205" s="66">
        <f t="shared" si="130"/>
        <v>0</v>
      </c>
      <c r="L205" s="66">
        <f t="shared" si="130"/>
        <v>0</v>
      </c>
      <c r="M205" s="9">
        <f t="shared" si="131"/>
        <v>0</v>
      </c>
      <c r="N205" s="66">
        <f t="shared" si="132"/>
        <v>0</v>
      </c>
      <c r="O205" s="66">
        <f t="shared" si="132"/>
        <v>0</v>
      </c>
      <c r="P205" s="9">
        <f t="shared" si="133"/>
        <v>0</v>
      </c>
      <c r="Q205" s="66">
        <f t="shared" si="134"/>
        <v>0</v>
      </c>
      <c r="R205" s="66">
        <f t="shared" si="134"/>
        <v>0</v>
      </c>
      <c r="S205" s="66">
        <f t="shared" si="135"/>
        <v>0</v>
      </c>
      <c r="T205" s="66">
        <f t="shared" si="134"/>
        <v>0</v>
      </c>
      <c r="U205" s="66">
        <f t="shared" si="134"/>
        <v>0</v>
      </c>
      <c r="V205" s="66">
        <f t="shared" si="134"/>
        <v>0</v>
      </c>
      <c r="W205" s="27" t="str">
        <f t="shared" si="125"/>
        <v>OK</v>
      </c>
    </row>
    <row r="206" spans="1:23" x14ac:dyDescent="0.2">
      <c r="A206" s="3">
        <f t="shared" si="127"/>
        <v>12</v>
      </c>
      <c r="B206" s="3" t="s">
        <v>49</v>
      </c>
      <c r="C206" s="3" t="s">
        <v>50</v>
      </c>
      <c r="D206" s="3" t="str">
        <f t="shared" si="128"/>
        <v>A359</v>
      </c>
      <c r="E206" s="4" t="s">
        <v>595</v>
      </c>
      <c r="F206" s="11"/>
      <c r="G206" s="11"/>
      <c r="H206" s="14">
        <f>'II-I TOTAL COMPANY'!K206</f>
        <v>0</v>
      </c>
      <c r="I206" s="66">
        <v>0</v>
      </c>
      <c r="J206" s="66">
        <f t="shared" si="129"/>
        <v>0</v>
      </c>
      <c r="K206" s="66">
        <f t="shared" si="130"/>
        <v>0</v>
      </c>
      <c r="L206" s="66">
        <f t="shared" si="130"/>
        <v>0</v>
      </c>
      <c r="M206" s="9">
        <f t="shared" si="131"/>
        <v>0</v>
      </c>
      <c r="N206" s="66">
        <f t="shared" si="132"/>
        <v>0</v>
      </c>
      <c r="O206" s="66">
        <f t="shared" si="132"/>
        <v>0</v>
      </c>
      <c r="P206" s="9">
        <f t="shared" si="133"/>
        <v>0</v>
      </c>
      <c r="Q206" s="66">
        <f t="shared" si="134"/>
        <v>0</v>
      </c>
      <c r="R206" s="66">
        <f t="shared" si="134"/>
        <v>0</v>
      </c>
      <c r="S206" s="66">
        <f t="shared" si="135"/>
        <v>0</v>
      </c>
      <c r="T206" s="66">
        <f t="shared" si="134"/>
        <v>0</v>
      </c>
      <c r="U206" s="66">
        <f t="shared" si="134"/>
        <v>0</v>
      </c>
      <c r="V206" s="66">
        <f t="shared" si="134"/>
        <v>0</v>
      </c>
      <c r="W206" s="27" t="str">
        <f t="shared" si="125"/>
        <v>OK</v>
      </c>
    </row>
    <row r="207" spans="1:23" x14ac:dyDescent="0.2">
      <c r="A207" s="3">
        <f t="shared" si="127"/>
        <v>13</v>
      </c>
      <c r="B207" s="3"/>
      <c r="C207" s="3"/>
      <c r="D207" s="3"/>
      <c r="E207" s="4"/>
      <c r="F207" s="4"/>
      <c r="G207" s="4"/>
      <c r="H207" s="14"/>
      <c r="I207" s="66"/>
      <c r="J207" s="66"/>
      <c r="K207" s="66"/>
      <c r="L207" s="66"/>
      <c r="M207" s="12"/>
      <c r="N207" s="66"/>
      <c r="O207" s="66"/>
      <c r="P207" s="66"/>
      <c r="Q207" s="66"/>
      <c r="R207" s="66"/>
      <c r="S207" s="66"/>
      <c r="T207" s="66"/>
      <c r="U207" s="66"/>
      <c r="V207" s="66"/>
      <c r="W207" s="27" t="str">
        <f t="shared" si="125"/>
        <v>OK</v>
      </c>
    </row>
    <row r="208" spans="1:23" x14ac:dyDescent="0.2">
      <c r="A208" s="3">
        <f t="shared" si="127"/>
        <v>14</v>
      </c>
      <c r="B208" s="3"/>
      <c r="C208" s="3" t="s">
        <v>51</v>
      </c>
      <c r="D208" s="3"/>
      <c r="E208" s="4"/>
      <c r="F208" s="8"/>
      <c r="G208" s="8"/>
      <c r="H208" s="8">
        <f>SUM(H198:H206)</f>
        <v>0</v>
      </c>
      <c r="I208" s="8">
        <f>SUM(I198:I206)</f>
        <v>0</v>
      </c>
      <c r="J208" s="66">
        <f t="shared" si="129"/>
        <v>0</v>
      </c>
      <c r="K208" s="8">
        <f>SUM(K198:K206)</f>
        <v>0</v>
      </c>
      <c r="L208" s="8">
        <f>SUM(L198:L206)</f>
        <v>0</v>
      </c>
      <c r="M208" s="9">
        <f>SUM(N208:O208)</f>
        <v>0</v>
      </c>
      <c r="N208" s="8">
        <f>SUM(N198:N206)</f>
        <v>0</v>
      </c>
      <c r="O208" s="8">
        <f>SUM(O198:O206)</f>
        <v>0</v>
      </c>
      <c r="P208" s="9">
        <f>SUM(Q208:S208)</f>
        <v>0</v>
      </c>
      <c r="Q208" s="8">
        <f t="shared" ref="Q208:V208" si="136">SUM(Q198:Q206)</f>
        <v>0</v>
      </c>
      <c r="R208" s="8">
        <f t="shared" si="136"/>
        <v>0</v>
      </c>
      <c r="S208" s="8">
        <f t="shared" si="136"/>
        <v>0</v>
      </c>
      <c r="T208" s="8">
        <f t="shared" si="136"/>
        <v>0</v>
      </c>
      <c r="U208" s="8">
        <f t="shared" si="136"/>
        <v>0</v>
      </c>
      <c r="V208" s="8">
        <f t="shared" si="136"/>
        <v>0</v>
      </c>
      <c r="W208" s="27" t="str">
        <f t="shared" si="125"/>
        <v>OK</v>
      </c>
    </row>
    <row r="209" spans="1:23" x14ac:dyDescent="0.2">
      <c r="A209" s="3">
        <f t="shared" si="127"/>
        <v>15</v>
      </c>
      <c r="B209" s="3"/>
      <c r="C209" s="3"/>
      <c r="D209" s="3"/>
      <c r="E209" s="4"/>
      <c r="F209" s="4"/>
      <c r="G209" s="4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 t="str">
        <f t="shared" si="125"/>
        <v>OK</v>
      </c>
    </row>
    <row r="210" spans="1:23" x14ac:dyDescent="0.2">
      <c r="A210" s="3">
        <f t="shared" si="127"/>
        <v>16</v>
      </c>
      <c r="B210" s="3" t="s">
        <v>52</v>
      </c>
      <c r="C210" s="3"/>
      <c r="D210" s="3"/>
      <c r="E210" s="4"/>
      <c r="F210" s="4"/>
      <c r="G210" s="4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 t="str">
        <f t="shared" si="125"/>
        <v>OK</v>
      </c>
    </row>
    <row r="211" spans="1:23" x14ac:dyDescent="0.2">
      <c r="A211" s="3">
        <f t="shared" si="127"/>
        <v>17</v>
      </c>
      <c r="B211" s="3" t="s">
        <v>53</v>
      </c>
      <c r="C211" s="3" t="s">
        <v>35</v>
      </c>
      <c r="D211" s="3" t="str">
        <f t="shared" ref="D211:D224" si="137">B211</f>
        <v>A360</v>
      </c>
      <c r="E211" s="4" t="s">
        <v>595</v>
      </c>
      <c r="F211" s="11"/>
      <c r="G211" s="11"/>
      <c r="H211" s="14">
        <f>'II-I TOTAL COMPANY'!K211</f>
        <v>1348532.2799999998</v>
      </c>
      <c r="I211" s="66">
        <v>0</v>
      </c>
      <c r="J211" s="66">
        <f t="shared" ref="J211:J225" si="138">SUM(K211:V211)-M211-P211</f>
        <v>1348532.28</v>
      </c>
      <c r="K211" s="66">
        <f t="shared" ref="K211:L214" si="139">IF($H114&lt;&gt;0,(K114/$H114)*$H211,0)</f>
        <v>762768.75791028701</v>
      </c>
      <c r="L211" s="66">
        <f t="shared" si="139"/>
        <v>26608.248252105914</v>
      </c>
      <c r="M211" s="9">
        <f t="shared" ref="M211:M225" si="140">SUM(N211:O211)</f>
        <v>401292.96117883106</v>
      </c>
      <c r="N211" s="66">
        <f t="shared" ref="N211:O214" si="141">IF($H114&lt;&gt;0,(N114/$H114)*$H211,0)</f>
        <v>53885.157045324442</v>
      </c>
      <c r="O211" s="66">
        <f t="shared" si="141"/>
        <v>347407.80413350661</v>
      </c>
      <c r="P211" s="9">
        <f t="shared" ref="P211:P224" si="142">SUM(Q211:S211)</f>
        <v>137812.1616066831</v>
      </c>
      <c r="Q211" s="66">
        <f t="shared" ref="Q211:V214" si="143">IF($H114&lt;&gt;0,(Q114/$H114)*$H211,0)</f>
        <v>112109.79617873776</v>
      </c>
      <c r="R211" s="66">
        <f t="shared" si="143"/>
        <v>8112.9113430761872</v>
      </c>
      <c r="S211" s="66">
        <f>IF($H114&lt;&gt;0,(S114/$H114)*$H211,0)</f>
        <v>17589.45408486915</v>
      </c>
      <c r="T211" s="66">
        <f t="shared" si="143"/>
        <v>0</v>
      </c>
      <c r="U211" s="66">
        <f t="shared" si="143"/>
        <v>14932.699515315207</v>
      </c>
      <c r="V211" s="66">
        <f t="shared" si="143"/>
        <v>5117.4515367776385</v>
      </c>
      <c r="W211" s="27">
        <f t="shared" si="125"/>
        <v>2.3283064365386963E-10</v>
      </c>
    </row>
    <row r="212" spans="1:23" x14ac:dyDescent="0.2">
      <c r="A212" s="3">
        <f t="shared" si="127"/>
        <v>18</v>
      </c>
      <c r="B212" s="3" t="s">
        <v>54</v>
      </c>
      <c r="C212" s="3" t="s">
        <v>31</v>
      </c>
      <c r="D212" s="3" t="str">
        <f t="shared" si="137"/>
        <v>A361</v>
      </c>
      <c r="E212" s="4" t="s">
        <v>595</v>
      </c>
      <c r="F212" s="11"/>
      <c r="G212" s="11"/>
      <c r="H212" s="14">
        <f>'II-I TOTAL COMPANY'!K212</f>
        <v>4920819.7878222782</v>
      </c>
      <c r="I212" s="66">
        <v>0</v>
      </c>
      <c r="J212" s="66">
        <f t="shared" si="138"/>
        <v>4920819.7878222782</v>
      </c>
      <c r="K212" s="66">
        <f t="shared" si="139"/>
        <v>2783357.6200768156</v>
      </c>
      <c r="L212" s="66">
        <f t="shared" si="139"/>
        <v>97094.000981756515</v>
      </c>
      <c r="M212" s="9">
        <f t="shared" si="140"/>
        <v>1464325.6030049124</v>
      </c>
      <c r="N212" s="66">
        <f t="shared" si="141"/>
        <v>196627.95692109319</v>
      </c>
      <c r="O212" s="66">
        <f t="shared" si="141"/>
        <v>1267697.6460838192</v>
      </c>
      <c r="P212" s="9">
        <f t="shared" si="142"/>
        <v>502879.18346064951</v>
      </c>
      <c r="Q212" s="66">
        <f t="shared" si="143"/>
        <v>409090.76603272359</v>
      </c>
      <c r="R212" s="66">
        <f t="shared" si="143"/>
        <v>29604.166890137119</v>
      </c>
      <c r="S212" s="66">
        <f>IF($H115&lt;&gt;0,(S115/$H115)*$H212,0)</f>
        <v>64184.250537788779</v>
      </c>
      <c r="T212" s="66">
        <f t="shared" si="143"/>
        <v>0</v>
      </c>
      <c r="U212" s="66">
        <f t="shared" si="143"/>
        <v>54489.702879464799</v>
      </c>
      <c r="V212" s="66">
        <f t="shared" si="143"/>
        <v>18673.677418679908</v>
      </c>
      <c r="W212" s="27" t="str">
        <f t="shared" si="125"/>
        <v>OK</v>
      </c>
    </row>
    <row r="213" spans="1:23" x14ac:dyDescent="0.2">
      <c r="A213" s="3">
        <f t="shared" si="127"/>
        <v>19</v>
      </c>
      <c r="B213" s="3" t="s">
        <v>55</v>
      </c>
      <c r="C213" s="3" t="s">
        <v>38</v>
      </c>
      <c r="D213" s="3" t="str">
        <f t="shared" si="137"/>
        <v>A362</v>
      </c>
      <c r="E213" s="4" t="s">
        <v>595</v>
      </c>
      <c r="F213" s="11"/>
      <c r="G213" s="11"/>
      <c r="H213" s="14">
        <f>'II-I TOTAL COMPANY'!K213</f>
        <v>97006634.035425827</v>
      </c>
      <c r="I213" s="66">
        <v>0</v>
      </c>
      <c r="J213" s="66">
        <f t="shared" si="138"/>
        <v>97006634.035425872</v>
      </c>
      <c r="K213" s="66">
        <f t="shared" si="139"/>
        <v>54869750.505534463</v>
      </c>
      <c r="L213" s="66">
        <f t="shared" si="139"/>
        <v>1914063.6370349233</v>
      </c>
      <c r="M213" s="9">
        <f t="shared" si="140"/>
        <v>28866998.590547059</v>
      </c>
      <c r="N213" s="66">
        <f t="shared" si="141"/>
        <v>3876227.3524792721</v>
      </c>
      <c r="O213" s="66">
        <f t="shared" si="141"/>
        <v>24990771.238067787</v>
      </c>
      <c r="P213" s="9">
        <f t="shared" si="142"/>
        <v>9913514.2145877834</v>
      </c>
      <c r="Q213" s="66">
        <f t="shared" si="143"/>
        <v>8064615.234643844</v>
      </c>
      <c r="R213" s="66">
        <f t="shared" si="143"/>
        <v>583602.06373380008</v>
      </c>
      <c r="S213" s="66">
        <f>IF($H116&lt;&gt;0,(S116/$H116)*$H213,0)</f>
        <v>1265296.9162101389</v>
      </c>
      <c r="T213" s="66">
        <f t="shared" si="143"/>
        <v>0</v>
      </c>
      <c r="U213" s="66">
        <f t="shared" si="143"/>
        <v>1074183.3462400793</v>
      </c>
      <c r="V213" s="66">
        <f t="shared" si="143"/>
        <v>368123.74148152833</v>
      </c>
      <c r="W213" s="27" t="str">
        <f t="shared" si="125"/>
        <v>OK</v>
      </c>
    </row>
    <row r="214" spans="1:23" x14ac:dyDescent="0.2">
      <c r="A214" s="3">
        <f t="shared" si="127"/>
        <v>20</v>
      </c>
      <c r="B214" s="3" t="s">
        <v>56</v>
      </c>
      <c r="C214" s="3" t="s">
        <v>57</v>
      </c>
      <c r="D214" s="3" t="str">
        <f t="shared" si="137"/>
        <v>A363</v>
      </c>
      <c r="E214" s="4" t="s">
        <v>595</v>
      </c>
      <c r="F214" s="11"/>
      <c r="G214" s="11"/>
      <c r="H214" s="14">
        <f>'II-I TOTAL COMPANY'!K214</f>
        <v>0</v>
      </c>
      <c r="I214" s="66">
        <v>0</v>
      </c>
      <c r="J214" s="66">
        <f t="shared" si="138"/>
        <v>0</v>
      </c>
      <c r="K214" s="66">
        <f t="shared" si="139"/>
        <v>0</v>
      </c>
      <c r="L214" s="66">
        <f t="shared" si="139"/>
        <v>0</v>
      </c>
      <c r="M214" s="9">
        <f t="shared" si="140"/>
        <v>0</v>
      </c>
      <c r="N214" s="66">
        <f t="shared" si="141"/>
        <v>0</v>
      </c>
      <c r="O214" s="66">
        <f t="shared" si="141"/>
        <v>0</v>
      </c>
      <c r="P214" s="9">
        <f t="shared" si="142"/>
        <v>0</v>
      </c>
      <c r="Q214" s="66">
        <f t="shared" si="143"/>
        <v>0</v>
      </c>
      <c r="R214" s="66">
        <f t="shared" si="143"/>
        <v>0</v>
      </c>
      <c r="S214" s="66">
        <f>IF($H117&lt;&gt;0,(S117/$H117)*$H214,0)</f>
        <v>0</v>
      </c>
      <c r="T214" s="66">
        <f t="shared" si="143"/>
        <v>0</v>
      </c>
      <c r="U214" s="66">
        <f t="shared" si="143"/>
        <v>0</v>
      </c>
      <c r="V214" s="66">
        <f t="shared" si="143"/>
        <v>0</v>
      </c>
      <c r="W214" s="27" t="str">
        <f t="shared" si="125"/>
        <v>OK</v>
      </c>
    </row>
    <row r="215" spans="1:23" x14ac:dyDescent="0.2">
      <c r="A215" s="3">
        <f t="shared" si="127"/>
        <v>21</v>
      </c>
      <c r="B215" s="3" t="s">
        <v>58</v>
      </c>
      <c r="C215" s="3" t="s">
        <v>59</v>
      </c>
      <c r="D215" s="3" t="str">
        <f t="shared" si="137"/>
        <v>A364</v>
      </c>
      <c r="E215" s="4" t="s">
        <v>595</v>
      </c>
      <c r="F215" s="11"/>
      <c r="G215" s="11"/>
      <c r="H215" s="14">
        <f>'II-I TOTAL COMPANY'!K215</f>
        <v>367132765.50797564</v>
      </c>
      <c r="I215" s="66">
        <v>0</v>
      </c>
      <c r="J215" s="66">
        <f t="shared" si="138"/>
        <v>367132765.50797564</v>
      </c>
      <c r="K215" s="66">
        <f>IF($H121&lt;&gt;0,(K121/$H121)*$H215,0)</f>
        <v>214994921.67487946</v>
      </c>
      <c r="L215" s="66">
        <f>IF($H121&lt;&gt;0,(L121/$H121)*$H215,0)</f>
        <v>7499832.9304149225</v>
      </c>
      <c r="M215" s="9">
        <f t="shared" si="140"/>
        <v>113108917.82417569</v>
      </c>
      <c r="N215" s="66">
        <f>IF($H121&lt;&gt;0,(N121/$H121)*$H215,0)</f>
        <v>15188135.327064194</v>
      </c>
      <c r="O215" s="66">
        <f>IF($H121&lt;&gt;0,(O121/$H121)*$H215,0)</f>
        <v>97920782.497111499</v>
      </c>
      <c r="P215" s="9">
        <f t="shared" si="142"/>
        <v>26341974.004455619</v>
      </c>
      <c r="Q215" s="66">
        <f t="shared" ref="Q215:V215" si="144">IF($H121&lt;&gt;0,(Q121/$H121)*$H215,0)</f>
        <v>21429119.913332202</v>
      </c>
      <c r="R215" s="66">
        <f t="shared" si="144"/>
        <v>1550734.6899448265</v>
      </c>
      <c r="S215" s="66">
        <f t="shared" si="144"/>
        <v>3362119.4011785919</v>
      </c>
      <c r="T215" s="66">
        <f t="shared" si="144"/>
        <v>0</v>
      </c>
      <c r="U215" s="66">
        <f t="shared" si="144"/>
        <v>4208948.6877847463</v>
      </c>
      <c r="V215" s="66">
        <f t="shared" si="144"/>
        <v>978170.38626524806</v>
      </c>
      <c r="W215" s="27">
        <f t="shared" si="125"/>
        <v>5.9604644775390625E-8</v>
      </c>
    </row>
    <row r="216" spans="1:23" x14ac:dyDescent="0.2">
      <c r="A216" s="3">
        <f t="shared" si="127"/>
        <v>22</v>
      </c>
      <c r="B216" s="3" t="s">
        <v>63</v>
      </c>
      <c r="C216" s="3" t="s">
        <v>44</v>
      </c>
      <c r="D216" s="3" t="str">
        <f t="shared" si="137"/>
        <v>A365</v>
      </c>
      <c r="E216" s="4" t="s">
        <v>595</v>
      </c>
      <c r="F216" s="11"/>
      <c r="G216" s="11"/>
      <c r="H216" s="14">
        <f>'II-I TOTAL COMPANY'!K216</f>
        <v>275873011.18854189</v>
      </c>
      <c r="I216" s="66">
        <v>0</v>
      </c>
      <c r="J216" s="66">
        <f t="shared" si="138"/>
        <v>275873011.18854183</v>
      </c>
      <c r="K216" s="66">
        <f>IF($H125&lt;&gt;0,(K125/$H125)*$H216,0)</f>
        <v>159108941.6543518</v>
      </c>
      <c r="L216" s="66">
        <f>IF($H125&lt;&gt;0,(L125/$H125)*$H216,0)</f>
        <v>5550319.3789260639</v>
      </c>
      <c r="M216" s="9">
        <f t="shared" si="140"/>
        <v>83707280.462599024</v>
      </c>
      <c r="N216" s="66">
        <f>IF($H125&lt;&gt;0,(N125/$H125)*$H216,0)</f>
        <v>11240117.295638498</v>
      </c>
      <c r="O216" s="66">
        <f>IF($H125&lt;&gt;0,(O125/$H125)*$H216,0)</f>
        <v>72467163.166960523</v>
      </c>
      <c r="P216" s="9">
        <f t="shared" si="142"/>
        <v>23518282.28828067</v>
      </c>
      <c r="Q216" s="66">
        <f t="shared" ref="Q216:V216" si="145">IF($H125&lt;&gt;0,(Q125/$H125)*$H216,0)</f>
        <v>19132054.842432011</v>
      </c>
      <c r="R216" s="66">
        <f t="shared" si="145"/>
        <v>1384505.8151747854</v>
      </c>
      <c r="S216" s="66">
        <f t="shared" si="145"/>
        <v>3001721.6306738742</v>
      </c>
      <c r="T216" s="66">
        <f t="shared" si="145"/>
        <v>0</v>
      </c>
      <c r="U216" s="66">
        <f t="shared" si="145"/>
        <v>3114870.6489151977</v>
      </c>
      <c r="V216" s="66">
        <f t="shared" si="145"/>
        <v>873316.75546910346</v>
      </c>
      <c r="W216" s="27">
        <f t="shared" si="125"/>
        <v>-5.9604644775390625E-8</v>
      </c>
    </row>
    <row r="217" spans="1:23" x14ac:dyDescent="0.2">
      <c r="A217" s="3">
        <f t="shared" si="127"/>
        <v>23</v>
      </c>
      <c r="B217" s="3" t="s">
        <v>64</v>
      </c>
      <c r="C217" s="3" t="s">
        <v>65</v>
      </c>
      <c r="D217" s="3" t="str">
        <f t="shared" si="137"/>
        <v>A366</v>
      </c>
      <c r="E217" s="4" t="s">
        <v>595</v>
      </c>
      <c r="F217" s="11"/>
      <c r="G217" s="11"/>
      <c r="H217" s="14">
        <f>'II-I TOTAL COMPANY'!K217</f>
        <v>31144883.420259144</v>
      </c>
      <c r="I217" s="66">
        <v>0</v>
      </c>
      <c r="J217" s="66">
        <f t="shared" si="138"/>
        <v>31144883.420259133</v>
      </c>
      <c r="K217" s="66">
        <f>IF($H130&lt;&gt;0,(K130/$H130)*$H217,0)</f>
        <v>18453727.597815003</v>
      </c>
      <c r="L217" s="66">
        <f>IF($H130&lt;&gt;0,(L130/$H130)*$H217,0)</f>
        <v>643735.54895539035</v>
      </c>
      <c r="M217" s="9">
        <f t="shared" si="140"/>
        <v>9708513.7739551757</v>
      </c>
      <c r="N217" s="66">
        <f>IF($H130&lt;&gt;0,(N130/$H130)*$H217,0)</f>
        <v>1303648.0576422003</v>
      </c>
      <c r="O217" s="66">
        <f>IF($H130&lt;&gt;0,(O130/$H130)*$H217,0)</f>
        <v>8404865.7163129747</v>
      </c>
      <c r="P217" s="9">
        <f t="shared" si="142"/>
        <v>1906831.1030300397</v>
      </c>
      <c r="Q217" s="66">
        <f t="shared" ref="Q217:V217" si="146">IF($H130&lt;&gt;0,(Q130/$H130)*$H217,0)</f>
        <v>1551201.605255197</v>
      </c>
      <c r="R217" s="66">
        <f t="shared" si="146"/>
        <v>112253.89330481761</v>
      </c>
      <c r="S217" s="66">
        <f t="shared" si="146"/>
        <v>243375.60447002502</v>
      </c>
      <c r="T217" s="66">
        <f t="shared" si="146"/>
        <v>0</v>
      </c>
      <c r="U217" s="66">
        <f t="shared" si="146"/>
        <v>361268.0334608847</v>
      </c>
      <c r="V217" s="66">
        <f t="shared" si="146"/>
        <v>70807.363042647921</v>
      </c>
      <c r="W217" s="27" t="str">
        <f t="shared" si="125"/>
        <v>OK</v>
      </c>
    </row>
    <row r="218" spans="1:23" x14ac:dyDescent="0.2">
      <c r="A218" s="3">
        <f t="shared" si="127"/>
        <v>24</v>
      </c>
      <c r="B218" s="3" t="s">
        <v>66</v>
      </c>
      <c r="C218" s="3" t="s">
        <v>67</v>
      </c>
      <c r="D218" s="3" t="str">
        <f t="shared" si="137"/>
        <v>A367</v>
      </c>
      <c r="E218" s="4" t="s">
        <v>595</v>
      </c>
      <c r="F218" s="11"/>
      <c r="G218" s="11"/>
      <c r="H218" s="14">
        <f>'II-I TOTAL COMPANY'!K218</f>
        <v>127965713.43418217</v>
      </c>
      <c r="I218" s="66">
        <v>0</v>
      </c>
      <c r="J218" s="66">
        <f t="shared" si="138"/>
        <v>127965713.4341822</v>
      </c>
      <c r="K218" s="66">
        <f>IF($H135&lt;&gt;0,(K135/$H135)*$H218,0)</f>
        <v>75821263.663436294</v>
      </c>
      <c r="L218" s="66">
        <f>IF($H135&lt;&gt;0,(L135/$H135)*$H218,0)</f>
        <v>2644931.357535196</v>
      </c>
      <c r="M218" s="9">
        <f t="shared" si="140"/>
        <v>39889598.387824729</v>
      </c>
      <c r="N218" s="66">
        <f>IF($H135&lt;&gt;0,(N135/$H135)*$H218,0)</f>
        <v>5356329.3691687221</v>
      </c>
      <c r="O218" s="66">
        <f>IF($H135&lt;&gt;0,(O135/$H135)*$H218,0)</f>
        <v>34533269.018656008</v>
      </c>
      <c r="P218" s="9">
        <f t="shared" si="142"/>
        <v>7834641.7035873206</v>
      </c>
      <c r="Q218" s="66">
        <f t="shared" ref="Q218:V218" si="147">IF($H135&lt;&gt;0,(Q135/$H135)*$H218,0)</f>
        <v>6373458.4399699224</v>
      </c>
      <c r="R218" s="66">
        <f t="shared" si="147"/>
        <v>461220.20585800707</v>
      </c>
      <c r="S218" s="66">
        <f t="shared" si="147"/>
        <v>999963.05775939103</v>
      </c>
      <c r="T218" s="66">
        <f t="shared" si="147"/>
        <v>0</v>
      </c>
      <c r="U218" s="66">
        <f t="shared" si="147"/>
        <v>1484350.4475189156</v>
      </c>
      <c r="V218" s="66">
        <f t="shared" si="147"/>
        <v>290927.87427971675</v>
      </c>
      <c r="W218" s="27">
        <f t="shared" si="125"/>
        <v>1.4901161193847656E-8</v>
      </c>
    </row>
    <row r="219" spans="1:23" x14ac:dyDescent="0.2">
      <c r="A219" s="3">
        <f t="shared" si="127"/>
        <v>25</v>
      </c>
      <c r="B219" s="3" t="s">
        <v>69</v>
      </c>
      <c r="C219" s="3" t="s">
        <v>70</v>
      </c>
      <c r="D219" s="3" t="str">
        <f t="shared" si="137"/>
        <v>A368</v>
      </c>
      <c r="E219" s="4" t="s">
        <v>595</v>
      </c>
      <c r="F219" s="11"/>
      <c r="G219" s="11"/>
      <c r="H219" s="14">
        <f>'II-I TOTAL COMPANY'!K219</f>
        <v>139921230.22590226</v>
      </c>
      <c r="I219" s="66">
        <v>0</v>
      </c>
      <c r="J219" s="66">
        <f t="shared" si="138"/>
        <v>139921230.22590229</v>
      </c>
      <c r="K219" s="66">
        <f>IF($H139&lt;&gt;0,(K139/$H139)*$H219,0)</f>
        <v>87546733.73020868</v>
      </c>
      <c r="L219" s="66">
        <f>IF($H139&lt;&gt;0,(L139/$H139)*$H219,0)</f>
        <v>3053959.9329373511</v>
      </c>
      <c r="M219" s="9">
        <f t="shared" si="140"/>
        <v>46058373.072828606</v>
      </c>
      <c r="N219" s="66">
        <f>IF($H139&lt;&gt;0,(N139/$H139)*$H219,0)</f>
        <v>6184665.3352474375</v>
      </c>
      <c r="O219" s="66">
        <f>IF($H139&lt;&gt;0,(O139/$H139)*$H219,0)</f>
        <v>39873707.737581171</v>
      </c>
      <c r="P219" s="9">
        <f t="shared" si="142"/>
        <v>1492829.8541396628</v>
      </c>
      <c r="Q219" s="66">
        <f t="shared" ref="Q219:V219" si="148">IF($H139&lt;&gt;0,(Q139/$H139)*$H219,0)</f>
        <v>1214412.7827758882</v>
      </c>
      <c r="R219" s="66">
        <f t="shared" si="148"/>
        <v>87881.911986098014</v>
      </c>
      <c r="S219" s="66">
        <f t="shared" si="148"/>
        <v>190535.15937767675</v>
      </c>
      <c r="T219" s="66">
        <f t="shared" si="148"/>
        <v>0</v>
      </c>
      <c r="U219" s="66">
        <f t="shared" si="148"/>
        <v>1713899.5990371644</v>
      </c>
      <c r="V219" s="66">
        <f t="shared" si="148"/>
        <v>55434.036750818115</v>
      </c>
      <c r="W219" s="27">
        <f t="shared" si="125"/>
        <v>2.9802322387695313E-8</v>
      </c>
    </row>
    <row r="220" spans="1:23" x14ac:dyDescent="0.2">
      <c r="A220" s="3">
        <f t="shared" si="127"/>
        <v>26</v>
      </c>
      <c r="B220" s="3" t="s">
        <v>72</v>
      </c>
      <c r="C220" s="3" t="s">
        <v>73</v>
      </c>
      <c r="D220" s="3" t="str">
        <f t="shared" si="137"/>
        <v>A369</v>
      </c>
      <c r="E220" s="4" t="s">
        <v>595</v>
      </c>
      <c r="F220" s="11"/>
      <c r="G220" s="11"/>
      <c r="H220" s="14">
        <f>'II-I TOTAL COMPANY'!K220</f>
        <v>203846366.4653798</v>
      </c>
      <c r="I220" s="66">
        <v>0</v>
      </c>
      <c r="J220" s="66">
        <f t="shared" si="138"/>
        <v>203846366.46537977</v>
      </c>
      <c r="K220" s="66">
        <f t="shared" ref="K220:L225" si="149">IF($H141&lt;&gt;0,(K141/$H141)*$H220,0)</f>
        <v>165003633.44955492</v>
      </c>
      <c r="L220" s="66">
        <f t="shared" si="149"/>
        <v>16672241.027114</v>
      </c>
      <c r="M220" s="9">
        <f t="shared" si="140"/>
        <v>22170491.988710865</v>
      </c>
      <c r="N220" s="66">
        <f t="shared" ref="N220:O225" si="150">IF($H141&lt;&gt;0,(N141/$H141)*$H220,0)</f>
        <v>91390.514635707121</v>
      </c>
      <c r="O220" s="66">
        <f t="shared" si="150"/>
        <v>22079101.474075157</v>
      </c>
      <c r="P220" s="9">
        <f t="shared" si="142"/>
        <v>0</v>
      </c>
      <c r="Q220" s="66">
        <f t="shared" ref="Q220:V225" si="151">IF($H141&lt;&gt;0,(Q141/$H141)*$H220,0)</f>
        <v>0</v>
      </c>
      <c r="R220" s="66">
        <f t="shared" si="151"/>
        <v>0</v>
      </c>
      <c r="S220" s="66">
        <f t="shared" ref="S220:S225" si="152">IF($H141&lt;&gt;0,(S141/$H141)*$H220,0)</f>
        <v>0</v>
      </c>
      <c r="T220" s="66">
        <f t="shared" si="151"/>
        <v>0</v>
      </c>
      <c r="U220" s="66">
        <f t="shared" si="151"/>
        <v>0</v>
      </c>
      <c r="V220" s="66">
        <f t="shared" si="151"/>
        <v>0</v>
      </c>
      <c r="W220" s="27">
        <f t="shared" si="125"/>
        <v>-2.9802322387695313E-8</v>
      </c>
    </row>
    <row r="221" spans="1:23" x14ac:dyDescent="0.2">
      <c r="A221" s="3">
        <f t="shared" si="127"/>
        <v>27</v>
      </c>
      <c r="B221" s="3" t="s">
        <v>74</v>
      </c>
      <c r="C221" s="3" t="s">
        <v>75</v>
      </c>
      <c r="D221" s="3" t="str">
        <f t="shared" si="137"/>
        <v>A370</v>
      </c>
      <c r="E221" s="4" t="s">
        <v>595</v>
      </c>
      <c r="F221" s="11"/>
      <c r="G221" s="11"/>
      <c r="H221" s="14">
        <f>'II-I TOTAL COMPANY'!K221</f>
        <v>0</v>
      </c>
      <c r="I221" s="66">
        <v>0</v>
      </c>
      <c r="J221" s="66">
        <f t="shared" si="138"/>
        <v>0</v>
      </c>
      <c r="K221" s="66">
        <f t="shared" si="149"/>
        <v>0</v>
      </c>
      <c r="L221" s="66">
        <f t="shared" si="149"/>
        <v>0</v>
      </c>
      <c r="M221" s="9">
        <f t="shared" si="140"/>
        <v>0</v>
      </c>
      <c r="N221" s="66">
        <f t="shared" si="150"/>
        <v>0</v>
      </c>
      <c r="O221" s="66">
        <f t="shared" si="150"/>
        <v>0</v>
      </c>
      <c r="P221" s="9">
        <f t="shared" si="142"/>
        <v>0</v>
      </c>
      <c r="Q221" s="66">
        <f t="shared" si="151"/>
        <v>0</v>
      </c>
      <c r="R221" s="66">
        <f t="shared" si="151"/>
        <v>0</v>
      </c>
      <c r="S221" s="66">
        <f t="shared" si="152"/>
        <v>0</v>
      </c>
      <c r="T221" s="66">
        <f t="shared" si="151"/>
        <v>0</v>
      </c>
      <c r="U221" s="66">
        <f t="shared" si="151"/>
        <v>0</v>
      </c>
      <c r="V221" s="66">
        <f t="shared" si="151"/>
        <v>0</v>
      </c>
      <c r="W221" s="27" t="str">
        <f t="shared" ref="W221:W252" si="153">IF((+K221+L221+M221+P221+T221+U221+V221)-H221=0,"OK",(+K221+L221+M221+P221+T221+U221+V221)-H221)</f>
        <v>OK</v>
      </c>
    </row>
    <row r="222" spans="1:23" x14ac:dyDescent="0.2">
      <c r="A222" s="3">
        <f t="shared" si="127"/>
        <v>28</v>
      </c>
      <c r="B222" s="3" t="s">
        <v>76</v>
      </c>
      <c r="C222" s="3" t="s">
        <v>77</v>
      </c>
      <c r="D222" s="3" t="str">
        <f t="shared" si="137"/>
        <v>A371</v>
      </c>
      <c r="E222" s="4" t="s">
        <v>595</v>
      </c>
      <c r="F222" s="11"/>
      <c r="G222" s="11"/>
      <c r="H222" s="14">
        <f>'II-I TOTAL COMPANY'!K222</f>
        <v>46747583.655845068</v>
      </c>
      <c r="I222" s="66">
        <v>0</v>
      </c>
      <c r="J222" s="66">
        <f t="shared" si="138"/>
        <v>46747583.655845068</v>
      </c>
      <c r="K222" s="66">
        <f t="shared" si="149"/>
        <v>0</v>
      </c>
      <c r="L222" s="66">
        <f t="shared" si="149"/>
        <v>0</v>
      </c>
      <c r="M222" s="9">
        <f t="shared" si="140"/>
        <v>0</v>
      </c>
      <c r="N222" s="66">
        <f t="shared" si="150"/>
        <v>0</v>
      </c>
      <c r="O222" s="66">
        <f t="shared" si="150"/>
        <v>0</v>
      </c>
      <c r="P222" s="9">
        <f t="shared" si="142"/>
        <v>0</v>
      </c>
      <c r="Q222" s="66">
        <f t="shared" si="151"/>
        <v>0</v>
      </c>
      <c r="R222" s="66">
        <f t="shared" si="151"/>
        <v>0</v>
      </c>
      <c r="S222" s="66">
        <f t="shared" si="152"/>
        <v>0</v>
      </c>
      <c r="T222" s="66">
        <f t="shared" si="151"/>
        <v>0</v>
      </c>
      <c r="U222" s="66">
        <f t="shared" si="151"/>
        <v>46747583.655845068</v>
      </c>
      <c r="V222" s="66">
        <f t="shared" si="151"/>
        <v>0</v>
      </c>
      <c r="W222" s="27" t="str">
        <f t="shared" si="153"/>
        <v>OK</v>
      </c>
    </row>
    <row r="223" spans="1:23" x14ac:dyDescent="0.2">
      <c r="A223" s="3">
        <f t="shared" si="127"/>
        <v>29</v>
      </c>
      <c r="B223" s="3" t="s">
        <v>78</v>
      </c>
      <c r="C223" s="3" t="s">
        <v>79</v>
      </c>
      <c r="D223" s="3" t="str">
        <f t="shared" si="137"/>
        <v>A372</v>
      </c>
      <c r="E223" s="4" t="s">
        <v>595</v>
      </c>
      <c r="F223" s="11"/>
      <c r="G223" s="11"/>
      <c r="H223" s="14">
        <f>'II-I TOTAL COMPANY'!K223</f>
        <v>77789.387252660585</v>
      </c>
      <c r="I223" s="66">
        <v>0</v>
      </c>
      <c r="J223" s="66">
        <f t="shared" si="138"/>
        <v>77789.387252660599</v>
      </c>
      <c r="K223" s="66">
        <f t="shared" si="149"/>
        <v>43999.921376234488</v>
      </c>
      <c r="L223" s="66">
        <f t="shared" si="149"/>
        <v>1534.8830414337551</v>
      </c>
      <c r="M223" s="9">
        <f t="shared" si="140"/>
        <v>23148.376959064699</v>
      </c>
      <c r="N223" s="66">
        <f t="shared" si="150"/>
        <v>3108.3374204206484</v>
      </c>
      <c r="O223" s="66">
        <f t="shared" si="150"/>
        <v>20040.03953864405</v>
      </c>
      <c r="P223" s="9">
        <f t="shared" si="142"/>
        <v>7949.623280318152</v>
      </c>
      <c r="Q223" s="66">
        <f t="shared" si="151"/>
        <v>6466.9956211687277</v>
      </c>
      <c r="R223" s="66">
        <f t="shared" si="151"/>
        <v>467.98909568042103</v>
      </c>
      <c r="S223" s="66">
        <f t="shared" si="152"/>
        <v>1014.6385634690027</v>
      </c>
      <c r="T223" s="66">
        <f t="shared" si="151"/>
        <v>0</v>
      </c>
      <c r="U223" s="66">
        <f t="shared" si="151"/>
        <v>861.38504991847276</v>
      </c>
      <c r="V223" s="66">
        <f t="shared" si="151"/>
        <v>295.19754569102253</v>
      </c>
      <c r="W223" s="27">
        <f t="shared" si="153"/>
        <v>1.4551915228366852E-11</v>
      </c>
    </row>
    <row r="224" spans="1:23" x14ac:dyDescent="0.2">
      <c r="A224" s="3">
        <f t="shared" si="127"/>
        <v>30</v>
      </c>
      <c r="B224" s="3" t="s">
        <v>80</v>
      </c>
      <c r="C224" s="3" t="s">
        <v>81</v>
      </c>
      <c r="D224" s="3" t="str">
        <f t="shared" si="137"/>
        <v>A373</v>
      </c>
      <c r="E224" s="4" t="s">
        <v>595</v>
      </c>
      <c r="F224" s="11"/>
      <c r="G224" s="11"/>
      <c r="H224" s="14">
        <f>'II-I TOTAL COMPANY'!K224</f>
        <v>32467213.260705013</v>
      </c>
      <c r="I224" s="66">
        <v>0</v>
      </c>
      <c r="J224" s="66">
        <f t="shared" si="138"/>
        <v>32467213.260705013</v>
      </c>
      <c r="K224" s="66">
        <f t="shared" si="149"/>
        <v>0</v>
      </c>
      <c r="L224" s="66">
        <f t="shared" si="149"/>
        <v>0</v>
      </c>
      <c r="M224" s="9">
        <f t="shared" si="140"/>
        <v>0</v>
      </c>
      <c r="N224" s="66">
        <f t="shared" si="150"/>
        <v>0</v>
      </c>
      <c r="O224" s="66">
        <f t="shared" si="150"/>
        <v>0</v>
      </c>
      <c r="P224" s="9">
        <f t="shared" si="142"/>
        <v>0</v>
      </c>
      <c r="Q224" s="66">
        <f t="shared" si="151"/>
        <v>0</v>
      </c>
      <c r="R224" s="66">
        <f t="shared" si="151"/>
        <v>0</v>
      </c>
      <c r="S224" s="66">
        <f t="shared" si="152"/>
        <v>0</v>
      </c>
      <c r="T224" s="66">
        <f t="shared" si="151"/>
        <v>0</v>
      </c>
      <c r="U224" s="66">
        <f t="shared" si="151"/>
        <v>32467213.260705013</v>
      </c>
      <c r="V224" s="66">
        <f t="shared" si="151"/>
        <v>0</v>
      </c>
      <c r="W224" s="27" t="str">
        <f t="shared" si="153"/>
        <v>OK</v>
      </c>
    </row>
    <row r="225" spans="1:23" x14ac:dyDescent="0.2">
      <c r="A225" s="3">
        <f t="shared" si="127"/>
        <v>31</v>
      </c>
      <c r="B225" s="3" t="s">
        <v>818</v>
      </c>
      <c r="C225" s="3" t="s">
        <v>817</v>
      </c>
      <c r="D225" s="3" t="str">
        <f>B225</f>
        <v>A370.16</v>
      </c>
      <c r="E225" s="4" t="s">
        <v>595</v>
      </c>
      <c r="F225" s="4"/>
      <c r="G225" s="4"/>
      <c r="H225" s="14">
        <f>'II-I TOTAL COMPANY'!K225</f>
        <v>0</v>
      </c>
      <c r="I225" s="66">
        <v>0</v>
      </c>
      <c r="J225" s="66">
        <f t="shared" si="138"/>
        <v>0</v>
      </c>
      <c r="K225" s="66">
        <f t="shared" si="149"/>
        <v>0</v>
      </c>
      <c r="L225" s="66">
        <f t="shared" si="149"/>
        <v>0</v>
      </c>
      <c r="M225" s="9">
        <f t="shared" si="140"/>
        <v>0</v>
      </c>
      <c r="N225" s="66">
        <f t="shared" si="150"/>
        <v>0</v>
      </c>
      <c r="O225" s="66">
        <f t="shared" si="150"/>
        <v>0</v>
      </c>
      <c r="P225" s="9">
        <f>SUM(Q225:S225)</f>
        <v>0</v>
      </c>
      <c r="Q225" s="66">
        <f t="shared" si="151"/>
        <v>0</v>
      </c>
      <c r="R225" s="66">
        <f t="shared" si="151"/>
        <v>0</v>
      </c>
      <c r="S225" s="66">
        <f t="shared" si="152"/>
        <v>0</v>
      </c>
      <c r="T225" s="66">
        <f t="shared" si="151"/>
        <v>0</v>
      </c>
      <c r="U225" s="66">
        <f t="shared" si="151"/>
        <v>0</v>
      </c>
      <c r="V225" s="66">
        <f t="shared" si="151"/>
        <v>0</v>
      </c>
      <c r="W225" s="27" t="str">
        <f t="shared" si="153"/>
        <v>OK</v>
      </c>
    </row>
    <row r="226" spans="1:23" x14ac:dyDescent="0.2">
      <c r="A226" s="3">
        <f t="shared" si="127"/>
        <v>32</v>
      </c>
      <c r="B226" s="3"/>
      <c r="C226" s="3" t="s">
        <v>82</v>
      </c>
      <c r="D226" s="3"/>
      <c r="E226" s="4"/>
      <c r="F226" s="8"/>
      <c r="G226" s="8"/>
      <c r="H226" s="8">
        <f>SUM(H211:H225)</f>
        <v>1328452542.6492915</v>
      </c>
      <c r="I226" s="8">
        <f t="shared" ref="I226:V226" si="154">SUM(I211:I225)</f>
        <v>0</v>
      </c>
      <c r="J226" s="8">
        <f t="shared" si="154"/>
        <v>1328452542.6492918</v>
      </c>
      <c r="K226" s="8">
        <f t="shared" si="154"/>
        <v>779389098.57514393</v>
      </c>
      <c r="L226" s="8">
        <f t="shared" si="154"/>
        <v>38104320.945193142</v>
      </c>
      <c r="M226" s="8">
        <f t="shared" si="154"/>
        <v>345398941.04178393</v>
      </c>
      <c r="N226" s="8">
        <f t="shared" si="154"/>
        <v>43494134.703262858</v>
      </c>
      <c r="O226" s="8">
        <f t="shared" si="154"/>
        <v>301904806.33852106</v>
      </c>
      <c r="P226" s="8">
        <f t="shared" si="154"/>
        <v>71656714.136428744</v>
      </c>
      <c r="Q226" s="8">
        <f t="shared" si="154"/>
        <v>58292530.376241684</v>
      </c>
      <c r="R226" s="8">
        <f t="shared" si="154"/>
        <v>4218383.6473312285</v>
      </c>
      <c r="S226" s="8">
        <f t="shared" si="154"/>
        <v>9145800.1128558256</v>
      </c>
      <c r="T226" s="8">
        <f t="shared" si="154"/>
        <v>0</v>
      </c>
      <c r="U226" s="8">
        <f t="shared" si="154"/>
        <v>91242601.466951773</v>
      </c>
      <c r="V226" s="8">
        <f t="shared" si="154"/>
        <v>2660866.4837902114</v>
      </c>
      <c r="W226" s="27">
        <f t="shared" si="153"/>
        <v>2.384185791015625E-7</v>
      </c>
    </row>
    <row r="227" spans="1:23" x14ac:dyDescent="0.2">
      <c r="A227" s="3">
        <f t="shared" si="127"/>
        <v>33</v>
      </c>
      <c r="B227" s="3"/>
      <c r="C227" s="3"/>
      <c r="D227" s="3"/>
      <c r="E227" s="4"/>
      <c r="F227" s="4"/>
      <c r="G227" s="4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 t="str">
        <f t="shared" si="153"/>
        <v>OK</v>
      </c>
    </row>
    <row r="228" spans="1:23" x14ac:dyDescent="0.2">
      <c r="A228" s="3">
        <f t="shared" si="127"/>
        <v>34</v>
      </c>
      <c r="B228" s="7" t="s">
        <v>113</v>
      </c>
      <c r="C228" s="3"/>
      <c r="D228" s="3"/>
      <c r="E228" s="4"/>
      <c r="F228" s="4"/>
      <c r="G228" s="4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 t="str">
        <f t="shared" si="153"/>
        <v>OK</v>
      </c>
    </row>
    <row r="229" spans="1:23" x14ac:dyDescent="0.2">
      <c r="A229" s="3">
        <f t="shared" si="127"/>
        <v>35</v>
      </c>
      <c r="B229" s="3"/>
      <c r="C229" s="3"/>
      <c r="D229" s="3"/>
      <c r="E229" s="4"/>
      <c r="F229" s="4"/>
      <c r="G229" s="4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 t="str">
        <f t="shared" si="153"/>
        <v>OK</v>
      </c>
    </row>
    <row r="230" spans="1:23" x14ac:dyDescent="0.2">
      <c r="A230" s="3">
        <f t="shared" si="127"/>
        <v>36</v>
      </c>
      <c r="B230" s="3" t="s">
        <v>112</v>
      </c>
      <c r="C230" s="3"/>
      <c r="D230" s="3"/>
      <c r="E230" s="4"/>
      <c r="F230" s="4"/>
      <c r="G230" s="4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 t="str">
        <f t="shared" si="153"/>
        <v>OK</v>
      </c>
    </row>
    <row r="231" spans="1:23" x14ac:dyDescent="0.2">
      <c r="A231" s="3">
        <f t="shared" si="127"/>
        <v>37</v>
      </c>
      <c r="B231" s="3"/>
      <c r="C231" s="3"/>
      <c r="D231" s="3"/>
      <c r="E231" s="4"/>
      <c r="F231" s="4"/>
      <c r="G231" s="4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 t="str">
        <f t="shared" si="153"/>
        <v>OK</v>
      </c>
    </row>
    <row r="232" spans="1:23" x14ac:dyDescent="0.2">
      <c r="A232" s="3">
        <f t="shared" si="127"/>
        <v>38</v>
      </c>
      <c r="B232" s="3" t="s">
        <v>84</v>
      </c>
      <c r="C232" s="3"/>
      <c r="D232" s="3"/>
      <c r="E232" s="4"/>
      <c r="F232" s="4"/>
      <c r="G232" s="4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 t="str">
        <f t="shared" si="153"/>
        <v>OK</v>
      </c>
    </row>
    <row r="233" spans="1:23" x14ac:dyDescent="0.2">
      <c r="A233" s="3">
        <f t="shared" si="127"/>
        <v>39</v>
      </c>
      <c r="B233" s="3" t="s">
        <v>85</v>
      </c>
      <c r="C233" s="3" t="s">
        <v>35</v>
      </c>
      <c r="D233" s="3" t="str">
        <f t="shared" ref="D233:D243" si="155">B233</f>
        <v>A389</v>
      </c>
      <c r="E233" s="4" t="s">
        <v>595</v>
      </c>
      <c r="F233" s="11"/>
      <c r="G233" s="11"/>
      <c r="H233" s="14">
        <f>'II-I TOTAL COMPANY'!K233</f>
        <v>1761770.0731033951</v>
      </c>
      <c r="I233" s="66">
        <v>0</v>
      </c>
      <c r="J233" s="66">
        <f t="shared" ref="J233:J249" si="156">SUM(K233:V233)-M233-P233</f>
        <v>1761770.0731033946</v>
      </c>
      <c r="K233" s="66">
        <f t="shared" ref="K233:L240" si="157">IF($H151&lt;&gt;0,(K151/$H151)*$H233,0)</f>
        <v>1012460.7217670658</v>
      </c>
      <c r="L233" s="66">
        <f t="shared" si="157"/>
        <v>37445.236535319767</v>
      </c>
      <c r="M233" s="9">
        <f t="shared" ref="M233:M242" si="158">SUM(N233:O233)</f>
        <v>520103.92544611468</v>
      </c>
      <c r="N233" s="66">
        <f t="shared" ref="N233:O240" si="159">IF($H151&lt;&gt;0,(N151/$H151)*$H233,0)</f>
        <v>69274.80663593614</v>
      </c>
      <c r="O233" s="66">
        <f t="shared" si="159"/>
        <v>450829.11881017854</v>
      </c>
      <c r="P233" s="9">
        <f t="shared" ref="P233:P242" si="160">SUM(Q233:S233)</f>
        <v>137163.16996322895</v>
      </c>
      <c r="Q233" s="66">
        <f t="shared" ref="Q233:V240" si="161">IF($H151&lt;&gt;0,(Q151/$H151)*$H233,0)</f>
        <v>111578.92616067884</v>
      </c>
      <c r="R233" s="66">
        <f t="shared" si="161"/>
        <v>8075.0417247585774</v>
      </c>
      <c r="S233" s="66">
        <f t="shared" ref="S233:S240" si="162">IF($H151&lt;&gt;0,(S151/$H151)*$H233,0)</f>
        <v>17509.202077791539</v>
      </c>
      <c r="T233" s="66">
        <f t="shared" si="161"/>
        <v>9.4927759232313562</v>
      </c>
      <c r="U233" s="66">
        <f t="shared" si="161"/>
        <v>49495.626144840884</v>
      </c>
      <c r="V233" s="66">
        <f t="shared" si="161"/>
        <v>5091.9004709016754</v>
      </c>
      <c r="W233" s="27">
        <f t="shared" si="153"/>
        <v>2.3283064365386963E-10</v>
      </c>
    </row>
    <row r="234" spans="1:23" x14ac:dyDescent="0.2">
      <c r="A234" s="3">
        <f t="shared" si="127"/>
        <v>40</v>
      </c>
      <c r="B234" s="3" t="s">
        <v>86</v>
      </c>
      <c r="C234" s="3" t="s">
        <v>31</v>
      </c>
      <c r="D234" s="3" t="str">
        <f t="shared" si="155"/>
        <v>A390</v>
      </c>
      <c r="E234" s="4" t="s">
        <v>595</v>
      </c>
      <c r="F234" s="11"/>
      <c r="G234" s="11"/>
      <c r="H234" s="14">
        <f>'II-I TOTAL COMPANY'!K234</f>
        <v>66143554.077265888</v>
      </c>
      <c r="I234" s="66">
        <v>0</v>
      </c>
      <c r="J234" s="66">
        <f t="shared" si="156"/>
        <v>66143554.077265903</v>
      </c>
      <c r="K234" s="66">
        <f t="shared" si="157"/>
        <v>38011629.056306124</v>
      </c>
      <c r="L234" s="66">
        <f t="shared" si="157"/>
        <v>1405836.7011235857</v>
      </c>
      <c r="M234" s="9">
        <f t="shared" si="158"/>
        <v>19526680.946478076</v>
      </c>
      <c r="N234" s="66">
        <f t="shared" si="159"/>
        <v>2600839.9103094917</v>
      </c>
      <c r="O234" s="66">
        <f t="shared" si="159"/>
        <v>16925841.036168586</v>
      </c>
      <c r="P234" s="9">
        <f t="shared" si="160"/>
        <v>5149627.4618235044</v>
      </c>
      <c r="Q234" s="66">
        <f t="shared" si="161"/>
        <v>4189097.5724157318</v>
      </c>
      <c r="R234" s="66">
        <f t="shared" si="161"/>
        <v>303167.8010382466</v>
      </c>
      <c r="S234" s="66">
        <f t="shared" si="162"/>
        <v>657362.08836952632</v>
      </c>
      <c r="T234" s="66">
        <f t="shared" si="161"/>
        <v>356.39493893524167</v>
      </c>
      <c r="U234" s="66">
        <f t="shared" si="161"/>
        <v>1858254.1924625395</v>
      </c>
      <c r="V234" s="66">
        <f t="shared" si="161"/>
        <v>191169.32413312409</v>
      </c>
      <c r="W234" s="27">
        <f t="shared" si="153"/>
        <v>7.4505805969238281E-9</v>
      </c>
    </row>
    <row r="235" spans="1:23" x14ac:dyDescent="0.2">
      <c r="A235" s="3">
        <f t="shared" si="127"/>
        <v>41</v>
      </c>
      <c r="B235" s="3" t="s">
        <v>87</v>
      </c>
      <c r="C235" s="3" t="s">
        <v>88</v>
      </c>
      <c r="D235" s="3" t="str">
        <f t="shared" si="155"/>
        <v>A391</v>
      </c>
      <c r="E235" s="4" t="s">
        <v>595</v>
      </c>
      <c r="F235" s="11"/>
      <c r="G235" s="11"/>
      <c r="H235" s="14">
        <f>'II-I TOTAL COMPANY'!K235</f>
        <v>-483979.96649918874</v>
      </c>
      <c r="I235" s="66">
        <v>0</v>
      </c>
      <c r="J235" s="66">
        <f t="shared" si="156"/>
        <v>-483979.96649918891</v>
      </c>
      <c r="K235" s="66">
        <f t="shared" si="157"/>
        <v>-278135.44666439068</v>
      </c>
      <c r="L235" s="66">
        <f t="shared" si="157"/>
        <v>-10286.668277884108</v>
      </c>
      <c r="M235" s="9">
        <f t="shared" si="158"/>
        <v>-142878.96261632899</v>
      </c>
      <c r="N235" s="66">
        <f t="shared" si="159"/>
        <v>-19030.643729711304</v>
      </c>
      <c r="O235" s="66">
        <f t="shared" si="159"/>
        <v>-123848.31888661768</v>
      </c>
      <c r="P235" s="9">
        <f t="shared" si="160"/>
        <v>-37680.414383920637</v>
      </c>
      <c r="Q235" s="66">
        <f t="shared" si="161"/>
        <v>-30652.107088035162</v>
      </c>
      <c r="R235" s="66">
        <f t="shared" si="161"/>
        <v>-2218.3135490228324</v>
      </c>
      <c r="S235" s="66">
        <f t="shared" si="162"/>
        <v>-4809.9937468626449</v>
      </c>
      <c r="T235" s="66">
        <f t="shared" si="161"/>
        <v>-2.6077826178627483</v>
      </c>
      <c r="U235" s="66">
        <f t="shared" si="161"/>
        <v>-13597.058917705086</v>
      </c>
      <c r="V235" s="66">
        <f t="shared" si="161"/>
        <v>-1398.8078563414028</v>
      </c>
      <c r="W235" s="27">
        <f t="shared" si="153"/>
        <v>-5.8207660913467407E-11</v>
      </c>
    </row>
    <row r="236" spans="1:23" x14ac:dyDescent="0.2">
      <c r="A236" s="3">
        <f t="shared" si="127"/>
        <v>42</v>
      </c>
      <c r="B236" s="3" t="s">
        <v>89</v>
      </c>
      <c r="C236" s="3" t="s">
        <v>90</v>
      </c>
      <c r="D236" s="3" t="str">
        <f t="shared" si="155"/>
        <v>A392</v>
      </c>
      <c r="E236" s="4" t="s">
        <v>595</v>
      </c>
      <c r="F236" s="11"/>
      <c r="G236" s="11"/>
      <c r="H236" s="14">
        <f>'II-I TOTAL COMPANY'!K236</f>
        <v>116603.08841660712</v>
      </c>
      <c r="I236" s="66">
        <v>0</v>
      </c>
      <c r="J236" s="66">
        <f t="shared" si="156"/>
        <v>116603.08841660712</v>
      </c>
      <c r="K236" s="66">
        <f t="shared" si="157"/>
        <v>67009.906037618639</v>
      </c>
      <c r="L236" s="66">
        <f t="shared" si="157"/>
        <v>2478.3201242699347</v>
      </c>
      <c r="M236" s="9">
        <f t="shared" si="158"/>
        <v>34423.177536322335</v>
      </c>
      <c r="N236" s="66">
        <f t="shared" si="159"/>
        <v>4584.966294145559</v>
      </c>
      <c r="O236" s="66">
        <f t="shared" si="159"/>
        <v>29838.211242176778</v>
      </c>
      <c r="P236" s="9">
        <f t="shared" si="160"/>
        <v>9078.1705733889248</v>
      </c>
      <c r="Q236" s="66">
        <f t="shared" si="161"/>
        <v>7384.8725160971399</v>
      </c>
      <c r="R236" s="66">
        <f t="shared" si="161"/>
        <v>534.44817719102923</v>
      </c>
      <c r="S236" s="66">
        <f t="shared" si="162"/>
        <v>1158.8498801007552</v>
      </c>
      <c r="T236" s="66">
        <f t="shared" si="161"/>
        <v>0.62828118560657598</v>
      </c>
      <c r="U236" s="66">
        <f t="shared" si="161"/>
        <v>3275.8774596709268</v>
      </c>
      <c r="V236" s="66">
        <f t="shared" si="161"/>
        <v>337.00840415074219</v>
      </c>
      <c r="W236" s="27">
        <f t="shared" si="153"/>
        <v>-2.9103830456733704E-11</v>
      </c>
    </row>
    <row r="237" spans="1:23" x14ac:dyDescent="0.2">
      <c r="A237" s="3">
        <f t="shared" si="127"/>
        <v>43</v>
      </c>
      <c r="B237" s="3" t="s">
        <v>91</v>
      </c>
      <c r="C237" s="3" t="s">
        <v>114</v>
      </c>
      <c r="D237" s="3" t="str">
        <f t="shared" si="155"/>
        <v>A393</v>
      </c>
      <c r="E237" s="4" t="s">
        <v>595</v>
      </c>
      <c r="F237" s="11"/>
      <c r="G237" s="11"/>
      <c r="H237" s="14">
        <f>'II-I TOTAL COMPANY'!K237</f>
        <v>832771.34252071357</v>
      </c>
      <c r="I237" s="66">
        <v>0</v>
      </c>
      <c r="J237" s="66">
        <f t="shared" si="156"/>
        <v>832771.34252071357</v>
      </c>
      <c r="K237" s="66">
        <f t="shared" si="157"/>
        <v>478580.20032672404</v>
      </c>
      <c r="L237" s="66">
        <f t="shared" si="157"/>
        <v>17699.994100588759</v>
      </c>
      <c r="M237" s="9">
        <f t="shared" si="158"/>
        <v>245847.9973388869</v>
      </c>
      <c r="N237" s="66">
        <f t="shared" si="159"/>
        <v>32745.518047907979</v>
      </c>
      <c r="O237" s="66">
        <f t="shared" si="159"/>
        <v>213102.47929097892</v>
      </c>
      <c r="P237" s="9">
        <f t="shared" si="160"/>
        <v>64835.678014137375</v>
      </c>
      <c r="Q237" s="66">
        <f t="shared" si="161"/>
        <v>52742.258229059378</v>
      </c>
      <c r="R237" s="66">
        <f t="shared" si="161"/>
        <v>3816.9926034629148</v>
      </c>
      <c r="S237" s="66">
        <f t="shared" si="162"/>
        <v>8276.4271816150813</v>
      </c>
      <c r="T237" s="66">
        <f t="shared" si="161"/>
        <v>4.4871415802360115</v>
      </c>
      <c r="U237" s="66">
        <f t="shared" si="161"/>
        <v>23396.094452288631</v>
      </c>
      <c r="V237" s="66">
        <f t="shared" si="161"/>
        <v>2406.8911465076189</v>
      </c>
      <c r="W237" s="27">
        <f t="shared" si="153"/>
        <v>-2.3283064365386963E-10</v>
      </c>
    </row>
    <row r="238" spans="1:23" x14ac:dyDescent="0.2">
      <c r="A238" s="3">
        <f t="shared" si="127"/>
        <v>44</v>
      </c>
      <c r="B238" s="3" t="s">
        <v>93</v>
      </c>
      <c r="C238" s="3" t="s">
        <v>94</v>
      </c>
      <c r="D238" s="3" t="str">
        <f t="shared" si="155"/>
        <v>A394</v>
      </c>
      <c r="E238" s="4" t="s">
        <v>595</v>
      </c>
      <c r="F238" s="11"/>
      <c r="G238" s="11"/>
      <c r="H238" s="14">
        <f>'II-I TOTAL COMPANY'!K238</f>
        <v>18340065.10134083</v>
      </c>
      <c r="I238" s="66">
        <v>0</v>
      </c>
      <c r="J238" s="66">
        <f t="shared" si="156"/>
        <v>18340065.101340827</v>
      </c>
      <c r="K238" s="66">
        <f t="shared" si="157"/>
        <v>10539738.319569442</v>
      </c>
      <c r="L238" s="66">
        <f t="shared" si="157"/>
        <v>389805.73360696808</v>
      </c>
      <c r="M238" s="9">
        <f t="shared" si="158"/>
        <v>5414293.2711656122</v>
      </c>
      <c r="N238" s="66">
        <f t="shared" si="159"/>
        <v>721152.25646207412</v>
      </c>
      <c r="O238" s="66">
        <f t="shared" si="159"/>
        <v>4693141.0147035383</v>
      </c>
      <c r="P238" s="9">
        <f t="shared" si="160"/>
        <v>1427871.6076727575</v>
      </c>
      <c r="Q238" s="66">
        <f t="shared" si="161"/>
        <v>1161539.0685572475</v>
      </c>
      <c r="R238" s="66">
        <f t="shared" si="161"/>
        <v>84061.361462021101</v>
      </c>
      <c r="S238" s="66">
        <f t="shared" si="162"/>
        <v>182271.17765348885</v>
      </c>
      <c r="T238" s="66">
        <f t="shared" si="161"/>
        <v>98.820005562829408</v>
      </c>
      <c r="U238" s="66">
        <f t="shared" si="161"/>
        <v>515250.55373938958</v>
      </c>
      <c r="V238" s="66">
        <f t="shared" si="161"/>
        <v>53006.79558109631</v>
      </c>
      <c r="W238" s="27" t="str">
        <f t="shared" si="153"/>
        <v>OK</v>
      </c>
    </row>
    <row r="239" spans="1:23" x14ac:dyDescent="0.2">
      <c r="A239" s="3">
        <f t="shared" si="127"/>
        <v>45</v>
      </c>
      <c r="B239" s="3" t="s">
        <v>95</v>
      </c>
      <c r="C239" s="3" t="s">
        <v>96</v>
      </c>
      <c r="D239" s="3" t="str">
        <f t="shared" si="155"/>
        <v>A395</v>
      </c>
      <c r="E239" s="4" t="s">
        <v>595</v>
      </c>
      <c r="F239" s="11"/>
      <c r="G239" s="11"/>
      <c r="H239" s="14">
        <f>'II-I TOTAL COMPANY'!K239</f>
        <v>68279.799381450779</v>
      </c>
      <c r="I239" s="66">
        <v>0</v>
      </c>
      <c r="J239" s="66">
        <f t="shared" si="156"/>
        <v>68279.799381450779</v>
      </c>
      <c r="K239" s="66">
        <f t="shared" si="157"/>
        <v>39239.294627180876</v>
      </c>
      <c r="L239" s="66">
        <f t="shared" si="157"/>
        <v>1451.2411565255109</v>
      </c>
      <c r="M239" s="9">
        <f t="shared" si="158"/>
        <v>20157.336209264566</v>
      </c>
      <c r="N239" s="66">
        <f t="shared" si="159"/>
        <v>2684.8395097087769</v>
      </c>
      <c r="O239" s="66">
        <f t="shared" si="159"/>
        <v>17472.496699555788</v>
      </c>
      <c r="P239" s="9">
        <f t="shared" si="160"/>
        <v>5315.945520130007</v>
      </c>
      <c r="Q239" s="66">
        <f t="shared" si="161"/>
        <v>4324.3932961289102</v>
      </c>
      <c r="R239" s="66">
        <f t="shared" si="161"/>
        <v>312.95924330927227</v>
      </c>
      <c r="S239" s="66">
        <f t="shared" si="162"/>
        <v>678.59298069182512</v>
      </c>
      <c r="T239" s="66">
        <f t="shared" si="161"/>
        <v>0.367905463662206</v>
      </c>
      <c r="U239" s="66">
        <f t="shared" si="161"/>
        <v>1918.270423038731</v>
      </c>
      <c r="V239" s="66">
        <f t="shared" si="161"/>
        <v>197.34353984742526</v>
      </c>
      <c r="W239" s="27">
        <f t="shared" si="153"/>
        <v>-1.4551915228366852E-11</v>
      </c>
    </row>
    <row r="240" spans="1:23" x14ac:dyDescent="0.2">
      <c r="A240" s="3">
        <f t="shared" si="127"/>
        <v>46</v>
      </c>
      <c r="B240" s="3" t="s">
        <v>97</v>
      </c>
      <c r="C240" s="3" t="s">
        <v>98</v>
      </c>
      <c r="D240" s="3" t="str">
        <f t="shared" si="155"/>
        <v>A396</v>
      </c>
      <c r="E240" s="4" t="s">
        <v>595</v>
      </c>
      <c r="F240" s="11"/>
      <c r="G240" s="11"/>
      <c r="H240" s="14">
        <f>'II-I TOTAL COMPANY'!K240</f>
        <v>-371410.85083982378</v>
      </c>
      <c r="I240" s="66">
        <v>0</v>
      </c>
      <c r="J240" s="66">
        <f t="shared" si="156"/>
        <v>-371410.85083982366</v>
      </c>
      <c r="K240" s="66">
        <f t="shared" si="157"/>
        <v>-213443.79942327409</v>
      </c>
      <c r="L240" s="66">
        <f t="shared" si="157"/>
        <v>-7894.0875281092149</v>
      </c>
      <c r="M240" s="9">
        <f t="shared" si="158"/>
        <v>-109646.6811556157</v>
      </c>
      <c r="N240" s="66">
        <f t="shared" si="159"/>
        <v>-14604.297840690646</v>
      </c>
      <c r="O240" s="66">
        <f t="shared" si="159"/>
        <v>-95042.383314925057</v>
      </c>
      <c r="P240" s="9">
        <f t="shared" si="160"/>
        <v>-28916.310043904588</v>
      </c>
      <c r="Q240" s="66">
        <f t="shared" si="161"/>
        <v>-23522.719867826625</v>
      </c>
      <c r="R240" s="66">
        <f t="shared" si="161"/>
        <v>-1702.3550140550296</v>
      </c>
      <c r="S240" s="66">
        <f t="shared" si="162"/>
        <v>-3691.2351620229333</v>
      </c>
      <c r="T240" s="66">
        <f t="shared" si="161"/>
        <v>-2.0012372989561125</v>
      </c>
      <c r="U240" s="66">
        <f t="shared" si="161"/>
        <v>-10434.512936709592</v>
      </c>
      <c r="V240" s="66">
        <f t="shared" si="161"/>
        <v>-1073.458514911611</v>
      </c>
      <c r="W240" s="27">
        <f t="shared" si="153"/>
        <v>1.1641532182693481E-10</v>
      </c>
    </row>
    <row r="241" spans="1:23" x14ac:dyDescent="0.2">
      <c r="A241" s="3">
        <f t="shared" si="127"/>
        <v>47</v>
      </c>
      <c r="B241" s="3" t="s">
        <v>105</v>
      </c>
      <c r="C241" s="3" t="s">
        <v>106</v>
      </c>
      <c r="D241" s="3" t="str">
        <f t="shared" si="155"/>
        <v>A397</v>
      </c>
      <c r="E241" s="4" t="s">
        <v>595</v>
      </c>
      <c r="F241" s="11"/>
      <c r="G241" s="11"/>
      <c r="H241" s="14">
        <f>'II-I TOTAL COMPANY'!K241</f>
        <v>62201839.319594242</v>
      </c>
      <c r="I241" s="66">
        <v>0</v>
      </c>
      <c r="J241" s="66">
        <f t="shared" si="156"/>
        <v>62201839.319594212</v>
      </c>
      <c r="K241" s="66">
        <f>IF($H168&lt;&gt;0,(K168/$H168)*$H241,0)</f>
        <v>35746389.437652484</v>
      </c>
      <c r="L241" s="66">
        <f>IF($H168&lt;&gt;0,(L168/$H168)*$H241,0)</f>
        <v>1322058.20828327</v>
      </c>
      <c r="M241" s="9">
        <f t="shared" si="158"/>
        <v>18363020.971914764</v>
      </c>
      <c r="N241" s="66">
        <f>IF($H168&lt;&gt;0,(N168/$H168)*$H241,0)</f>
        <v>2445847.1948465053</v>
      </c>
      <c r="O241" s="66">
        <f>IF($H168&lt;&gt;0,(O168/$H168)*$H241,0)</f>
        <v>15917173.777068259</v>
      </c>
      <c r="P241" s="9">
        <f t="shared" si="160"/>
        <v>4842744.004380784</v>
      </c>
      <c r="Q241" s="66">
        <f t="shared" ref="Q241:V241" si="163">IF($H168&lt;&gt;0,(Q168/$H168)*$H241,0)</f>
        <v>3939455.2912763068</v>
      </c>
      <c r="R241" s="66">
        <f t="shared" si="163"/>
        <v>285101.02171146031</v>
      </c>
      <c r="S241" s="66">
        <f t="shared" si="163"/>
        <v>618187.69139301719</v>
      </c>
      <c r="T241" s="66">
        <f t="shared" si="163"/>
        <v>335.15617712453684</v>
      </c>
      <c r="U241" s="66">
        <f t="shared" si="163"/>
        <v>1747514.633995838</v>
      </c>
      <c r="V241" s="66">
        <f t="shared" si="163"/>
        <v>179776.90718997942</v>
      </c>
      <c r="W241" s="27" t="str">
        <f t="shared" si="153"/>
        <v>OK</v>
      </c>
    </row>
    <row r="242" spans="1:23" x14ac:dyDescent="0.2">
      <c r="A242" s="3">
        <f t="shared" si="127"/>
        <v>48</v>
      </c>
      <c r="B242" s="3" t="s">
        <v>99</v>
      </c>
      <c r="C242" s="3" t="s">
        <v>100</v>
      </c>
      <c r="D242" s="3" t="str">
        <f t="shared" si="155"/>
        <v>A398</v>
      </c>
      <c r="E242" s="4" t="s">
        <v>595</v>
      </c>
      <c r="F242" s="11"/>
      <c r="G242" s="11"/>
      <c r="H242" s="14">
        <f>'II-I TOTAL COMPANY'!K242</f>
        <v>4086347.3902657237</v>
      </c>
      <c r="I242" s="66">
        <v>0</v>
      </c>
      <c r="J242" s="66">
        <f t="shared" si="156"/>
        <v>4086347.3902657237</v>
      </c>
      <c r="K242" s="66">
        <f>IF($H159&lt;&gt;0,(K159/$H159)*$H242,0)</f>
        <v>2348357.6496741818</v>
      </c>
      <c r="L242" s="66">
        <f>IF($H159&lt;&gt;0,(L159/$H159)*$H242,0)</f>
        <v>86852.562051101733</v>
      </c>
      <c r="M242" s="9">
        <f t="shared" si="158"/>
        <v>1206357.9412890605</v>
      </c>
      <c r="N242" s="66">
        <f>IF($H159&lt;&gt;0,(N159/$H159)*$H242,0)</f>
        <v>160679.83537106367</v>
      </c>
      <c r="O242" s="66">
        <f>IF($H159&lt;&gt;0,(O159/$H159)*$H242,0)</f>
        <v>1045678.1059179968</v>
      </c>
      <c r="P242" s="9">
        <f t="shared" si="160"/>
        <v>318143.87710224208</v>
      </c>
      <c r="Q242" s="66">
        <f t="shared" ref="Q242:V243" si="164">IF($H159&lt;&gt;0,(Q159/$H159)*$H242,0)</f>
        <v>258802.36058396421</v>
      </c>
      <c r="R242" s="66">
        <f t="shared" si="164"/>
        <v>18729.700420060137</v>
      </c>
      <c r="S242" s="66">
        <f>IF($H159&lt;&gt;0,(S159/$H159)*$H242,0)</f>
        <v>40611.816098217707</v>
      </c>
      <c r="T242" s="66">
        <f t="shared" si="164"/>
        <v>22.018071888315692</v>
      </c>
      <c r="U242" s="66">
        <f t="shared" si="164"/>
        <v>114802.90522262063</v>
      </c>
      <c r="V242" s="66">
        <f t="shared" si="164"/>
        <v>11810.436854628495</v>
      </c>
      <c r="W242" s="27" t="str">
        <f t="shared" si="153"/>
        <v>OK</v>
      </c>
    </row>
    <row r="243" spans="1:23" x14ac:dyDescent="0.2">
      <c r="A243" s="3">
        <f t="shared" si="127"/>
        <v>49</v>
      </c>
      <c r="B243" s="3" t="s">
        <v>101</v>
      </c>
      <c r="C243" s="3" t="s">
        <v>819</v>
      </c>
      <c r="D243" s="3" t="str">
        <f t="shared" si="155"/>
        <v>A399</v>
      </c>
      <c r="E243" s="4" t="s">
        <v>595</v>
      </c>
      <c r="F243" s="11"/>
      <c r="G243" s="11"/>
      <c r="H243" s="14">
        <f>'II-I TOTAL COMPANY'!K243</f>
        <v>1087064.3739469233</v>
      </c>
      <c r="I243" s="66">
        <v>0</v>
      </c>
      <c r="J243" s="66">
        <f t="shared" si="156"/>
        <v>1087064.3739469233</v>
      </c>
      <c r="K243" s="66">
        <f>IF($H160&lt;&gt;0,(K160/$H160)*$H243,0)</f>
        <v>624718.28614662401</v>
      </c>
      <c r="L243" s="66">
        <f>IF($H160&lt;&gt;0,(L160/$H160)*$H243,0)</f>
        <v>23104.821243704326</v>
      </c>
      <c r="M243" s="9">
        <f>SUM(N243:O243)</f>
        <v>320919.54377819452</v>
      </c>
      <c r="N243" s="66">
        <f>IF($H160&lt;&gt;0,(N160/$H160)*$H243,0)</f>
        <v>42744.609785166052</v>
      </c>
      <c r="O243" s="66">
        <f>IF($H160&lt;&gt;0,(O160/$H160)*$H243,0)</f>
        <v>278174.93399302848</v>
      </c>
      <c r="P243" s="9">
        <f>SUM(Q243:S243)</f>
        <v>84633.742938998272</v>
      </c>
      <c r="Q243" s="66">
        <f t="shared" si="164"/>
        <v>68847.505905732251</v>
      </c>
      <c r="R243" s="66">
        <f t="shared" si="164"/>
        <v>4982.5401799777283</v>
      </c>
      <c r="S243" s="66">
        <f>IF($H160&lt;&gt;0,(S160/$H160)*$H243,0)</f>
        <v>10803.696853288289</v>
      </c>
      <c r="T243" s="66">
        <f t="shared" si="164"/>
        <v>5.8573242181531269</v>
      </c>
      <c r="U243" s="66">
        <f t="shared" si="164"/>
        <v>30540.268942969331</v>
      </c>
      <c r="V243" s="66">
        <f t="shared" si="164"/>
        <v>3141.8535722146544</v>
      </c>
      <c r="W243" s="27" t="str">
        <f t="shared" si="153"/>
        <v>OK</v>
      </c>
    </row>
    <row r="244" spans="1:23" x14ac:dyDescent="0.2">
      <c r="A244" s="3">
        <f t="shared" si="127"/>
        <v>50</v>
      </c>
      <c r="B244" s="3"/>
      <c r="C244" s="3"/>
      <c r="D244" s="3"/>
      <c r="E244" s="4"/>
      <c r="F244" s="4"/>
      <c r="G244" s="4"/>
      <c r="H244" s="14"/>
      <c r="I244" s="66"/>
      <c r="J244" s="66"/>
      <c r="K244" s="66"/>
      <c r="L244" s="66"/>
      <c r="M244" s="12"/>
      <c r="N244" s="66"/>
      <c r="O244" s="66"/>
      <c r="P244" s="66"/>
      <c r="Q244" s="66"/>
      <c r="R244" s="66"/>
      <c r="S244" s="66"/>
      <c r="T244" s="66"/>
      <c r="U244" s="66"/>
      <c r="V244" s="66"/>
      <c r="W244" s="27" t="str">
        <f t="shared" si="153"/>
        <v>OK</v>
      </c>
    </row>
    <row r="245" spans="1:23" x14ac:dyDescent="0.2">
      <c r="A245" s="3">
        <f t="shared" si="127"/>
        <v>51</v>
      </c>
      <c r="B245" s="3"/>
      <c r="C245" s="3" t="s">
        <v>103</v>
      </c>
      <c r="D245" s="3"/>
      <c r="E245" s="4"/>
      <c r="F245" s="8"/>
      <c r="G245" s="8"/>
      <c r="H245" s="8">
        <f>SUM(H233:H243)</f>
        <v>153782903.74849677</v>
      </c>
      <c r="I245" s="8">
        <f>SUM(I233:I243)</f>
        <v>0</v>
      </c>
      <c r="J245" s="66">
        <f t="shared" si="156"/>
        <v>153782903.74849674</v>
      </c>
      <c r="K245" s="8">
        <f>SUM(K233:K243)</f>
        <v>88376543.626019791</v>
      </c>
      <c r="L245" s="8">
        <f>SUM(L233:L243)</f>
        <v>3268552.06241934</v>
      </c>
      <c r="M245" s="9">
        <f>SUM(N245:O245)</f>
        <v>45399279.467384346</v>
      </c>
      <c r="N245" s="8">
        <f>SUM(N233:N243)</f>
        <v>6046918.9956915975</v>
      </c>
      <c r="O245" s="8">
        <f>SUM(O233:O243)</f>
        <v>39352360.471692748</v>
      </c>
      <c r="P245" s="9">
        <f>SUM(Q245:S245)</f>
        <v>11972816.933561347</v>
      </c>
      <c r="Q245" s="8">
        <f t="shared" ref="Q245:V245" si="165">SUM(Q233:Q243)</f>
        <v>9739597.4219850861</v>
      </c>
      <c r="R245" s="8">
        <f t="shared" si="165"/>
        <v>704861.19799740997</v>
      </c>
      <c r="S245" s="8">
        <f t="shared" si="165"/>
        <v>1528358.3135788518</v>
      </c>
      <c r="T245" s="8">
        <f t="shared" si="165"/>
        <v>828.61360196499413</v>
      </c>
      <c r="U245" s="8">
        <f t="shared" si="165"/>
        <v>4320416.8509887811</v>
      </c>
      <c r="V245" s="8">
        <f t="shared" si="165"/>
        <v>444466.19452119741</v>
      </c>
      <c r="W245" s="27">
        <f t="shared" si="153"/>
        <v>-2.9802322387695313E-8</v>
      </c>
    </row>
    <row r="246" spans="1:23" x14ac:dyDescent="0.2">
      <c r="A246" s="3">
        <f t="shared" si="127"/>
        <v>52</v>
      </c>
      <c r="B246" s="3"/>
      <c r="C246" s="3"/>
      <c r="D246" s="3"/>
      <c r="E246" s="4"/>
      <c r="F246" s="66"/>
      <c r="G246" s="66"/>
      <c r="H246" s="14"/>
      <c r="I246" s="14"/>
      <c r="J246" s="14"/>
      <c r="K246" s="66"/>
      <c r="L246" s="66"/>
      <c r="M246" s="12"/>
      <c r="N246" s="66"/>
      <c r="O246" s="66"/>
      <c r="P246" s="66"/>
      <c r="Q246" s="66"/>
      <c r="R246" s="66"/>
      <c r="S246" s="66"/>
      <c r="T246" s="66"/>
      <c r="U246" s="66"/>
      <c r="V246" s="66"/>
      <c r="W246" s="27" t="str">
        <f t="shared" si="153"/>
        <v>OK</v>
      </c>
    </row>
    <row r="247" spans="1:23" x14ac:dyDescent="0.2">
      <c r="A247" s="3">
        <f t="shared" si="127"/>
        <v>53</v>
      </c>
      <c r="B247" s="3" t="s">
        <v>116</v>
      </c>
      <c r="C247" s="3"/>
      <c r="D247" s="3"/>
      <c r="E247" s="4"/>
      <c r="F247" s="8"/>
      <c r="G247" s="8"/>
      <c r="H247" s="8">
        <f>H191+H208+H226+H245+H246</f>
        <v>1557757541.0002408</v>
      </c>
      <c r="I247" s="8">
        <f>I191+I208+I226+I245+I246</f>
        <v>0</v>
      </c>
      <c r="J247" s="66">
        <f t="shared" si="156"/>
        <v>1557757541.0002408</v>
      </c>
      <c r="K247" s="8">
        <f>K191+K208+K226+K245+K246</f>
        <v>911166966.57254899</v>
      </c>
      <c r="L247" s="8">
        <f>L191+L208+L226+L245+L246</f>
        <v>42978044.272129506</v>
      </c>
      <c r="M247" s="9">
        <f>SUM(N247:O247)</f>
        <v>413093603.1248219</v>
      </c>
      <c r="N247" s="8">
        <f>N191+N208+N226+N245+N246</f>
        <v>52510668.508627027</v>
      </c>
      <c r="O247" s="8">
        <f>O191+O208+O226+O245+O246</f>
        <v>360582934.6161949</v>
      </c>
      <c r="P247" s="9">
        <f>SUM(Q247:S247)</f>
        <v>89509327.790391803</v>
      </c>
      <c r="Q247" s="8">
        <f t="shared" ref="Q247:V247" si="166">Q191+Q208+Q226+Q245+Q246</f>
        <v>72815200.428302199</v>
      </c>
      <c r="R247" s="8">
        <f t="shared" si="166"/>
        <v>5269399.0196822276</v>
      </c>
      <c r="S247" s="8">
        <f t="shared" si="166"/>
        <v>11424728.342407376</v>
      </c>
      <c r="T247" s="8">
        <f t="shared" si="166"/>
        <v>1235.5420271092023</v>
      </c>
      <c r="U247" s="8">
        <f t="shared" si="166"/>
        <v>97684755.664479584</v>
      </c>
      <c r="V247" s="8">
        <f t="shared" si="166"/>
        <v>3323608.0338419485</v>
      </c>
      <c r="W247" s="27" t="str">
        <f t="shared" si="153"/>
        <v>OK</v>
      </c>
    </row>
    <row r="248" spans="1:23" x14ac:dyDescent="0.2">
      <c r="A248" s="3">
        <f t="shared" si="127"/>
        <v>54</v>
      </c>
      <c r="B248" s="3"/>
      <c r="C248" s="3"/>
      <c r="D248" s="3"/>
      <c r="E248" s="4"/>
      <c r="F248" s="8"/>
      <c r="G248" s="8"/>
      <c r="H248" s="8"/>
      <c r="I248" s="8"/>
      <c r="J248" s="6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 t="str">
        <f t="shared" si="153"/>
        <v>OK</v>
      </c>
    </row>
    <row r="249" spans="1:23" x14ac:dyDescent="0.2">
      <c r="A249" s="3">
        <f t="shared" si="127"/>
        <v>55</v>
      </c>
      <c r="B249" s="3" t="s">
        <v>117</v>
      </c>
      <c r="C249" s="3"/>
      <c r="D249" s="8"/>
      <c r="E249" s="4"/>
      <c r="F249" s="8"/>
      <c r="G249" s="8"/>
      <c r="H249" s="8">
        <f>H171-H247</f>
        <v>4777087836.4162769</v>
      </c>
      <c r="I249" s="8">
        <f>I171-I247</f>
        <v>0</v>
      </c>
      <c r="J249" s="66">
        <f t="shared" si="156"/>
        <v>4777087836.416275</v>
      </c>
      <c r="K249" s="8">
        <f>K171-K247</f>
        <v>2766270292.5032372</v>
      </c>
      <c r="L249" s="8">
        <f>L171-L247</f>
        <v>108262513.28756109</v>
      </c>
      <c r="M249" s="9">
        <f>SUM(N249:O249)</f>
        <v>1385688460.6544116</v>
      </c>
      <c r="N249" s="8">
        <f>N171-N247</f>
        <v>182958139.70243025</v>
      </c>
      <c r="O249" s="8">
        <f>O171-O247</f>
        <v>1202730320.9519813</v>
      </c>
      <c r="P249" s="9">
        <f>SUM(Q249:S249)</f>
        <v>310021812.83500201</v>
      </c>
      <c r="Q249" s="8">
        <f t="shared" ref="Q249:V249" si="167">Q171-Q247</f>
        <v>252200899.55878189</v>
      </c>
      <c r="R249" s="8">
        <f t="shared" si="167"/>
        <v>18250889.901157845</v>
      </c>
      <c r="S249" s="8">
        <f t="shared" si="167"/>
        <v>39570023.375062272</v>
      </c>
      <c r="T249" s="8">
        <f t="shared" si="167"/>
        <v>3096.0799648287075</v>
      </c>
      <c r="U249" s="8">
        <f t="shared" si="167"/>
        <v>195329931.3740873</v>
      </c>
      <c r="V249" s="8">
        <f t="shared" si="167"/>
        <v>11511729.682011461</v>
      </c>
      <c r="W249" s="27">
        <f t="shared" si="153"/>
        <v>-1.9073486328125E-6</v>
      </c>
    </row>
    <row r="250" spans="1:23" x14ac:dyDescent="0.2">
      <c r="A250" s="3"/>
      <c r="B250" s="3"/>
      <c r="C250" s="3"/>
      <c r="D250" s="3"/>
      <c r="E250" s="4"/>
      <c r="F250" s="4"/>
      <c r="G250" s="4"/>
      <c r="H250" s="8"/>
      <c r="I250" s="8"/>
      <c r="J250" s="8"/>
      <c r="K250" s="8"/>
      <c r="L250" s="8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27" t="str">
        <f t="shared" si="153"/>
        <v>OK</v>
      </c>
    </row>
    <row r="251" spans="1:23" x14ac:dyDescent="0.2">
      <c r="A251" s="3"/>
      <c r="B251" s="7" t="s">
        <v>118</v>
      </c>
      <c r="C251" s="3"/>
      <c r="D251" s="3"/>
      <c r="E251" s="4"/>
      <c r="F251" s="4"/>
      <c r="G251" s="4"/>
      <c r="H251" s="8"/>
      <c r="I251" s="8"/>
      <c r="J251" s="8"/>
      <c r="K251" s="8"/>
      <c r="L251" s="8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27" t="str">
        <f t="shared" si="153"/>
        <v>OK</v>
      </c>
    </row>
    <row r="252" spans="1:23" x14ac:dyDescent="0.2">
      <c r="A252" s="3"/>
      <c r="B252" s="3"/>
      <c r="C252" s="3"/>
      <c r="D252" s="3"/>
      <c r="E252" s="4"/>
      <c r="F252" s="4"/>
      <c r="G252" s="4"/>
      <c r="H252" s="5"/>
      <c r="I252" s="8"/>
      <c r="J252" s="8"/>
      <c r="K252" s="8"/>
      <c r="L252" s="8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27" t="str">
        <f t="shared" si="153"/>
        <v>OK</v>
      </c>
    </row>
    <row r="253" spans="1:23" x14ac:dyDescent="0.2">
      <c r="A253" s="3">
        <f t="shared" ref="A253:A308" si="168">+A252+1</f>
        <v>1</v>
      </c>
      <c r="B253" s="3" t="s">
        <v>119</v>
      </c>
      <c r="C253" s="3" t="s">
        <v>120</v>
      </c>
      <c r="D253" s="1" t="s">
        <v>368</v>
      </c>
      <c r="E253" s="4" t="s">
        <v>595</v>
      </c>
      <c r="F253" s="11"/>
      <c r="G253" s="11"/>
      <c r="H253" s="14">
        <f>'II-I TOTAL COMPANY'!K253</f>
        <v>10727226.12272645</v>
      </c>
      <c r="I253" s="66">
        <v>0</v>
      </c>
      <c r="J253" s="66">
        <f t="shared" ref="J253" si="169">SUM(K253:V253)-M253-P253</f>
        <v>10727226.122726452</v>
      </c>
      <c r="K253" s="66">
        <f>VLOOKUP($D253,$E$741:$V$815,K$1,FALSE)*$H253</f>
        <v>6067628.5371936662</v>
      </c>
      <c r="L253" s="66">
        <f>VLOOKUP($D253,$E$741:$V$815,L$1,FALSE)*$H253</f>
        <v>211661.74511594264</v>
      </c>
      <c r="M253" s="9">
        <f>SUM(N253:O253)</f>
        <v>3192181.9001795109</v>
      </c>
      <c r="N253" s="66">
        <f>VLOOKUP($D253,$E$741:$V$815,N$1,FALSE)*$H253</f>
        <v>428642.51220135542</v>
      </c>
      <c r="O253" s="66">
        <f>VLOOKUP($D253,$E$741:$V$815,O$1,FALSE)*$H253</f>
        <v>2763539.3879781556</v>
      </c>
      <c r="P253" s="9">
        <f>SUM(Q253:S253)</f>
        <v>1096260.1651749932</v>
      </c>
      <c r="Q253" s="66">
        <f t="shared" ref="Q253:V253" si="170">VLOOKUP($D253,$E$741:$V$815,Q$1,FALSE)*$H253</f>
        <v>891804.48404401098</v>
      </c>
      <c r="R253" s="66">
        <f t="shared" si="170"/>
        <v>64536.115139053712</v>
      </c>
      <c r="S253" s="66">
        <f t="shared" si="170"/>
        <v>139919.56599192851</v>
      </c>
      <c r="T253" s="66">
        <f t="shared" si="170"/>
        <v>0</v>
      </c>
      <c r="U253" s="66">
        <f t="shared" si="170"/>
        <v>118785.76931322247</v>
      </c>
      <c r="V253" s="66">
        <f t="shared" si="170"/>
        <v>40708.0057491154</v>
      </c>
      <c r="W253" s="27" t="str">
        <f t="shared" ref="W253:W262" si="171">IF((+K253+L253+M253+P253+T253+U253+V253)-H253=0,"OK",(+K253+L253+M253+P253+T253+U253+V253)-H253)</f>
        <v>OK</v>
      </c>
    </row>
    <row r="254" spans="1:23" x14ac:dyDescent="0.2">
      <c r="A254" s="3">
        <f t="shared" si="168"/>
        <v>2</v>
      </c>
      <c r="B254" s="3"/>
      <c r="C254" s="3"/>
      <c r="D254" s="1"/>
      <c r="E254" s="4"/>
      <c r="F254" s="4"/>
      <c r="G254" s="4"/>
      <c r="H254" s="14"/>
      <c r="I254" s="66"/>
      <c r="J254" s="66"/>
      <c r="K254" s="66"/>
      <c r="L254" s="6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27" t="str">
        <f t="shared" si="171"/>
        <v>OK</v>
      </c>
    </row>
    <row r="255" spans="1:23" x14ac:dyDescent="0.2">
      <c r="A255" s="3">
        <f t="shared" si="168"/>
        <v>3</v>
      </c>
      <c r="B255" s="7" t="s">
        <v>121</v>
      </c>
      <c r="C255" s="3"/>
      <c r="D255" s="1"/>
      <c r="E255" s="4"/>
      <c r="F255" s="4"/>
      <c r="G255" s="4"/>
      <c r="H255" s="14"/>
      <c r="I255" s="66"/>
      <c r="J255" s="66"/>
      <c r="K255" s="66"/>
      <c r="L255" s="6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27" t="str">
        <f t="shared" si="171"/>
        <v>OK</v>
      </c>
    </row>
    <row r="256" spans="1:23" x14ac:dyDescent="0.2">
      <c r="A256" s="3">
        <f t="shared" si="168"/>
        <v>4</v>
      </c>
      <c r="B256" s="3" t="s">
        <v>122</v>
      </c>
      <c r="C256" s="3" t="s">
        <v>123</v>
      </c>
      <c r="D256" s="1" t="s">
        <v>331</v>
      </c>
      <c r="E256" s="4" t="s">
        <v>595</v>
      </c>
      <c r="F256" s="11"/>
      <c r="G256" s="11"/>
      <c r="H256" s="14">
        <f>'II-I TOTAL COMPANY'!K256</f>
        <v>0</v>
      </c>
      <c r="I256" s="66">
        <v>0</v>
      </c>
      <c r="J256" s="66">
        <f t="shared" ref="J256:J259" si="172">SUM(K256:V256)-M256-P256</f>
        <v>0</v>
      </c>
      <c r="K256" s="66">
        <f t="shared" ref="K256:L258" si="173">VLOOKUP($D256,$E$741:$V$815,K$1,FALSE)*$H256</f>
        <v>0</v>
      </c>
      <c r="L256" s="66">
        <f t="shared" si="173"/>
        <v>0</v>
      </c>
      <c r="M256" s="9">
        <f>SUM(N256:O256)</f>
        <v>0</v>
      </c>
      <c r="N256" s="66">
        <f t="shared" ref="N256:O258" si="174">VLOOKUP($D256,$E$741:$V$815,N$1,FALSE)*$H256</f>
        <v>0</v>
      </c>
      <c r="O256" s="66">
        <f t="shared" si="174"/>
        <v>0</v>
      </c>
      <c r="P256" s="9">
        <f>SUM(Q256:S256)</f>
        <v>0</v>
      </c>
      <c r="Q256" s="66">
        <f t="shared" ref="Q256:V258" si="175">VLOOKUP($D256,$E$741:$V$815,Q$1,FALSE)*$H256</f>
        <v>0</v>
      </c>
      <c r="R256" s="66">
        <f t="shared" si="175"/>
        <v>0</v>
      </c>
      <c r="S256" s="66">
        <f t="shared" si="175"/>
        <v>0</v>
      </c>
      <c r="T256" s="66">
        <f t="shared" si="175"/>
        <v>0</v>
      </c>
      <c r="U256" s="66">
        <f t="shared" si="175"/>
        <v>0</v>
      </c>
      <c r="V256" s="66">
        <f t="shared" si="175"/>
        <v>0</v>
      </c>
      <c r="W256" s="27" t="str">
        <f t="shared" si="171"/>
        <v>OK</v>
      </c>
    </row>
    <row r="257" spans="1:23" x14ac:dyDescent="0.2">
      <c r="A257" s="3">
        <f t="shared" si="168"/>
        <v>5</v>
      </c>
      <c r="B257" s="3" t="s">
        <v>528</v>
      </c>
      <c r="C257" s="3" t="s">
        <v>529</v>
      </c>
      <c r="D257" s="1" t="s">
        <v>331</v>
      </c>
      <c r="E257" s="4" t="s">
        <v>595</v>
      </c>
      <c r="F257" s="11"/>
      <c r="G257" s="11"/>
      <c r="H257" s="14">
        <f>'II-I TOTAL COMPANY'!K257</f>
        <v>0</v>
      </c>
      <c r="I257" s="66">
        <v>0</v>
      </c>
      <c r="J257" s="66">
        <f t="shared" si="172"/>
        <v>0</v>
      </c>
      <c r="K257" s="66">
        <f t="shared" si="173"/>
        <v>0</v>
      </c>
      <c r="L257" s="66">
        <f t="shared" si="173"/>
        <v>0</v>
      </c>
      <c r="M257" s="9">
        <f>SUM(N257:O257)</f>
        <v>0</v>
      </c>
      <c r="N257" s="66">
        <f t="shared" si="174"/>
        <v>0</v>
      </c>
      <c r="O257" s="66">
        <f t="shared" si="174"/>
        <v>0</v>
      </c>
      <c r="P257" s="9">
        <f>SUM(Q257:S257)</f>
        <v>0</v>
      </c>
      <c r="Q257" s="66">
        <f t="shared" si="175"/>
        <v>0</v>
      </c>
      <c r="R257" s="66">
        <f t="shared" si="175"/>
        <v>0</v>
      </c>
      <c r="S257" s="66">
        <f t="shared" si="175"/>
        <v>0</v>
      </c>
      <c r="T257" s="66">
        <f t="shared" si="175"/>
        <v>0</v>
      </c>
      <c r="U257" s="66">
        <f t="shared" si="175"/>
        <v>0</v>
      </c>
      <c r="V257" s="66">
        <f t="shared" si="175"/>
        <v>0</v>
      </c>
      <c r="W257" s="27" t="str">
        <f t="shared" si="171"/>
        <v>OK</v>
      </c>
    </row>
    <row r="258" spans="1:23" x14ac:dyDescent="0.2">
      <c r="A258" s="3">
        <f t="shared" si="168"/>
        <v>6</v>
      </c>
      <c r="B258" s="3"/>
      <c r="C258" s="3" t="s">
        <v>652</v>
      </c>
      <c r="D258" s="1" t="s">
        <v>331</v>
      </c>
      <c r="E258" s="4" t="s">
        <v>595</v>
      </c>
      <c r="F258" s="11"/>
      <c r="G258" s="11"/>
      <c r="H258" s="14">
        <f>'II-I TOTAL COMPANY'!K258</f>
        <v>-3696803.1100000008</v>
      </c>
      <c r="I258" s="66">
        <v>0</v>
      </c>
      <c r="J258" s="66">
        <f t="shared" si="172"/>
        <v>-3696803.1100000017</v>
      </c>
      <c r="K258" s="66">
        <f t="shared" si="173"/>
        <v>-2149159.1544655166</v>
      </c>
      <c r="L258" s="66">
        <f t="shared" si="173"/>
        <v>-89666.727663535174</v>
      </c>
      <c r="M258" s="9">
        <f>SUM(N258:O258)</f>
        <v>-1043655.2276594917</v>
      </c>
      <c r="N258" s="66">
        <f t="shared" si="174"/>
        <v>-136256.05981458604</v>
      </c>
      <c r="O258" s="66">
        <f t="shared" si="174"/>
        <v>-907399.16784490563</v>
      </c>
      <c r="P258" s="9">
        <f>SUM(Q258:S258)</f>
        <v>-225207.85259784636</v>
      </c>
      <c r="Q258" s="66">
        <f t="shared" si="175"/>
        <v>-183205.93885359526</v>
      </c>
      <c r="R258" s="66">
        <f t="shared" si="175"/>
        <v>-13257.838209558236</v>
      </c>
      <c r="S258" s="66">
        <f t="shared" si="175"/>
        <v>-28744.075534692853</v>
      </c>
      <c r="T258" s="66">
        <f t="shared" si="175"/>
        <v>0</v>
      </c>
      <c r="U258" s="66">
        <f t="shared" si="175"/>
        <v>-180751.38588101137</v>
      </c>
      <c r="V258" s="66">
        <f t="shared" si="175"/>
        <v>-8362.7617325998872</v>
      </c>
      <c r="W258" s="27" t="str">
        <f t="shared" si="171"/>
        <v>OK</v>
      </c>
    </row>
    <row r="259" spans="1:23" x14ac:dyDescent="0.2">
      <c r="A259" s="3">
        <f t="shared" si="168"/>
        <v>7</v>
      </c>
      <c r="B259" s="3"/>
      <c r="C259" s="3" t="s">
        <v>124</v>
      </c>
      <c r="D259" s="1"/>
      <c r="E259" s="4"/>
      <c r="F259" s="15"/>
      <c r="G259" s="15"/>
      <c r="H259" s="15">
        <f>SUM(H256:H258)</f>
        <v>-3696803.1100000008</v>
      </c>
      <c r="I259" s="15">
        <f t="shared" ref="I259:V259" si="176">SUM(I256:I258)</f>
        <v>0</v>
      </c>
      <c r="J259" s="66">
        <f t="shared" si="172"/>
        <v>-3696803.1100000017</v>
      </c>
      <c r="K259" s="15">
        <f t="shared" si="176"/>
        <v>-2149159.1544655166</v>
      </c>
      <c r="L259" s="15">
        <f t="shared" si="176"/>
        <v>-89666.727663535174</v>
      </c>
      <c r="M259" s="15">
        <f t="shared" si="176"/>
        <v>-1043655.2276594917</v>
      </c>
      <c r="N259" s="15">
        <f t="shared" si="176"/>
        <v>-136256.05981458604</v>
      </c>
      <c r="O259" s="15">
        <f t="shared" si="176"/>
        <v>-907399.16784490563</v>
      </c>
      <c r="P259" s="9">
        <f>SUM(Q259:S259)</f>
        <v>-225207.85259784636</v>
      </c>
      <c r="Q259" s="15">
        <f t="shared" si="176"/>
        <v>-183205.93885359526</v>
      </c>
      <c r="R259" s="15">
        <f t="shared" si="176"/>
        <v>-13257.838209558236</v>
      </c>
      <c r="S259" s="15">
        <f>SUM(S256:S258)</f>
        <v>-28744.075534692853</v>
      </c>
      <c r="T259" s="15">
        <f t="shared" si="176"/>
        <v>0</v>
      </c>
      <c r="U259" s="15">
        <f t="shared" si="176"/>
        <v>-180751.38588101137</v>
      </c>
      <c r="V259" s="15">
        <f t="shared" si="176"/>
        <v>-8362.7617325998872</v>
      </c>
      <c r="W259" s="27" t="str">
        <f t="shared" si="171"/>
        <v>OK</v>
      </c>
    </row>
    <row r="260" spans="1:23" x14ac:dyDescent="0.2">
      <c r="A260" s="3">
        <f t="shared" si="168"/>
        <v>8</v>
      </c>
      <c r="B260" s="7" t="s">
        <v>125</v>
      </c>
      <c r="C260" s="3"/>
      <c r="D260" s="1"/>
      <c r="E260" s="4"/>
      <c r="F260" s="4"/>
      <c r="G260" s="4"/>
      <c r="H260" s="14"/>
      <c r="I260" s="66"/>
      <c r="J260" s="66"/>
      <c r="K260" s="66"/>
      <c r="L260" s="6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27" t="str">
        <f t="shared" si="171"/>
        <v>OK</v>
      </c>
    </row>
    <row r="261" spans="1:23" x14ac:dyDescent="0.2">
      <c r="A261" s="3">
        <f t="shared" si="168"/>
        <v>9</v>
      </c>
      <c r="B261" s="3"/>
      <c r="C261" s="3"/>
      <c r="D261" s="1"/>
      <c r="E261" s="4"/>
      <c r="F261" s="4"/>
      <c r="G261" s="4"/>
      <c r="H261" s="14"/>
      <c r="I261" s="66"/>
      <c r="J261" s="66"/>
      <c r="K261" s="66"/>
      <c r="L261" s="6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27" t="str">
        <f t="shared" si="171"/>
        <v>OK</v>
      </c>
    </row>
    <row r="262" spans="1:23" x14ac:dyDescent="0.2">
      <c r="A262" s="3">
        <f t="shared" si="168"/>
        <v>10</v>
      </c>
      <c r="B262" s="3"/>
      <c r="C262" s="3" t="s">
        <v>126</v>
      </c>
      <c r="D262" s="1"/>
      <c r="E262" s="4"/>
      <c r="F262" s="4"/>
      <c r="G262" s="4"/>
      <c r="H262" s="8"/>
      <c r="I262" s="8"/>
      <c r="J262" s="8"/>
      <c r="K262" s="8"/>
      <c r="L262" s="8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27" t="str">
        <f t="shared" si="171"/>
        <v>OK</v>
      </c>
    </row>
    <row r="263" spans="1:23" x14ac:dyDescent="0.2">
      <c r="A263" s="3">
        <f t="shared" si="168"/>
        <v>11</v>
      </c>
      <c r="B263" s="3"/>
      <c r="C263" s="3"/>
      <c r="D263" s="1"/>
      <c r="E263" s="4"/>
      <c r="F263" s="4"/>
      <c r="G263" s="4"/>
      <c r="H263" s="14"/>
      <c r="I263" s="66"/>
      <c r="J263" s="66"/>
      <c r="K263" s="66"/>
      <c r="L263" s="66"/>
      <c r="M263" s="9"/>
      <c r="N263" s="66"/>
      <c r="O263" s="66"/>
      <c r="P263" s="9"/>
      <c r="Q263" s="66"/>
      <c r="R263" s="66"/>
      <c r="S263" s="66"/>
      <c r="T263" s="66"/>
      <c r="U263" s="66"/>
      <c r="V263" s="66"/>
      <c r="W263" s="27"/>
    </row>
    <row r="264" spans="1:23" x14ac:dyDescent="0.2">
      <c r="A264" s="3">
        <f t="shared" si="168"/>
        <v>12</v>
      </c>
      <c r="B264" s="3" t="s">
        <v>127</v>
      </c>
      <c r="C264" s="3" t="s">
        <v>558</v>
      </c>
      <c r="D264" s="1" t="s">
        <v>313</v>
      </c>
      <c r="E264" s="4" t="s">
        <v>595</v>
      </c>
      <c r="F264" s="11"/>
      <c r="G264" s="1"/>
      <c r="H264" s="14">
        <f>'II-I TOTAL COMPANY'!K264</f>
        <v>115238456.01426548</v>
      </c>
      <c r="I264" s="66">
        <v>0</v>
      </c>
      <c r="J264" s="66">
        <f t="shared" ref="J264:J266" si="177">SUM(K264:V264)-M264-P264</f>
        <v>115238456.01426546</v>
      </c>
      <c r="K264" s="66">
        <f>VLOOKUP($D264,$E$741:$V$815,K$1,FALSE)*$H264</f>
        <v>66897006.410921007</v>
      </c>
      <c r="L264" s="66">
        <f>VLOOKUP($D264,$E$741:$V$815,L$1,FALSE)*$H264</f>
        <v>2751247.631402046</v>
      </c>
      <c r="M264" s="9">
        <f>SUM(N264:O264)</f>
        <v>32722009.044616912</v>
      </c>
      <c r="N264" s="66">
        <f>VLOOKUP($D264,$E$741:$V$815,N$1,FALSE)*$H264</f>
        <v>4283460.8078196989</v>
      </c>
      <c r="O264" s="66">
        <f>VLOOKUP($D264,$E$741:$V$815,O$1,FALSE)*$H264</f>
        <v>28438548.236797214</v>
      </c>
      <c r="P264" s="9">
        <f>SUM(Q264:S264)</f>
        <v>7267951.9439297505</v>
      </c>
      <c r="Q264" s="66">
        <f t="shared" ref="Q264:V265" si="178">VLOOKUP($D264,$E$741:$V$815,Q$1,FALSE)*$H264</f>
        <v>5912433.7392374333</v>
      </c>
      <c r="R264" s="66">
        <f t="shared" si="178"/>
        <v>427862.34213540028</v>
      </c>
      <c r="S264" s="66">
        <f t="shared" si="178"/>
        <v>927655.86255691678</v>
      </c>
      <c r="T264" s="66">
        <f t="shared" si="178"/>
        <v>78.797413456669673</v>
      </c>
      <c r="U264" s="66">
        <f t="shared" si="178"/>
        <v>5330289.5512184342</v>
      </c>
      <c r="V264" s="66">
        <f t="shared" si="178"/>
        <v>269872.63476387464</v>
      </c>
      <c r="W264" s="27" t="str">
        <f t="shared" ref="W264:W327" si="179">IF((+K264+L264+M264+P264+T264+U264+V264)-H264=0,"OK",(+K264+L264+M264+P264+T264+U264+V264)-H264)</f>
        <v>OK</v>
      </c>
    </row>
    <row r="265" spans="1:23" x14ac:dyDescent="0.2">
      <c r="A265" s="3">
        <f t="shared" si="168"/>
        <v>13</v>
      </c>
      <c r="B265" s="3" t="s">
        <v>128</v>
      </c>
      <c r="C265" s="3" t="s">
        <v>559</v>
      </c>
      <c r="D265" s="1" t="s">
        <v>313</v>
      </c>
      <c r="E265" s="4" t="s">
        <v>595</v>
      </c>
      <c r="F265" s="11"/>
      <c r="G265" s="1"/>
      <c r="H265" s="14">
        <f>'II-I TOTAL COMPANY'!K265</f>
        <v>0</v>
      </c>
      <c r="I265" s="66">
        <v>0</v>
      </c>
      <c r="J265" s="66">
        <f t="shared" si="177"/>
        <v>0</v>
      </c>
      <c r="K265" s="66">
        <f>VLOOKUP($D265,$E$741:$V$815,K$1,FALSE)*$H265</f>
        <v>0</v>
      </c>
      <c r="L265" s="66">
        <f>VLOOKUP($D265,$E$741:$V$815,L$1,FALSE)*$H265</f>
        <v>0</v>
      </c>
      <c r="M265" s="9">
        <f>SUM(N265:O265)</f>
        <v>0</v>
      </c>
      <c r="N265" s="66">
        <f>VLOOKUP($D265,$E$741:$V$815,N$1,FALSE)*$H265</f>
        <v>0</v>
      </c>
      <c r="O265" s="66">
        <f>VLOOKUP($D265,$E$741:$V$815,O$1,FALSE)*$H265</f>
        <v>0</v>
      </c>
      <c r="P265" s="9">
        <f>SUM(Q265:S265)</f>
        <v>0</v>
      </c>
      <c r="Q265" s="66">
        <f t="shared" si="178"/>
        <v>0</v>
      </c>
      <c r="R265" s="66">
        <f t="shared" si="178"/>
        <v>0</v>
      </c>
      <c r="S265" s="66">
        <f t="shared" si="178"/>
        <v>0</v>
      </c>
      <c r="T265" s="66">
        <f t="shared" si="178"/>
        <v>0</v>
      </c>
      <c r="U265" s="66">
        <f t="shared" si="178"/>
        <v>0</v>
      </c>
      <c r="V265" s="66">
        <f t="shared" si="178"/>
        <v>0</v>
      </c>
      <c r="W265" s="27" t="str">
        <f t="shared" si="179"/>
        <v>OK</v>
      </c>
    </row>
    <row r="266" spans="1:23" x14ac:dyDescent="0.2">
      <c r="A266" s="3">
        <f t="shared" si="168"/>
        <v>14</v>
      </c>
      <c r="B266" s="3"/>
      <c r="C266" s="3" t="s">
        <v>129</v>
      </c>
      <c r="D266" s="1"/>
      <c r="E266" s="4"/>
      <c r="F266" s="15"/>
      <c r="G266" s="15"/>
      <c r="H266" s="15">
        <f t="shared" ref="H266:V266" si="180">SUM(H263:H265)</f>
        <v>115238456.01426548</v>
      </c>
      <c r="I266" s="15">
        <f t="shared" si="180"/>
        <v>0</v>
      </c>
      <c r="J266" s="66">
        <f t="shared" si="177"/>
        <v>115238456.01426546</v>
      </c>
      <c r="K266" s="15">
        <f t="shared" si="180"/>
        <v>66897006.410921007</v>
      </c>
      <c r="L266" s="15">
        <f t="shared" si="180"/>
        <v>2751247.631402046</v>
      </c>
      <c r="M266" s="9">
        <f>SUM(N266:O266)</f>
        <v>32722009.044616912</v>
      </c>
      <c r="N266" s="15">
        <f t="shared" si="180"/>
        <v>4283460.8078196989</v>
      </c>
      <c r="O266" s="15">
        <f t="shared" si="180"/>
        <v>28438548.236797214</v>
      </c>
      <c r="P266" s="9">
        <f>SUM(Q266:S266)</f>
        <v>7267951.9439297505</v>
      </c>
      <c r="Q266" s="15">
        <f t="shared" si="180"/>
        <v>5912433.7392374333</v>
      </c>
      <c r="R266" s="15">
        <f t="shared" si="180"/>
        <v>427862.34213540028</v>
      </c>
      <c r="S266" s="15">
        <f>SUM(S263:S265)</f>
        <v>927655.86255691678</v>
      </c>
      <c r="T266" s="15">
        <f t="shared" si="180"/>
        <v>78.797413456669673</v>
      </c>
      <c r="U266" s="15">
        <f t="shared" si="180"/>
        <v>5330289.5512184342</v>
      </c>
      <c r="V266" s="15">
        <f t="shared" si="180"/>
        <v>269872.63476387464</v>
      </c>
      <c r="W266" s="27" t="str">
        <f t="shared" si="179"/>
        <v>OK</v>
      </c>
    </row>
    <row r="267" spans="1:23" x14ac:dyDescent="0.2">
      <c r="A267" s="3">
        <f t="shared" si="168"/>
        <v>15</v>
      </c>
      <c r="B267" s="3"/>
      <c r="C267" s="3"/>
      <c r="D267" s="1"/>
      <c r="E267" s="4"/>
      <c r="F267" s="4"/>
      <c r="G267" s="4"/>
      <c r="H267" s="14"/>
      <c r="I267" s="66"/>
      <c r="J267" s="66"/>
      <c r="K267" s="66"/>
      <c r="L267" s="6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27" t="str">
        <f t="shared" si="179"/>
        <v>OK</v>
      </c>
    </row>
    <row r="268" spans="1:23" x14ac:dyDescent="0.2">
      <c r="A268" s="3">
        <f t="shared" si="168"/>
        <v>16</v>
      </c>
      <c r="B268" s="7" t="s">
        <v>130</v>
      </c>
      <c r="C268" s="3"/>
      <c r="D268" s="1"/>
      <c r="E268" s="4"/>
      <c r="F268" s="4"/>
      <c r="G268" s="4"/>
      <c r="H268" s="14"/>
      <c r="I268" s="66"/>
      <c r="J268" s="66"/>
      <c r="K268" s="66"/>
      <c r="L268" s="6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27" t="str">
        <f t="shared" si="179"/>
        <v>OK</v>
      </c>
    </row>
    <row r="269" spans="1:23" x14ac:dyDescent="0.2">
      <c r="A269" s="3">
        <f t="shared" si="168"/>
        <v>17</v>
      </c>
      <c r="B269" s="3"/>
      <c r="C269" s="3"/>
      <c r="D269" s="1"/>
      <c r="E269" s="4"/>
      <c r="F269" s="4"/>
      <c r="G269" s="4"/>
      <c r="H269" s="14"/>
      <c r="I269" s="66"/>
      <c r="J269" s="66"/>
      <c r="K269" s="66"/>
      <c r="L269" s="6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27" t="str">
        <f t="shared" si="179"/>
        <v>OK</v>
      </c>
    </row>
    <row r="270" spans="1:23" x14ac:dyDescent="0.2">
      <c r="A270" s="3">
        <f t="shared" si="168"/>
        <v>18</v>
      </c>
      <c r="B270" s="3"/>
      <c r="C270" s="3" t="s">
        <v>560</v>
      </c>
      <c r="D270" s="1" t="s">
        <v>476</v>
      </c>
      <c r="E270" s="4" t="s">
        <v>595</v>
      </c>
      <c r="F270" s="11"/>
      <c r="G270" s="11"/>
      <c r="H270" s="14">
        <f>'II-I TOTAL COMPANY'!K270</f>
        <v>-16416705.709646022</v>
      </c>
      <c r="I270" s="66">
        <v>0</v>
      </c>
      <c r="J270" s="66">
        <f t="shared" ref="J270:J271" si="181">SUM(K270:V270)-M270-P270</f>
        <v>-16416705.709646024</v>
      </c>
      <c r="K270" s="66">
        <f>VLOOKUP($D270,$E$741:$V$815,K$1,FALSE)*$H270</f>
        <v>-9449452.8185732476</v>
      </c>
      <c r="L270" s="66">
        <f>VLOOKUP($D270,$E$741:$V$815,L$1,FALSE)*$H270</f>
        <v>-352463.1870157721</v>
      </c>
      <c r="M270" s="9">
        <f>SUM(N270:O270)</f>
        <v>-4843118.4818287902</v>
      </c>
      <c r="N270" s="66">
        <f>VLOOKUP($D270,$E$741:$V$815,N$1,FALSE)*$H270</f>
        <v>-643964.50353377871</v>
      </c>
      <c r="O270" s="66">
        <f>VLOOKUP($D270,$E$741:$V$815,O$1,FALSE)*$H270</f>
        <v>-4199153.9782950114</v>
      </c>
      <c r="P270" s="9">
        <f>SUM(Q270:S270)</f>
        <v>-1240918.0401867265</v>
      </c>
      <c r="Q270" s="66">
        <f t="shared" ref="Q270:V271" si="182">VLOOKUP($D270,$E$741:$V$815,Q$1,FALSE)*$H270</f>
        <v>-1008991.1826366467</v>
      </c>
      <c r="R270" s="66">
        <f t="shared" si="182"/>
        <v>-73108.72006416379</v>
      </c>
      <c r="S270" s="66">
        <f t="shared" si="182"/>
        <v>-158818.13748591597</v>
      </c>
      <c r="T270" s="66">
        <f t="shared" si="182"/>
        <v>-1601.2038522738294</v>
      </c>
      <c r="U270" s="66">
        <f t="shared" si="182"/>
        <v>-483317.18838823814</v>
      </c>
      <c r="V270" s="66">
        <f t="shared" si="182"/>
        <v>-45834.78980097358</v>
      </c>
      <c r="W270" s="27">
        <f t="shared" si="179"/>
        <v>1.862645149230957E-9</v>
      </c>
    </row>
    <row r="271" spans="1:23" x14ac:dyDescent="0.2">
      <c r="A271" s="3">
        <f t="shared" si="168"/>
        <v>19</v>
      </c>
      <c r="B271" s="3"/>
      <c r="C271" s="3" t="s">
        <v>134</v>
      </c>
      <c r="D271" s="1" t="s">
        <v>345</v>
      </c>
      <c r="E271" s="4"/>
      <c r="F271" s="4"/>
      <c r="G271" s="11"/>
      <c r="H271" s="14">
        <f>'II-I TOTAL COMPANY'!K271</f>
        <v>-42130</v>
      </c>
      <c r="I271" s="66">
        <v>0</v>
      </c>
      <c r="J271" s="66">
        <f t="shared" si="181"/>
        <v>-42129.999999999993</v>
      </c>
      <c r="K271" s="66">
        <f>VLOOKUP($D271,$E$741:$V$815,K$1,FALSE)*$H271</f>
        <v>-29633.467435702085</v>
      </c>
      <c r="L271" s="66">
        <f>VLOOKUP($D271,$E$741:$V$815,L$1,FALSE)*$H271</f>
        <v>-3148.4596703897546</v>
      </c>
      <c r="M271" s="9">
        <f>SUM(N271:O271)</f>
        <v>-2294.3141142166514</v>
      </c>
      <c r="N271" s="66">
        <f>VLOOKUP($D271,$E$741:$V$815,N$1,FALSE)*$H271</f>
        <v>-18.250838014456644</v>
      </c>
      <c r="O271" s="66">
        <f>VLOOKUP($D271,$E$741:$V$815,O$1,FALSE)*$H271</f>
        <v>-2276.0632762021946</v>
      </c>
      <c r="P271" s="9">
        <f>SUM(Q271:S271)</f>
        <v>-34.410434173090131</v>
      </c>
      <c r="Q271" s="66">
        <f t="shared" si="182"/>
        <v>-14.86049136941001</v>
      </c>
      <c r="R271" s="66">
        <f t="shared" si="182"/>
        <v>-17.427015465192977</v>
      </c>
      <c r="S271" s="66">
        <f t="shared" si="182"/>
        <v>-2.1229273384871439</v>
      </c>
      <c r="T271" s="66">
        <f t="shared" si="182"/>
        <v>-3.8973143676704289</v>
      </c>
      <c r="U271" s="66">
        <f t="shared" si="182"/>
        <v>-7014.8490069801319</v>
      </c>
      <c r="V271" s="66">
        <f t="shared" si="182"/>
        <v>-0.6020241706157573</v>
      </c>
      <c r="W271" s="27" t="str">
        <f t="shared" si="179"/>
        <v>OK</v>
      </c>
    </row>
    <row r="272" spans="1:23" x14ac:dyDescent="0.2">
      <c r="A272" s="3">
        <f t="shared" si="168"/>
        <v>20</v>
      </c>
      <c r="B272" s="3"/>
      <c r="C272" s="3"/>
      <c r="D272" s="1"/>
      <c r="E272" s="4"/>
      <c r="F272" s="4"/>
      <c r="G272" s="4"/>
      <c r="H272" s="14"/>
      <c r="I272" s="66"/>
      <c r="J272" s="66"/>
      <c r="K272" s="66"/>
      <c r="L272" s="6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27" t="str">
        <f t="shared" si="179"/>
        <v>OK</v>
      </c>
    </row>
    <row r="273" spans="1:23" x14ac:dyDescent="0.2">
      <c r="A273" s="3">
        <f t="shared" si="168"/>
        <v>21</v>
      </c>
      <c r="B273" s="3"/>
      <c r="C273" s="3"/>
      <c r="D273" s="1"/>
      <c r="E273" s="4"/>
      <c r="F273" s="4"/>
      <c r="G273" s="4"/>
      <c r="H273" s="14"/>
      <c r="I273" s="66"/>
      <c r="J273" s="66"/>
      <c r="K273" s="66"/>
      <c r="L273" s="6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27" t="str">
        <f t="shared" si="179"/>
        <v>OK</v>
      </c>
    </row>
    <row r="274" spans="1:23" x14ac:dyDescent="0.2">
      <c r="A274" s="3">
        <f t="shared" si="168"/>
        <v>22</v>
      </c>
      <c r="B274" s="7" t="s">
        <v>131</v>
      </c>
      <c r="C274" s="3"/>
      <c r="D274" s="1"/>
      <c r="E274" s="4"/>
      <c r="F274" s="4"/>
      <c r="G274" s="4"/>
      <c r="H274" s="14"/>
      <c r="I274" s="66"/>
      <c r="J274" s="66"/>
      <c r="K274" s="66"/>
      <c r="L274" s="6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27" t="str">
        <f t="shared" si="179"/>
        <v>OK</v>
      </c>
    </row>
    <row r="275" spans="1:23" x14ac:dyDescent="0.2">
      <c r="A275" s="3">
        <f t="shared" si="168"/>
        <v>23</v>
      </c>
      <c r="B275" s="3"/>
      <c r="C275" s="3"/>
      <c r="D275" s="1"/>
      <c r="E275" s="4"/>
      <c r="F275" s="4"/>
      <c r="G275" s="4"/>
      <c r="H275" s="14"/>
      <c r="I275" s="66"/>
      <c r="J275" s="66"/>
      <c r="K275" s="66"/>
      <c r="L275" s="6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27" t="str">
        <f t="shared" si="179"/>
        <v>OK</v>
      </c>
    </row>
    <row r="276" spans="1:23" x14ac:dyDescent="0.2">
      <c r="A276" s="3">
        <f t="shared" si="168"/>
        <v>24</v>
      </c>
      <c r="B276" s="3" t="s">
        <v>132</v>
      </c>
      <c r="C276" s="3" t="s">
        <v>561</v>
      </c>
      <c r="D276" s="1" t="s">
        <v>313</v>
      </c>
      <c r="E276" s="4" t="s">
        <v>595</v>
      </c>
      <c r="F276" s="11"/>
      <c r="G276" s="1"/>
      <c r="H276" s="14">
        <f>'II-I TOTAL COMPANY'!K276</f>
        <v>57619309.015125185</v>
      </c>
      <c r="I276" s="66">
        <v>0</v>
      </c>
      <c r="J276" s="66">
        <f t="shared" ref="J276" si="183">SUM(K276:V276)-M276-P276</f>
        <v>57619309.015125178</v>
      </c>
      <c r="K276" s="66">
        <f>VLOOKUP($D276,$E$741:$V$815,K$1,FALSE)*$H276</f>
        <v>33448550.23136121</v>
      </c>
      <c r="L276" s="66">
        <f>VLOOKUP($D276,$E$741:$V$815,L$1,FALSE)*$H276</f>
        <v>1375625.7497172798</v>
      </c>
      <c r="M276" s="9">
        <f>SUM(N276:O276)</f>
        <v>16361027.524562679</v>
      </c>
      <c r="N276" s="66">
        <f>VLOOKUP($D276,$E$741:$V$815,N$1,FALSE)*$H276</f>
        <v>2141733.4150102474</v>
      </c>
      <c r="O276" s="66">
        <f>VLOOKUP($D276,$E$741:$V$815,O$1,FALSE)*$H276</f>
        <v>14219294.109552432</v>
      </c>
      <c r="P276" s="9">
        <f>SUM(Q276:S276)</f>
        <v>3633981.0810423177</v>
      </c>
      <c r="Q276" s="66">
        <f t="shared" ref="Q276:V276" si="184">VLOOKUP($D276,$E$741:$V$815,Q$1,FALSE)*$H276</f>
        <v>2956221.0258214655</v>
      </c>
      <c r="R276" s="66">
        <f t="shared" si="184"/>
        <v>213931.47183769115</v>
      </c>
      <c r="S276" s="66">
        <f t="shared" si="184"/>
        <v>463828.58338316117</v>
      </c>
      <c r="T276" s="66">
        <f t="shared" si="184"/>
        <v>39.398762119742308</v>
      </c>
      <c r="U276" s="66">
        <f t="shared" si="184"/>
        <v>2665148.5225880528</v>
      </c>
      <c r="V276" s="66">
        <f t="shared" si="184"/>
        <v>134936.5070915283</v>
      </c>
      <c r="W276" s="27">
        <f t="shared" si="179"/>
        <v>7.4505805969238281E-9</v>
      </c>
    </row>
    <row r="277" spans="1:23" x14ac:dyDescent="0.2">
      <c r="A277" s="3">
        <f t="shared" si="168"/>
        <v>25</v>
      </c>
      <c r="B277" s="3"/>
      <c r="C277" s="3"/>
      <c r="D277" s="1"/>
      <c r="E277" s="4"/>
      <c r="F277" s="4"/>
      <c r="G277" s="4"/>
      <c r="H277" s="14"/>
      <c r="I277" s="66"/>
      <c r="J277" s="66"/>
      <c r="K277" s="66"/>
      <c r="L277" s="6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27" t="str">
        <f t="shared" si="179"/>
        <v>OK</v>
      </c>
    </row>
    <row r="278" spans="1:23" x14ac:dyDescent="0.2">
      <c r="A278" s="3">
        <f t="shared" si="168"/>
        <v>26</v>
      </c>
      <c r="B278" s="3"/>
      <c r="C278" s="3"/>
      <c r="D278" s="1"/>
      <c r="E278" s="4"/>
      <c r="F278" s="4"/>
      <c r="G278" s="4"/>
      <c r="H278" s="14"/>
      <c r="I278" s="66"/>
      <c r="J278" s="66"/>
      <c r="K278" s="66"/>
      <c r="L278" s="6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27" t="str">
        <f t="shared" si="179"/>
        <v>OK</v>
      </c>
    </row>
    <row r="279" spans="1:23" x14ac:dyDescent="0.2">
      <c r="A279" s="3">
        <f t="shared" si="168"/>
        <v>27</v>
      </c>
      <c r="B279" s="3"/>
      <c r="C279" s="3"/>
      <c r="D279" s="1"/>
      <c r="E279" s="4"/>
      <c r="F279" s="4"/>
      <c r="G279" s="4"/>
      <c r="H279" s="14"/>
      <c r="I279" s="66"/>
      <c r="J279" s="66"/>
      <c r="K279" s="66"/>
      <c r="L279" s="6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27" t="str">
        <f t="shared" si="179"/>
        <v>OK</v>
      </c>
    </row>
    <row r="280" spans="1:23" x14ac:dyDescent="0.2">
      <c r="A280" s="3">
        <f t="shared" si="168"/>
        <v>28</v>
      </c>
      <c r="B280" s="7" t="s">
        <v>133</v>
      </c>
      <c r="C280" s="3"/>
      <c r="D280" s="1"/>
      <c r="E280" s="4"/>
      <c r="F280" s="4"/>
      <c r="G280" s="4"/>
      <c r="H280" s="14"/>
      <c r="I280" s="76"/>
      <c r="J280" s="76"/>
      <c r="K280" s="76"/>
      <c r="L280" s="76"/>
      <c r="M280" s="45"/>
      <c r="N280" s="76"/>
      <c r="O280" s="76"/>
      <c r="P280" s="9"/>
      <c r="Q280" s="76"/>
      <c r="R280" s="76"/>
      <c r="S280" s="76"/>
      <c r="T280" s="76"/>
      <c r="U280" s="76"/>
      <c r="V280" s="76"/>
      <c r="W280" s="27" t="str">
        <f t="shared" si="179"/>
        <v>OK</v>
      </c>
    </row>
    <row r="281" spans="1:23" x14ac:dyDescent="0.2">
      <c r="A281" s="3">
        <f t="shared" si="168"/>
        <v>29</v>
      </c>
      <c r="B281" s="7" t="s">
        <v>584</v>
      </c>
      <c r="C281" s="7"/>
      <c r="D281" s="1"/>
      <c r="E281" s="4"/>
      <c r="F281" s="4"/>
      <c r="G281" s="4"/>
      <c r="H281" s="47"/>
      <c r="I281" s="46"/>
      <c r="J281" s="46"/>
      <c r="K281" s="46"/>
      <c r="L281" s="46"/>
      <c r="M281" s="46"/>
      <c r="N281" s="46"/>
      <c r="O281" s="46"/>
      <c r="P281" s="9"/>
      <c r="Q281" s="46"/>
      <c r="R281" s="46"/>
      <c r="S281" s="46"/>
      <c r="T281" s="46"/>
      <c r="U281" s="46"/>
      <c r="V281" s="46"/>
      <c r="W281" s="27" t="str">
        <f t="shared" si="179"/>
        <v>OK</v>
      </c>
    </row>
    <row r="282" spans="1:23" x14ac:dyDescent="0.2">
      <c r="A282" s="3">
        <f t="shared" si="168"/>
        <v>30</v>
      </c>
      <c r="B282" s="140" t="s">
        <v>803</v>
      </c>
      <c r="C282" s="140" t="s">
        <v>804</v>
      </c>
      <c r="D282" s="141" t="s">
        <v>331</v>
      </c>
      <c r="E282" s="4" t="s">
        <v>595</v>
      </c>
      <c r="F282" s="4"/>
      <c r="G282" s="4"/>
      <c r="H282" s="14">
        <f>'II-I TOTAL COMPANY'!K282</f>
        <v>-37113914.470681794</v>
      </c>
      <c r="I282" s="66">
        <v>0</v>
      </c>
      <c r="J282" s="66">
        <f t="shared" ref="J282:J292" si="185">SUM(K282:V282)-M282-P282</f>
        <v>-37113914.470681801</v>
      </c>
      <c r="K282" s="66">
        <f t="shared" ref="K282:L291" si="186">VLOOKUP($D282,$E$741:$V$815,K$1,FALSE)*$H282</f>
        <v>-21576401.736665919</v>
      </c>
      <c r="L282" s="66">
        <f t="shared" si="186"/>
        <v>-900205.708107176</v>
      </c>
      <c r="M282" s="9">
        <f>SUM(N282:O282)</f>
        <v>-10477737.034860454</v>
      </c>
      <c r="N282" s="66">
        <f t="shared" ref="N282:O291" si="187">VLOOKUP($D282,$E$741:$V$815,N$1,FALSE)*$H282</f>
        <v>-1367937.5394354309</v>
      </c>
      <c r="O282" s="66">
        <f t="shared" si="187"/>
        <v>-9109799.4954250231</v>
      </c>
      <c r="P282" s="9">
        <f t="shared" ref="P282:P291" si="188">SUM(Q282:S282)</f>
        <v>-2260965.6859551766</v>
      </c>
      <c r="Q282" s="66">
        <f t="shared" ref="Q282:V291" si="189">VLOOKUP($D282,$E$741:$V$815,Q$1,FALSE)*$H282</f>
        <v>-1839289.0675568846</v>
      </c>
      <c r="R282" s="66">
        <f t="shared" si="189"/>
        <v>-133101.56336015454</v>
      </c>
      <c r="S282" s="66">
        <f t="shared" si="189"/>
        <v>-288575.05503813736</v>
      </c>
      <c r="T282" s="66">
        <f t="shared" si="189"/>
        <v>0</v>
      </c>
      <c r="U282" s="66">
        <f t="shared" si="189"/>
        <v>-1814646.6761777464</v>
      </c>
      <c r="V282" s="66">
        <f t="shared" si="189"/>
        <v>-83957.628915325928</v>
      </c>
      <c r="W282" s="27">
        <f t="shared" si="179"/>
        <v>-7.4505805969238281E-9</v>
      </c>
    </row>
    <row r="283" spans="1:23" x14ac:dyDescent="0.2">
      <c r="A283" s="3">
        <f t="shared" si="168"/>
        <v>31</v>
      </c>
      <c r="B283" s="140" t="s">
        <v>666</v>
      </c>
      <c r="C283" s="140" t="s">
        <v>667</v>
      </c>
      <c r="D283" s="141" t="s">
        <v>331</v>
      </c>
      <c r="E283" s="4" t="s">
        <v>595</v>
      </c>
      <c r="F283" s="11"/>
      <c r="G283" s="11"/>
      <c r="H283" s="14">
        <f>'II-I TOTAL COMPANY'!K283</f>
        <v>-70298.504458301148</v>
      </c>
      <c r="I283" s="66">
        <v>0</v>
      </c>
      <c r="J283" s="66">
        <f t="shared" si="185"/>
        <v>-70298.504458301162</v>
      </c>
      <c r="K283" s="66">
        <f t="shared" si="186"/>
        <v>-40868.466592961944</v>
      </c>
      <c r="L283" s="66">
        <f t="shared" si="186"/>
        <v>-1705.1048343270575</v>
      </c>
      <c r="M283" s="9">
        <f t="shared" ref="M283:M291" si="190">SUM(N283:O283)</f>
        <v>-19846.175057602693</v>
      </c>
      <c r="N283" s="66">
        <f t="shared" si="187"/>
        <v>-2591.0487908960408</v>
      </c>
      <c r="O283" s="66">
        <f t="shared" si="187"/>
        <v>-17255.126266706651</v>
      </c>
      <c r="P283" s="9">
        <f t="shared" si="188"/>
        <v>-4282.5584048738056</v>
      </c>
      <c r="Q283" s="66">
        <f t="shared" si="189"/>
        <v>-3483.8489164998323</v>
      </c>
      <c r="R283" s="66">
        <f t="shared" si="189"/>
        <v>-252.11139753722637</v>
      </c>
      <c r="S283" s="66">
        <f t="shared" si="189"/>
        <v>-546.59809083674736</v>
      </c>
      <c r="T283" s="66">
        <f t="shared" si="189"/>
        <v>0</v>
      </c>
      <c r="U283" s="66">
        <f t="shared" si="189"/>
        <v>-3437.1730730881109</v>
      </c>
      <c r="V283" s="66">
        <f t="shared" si="189"/>
        <v>-159.02649544754445</v>
      </c>
      <c r="W283" s="27">
        <f t="shared" si="179"/>
        <v>-1.4551915228366852E-11</v>
      </c>
    </row>
    <row r="284" spans="1:23" x14ac:dyDescent="0.2">
      <c r="A284" s="3">
        <f t="shared" si="168"/>
        <v>32</v>
      </c>
      <c r="B284" s="140" t="s">
        <v>662</v>
      </c>
      <c r="C284" s="140" t="s">
        <v>663</v>
      </c>
      <c r="D284" s="141" t="s">
        <v>331</v>
      </c>
      <c r="E284" s="4" t="s">
        <v>595</v>
      </c>
      <c r="F284" s="11"/>
      <c r="G284" s="11"/>
      <c r="H284" s="14">
        <f>'II-I TOTAL COMPANY'!K284</f>
        <v>-213742334.75001609</v>
      </c>
      <c r="I284" s="66">
        <v>0</v>
      </c>
      <c r="J284" s="66">
        <f t="shared" si="185"/>
        <v>-213742334.75001615</v>
      </c>
      <c r="K284" s="66">
        <f t="shared" si="186"/>
        <v>-124260416.84022224</v>
      </c>
      <c r="L284" s="66">
        <f t="shared" si="186"/>
        <v>-5184364.7470308086</v>
      </c>
      <c r="M284" s="9">
        <f t="shared" si="190"/>
        <v>-60342219.587128431</v>
      </c>
      <c r="N284" s="66">
        <f t="shared" si="187"/>
        <v>-7878073.968783115</v>
      </c>
      <c r="O284" s="66">
        <f t="shared" si="187"/>
        <v>-52464145.618345313</v>
      </c>
      <c r="P284" s="9">
        <f t="shared" si="188"/>
        <v>-13021102.500181878</v>
      </c>
      <c r="Q284" s="66">
        <f t="shared" si="189"/>
        <v>-10592629.346342474</v>
      </c>
      <c r="R284" s="66">
        <f t="shared" si="189"/>
        <v>-766543.74288517353</v>
      </c>
      <c r="S284" s="66">
        <f t="shared" si="189"/>
        <v>-1661929.4109542302</v>
      </c>
      <c r="T284" s="66">
        <f t="shared" si="189"/>
        <v>0</v>
      </c>
      <c r="U284" s="66">
        <f t="shared" si="189"/>
        <v>-10450711.622428941</v>
      </c>
      <c r="V284" s="66">
        <f t="shared" si="189"/>
        <v>-483519.45302382874</v>
      </c>
      <c r="W284" s="27">
        <f t="shared" si="179"/>
        <v>-5.9604644775390625E-8</v>
      </c>
    </row>
    <row r="285" spans="1:23" x14ac:dyDescent="0.2">
      <c r="A285" s="3">
        <f t="shared" si="168"/>
        <v>33</v>
      </c>
      <c r="B285" s="140" t="s">
        <v>666</v>
      </c>
      <c r="C285" s="140" t="s">
        <v>650</v>
      </c>
      <c r="D285" s="141" t="s">
        <v>331</v>
      </c>
      <c r="E285" s="4" t="s">
        <v>595</v>
      </c>
      <c r="F285" s="11"/>
      <c r="G285" s="11"/>
      <c r="H285" s="14">
        <f>'II-I TOTAL COMPANY'!K285</f>
        <v>-7513138.1799999997</v>
      </c>
      <c r="I285" s="66">
        <v>0</v>
      </c>
      <c r="J285" s="66">
        <f t="shared" si="185"/>
        <v>-7513138.1800000025</v>
      </c>
      <c r="K285" s="66">
        <f t="shared" si="186"/>
        <v>-4367808.9467716841</v>
      </c>
      <c r="L285" s="66">
        <f t="shared" si="186"/>
        <v>-182232.72785673675</v>
      </c>
      <c r="M285" s="9">
        <f t="shared" si="190"/>
        <v>-2121055.8702665442</v>
      </c>
      <c r="N285" s="66">
        <f t="shared" si="187"/>
        <v>-276917.80567922373</v>
      </c>
      <c r="O285" s="66">
        <f t="shared" si="187"/>
        <v>-1844138.0645873204</v>
      </c>
      <c r="P285" s="9">
        <f t="shared" si="188"/>
        <v>-457697.54716222663</v>
      </c>
      <c r="Q285" s="66">
        <f t="shared" si="189"/>
        <v>-372335.63515469222</v>
      </c>
      <c r="R285" s="66">
        <f t="shared" si="189"/>
        <v>-26944.353667916817</v>
      </c>
      <c r="S285" s="66">
        <f t="shared" si="189"/>
        <v>-58417.558339617586</v>
      </c>
      <c r="T285" s="66">
        <f t="shared" si="189"/>
        <v>0</v>
      </c>
      <c r="U285" s="66">
        <f t="shared" si="189"/>
        <v>-367347.1640069409</v>
      </c>
      <c r="V285" s="66">
        <f t="shared" si="189"/>
        <v>-16995.923935867697</v>
      </c>
      <c r="W285" s="27">
        <f t="shared" si="179"/>
        <v>-9.3132257461547852E-10</v>
      </c>
    </row>
    <row r="286" spans="1:23" x14ac:dyDescent="0.2">
      <c r="A286" s="3">
        <f t="shared" si="168"/>
        <v>34</v>
      </c>
      <c r="B286" s="140" t="s">
        <v>676</v>
      </c>
      <c r="C286" s="140" t="s">
        <v>651</v>
      </c>
      <c r="D286" s="141" t="s">
        <v>331</v>
      </c>
      <c r="E286" s="4" t="s">
        <v>595</v>
      </c>
      <c r="F286" s="11"/>
      <c r="G286" s="11"/>
      <c r="H286" s="14">
        <f>'II-I TOTAL COMPANY'!K286</f>
        <v>-27072127.530000009</v>
      </c>
      <c r="I286" s="66">
        <v>0</v>
      </c>
      <c r="J286" s="66">
        <f t="shared" si="185"/>
        <v>-27072127.530000012</v>
      </c>
      <c r="K286" s="66">
        <f t="shared" si="186"/>
        <v>-15738547.328791184</v>
      </c>
      <c r="L286" s="66">
        <f t="shared" si="186"/>
        <v>-656640.07908308739</v>
      </c>
      <c r="M286" s="9">
        <f t="shared" si="190"/>
        <v>-7642810.985556908</v>
      </c>
      <c r="N286" s="66">
        <f t="shared" si="187"/>
        <v>-997819.28284403065</v>
      </c>
      <c r="O286" s="66">
        <f t="shared" si="187"/>
        <v>-6644991.7027128777</v>
      </c>
      <c r="P286" s="9">
        <f t="shared" si="188"/>
        <v>-1649223.8090240997</v>
      </c>
      <c r="Q286" s="66">
        <f t="shared" si="189"/>
        <v>-1341638.8142180266</v>
      </c>
      <c r="R286" s="66">
        <f t="shared" si="189"/>
        <v>-97088.72128201263</v>
      </c>
      <c r="S286" s="66">
        <f t="shared" si="189"/>
        <v>-210496.27352406061</v>
      </c>
      <c r="T286" s="66">
        <f t="shared" si="189"/>
        <v>0</v>
      </c>
      <c r="U286" s="66">
        <f t="shared" si="189"/>
        <v>-1323663.8317465009</v>
      </c>
      <c r="V286" s="66">
        <f t="shared" si="189"/>
        <v>-61241.495798229815</v>
      </c>
      <c r="W286" s="27" t="str">
        <f t="shared" si="179"/>
        <v>OK</v>
      </c>
    </row>
    <row r="287" spans="1:23" x14ac:dyDescent="0.2">
      <c r="A287" s="3">
        <f t="shared" si="168"/>
        <v>35</v>
      </c>
      <c r="B287" s="140" t="s">
        <v>664</v>
      </c>
      <c r="C287" s="140" t="s">
        <v>665</v>
      </c>
      <c r="D287" s="141" t="s">
        <v>331</v>
      </c>
      <c r="E287" s="4" t="s">
        <v>595</v>
      </c>
      <c r="F287" s="11"/>
      <c r="G287" s="11"/>
      <c r="H287" s="14">
        <f>'II-I TOTAL COMPANY'!K287</f>
        <v>-63727380.610169128</v>
      </c>
      <c r="I287" s="66">
        <v>0</v>
      </c>
      <c r="J287" s="66">
        <f t="shared" si="185"/>
        <v>-63727380.610169128</v>
      </c>
      <c r="K287" s="66">
        <f t="shared" si="186"/>
        <v>-37048303.453859955</v>
      </c>
      <c r="L287" s="66">
        <f t="shared" si="186"/>
        <v>-1545720.8598492241</v>
      </c>
      <c r="M287" s="9">
        <f t="shared" si="190"/>
        <v>-17991061.990544885</v>
      </c>
      <c r="N287" s="66">
        <f t="shared" si="187"/>
        <v>-2348851.5687399143</v>
      </c>
      <c r="O287" s="66">
        <f t="shared" si="187"/>
        <v>-15642210.42180497</v>
      </c>
      <c r="P287" s="9">
        <f t="shared" si="188"/>
        <v>-3882248.0158814345</v>
      </c>
      <c r="Q287" s="66">
        <f t="shared" si="189"/>
        <v>-3158197.5690792021</v>
      </c>
      <c r="R287" s="66">
        <f t="shared" si="189"/>
        <v>-228545.38813904015</v>
      </c>
      <c r="S287" s="66">
        <f t="shared" si="189"/>
        <v>-495505.05866319226</v>
      </c>
      <c r="T287" s="66">
        <f t="shared" si="189"/>
        <v>0</v>
      </c>
      <c r="U287" s="66">
        <f t="shared" si="189"/>
        <v>-3115884.7309709061</v>
      </c>
      <c r="V287" s="66">
        <f t="shared" si="189"/>
        <v>-144161.55906273035</v>
      </c>
      <c r="W287" s="27" t="str">
        <f t="shared" si="179"/>
        <v>OK</v>
      </c>
    </row>
    <row r="288" spans="1:23" s="132" customFormat="1" x14ac:dyDescent="0.2">
      <c r="A288" s="3">
        <f t="shared" si="168"/>
        <v>36</v>
      </c>
      <c r="B288" s="3" t="s">
        <v>675</v>
      </c>
      <c r="C288" s="3" t="s">
        <v>802</v>
      </c>
      <c r="D288" s="1" t="s">
        <v>331</v>
      </c>
      <c r="E288" s="4" t="s">
        <v>595</v>
      </c>
      <c r="F288" s="11"/>
      <c r="G288" s="11"/>
      <c r="H288" s="14">
        <f>'II-I TOTAL COMPANY'!K288</f>
        <v>13619332.575743353</v>
      </c>
      <c r="I288" s="66">
        <v>0</v>
      </c>
      <c r="J288" s="66">
        <f t="shared" si="185"/>
        <v>13619332.575743351</v>
      </c>
      <c r="K288" s="66">
        <f t="shared" si="186"/>
        <v>7917682.4980731113</v>
      </c>
      <c r="L288" s="66">
        <f t="shared" si="186"/>
        <v>330339.74185016629</v>
      </c>
      <c r="M288" s="9">
        <f t="shared" si="190"/>
        <v>3844913.352690768</v>
      </c>
      <c r="N288" s="66">
        <f t="shared" si="187"/>
        <v>501978.74727367517</v>
      </c>
      <c r="O288" s="66">
        <f t="shared" si="187"/>
        <v>3342934.6054170928</v>
      </c>
      <c r="P288" s="9">
        <f t="shared" si="188"/>
        <v>829684.60908892041</v>
      </c>
      <c r="Q288" s="66">
        <f t="shared" si="189"/>
        <v>674946.03765857965</v>
      </c>
      <c r="R288" s="66">
        <f t="shared" si="189"/>
        <v>48842.987424172388</v>
      </c>
      <c r="S288" s="66">
        <f t="shared" si="189"/>
        <v>105895.58400616846</v>
      </c>
      <c r="T288" s="66">
        <f t="shared" si="189"/>
        <v>0</v>
      </c>
      <c r="U288" s="66">
        <f t="shared" si="189"/>
        <v>665903.25873211434</v>
      </c>
      <c r="V288" s="66">
        <f t="shared" si="189"/>
        <v>30809.115308274431</v>
      </c>
      <c r="W288" s="27" t="str">
        <f t="shared" si="179"/>
        <v>OK</v>
      </c>
    </row>
    <row r="289" spans="1:23" x14ac:dyDescent="0.2">
      <c r="A289" s="3">
        <f t="shared" si="168"/>
        <v>37</v>
      </c>
      <c r="B289" s="140" t="s">
        <v>675</v>
      </c>
      <c r="C289" s="140" t="s">
        <v>661</v>
      </c>
      <c r="D289" s="141" t="s">
        <v>331</v>
      </c>
      <c r="E289" s="4" t="s">
        <v>595</v>
      </c>
      <c r="F289" s="11"/>
      <c r="G289" s="11"/>
      <c r="H289" s="14">
        <f>'II-I TOTAL COMPANY'!K289</f>
        <v>28387998.447314709</v>
      </c>
      <c r="I289" s="66">
        <v>0</v>
      </c>
      <c r="J289" s="66">
        <f t="shared" si="185"/>
        <v>28387998.447314713</v>
      </c>
      <c r="K289" s="66">
        <f t="shared" si="186"/>
        <v>16503536.954663314</v>
      </c>
      <c r="L289" s="66">
        <f t="shared" si="186"/>
        <v>688556.80163291865</v>
      </c>
      <c r="M289" s="9">
        <f t="shared" si="190"/>
        <v>8014298.3277055081</v>
      </c>
      <c r="N289" s="66">
        <f t="shared" si="187"/>
        <v>1046319.4006709458</v>
      </c>
      <c r="O289" s="66">
        <f t="shared" si="187"/>
        <v>6967978.9270345625</v>
      </c>
      <c r="P289" s="9">
        <f t="shared" si="188"/>
        <v>1729386.169519518</v>
      </c>
      <c r="Q289" s="66">
        <f t="shared" si="189"/>
        <v>1406850.663387019</v>
      </c>
      <c r="R289" s="66">
        <f t="shared" si="189"/>
        <v>101807.82673808365</v>
      </c>
      <c r="S289" s="66">
        <f t="shared" si="189"/>
        <v>220727.67939441526</v>
      </c>
      <c r="T289" s="66">
        <f t="shared" si="189"/>
        <v>0</v>
      </c>
      <c r="U289" s="66">
        <f t="shared" si="189"/>
        <v>1388001.9868680893</v>
      </c>
      <c r="V289" s="66">
        <f t="shared" si="189"/>
        <v>64218.206925363789</v>
      </c>
      <c r="W289" s="27">
        <f t="shared" si="179"/>
        <v>3.7252902984619141E-9</v>
      </c>
    </row>
    <row r="290" spans="1:23" x14ac:dyDescent="0.2">
      <c r="A290" s="3">
        <f t="shared" si="168"/>
        <v>38</v>
      </c>
      <c r="B290" s="140" t="s">
        <v>675</v>
      </c>
      <c r="C290" s="140" t="s">
        <v>660</v>
      </c>
      <c r="D290" s="141" t="s">
        <v>331</v>
      </c>
      <c r="E290" s="4" t="s">
        <v>595</v>
      </c>
      <c r="F290" s="4"/>
      <c r="G290" s="4"/>
      <c r="H290" s="14">
        <f>'II-I TOTAL COMPANY'!K290</f>
        <v>40480846.273665443</v>
      </c>
      <c r="I290" s="66">
        <v>0</v>
      </c>
      <c r="J290" s="66">
        <f t="shared" si="185"/>
        <v>40480846.273665458</v>
      </c>
      <c r="K290" s="66">
        <f t="shared" si="186"/>
        <v>23533788.184234504</v>
      </c>
      <c r="L290" s="66">
        <f t="shared" si="186"/>
        <v>981871.3386686669</v>
      </c>
      <c r="M290" s="9">
        <f t="shared" si="190"/>
        <v>11428265.335340291</v>
      </c>
      <c r="N290" s="66">
        <f t="shared" si="187"/>
        <v>1492035.2659002228</v>
      </c>
      <c r="O290" s="66">
        <f t="shared" si="187"/>
        <v>9936230.0694400687</v>
      </c>
      <c r="P290" s="9">
        <f t="shared" si="188"/>
        <v>2466077.9028168805</v>
      </c>
      <c r="Q290" s="66">
        <f t="shared" si="189"/>
        <v>2006147.2646713227</v>
      </c>
      <c r="R290" s="66">
        <f t="shared" si="189"/>
        <v>145176.38470669181</v>
      </c>
      <c r="S290" s="66">
        <f t="shared" si="189"/>
        <v>314754.25343886623</v>
      </c>
      <c r="T290" s="66">
        <f t="shared" si="189"/>
        <v>0</v>
      </c>
      <c r="U290" s="66">
        <f t="shared" si="189"/>
        <v>1979269.3437766563</v>
      </c>
      <c r="V290" s="66">
        <f t="shared" si="189"/>
        <v>91574.168828447015</v>
      </c>
      <c r="W290" s="27">
        <f t="shared" si="179"/>
        <v>7.4505805969238281E-9</v>
      </c>
    </row>
    <row r="291" spans="1:23" x14ac:dyDescent="0.2">
      <c r="A291" s="3">
        <f t="shared" si="168"/>
        <v>39</v>
      </c>
      <c r="B291" s="140" t="s">
        <v>675</v>
      </c>
      <c r="C291" s="140" t="s">
        <v>659</v>
      </c>
      <c r="D291" s="141" t="s">
        <v>331</v>
      </c>
      <c r="E291" s="4" t="s">
        <v>595</v>
      </c>
      <c r="F291" s="4"/>
      <c r="G291" s="4"/>
      <c r="H291" s="14">
        <f>'II-I TOTAL COMPANY'!K291</f>
        <v>0</v>
      </c>
      <c r="I291" s="66">
        <v>0</v>
      </c>
      <c r="J291" s="66">
        <f t="shared" si="185"/>
        <v>0</v>
      </c>
      <c r="K291" s="66">
        <f t="shared" si="186"/>
        <v>0</v>
      </c>
      <c r="L291" s="66">
        <f t="shared" si="186"/>
        <v>0</v>
      </c>
      <c r="M291" s="9">
        <f t="shared" si="190"/>
        <v>0</v>
      </c>
      <c r="N291" s="66">
        <f t="shared" si="187"/>
        <v>0</v>
      </c>
      <c r="O291" s="66">
        <f t="shared" si="187"/>
        <v>0</v>
      </c>
      <c r="P291" s="9">
        <f t="shared" si="188"/>
        <v>0</v>
      </c>
      <c r="Q291" s="66">
        <f t="shared" si="189"/>
        <v>0</v>
      </c>
      <c r="R291" s="66">
        <f t="shared" si="189"/>
        <v>0</v>
      </c>
      <c r="S291" s="66">
        <f t="shared" si="189"/>
        <v>0</v>
      </c>
      <c r="T291" s="66">
        <f t="shared" si="189"/>
        <v>0</v>
      </c>
      <c r="U291" s="66">
        <f t="shared" si="189"/>
        <v>0</v>
      </c>
      <c r="V291" s="66">
        <f t="shared" si="189"/>
        <v>0</v>
      </c>
      <c r="W291" s="27" t="str">
        <f t="shared" si="179"/>
        <v>OK</v>
      </c>
    </row>
    <row r="292" spans="1:23" x14ac:dyDescent="0.2">
      <c r="A292" s="3">
        <f t="shared" si="168"/>
        <v>40</v>
      </c>
      <c r="B292" s="3"/>
      <c r="C292" s="3" t="s">
        <v>135</v>
      </c>
      <c r="D292" s="3"/>
      <c r="E292" s="4"/>
      <c r="F292" s="8"/>
      <c r="G292" s="8"/>
      <c r="H292" s="8">
        <f t="shared" ref="H292:V292" si="191">SUM(H282:H291)</f>
        <v>-266751016.74860179</v>
      </c>
      <c r="I292" s="8">
        <f t="shared" si="191"/>
        <v>0</v>
      </c>
      <c r="J292" s="66">
        <f t="shared" si="185"/>
        <v>-266751016.74860179</v>
      </c>
      <c r="K292" s="8">
        <f t="shared" si="191"/>
        <v>-155077339.13593301</v>
      </c>
      <c r="L292" s="8">
        <f t="shared" si="191"/>
        <v>-6470101.3446096079</v>
      </c>
      <c r="M292" s="9">
        <f>SUM(N292:O292)</f>
        <v>-75307254.627678245</v>
      </c>
      <c r="N292" s="8">
        <f t="shared" si="191"/>
        <v>-9831857.8004277665</v>
      </c>
      <c r="O292" s="8">
        <f t="shared" si="191"/>
        <v>-65475396.827250481</v>
      </c>
      <c r="P292" s="9">
        <f>SUM(Q292:S292)</f>
        <v>-16250371.435184373</v>
      </c>
      <c r="Q292" s="8">
        <f t="shared" si="191"/>
        <v>-13219630.31555086</v>
      </c>
      <c r="R292" s="8">
        <f t="shared" si="191"/>
        <v>-956648.681862887</v>
      </c>
      <c r="S292" s="8">
        <f>SUM(S282:S291)</f>
        <v>-2074092.4377706251</v>
      </c>
      <c r="T292" s="8">
        <f t="shared" si="191"/>
        <v>0</v>
      </c>
      <c r="U292" s="8">
        <f t="shared" si="191"/>
        <v>-13042516.609027267</v>
      </c>
      <c r="V292" s="8">
        <f t="shared" si="191"/>
        <v>-603433.59616934485</v>
      </c>
      <c r="W292" s="27">
        <f t="shared" si="179"/>
        <v>-5.9604644775390625E-8</v>
      </c>
    </row>
    <row r="293" spans="1:23" x14ac:dyDescent="0.2">
      <c r="A293" s="3">
        <f t="shared" si="168"/>
        <v>41</v>
      </c>
      <c r="B293" s="3"/>
      <c r="C293" s="3"/>
      <c r="D293" s="3"/>
      <c r="E293" s="4"/>
      <c r="F293" s="4"/>
      <c r="G293" s="4"/>
      <c r="H293" s="8"/>
      <c r="I293" s="8"/>
      <c r="J293" s="8"/>
      <c r="K293" s="10"/>
      <c r="L293" s="10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27" t="str">
        <f t="shared" si="179"/>
        <v>OK</v>
      </c>
    </row>
    <row r="294" spans="1:23" x14ac:dyDescent="0.2">
      <c r="A294" s="3">
        <f t="shared" si="168"/>
        <v>42</v>
      </c>
      <c r="B294" s="3"/>
      <c r="C294" s="3"/>
      <c r="D294" s="3"/>
      <c r="E294" s="4"/>
      <c r="F294" s="4"/>
      <c r="G294" s="4"/>
      <c r="H294" s="8"/>
      <c r="I294" s="8"/>
      <c r="J294" s="8"/>
      <c r="K294" s="10"/>
      <c r="L294" s="10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27" t="str">
        <f t="shared" si="179"/>
        <v>OK</v>
      </c>
    </row>
    <row r="295" spans="1:23" x14ac:dyDescent="0.2">
      <c r="A295" s="3">
        <f t="shared" si="168"/>
        <v>43</v>
      </c>
      <c r="B295" s="3" t="s">
        <v>136</v>
      </c>
      <c r="C295" s="3"/>
      <c r="D295" s="1"/>
      <c r="E295" s="4"/>
      <c r="F295" s="4"/>
      <c r="G295" s="4"/>
      <c r="H295" s="8"/>
      <c r="I295" s="8"/>
      <c r="J295" s="8"/>
      <c r="K295" s="66"/>
      <c r="L295" s="66"/>
      <c r="M295" s="12"/>
      <c r="N295" s="66"/>
      <c r="O295" s="66"/>
      <c r="P295" s="66"/>
      <c r="Q295" s="66"/>
      <c r="R295" s="66"/>
      <c r="S295" s="66"/>
      <c r="T295" s="66"/>
      <c r="U295" s="66"/>
      <c r="V295" s="66"/>
      <c r="W295" s="27" t="str">
        <f t="shared" si="179"/>
        <v>OK</v>
      </c>
    </row>
    <row r="296" spans="1:23" x14ac:dyDescent="0.2">
      <c r="A296" s="3">
        <f t="shared" si="168"/>
        <v>44</v>
      </c>
      <c r="B296" s="3" t="s">
        <v>542</v>
      </c>
      <c r="C296" s="3" t="s">
        <v>562</v>
      </c>
      <c r="D296" s="1" t="s">
        <v>323</v>
      </c>
      <c r="E296" s="4" t="s">
        <v>605</v>
      </c>
      <c r="F296" s="11"/>
      <c r="G296" s="1"/>
      <c r="H296" s="14">
        <f>'II-I TOTAL COMPANY'!K296</f>
        <v>0</v>
      </c>
      <c r="I296" s="66">
        <v>0</v>
      </c>
      <c r="J296" s="66">
        <f t="shared" ref="J296:J308" si="192">SUM(K296:V296)-M296-P296</f>
        <v>0</v>
      </c>
      <c r="K296" s="66">
        <f t="shared" ref="K296:L304" si="193">VLOOKUP($D296,$E$741:$V$815,K$1,FALSE)*$H296</f>
        <v>0</v>
      </c>
      <c r="L296" s="66">
        <f t="shared" si="193"/>
        <v>0</v>
      </c>
      <c r="M296" s="9">
        <f t="shared" ref="M296:M304" si="194">SUM(N296:O296)</f>
        <v>0</v>
      </c>
      <c r="N296" s="66"/>
      <c r="O296" s="66">
        <f t="shared" ref="O296:O304" si="195">VLOOKUP($D296,$E$741:$V$815,O$1,FALSE)*$H296</f>
        <v>0</v>
      </c>
      <c r="P296" s="9">
        <f t="shared" ref="P296:P304" si="196">SUM(Q296:S296)</f>
        <v>0</v>
      </c>
      <c r="Q296" s="66">
        <f t="shared" ref="Q296:V304" si="197">VLOOKUP($D296,$E$741:$V$815,Q$1,FALSE)*$H296</f>
        <v>0</v>
      </c>
      <c r="R296" s="66">
        <f t="shared" si="197"/>
        <v>0</v>
      </c>
      <c r="S296" s="66">
        <f t="shared" si="197"/>
        <v>0</v>
      </c>
      <c r="T296" s="66">
        <f t="shared" si="197"/>
        <v>0</v>
      </c>
      <c r="U296" s="66">
        <f t="shared" si="197"/>
        <v>0</v>
      </c>
      <c r="V296" s="66">
        <f t="shared" si="197"/>
        <v>0</v>
      </c>
      <c r="W296" s="27" t="str">
        <f t="shared" si="179"/>
        <v>OK</v>
      </c>
    </row>
    <row r="297" spans="1:23" x14ac:dyDescent="0.2">
      <c r="A297" s="3">
        <f t="shared" si="168"/>
        <v>45</v>
      </c>
      <c r="B297" s="3" t="s">
        <v>542</v>
      </c>
      <c r="C297" s="3" t="s">
        <v>563</v>
      </c>
      <c r="D297" s="1" t="s">
        <v>331</v>
      </c>
      <c r="E297" s="4" t="s">
        <v>605</v>
      </c>
      <c r="F297" s="11"/>
      <c r="G297" s="11"/>
      <c r="H297" s="14">
        <f>'II-I TOTAL COMPANY'!K297</f>
        <v>0</v>
      </c>
      <c r="I297" s="66">
        <v>0</v>
      </c>
      <c r="J297" s="66">
        <f t="shared" si="192"/>
        <v>0</v>
      </c>
      <c r="K297" s="66">
        <f t="shared" si="193"/>
        <v>0</v>
      </c>
      <c r="L297" s="66">
        <f t="shared" si="193"/>
        <v>0</v>
      </c>
      <c r="M297" s="9">
        <f t="shared" si="194"/>
        <v>0</v>
      </c>
      <c r="N297" s="66">
        <f t="shared" ref="N297:N304" si="198">VLOOKUP($D297,$E$741:$V$815,N$1,FALSE)*$H297</f>
        <v>0</v>
      </c>
      <c r="O297" s="66">
        <f t="shared" si="195"/>
        <v>0</v>
      </c>
      <c r="P297" s="9">
        <f t="shared" si="196"/>
        <v>0</v>
      </c>
      <c r="Q297" s="66">
        <f t="shared" si="197"/>
        <v>0</v>
      </c>
      <c r="R297" s="66">
        <f t="shared" si="197"/>
        <v>0</v>
      </c>
      <c r="S297" s="66">
        <f t="shared" si="197"/>
        <v>0</v>
      </c>
      <c r="T297" s="66">
        <f t="shared" si="197"/>
        <v>0</v>
      </c>
      <c r="U297" s="66">
        <f t="shared" si="197"/>
        <v>0</v>
      </c>
      <c r="V297" s="66">
        <f t="shared" si="197"/>
        <v>0</v>
      </c>
      <c r="W297" s="27" t="str">
        <f t="shared" si="179"/>
        <v>OK</v>
      </c>
    </row>
    <row r="298" spans="1:23" x14ac:dyDescent="0.2">
      <c r="A298" s="3">
        <f t="shared" si="168"/>
        <v>46</v>
      </c>
      <c r="B298" s="3" t="s">
        <v>542</v>
      </c>
      <c r="C298" s="3" t="s">
        <v>564</v>
      </c>
      <c r="D298" s="1" t="s">
        <v>331</v>
      </c>
      <c r="E298" s="4" t="s">
        <v>605</v>
      </c>
      <c r="F298" s="11"/>
      <c r="G298" s="1"/>
      <c r="H298" s="14">
        <f>'II-I TOTAL COMPANY'!K298</f>
        <v>58769671.941945471</v>
      </c>
      <c r="I298" s="66">
        <v>0</v>
      </c>
      <c r="J298" s="66">
        <f t="shared" si="192"/>
        <v>58769671.941945493</v>
      </c>
      <c r="K298" s="66">
        <f t="shared" si="193"/>
        <v>34166109.122042827</v>
      </c>
      <c r="L298" s="66">
        <f t="shared" si="193"/>
        <v>1425470.6058429298</v>
      </c>
      <c r="M298" s="9">
        <f t="shared" si="194"/>
        <v>16591436.850972766</v>
      </c>
      <c r="N298" s="66">
        <f t="shared" si="198"/>
        <v>2166121.293758953</v>
      </c>
      <c r="O298" s="66">
        <f t="shared" si="195"/>
        <v>14425315.557213813</v>
      </c>
      <c r="P298" s="9">
        <f t="shared" si="196"/>
        <v>3580226.271754418</v>
      </c>
      <c r="Q298" s="66">
        <f t="shared" si="197"/>
        <v>2912503.7509076083</v>
      </c>
      <c r="R298" s="66">
        <f t="shared" si="197"/>
        <v>210765.56663985469</v>
      </c>
      <c r="S298" s="66">
        <f t="shared" si="197"/>
        <v>456956.95420695515</v>
      </c>
      <c r="T298" s="66">
        <f t="shared" si="197"/>
        <v>0</v>
      </c>
      <c r="U298" s="66">
        <f t="shared" si="197"/>
        <v>2873482.6646688874</v>
      </c>
      <c r="V298" s="66">
        <f t="shared" si="197"/>
        <v>132946.42666364525</v>
      </c>
      <c r="W298" s="27">
        <f t="shared" si="179"/>
        <v>7.4505805969238281E-9</v>
      </c>
    </row>
    <row r="299" spans="1:23" x14ac:dyDescent="0.2">
      <c r="A299" s="3">
        <f t="shared" si="168"/>
        <v>47</v>
      </c>
      <c r="B299" s="3" t="s">
        <v>543</v>
      </c>
      <c r="C299" s="3" t="s">
        <v>565</v>
      </c>
      <c r="D299" s="1" t="s">
        <v>331</v>
      </c>
      <c r="E299" s="4" t="s">
        <v>605</v>
      </c>
      <c r="F299" s="11"/>
      <c r="G299" s="11"/>
      <c r="H299" s="14">
        <f>'II-I TOTAL COMPANY'!K299</f>
        <v>-572472324.11054254</v>
      </c>
      <c r="I299" s="66">
        <v>0</v>
      </c>
      <c r="J299" s="66">
        <f t="shared" si="192"/>
        <v>-572472324.11054265</v>
      </c>
      <c r="K299" s="66">
        <f t="shared" si="193"/>
        <v>-332810295.66119432</v>
      </c>
      <c r="L299" s="66">
        <f t="shared" si="193"/>
        <v>-13885435.186438978</v>
      </c>
      <c r="M299" s="9">
        <f t="shared" si="194"/>
        <v>-161616325.23305964</v>
      </c>
      <c r="N299" s="66">
        <f t="shared" si="198"/>
        <v>-21100075.096020237</v>
      </c>
      <c r="O299" s="66">
        <f t="shared" si="195"/>
        <v>-140516250.13703942</v>
      </c>
      <c r="P299" s="9">
        <f t="shared" si="196"/>
        <v>-34874798.291498289</v>
      </c>
      <c r="Q299" s="66">
        <f t="shared" si="197"/>
        <v>-28370547.872205075</v>
      </c>
      <c r="R299" s="66">
        <f t="shared" si="197"/>
        <v>-2053056.4454397887</v>
      </c>
      <c r="S299" s="66">
        <f t="shared" si="197"/>
        <v>-4451193.9738534251</v>
      </c>
      <c r="T299" s="66">
        <f t="shared" si="197"/>
        <v>0</v>
      </c>
      <c r="U299" s="66">
        <f t="shared" si="197"/>
        <v>-27990445.496434368</v>
      </c>
      <c r="V299" s="66">
        <f t="shared" si="197"/>
        <v>-1295024.2419170015</v>
      </c>
      <c r="W299" s="27" t="str">
        <f t="shared" si="179"/>
        <v>OK</v>
      </c>
    </row>
    <row r="300" spans="1:23" x14ac:dyDescent="0.2">
      <c r="A300" s="3">
        <f t="shared" si="168"/>
        <v>48</v>
      </c>
      <c r="B300" s="3" t="s">
        <v>544</v>
      </c>
      <c r="C300" s="3" t="s">
        <v>566</v>
      </c>
      <c r="D300" s="1" t="s">
        <v>377</v>
      </c>
      <c r="E300" s="4" t="s">
        <v>605</v>
      </c>
      <c r="F300" s="11"/>
      <c r="G300" s="1"/>
      <c r="H300" s="14">
        <f>'II-I TOTAL COMPANY'!K300</f>
        <v>0</v>
      </c>
      <c r="I300" s="66">
        <v>0</v>
      </c>
      <c r="J300" s="66">
        <f t="shared" si="192"/>
        <v>0</v>
      </c>
      <c r="K300" s="66">
        <f t="shared" si="193"/>
        <v>0</v>
      </c>
      <c r="L300" s="66">
        <f t="shared" si="193"/>
        <v>0</v>
      </c>
      <c r="M300" s="9">
        <f t="shared" si="194"/>
        <v>0</v>
      </c>
      <c r="N300" s="66">
        <f t="shared" si="198"/>
        <v>0</v>
      </c>
      <c r="O300" s="66">
        <f t="shared" si="195"/>
        <v>0</v>
      </c>
      <c r="P300" s="9">
        <f t="shared" si="196"/>
        <v>0</v>
      </c>
      <c r="Q300" s="66">
        <f t="shared" si="197"/>
        <v>0</v>
      </c>
      <c r="R300" s="66">
        <f t="shared" si="197"/>
        <v>0</v>
      </c>
      <c r="S300" s="66">
        <f t="shared" si="197"/>
        <v>0</v>
      </c>
      <c r="T300" s="66">
        <f t="shared" si="197"/>
        <v>0</v>
      </c>
      <c r="U300" s="66">
        <f t="shared" si="197"/>
        <v>0</v>
      </c>
      <c r="V300" s="66">
        <f t="shared" si="197"/>
        <v>0</v>
      </c>
      <c r="W300" s="27" t="str">
        <f t="shared" si="179"/>
        <v>OK</v>
      </c>
    </row>
    <row r="301" spans="1:23" x14ac:dyDescent="0.2">
      <c r="A301" s="3">
        <f t="shared" si="168"/>
        <v>49</v>
      </c>
      <c r="B301" s="3" t="s">
        <v>544</v>
      </c>
      <c r="C301" s="3" t="s">
        <v>568</v>
      </c>
      <c r="D301" s="1" t="s">
        <v>331</v>
      </c>
      <c r="E301" s="4" t="s">
        <v>605</v>
      </c>
      <c r="F301" s="11"/>
      <c r="G301" s="11"/>
      <c r="H301" s="14">
        <f>'II-I TOTAL COMPANY'!K301</f>
        <v>0</v>
      </c>
      <c r="I301" s="66">
        <v>0</v>
      </c>
      <c r="J301" s="66">
        <f t="shared" si="192"/>
        <v>0</v>
      </c>
      <c r="K301" s="66">
        <f t="shared" si="193"/>
        <v>0</v>
      </c>
      <c r="L301" s="66">
        <f t="shared" si="193"/>
        <v>0</v>
      </c>
      <c r="M301" s="9">
        <f t="shared" si="194"/>
        <v>0</v>
      </c>
      <c r="N301" s="66">
        <f t="shared" si="198"/>
        <v>0</v>
      </c>
      <c r="O301" s="66">
        <f t="shared" si="195"/>
        <v>0</v>
      </c>
      <c r="P301" s="9">
        <f t="shared" si="196"/>
        <v>0</v>
      </c>
      <c r="Q301" s="66">
        <f t="shared" si="197"/>
        <v>0</v>
      </c>
      <c r="R301" s="66">
        <f t="shared" si="197"/>
        <v>0</v>
      </c>
      <c r="S301" s="66">
        <f t="shared" si="197"/>
        <v>0</v>
      </c>
      <c r="T301" s="66">
        <f t="shared" si="197"/>
        <v>0</v>
      </c>
      <c r="U301" s="66">
        <f t="shared" si="197"/>
        <v>0</v>
      </c>
      <c r="V301" s="66">
        <f t="shared" si="197"/>
        <v>0</v>
      </c>
      <c r="W301" s="27" t="str">
        <f t="shared" si="179"/>
        <v>OK</v>
      </c>
    </row>
    <row r="302" spans="1:23" x14ac:dyDescent="0.2">
      <c r="A302" s="3">
        <f t="shared" si="168"/>
        <v>50</v>
      </c>
      <c r="B302" s="3" t="s">
        <v>544</v>
      </c>
      <c r="C302" s="3" t="s">
        <v>567</v>
      </c>
      <c r="D302" s="1" t="s">
        <v>331</v>
      </c>
      <c r="E302" s="4" t="s">
        <v>605</v>
      </c>
      <c r="F302" s="11"/>
      <c r="G302" s="28"/>
      <c r="H302" s="14">
        <f>'II-I TOTAL COMPANY'!K303</f>
        <v>-42200093.767873086</v>
      </c>
      <c r="I302" s="66">
        <v>0</v>
      </c>
      <c r="J302" s="66">
        <f t="shared" si="192"/>
        <v>-42200093.767873093</v>
      </c>
      <c r="K302" s="66">
        <f t="shared" si="193"/>
        <v>-24533283.256334316</v>
      </c>
      <c r="L302" s="66">
        <f t="shared" si="193"/>
        <v>-1023572.0439164862</v>
      </c>
      <c r="M302" s="9">
        <f t="shared" si="194"/>
        <v>-11913631.090989174</v>
      </c>
      <c r="N302" s="66">
        <f t="shared" si="198"/>
        <v>-1555402.960212413</v>
      </c>
      <c r="O302" s="66">
        <f t="shared" si="195"/>
        <v>-10358228.130776761</v>
      </c>
      <c r="P302" s="9">
        <f t="shared" si="196"/>
        <v>-2570813.8123943675</v>
      </c>
      <c r="Q302" s="66">
        <f t="shared" si="197"/>
        <v>-2091349.6251773443</v>
      </c>
      <c r="R302" s="66">
        <f t="shared" si="197"/>
        <v>-151342.11884025604</v>
      </c>
      <c r="S302" s="66">
        <f t="shared" si="197"/>
        <v>-328122.06837676698</v>
      </c>
      <c r="T302" s="66">
        <f t="shared" si="197"/>
        <v>0</v>
      </c>
      <c r="U302" s="66">
        <f t="shared" si="197"/>
        <v>-2063330.1817503853</v>
      </c>
      <c r="V302" s="66">
        <f t="shared" si="197"/>
        <v>-95463.382488361924</v>
      </c>
      <c r="W302" s="27">
        <f t="shared" si="179"/>
        <v>-7.4505805969238281E-9</v>
      </c>
    </row>
    <row r="303" spans="1:23" x14ac:dyDescent="0.2">
      <c r="A303" s="3">
        <f t="shared" si="168"/>
        <v>51</v>
      </c>
      <c r="B303" s="3" t="s">
        <v>544</v>
      </c>
      <c r="C303" s="3" t="s">
        <v>546</v>
      </c>
      <c r="D303" s="1" t="s">
        <v>313</v>
      </c>
      <c r="E303" s="4" t="s">
        <v>605</v>
      </c>
      <c r="F303" s="11"/>
      <c r="G303" s="1"/>
      <c r="H303" s="14">
        <f>'II-I TOTAL COMPANY'!K304</f>
        <v>0</v>
      </c>
      <c r="I303" s="66">
        <v>0</v>
      </c>
      <c r="J303" s="66">
        <f t="shared" si="192"/>
        <v>0</v>
      </c>
      <c r="K303" s="66">
        <f t="shared" si="193"/>
        <v>0</v>
      </c>
      <c r="L303" s="66">
        <f t="shared" si="193"/>
        <v>0</v>
      </c>
      <c r="M303" s="9">
        <f t="shared" si="194"/>
        <v>0</v>
      </c>
      <c r="N303" s="66">
        <f t="shared" si="198"/>
        <v>0</v>
      </c>
      <c r="O303" s="66">
        <f t="shared" si="195"/>
        <v>0</v>
      </c>
      <c r="P303" s="9">
        <f t="shared" si="196"/>
        <v>0</v>
      </c>
      <c r="Q303" s="66">
        <f t="shared" si="197"/>
        <v>0</v>
      </c>
      <c r="R303" s="66">
        <f t="shared" si="197"/>
        <v>0</v>
      </c>
      <c r="S303" s="66">
        <f t="shared" si="197"/>
        <v>0</v>
      </c>
      <c r="T303" s="66">
        <f t="shared" si="197"/>
        <v>0</v>
      </c>
      <c r="U303" s="66">
        <f t="shared" si="197"/>
        <v>0</v>
      </c>
      <c r="V303" s="66">
        <f t="shared" si="197"/>
        <v>0</v>
      </c>
      <c r="W303" s="27" t="str">
        <f t="shared" si="179"/>
        <v>OK</v>
      </c>
    </row>
    <row r="304" spans="1:23" x14ac:dyDescent="0.2">
      <c r="A304" s="3">
        <f t="shared" si="168"/>
        <v>52</v>
      </c>
      <c r="B304" s="3"/>
      <c r="C304" s="3" t="s">
        <v>545</v>
      </c>
      <c r="D304" s="1" t="s">
        <v>331</v>
      </c>
      <c r="E304" s="4" t="s">
        <v>595</v>
      </c>
      <c r="F304" s="11"/>
      <c r="G304" s="11"/>
      <c r="H304" s="14">
        <f>'II-I TOTAL COMPANY'!K304</f>
        <v>0</v>
      </c>
      <c r="I304" s="66">
        <v>0</v>
      </c>
      <c r="J304" s="66">
        <f t="shared" si="192"/>
        <v>0</v>
      </c>
      <c r="K304" s="66">
        <f t="shared" si="193"/>
        <v>0</v>
      </c>
      <c r="L304" s="66">
        <f t="shared" si="193"/>
        <v>0</v>
      </c>
      <c r="M304" s="9">
        <f t="shared" si="194"/>
        <v>0</v>
      </c>
      <c r="N304" s="66">
        <f t="shared" si="198"/>
        <v>0</v>
      </c>
      <c r="O304" s="66">
        <f t="shared" si="195"/>
        <v>0</v>
      </c>
      <c r="P304" s="9">
        <f t="shared" si="196"/>
        <v>0</v>
      </c>
      <c r="Q304" s="66">
        <f t="shared" si="197"/>
        <v>0</v>
      </c>
      <c r="R304" s="66">
        <f t="shared" si="197"/>
        <v>0</v>
      </c>
      <c r="S304" s="66">
        <f t="shared" si="197"/>
        <v>0</v>
      </c>
      <c r="T304" s="66">
        <f t="shared" si="197"/>
        <v>0</v>
      </c>
      <c r="U304" s="66">
        <f t="shared" si="197"/>
        <v>0</v>
      </c>
      <c r="V304" s="66">
        <f t="shared" si="197"/>
        <v>0</v>
      </c>
      <c r="W304" s="27" t="str">
        <f t="shared" si="179"/>
        <v>OK</v>
      </c>
    </row>
    <row r="305" spans="1:23" x14ac:dyDescent="0.2">
      <c r="A305" s="3">
        <f t="shared" si="168"/>
        <v>53</v>
      </c>
      <c r="B305" s="3"/>
      <c r="C305" s="3"/>
      <c r="D305" s="1"/>
      <c r="E305" s="4"/>
      <c r="F305" s="4"/>
      <c r="G305" s="4"/>
      <c r="H305" s="14"/>
      <c r="I305" s="66"/>
      <c r="J305" s="66"/>
      <c r="K305" s="66"/>
      <c r="L305" s="66"/>
      <c r="M305" s="12"/>
      <c r="N305" s="66"/>
      <c r="O305" s="66"/>
      <c r="P305" s="66"/>
      <c r="Q305" s="66"/>
      <c r="R305" s="66"/>
      <c r="S305" s="66"/>
      <c r="T305" s="66"/>
      <c r="U305" s="66"/>
      <c r="V305" s="66"/>
      <c r="W305" s="27" t="str">
        <f t="shared" si="179"/>
        <v>OK</v>
      </c>
    </row>
    <row r="306" spans="1:23" x14ac:dyDescent="0.2">
      <c r="A306" s="3">
        <f t="shared" si="168"/>
        <v>54</v>
      </c>
      <c r="B306" s="3"/>
      <c r="C306" s="3" t="s">
        <v>137</v>
      </c>
      <c r="D306" s="28"/>
      <c r="E306" s="4"/>
      <c r="F306" s="8"/>
      <c r="G306" s="8"/>
      <c r="H306" s="8">
        <f>SUM(H296:H304)</f>
        <v>-555902745.93647015</v>
      </c>
      <c r="I306" s="8">
        <f>SUM(I296:I304)</f>
        <v>0</v>
      </c>
      <c r="J306" s="66">
        <f t="shared" si="192"/>
        <v>-555902745.93647015</v>
      </c>
      <c r="K306" s="8">
        <f>SUM(K296:K304)</f>
        <v>-323177469.79548579</v>
      </c>
      <c r="L306" s="8">
        <f>SUM(L296:L304)</f>
        <v>-13483536.624512535</v>
      </c>
      <c r="M306" s="9">
        <f>SUM(N306:O306)</f>
        <v>-156938519.47307608</v>
      </c>
      <c r="N306" s="8">
        <f>SUM(N296:N304)</f>
        <v>-20489356.762473699</v>
      </c>
      <c r="O306" s="8">
        <f>SUM(O296:O304)</f>
        <v>-136449162.71060237</v>
      </c>
      <c r="P306" s="9">
        <f>SUM(Q306:S306)</f>
        <v>-33865385.832138233</v>
      </c>
      <c r="Q306" s="8">
        <f t="shared" ref="Q306:V306" si="199">SUM(Q296:Q304)</f>
        <v>-27549393.74647481</v>
      </c>
      <c r="R306" s="8">
        <f t="shared" si="199"/>
        <v>-1993632.9976401899</v>
      </c>
      <c r="S306" s="8">
        <f t="shared" si="199"/>
        <v>-4322359.088023237</v>
      </c>
      <c r="T306" s="8">
        <f t="shared" si="199"/>
        <v>0</v>
      </c>
      <c r="U306" s="8">
        <f t="shared" si="199"/>
        <v>-27180293.013515867</v>
      </c>
      <c r="V306" s="8">
        <f t="shared" si="199"/>
        <v>-1257541.1977417183</v>
      </c>
      <c r="W306" s="27">
        <f t="shared" si="179"/>
        <v>-1.1920928955078125E-7</v>
      </c>
    </row>
    <row r="307" spans="1:23" x14ac:dyDescent="0.2">
      <c r="A307" s="3">
        <f t="shared" si="168"/>
        <v>55</v>
      </c>
      <c r="B307" s="3"/>
      <c r="C307" s="3"/>
      <c r="D307" s="3"/>
      <c r="E307" s="4"/>
      <c r="F307" s="4"/>
      <c r="G307" s="4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 t="str">
        <f t="shared" si="179"/>
        <v>OK</v>
      </c>
    </row>
    <row r="308" spans="1:23" x14ac:dyDescent="0.2">
      <c r="A308" s="3">
        <f t="shared" si="168"/>
        <v>56</v>
      </c>
      <c r="B308" s="3"/>
      <c r="C308" s="3" t="s">
        <v>138</v>
      </c>
      <c r="D308" s="3"/>
      <c r="E308" s="4"/>
      <c r="F308" s="8"/>
      <c r="G308" s="8"/>
      <c r="H308" s="8">
        <f>H249+H253+H259+H266+H270+H276+H292+H306+H271</f>
        <v>4117863426.0636759</v>
      </c>
      <c r="I308" s="8">
        <f>I249+I253+I259+I266+I270+I276+I292+I306</f>
        <v>0</v>
      </c>
      <c r="J308" s="66">
        <f t="shared" si="192"/>
        <v>4117863426.6656981</v>
      </c>
      <c r="K308" s="8">
        <f>K249+K253+K259+K266+K270+K276+K292+K306+K271</f>
        <v>2382800423.3108196</v>
      </c>
      <c r="L308" s="8">
        <f>L249+L253+L259+L266+L270+L276+L292+L306+L271</f>
        <v>92202132.07032451</v>
      </c>
      <c r="M308" s="9">
        <f>SUM(N308:O308)</f>
        <v>1199828836.9994137</v>
      </c>
      <c r="N308" s="8">
        <f>N249+N253+N259+N266+N270+N276+N292+N306+N271</f>
        <v>158710523.06037372</v>
      </c>
      <c r="O308" s="8">
        <f>O249+O253+O259+O266+O270+O276+O292+O306+O271</f>
        <v>1041118313.9390399</v>
      </c>
      <c r="P308" s="9">
        <f>SUM(Q308:S308)</f>
        <v>270438088.45460773</v>
      </c>
      <c r="Q308" s="8">
        <f>Q249+Q253+Q259+Q266+Q270+Q276+Q292+Q306+Q271</f>
        <v>220000122.76387754</v>
      </c>
      <c r="R308" s="8">
        <f>R249+R253+R259+R266+R270+R276+R292+R306+R271</f>
        <v>15920554.165477725</v>
      </c>
      <c r="S308" s="8">
        <f>S249+S253+S259+S266+S270+S276+S292+S306+S271</f>
        <v>34517411.525252469</v>
      </c>
      <c r="T308" s="8">
        <f>T249+T253+T259+T266+T270+T276+T292+T306+T271</f>
        <v>1609.1749737636198</v>
      </c>
      <c r="U308" s="8">
        <f>U249+U253+U259+U266+U270+U276+U292+U306+U271</f>
        <v>162550262.17138764</v>
      </c>
      <c r="V308" s="8">
        <f>V249+V253+V259+V266+V270+V276+V292+V306</f>
        <v>10042074.48417134</v>
      </c>
      <c r="W308" s="27">
        <f t="shared" si="179"/>
        <v>0.60202312469482422</v>
      </c>
    </row>
    <row r="309" spans="1:23" x14ac:dyDescent="0.2">
      <c r="A309" s="3"/>
      <c r="B309" s="3"/>
      <c r="C309" s="3"/>
      <c r="D309" s="3"/>
      <c r="E309" s="4"/>
      <c r="F309" s="4"/>
      <c r="G309" s="4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 t="str">
        <f t="shared" si="179"/>
        <v>OK</v>
      </c>
    </row>
    <row r="310" spans="1:23" x14ac:dyDescent="0.2">
      <c r="A310" s="3"/>
      <c r="B310" s="3"/>
      <c r="C310" s="3"/>
      <c r="D310" s="3"/>
      <c r="E310" s="4"/>
      <c r="F310" s="4"/>
      <c r="G310" s="4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 t="str">
        <f t="shared" si="179"/>
        <v>OK</v>
      </c>
    </row>
    <row r="311" spans="1:23" x14ac:dyDescent="0.2">
      <c r="A311" s="3"/>
      <c r="B311" s="3"/>
      <c r="C311" s="18"/>
      <c r="D311" s="19"/>
      <c r="E311" s="4"/>
      <c r="F311" s="4"/>
      <c r="G311" s="4"/>
      <c r="H311" s="20"/>
      <c r="I311" s="20"/>
      <c r="J311" s="66"/>
      <c r="K311" s="20"/>
      <c r="L311" s="20"/>
      <c r="M311" s="9"/>
      <c r="N311" s="20"/>
      <c r="O311" s="20"/>
      <c r="P311" s="20"/>
      <c r="Q311" s="20"/>
      <c r="R311" s="20"/>
      <c r="S311" s="20"/>
      <c r="T311" s="20"/>
      <c r="U311" s="20"/>
      <c r="V311" s="20"/>
      <c r="W311" s="27" t="str">
        <f t="shared" si="179"/>
        <v>OK</v>
      </c>
    </row>
    <row r="312" spans="1:23" x14ac:dyDescent="0.2">
      <c r="A312" s="3"/>
      <c r="B312" s="3"/>
      <c r="C312" s="18"/>
      <c r="D312" s="21"/>
      <c r="E312" s="4"/>
      <c r="F312" s="4"/>
      <c r="G312" s="4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 t="str">
        <f t="shared" si="179"/>
        <v>OK</v>
      </c>
    </row>
    <row r="313" spans="1:23" x14ac:dyDescent="0.2">
      <c r="A313" s="3"/>
      <c r="B313" s="3"/>
      <c r="C313" s="18"/>
      <c r="D313" s="18"/>
      <c r="E313" s="4"/>
      <c r="F313" s="4"/>
      <c r="G313" s="4"/>
      <c r="H313" s="22"/>
      <c r="I313" s="22"/>
      <c r="J313" s="66"/>
      <c r="K313" s="22"/>
      <c r="L313" s="22"/>
      <c r="M313" s="9"/>
      <c r="N313" s="22"/>
      <c r="O313" s="22"/>
      <c r="P313" s="9"/>
      <c r="Q313" s="22"/>
      <c r="R313" s="22"/>
      <c r="S313" s="22"/>
      <c r="T313" s="22"/>
      <c r="U313" s="22"/>
      <c r="V313" s="22"/>
      <c r="W313" s="27" t="str">
        <f t="shared" si="179"/>
        <v>OK</v>
      </c>
    </row>
    <row r="314" spans="1:23" x14ac:dyDescent="0.2">
      <c r="A314" s="3"/>
      <c r="B314" s="3"/>
      <c r="C314" s="18"/>
      <c r="D314" s="18"/>
      <c r="E314" s="40"/>
      <c r="F314" s="40"/>
      <c r="G314" s="40"/>
      <c r="H314" s="22"/>
      <c r="I314" s="22"/>
      <c r="J314" s="22"/>
      <c r="K314" s="22"/>
      <c r="L314" s="2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27" t="str">
        <f t="shared" si="179"/>
        <v>OK</v>
      </c>
    </row>
    <row r="315" spans="1:23" x14ac:dyDescent="0.2">
      <c r="A315" s="3"/>
      <c r="B315" s="7" t="s">
        <v>139</v>
      </c>
      <c r="C315" s="18"/>
      <c r="D315" s="18"/>
      <c r="E315" s="40"/>
      <c r="F315" s="40"/>
      <c r="G315" s="40"/>
      <c r="H315" s="22"/>
      <c r="I315" s="22"/>
      <c r="J315" s="22"/>
      <c r="K315" s="22"/>
      <c r="L315" s="2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27" t="str">
        <f t="shared" si="179"/>
        <v>OK</v>
      </c>
    </row>
    <row r="316" spans="1:23" x14ac:dyDescent="0.2">
      <c r="A316" s="3">
        <v>1</v>
      </c>
      <c r="B316" s="3" t="s">
        <v>147</v>
      </c>
      <c r="C316" s="3" t="s">
        <v>148</v>
      </c>
      <c r="D316" s="1" t="s">
        <v>366</v>
      </c>
      <c r="E316" s="4" t="s">
        <v>595</v>
      </c>
      <c r="F316" s="11"/>
      <c r="G316" s="11"/>
      <c r="H316" s="14">
        <f>'II-I TOTAL COMPANY'!K316</f>
        <v>0</v>
      </c>
      <c r="I316" s="66">
        <v>0</v>
      </c>
      <c r="J316" s="66">
        <f t="shared" ref="J316:J318" si="200">SUM(K316:V316)-M316-P316</f>
        <v>0</v>
      </c>
      <c r="K316" s="66">
        <f>VLOOKUP($D316,$E$741:$V$815,K$1,FALSE)*$H316</f>
        <v>0</v>
      </c>
      <c r="L316" s="66">
        <f>VLOOKUP($D316,$E$741:$V$815,L$1,FALSE)*$H316</f>
        <v>0</v>
      </c>
      <c r="M316" s="9">
        <f>SUM(N316:O316)</f>
        <v>0</v>
      </c>
      <c r="N316" s="66">
        <f>VLOOKUP($D316,$E$741:$V$815,N$1,FALSE)*$H316</f>
        <v>0</v>
      </c>
      <c r="O316" s="66">
        <f>VLOOKUP($D316,$E$741:$V$815,O$1,FALSE)*$H316</f>
        <v>0</v>
      </c>
      <c r="P316" s="9">
        <f>SUM(Q316:S316)</f>
        <v>0</v>
      </c>
      <c r="Q316" s="66">
        <f t="shared" ref="Q316:V317" si="201">VLOOKUP($D316,$E$741:$V$815,Q$1,FALSE)*$H316</f>
        <v>0</v>
      </c>
      <c r="R316" s="66">
        <f t="shared" si="201"/>
        <v>0</v>
      </c>
      <c r="S316" s="66">
        <f t="shared" si="201"/>
        <v>0</v>
      </c>
      <c r="T316" s="66">
        <f t="shared" si="201"/>
        <v>0</v>
      </c>
      <c r="U316" s="66">
        <f t="shared" si="201"/>
        <v>0</v>
      </c>
      <c r="V316" s="66">
        <f t="shared" si="201"/>
        <v>0</v>
      </c>
      <c r="W316" s="27" t="str">
        <f t="shared" si="179"/>
        <v>OK</v>
      </c>
    </row>
    <row r="317" spans="1:23" x14ac:dyDescent="0.2">
      <c r="A317" s="3">
        <f>+A316+1</f>
        <v>2</v>
      </c>
      <c r="B317" s="3" t="s">
        <v>149</v>
      </c>
      <c r="C317" s="3" t="s">
        <v>150</v>
      </c>
      <c r="D317" s="1" t="s">
        <v>366</v>
      </c>
      <c r="E317" s="4" t="s">
        <v>595</v>
      </c>
      <c r="F317" s="11"/>
      <c r="G317" s="11"/>
      <c r="H317" s="14">
        <f>'II-I TOTAL COMPANY'!K317</f>
        <v>0</v>
      </c>
      <c r="I317" s="66">
        <v>0</v>
      </c>
      <c r="J317" s="66">
        <f t="shared" si="200"/>
        <v>0</v>
      </c>
      <c r="K317" s="66">
        <f>VLOOKUP($D317,$E$741:$V$815,K$1,FALSE)*$H317</f>
        <v>0</v>
      </c>
      <c r="L317" s="66">
        <f>VLOOKUP($D317,$E$741:$V$815,L$1,FALSE)*$H317</f>
        <v>0</v>
      </c>
      <c r="M317" s="9">
        <f>SUM(N317:O317)</f>
        <v>0</v>
      </c>
      <c r="N317" s="66">
        <f>VLOOKUP($D317,$E$741:$V$815,N$1,FALSE)*$H317</f>
        <v>0</v>
      </c>
      <c r="O317" s="66">
        <f>VLOOKUP($D317,$E$741:$V$815,O$1,FALSE)*$H317</f>
        <v>0</v>
      </c>
      <c r="P317" s="9">
        <f>SUM(Q317:S317)</f>
        <v>0</v>
      </c>
      <c r="Q317" s="66">
        <f t="shared" si="201"/>
        <v>0</v>
      </c>
      <c r="R317" s="66">
        <f t="shared" si="201"/>
        <v>0</v>
      </c>
      <c r="S317" s="66">
        <f t="shared" si="201"/>
        <v>0</v>
      </c>
      <c r="T317" s="66">
        <f t="shared" si="201"/>
        <v>0</v>
      </c>
      <c r="U317" s="66">
        <f t="shared" si="201"/>
        <v>0</v>
      </c>
      <c r="V317" s="66">
        <f t="shared" si="201"/>
        <v>0</v>
      </c>
      <c r="W317" s="27" t="str">
        <f t="shared" si="179"/>
        <v>OK</v>
      </c>
    </row>
    <row r="318" spans="1:23" x14ac:dyDescent="0.2">
      <c r="A318" s="3">
        <f>+A317+1</f>
        <v>3</v>
      </c>
      <c r="B318" s="3"/>
      <c r="C318" s="3" t="s">
        <v>135</v>
      </c>
      <c r="D318" s="3"/>
      <c r="E318" s="4"/>
      <c r="F318" s="8"/>
      <c r="G318" s="8"/>
      <c r="H318" s="8">
        <f t="shared" ref="H318:V318" si="202">SUM(H316:H317)</f>
        <v>0</v>
      </c>
      <c r="I318" s="8">
        <v>0</v>
      </c>
      <c r="J318" s="66">
        <f t="shared" si="200"/>
        <v>0</v>
      </c>
      <c r="K318" s="8">
        <f t="shared" si="202"/>
        <v>0</v>
      </c>
      <c r="L318" s="8">
        <f t="shared" si="202"/>
        <v>0</v>
      </c>
      <c r="M318" s="9">
        <f>SUM(N318:O318)</f>
        <v>0</v>
      </c>
      <c r="N318" s="8">
        <f t="shared" si="202"/>
        <v>0</v>
      </c>
      <c r="O318" s="8">
        <f t="shared" si="202"/>
        <v>0</v>
      </c>
      <c r="P318" s="9">
        <f>SUM(Q318:S318)</f>
        <v>0</v>
      </c>
      <c r="Q318" s="8">
        <f t="shared" si="202"/>
        <v>0</v>
      </c>
      <c r="R318" s="8">
        <f t="shared" si="202"/>
        <v>0</v>
      </c>
      <c r="S318" s="8">
        <f>SUM(S316:S317)</f>
        <v>0</v>
      </c>
      <c r="T318" s="8">
        <f t="shared" si="202"/>
        <v>0</v>
      </c>
      <c r="U318" s="8">
        <f t="shared" si="202"/>
        <v>0</v>
      </c>
      <c r="V318" s="8">
        <f t="shared" si="202"/>
        <v>0</v>
      </c>
      <c r="W318" s="27" t="str">
        <f t="shared" si="179"/>
        <v>OK</v>
      </c>
    </row>
    <row r="319" spans="1:23" x14ac:dyDescent="0.2">
      <c r="A319" s="3">
        <f>+A318+1</f>
        <v>4</v>
      </c>
      <c r="B319" s="3"/>
      <c r="C319" s="3"/>
      <c r="D319" s="3"/>
      <c r="E319" s="4"/>
      <c r="F319" s="4"/>
      <c r="G319" s="4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 t="str">
        <f t="shared" si="179"/>
        <v>OK</v>
      </c>
    </row>
    <row r="320" spans="1:23" x14ac:dyDescent="0.2">
      <c r="A320" s="3">
        <f>+A319+1</f>
        <v>5</v>
      </c>
      <c r="B320" s="3"/>
      <c r="C320" s="3" t="s">
        <v>151</v>
      </c>
      <c r="D320" s="3"/>
      <c r="E320" s="4"/>
      <c r="F320" s="8"/>
      <c r="G320" s="8"/>
      <c r="H320" s="8">
        <f t="shared" ref="H320:V320" si="203">+H318</f>
        <v>0</v>
      </c>
      <c r="I320" s="8">
        <v>0</v>
      </c>
      <c r="J320" s="66">
        <f t="shared" ref="J320" si="204">SUM(K320:V320)-M320-P320</f>
        <v>0</v>
      </c>
      <c r="K320" s="8">
        <f t="shared" si="203"/>
        <v>0</v>
      </c>
      <c r="L320" s="8">
        <f>+L318</f>
        <v>0</v>
      </c>
      <c r="M320" s="9">
        <f>SUM(N320:O320)</f>
        <v>0</v>
      </c>
      <c r="N320" s="8">
        <f t="shared" si="203"/>
        <v>0</v>
      </c>
      <c r="O320" s="8">
        <f t="shared" si="203"/>
        <v>0</v>
      </c>
      <c r="P320" s="9">
        <f>SUM(Q320:S320)</f>
        <v>0</v>
      </c>
      <c r="Q320" s="8">
        <f t="shared" si="203"/>
        <v>0</v>
      </c>
      <c r="R320" s="8">
        <f t="shared" si="203"/>
        <v>0</v>
      </c>
      <c r="S320" s="8">
        <f>+S318</f>
        <v>0</v>
      </c>
      <c r="T320" s="8">
        <f t="shared" si="203"/>
        <v>0</v>
      </c>
      <c r="U320" s="8">
        <f t="shared" si="203"/>
        <v>0</v>
      </c>
      <c r="V320" s="8">
        <f t="shared" si="203"/>
        <v>0</v>
      </c>
      <c r="W320" s="27" t="str">
        <f t="shared" si="179"/>
        <v>OK</v>
      </c>
    </row>
    <row r="321" spans="1:23" x14ac:dyDescent="0.2">
      <c r="A321" s="3">
        <f>+A320+1</f>
        <v>6</v>
      </c>
      <c r="B321" s="3"/>
      <c r="C321" s="3"/>
      <c r="D321" s="3"/>
      <c r="E321" s="4"/>
      <c r="F321" s="4"/>
      <c r="G321" s="4"/>
      <c r="H321" s="8"/>
      <c r="I321" s="8"/>
      <c r="J321" s="8"/>
      <c r="K321" s="8"/>
      <c r="L321" s="8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27" t="str">
        <f t="shared" si="179"/>
        <v>OK</v>
      </c>
    </row>
    <row r="322" spans="1:23" x14ac:dyDescent="0.2">
      <c r="A322" s="3">
        <f>1+A321</f>
        <v>7</v>
      </c>
      <c r="B322" s="7" t="s">
        <v>144</v>
      </c>
      <c r="C322" s="3"/>
      <c r="D322" s="3"/>
      <c r="E322" s="4"/>
      <c r="F322" s="4"/>
      <c r="G322" s="4"/>
      <c r="H322" s="8"/>
      <c r="I322" s="8"/>
      <c r="J322" s="8"/>
      <c r="K322" s="8"/>
      <c r="L322" s="8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27" t="str">
        <f t="shared" si="179"/>
        <v>OK</v>
      </c>
    </row>
    <row r="323" spans="1:23" x14ac:dyDescent="0.2">
      <c r="A323" s="3">
        <f>1+A322</f>
        <v>8</v>
      </c>
      <c r="B323" s="3"/>
      <c r="C323" s="3"/>
      <c r="D323" s="3"/>
      <c r="E323" s="4"/>
      <c r="F323" s="4"/>
      <c r="G323" s="4"/>
      <c r="H323" s="8"/>
      <c r="I323" s="8"/>
      <c r="J323" s="8"/>
      <c r="K323" s="8"/>
      <c r="L323" s="8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27" t="str">
        <f t="shared" si="179"/>
        <v>OK</v>
      </c>
    </row>
    <row r="324" spans="1:23" x14ac:dyDescent="0.2">
      <c r="A324" s="3">
        <f>1+A323</f>
        <v>9</v>
      </c>
      <c r="B324" s="3" t="s">
        <v>152</v>
      </c>
      <c r="C324" s="3"/>
      <c r="D324" s="3"/>
      <c r="E324" s="4"/>
      <c r="F324" s="4"/>
      <c r="G324" s="4"/>
      <c r="H324" s="8"/>
      <c r="I324" s="8"/>
      <c r="J324" s="8"/>
      <c r="K324" s="8"/>
      <c r="L324" s="8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27" t="str">
        <f t="shared" si="179"/>
        <v>OK</v>
      </c>
    </row>
    <row r="325" spans="1:23" x14ac:dyDescent="0.2">
      <c r="A325" s="3">
        <f t="shared" ref="A325:A358" si="205">+A324+1</f>
        <v>10</v>
      </c>
      <c r="B325" s="3"/>
      <c r="C325" s="3" t="s">
        <v>140</v>
      </c>
      <c r="D325" s="3"/>
      <c r="E325" s="4"/>
      <c r="F325" s="4"/>
      <c r="G325" s="4"/>
      <c r="H325" s="8"/>
      <c r="I325" s="8"/>
      <c r="J325" s="8"/>
      <c r="K325" s="8"/>
      <c r="L325" s="8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27" t="str">
        <f t="shared" si="179"/>
        <v>OK</v>
      </c>
    </row>
    <row r="326" spans="1:23" x14ac:dyDescent="0.2">
      <c r="A326" s="3">
        <f t="shared" si="205"/>
        <v>11</v>
      </c>
      <c r="B326" s="3" t="s">
        <v>153</v>
      </c>
      <c r="C326" s="3" t="s">
        <v>145</v>
      </c>
      <c r="D326" s="1" t="s">
        <v>422</v>
      </c>
      <c r="E326" s="4" t="s">
        <v>595</v>
      </c>
      <c r="F326" s="11"/>
      <c r="G326" s="11"/>
      <c r="H326" s="14">
        <f>'II-I TOTAL COMPANY'!K326</f>
        <v>0</v>
      </c>
      <c r="I326" s="66">
        <v>0</v>
      </c>
      <c r="J326" s="66">
        <f t="shared" ref="J326:J346" si="206">SUM(K326:V326)-M326-P326</f>
        <v>0</v>
      </c>
      <c r="K326" s="66">
        <f t="shared" ref="K326:L334" si="207">VLOOKUP($D326,$E$741:$V$815,K$1,FALSE)*$H326</f>
        <v>0</v>
      </c>
      <c r="L326" s="66">
        <f t="shared" si="207"/>
        <v>0</v>
      </c>
      <c r="M326" s="9">
        <f t="shared" ref="M326:M335" si="208">SUM(N326:O326)</f>
        <v>0</v>
      </c>
      <c r="N326" s="66">
        <f t="shared" ref="N326:O334" si="209">VLOOKUP($D326,$E$741:$V$815,N$1,FALSE)*$H326</f>
        <v>0</v>
      </c>
      <c r="O326" s="66">
        <f t="shared" si="209"/>
        <v>0</v>
      </c>
      <c r="P326" s="9">
        <f t="shared" ref="P326:P335" si="210">SUM(Q326:S326)</f>
        <v>0</v>
      </c>
      <c r="Q326" s="66">
        <f t="shared" ref="Q326:V334" si="211">VLOOKUP($D326,$E$741:$V$815,Q$1,FALSE)*$H326</f>
        <v>0</v>
      </c>
      <c r="R326" s="66">
        <f t="shared" si="211"/>
        <v>0</v>
      </c>
      <c r="S326" s="66">
        <f t="shared" si="211"/>
        <v>0</v>
      </c>
      <c r="T326" s="66">
        <f t="shared" si="211"/>
        <v>0</v>
      </c>
      <c r="U326" s="66">
        <f t="shared" si="211"/>
        <v>0</v>
      </c>
      <c r="V326" s="66">
        <f t="shared" si="211"/>
        <v>0</v>
      </c>
      <c r="W326" s="27" t="str">
        <f t="shared" si="179"/>
        <v>OK</v>
      </c>
    </row>
    <row r="327" spans="1:23" x14ac:dyDescent="0.2">
      <c r="A327" s="3">
        <f t="shared" si="205"/>
        <v>12</v>
      </c>
      <c r="B327" s="3" t="s">
        <v>154</v>
      </c>
      <c r="C327" s="3" t="s">
        <v>155</v>
      </c>
      <c r="D327" s="1" t="s">
        <v>325</v>
      </c>
      <c r="E327" s="4" t="s">
        <v>595</v>
      </c>
      <c r="F327" s="11"/>
      <c r="G327" s="11"/>
      <c r="H327" s="14">
        <f>'II-I TOTAL COMPANY'!K327</f>
        <v>0</v>
      </c>
      <c r="I327" s="66">
        <v>0</v>
      </c>
      <c r="J327" s="66">
        <f t="shared" si="206"/>
        <v>0</v>
      </c>
      <c r="K327" s="66">
        <f t="shared" si="207"/>
        <v>0</v>
      </c>
      <c r="L327" s="66">
        <f t="shared" si="207"/>
        <v>0</v>
      </c>
      <c r="M327" s="9">
        <f t="shared" si="208"/>
        <v>0</v>
      </c>
      <c r="N327" s="66">
        <f t="shared" si="209"/>
        <v>0</v>
      </c>
      <c r="O327" s="66">
        <f t="shared" si="209"/>
        <v>0</v>
      </c>
      <c r="P327" s="9">
        <f t="shared" si="210"/>
        <v>0</v>
      </c>
      <c r="Q327" s="66">
        <f t="shared" si="211"/>
        <v>0</v>
      </c>
      <c r="R327" s="66">
        <f t="shared" si="211"/>
        <v>0</v>
      </c>
      <c r="S327" s="66">
        <f t="shared" si="211"/>
        <v>0</v>
      </c>
      <c r="T327" s="66">
        <f t="shared" si="211"/>
        <v>0</v>
      </c>
      <c r="U327" s="66">
        <f t="shared" si="211"/>
        <v>0</v>
      </c>
      <c r="V327" s="66">
        <f t="shared" si="211"/>
        <v>0</v>
      </c>
      <c r="W327" s="27" t="str">
        <f t="shared" si="179"/>
        <v>OK</v>
      </c>
    </row>
    <row r="328" spans="1:23" x14ac:dyDescent="0.2">
      <c r="A328" s="3">
        <f t="shared" si="205"/>
        <v>13</v>
      </c>
      <c r="B328" s="3" t="s">
        <v>156</v>
      </c>
      <c r="C328" s="3" t="s">
        <v>38</v>
      </c>
      <c r="D328" s="1" t="s">
        <v>326</v>
      </c>
      <c r="E328" s="4" t="s">
        <v>595</v>
      </c>
      <c r="F328" s="11"/>
      <c r="G328" s="11"/>
      <c r="H328" s="14">
        <f>'II-I TOTAL COMPANY'!K328</f>
        <v>0</v>
      </c>
      <c r="I328" s="66">
        <v>0</v>
      </c>
      <c r="J328" s="66">
        <f t="shared" si="206"/>
        <v>0</v>
      </c>
      <c r="K328" s="66">
        <f t="shared" si="207"/>
        <v>0</v>
      </c>
      <c r="L328" s="66">
        <f t="shared" si="207"/>
        <v>0</v>
      </c>
      <c r="M328" s="9">
        <f t="shared" si="208"/>
        <v>0</v>
      </c>
      <c r="N328" s="66">
        <f t="shared" si="209"/>
        <v>0</v>
      </c>
      <c r="O328" s="66">
        <f t="shared" si="209"/>
        <v>0</v>
      </c>
      <c r="P328" s="9">
        <f t="shared" si="210"/>
        <v>0</v>
      </c>
      <c r="Q328" s="66">
        <f t="shared" si="211"/>
        <v>0</v>
      </c>
      <c r="R328" s="66">
        <f t="shared" si="211"/>
        <v>0</v>
      </c>
      <c r="S328" s="66">
        <f t="shared" si="211"/>
        <v>0</v>
      </c>
      <c r="T328" s="66">
        <f t="shared" si="211"/>
        <v>0</v>
      </c>
      <c r="U328" s="66">
        <f t="shared" si="211"/>
        <v>0</v>
      </c>
      <c r="V328" s="66">
        <f t="shared" si="211"/>
        <v>0</v>
      </c>
      <c r="W328" s="27" t="str">
        <f t="shared" ref="W328:W391" si="212">IF((+K328+L328+M328+P328+T328+U328+V328)-H328=0,"OK",(+K328+L328+M328+P328+T328+U328+V328)-H328)</f>
        <v>OK</v>
      </c>
    </row>
    <row r="329" spans="1:23" x14ac:dyDescent="0.2">
      <c r="A329" s="3">
        <f t="shared" si="205"/>
        <v>14</v>
      </c>
      <c r="B329" s="3" t="s">
        <v>157</v>
      </c>
      <c r="C329" s="3" t="s">
        <v>158</v>
      </c>
      <c r="D329" s="1" t="s">
        <v>325</v>
      </c>
      <c r="E329" s="4" t="s">
        <v>595</v>
      </c>
      <c r="F329" s="11"/>
      <c r="G329" s="11"/>
      <c r="H329" s="14">
        <f>'II-I TOTAL COMPANY'!K329</f>
        <v>0</v>
      </c>
      <c r="I329" s="66">
        <v>0</v>
      </c>
      <c r="J329" s="66">
        <f t="shared" si="206"/>
        <v>0</v>
      </c>
      <c r="K329" s="66">
        <f t="shared" si="207"/>
        <v>0</v>
      </c>
      <c r="L329" s="66">
        <f t="shared" si="207"/>
        <v>0</v>
      </c>
      <c r="M329" s="9">
        <f t="shared" si="208"/>
        <v>0</v>
      </c>
      <c r="N329" s="66">
        <f t="shared" si="209"/>
        <v>0</v>
      </c>
      <c r="O329" s="66">
        <f t="shared" si="209"/>
        <v>0</v>
      </c>
      <c r="P329" s="9">
        <f t="shared" si="210"/>
        <v>0</v>
      </c>
      <c r="Q329" s="66">
        <f t="shared" si="211"/>
        <v>0</v>
      </c>
      <c r="R329" s="66">
        <f t="shared" si="211"/>
        <v>0</v>
      </c>
      <c r="S329" s="66">
        <f t="shared" si="211"/>
        <v>0</v>
      </c>
      <c r="T329" s="66">
        <f t="shared" si="211"/>
        <v>0</v>
      </c>
      <c r="U329" s="66">
        <f t="shared" si="211"/>
        <v>0</v>
      </c>
      <c r="V329" s="66">
        <f t="shared" si="211"/>
        <v>0</v>
      </c>
      <c r="W329" s="27" t="str">
        <f t="shared" si="212"/>
        <v>OK</v>
      </c>
    </row>
    <row r="330" spans="1:23" x14ac:dyDescent="0.2">
      <c r="A330" s="3">
        <f t="shared" si="205"/>
        <v>15</v>
      </c>
      <c r="B330" s="3" t="s">
        <v>159</v>
      </c>
      <c r="C330" s="3" t="s">
        <v>160</v>
      </c>
      <c r="D330" s="1" t="s">
        <v>325</v>
      </c>
      <c r="E330" s="4" t="s">
        <v>595</v>
      </c>
      <c r="F330" s="11"/>
      <c r="G330" s="11"/>
      <c r="H330" s="14">
        <f>'II-I TOTAL COMPANY'!K330</f>
        <v>0</v>
      </c>
      <c r="I330" s="66">
        <v>0</v>
      </c>
      <c r="J330" s="66">
        <f t="shared" si="206"/>
        <v>0</v>
      </c>
      <c r="K330" s="66">
        <f t="shared" si="207"/>
        <v>0</v>
      </c>
      <c r="L330" s="66">
        <f t="shared" si="207"/>
        <v>0</v>
      </c>
      <c r="M330" s="9">
        <f t="shared" si="208"/>
        <v>0</v>
      </c>
      <c r="N330" s="66">
        <f t="shared" si="209"/>
        <v>0</v>
      </c>
      <c r="O330" s="66">
        <f t="shared" si="209"/>
        <v>0</v>
      </c>
      <c r="P330" s="9">
        <f t="shared" si="210"/>
        <v>0</v>
      </c>
      <c r="Q330" s="66">
        <f t="shared" si="211"/>
        <v>0</v>
      </c>
      <c r="R330" s="66">
        <f t="shared" si="211"/>
        <v>0</v>
      </c>
      <c r="S330" s="66">
        <f t="shared" si="211"/>
        <v>0</v>
      </c>
      <c r="T330" s="66">
        <f t="shared" si="211"/>
        <v>0</v>
      </c>
      <c r="U330" s="66">
        <f t="shared" si="211"/>
        <v>0</v>
      </c>
      <c r="V330" s="66">
        <f t="shared" si="211"/>
        <v>0</v>
      </c>
      <c r="W330" s="27" t="str">
        <f t="shared" si="212"/>
        <v>OK</v>
      </c>
    </row>
    <row r="331" spans="1:23" x14ac:dyDescent="0.2">
      <c r="A331" s="3">
        <f t="shared" si="205"/>
        <v>16</v>
      </c>
      <c r="B331" s="3" t="s">
        <v>161</v>
      </c>
      <c r="C331" s="3" t="s">
        <v>527</v>
      </c>
      <c r="D331" s="1" t="s">
        <v>331</v>
      </c>
      <c r="E331" s="4" t="s">
        <v>595</v>
      </c>
      <c r="F331" s="11"/>
      <c r="G331" s="11"/>
      <c r="H331" s="14">
        <f>'II-I TOTAL COMPANY'!K331</f>
        <v>1.4319084584712982E-8</v>
      </c>
      <c r="I331" s="66">
        <v>0</v>
      </c>
      <c r="J331" s="66">
        <f t="shared" si="206"/>
        <v>1.4319084584712982E-8</v>
      </c>
      <c r="K331" s="66">
        <f t="shared" si="207"/>
        <v>8.3244876189259542E-9</v>
      </c>
      <c r="L331" s="66">
        <f t="shared" si="207"/>
        <v>3.4731237224277902E-10</v>
      </c>
      <c r="M331" s="9">
        <f t="shared" si="208"/>
        <v>4.0424623755886586E-9</v>
      </c>
      <c r="N331" s="66">
        <f t="shared" si="209"/>
        <v>5.2777007257623978E-10</v>
      </c>
      <c r="O331" s="66">
        <f t="shared" si="209"/>
        <v>3.5146923030124192E-9</v>
      </c>
      <c r="P331" s="9">
        <f t="shared" si="210"/>
        <v>8.7231323782621859E-10</v>
      </c>
      <c r="Q331" s="66">
        <f t="shared" si="211"/>
        <v>7.0962430424550915E-10</v>
      </c>
      <c r="R331" s="66">
        <f t="shared" si="211"/>
        <v>5.1352506769857178E-11</v>
      </c>
      <c r="S331" s="66">
        <f t="shared" si="211"/>
        <v>1.1133642681085223E-10</v>
      </c>
      <c r="T331" s="66">
        <f t="shared" si="211"/>
        <v>0</v>
      </c>
      <c r="U331" s="66">
        <f t="shared" si="211"/>
        <v>7.0011691351187413E-10</v>
      </c>
      <c r="V331" s="66">
        <f t="shared" si="211"/>
        <v>3.2392066617499311E-11</v>
      </c>
      <c r="W331" s="27" t="str">
        <f t="shared" si="212"/>
        <v>OK</v>
      </c>
    </row>
    <row r="332" spans="1:23" x14ac:dyDescent="0.2">
      <c r="A332" s="3">
        <f t="shared" si="205"/>
        <v>17</v>
      </c>
      <c r="B332" s="3" t="s">
        <v>161</v>
      </c>
      <c r="C332" s="3" t="s">
        <v>577</v>
      </c>
      <c r="D332" s="1" t="s">
        <v>367</v>
      </c>
      <c r="E332" s="4" t="s">
        <v>611</v>
      </c>
      <c r="F332" s="11"/>
      <c r="G332" s="11"/>
      <c r="H332" s="14">
        <f>'II-I TOTAL COMPANY'!K332</f>
        <v>0</v>
      </c>
      <c r="I332" s="66">
        <v>0</v>
      </c>
      <c r="J332" s="66">
        <f t="shared" si="206"/>
        <v>0</v>
      </c>
      <c r="K332" s="66">
        <f t="shared" si="207"/>
        <v>0</v>
      </c>
      <c r="L332" s="66">
        <f t="shared" si="207"/>
        <v>0</v>
      </c>
      <c r="M332" s="9">
        <f t="shared" si="208"/>
        <v>0</v>
      </c>
      <c r="N332" s="66">
        <f t="shared" si="209"/>
        <v>0</v>
      </c>
      <c r="O332" s="66">
        <f t="shared" si="209"/>
        <v>0</v>
      </c>
      <c r="P332" s="9">
        <f t="shared" si="210"/>
        <v>0</v>
      </c>
      <c r="Q332" s="66">
        <f t="shared" si="211"/>
        <v>0</v>
      </c>
      <c r="R332" s="66">
        <f t="shared" si="211"/>
        <v>0</v>
      </c>
      <c r="S332" s="66">
        <f t="shared" si="211"/>
        <v>0</v>
      </c>
      <c r="T332" s="66">
        <f t="shared" si="211"/>
        <v>0</v>
      </c>
      <c r="U332" s="66">
        <f t="shared" si="211"/>
        <v>0</v>
      </c>
      <c r="V332" s="66">
        <f t="shared" si="211"/>
        <v>0</v>
      </c>
      <c r="W332" s="27" t="str">
        <f t="shared" si="212"/>
        <v>OK</v>
      </c>
    </row>
    <row r="333" spans="1:23" x14ac:dyDescent="0.2">
      <c r="A333" s="3">
        <f t="shared" si="205"/>
        <v>18</v>
      </c>
      <c r="B333" s="3" t="s">
        <v>162</v>
      </c>
      <c r="C333" s="3" t="s">
        <v>470</v>
      </c>
      <c r="D333" s="1" t="s">
        <v>366</v>
      </c>
      <c r="E333" s="4" t="s">
        <v>595</v>
      </c>
      <c r="F333" s="11"/>
      <c r="G333" s="11"/>
      <c r="H333" s="14">
        <f>'II-I TOTAL COMPANY'!K333</f>
        <v>-1.7400000002235174</v>
      </c>
      <c r="I333" s="66">
        <v>0</v>
      </c>
      <c r="J333" s="66">
        <f t="shared" si="206"/>
        <v>-1.7400000002235168</v>
      </c>
      <c r="K333" s="66">
        <f t="shared" si="207"/>
        <v>-0.84349186895202821</v>
      </c>
      <c r="L333" s="66">
        <f t="shared" si="207"/>
        <v>-3.3362650661029725E-2</v>
      </c>
      <c r="M333" s="9">
        <f t="shared" si="208"/>
        <v>-0.49679247271887117</v>
      </c>
      <c r="N333" s="66">
        <f t="shared" si="209"/>
        <v>-4.9970627634699366E-2</v>
      </c>
      <c r="O333" s="66">
        <f t="shared" si="209"/>
        <v>-0.44682184508417183</v>
      </c>
      <c r="P333" s="9">
        <f t="shared" si="210"/>
        <v>-0.14075210917683526</v>
      </c>
      <c r="Q333" s="66">
        <f t="shared" si="211"/>
        <v>-0.11019570837848675</v>
      </c>
      <c r="R333" s="66">
        <f t="shared" si="211"/>
        <v>-9.0176328894522526E-3</v>
      </c>
      <c r="S333" s="66">
        <f t="shared" si="211"/>
        <v>-2.1538767908896247E-2</v>
      </c>
      <c r="T333" s="66">
        <f t="shared" si="211"/>
        <v>-0.22560089871475295</v>
      </c>
      <c r="U333" s="66">
        <f t="shared" si="211"/>
        <v>0</v>
      </c>
      <c r="V333" s="66">
        <f t="shared" si="211"/>
        <v>0</v>
      </c>
      <c r="W333" s="27">
        <f t="shared" si="212"/>
        <v>2.2204460492503131E-16</v>
      </c>
    </row>
    <row r="334" spans="1:23" x14ac:dyDescent="0.2">
      <c r="A334" s="3">
        <f t="shared" si="205"/>
        <v>19</v>
      </c>
      <c r="B334" s="3" t="s">
        <v>164</v>
      </c>
      <c r="C334" s="3" t="s">
        <v>141</v>
      </c>
      <c r="D334" s="1" t="s">
        <v>325</v>
      </c>
      <c r="E334" s="4" t="s">
        <v>595</v>
      </c>
      <c r="F334" s="11"/>
      <c r="G334" s="11"/>
      <c r="H334" s="14">
        <f>'II-I TOTAL COMPANY'!K334</f>
        <v>3.6800000006332994</v>
      </c>
      <c r="I334" s="66">
        <v>0</v>
      </c>
      <c r="J334" s="66">
        <f t="shared" si="206"/>
        <v>0</v>
      </c>
      <c r="K334" s="66">
        <f t="shared" si="207"/>
        <v>0</v>
      </c>
      <c r="L334" s="66">
        <f t="shared" si="207"/>
        <v>0</v>
      </c>
      <c r="M334" s="9">
        <f t="shared" si="208"/>
        <v>0</v>
      </c>
      <c r="N334" s="66">
        <f t="shared" si="209"/>
        <v>0</v>
      </c>
      <c r="O334" s="66">
        <f t="shared" si="209"/>
        <v>0</v>
      </c>
      <c r="P334" s="9">
        <f t="shared" si="210"/>
        <v>0</v>
      </c>
      <c r="Q334" s="66">
        <f t="shared" si="211"/>
        <v>0</v>
      </c>
      <c r="R334" s="66">
        <f t="shared" si="211"/>
        <v>0</v>
      </c>
      <c r="S334" s="66">
        <f t="shared" si="211"/>
        <v>0</v>
      </c>
      <c r="T334" s="66">
        <f t="shared" si="211"/>
        <v>0</v>
      </c>
      <c r="U334" s="66">
        <f t="shared" si="211"/>
        <v>0</v>
      </c>
      <c r="V334" s="66">
        <f t="shared" si="211"/>
        <v>0</v>
      </c>
      <c r="W334" s="27">
        <f t="shared" si="212"/>
        <v>-3.6800000006332994</v>
      </c>
    </row>
    <row r="335" spans="1:23" x14ac:dyDescent="0.2">
      <c r="A335" s="3">
        <f t="shared" si="205"/>
        <v>20</v>
      </c>
      <c r="B335" s="3"/>
      <c r="C335" s="3" t="s">
        <v>135</v>
      </c>
      <c r="D335" s="3"/>
      <c r="E335" s="4"/>
      <c r="F335" s="8"/>
      <c r="G335" s="8"/>
      <c r="H335" s="8">
        <f t="shared" ref="H335:V335" si="213">SUM(H326:H334)</f>
        <v>1.9400000147288665</v>
      </c>
      <c r="I335" s="8">
        <f t="shared" si="213"/>
        <v>0</v>
      </c>
      <c r="J335" s="66">
        <f t="shared" si="206"/>
        <v>-1.7399999859044326</v>
      </c>
      <c r="K335" s="8">
        <f t="shared" si="213"/>
        <v>-0.84349186062754056</v>
      </c>
      <c r="L335" s="8">
        <f t="shared" si="213"/>
        <v>-3.3362650313717351E-2</v>
      </c>
      <c r="M335" s="9">
        <f t="shared" si="208"/>
        <v>-0.4967924686764088</v>
      </c>
      <c r="N335" s="8">
        <f t="shared" si="213"/>
        <v>-4.9970627106929295E-2</v>
      </c>
      <c r="O335" s="8">
        <f t="shared" si="213"/>
        <v>-0.44682184156947952</v>
      </c>
      <c r="P335" s="9">
        <f t="shared" si="210"/>
        <v>-0.14075210830452201</v>
      </c>
      <c r="Q335" s="8">
        <f t="shared" si="213"/>
        <v>-0.11019570766886244</v>
      </c>
      <c r="R335" s="8">
        <f t="shared" si="213"/>
        <v>-9.0176328380997452E-3</v>
      </c>
      <c r="S335" s="8">
        <f>SUM(S326:S334)</f>
        <v>-2.1538767797559821E-2</v>
      </c>
      <c r="T335" s="8">
        <f t="shared" si="213"/>
        <v>-0.22560089871475295</v>
      </c>
      <c r="U335" s="8">
        <f t="shared" si="213"/>
        <v>7.0011691351187413E-10</v>
      </c>
      <c r="V335" s="8">
        <f t="shared" si="213"/>
        <v>3.2392066617499311E-11</v>
      </c>
      <c r="W335" s="27">
        <f t="shared" si="212"/>
        <v>-3.6800000006332994</v>
      </c>
    </row>
    <row r="336" spans="1:23" x14ac:dyDescent="0.2">
      <c r="A336" s="3">
        <f t="shared" si="205"/>
        <v>21</v>
      </c>
      <c r="B336" s="3"/>
      <c r="C336" s="3"/>
      <c r="D336" s="3"/>
      <c r="E336" s="4"/>
      <c r="F336" s="4"/>
      <c r="G336" s="4"/>
      <c r="H336" s="8"/>
      <c r="I336" s="8"/>
      <c r="J336" s="66"/>
      <c r="K336" s="8"/>
      <c r="L336" s="8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27" t="str">
        <f t="shared" si="212"/>
        <v>OK</v>
      </c>
    </row>
    <row r="337" spans="1:23" x14ac:dyDescent="0.2">
      <c r="A337" s="3">
        <f t="shared" si="205"/>
        <v>22</v>
      </c>
      <c r="B337" s="3"/>
      <c r="C337" s="3" t="s">
        <v>142</v>
      </c>
      <c r="D337" s="3"/>
      <c r="E337" s="4"/>
      <c r="F337" s="4"/>
      <c r="G337" s="4"/>
      <c r="H337" s="8"/>
      <c r="I337" s="8"/>
      <c r="J337" s="8"/>
      <c r="K337" s="8"/>
      <c r="L337" s="8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27" t="str">
        <f t="shared" si="212"/>
        <v>OK</v>
      </c>
    </row>
    <row r="338" spans="1:23" x14ac:dyDescent="0.2">
      <c r="A338" s="3">
        <f t="shared" si="205"/>
        <v>23</v>
      </c>
      <c r="B338" s="3" t="s">
        <v>165</v>
      </c>
      <c r="C338" s="3" t="s">
        <v>146</v>
      </c>
      <c r="D338" s="1" t="s">
        <v>423</v>
      </c>
      <c r="E338" s="4" t="s">
        <v>595</v>
      </c>
      <c r="F338" s="11"/>
      <c r="G338" s="11"/>
      <c r="H338" s="14">
        <f>'II-I TOTAL COMPANY'!K338</f>
        <v>0</v>
      </c>
      <c r="I338" s="66">
        <v>0</v>
      </c>
      <c r="J338" s="66">
        <f t="shared" si="206"/>
        <v>0</v>
      </c>
      <c r="K338" s="66">
        <f t="shared" ref="K338:L343" si="214">VLOOKUP($D338,$E$741:$V$815,K$1,FALSE)*$H338</f>
        <v>0</v>
      </c>
      <c r="L338" s="66">
        <f t="shared" si="214"/>
        <v>0</v>
      </c>
      <c r="M338" s="9">
        <f t="shared" ref="M338:M344" si="215">SUM(N338:O338)</f>
        <v>0</v>
      </c>
      <c r="N338" s="66">
        <f t="shared" ref="N338:O343" si="216">VLOOKUP($D338,$E$741:$V$815,N$1,FALSE)*$H338</f>
        <v>0</v>
      </c>
      <c r="O338" s="66">
        <f t="shared" si="216"/>
        <v>0</v>
      </c>
      <c r="P338" s="9">
        <f t="shared" ref="P338:P344" si="217">SUM(Q338:S338)</f>
        <v>0</v>
      </c>
      <c r="Q338" s="66">
        <f t="shared" ref="Q338:V343" si="218">VLOOKUP($D338,$E$741:$V$815,Q$1,FALSE)*$H338</f>
        <v>0</v>
      </c>
      <c r="R338" s="66">
        <f t="shared" si="218"/>
        <v>0</v>
      </c>
      <c r="S338" s="66">
        <f t="shared" si="218"/>
        <v>0</v>
      </c>
      <c r="T338" s="66">
        <f t="shared" si="218"/>
        <v>0</v>
      </c>
      <c r="U338" s="66">
        <f t="shared" si="218"/>
        <v>0</v>
      </c>
      <c r="V338" s="66">
        <f t="shared" si="218"/>
        <v>0</v>
      </c>
      <c r="W338" s="27" t="str">
        <f t="shared" si="212"/>
        <v>OK</v>
      </c>
    </row>
    <row r="339" spans="1:23" x14ac:dyDescent="0.2">
      <c r="A339" s="3">
        <f t="shared" si="205"/>
        <v>24</v>
      </c>
      <c r="B339" s="3" t="s">
        <v>166</v>
      </c>
      <c r="C339" s="3" t="s">
        <v>143</v>
      </c>
      <c r="D339" s="1" t="s">
        <v>329</v>
      </c>
      <c r="E339" s="4" t="s">
        <v>595</v>
      </c>
      <c r="F339" s="11"/>
      <c r="G339" s="11"/>
      <c r="H339" s="14">
        <f>'II-I TOTAL COMPANY'!K339</f>
        <v>2.3283064365386963E-10</v>
      </c>
      <c r="I339" s="66">
        <v>0</v>
      </c>
      <c r="J339" s="66">
        <f t="shared" si="206"/>
        <v>0</v>
      </c>
      <c r="K339" s="66">
        <f t="shared" si="214"/>
        <v>0</v>
      </c>
      <c r="L339" s="66">
        <f t="shared" si="214"/>
        <v>0</v>
      </c>
      <c r="M339" s="9">
        <f t="shared" si="215"/>
        <v>0</v>
      </c>
      <c r="N339" s="66">
        <f t="shared" si="216"/>
        <v>0</v>
      </c>
      <c r="O339" s="66">
        <f t="shared" si="216"/>
        <v>0</v>
      </c>
      <c r="P339" s="9">
        <f t="shared" si="217"/>
        <v>0</v>
      </c>
      <c r="Q339" s="66">
        <f t="shared" si="218"/>
        <v>0</v>
      </c>
      <c r="R339" s="66">
        <f t="shared" si="218"/>
        <v>0</v>
      </c>
      <c r="S339" s="66">
        <f t="shared" si="218"/>
        <v>0</v>
      </c>
      <c r="T339" s="66">
        <f t="shared" si="218"/>
        <v>0</v>
      </c>
      <c r="U339" s="66">
        <f t="shared" si="218"/>
        <v>0</v>
      </c>
      <c r="V339" s="66">
        <f t="shared" si="218"/>
        <v>0</v>
      </c>
      <c r="W339" s="27">
        <f t="shared" si="212"/>
        <v>-2.3283064365386963E-10</v>
      </c>
    </row>
    <row r="340" spans="1:23" x14ac:dyDescent="0.2">
      <c r="A340" s="3">
        <f t="shared" si="205"/>
        <v>25</v>
      </c>
      <c r="B340" s="3" t="s">
        <v>167</v>
      </c>
      <c r="C340" s="3" t="s">
        <v>168</v>
      </c>
      <c r="D340" s="1" t="s">
        <v>330</v>
      </c>
      <c r="E340" s="4" t="s">
        <v>595</v>
      </c>
      <c r="F340" s="11"/>
      <c r="G340" s="11"/>
      <c r="H340" s="14">
        <f>'II-I TOTAL COMPANY'!K340</f>
        <v>1.7299999995157123</v>
      </c>
      <c r="I340" s="66">
        <v>0</v>
      </c>
      <c r="J340" s="66">
        <f t="shared" si="206"/>
        <v>0</v>
      </c>
      <c r="K340" s="66">
        <f t="shared" si="214"/>
        <v>0</v>
      </c>
      <c r="L340" s="66">
        <f t="shared" si="214"/>
        <v>0</v>
      </c>
      <c r="M340" s="9">
        <f t="shared" si="215"/>
        <v>0</v>
      </c>
      <c r="N340" s="66">
        <f t="shared" si="216"/>
        <v>0</v>
      </c>
      <c r="O340" s="66">
        <f t="shared" si="216"/>
        <v>0</v>
      </c>
      <c r="P340" s="9">
        <f t="shared" si="217"/>
        <v>0</v>
      </c>
      <c r="Q340" s="66">
        <f t="shared" si="218"/>
        <v>0</v>
      </c>
      <c r="R340" s="66">
        <f t="shared" si="218"/>
        <v>0</v>
      </c>
      <c r="S340" s="66">
        <f t="shared" si="218"/>
        <v>0</v>
      </c>
      <c r="T340" s="66">
        <f t="shared" si="218"/>
        <v>0</v>
      </c>
      <c r="U340" s="66">
        <f t="shared" si="218"/>
        <v>0</v>
      </c>
      <c r="V340" s="66">
        <f t="shared" si="218"/>
        <v>0</v>
      </c>
      <c r="W340" s="27">
        <f t="shared" si="212"/>
        <v>-1.7299999995157123</v>
      </c>
    </row>
    <row r="341" spans="1:23" x14ac:dyDescent="0.2">
      <c r="A341" s="3">
        <f t="shared" si="205"/>
        <v>26</v>
      </c>
      <c r="B341" s="3" t="s">
        <v>169</v>
      </c>
      <c r="C341" s="3" t="s">
        <v>170</v>
      </c>
      <c r="D341" s="1" t="s">
        <v>325</v>
      </c>
      <c r="E341" s="4" t="s">
        <v>595</v>
      </c>
      <c r="F341" s="11"/>
      <c r="G341" s="11"/>
      <c r="H341" s="14">
        <f>'II-I TOTAL COMPANY'!K341</f>
        <v>-27.849999997764826</v>
      </c>
      <c r="I341" s="66">
        <v>0</v>
      </c>
      <c r="J341" s="66">
        <f t="shared" si="206"/>
        <v>0</v>
      </c>
      <c r="K341" s="66">
        <f t="shared" si="214"/>
        <v>0</v>
      </c>
      <c r="L341" s="66">
        <f t="shared" si="214"/>
        <v>0</v>
      </c>
      <c r="M341" s="9">
        <f t="shared" si="215"/>
        <v>0</v>
      </c>
      <c r="N341" s="66">
        <f t="shared" si="216"/>
        <v>0</v>
      </c>
      <c r="O341" s="66">
        <f t="shared" si="216"/>
        <v>0</v>
      </c>
      <c r="P341" s="9">
        <f t="shared" si="217"/>
        <v>0</v>
      </c>
      <c r="Q341" s="66">
        <f t="shared" si="218"/>
        <v>0</v>
      </c>
      <c r="R341" s="66">
        <f t="shared" si="218"/>
        <v>0</v>
      </c>
      <c r="S341" s="66">
        <f t="shared" si="218"/>
        <v>0</v>
      </c>
      <c r="T341" s="66">
        <f t="shared" si="218"/>
        <v>0</v>
      </c>
      <c r="U341" s="66">
        <f t="shared" si="218"/>
        <v>0</v>
      </c>
      <c r="V341" s="66">
        <f t="shared" si="218"/>
        <v>0</v>
      </c>
      <c r="W341" s="27">
        <f t="shared" si="212"/>
        <v>27.849999997764826</v>
      </c>
    </row>
    <row r="342" spans="1:23" x14ac:dyDescent="0.2">
      <c r="A342" s="3">
        <f t="shared" si="205"/>
        <v>27</v>
      </c>
      <c r="B342" s="3" t="s">
        <v>171</v>
      </c>
      <c r="C342" s="3" t="s">
        <v>172</v>
      </c>
      <c r="D342" s="1" t="s">
        <v>325</v>
      </c>
      <c r="E342" s="4" t="s">
        <v>595</v>
      </c>
      <c r="F342" s="11"/>
      <c r="G342" s="11"/>
      <c r="H342" s="14">
        <f>'II-I TOTAL COMPANY'!K342</f>
        <v>0</v>
      </c>
      <c r="I342" s="66">
        <v>0</v>
      </c>
      <c r="J342" s="66">
        <f t="shared" si="206"/>
        <v>0</v>
      </c>
      <c r="K342" s="66">
        <f t="shared" si="214"/>
        <v>0</v>
      </c>
      <c r="L342" s="66">
        <f t="shared" si="214"/>
        <v>0</v>
      </c>
      <c r="M342" s="9">
        <f t="shared" si="215"/>
        <v>0</v>
      </c>
      <c r="N342" s="66">
        <f t="shared" si="216"/>
        <v>0</v>
      </c>
      <c r="O342" s="66">
        <f t="shared" si="216"/>
        <v>0</v>
      </c>
      <c r="P342" s="9">
        <f t="shared" si="217"/>
        <v>0</v>
      </c>
      <c r="Q342" s="66">
        <f t="shared" si="218"/>
        <v>0</v>
      </c>
      <c r="R342" s="66">
        <f t="shared" si="218"/>
        <v>0</v>
      </c>
      <c r="S342" s="66">
        <f t="shared" si="218"/>
        <v>0</v>
      </c>
      <c r="T342" s="66">
        <f t="shared" si="218"/>
        <v>0</v>
      </c>
      <c r="U342" s="66">
        <f t="shared" si="218"/>
        <v>0</v>
      </c>
      <c r="V342" s="66">
        <f t="shared" si="218"/>
        <v>0</v>
      </c>
      <c r="W342" s="27" t="str">
        <f t="shared" si="212"/>
        <v>OK</v>
      </c>
    </row>
    <row r="343" spans="1:23" x14ac:dyDescent="0.2">
      <c r="A343" s="3">
        <f t="shared" si="205"/>
        <v>28</v>
      </c>
      <c r="B343" s="3" t="s">
        <v>173</v>
      </c>
      <c r="C343" s="3" t="s">
        <v>174</v>
      </c>
      <c r="D343" s="1" t="s">
        <v>325</v>
      </c>
      <c r="E343" s="4" t="s">
        <v>595</v>
      </c>
      <c r="F343" s="11"/>
      <c r="G343" s="11"/>
      <c r="H343" s="14">
        <f>'II-I TOTAL COMPANY'!K343</f>
        <v>-1.5499999999992724</v>
      </c>
      <c r="I343" s="66">
        <v>0</v>
      </c>
      <c r="J343" s="66">
        <f t="shared" si="206"/>
        <v>0</v>
      </c>
      <c r="K343" s="66">
        <f t="shared" si="214"/>
        <v>0</v>
      </c>
      <c r="L343" s="66">
        <f t="shared" si="214"/>
        <v>0</v>
      </c>
      <c r="M343" s="9">
        <f t="shared" si="215"/>
        <v>0</v>
      </c>
      <c r="N343" s="66">
        <f t="shared" si="216"/>
        <v>0</v>
      </c>
      <c r="O343" s="66">
        <f t="shared" si="216"/>
        <v>0</v>
      </c>
      <c r="P343" s="9">
        <f t="shared" si="217"/>
        <v>0</v>
      </c>
      <c r="Q343" s="66">
        <f t="shared" si="218"/>
        <v>0</v>
      </c>
      <c r="R343" s="66">
        <f t="shared" si="218"/>
        <v>0</v>
      </c>
      <c r="S343" s="66">
        <f t="shared" si="218"/>
        <v>0</v>
      </c>
      <c r="T343" s="66">
        <f t="shared" si="218"/>
        <v>0</v>
      </c>
      <c r="U343" s="66">
        <f t="shared" si="218"/>
        <v>0</v>
      </c>
      <c r="V343" s="66">
        <f t="shared" si="218"/>
        <v>0</v>
      </c>
      <c r="W343" s="27">
        <f t="shared" si="212"/>
        <v>1.5499999999992724</v>
      </c>
    </row>
    <row r="344" spans="1:23" x14ac:dyDescent="0.2">
      <c r="A344" s="3">
        <f t="shared" si="205"/>
        <v>29</v>
      </c>
      <c r="B344" s="3"/>
      <c r="C344" s="3" t="s">
        <v>135</v>
      </c>
      <c r="D344" s="3"/>
      <c r="E344" s="4"/>
      <c r="F344" s="8"/>
      <c r="G344" s="8"/>
      <c r="H344" s="8">
        <f t="shared" ref="H344:V344" si="219">SUM(H338:H343)</f>
        <v>-27.669999998015555</v>
      </c>
      <c r="I344" s="66">
        <v>0</v>
      </c>
      <c r="J344" s="66">
        <f t="shared" si="206"/>
        <v>0</v>
      </c>
      <c r="K344" s="8">
        <f t="shared" si="219"/>
        <v>0</v>
      </c>
      <c r="L344" s="8">
        <f t="shared" si="219"/>
        <v>0</v>
      </c>
      <c r="M344" s="9">
        <f t="shared" si="215"/>
        <v>0</v>
      </c>
      <c r="N344" s="8">
        <f t="shared" si="219"/>
        <v>0</v>
      </c>
      <c r="O344" s="8">
        <f t="shared" si="219"/>
        <v>0</v>
      </c>
      <c r="P344" s="9">
        <f t="shared" si="217"/>
        <v>0</v>
      </c>
      <c r="Q344" s="8">
        <f t="shared" si="219"/>
        <v>0</v>
      </c>
      <c r="R344" s="8">
        <f t="shared" si="219"/>
        <v>0</v>
      </c>
      <c r="S344" s="8">
        <f>SUM(S338:S343)</f>
        <v>0</v>
      </c>
      <c r="T344" s="8">
        <f t="shared" si="219"/>
        <v>0</v>
      </c>
      <c r="U344" s="8">
        <f t="shared" si="219"/>
        <v>0</v>
      </c>
      <c r="V344" s="8">
        <f t="shared" si="219"/>
        <v>0</v>
      </c>
      <c r="W344" s="27">
        <f t="shared" si="212"/>
        <v>27.669999998015555</v>
      </c>
    </row>
    <row r="345" spans="1:23" x14ac:dyDescent="0.2">
      <c r="A345" s="3">
        <f t="shared" si="205"/>
        <v>30</v>
      </c>
      <c r="B345" s="3"/>
      <c r="C345" s="3"/>
      <c r="D345" s="3"/>
      <c r="E345" s="4"/>
      <c r="F345" s="4"/>
      <c r="G345" s="4"/>
      <c r="H345" s="8"/>
      <c r="I345" s="8"/>
      <c r="J345" s="6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 t="str">
        <f t="shared" si="212"/>
        <v>OK</v>
      </c>
    </row>
    <row r="346" spans="1:23" x14ac:dyDescent="0.2">
      <c r="A346" s="3">
        <f t="shared" si="205"/>
        <v>31</v>
      </c>
      <c r="B346" s="3"/>
      <c r="C346" s="3" t="s">
        <v>175</v>
      </c>
      <c r="D346" s="3"/>
      <c r="E346" s="4"/>
      <c r="F346" s="8"/>
      <c r="G346" s="8"/>
      <c r="H346" s="8">
        <f t="shared" ref="H346:V346" si="220">H335+H344</f>
        <v>-25.729999983286689</v>
      </c>
      <c r="I346" s="8">
        <f t="shared" si="220"/>
        <v>0</v>
      </c>
      <c r="J346" s="66">
        <f t="shared" si="206"/>
        <v>-1.7399999859044326</v>
      </c>
      <c r="K346" s="8">
        <f t="shared" si="220"/>
        <v>-0.84349186062754056</v>
      </c>
      <c r="L346" s="8">
        <f>L335+L344</f>
        <v>-3.3362650313717351E-2</v>
      </c>
      <c r="M346" s="9">
        <f>SUM(N346:O346)</f>
        <v>-0.4967924686764088</v>
      </c>
      <c r="N346" s="8">
        <f t="shared" si="220"/>
        <v>-4.9970627106929295E-2</v>
      </c>
      <c r="O346" s="8">
        <f t="shared" si="220"/>
        <v>-0.44682184156947952</v>
      </c>
      <c r="P346" s="9">
        <f>SUM(Q346:S346)</f>
        <v>-0.14075210830452201</v>
      </c>
      <c r="Q346" s="8">
        <f t="shared" si="220"/>
        <v>-0.11019570766886244</v>
      </c>
      <c r="R346" s="8">
        <f t="shared" si="220"/>
        <v>-9.0176328380997452E-3</v>
      </c>
      <c r="S346" s="8">
        <f>S335+S344</f>
        <v>-2.1538767797559821E-2</v>
      </c>
      <c r="T346" s="8">
        <f t="shared" si="220"/>
        <v>-0.22560089871475295</v>
      </c>
      <c r="U346" s="8">
        <f t="shared" si="220"/>
        <v>7.0011691351187413E-10</v>
      </c>
      <c r="V346" s="8">
        <f t="shared" si="220"/>
        <v>3.2392066617499311E-11</v>
      </c>
      <c r="W346" s="27">
        <f t="shared" si="212"/>
        <v>23.989999997382256</v>
      </c>
    </row>
    <row r="347" spans="1:23" x14ac:dyDescent="0.2">
      <c r="A347" s="3">
        <f t="shared" si="205"/>
        <v>32</v>
      </c>
      <c r="B347" s="3"/>
      <c r="C347" s="3"/>
      <c r="D347" s="3"/>
      <c r="E347" s="4"/>
      <c r="F347" s="4"/>
      <c r="G347" s="4"/>
      <c r="H347" s="8"/>
      <c r="I347" s="8"/>
      <c r="J347" s="8"/>
      <c r="K347" s="8"/>
      <c r="L347" s="8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27" t="str">
        <f t="shared" si="212"/>
        <v>OK</v>
      </c>
    </row>
    <row r="348" spans="1:23" x14ac:dyDescent="0.2">
      <c r="A348" s="3">
        <f t="shared" si="205"/>
        <v>33</v>
      </c>
      <c r="B348" s="7" t="s">
        <v>144</v>
      </c>
      <c r="C348" s="3"/>
      <c r="D348" s="3"/>
      <c r="E348" s="4"/>
      <c r="F348" s="4"/>
      <c r="G348" s="4"/>
      <c r="H348" s="8"/>
      <c r="I348" s="8"/>
      <c r="J348" s="8"/>
      <c r="K348" s="8"/>
      <c r="L348" s="8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27" t="str">
        <f t="shared" si="212"/>
        <v>OK</v>
      </c>
    </row>
    <row r="349" spans="1:23" x14ac:dyDescent="0.2">
      <c r="A349" s="3">
        <f t="shared" si="205"/>
        <v>34</v>
      </c>
      <c r="B349" s="3" t="s">
        <v>176</v>
      </c>
      <c r="C349" s="3"/>
      <c r="D349" s="3"/>
      <c r="E349" s="4"/>
      <c r="F349" s="4"/>
      <c r="G349" s="4"/>
      <c r="H349" s="8"/>
      <c r="I349" s="8"/>
      <c r="J349" s="8"/>
      <c r="K349" s="8"/>
      <c r="L349" s="8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27" t="str">
        <f t="shared" si="212"/>
        <v>OK</v>
      </c>
    </row>
    <row r="350" spans="1:23" x14ac:dyDescent="0.2">
      <c r="A350" s="3">
        <f t="shared" si="205"/>
        <v>35</v>
      </c>
      <c r="B350" s="3"/>
      <c r="C350" s="3" t="s">
        <v>140</v>
      </c>
      <c r="D350" s="3"/>
      <c r="E350" s="4"/>
      <c r="F350" s="4"/>
      <c r="G350" s="4"/>
      <c r="H350" s="8"/>
      <c r="I350" s="8"/>
      <c r="J350" s="8"/>
      <c r="K350" s="8"/>
      <c r="L350" s="8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27" t="str">
        <f t="shared" si="212"/>
        <v>OK</v>
      </c>
    </row>
    <row r="351" spans="1:23" x14ac:dyDescent="0.2">
      <c r="A351" s="3">
        <f t="shared" si="205"/>
        <v>36</v>
      </c>
      <c r="B351" s="3" t="s">
        <v>177</v>
      </c>
      <c r="C351" s="3" t="s">
        <v>145</v>
      </c>
      <c r="D351" s="1" t="s">
        <v>360</v>
      </c>
      <c r="E351" s="4" t="s">
        <v>595</v>
      </c>
      <c r="F351" s="11"/>
      <c r="G351" s="1"/>
      <c r="H351" s="14">
        <f>'II-I TOTAL COMPANY'!K351</f>
        <v>4712954.031479043</v>
      </c>
      <c r="I351" s="66">
        <v>0</v>
      </c>
      <c r="J351" s="66">
        <f t="shared" ref="J351:J377" si="221">SUM(K351:V351)-M351-P351</f>
        <v>4712954.031479042</v>
      </c>
      <c r="K351" s="66">
        <f t="shared" ref="K351:L362" si="222">VLOOKUP($D351,$E$741:$V$815,K$1,FALSE)*$H351</f>
        <v>2716857.3584641744</v>
      </c>
      <c r="L351" s="66">
        <f t="shared" si="222"/>
        <v>108486.19672430742</v>
      </c>
      <c r="M351" s="9">
        <f t="shared" ref="M351:M363" si="223">SUM(N351:O351)</f>
        <v>1348147.8903442745</v>
      </c>
      <c r="N351" s="66">
        <f t="shared" ref="N351:O362" si="224">VLOOKUP($D351,$E$741:$V$815,N$1,FALSE)*$H351</f>
        <v>177403.09255018024</v>
      </c>
      <c r="O351" s="66">
        <f t="shared" si="224"/>
        <v>1170744.7977940943</v>
      </c>
      <c r="P351" s="9">
        <f t="shared" ref="P351:P375" si="225">SUM(Q351:S351)</f>
        <v>334303.88141148764</v>
      </c>
      <c r="Q351" s="66">
        <f t="shared" ref="Q351:V362" si="226">VLOOKUP($D351,$E$741:$V$815,Q$1,FALSE)*$H351</f>
        <v>271955.24378876953</v>
      </c>
      <c r="R351" s="66">
        <f t="shared" si="226"/>
        <v>19680.249695801376</v>
      </c>
      <c r="S351" s="66">
        <f t="shared" si="226"/>
        <v>42668.387926916788</v>
      </c>
      <c r="T351" s="66">
        <f t="shared" si="226"/>
        <v>0</v>
      </c>
      <c r="U351" s="66">
        <f t="shared" si="226"/>
        <v>192744.82253966253</v>
      </c>
      <c r="V351" s="66">
        <f t="shared" si="226"/>
        <v>12413.881995135793</v>
      </c>
      <c r="W351" s="27">
        <f t="shared" si="212"/>
        <v>-9.3132257461547852E-10</v>
      </c>
    </row>
    <row r="352" spans="1:23" s="132" customFormat="1" x14ac:dyDescent="0.2">
      <c r="A352" s="3">
        <f t="shared" si="205"/>
        <v>37</v>
      </c>
      <c r="B352" s="3" t="s">
        <v>178</v>
      </c>
      <c r="C352" s="3" t="s">
        <v>155</v>
      </c>
      <c r="D352" s="1" t="s">
        <v>368</v>
      </c>
      <c r="E352" s="4" t="s">
        <v>595</v>
      </c>
      <c r="F352" s="11"/>
      <c r="G352" s="11"/>
      <c r="H352" s="14">
        <f>'II-I TOTAL COMPANY'!K352</f>
        <v>3401462.8271823106</v>
      </c>
      <c r="I352" s="66">
        <v>0</v>
      </c>
      <c r="J352" s="66">
        <f t="shared" si="221"/>
        <v>3401462.8271823116</v>
      </c>
      <c r="K352" s="66">
        <f t="shared" si="222"/>
        <v>1923965.4951143363</v>
      </c>
      <c r="L352" s="66">
        <f t="shared" si="222"/>
        <v>67115.165627312206</v>
      </c>
      <c r="M352" s="9">
        <f t="shared" si="223"/>
        <v>1012199.0481827458</v>
      </c>
      <c r="N352" s="66">
        <f t="shared" si="224"/>
        <v>135916.92341732606</v>
      </c>
      <c r="O352" s="66">
        <f t="shared" si="224"/>
        <v>876282.12476541975</v>
      </c>
      <c r="P352" s="9">
        <f t="shared" si="225"/>
        <v>347609.73229263286</v>
      </c>
      <c r="Q352" s="66">
        <f t="shared" si="226"/>
        <v>282779.515122146</v>
      </c>
      <c r="R352" s="66">
        <f t="shared" si="226"/>
        <v>20463.556388653426</v>
      </c>
      <c r="S352" s="66">
        <f t="shared" si="226"/>
        <v>44366.660781833467</v>
      </c>
      <c r="T352" s="66">
        <f t="shared" si="226"/>
        <v>0</v>
      </c>
      <c r="U352" s="66">
        <f t="shared" si="226"/>
        <v>37665.410805611558</v>
      </c>
      <c r="V352" s="66">
        <f t="shared" si="226"/>
        <v>12907.975159672209</v>
      </c>
      <c r="W352" s="27" t="str">
        <f t="shared" si="212"/>
        <v>OK</v>
      </c>
    </row>
    <row r="353" spans="1:23" x14ac:dyDescent="0.2">
      <c r="A353" s="3">
        <f t="shared" si="205"/>
        <v>38</v>
      </c>
      <c r="B353" s="3" t="s">
        <v>179</v>
      </c>
      <c r="C353" s="3" t="s">
        <v>180</v>
      </c>
      <c r="D353" s="1" t="s">
        <v>332</v>
      </c>
      <c r="E353" s="4" t="s">
        <v>595</v>
      </c>
      <c r="F353" s="11"/>
      <c r="G353" s="11"/>
      <c r="H353" s="14">
        <f>'II-I TOTAL COMPANY'!K353</f>
        <v>2244671.5476247608</v>
      </c>
      <c r="I353" s="66">
        <v>0</v>
      </c>
      <c r="J353" s="66">
        <f t="shared" si="221"/>
        <v>2244671.5476247608</v>
      </c>
      <c r="K353" s="66">
        <f t="shared" si="222"/>
        <v>1269650.9780976847</v>
      </c>
      <c r="L353" s="66">
        <f t="shared" si="222"/>
        <v>44290.209933749917</v>
      </c>
      <c r="M353" s="9">
        <f t="shared" si="223"/>
        <v>667963.90830200212</v>
      </c>
      <c r="N353" s="66">
        <f t="shared" si="224"/>
        <v>89693.424957489129</v>
      </c>
      <c r="O353" s="66">
        <f t="shared" si="224"/>
        <v>578270.48334451299</v>
      </c>
      <c r="P353" s="9">
        <f t="shared" si="225"/>
        <v>229392.38656948358</v>
      </c>
      <c r="Q353" s="66">
        <f t="shared" si="226"/>
        <v>186610.0451762444</v>
      </c>
      <c r="R353" s="66">
        <f t="shared" si="226"/>
        <v>13504.178973161326</v>
      </c>
      <c r="S353" s="66">
        <f t="shared" si="226"/>
        <v>29278.162420077857</v>
      </c>
      <c r="T353" s="66">
        <f t="shared" si="226"/>
        <v>0</v>
      </c>
      <c r="U353" s="66">
        <f t="shared" si="226"/>
        <v>24855.916486669576</v>
      </c>
      <c r="V353" s="66">
        <f t="shared" si="226"/>
        <v>8518.1482351711857</v>
      </c>
      <c r="W353" s="27">
        <f t="shared" si="212"/>
        <v>4.6566128730773926E-10</v>
      </c>
    </row>
    <row r="354" spans="1:23" x14ac:dyDescent="0.2">
      <c r="A354" s="3">
        <f t="shared" si="205"/>
        <v>39</v>
      </c>
      <c r="B354" s="3" t="s">
        <v>181</v>
      </c>
      <c r="C354" s="3" t="s">
        <v>182</v>
      </c>
      <c r="D354" s="1" t="s">
        <v>333</v>
      </c>
      <c r="E354" s="4" t="s">
        <v>595</v>
      </c>
      <c r="F354" s="11"/>
      <c r="G354" s="11"/>
      <c r="H354" s="14">
        <f>'II-I TOTAL COMPANY'!K354</f>
        <v>8782875.3498802762</v>
      </c>
      <c r="I354" s="66">
        <v>0</v>
      </c>
      <c r="J354" s="66">
        <f t="shared" si="221"/>
        <v>8782875.3498802744</v>
      </c>
      <c r="K354" s="66">
        <f t="shared" si="222"/>
        <v>5106605.523622592</v>
      </c>
      <c r="L354" s="66">
        <f t="shared" si="222"/>
        <v>178137.64143982742</v>
      </c>
      <c r="M354" s="9">
        <f t="shared" si="223"/>
        <v>2686587.2925378876</v>
      </c>
      <c r="N354" s="66">
        <f t="shared" si="224"/>
        <v>360751.8500925398</v>
      </c>
      <c r="O354" s="66">
        <f t="shared" si="224"/>
        <v>2325835.4424453476</v>
      </c>
      <c r="P354" s="9">
        <f t="shared" si="225"/>
        <v>686095.88022899569</v>
      </c>
      <c r="Q354" s="66">
        <f t="shared" si="226"/>
        <v>558137.02067216032</v>
      </c>
      <c r="R354" s="66">
        <f t="shared" si="226"/>
        <v>40390.013364957835</v>
      </c>
      <c r="S354" s="66">
        <f t="shared" si="226"/>
        <v>87568.846191877514</v>
      </c>
      <c r="T354" s="66">
        <f t="shared" si="226"/>
        <v>0</v>
      </c>
      <c r="U354" s="66">
        <f t="shared" si="226"/>
        <v>99971.852591888426</v>
      </c>
      <c r="V354" s="66">
        <f t="shared" si="226"/>
        <v>25477.159459085164</v>
      </c>
      <c r="W354" s="27" t="str">
        <f t="shared" si="212"/>
        <v>OK</v>
      </c>
    </row>
    <row r="355" spans="1:23" x14ac:dyDescent="0.2">
      <c r="A355" s="3">
        <f t="shared" si="205"/>
        <v>40</v>
      </c>
      <c r="B355" s="3" t="s">
        <v>183</v>
      </c>
      <c r="C355" s="3" t="s">
        <v>160</v>
      </c>
      <c r="D355" s="1" t="s">
        <v>421</v>
      </c>
      <c r="E355" s="4" t="s">
        <v>595</v>
      </c>
      <c r="F355" s="11"/>
      <c r="G355" s="11"/>
      <c r="H355" s="14">
        <f>'II-I TOTAL COMPANY'!K355</f>
        <v>3730823.1062993715</v>
      </c>
      <c r="I355" s="66">
        <v>0</v>
      </c>
      <c r="J355" s="66">
        <f t="shared" si="221"/>
        <v>3730823.1062993696</v>
      </c>
      <c r="K355" s="66">
        <f t="shared" si="222"/>
        <v>2210558.710086504</v>
      </c>
      <c r="L355" s="66">
        <f t="shared" si="222"/>
        <v>77112.616797494382</v>
      </c>
      <c r="M355" s="9">
        <f t="shared" si="223"/>
        <v>1162975.8579265308</v>
      </c>
      <c r="N355" s="66">
        <f t="shared" si="224"/>
        <v>156163.05992560196</v>
      </c>
      <c r="O355" s="66">
        <f t="shared" si="224"/>
        <v>1006812.7980009288</v>
      </c>
      <c r="P355" s="9">
        <f t="shared" si="225"/>
        <v>228417.92158924049</v>
      </c>
      <c r="Q355" s="66">
        <f t="shared" si="226"/>
        <v>185817.32072402831</v>
      </c>
      <c r="R355" s="66">
        <f t="shared" si="226"/>
        <v>13446.812860479577</v>
      </c>
      <c r="S355" s="66">
        <f t="shared" si="226"/>
        <v>29153.788004732593</v>
      </c>
      <c r="T355" s="66">
        <f t="shared" si="226"/>
        <v>0</v>
      </c>
      <c r="U355" s="66">
        <f t="shared" si="226"/>
        <v>43276.036985467334</v>
      </c>
      <c r="V355" s="66">
        <f t="shared" si="226"/>
        <v>8481.9629141331679</v>
      </c>
      <c r="W355" s="27">
        <f t="shared" si="212"/>
        <v>-1.862645149230957E-9</v>
      </c>
    </row>
    <row r="356" spans="1:23" x14ac:dyDescent="0.2">
      <c r="A356" s="3">
        <f t="shared" si="205"/>
        <v>41</v>
      </c>
      <c r="B356" s="3" t="s">
        <v>184</v>
      </c>
      <c r="C356" s="3" t="s">
        <v>185</v>
      </c>
      <c r="D356" s="1" t="s">
        <v>335</v>
      </c>
      <c r="E356" s="4" t="s">
        <v>595</v>
      </c>
      <c r="F356" s="11"/>
      <c r="G356" s="11"/>
      <c r="H356" s="14">
        <f>'II-I TOTAL COMPANY'!K356</f>
        <v>38394.809101184015</v>
      </c>
      <c r="I356" s="66">
        <v>0</v>
      </c>
      <c r="J356" s="66">
        <f t="shared" si="221"/>
        <v>38394.809101184015</v>
      </c>
      <c r="K356" s="66">
        <f t="shared" si="222"/>
        <v>0</v>
      </c>
      <c r="L356" s="66">
        <f t="shared" si="222"/>
        <v>0</v>
      </c>
      <c r="M356" s="9">
        <f t="shared" si="223"/>
        <v>0</v>
      </c>
      <c r="N356" s="66">
        <f t="shared" si="224"/>
        <v>0</v>
      </c>
      <c r="O356" s="66">
        <f t="shared" si="224"/>
        <v>0</v>
      </c>
      <c r="P356" s="9">
        <f t="shared" si="225"/>
        <v>0</v>
      </c>
      <c r="Q356" s="66">
        <f t="shared" si="226"/>
        <v>0</v>
      </c>
      <c r="R356" s="66">
        <f t="shared" si="226"/>
        <v>0</v>
      </c>
      <c r="S356" s="66">
        <f t="shared" si="226"/>
        <v>0</v>
      </c>
      <c r="T356" s="66">
        <f t="shared" si="226"/>
        <v>0</v>
      </c>
      <c r="U356" s="66">
        <f t="shared" si="226"/>
        <v>38394.809101184015</v>
      </c>
      <c r="V356" s="66">
        <f t="shared" si="226"/>
        <v>0</v>
      </c>
      <c r="W356" s="27" t="str">
        <f t="shared" si="212"/>
        <v>OK</v>
      </c>
    </row>
    <row r="357" spans="1:23" x14ac:dyDescent="0.2">
      <c r="A357" s="3">
        <f t="shared" si="205"/>
        <v>42</v>
      </c>
      <c r="B357" s="3" t="s">
        <v>186</v>
      </c>
      <c r="C357" s="3" t="s">
        <v>187</v>
      </c>
      <c r="D357" s="1" t="s">
        <v>331</v>
      </c>
      <c r="E357" s="4" t="s">
        <v>595</v>
      </c>
      <c r="F357" s="11"/>
      <c r="G357" s="11"/>
      <c r="H357" s="14">
        <f>'II-I TOTAL COMPANY'!K357</f>
        <v>0.63000000081956387</v>
      </c>
      <c r="I357" s="66">
        <v>0</v>
      </c>
      <c r="J357" s="66">
        <f t="shared" si="221"/>
        <v>0.63000000081956409</v>
      </c>
      <c r="K357" s="66">
        <f t="shared" si="222"/>
        <v>0.3662543632394446</v>
      </c>
      <c r="L357" s="66">
        <f t="shared" si="222"/>
        <v>1.5280780939809032E-2</v>
      </c>
      <c r="M357" s="9">
        <f t="shared" si="223"/>
        <v>0.17785713080100221</v>
      </c>
      <c r="N357" s="66">
        <f t="shared" si="224"/>
        <v>2.3220419167754851E-2</v>
      </c>
      <c r="O357" s="66">
        <f t="shared" si="224"/>
        <v>0.15463671163324735</v>
      </c>
      <c r="P357" s="9">
        <f t="shared" si="225"/>
        <v>3.8379362681615847E-2</v>
      </c>
      <c r="Q357" s="66">
        <f t="shared" si="226"/>
        <v>3.1221500900521032E-2</v>
      </c>
      <c r="R357" s="66">
        <f t="shared" si="226"/>
        <v>2.2593678468549364E-3</v>
      </c>
      <c r="S357" s="66">
        <f t="shared" si="226"/>
        <v>4.8984939342398733E-3</v>
      </c>
      <c r="T357" s="66">
        <f t="shared" si="226"/>
        <v>0</v>
      </c>
      <c r="U357" s="66">
        <f t="shared" si="226"/>
        <v>3.0803202081588394E-2</v>
      </c>
      <c r="V357" s="66">
        <f t="shared" si="226"/>
        <v>1.4251610761038731E-3</v>
      </c>
      <c r="W357" s="27">
        <f t="shared" si="212"/>
        <v>2.2204460492503131E-16</v>
      </c>
    </row>
    <row r="358" spans="1:23" x14ac:dyDescent="0.2">
      <c r="A358" s="3">
        <f t="shared" si="205"/>
        <v>43</v>
      </c>
      <c r="B358" s="3" t="s">
        <v>186</v>
      </c>
      <c r="C358" s="3" t="s">
        <v>187</v>
      </c>
      <c r="D358" s="1" t="s">
        <v>331</v>
      </c>
      <c r="E358" s="4" t="s">
        <v>595</v>
      </c>
      <c r="F358" s="11"/>
      <c r="G358" s="11"/>
      <c r="H358" s="14">
        <f>'II-I TOTAL COMPANY'!K358</f>
        <v>0</v>
      </c>
      <c r="I358" s="66">
        <v>0</v>
      </c>
      <c r="J358" s="66">
        <f t="shared" si="221"/>
        <v>0</v>
      </c>
      <c r="K358" s="66">
        <f t="shared" si="222"/>
        <v>0</v>
      </c>
      <c r="L358" s="66">
        <f t="shared" si="222"/>
        <v>0</v>
      </c>
      <c r="M358" s="9">
        <f t="shared" si="223"/>
        <v>0</v>
      </c>
      <c r="N358" s="66">
        <f t="shared" si="224"/>
        <v>0</v>
      </c>
      <c r="O358" s="66">
        <f t="shared" si="224"/>
        <v>0</v>
      </c>
      <c r="P358" s="9">
        <f t="shared" si="225"/>
        <v>0</v>
      </c>
      <c r="Q358" s="66">
        <f t="shared" si="226"/>
        <v>0</v>
      </c>
      <c r="R358" s="66">
        <f t="shared" si="226"/>
        <v>0</v>
      </c>
      <c r="S358" s="66">
        <f t="shared" si="226"/>
        <v>0</v>
      </c>
      <c r="T358" s="66">
        <f t="shared" si="226"/>
        <v>0</v>
      </c>
      <c r="U358" s="66">
        <f t="shared" si="226"/>
        <v>0</v>
      </c>
      <c r="V358" s="66">
        <f t="shared" si="226"/>
        <v>0</v>
      </c>
      <c r="W358" s="27" t="str">
        <f t="shared" si="212"/>
        <v>OK</v>
      </c>
    </row>
    <row r="359" spans="1:23" x14ac:dyDescent="0.2">
      <c r="A359" s="3">
        <f>+A357+1</f>
        <v>43</v>
      </c>
      <c r="B359" s="3" t="s">
        <v>188</v>
      </c>
      <c r="C359" s="3" t="s">
        <v>189</v>
      </c>
      <c r="D359" s="1" t="s">
        <v>331</v>
      </c>
      <c r="E359" s="4" t="s">
        <v>595</v>
      </c>
      <c r="F359" s="11"/>
      <c r="G359" s="11"/>
      <c r="H359" s="14">
        <f>'II-I TOTAL COMPANY'!K359</f>
        <v>1281767.7809011489</v>
      </c>
      <c r="I359" s="66">
        <v>0</v>
      </c>
      <c r="J359" s="66">
        <f t="shared" si="221"/>
        <v>1281767.7809011491</v>
      </c>
      <c r="K359" s="66">
        <f t="shared" si="222"/>
        <v>745163.55841916997</v>
      </c>
      <c r="L359" s="66">
        <f t="shared" si="222"/>
        <v>31089.543889167824</v>
      </c>
      <c r="M359" s="9">
        <f t="shared" si="223"/>
        <v>361859.58661536337</v>
      </c>
      <c r="N359" s="66">
        <f t="shared" si="224"/>
        <v>47243.150967506124</v>
      </c>
      <c r="O359" s="66">
        <f t="shared" si="224"/>
        <v>314616.43564785726</v>
      </c>
      <c r="P359" s="9">
        <f t="shared" si="225"/>
        <v>78084.810274316842</v>
      </c>
      <c r="Q359" s="66">
        <f t="shared" si="226"/>
        <v>63521.768053339554</v>
      </c>
      <c r="R359" s="66">
        <f t="shared" si="226"/>
        <v>4596.8014405322001</v>
      </c>
      <c r="S359" s="66">
        <f t="shared" si="226"/>
        <v>9966.2407804450959</v>
      </c>
      <c r="T359" s="66">
        <f t="shared" si="226"/>
        <v>0</v>
      </c>
      <c r="U359" s="66">
        <f t="shared" si="226"/>
        <v>62670.717341911986</v>
      </c>
      <c r="V359" s="66">
        <f t="shared" si="226"/>
        <v>2899.5643612190106</v>
      </c>
      <c r="W359" s="27">
        <f t="shared" si="212"/>
        <v>2.3283064365386963E-10</v>
      </c>
    </row>
    <row r="360" spans="1:23" x14ac:dyDescent="0.2">
      <c r="A360" s="3">
        <f>+A359+1</f>
        <v>44</v>
      </c>
      <c r="B360" s="3" t="s">
        <v>190</v>
      </c>
      <c r="C360" s="3" t="s">
        <v>191</v>
      </c>
      <c r="D360" s="1" t="s">
        <v>331</v>
      </c>
      <c r="E360" s="4" t="s">
        <v>595</v>
      </c>
      <c r="F360" s="11"/>
      <c r="G360" s="11"/>
      <c r="H360" s="14">
        <f>'II-I TOTAL COMPANY'!K360</f>
        <v>23695989.421036243</v>
      </c>
      <c r="I360" s="66">
        <v>0</v>
      </c>
      <c r="J360" s="66">
        <f t="shared" si="221"/>
        <v>23695989.421036243</v>
      </c>
      <c r="K360" s="66">
        <f t="shared" si="222"/>
        <v>13775808.738793792</v>
      </c>
      <c r="L360" s="66">
        <f t="shared" si="222"/>
        <v>574751.14765689173</v>
      </c>
      <c r="M360" s="9">
        <f t="shared" si="223"/>
        <v>6689683.6260853717</v>
      </c>
      <c r="N360" s="66">
        <f t="shared" si="224"/>
        <v>873382.2321196089</v>
      </c>
      <c r="O360" s="66">
        <f t="shared" si="224"/>
        <v>5816301.393965763</v>
      </c>
      <c r="P360" s="9">
        <f t="shared" si="225"/>
        <v>1443550.7474707938</v>
      </c>
      <c r="Q360" s="66">
        <f t="shared" si="226"/>
        <v>1174324.3715637876</v>
      </c>
      <c r="R360" s="66">
        <f t="shared" si="226"/>
        <v>84980.883377232924</v>
      </c>
      <c r="S360" s="66">
        <f t="shared" si="226"/>
        <v>184245.49252977347</v>
      </c>
      <c r="T360" s="66">
        <f t="shared" si="226"/>
        <v>0</v>
      </c>
      <c r="U360" s="66">
        <f t="shared" si="226"/>
        <v>1158591.0312854298</v>
      </c>
      <c r="V360" s="66">
        <f t="shared" si="226"/>
        <v>53604.129743965073</v>
      </c>
      <c r="W360" s="27" t="str">
        <f t="shared" si="212"/>
        <v>OK</v>
      </c>
    </row>
    <row r="361" spans="1:23" x14ac:dyDescent="0.2">
      <c r="A361" s="3">
        <f>+A360+1</f>
        <v>45</v>
      </c>
      <c r="B361" s="3" t="s">
        <v>190</v>
      </c>
      <c r="C361" s="3" t="s">
        <v>191</v>
      </c>
      <c r="D361" s="1" t="s">
        <v>388</v>
      </c>
      <c r="E361" s="4" t="s">
        <v>595</v>
      </c>
      <c r="F361" s="11"/>
      <c r="G361" s="11"/>
      <c r="H361" s="14">
        <f>'II-I TOTAL COMPANY'!K361</f>
        <v>0</v>
      </c>
      <c r="I361" s="66">
        <v>0</v>
      </c>
      <c r="J361" s="66">
        <f t="shared" si="221"/>
        <v>0</v>
      </c>
      <c r="K361" s="66">
        <f t="shared" si="222"/>
        <v>0</v>
      </c>
      <c r="L361" s="66">
        <f t="shared" si="222"/>
        <v>0</v>
      </c>
      <c r="M361" s="9">
        <f t="shared" si="223"/>
        <v>0</v>
      </c>
      <c r="N361" s="66">
        <f t="shared" si="224"/>
        <v>0</v>
      </c>
      <c r="O361" s="66">
        <f t="shared" si="224"/>
        <v>0</v>
      </c>
      <c r="P361" s="9">
        <f t="shared" si="225"/>
        <v>0</v>
      </c>
      <c r="Q361" s="66">
        <f t="shared" si="226"/>
        <v>0</v>
      </c>
      <c r="R361" s="66">
        <f t="shared" si="226"/>
        <v>0</v>
      </c>
      <c r="S361" s="66">
        <f t="shared" si="226"/>
        <v>0</v>
      </c>
      <c r="T361" s="66">
        <f t="shared" si="226"/>
        <v>0</v>
      </c>
      <c r="U361" s="66">
        <f t="shared" si="226"/>
        <v>0</v>
      </c>
      <c r="V361" s="66">
        <f t="shared" si="226"/>
        <v>0</v>
      </c>
      <c r="W361" s="27" t="str">
        <f t="shared" si="212"/>
        <v>OK</v>
      </c>
    </row>
    <row r="362" spans="1:23" x14ac:dyDescent="0.2">
      <c r="A362" s="3">
        <f>+A360+1</f>
        <v>45</v>
      </c>
      <c r="B362" s="3" t="s">
        <v>192</v>
      </c>
      <c r="C362" s="3" t="s">
        <v>141</v>
      </c>
      <c r="D362" s="1" t="s">
        <v>331</v>
      </c>
      <c r="E362" s="4" t="s">
        <v>595</v>
      </c>
      <c r="F362" s="11"/>
      <c r="G362" s="11"/>
      <c r="H362" s="14">
        <f>'II-I TOTAL COMPANY'!K362</f>
        <v>3423795.4920000006</v>
      </c>
      <c r="I362" s="66">
        <v>0</v>
      </c>
      <c r="J362" s="66">
        <f t="shared" si="221"/>
        <v>3423795.4920000015</v>
      </c>
      <c r="K362" s="66">
        <f t="shared" si="222"/>
        <v>1990444.5018305471</v>
      </c>
      <c r="L362" s="66">
        <f t="shared" si="222"/>
        <v>83044.871155392262</v>
      </c>
      <c r="M362" s="9">
        <f t="shared" si="223"/>
        <v>966581.6537529371</v>
      </c>
      <c r="N362" s="66">
        <f t="shared" si="224"/>
        <v>126193.59740553293</v>
      </c>
      <c r="O362" s="66">
        <f t="shared" si="224"/>
        <v>840388.05634740414</v>
      </c>
      <c r="P362" s="9">
        <f t="shared" si="225"/>
        <v>208576.33137175834</v>
      </c>
      <c r="Q362" s="66">
        <f t="shared" si="226"/>
        <v>169676.2442819323</v>
      </c>
      <c r="R362" s="66">
        <f t="shared" si="226"/>
        <v>12278.751490108663</v>
      </c>
      <c r="S362" s="66">
        <f t="shared" si="226"/>
        <v>26621.335599717364</v>
      </c>
      <c r="T362" s="66">
        <f t="shared" si="226"/>
        <v>0</v>
      </c>
      <c r="U362" s="66">
        <f t="shared" si="226"/>
        <v>167402.95918874597</v>
      </c>
      <c r="V362" s="66">
        <f t="shared" si="226"/>
        <v>7745.1747006200712</v>
      </c>
      <c r="W362" s="27" t="str">
        <f t="shared" si="212"/>
        <v>OK</v>
      </c>
    </row>
    <row r="363" spans="1:23" x14ac:dyDescent="0.2">
      <c r="A363" s="3">
        <f t="shared" ref="A363:A377" si="227">+A362+1</f>
        <v>46</v>
      </c>
      <c r="B363" s="3"/>
      <c r="C363" s="3" t="s">
        <v>193</v>
      </c>
      <c r="D363" s="3"/>
      <c r="E363" s="4"/>
      <c r="F363" s="8"/>
      <c r="G363" s="8"/>
      <c r="H363" s="8">
        <f t="shared" ref="H363:V363" si="228">SUM(H351:H362)</f>
        <v>51312734.995504335</v>
      </c>
      <c r="I363" s="8">
        <f t="shared" si="228"/>
        <v>0</v>
      </c>
      <c r="J363" s="66">
        <f t="shared" si="221"/>
        <v>51312734.995504335</v>
      </c>
      <c r="K363" s="8">
        <f t="shared" si="228"/>
        <v>29739055.230683163</v>
      </c>
      <c r="L363" s="8">
        <f t="shared" si="228"/>
        <v>1164027.4085049243</v>
      </c>
      <c r="M363" s="9">
        <f t="shared" si="223"/>
        <v>14895999.041604243</v>
      </c>
      <c r="N363" s="8">
        <f t="shared" si="228"/>
        <v>1966747.3546562041</v>
      </c>
      <c r="O363" s="8">
        <f t="shared" si="228"/>
        <v>12929251.686948039</v>
      </c>
      <c r="P363" s="9">
        <f t="shared" si="225"/>
        <v>3556031.7295880718</v>
      </c>
      <c r="Q363" s="8">
        <f t="shared" si="228"/>
        <v>2892821.5606039087</v>
      </c>
      <c r="R363" s="8">
        <f t="shared" si="228"/>
        <v>209341.24985029519</v>
      </c>
      <c r="S363" s="8">
        <f>SUM(S351:S362)</f>
        <v>453868.91913386807</v>
      </c>
      <c r="T363" s="8">
        <f t="shared" si="228"/>
        <v>0</v>
      </c>
      <c r="U363" s="8">
        <f t="shared" si="228"/>
        <v>1825573.5871297733</v>
      </c>
      <c r="V363" s="8">
        <f t="shared" si="228"/>
        <v>132047.99799416272</v>
      </c>
      <c r="W363" s="27" t="str">
        <f t="shared" si="212"/>
        <v>OK</v>
      </c>
    </row>
    <row r="364" spans="1:23" x14ac:dyDescent="0.2">
      <c r="A364" s="3">
        <f t="shared" si="227"/>
        <v>47</v>
      </c>
      <c r="B364" s="3" t="s">
        <v>142</v>
      </c>
      <c r="C364" s="3"/>
      <c r="D364" s="3"/>
      <c r="E364" s="4"/>
      <c r="F364" s="4"/>
      <c r="G364" s="4"/>
      <c r="H364" s="8"/>
      <c r="I364" s="8"/>
      <c r="J364" s="8"/>
      <c r="K364" s="8"/>
      <c r="L364" s="8"/>
      <c r="M364" s="3"/>
      <c r="N364" s="3"/>
      <c r="O364" s="3"/>
      <c r="P364" s="9">
        <f t="shared" si="225"/>
        <v>0</v>
      </c>
      <c r="Q364" s="3"/>
      <c r="R364" s="3"/>
      <c r="S364" s="3"/>
      <c r="T364" s="3"/>
      <c r="U364" s="3"/>
      <c r="V364" s="3"/>
      <c r="W364" s="27" t="str">
        <f t="shared" si="212"/>
        <v>OK</v>
      </c>
    </row>
    <row r="365" spans="1:23" x14ac:dyDescent="0.2">
      <c r="A365" s="3">
        <f t="shared" si="227"/>
        <v>48</v>
      </c>
      <c r="B365" s="3" t="s">
        <v>194</v>
      </c>
      <c r="C365" s="3" t="s">
        <v>195</v>
      </c>
      <c r="D365" s="1" t="s">
        <v>424</v>
      </c>
      <c r="E365" s="4" t="s">
        <v>595</v>
      </c>
      <c r="F365" s="11"/>
      <c r="G365" s="1"/>
      <c r="H365" s="14">
        <f>'II-I TOTAL COMPANY'!K365</f>
        <v>139190.37234480635</v>
      </c>
      <c r="I365" s="66">
        <v>0</v>
      </c>
      <c r="J365" s="66">
        <f t="shared" si="221"/>
        <v>139190.37234480635</v>
      </c>
      <c r="K365" s="66">
        <f t="shared" ref="K365:L373" si="229">VLOOKUP($D365,$E$741:$V$815,K$1,FALSE)*$H365</f>
        <v>79819.370476634474</v>
      </c>
      <c r="L365" s="66">
        <f t="shared" si="229"/>
        <v>2786.0173201569282</v>
      </c>
      <c r="M365" s="9">
        <f t="shared" ref="M365:M375" si="230">SUM(N365:O365)</f>
        <v>41983.429799870624</v>
      </c>
      <c r="N365" s="66">
        <f t="shared" ref="N365:O373" si="231">VLOOKUP($D365,$E$741:$V$815,N$1,FALSE)*$H365</f>
        <v>5637.0592180288304</v>
      </c>
      <c r="O365" s="66">
        <f t="shared" si="231"/>
        <v>36346.370581841795</v>
      </c>
      <c r="P365" s="9">
        <f t="shared" si="225"/>
        <v>11511.759465807339</v>
      </c>
      <c r="Q365" s="66">
        <f t="shared" ref="Q365:V373" si="232">VLOOKUP($D365,$E$741:$V$815,Q$1,FALSE)*$H365</f>
        <v>9364.7831390501178</v>
      </c>
      <c r="R365" s="66">
        <f t="shared" si="232"/>
        <v>677.68971083596978</v>
      </c>
      <c r="S365" s="66">
        <f t="shared" si="232"/>
        <v>1469.286615921251</v>
      </c>
      <c r="T365" s="66">
        <f t="shared" si="232"/>
        <v>0</v>
      </c>
      <c r="U365" s="66">
        <f t="shared" si="232"/>
        <v>2662.3230586776299</v>
      </c>
      <c r="V365" s="66">
        <f t="shared" si="232"/>
        <v>427.47222365934817</v>
      </c>
      <c r="W365" s="27" t="str">
        <f t="shared" si="212"/>
        <v>OK</v>
      </c>
    </row>
    <row r="366" spans="1:23" x14ac:dyDescent="0.2">
      <c r="A366" s="3">
        <f t="shared" si="227"/>
        <v>49</v>
      </c>
      <c r="B366" s="3" t="s">
        <v>196</v>
      </c>
      <c r="C366" s="3" t="s">
        <v>143</v>
      </c>
      <c r="D366" s="1" t="s">
        <v>337</v>
      </c>
      <c r="E366" s="4" t="s">
        <v>595</v>
      </c>
      <c r="F366" s="11"/>
      <c r="G366" s="11"/>
      <c r="H366" s="14">
        <f>'II-I TOTAL COMPANY'!K366</f>
        <v>117593.9</v>
      </c>
      <c r="I366" s="66">
        <v>0</v>
      </c>
      <c r="J366" s="66">
        <f t="shared" si="221"/>
        <v>117593.9</v>
      </c>
      <c r="K366" s="66">
        <f t="shared" si="229"/>
        <v>66514.502004228256</v>
      </c>
      <c r="L366" s="66">
        <f t="shared" si="229"/>
        <v>2320.2764446493766</v>
      </c>
      <c r="M366" s="9">
        <f t="shared" si="230"/>
        <v>34993.30720327091</v>
      </c>
      <c r="N366" s="66">
        <f t="shared" si="231"/>
        <v>4698.861023239413</v>
      </c>
      <c r="O366" s="66">
        <f t="shared" si="231"/>
        <v>30294.446180031497</v>
      </c>
      <c r="P366" s="9">
        <f t="shared" si="225"/>
        <v>12017.413146951241</v>
      </c>
      <c r="Q366" s="66">
        <f t="shared" si="232"/>
        <v>9776.1309509497769</v>
      </c>
      <c r="R366" s="66">
        <f t="shared" si="232"/>
        <v>707.45721058050378</v>
      </c>
      <c r="S366" s="66">
        <f t="shared" si="232"/>
        <v>1533.8249854209605</v>
      </c>
      <c r="T366" s="66">
        <f t="shared" si="232"/>
        <v>0</v>
      </c>
      <c r="U366" s="66">
        <f t="shared" si="232"/>
        <v>1302.1522729393064</v>
      </c>
      <c r="V366" s="66">
        <f t="shared" si="232"/>
        <v>446.24892796090569</v>
      </c>
      <c r="W366" s="27" t="str">
        <f t="shared" si="212"/>
        <v>OK</v>
      </c>
    </row>
    <row r="367" spans="1:23" x14ac:dyDescent="0.2">
      <c r="A367" s="3">
        <f t="shared" si="227"/>
        <v>50</v>
      </c>
      <c r="B367" s="3" t="s">
        <v>197</v>
      </c>
      <c r="C367" s="3" t="s">
        <v>168</v>
      </c>
      <c r="D367" s="1" t="s">
        <v>332</v>
      </c>
      <c r="E367" s="4" t="s">
        <v>595</v>
      </c>
      <c r="F367" s="11"/>
      <c r="G367" s="11"/>
      <c r="H367" s="14">
        <f>'II-I TOTAL COMPANY'!K367</f>
        <v>4320275.617439731</v>
      </c>
      <c r="I367" s="66">
        <v>0</v>
      </c>
      <c r="J367" s="66">
        <f t="shared" si="221"/>
        <v>4320275.617439732</v>
      </c>
      <c r="K367" s="66">
        <f t="shared" si="229"/>
        <v>2443672.5137529541</v>
      </c>
      <c r="L367" s="66">
        <f t="shared" si="229"/>
        <v>85244.504600480563</v>
      </c>
      <c r="M367" s="9">
        <f t="shared" si="230"/>
        <v>1285617.1271117756</v>
      </c>
      <c r="N367" s="66">
        <f t="shared" si="231"/>
        <v>172631.1884242222</v>
      </c>
      <c r="O367" s="66">
        <f t="shared" si="231"/>
        <v>1112985.9386875534</v>
      </c>
      <c r="P367" s="9">
        <f t="shared" si="225"/>
        <v>441507.05949435406</v>
      </c>
      <c r="Q367" s="66">
        <f t="shared" si="232"/>
        <v>359164.72011121514</v>
      </c>
      <c r="R367" s="66">
        <f t="shared" si="232"/>
        <v>25991.230304062334</v>
      </c>
      <c r="S367" s="66">
        <f t="shared" si="232"/>
        <v>56351.109079076603</v>
      </c>
      <c r="T367" s="66">
        <f t="shared" si="232"/>
        <v>0</v>
      </c>
      <c r="U367" s="66">
        <f t="shared" si="232"/>
        <v>47839.698445016387</v>
      </c>
      <c r="V367" s="66">
        <f t="shared" si="232"/>
        <v>16394.714035150806</v>
      </c>
      <c r="W367" s="27" t="str">
        <f t="shared" si="212"/>
        <v>OK</v>
      </c>
    </row>
    <row r="368" spans="1:23" s="132" customFormat="1" x14ac:dyDescent="0.2">
      <c r="A368" s="3">
        <f t="shared" si="227"/>
        <v>51</v>
      </c>
      <c r="B368" s="3" t="s">
        <v>198</v>
      </c>
      <c r="C368" s="3" t="s">
        <v>170</v>
      </c>
      <c r="D368" s="1" t="s">
        <v>792</v>
      </c>
      <c r="E368" s="4" t="s">
        <v>595</v>
      </c>
      <c r="F368" s="11"/>
      <c r="G368" s="11"/>
      <c r="H368" s="14">
        <f>'II-I TOTAL COMPANY'!K368</f>
        <v>49463463.055214621</v>
      </c>
      <c r="I368" s="66">
        <v>0</v>
      </c>
      <c r="J368" s="66">
        <f t="shared" si="221"/>
        <v>49463463.055214621</v>
      </c>
      <c r="K368" s="66">
        <f t="shared" si="229"/>
        <v>28527905.732306749</v>
      </c>
      <c r="L368" s="66">
        <f t="shared" si="229"/>
        <v>995160.83998706751</v>
      </c>
      <c r="M368" s="9">
        <f t="shared" si="230"/>
        <v>15008543.085733442</v>
      </c>
      <c r="N368" s="66">
        <f t="shared" si="231"/>
        <v>2015329.8946997013</v>
      </c>
      <c r="O368" s="66">
        <f t="shared" si="231"/>
        <v>12993213.19103374</v>
      </c>
      <c r="P368" s="9">
        <f t="shared" si="225"/>
        <v>4216779.6047777925</v>
      </c>
      <c r="Q368" s="66">
        <f t="shared" si="232"/>
        <v>3430338.0522504728</v>
      </c>
      <c r="R368" s="66">
        <f t="shared" si="232"/>
        <v>248239.04282475944</v>
      </c>
      <c r="S368" s="66">
        <f t="shared" si="232"/>
        <v>538202.50970256014</v>
      </c>
      <c r="T368" s="66">
        <f t="shared" si="232"/>
        <v>0</v>
      </c>
      <c r="U368" s="66">
        <f t="shared" si="232"/>
        <v>558489.89576979866</v>
      </c>
      <c r="V368" s="66">
        <f t="shared" si="232"/>
        <v>156583.89663975959</v>
      </c>
      <c r="W368" s="27">
        <f t="shared" si="212"/>
        <v>-1.4901161193847656E-8</v>
      </c>
    </row>
    <row r="369" spans="1:23" x14ac:dyDescent="0.2">
      <c r="A369" s="3">
        <f t="shared" si="227"/>
        <v>52</v>
      </c>
      <c r="B369" s="3" t="s">
        <v>199</v>
      </c>
      <c r="C369" s="3" t="s">
        <v>172</v>
      </c>
      <c r="D369" s="1" t="s">
        <v>421</v>
      </c>
      <c r="E369" s="4" t="s">
        <v>595</v>
      </c>
      <c r="F369" s="11"/>
      <c r="G369" s="11"/>
      <c r="H369" s="14">
        <f>'II-I TOTAL COMPANY'!K369</f>
        <v>1423254.9632468971</v>
      </c>
      <c r="I369" s="66">
        <v>0</v>
      </c>
      <c r="J369" s="66">
        <f t="shared" si="221"/>
        <v>1423254.9632468964</v>
      </c>
      <c r="K369" s="66">
        <f t="shared" si="229"/>
        <v>843296.12153603323</v>
      </c>
      <c r="L369" s="66">
        <f t="shared" si="229"/>
        <v>29417.346108069058</v>
      </c>
      <c r="M369" s="9">
        <f t="shared" si="230"/>
        <v>443658.44071660325</v>
      </c>
      <c r="N369" s="66">
        <f t="shared" si="231"/>
        <v>59573.944886225559</v>
      </c>
      <c r="O369" s="66">
        <f t="shared" si="231"/>
        <v>384084.49583037768</v>
      </c>
      <c r="P369" s="9">
        <f t="shared" si="225"/>
        <v>87138.127789417747</v>
      </c>
      <c r="Q369" s="66">
        <f t="shared" si="232"/>
        <v>70886.615752747079</v>
      </c>
      <c r="R369" s="66">
        <f t="shared" si="232"/>
        <v>5129.7642901416239</v>
      </c>
      <c r="S369" s="66">
        <f t="shared" si="232"/>
        <v>11121.747746529041</v>
      </c>
      <c r="T369" s="66">
        <f t="shared" si="232"/>
        <v>0</v>
      </c>
      <c r="U369" s="66">
        <f t="shared" si="232"/>
        <v>16509.181130894467</v>
      </c>
      <c r="V369" s="66">
        <f t="shared" si="232"/>
        <v>3235.7459658789448</v>
      </c>
      <c r="W369" s="27">
        <f t="shared" si="212"/>
        <v>-4.6566128730773926E-10</v>
      </c>
    </row>
    <row r="370" spans="1:23" x14ac:dyDescent="0.2">
      <c r="A370" s="3">
        <f t="shared" si="227"/>
        <v>53</v>
      </c>
      <c r="B370" s="3" t="s">
        <v>200</v>
      </c>
      <c r="C370" s="3" t="s">
        <v>201</v>
      </c>
      <c r="D370" s="1" t="s">
        <v>338</v>
      </c>
      <c r="E370" s="4" t="s">
        <v>595</v>
      </c>
      <c r="F370" s="11"/>
      <c r="G370" s="11"/>
      <c r="H370" s="14">
        <f>'II-I TOTAL COMPANY'!K370</f>
        <v>876088.1675364715</v>
      </c>
      <c r="I370" s="66">
        <v>0</v>
      </c>
      <c r="J370" s="66">
        <f t="shared" si="221"/>
        <v>876088.16753647127</v>
      </c>
      <c r="K370" s="66">
        <f t="shared" si="229"/>
        <v>548155.9689238884</v>
      </c>
      <c r="L370" s="66">
        <f t="shared" si="229"/>
        <v>19121.745549672793</v>
      </c>
      <c r="M370" s="9">
        <f t="shared" si="230"/>
        <v>288385.08352119784</v>
      </c>
      <c r="N370" s="66">
        <f t="shared" si="231"/>
        <v>38724.017160479656</v>
      </c>
      <c r="O370" s="66">
        <f t="shared" si="231"/>
        <v>249661.06636071816</v>
      </c>
      <c r="P370" s="9">
        <f t="shared" si="225"/>
        <v>9347.0488305844356</v>
      </c>
      <c r="Q370" s="66">
        <f t="shared" si="232"/>
        <v>7603.797277777503</v>
      </c>
      <c r="R370" s="66">
        <f t="shared" si="232"/>
        <v>550.2546190252782</v>
      </c>
      <c r="S370" s="66">
        <f t="shared" si="232"/>
        <v>1192.9969337816544</v>
      </c>
      <c r="T370" s="66">
        <f t="shared" si="232"/>
        <v>0</v>
      </c>
      <c r="U370" s="66">
        <f t="shared" si="232"/>
        <v>10731.231826919709</v>
      </c>
      <c r="V370" s="66">
        <f t="shared" si="232"/>
        <v>347.08888420838986</v>
      </c>
      <c r="W370" s="27">
        <f t="shared" si="212"/>
        <v>-1.1641532182693481E-10</v>
      </c>
    </row>
    <row r="371" spans="1:23" x14ac:dyDescent="0.2">
      <c r="A371" s="3">
        <f t="shared" si="227"/>
        <v>54</v>
      </c>
      <c r="B371" s="3" t="s">
        <v>202</v>
      </c>
      <c r="C371" s="3" t="s">
        <v>203</v>
      </c>
      <c r="D371" s="1" t="s">
        <v>335</v>
      </c>
      <c r="E371" s="4" t="s">
        <v>595</v>
      </c>
      <c r="F371" s="11"/>
      <c r="G371" s="11"/>
      <c r="H371" s="14">
        <f>'II-I TOTAL COMPANY'!K371</f>
        <v>514029.09911640646</v>
      </c>
      <c r="I371" s="66">
        <v>0</v>
      </c>
      <c r="J371" s="66">
        <f t="shared" si="221"/>
        <v>514029.09911640646</v>
      </c>
      <c r="K371" s="66">
        <f t="shared" si="229"/>
        <v>0</v>
      </c>
      <c r="L371" s="66">
        <f t="shared" si="229"/>
        <v>0</v>
      </c>
      <c r="M371" s="9">
        <f t="shared" si="230"/>
        <v>0</v>
      </c>
      <c r="N371" s="66">
        <f t="shared" si="231"/>
        <v>0</v>
      </c>
      <c r="O371" s="66">
        <f t="shared" si="231"/>
        <v>0</v>
      </c>
      <c r="P371" s="9">
        <f t="shared" si="225"/>
        <v>0</v>
      </c>
      <c r="Q371" s="66">
        <f t="shared" si="232"/>
        <v>0</v>
      </c>
      <c r="R371" s="66">
        <f t="shared" si="232"/>
        <v>0</v>
      </c>
      <c r="S371" s="66">
        <f t="shared" si="232"/>
        <v>0</v>
      </c>
      <c r="T371" s="66">
        <f t="shared" si="232"/>
        <v>0</v>
      </c>
      <c r="U371" s="66">
        <f t="shared" si="232"/>
        <v>514029.09911640646</v>
      </c>
      <c r="V371" s="66">
        <f t="shared" si="232"/>
        <v>0</v>
      </c>
      <c r="W371" s="27" t="str">
        <f t="shared" si="212"/>
        <v>OK</v>
      </c>
    </row>
    <row r="372" spans="1:23" x14ac:dyDescent="0.2">
      <c r="A372" s="3">
        <f t="shared" si="227"/>
        <v>55</v>
      </c>
      <c r="B372" s="3" t="s">
        <v>204</v>
      </c>
      <c r="C372" s="3" t="s">
        <v>205</v>
      </c>
      <c r="D372" s="1" t="s">
        <v>334</v>
      </c>
      <c r="E372" s="4" t="s">
        <v>595</v>
      </c>
      <c r="F372" s="11"/>
      <c r="G372" s="11"/>
      <c r="H372" s="14">
        <f>'II-I TOTAL COMPANY'!K372</f>
        <v>-2.2100000000209548</v>
      </c>
      <c r="I372" s="66">
        <v>0</v>
      </c>
      <c r="J372" s="66">
        <f t="shared" si="221"/>
        <v>0</v>
      </c>
      <c r="K372" s="66">
        <f t="shared" si="229"/>
        <v>0</v>
      </c>
      <c r="L372" s="66">
        <f t="shared" si="229"/>
        <v>0</v>
      </c>
      <c r="M372" s="9">
        <f t="shared" si="230"/>
        <v>0</v>
      </c>
      <c r="N372" s="66">
        <f t="shared" si="231"/>
        <v>0</v>
      </c>
      <c r="O372" s="66">
        <f t="shared" si="231"/>
        <v>0</v>
      </c>
      <c r="P372" s="9">
        <f t="shared" si="225"/>
        <v>0</v>
      </c>
      <c r="Q372" s="66">
        <f t="shared" si="232"/>
        <v>0</v>
      </c>
      <c r="R372" s="66">
        <f t="shared" si="232"/>
        <v>0</v>
      </c>
      <c r="S372" s="66">
        <f t="shared" si="232"/>
        <v>0</v>
      </c>
      <c r="T372" s="66">
        <f t="shared" si="232"/>
        <v>0</v>
      </c>
      <c r="U372" s="66">
        <f t="shared" si="232"/>
        <v>0</v>
      </c>
      <c r="V372" s="66">
        <f t="shared" si="232"/>
        <v>0</v>
      </c>
      <c r="W372" s="27">
        <f t="shared" si="212"/>
        <v>2.2100000000209548</v>
      </c>
    </row>
    <row r="373" spans="1:23" x14ac:dyDescent="0.2">
      <c r="A373" s="3">
        <f t="shared" si="227"/>
        <v>56</v>
      </c>
      <c r="B373" s="3" t="s">
        <v>207</v>
      </c>
      <c r="C373" s="3" t="s">
        <v>208</v>
      </c>
      <c r="D373" s="1" t="s">
        <v>331</v>
      </c>
      <c r="E373" s="4" t="s">
        <v>595</v>
      </c>
      <c r="F373" s="11"/>
      <c r="G373" s="11"/>
      <c r="H373" s="14">
        <f>'II-I TOTAL COMPANY'!K373</f>
        <v>106372.53622460621</v>
      </c>
      <c r="I373" s="66">
        <v>0</v>
      </c>
      <c r="J373" s="66">
        <f t="shared" si="221"/>
        <v>106372.53622460623</v>
      </c>
      <c r="K373" s="66">
        <f t="shared" si="229"/>
        <v>61840.326143533028</v>
      </c>
      <c r="L373" s="66">
        <f t="shared" si="229"/>
        <v>2580.0879713421614</v>
      </c>
      <c r="M373" s="9">
        <f t="shared" si="230"/>
        <v>30030.339784638654</v>
      </c>
      <c r="N373" s="66">
        <f t="shared" si="231"/>
        <v>3920.6585331100209</v>
      </c>
      <c r="O373" s="66">
        <f t="shared" si="231"/>
        <v>26109.681251528633</v>
      </c>
      <c r="P373" s="9">
        <f t="shared" si="225"/>
        <v>6480.1748282802591</v>
      </c>
      <c r="Q373" s="66">
        <f t="shared" si="232"/>
        <v>5271.6035415981478</v>
      </c>
      <c r="R373" s="66">
        <f t="shared" si="232"/>
        <v>381.48363146291598</v>
      </c>
      <c r="S373" s="66">
        <f t="shared" si="232"/>
        <v>827.08765521919611</v>
      </c>
      <c r="T373" s="66">
        <f t="shared" si="232"/>
        <v>0</v>
      </c>
      <c r="U373" s="66">
        <f t="shared" si="232"/>
        <v>5200.975753960468</v>
      </c>
      <c r="V373" s="66">
        <f t="shared" si="232"/>
        <v>240.63174285165863</v>
      </c>
      <c r="W373" s="27">
        <f t="shared" si="212"/>
        <v>1.4551915228366852E-11</v>
      </c>
    </row>
    <row r="374" spans="1:23" x14ac:dyDescent="0.2">
      <c r="A374" s="3">
        <f t="shared" si="227"/>
        <v>57</v>
      </c>
      <c r="B374" s="3"/>
      <c r="C374" s="3" t="s">
        <v>209</v>
      </c>
      <c r="D374" s="3"/>
      <c r="E374" s="4"/>
      <c r="F374" s="8"/>
      <c r="G374" s="8"/>
      <c r="H374" s="8">
        <f t="shared" ref="H374:V374" si="233">SUM(H365:H373)</f>
        <v>56960265.50112354</v>
      </c>
      <c r="I374" s="8">
        <f t="shared" si="233"/>
        <v>0</v>
      </c>
      <c r="J374" s="66">
        <f t="shared" si="221"/>
        <v>56960267.711123526</v>
      </c>
      <c r="K374" s="8">
        <f t="shared" si="233"/>
        <v>32571204.535144024</v>
      </c>
      <c r="L374" s="8">
        <f t="shared" si="233"/>
        <v>1136630.8179814382</v>
      </c>
      <c r="M374" s="9">
        <f t="shared" si="230"/>
        <v>17133210.813870795</v>
      </c>
      <c r="N374" s="8">
        <f t="shared" si="233"/>
        <v>2300515.6239450066</v>
      </c>
      <c r="O374" s="8">
        <f t="shared" si="233"/>
        <v>14832695.18992579</v>
      </c>
      <c r="P374" s="9">
        <f t="shared" si="225"/>
        <v>4784781.1883331882</v>
      </c>
      <c r="Q374" s="8">
        <f t="shared" si="233"/>
        <v>3892405.7030238109</v>
      </c>
      <c r="R374" s="8">
        <f t="shared" si="233"/>
        <v>281676.92259086808</v>
      </c>
      <c r="S374" s="8">
        <f>SUM(S365:S373)</f>
        <v>610698.56271850888</v>
      </c>
      <c r="T374" s="8">
        <f t="shared" si="233"/>
        <v>0</v>
      </c>
      <c r="U374" s="8">
        <f t="shared" si="233"/>
        <v>1156764.5573746131</v>
      </c>
      <c r="V374" s="8">
        <f t="shared" si="233"/>
        <v>177675.79841946965</v>
      </c>
      <c r="W374" s="27">
        <f t="shared" si="212"/>
        <v>2.2099999859929085</v>
      </c>
    </row>
    <row r="375" spans="1:23" x14ac:dyDescent="0.2">
      <c r="A375" s="3">
        <f t="shared" si="227"/>
        <v>58</v>
      </c>
      <c r="B375" s="3" t="s">
        <v>210</v>
      </c>
      <c r="C375" s="3"/>
      <c r="D375" s="3"/>
      <c r="E375" s="4"/>
      <c r="F375" s="8"/>
      <c r="G375" s="8"/>
      <c r="H375" s="8">
        <f t="shared" ref="H375:V375" si="234">H363+H374</f>
        <v>108273000.49662787</v>
      </c>
      <c r="I375" s="8">
        <f t="shared" si="234"/>
        <v>0</v>
      </c>
      <c r="J375" s="66">
        <f t="shared" si="221"/>
        <v>108273002.70662786</v>
      </c>
      <c r="K375" s="8">
        <f t="shared" si="234"/>
        <v>62310259.765827186</v>
      </c>
      <c r="L375" s="8">
        <f t="shared" si="234"/>
        <v>2300658.2264863625</v>
      </c>
      <c r="M375" s="9">
        <f t="shared" si="230"/>
        <v>32029209.855475038</v>
      </c>
      <c r="N375" s="8">
        <f t="shared" si="234"/>
        <v>4267262.9786012108</v>
      </c>
      <c r="O375" s="8">
        <f t="shared" si="234"/>
        <v>27761946.876873828</v>
      </c>
      <c r="P375" s="9">
        <f t="shared" si="225"/>
        <v>8340812.9179212591</v>
      </c>
      <c r="Q375" s="8">
        <f t="shared" si="234"/>
        <v>6785227.2636277191</v>
      </c>
      <c r="R375" s="8">
        <f t="shared" si="234"/>
        <v>491018.17244116327</v>
      </c>
      <c r="S375" s="8">
        <f>S363+S374</f>
        <v>1064567.4818523768</v>
      </c>
      <c r="T375" s="8">
        <f t="shared" si="234"/>
        <v>0</v>
      </c>
      <c r="U375" s="8">
        <f t="shared" si="234"/>
        <v>2982338.1445043865</v>
      </c>
      <c r="V375" s="8">
        <f t="shared" si="234"/>
        <v>309723.79641363234</v>
      </c>
      <c r="W375" s="27">
        <f t="shared" si="212"/>
        <v>2.2099999934434891</v>
      </c>
    </row>
    <row r="376" spans="1:23" x14ac:dyDescent="0.2">
      <c r="A376" s="3">
        <f t="shared" si="227"/>
        <v>59</v>
      </c>
      <c r="B376" s="3"/>
      <c r="C376" s="3"/>
      <c r="D376" s="3"/>
      <c r="E376" s="4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 t="str">
        <f t="shared" si="212"/>
        <v>OK</v>
      </c>
    </row>
    <row r="377" spans="1:23" x14ac:dyDescent="0.2">
      <c r="A377" s="3">
        <f t="shared" si="227"/>
        <v>60</v>
      </c>
      <c r="B377" s="3" t="s">
        <v>211</v>
      </c>
      <c r="C377" s="3"/>
      <c r="D377" s="3"/>
      <c r="E377" s="4"/>
      <c r="F377" s="8"/>
      <c r="G377" s="8"/>
      <c r="H377" s="8">
        <f t="shared" ref="H377:V377" si="235">H320+H346+H375</f>
        <v>108272974.76662788</v>
      </c>
      <c r="I377" s="8">
        <f t="shared" si="235"/>
        <v>0</v>
      </c>
      <c r="J377" s="66">
        <f t="shared" si="221"/>
        <v>108273000.96662791</v>
      </c>
      <c r="K377" s="8">
        <f t="shared" si="235"/>
        <v>62310258.922335327</v>
      </c>
      <c r="L377" s="8">
        <f>L320+L346+L375</f>
        <v>2300658.1931237122</v>
      </c>
      <c r="M377" s="9">
        <f>SUM(N377:O377)</f>
        <v>32029209.358682569</v>
      </c>
      <c r="N377" s="8">
        <f t="shared" si="235"/>
        <v>4267262.9286305839</v>
      </c>
      <c r="O377" s="8">
        <f t="shared" si="235"/>
        <v>27761946.430051986</v>
      </c>
      <c r="P377" s="9">
        <f>SUM(Q377:S377)</f>
        <v>8340812.7771691512</v>
      </c>
      <c r="Q377" s="8">
        <f t="shared" si="235"/>
        <v>6785227.1534320116</v>
      </c>
      <c r="R377" s="8">
        <f t="shared" si="235"/>
        <v>491018.16342353041</v>
      </c>
      <c r="S377" s="8">
        <f>S320+S346+S375</f>
        <v>1064567.4603136091</v>
      </c>
      <c r="T377" s="8">
        <f t="shared" si="235"/>
        <v>-0.22560089871475295</v>
      </c>
      <c r="U377" s="8">
        <f t="shared" si="235"/>
        <v>2982338.1445043874</v>
      </c>
      <c r="V377" s="8">
        <f t="shared" si="235"/>
        <v>309723.7964136324</v>
      </c>
      <c r="W377" s="27">
        <f t="shared" si="212"/>
        <v>26.200000002980232</v>
      </c>
    </row>
    <row r="378" spans="1:23" x14ac:dyDescent="0.2">
      <c r="A378" s="3"/>
      <c r="B378" s="7" t="s">
        <v>144</v>
      </c>
      <c r="C378" s="3"/>
      <c r="D378" s="3"/>
      <c r="E378" s="4"/>
      <c r="F378" s="4"/>
      <c r="G378" s="4"/>
      <c r="H378" s="8"/>
      <c r="I378" s="8"/>
      <c r="J378" s="8"/>
      <c r="K378" s="8"/>
      <c r="L378" s="8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27" t="str">
        <f t="shared" si="212"/>
        <v>OK</v>
      </c>
    </row>
    <row r="379" spans="1:23" x14ac:dyDescent="0.2">
      <c r="A379" s="3"/>
      <c r="B379" s="3"/>
      <c r="C379" s="3"/>
      <c r="D379" s="3"/>
      <c r="E379" s="4"/>
      <c r="F379" s="4"/>
      <c r="G379" s="4"/>
      <c r="H379" s="8"/>
      <c r="I379" s="8"/>
      <c r="J379" s="8"/>
      <c r="K379" s="8"/>
      <c r="L379" s="8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27" t="str">
        <f t="shared" si="212"/>
        <v>OK</v>
      </c>
    </row>
    <row r="380" spans="1:23" x14ac:dyDescent="0.2">
      <c r="A380" s="3">
        <v>1</v>
      </c>
      <c r="B380" s="3" t="s">
        <v>212</v>
      </c>
      <c r="C380" s="3"/>
      <c r="D380" s="3"/>
      <c r="E380" s="4"/>
      <c r="F380" s="4"/>
      <c r="G380" s="4"/>
      <c r="H380" s="8"/>
      <c r="I380" s="8"/>
      <c r="J380" s="8"/>
      <c r="K380" s="8"/>
      <c r="L380" s="8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27" t="str">
        <f t="shared" si="212"/>
        <v>OK</v>
      </c>
    </row>
    <row r="381" spans="1:23" x14ac:dyDescent="0.2">
      <c r="A381" s="3">
        <f t="shared" ref="A381:A395" si="236">+A380+1</f>
        <v>2</v>
      </c>
      <c r="B381" s="3"/>
      <c r="C381" s="3" t="s">
        <v>213</v>
      </c>
      <c r="D381" s="3"/>
      <c r="E381" s="4"/>
      <c r="F381" s="4"/>
      <c r="G381" s="4"/>
      <c r="H381" s="8"/>
      <c r="I381" s="8"/>
      <c r="J381" s="8"/>
      <c r="K381" s="8"/>
      <c r="L381" s="8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27" t="str">
        <f t="shared" si="212"/>
        <v>OK</v>
      </c>
    </row>
    <row r="382" spans="1:23" x14ac:dyDescent="0.2">
      <c r="A382" s="3">
        <f t="shared" si="236"/>
        <v>3</v>
      </c>
      <c r="B382" s="3" t="s">
        <v>214</v>
      </c>
      <c r="C382" s="3" t="s">
        <v>215</v>
      </c>
      <c r="D382" s="1" t="s">
        <v>339</v>
      </c>
      <c r="E382" s="4" t="s">
        <v>595</v>
      </c>
      <c r="F382" s="11"/>
      <c r="G382" s="11"/>
      <c r="H382" s="14">
        <f>'II-I TOTAL COMPANY'!K382</f>
        <v>0</v>
      </c>
      <c r="I382" s="66">
        <v>0</v>
      </c>
      <c r="J382" s="66">
        <f t="shared" ref="J382:J388" si="237">SUM(K382:V382)-M382-P382</f>
        <v>0</v>
      </c>
      <c r="K382" s="66">
        <f t="shared" ref="K382:L387" si="238">VLOOKUP($D382,$E$741:$V$815,K$1,FALSE)*$H382</f>
        <v>0</v>
      </c>
      <c r="L382" s="66">
        <f t="shared" si="238"/>
        <v>0</v>
      </c>
      <c r="M382" s="9">
        <f t="shared" ref="M382:M388" si="239">SUM(N382:O382)</f>
        <v>0</v>
      </c>
      <c r="N382" s="66">
        <f t="shared" ref="N382:O387" si="240">VLOOKUP($D382,$E$741:$V$815,N$1,FALSE)*$H382</f>
        <v>0</v>
      </c>
      <c r="O382" s="66">
        <f t="shared" si="240"/>
        <v>0</v>
      </c>
      <c r="P382" s="9">
        <f t="shared" ref="P382:P388" si="241">SUM(Q382:S382)</f>
        <v>0</v>
      </c>
      <c r="Q382" s="66">
        <f t="shared" ref="Q382:V387" si="242">VLOOKUP($D382,$E$741:$V$815,Q$1,FALSE)*$H382</f>
        <v>0</v>
      </c>
      <c r="R382" s="66">
        <f t="shared" si="242"/>
        <v>0</v>
      </c>
      <c r="S382" s="66">
        <f t="shared" si="242"/>
        <v>0</v>
      </c>
      <c r="T382" s="66">
        <f t="shared" si="242"/>
        <v>0</v>
      </c>
      <c r="U382" s="66">
        <f t="shared" si="242"/>
        <v>0</v>
      </c>
      <c r="V382" s="66">
        <f t="shared" si="242"/>
        <v>0</v>
      </c>
      <c r="W382" s="27" t="str">
        <f t="shared" si="212"/>
        <v>OK</v>
      </c>
    </row>
    <row r="383" spans="1:23" x14ac:dyDescent="0.2">
      <c r="A383" s="3">
        <f t="shared" si="236"/>
        <v>4</v>
      </c>
      <c r="B383" s="3" t="s">
        <v>216</v>
      </c>
      <c r="C383" s="3" t="s">
        <v>217</v>
      </c>
      <c r="D383" s="1" t="s">
        <v>344</v>
      </c>
      <c r="E383" s="4" t="s">
        <v>595</v>
      </c>
      <c r="F383" s="11"/>
      <c r="G383" s="11"/>
      <c r="H383" s="14">
        <f>'II-I TOTAL COMPANY'!K383</f>
        <v>0</v>
      </c>
      <c r="I383" s="66">
        <v>0</v>
      </c>
      <c r="J383" s="66">
        <f t="shared" si="237"/>
        <v>0</v>
      </c>
      <c r="K383" s="66">
        <f t="shared" si="238"/>
        <v>0</v>
      </c>
      <c r="L383" s="66">
        <f t="shared" si="238"/>
        <v>0</v>
      </c>
      <c r="M383" s="9">
        <f t="shared" si="239"/>
        <v>0</v>
      </c>
      <c r="N383" s="66">
        <f t="shared" si="240"/>
        <v>0</v>
      </c>
      <c r="O383" s="66">
        <f t="shared" si="240"/>
        <v>0</v>
      </c>
      <c r="P383" s="9">
        <f t="shared" si="241"/>
        <v>0</v>
      </c>
      <c r="Q383" s="66">
        <f t="shared" si="242"/>
        <v>0</v>
      </c>
      <c r="R383" s="66">
        <f t="shared" si="242"/>
        <v>0</v>
      </c>
      <c r="S383" s="66">
        <f t="shared" si="242"/>
        <v>0</v>
      </c>
      <c r="T383" s="66">
        <f t="shared" si="242"/>
        <v>0</v>
      </c>
      <c r="U383" s="66">
        <f t="shared" si="242"/>
        <v>0</v>
      </c>
      <c r="V383" s="66">
        <f t="shared" si="242"/>
        <v>0</v>
      </c>
      <c r="W383" s="27" t="str">
        <f t="shared" si="212"/>
        <v>OK</v>
      </c>
    </row>
    <row r="384" spans="1:23" x14ac:dyDescent="0.2">
      <c r="A384" s="3">
        <f t="shared" si="236"/>
        <v>5</v>
      </c>
      <c r="B384" s="3" t="s">
        <v>218</v>
      </c>
      <c r="C384" s="3" t="s">
        <v>219</v>
      </c>
      <c r="D384" s="1" t="s">
        <v>374</v>
      </c>
      <c r="E384" s="4" t="s">
        <v>595</v>
      </c>
      <c r="F384" s="11"/>
      <c r="G384" s="11"/>
      <c r="H384" s="14">
        <f>'II-I TOTAL COMPANY'!K384</f>
        <v>0</v>
      </c>
      <c r="I384" s="66">
        <v>0</v>
      </c>
      <c r="J384" s="66">
        <f t="shared" si="237"/>
        <v>0</v>
      </c>
      <c r="K384" s="66">
        <f t="shared" si="238"/>
        <v>0</v>
      </c>
      <c r="L384" s="66">
        <f t="shared" si="238"/>
        <v>0</v>
      </c>
      <c r="M384" s="9">
        <f t="shared" si="239"/>
        <v>0</v>
      </c>
      <c r="N384" s="66">
        <f t="shared" si="240"/>
        <v>0</v>
      </c>
      <c r="O384" s="66">
        <f t="shared" si="240"/>
        <v>0</v>
      </c>
      <c r="P384" s="9">
        <f t="shared" si="241"/>
        <v>0</v>
      </c>
      <c r="Q384" s="66">
        <f t="shared" si="242"/>
        <v>0</v>
      </c>
      <c r="R384" s="66">
        <f t="shared" si="242"/>
        <v>0</v>
      </c>
      <c r="S384" s="66">
        <f t="shared" si="242"/>
        <v>0</v>
      </c>
      <c r="T384" s="66">
        <f t="shared" si="242"/>
        <v>0</v>
      </c>
      <c r="U384" s="66">
        <f t="shared" si="242"/>
        <v>0</v>
      </c>
      <c r="V384" s="66">
        <f t="shared" si="242"/>
        <v>0</v>
      </c>
      <c r="W384" s="27" t="str">
        <f t="shared" si="212"/>
        <v>OK</v>
      </c>
    </row>
    <row r="385" spans="1:23" x14ac:dyDescent="0.2">
      <c r="A385" s="3">
        <f t="shared" si="236"/>
        <v>6</v>
      </c>
      <c r="B385" s="3" t="s">
        <v>218</v>
      </c>
      <c r="C385" s="3" t="s">
        <v>17</v>
      </c>
      <c r="D385" s="1" t="s">
        <v>428</v>
      </c>
      <c r="E385" s="4" t="s">
        <v>595</v>
      </c>
      <c r="F385" s="11"/>
      <c r="G385" s="11"/>
      <c r="H385" s="14">
        <f>'II-I TOTAL COMPANY'!K385</f>
        <v>0</v>
      </c>
      <c r="I385" s="66">
        <v>0</v>
      </c>
      <c r="J385" s="66">
        <f t="shared" si="237"/>
        <v>0</v>
      </c>
      <c r="K385" s="66">
        <f t="shared" si="238"/>
        <v>0</v>
      </c>
      <c r="L385" s="66">
        <f t="shared" si="238"/>
        <v>0</v>
      </c>
      <c r="M385" s="9">
        <f t="shared" si="239"/>
        <v>0</v>
      </c>
      <c r="N385" s="66">
        <f t="shared" si="240"/>
        <v>0</v>
      </c>
      <c r="O385" s="66">
        <f t="shared" si="240"/>
        <v>0</v>
      </c>
      <c r="P385" s="9">
        <f t="shared" si="241"/>
        <v>0</v>
      </c>
      <c r="Q385" s="66">
        <f t="shared" si="242"/>
        <v>0</v>
      </c>
      <c r="R385" s="66">
        <f t="shared" si="242"/>
        <v>0</v>
      </c>
      <c r="S385" s="66">
        <f t="shared" si="242"/>
        <v>0</v>
      </c>
      <c r="T385" s="66">
        <f t="shared" si="242"/>
        <v>0</v>
      </c>
      <c r="U385" s="66">
        <f t="shared" si="242"/>
        <v>0</v>
      </c>
      <c r="V385" s="66">
        <f t="shared" si="242"/>
        <v>0</v>
      </c>
      <c r="W385" s="27" t="str">
        <f t="shared" si="212"/>
        <v>OK</v>
      </c>
    </row>
    <row r="386" spans="1:23" s="132" customFormat="1" x14ac:dyDescent="0.2">
      <c r="A386" s="3">
        <f t="shared" si="236"/>
        <v>7</v>
      </c>
      <c r="B386" s="3" t="s">
        <v>220</v>
      </c>
      <c r="C386" s="3" t="s">
        <v>221</v>
      </c>
      <c r="D386" s="28" t="s">
        <v>324</v>
      </c>
      <c r="E386" s="4" t="s">
        <v>595</v>
      </c>
      <c r="F386" s="11"/>
      <c r="G386" s="11"/>
      <c r="H386" s="14">
        <f>'II-I TOTAL COMPANY'!K386</f>
        <v>942767.34192110959</v>
      </c>
      <c r="I386" s="66">
        <v>0</v>
      </c>
      <c r="J386" s="66">
        <f t="shared" si="237"/>
        <v>942767.34192110947</v>
      </c>
      <c r="K386" s="66">
        <f t="shared" si="238"/>
        <v>511479.89699216525</v>
      </c>
      <c r="L386" s="66">
        <f t="shared" si="238"/>
        <v>26399.815091697663</v>
      </c>
      <c r="M386" s="9">
        <f t="shared" si="239"/>
        <v>285481.58024918841</v>
      </c>
      <c r="N386" s="66">
        <f t="shared" si="240"/>
        <v>32896.730953582381</v>
      </c>
      <c r="O386" s="66">
        <f t="shared" si="240"/>
        <v>252584.84929560602</v>
      </c>
      <c r="P386" s="9">
        <f t="shared" si="241"/>
        <v>63693.171215497881</v>
      </c>
      <c r="Q386" s="66">
        <f t="shared" si="242"/>
        <v>47061.506091253119</v>
      </c>
      <c r="R386" s="66">
        <f t="shared" si="242"/>
        <v>4297.1406263986046</v>
      </c>
      <c r="S386" s="66">
        <f t="shared" si="242"/>
        <v>12334.524497846156</v>
      </c>
      <c r="T386" s="66">
        <f t="shared" si="242"/>
        <v>15465.708481996196</v>
      </c>
      <c r="U386" s="66">
        <f t="shared" si="242"/>
        <v>40247.168025756619</v>
      </c>
      <c r="V386" s="66">
        <f t="shared" si="242"/>
        <v>1.8648076303311692E-3</v>
      </c>
      <c r="W386" s="27">
        <f t="shared" si="212"/>
        <v>1.1641532182693481E-10</v>
      </c>
    </row>
    <row r="387" spans="1:23" x14ac:dyDescent="0.2">
      <c r="A387" s="3">
        <f t="shared" si="236"/>
        <v>8</v>
      </c>
      <c r="B387" s="3" t="s">
        <v>222</v>
      </c>
      <c r="C387" s="3" t="s">
        <v>223</v>
      </c>
      <c r="D387" s="1" t="s">
        <v>339</v>
      </c>
      <c r="E387" s="4" t="s">
        <v>595</v>
      </c>
      <c r="F387" s="11"/>
      <c r="G387" s="11"/>
      <c r="H387" s="14">
        <f>'II-I TOTAL COMPANY'!K387</f>
        <v>0</v>
      </c>
      <c r="I387" s="66">
        <v>0</v>
      </c>
      <c r="J387" s="66">
        <f t="shared" si="237"/>
        <v>0</v>
      </c>
      <c r="K387" s="66">
        <f t="shared" si="238"/>
        <v>0</v>
      </c>
      <c r="L387" s="66">
        <f t="shared" si="238"/>
        <v>0</v>
      </c>
      <c r="M387" s="9">
        <f t="shared" si="239"/>
        <v>0</v>
      </c>
      <c r="N387" s="66">
        <f t="shared" si="240"/>
        <v>0</v>
      </c>
      <c r="O387" s="66">
        <f t="shared" si="240"/>
        <v>0</v>
      </c>
      <c r="P387" s="9">
        <f t="shared" si="241"/>
        <v>0</v>
      </c>
      <c r="Q387" s="66">
        <f t="shared" si="242"/>
        <v>0</v>
      </c>
      <c r="R387" s="66">
        <f t="shared" si="242"/>
        <v>0</v>
      </c>
      <c r="S387" s="66">
        <f t="shared" si="242"/>
        <v>0</v>
      </c>
      <c r="T387" s="66">
        <f t="shared" si="242"/>
        <v>0</v>
      </c>
      <c r="U387" s="66">
        <f t="shared" si="242"/>
        <v>0</v>
      </c>
      <c r="V387" s="66">
        <f t="shared" si="242"/>
        <v>0</v>
      </c>
      <c r="W387" s="27" t="str">
        <f t="shared" si="212"/>
        <v>OK</v>
      </c>
    </row>
    <row r="388" spans="1:23" x14ac:dyDescent="0.2">
      <c r="A388" s="3">
        <f t="shared" si="236"/>
        <v>9</v>
      </c>
      <c r="B388" s="3"/>
      <c r="C388" s="3" t="s">
        <v>135</v>
      </c>
      <c r="D388" s="1"/>
      <c r="E388" s="4"/>
      <c r="F388" s="8"/>
      <c r="G388" s="8"/>
      <c r="H388" s="8">
        <f t="shared" ref="H388:V388" si="243">SUM(H382:H387)</f>
        <v>942767.34192110959</v>
      </c>
      <c r="I388" s="8">
        <f t="shared" si="243"/>
        <v>0</v>
      </c>
      <c r="J388" s="66">
        <f t="shared" si="237"/>
        <v>942767.34192110947</v>
      </c>
      <c r="K388" s="8">
        <f t="shared" si="243"/>
        <v>511479.89699216525</v>
      </c>
      <c r="L388" s="8">
        <f t="shared" si="243"/>
        <v>26399.815091697663</v>
      </c>
      <c r="M388" s="9">
        <f t="shared" si="239"/>
        <v>285481.58024918841</v>
      </c>
      <c r="N388" s="8">
        <f t="shared" si="243"/>
        <v>32896.730953582381</v>
      </c>
      <c r="O388" s="8">
        <f t="shared" si="243"/>
        <v>252584.84929560602</v>
      </c>
      <c r="P388" s="9">
        <f t="shared" si="241"/>
        <v>63693.171215497881</v>
      </c>
      <c r="Q388" s="8">
        <f t="shared" si="243"/>
        <v>47061.506091253119</v>
      </c>
      <c r="R388" s="8">
        <f t="shared" si="243"/>
        <v>4297.1406263986046</v>
      </c>
      <c r="S388" s="8">
        <f>SUM(S382:S387)</f>
        <v>12334.524497846156</v>
      </c>
      <c r="T388" s="8">
        <f t="shared" si="243"/>
        <v>15465.708481996196</v>
      </c>
      <c r="U388" s="8">
        <f t="shared" si="243"/>
        <v>40247.168025756619</v>
      </c>
      <c r="V388" s="8">
        <f t="shared" si="243"/>
        <v>1.8648076303311692E-3</v>
      </c>
      <c r="W388" s="27">
        <f t="shared" si="212"/>
        <v>1.1641532182693481E-10</v>
      </c>
    </row>
    <row r="389" spans="1:23" x14ac:dyDescent="0.2">
      <c r="A389" s="3">
        <f t="shared" si="236"/>
        <v>10</v>
      </c>
      <c r="B389" s="3"/>
      <c r="C389" s="3"/>
      <c r="D389" s="74"/>
      <c r="E389" s="4"/>
      <c r="F389" s="4"/>
      <c r="G389" s="4"/>
      <c r="H389" s="8"/>
      <c r="I389" s="8"/>
      <c r="J389" s="8"/>
      <c r="K389" s="8"/>
      <c r="L389" s="8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27" t="str">
        <f t="shared" si="212"/>
        <v>OK</v>
      </c>
    </row>
    <row r="390" spans="1:23" x14ac:dyDescent="0.2">
      <c r="A390" s="3">
        <f t="shared" si="236"/>
        <v>11</v>
      </c>
      <c r="B390" s="3"/>
      <c r="C390" s="3" t="s">
        <v>224</v>
      </c>
      <c r="D390" s="3"/>
      <c r="E390" s="4"/>
      <c r="F390" s="4"/>
      <c r="G390" s="4"/>
      <c r="H390" s="8"/>
      <c r="I390" s="8"/>
      <c r="J390" s="8"/>
      <c r="K390" s="8"/>
      <c r="L390" s="8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27" t="str">
        <f t="shared" si="212"/>
        <v>OK</v>
      </c>
    </row>
    <row r="391" spans="1:23" x14ac:dyDescent="0.2">
      <c r="A391" s="3">
        <f t="shared" si="236"/>
        <v>12</v>
      </c>
      <c r="B391" s="3" t="s">
        <v>225</v>
      </c>
      <c r="C391" s="3" t="s">
        <v>541</v>
      </c>
      <c r="D391" s="1" t="s">
        <v>446</v>
      </c>
      <c r="E391" s="4" t="s">
        <v>595</v>
      </c>
      <c r="F391" s="11"/>
      <c r="G391" s="11"/>
      <c r="H391" s="14">
        <f>'II-I TOTAL COMPANY'!K391</f>
        <v>0</v>
      </c>
      <c r="I391" s="66">
        <v>0</v>
      </c>
      <c r="J391" s="66">
        <f t="shared" ref="J391" si="244">SUM(K391:V391)-M391-P391</f>
        <v>0</v>
      </c>
      <c r="K391" s="66">
        <f t="shared" ref="K391:L397" si="245">VLOOKUP($D391,$E$741:$V$815,K$1,FALSE)*$H391</f>
        <v>0</v>
      </c>
      <c r="L391" s="66">
        <f t="shared" si="245"/>
        <v>0</v>
      </c>
      <c r="M391" s="9">
        <f t="shared" ref="M391:M398" si="246">SUM(N391:O391)</f>
        <v>0</v>
      </c>
      <c r="N391" s="66">
        <f t="shared" ref="N391:O397" si="247">VLOOKUP($D391,$E$741:$V$815,N$1,FALSE)*$H391</f>
        <v>0</v>
      </c>
      <c r="O391" s="66">
        <f t="shared" si="247"/>
        <v>0</v>
      </c>
      <c r="P391" s="9">
        <f t="shared" ref="P391:P398" si="248">SUM(Q391:S391)</f>
        <v>0</v>
      </c>
      <c r="Q391" s="66">
        <f t="shared" ref="Q391:V397" si="249">VLOOKUP($D391,$E$741:$V$815,Q$1,FALSE)*$H391</f>
        <v>0</v>
      </c>
      <c r="R391" s="66">
        <f t="shared" si="249"/>
        <v>0</v>
      </c>
      <c r="S391" s="66">
        <f t="shared" si="249"/>
        <v>0</v>
      </c>
      <c r="T391" s="66">
        <f t="shared" si="249"/>
        <v>0</v>
      </c>
      <c r="U391" s="66">
        <f t="shared" si="249"/>
        <v>0</v>
      </c>
      <c r="V391" s="66">
        <f t="shared" si="249"/>
        <v>0</v>
      </c>
      <c r="W391" s="27" t="str">
        <f t="shared" si="212"/>
        <v>OK</v>
      </c>
    </row>
    <row r="392" spans="1:23" x14ac:dyDescent="0.2">
      <c r="A392" s="3">
        <f>+A390+1</f>
        <v>12</v>
      </c>
      <c r="B392" s="3" t="s">
        <v>227</v>
      </c>
      <c r="C392" s="3" t="s">
        <v>215</v>
      </c>
      <c r="D392" s="1" t="s">
        <v>425</v>
      </c>
      <c r="E392" s="4" t="s">
        <v>595</v>
      </c>
      <c r="F392" s="11"/>
      <c r="G392" s="11"/>
      <c r="H392" s="14">
        <f>'II-I TOTAL COMPANY'!K392</f>
        <v>0</v>
      </c>
      <c r="I392" s="66">
        <v>0</v>
      </c>
      <c r="J392" s="66">
        <f t="shared" ref="J392:J398" si="250">SUM(K392:V392)-M392-P392</f>
        <v>0</v>
      </c>
      <c r="K392" s="66">
        <f t="shared" si="245"/>
        <v>0</v>
      </c>
      <c r="L392" s="66">
        <f t="shared" si="245"/>
        <v>0</v>
      </c>
      <c r="M392" s="9">
        <f t="shared" si="246"/>
        <v>0</v>
      </c>
      <c r="N392" s="66">
        <f t="shared" si="247"/>
        <v>0</v>
      </c>
      <c r="O392" s="66">
        <f t="shared" si="247"/>
        <v>0</v>
      </c>
      <c r="P392" s="9">
        <f t="shared" si="248"/>
        <v>0</v>
      </c>
      <c r="Q392" s="66">
        <f t="shared" si="249"/>
        <v>0</v>
      </c>
      <c r="R392" s="66">
        <f t="shared" si="249"/>
        <v>0</v>
      </c>
      <c r="S392" s="66">
        <f t="shared" si="249"/>
        <v>0</v>
      </c>
      <c r="T392" s="66">
        <f t="shared" si="249"/>
        <v>0</v>
      </c>
      <c r="U392" s="66">
        <f t="shared" si="249"/>
        <v>0</v>
      </c>
      <c r="V392" s="66">
        <f t="shared" si="249"/>
        <v>0</v>
      </c>
      <c r="W392" s="27" t="str">
        <f t="shared" ref="W392:W455" si="251">IF((+K392+L392+M392+P392+T392+U392+V392)-H392=0,"OK",(+K392+L392+M392+P392+T392+U392+V392)-H392)</f>
        <v>OK</v>
      </c>
    </row>
    <row r="393" spans="1:23" x14ac:dyDescent="0.2">
      <c r="A393" s="3">
        <f>+A391+1</f>
        <v>13</v>
      </c>
      <c r="B393" s="3" t="s">
        <v>229</v>
      </c>
      <c r="C393" s="3" t="s">
        <v>795</v>
      </c>
      <c r="D393" s="1" t="s">
        <v>797</v>
      </c>
      <c r="E393" s="4" t="s">
        <v>595</v>
      </c>
      <c r="F393" s="11"/>
      <c r="G393" s="11"/>
      <c r="H393" s="14">
        <f>'II-I TOTAL COMPANY'!K393</f>
        <v>0</v>
      </c>
      <c r="I393" s="66">
        <v>0</v>
      </c>
      <c r="J393" s="66">
        <f t="shared" si="250"/>
        <v>0</v>
      </c>
      <c r="K393" s="66">
        <f t="shared" si="245"/>
        <v>0</v>
      </c>
      <c r="L393" s="66">
        <f t="shared" si="245"/>
        <v>0</v>
      </c>
      <c r="M393" s="9">
        <f t="shared" si="246"/>
        <v>0</v>
      </c>
      <c r="N393" s="66">
        <f t="shared" si="247"/>
        <v>0</v>
      </c>
      <c r="O393" s="66">
        <f t="shared" si="247"/>
        <v>0</v>
      </c>
      <c r="P393" s="9">
        <f t="shared" si="248"/>
        <v>0</v>
      </c>
      <c r="Q393" s="66">
        <f t="shared" si="249"/>
        <v>0</v>
      </c>
      <c r="R393" s="66">
        <f t="shared" si="249"/>
        <v>0</v>
      </c>
      <c r="S393" s="66">
        <f t="shared" si="249"/>
        <v>0</v>
      </c>
      <c r="T393" s="66">
        <f t="shared" si="249"/>
        <v>0</v>
      </c>
      <c r="U393" s="66">
        <f t="shared" si="249"/>
        <v>0</v>
      </c>
      <c r="V393" s="66">
        <f t="shared" si="249"/>
        <v>0</v>
      </c>
      <c r="W393" s="27" t="str">
        <f t="shared" si="251"/>
        <v>OK</v>
      </c>
    </row>
    <row r="394" spans="1:23" x14ac:dyDescent="0.2">
      <c r="A394" s="3">
        <f t="shared" si="236"/>
        <v>14</v>
      </c>
      <c r="B394" s="3" t="s">
        <v>229</v>
      </c>
      <c r="C394" s="3" t="s">
        <v>230</v>
      </c>
      <c r="D394" s="1" t="s">
        <v>824</v>
      </c>
      <c r="E394" s="4" t="s">
        <v>595</v>
      </c>
      <c r="F394" s="11"/>
      <c r="G394" s="11"/>
      <c r="H394" s="14">
        <f>'II-I TOTAL COMPANY'!K394</f>
        <v>0</v>
      </c>
      <c r="I394" s="66">
        <v>0</v>
      </c>
      <c r="J394" s="66">
        <f t="shared" si="250"/>
        <v>0</v>
      </c>
      <c r="K394" s="66">
        <f t="shared" si="245"/>
        <v>0</v>
      </c>
      <c r="L394" s="66">
        <f t="shared" si="245"/>
        <v>0</v>
      </c>
      <c r="M394" s="9">
        <f t="shared" si="246"/>
        <v>0</v>
      </c>
      <c r="N394" s="66">
        <f t="shared" si="247"/>
        <v>0</v>
      </c>
      <c r="O394" s="66">
        <f t="shared" si="247"/>
        <v>0</v>
      </c>
      <c r="P394" s="9">
        <f t="shared" si="248"/>
        <v>0</v>
      </c>
      <c r="Q394" s="66">
        <f t="shared" si="249"/>
        <v>0</v>
      </c>
      <c r="R394" s="66">
        <f t="shared" si="249"/>
        <v>0</v>
      </c>
      <c r="S394" s="66">
        <f t="shared" si="249"/>
        <v>0</v>
      </c>
      <c r="T394" s="66">
        <f t="shared" si="249"/>
        <v>0</v>
      </c>
      <c r="U394" s="66">
        <f t="shared" si="249"/>
        <v>0</v>
      </c>
      <c r="V394" s="66">
        <f t="shared" si="249"/>
        <v>0</v>
      </c>
      <c r="W394" s="27" t="str">
        <f t="shared" si="251"/>
        <v>OK</v>
      </c>
    </row>
    <row r="395" spans="1:23" x14ac:dyDescent="0.2">
      <c r="A395" s="3">
        <f t="shared" si="236"/>
        <v>15</v>
      </c>
      <c r="B395" s="3" t="s">
        <v>231</v>
      </c>
      <c r="C395" s="3" t="s">
        <v>232</v>
      </c>
      <c r="D395" s="1" t="s">
        <v>446</v>
      </c>
      <c r="E395" s="4" t="s">
        <v>595</v>
      </c>
      <c r="F395" s="11"/>
      <c r="G395" s="11"/>
      <c r="H395" s="14">
        <f>'II-I TOTAL COMPANY'!K395</f>
        <v>0</v>
      </c>
      <c r="I395" s="66">
        <v>0</v>
      </c>
      <c r="J395" s="66">
        <f t="shared" si="250"/>
        <v>0</v>
      </c>
      <c r="K395" s="66">
        <f t="shared" si="245"/>
        <v>0</v>
      </c>
      <c r="L395" s="66">
        <f t="shared" si="245"/>
        <v>0</v>
      </c>
      <c r="M395" s="9">
        <f t="shared" si="246"/>
        <v>0</v>
      </c>
      <c r="N395" s="66">
        <f t="shared" si="247"/>
        <v>0</v>
      </c>
      <c r="O395" s="66">
        <f t="shared" si="247"/>
        <v>0</v>
      </c>
      <c r="P395" s="9">
        <f t="shared" si="248"/>
        <v>0</v>
      </c>
      <c r="Q395" s="66">
        <f t="shared" si="249"/>
        <v>0</v>
      </c>
      <c r="R395" s="66">
        <f t="shared" si="249"/>
        <v>0</v>
      </c>
      <c r="S395" s="66">
        <f t="shared" si="249"/>
        <v>0</v>
      </c>
      <c r="T395" s="66">
        <f t="shared" si="249"/>
        <v>0</v>
      </c>
      <c r="U395" s="66">
        <f t="shared" si="249"/>
        <v>0</v>
      </c>
      <c r="V395" s="66">
        <f t="shared" si="249"/>
        <v>0</v>
      </c>
      <c r="W395" s="27" t="str">
        <f t="shared" si="251"/>
        <v>OK</v>
      </c>
    </row>
    <row r="396" spans="1:23" x14ac:dyDescent="0.2">
      <c r="A396" s="3">
        <f>+A394+1</f>
        <v>15</v>
      </c>
      <c r="B396" s="3" t="s">
        <v>233</v>
      </c>
      <c r="C396" s="3" t="s">
        <v>234</v>
      </c>
      <c r="D396" s="1" t="s">
        <v>446</v>
      </c>
      <c r="E396" s="4" t="s">
        <v>595</v>
      </c>
      <c r="F396" s="11"/>
      <c r="G396" s="11"/>
      <c r="H396" s="14">
        <f>'II-I TOTAL COMPANY'!K396</f>
        <v>0</v>
      </c>
      <c r="I396" s="66">
        <v>0</v>
      </c>
      <c r="J396" s="66">
        <f t="shared" si="250"/>
        <v>0</v>
      </c>
      <c r="K396" s="66">
        <f t="shared" si="245"/>
        <v>0</v>
      </c>
      <c r="L396" s="66">
        <f t="shared" si="245"/>
        <v>0</v>
      </c>
      <c r="M396" s="9">
        <f t="shared" si="246"/>
        <v>0</v>
      </c>
      <c r="N396" s="66">
        <f t="shared" si="247"/>
        <v>0</v>
      </c>
      <c r="O396" s="66">
        <f t="shared" si="247"/>
        <v>0</v>
      </c>
      <c r="P396" s="9">
        <f t="shared" si="248"/>
        <v>0</v>
      </c>
      <c r="Q396" s="66">
        <f t="shared" si="249"/>
        <v>0</v>
      </c>
      <c r="R396" s="66">
        <f t="shared" si="249"/>
        <v>0</v>
      </c>
      <c r="S396" s="66">
        <f t="shared" si="249"/>
        <v>0</v>
      </c>
      <c r="T396" s="66">
        <f t="shared" si="249"/>
        <v>0</v>
      </c>
      <c r="U396" s="66">
        <f t="shared" si="249"/>
        <v>0</v>
      </c>
      <c r="V396" s="66">
        <f t="shared" si="249"/>
        <v>0</v>
      </c>
      <c r="W396" s="27" t="str">
        <f t="shared" si="251"/>
        <v>OK</v>
      </c>
    </row>
    <row r="397" spans="1:23" x14ac:dyDescent="0.2">
      <c r="A397" s="3">
        <f>+A395+1</f>
        <v>16</v>
      </c>
      <c r="B397" s="3" t="s">
        <v>233</v>
      </c>
      <c r="C397" s="3" t="s">
        <v>234</v>
      </c>
      <c r="D397" s="1" t="s">
        <v>446</v>
      </c>
      <c r="E397" s="4" t="s">
        <v>595</v>
      </c>
      <c r="F397" s="11"/>
      <c r="G397" s="11"/>
      <c r="H397" s="14">
        <f>'II-I TOTAL COMPANY'!K397</f>
        <v>0</v>
      </c>
      <c r="I397" s="66">
        <v>0</v>
      </c>
      <c r="J397" s="66">
        <f t="shared" si="250"/>
        <v>0</v>
      </c>
      <c r="K397" s="66">
        <f t="shared" si="245"/>
        <v>0</v>
      </c>
      <c r="L397" s="66">
        <f t="shared" si="245"/>
        <v>0</v>
      </c>
      <c r="M397" s="9">
        <f t="shared" si="246"/>
        <v>0</v>
      </c>
      <c r="N397" s="66">
        <f t="shared" si="247"/>
        <v>0</v>
      </c>
      <c r="O397" s="66">
        <f t="shared" si="247"/>
        <v>0</v>
      </c>
      <c r="P397" s="9">
        <f t="shared" si="248"/>
        <v>0</v>
      </c>
      <c r="Q397" s="66">
        <f t="shared" si="249"/>
        <v>0</v>
      </c>
      <c r="R397" s="66">
        <f t="shared" si="249"/>
        <v>0</v>
      </c>
      <c r="S397" s="66">
        <f t="shared" si="249"/>
        <v>0</v>
      </c>
      <c r="T397" s="66">
        <f t="shared" si="249"/>
        <v>0</v>
      </c>
      <c r="U397" s="66">
        <f t="shared" si="249"/>
        <v>0</v>
      </c>
      <c r="V397" s="66">
        <f t="shared" si="249"/>
        <v>0</v>
      </c>
      <c r="W397" s="27" t="str">
        <f t="shared" si="251"/>
        <v>OK</v>
      </c>
    </row>
    <row r="398" spans="1:23" x14ac:dyDescent="0.2">
      <c r="A398" s="3">
        <f t="shared" ref="A398:A415" si="252">+A397+1</f>
        <v>17</v>
      </c>
      <c r="B398" s="3"/>
      <c r="C398" s="3" t="s">
        <v>135</v>
      </c>
      <c r="D398" s="3"/>
      <c r="E398" s="4"/>
      <c r="F398" s="66"/>
      <c r="G398" s="66"/>
      <c r="H398" s="8">
        <f t="shared" ref="H398:V398" si="253">SUM(H391:H397)</f>
        <v>0</v>
      </c>
      <c r="I398" s="8">
        <f t="shared" si="253"/>
        <v>0</v>
      </c>
      <c r="J398" s="66">
        <f t="shared" si="250"/>
        <v>0</v>
      </c>
      <c r="K398" s="66">
        <f t="shared" si="253"/>
        <v>0</v>
      </c>
      <c r="L398" s="66">
        <f t="shared" si="253"/>
        <v>0</v>
      </c>
      <c r="M398" s="9">
        <f t="shared" si="246"/>
        <v>0</v>
      </c>
      <c r="N398" s="66">
        <f t="shared" si="253"/>
        <v>0</v>
      </c>
      <c r="O398" s="66">
        <f t="shared" si="253"/>
        <v>0</v>
      </c>
      <c r="P398" s="9">
        <f t="shared" si="248"/>
        <v>0</v>
      </c>
      <c r="Q398" s="66">
        <f t="shared" si="253"/>
        <v>0</v>
      </c>
      <c r="R398" s="66">
        <f t="shared" si="253"/>
        <v>0</v>
      </c>
      <c r="S398" s="66">
        <f>SUM(S391:S397)</f>
        <v>0</v>
      </c>
      <c r="T398" s="66">
        <f t="shared" si="253"/>
        <v>0</v>
      </c>
      <c r="U398" s="66">
        <f t="shared" si="253"/>
        <v>0</v>
      </c>
      <c r="V398" s="66">
        <f t="shared" si="253"/>
        <v>0</v>
      </c>
      <c r="W398" s="27" t="str">
        <f t="shared" si="251"/>
        <v>OK</v>
      </c>
    </row>
    <row r="399" spans="1:23" x14ac:dyDescent="0.2">
      <c r="A399" s="3">
        <f t="shared" si="252"/>
        <v>18</v>
      </c>
      <c r="B399" s="3"/>
      <c r="C399" s="3"/>
      <c r="D399" s="3"/>
      <c r="E399" s="4"/>
      <c r="F399" s="4"/>
      <c r="G399" s="4"/>
      <c r="H399" s="8"/>
      <c r="I399" s="8"/>
      <c r="J399" s="8"/>
      <c r="K399" s="8"/>
      <c r="L399" s="8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27" t="str">
        <f t="shared" si="251"/>
        <v>OK</v>
      </c>
    </row>
    <row r="400" spans="1:23" x14ac:dyDescent="0.2">
      <c r="A400" s="3">
        <f t="shared" si="252"/>
        <v>19</v>
      </c>
      <c r="B400" s="3"/>
      <c r="C400" s="3" t="s">
        <v>235</v>
      </c>
      <c r="D400" s="3"/>
      <c r="E400" s="4"/>
      <c r="F400" s="4"/>
      <c r="G400" s="4"/>
      <c r="H400" s="8"/>
      <c r="I400" s="8"/>
      <c r="J400" s="8"/>
      <c r="K400" s="8"/>
      <c r="L400" s="8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27" t="str">
        <f t="shared" si="251"/>
        <v>OK</v>
      </c>
    </row>
    <row r="401" spans="1:23" x14ac:dyDescent="0.2">
      <c r="A401" s="3">
        <f t="shared" si="252"/>
        <v>20</v>
      </c>
      <c r="B401" s="3" t="s">
        <v>236</v>
      </c>
      <c r="C401" s="3" t="s">
        <v>228</v>
      </c>
      <c r="D401" s="1" t="s">
        <v>426</v>
      </c>
      <c r="E401" s="4" t="s">
        <v>595</v>
      </c>
      <c r="F401" s="11"/>
      <c r="G401" s="11"/>
      <c r="H401" s="14">
        <f>'II-I TOTAL COMPANY'!K401</f>
        <v>0</v>
      </c>
      <c r="I401" s="66">
        <v>0</v>
      </c>
      <c r="J401" s="66">
        <f t="shared" ref="J401:J408" si="254">SUM(K401:V401)-M401-P401</f>
        <v>0</v>
      </c>
      <c r="K401" s="66">
        <f t="shared" ref="K401:L405" si="255">VLOOKUP($D401,$E$741:$V$815,K$1,FALSE)*$H401</f>
        <v>0</v>
      </c>
      <c r="L401" s="66">
        <f t="shared" si="255"/>
        <v>0</v>
      </c>
      <c r="M401" s="9">
        <f t="shared" ref="M401:M407" si="256">SUM(N401:O401)</f>
        <v>0</v>
      </c>
      <c r="N401" s="66">
        <f t="shared" ref="N401:O405" si="257">VLOOKUP($D401,$E$741:$V$815,N$1,FALSE)*$H401</f>
        <v>0</v>
      </c>
      <c r="O401" s="66">
        <f t="shared" si="257"/>
        <v>0</v>
      </c>
      <c r="P401" s="9">
        <f t="shared" ref="P401:P407" si="258">SUM(Q401:S401)</f>
        <v>0</v>
      </c>
      <c r="Q401" s="66">
        <f t="shared" ref="Q401:V405" si="259">VLOOKUP($D401,$E$741:$V$815,Q$1,FALSE)*$H401</f>
        <v>0</v>
      </c>
      <c r="R401" s="66">
        <f t="shared" si="259"/>
        <v>0</v>
      </c>
      <c r="S401" s="66">
        <f t="shared" si="259"/>
        <v>0</v>
      </c>
      <c r="T401" s="66">
        <f t="shared" si="259"/>
        <v>0</v>
      </c>
      <c r="U401" s="66">
        <f t="shared" si="259"/>
        <v>0</v>
      </c>
      <c r="V401" s="66">
        <f t="shared" si="259"/>
        <v>0</v>
      </c>
      <c r="W401" s="27" t="str">
        <f t="shared" si="251"/>
        <v>OK</v>
      </c>
    </row>
    <row r="402" spans="1:23" x14ac:dyDescent="0.2">
      <c r="A402" s="3">
        <f t="shared" si="252"/>
        <v>21</v>
      </c>
      <c r="B402" s="3" t="s">
        <v>237</v>
      </c>
      <c r="C402" s="3" t="s">
        <v>238</v>
      </c>
      <c r="D402" s="1" t="s">
        <v>345</v>
      </c>
      <c r="E402" s="4" t="s">
        <v>595</v>
      </c>
      <c r="F402" s="11"/>
      <c r="G402" s="11"/>
      <c r="H402" s="14">
        <f>'II-I TOTAL COMPANY'!K402</f>
        <v>0</v>
      </c>
      <c r="I402" s="66">
        <v>0</v>
      </c>
      <c r="J402" s="66">
        <f t="shared" si="254"/>
        <v>0</v>
      </c>
      <c r="K402" s="66">
        <f t="shared" si="255"/>
        <v>0</v>
      </c>
      <c r="L402" s="66">
        <f t="shared" si="255"/>
        <v>0</v>
      </c>
      <c r="M402" s="9">
        <f t="shared" si="256"/>
        <v>0</v>
      </c>
      <c r="N402" s="66">
        <f t="shared" si="257"/>
        <v>0</v>
      </c>
      <c r="O402" s="66">
        <f t="shared" si="257"/>
        <v>0</v>
      </c>
      <c r="P402" s="9">
        <f t="shared" si="258"/>
        <v>0</v>
      </c>
      <c r="Q402" s="66">
        <f t="shared" si="259"/>
        <v>0</v>
      </c>
      <c r="R402" s="66">
        <f t="shared" si="259"/>
        <v>0</v>
      </c>
      <c r="S402" s="66">
        <f t="shared" si="259"/>
        <v>0</v>
      </c>
      <c r="T402" s="66">
        <f t="shared" si="259"/>
        <v>0</v>
      </c>
      <c r="U402" s="66">
        <f t="shared" si="259"/>
        <v>0</v>
      </c>
      <c r="V402" s="66">
        <f t="shared" si="259"/>
        <v>0</v>
      </c>
      <c r="W402" s="27" t="str">
        <f t="shared" si="251"/>
        <v>OK</v>
      </c>
    </row>
    <row r="403" spans="1:23" x14ac:dyDescent="0.2">
      <c r="A403" s="3">
        <f t="shared" si="252"/>
        <v>22</v>
      </c>
      <c r="B403" s="3" t="s">
        <v>239</v>
      </c>
      <c r="C403" s="3" t="s">
        <v>240</v>
      </c>
      <c r="D403" s="1" t="s">
        <v>345</v>
      </c>
      <c r="E403" s="4" t="s">
        <v>595</v>
      </c>
      <c r="F403" s="11"/>
      <c r="G403" s="11"/>
      <c r="H403" s="14">
        <f>'II-I TOTAL COMPANY'!K403</f>
        <v>-17.48000000003492</v>
      </c>
      <c r="I403" s="66">
        <v>0</v>
      </c>
      <c r="J403" s="66">
        <f t="shared" si="254"/>
        <v>-17.480000000034924</v>
      </c>
      <c r="K403" s="66">
        <f t="shared" si="255"/>
        <v>-12.295110628462076</v>
      </c>
      <c r="L403" s="66">
        <f t="shared" si="255"/>
        <v>-1.3063155717665051</v>
      </c>
      <c r="M403" s="9">
        <f t="shared" si="256"/>
        <v>-0.95192524843548965</v>
      </c>
      <c r="N403" s="66">
        <f t="shared" si="257"/>
        <v>-7.572386624574874E-3</v>
      </c>
      <c r="O403" s="66">
        <f t="shared" si="257"/>
        <v>-0.94435286181091482</v>
      </c>
      <c r="P403" s="9">
        <f t="shared" si="258"/>
        <v>-1.427710394841721E-2</v>
      </c>
      <c r="Q403" s="66">
        <f t="shared" si="259"/>
        <v>-6.1657106370236383E-3</v>
      </c>
      <c r="R403" s="66">
        <f t="shared" si="259"/>
        <v>-7.2305775061044806E-3</v>
      </c>
      <c r="S403" s="66">
        <f t="shared" si="259"/>
        <v>-8.8081580528909112E-4</v>
      </c>
      <c r="T403" s="66">
        <f t="shared" si="259"/>
        <v>-1.6170200604560929E-3</v>
      </c>
      <c r="U403" s="66">
        <f t="shared" si="259"/>
        <v>-2.9105046437754014</v>
      </c>
      <c r="V403" s="66">
        <f t="shared" si="259"/>
        <v>-2.497835865745184E-4</v>
      </c>
      <c r="W403" s="27">
        <f t="shared" si="251"/>
        <v>-3.5527136788005009E-15</v>
      </c>
    </row>
    <row r="404" spans="1:23" x14ac:dyDescent="0.2">
      <c r="A404" s="3">
        <f t="shared" si="252"/>
        <v>23</v>
      </c>
      <c r="B404" s="3" t="s">
        <v>241</v>
      </c>
      <c r="C404" s="3" t="s">
        <v>242</v>
      </c>
      <c r="D404" s="1" t="s">
        <v>345</v>
      </c>
      <c r="E404" s="4" t="s">
        <v>595</v>
      </c>
      <c r="F404" s="11"/>
      <c r="G404" s="11"/>
      <c r="H404" s="14">
        <f>'II-I TOTAL COMPANY'!K404</f>
        <v>0</v>
      </c>
      <c r="I404" s="66">
        <v>0</v>
      </c>
      <c r="J404" s="66">
        <f t="shared" si="254"/>
        <v>0</v>
      </c>
      <c r="K404" s="66">
        <f t="shared" si="255"/>
        <v>0</v>
      </c>
      <c r="L404" s="66">
        <f t="shared" si="255"/>
        <v>0</v>
      </c>
      <c r="M404" s="9">
        <f t="shared" si="256"/>
        <v>0</v>
      </c>
      <c r="N404" s="66">
        <f t="shared" si="257"/>
        <v>0</v>
      </c>
      <c r="O404" s="66">
        <f t="shared" si="257"/>
        <v>0</v>
      </c>
      <c r="P404" s="9">
        <f t="shared" si="258"/>
        <v>0</v>
      </c>
      <c r="Q404" s="66">
        <f t="shared" si="259"/>
        <v>0</v>
      </c>
      <c r="R404" s="66">
        <f t="shared" si="259"/>
        <v>0</v>
      </c>
      <c r="S404" s="66">
        <f t="shared" si="259"/>
        <v>0</v>
      </c>
      <c r="T404" s="66">
        <f t="shared" si="259"/>
        <v>0</v>
      </c>
      <c r="U404" s="66">
        <f t="shared" si="259"/>
        <v>0</v>
      </c>
      <c r="V404" s="66">
        <f t="shared" si="259"/>
        <v>0</v>
      </c>
      <c r="W404" s="27" t="str">
        <f t="shared" si="251"/>
        <v>OK</v>
      </c>
    </row>
    <row r="405" spans="1:23" x14ac:dyDescent="0.2">
      <c r="A405" s="3">
        <f t="shared" si="252"/>
        <v>24</v>
      </c>
      <c r="B405" s="3" t="s">
        <v>243</v>
      </c>
      <c r="C405" s="3" t="s">
        <v>244</v>
      </c>
      <c r="D405" s="1" t="s">
        <v>345</v>
      </c>
      <c r="E405" s="4" t="s">
        <v>595</v>
      </c>
      <c r="F405" s="11"/>
      <c r="G405" s="11"/>
      <c r="H405" s="14">
        <f>'II-I TOTAL COMPANY'!K405</f>
        <v>0</v>
      </c>
      <c r="I405" s="66">
        <v>0</v>
      </c>
      <c r="J405" s="66">
        <f t="shared" si="254"/>
        <v>0</v>
      </c>
      <c r="K405" s="66">
        <f t="shared" si="255"/>
        <v>0</v>
      </c>
      <c r="L405" s="66">
        <f t="shared" si="255"/>
        <v>0</v>
      </c>
      <c r="M405" s="9">
        <f t="shared" si="256"/>
        <v>0</v>
      </c>
      <c r="N405" s="66">
        <f t="shared" si="257"/>
        <v>0</v>
      </c>
      <c r="O405" s="66">
        <f t="shared" si="257"/>
        <v>0</v>
      </c>
      <c r="P405" s="9">
        <f t="shared" si="258"/>
        <v>0</v>
      </c>
      <c r="Q405" s="66">
        <f t="shared" si="259"/>
        <v>0</v>
      </c>
      <c r="R405" s="66">
        <f t="shared" si="259"/>
        <v>0</v>
      </c>
      <c r="S405" s="66">
        <f t="shared" si="259"/>
        <v>0</v>
      </c>
      <c r="T405" s="66">
        <f t="shared" si="259"/>
        <v>0</v>
      </c>
      <c r="U405" s="66">
        <f t="shared" si="259"/>
        <v>0</v>
      </c>
      <c r="V405" s="66">
        <f t="shared" si="259"/>
        <v>0</v>
      </c>
      <c r="W405" s="27" t="str">
        <f t="shared" si="251"/>
        <v>OK</v>
      </c>
    </row>
    <row r="406" spans="1:23" x14ac:dyDescent="0.2">
      <c r="A406" s="3">
        <f t="shared" si="252"/>
        <v>25</v>
      </c>
      <c r="B406" s="3"/>
      <c r="C406" s="3" t="s">
        <v>135</v>
      </c>
      <c r="D406" s="3"/>
      <c r="E406" s="4"/>
      <c r="F406" s="4"/>
      <c r="G406" s="4"/>
      <c r="H406" s="8">
        <f t="shared" ref="H406:V406" si="260">SUM(H401:H405)</f>
        <v>-17.48000000003492</v>
      </c>
      <c r="I406" s="8">
        <f t="shared" si="260"/>
        <v>0</v>
      </c>
      <c r="J406" s="66">
        <f t="shared" si="254"/>
        <v>-17.480000000034924</v>
      </c>
      <c r="K406" s="8">
        <f t="shared" si="260"/>
        <v>-12.295110628462076</v>
      </c>
      <c r="L406" s="8">
        <f t="shared" si="260"/>
        <v>-1.3063155717665051</v>
      </c>
      <c r="M406" s="9">
        <f t="shared" si="256"/>
        <v>-0.95192524843548965</v>
      </c>
      <c r="N406" s="8">
        <f t="shared" si="260"/>
        <v>-7.572386624574874E-3</v>
      </c>
      <c r="O406" s="8">
        <f t="shared" si="260"/>
        <v>-0.94435286181091482</v>
      </c>
      <c r="P406" s="9">
        <f t="shared" si="258"/>
        <v>-1.427710394841721E-2</v>
      </c>
      <c r="Q406" s="8">
        <f t="shared" si="260"/>
        <v>-6.1657106370236383E-3</v>
      </c>
      <c r="R406" s="8">
        <f t="shared" si="260"/>
        <v>-7.2305775061044806E-3</v>
      </c>
      <c r="S406" s="8">
        <f>SUM(S401:S405)</f>
        <v>-8.8081580528909112E-4</v>
      </c>
      <c r="T406" s="8">
        <f t="shared" si="260"/>
        <v>-1.6170200604560929E-3</v>
      </c>
      <c r="U406" s="8">
        <f t="shared" si="260"/>
        <v>-2.9105046437754014</v>
      </c>
      <c r="V406" s="8">
        <f t="shared" si="260"/>
        <v>-2.497835865745184E-4</v>
      </c>
      <c r="W406" s="27">
        <f t="shared" si="251"/>
        <v>-3.5527136788005009E-15</v>
      </c>
    </row>
    <row r="407" spans="1:23" x14ac:dyDescent="0.2">
      <c r="A407" s="3">
        <f t="shared" si="252"/>
        <v>26</v>
      </c>
      <c r="B407" s="3"/>
      <c r="C407" s="3" t="s">
        <v>245</v>
      </c>
      <c r="D407" s="3"/>
      <c r="E407" s="4"/>
      <c r="F407" s="8"/>
      <c r="G407" s="8"/>
      <c r="H407" s="8">
        <f>H388+H398+H406</f>
        <v>942749.86192110961</v>
      </c>
      <c r="I407" s="8">
        <f t="shared" ref="I407:V407" si="261">I388+I398+I406</f>
        <v>0</v>
      </c>
      <c r="J407" s="66">
        <f t="shared" si="254"/>
        <v>942749.86192110926</v>
      </c>
      <c r="K407" s="8">
        <f t="shared" si="261"/>
        <v>511467.60188153677</v>
      </c>
      <c r="L407" s="8">
        <f t="shared" si="261"/>
        <v>26398.508776125895</v>
      </c>
      <c r="M407" s="9">
        <f t="shared" si="256"/>
        <v>285480.62832393998</v>
      </c>
      <c r="N407" s="8">
        <f t="shared" si="261"/>
        <v>32896.723381195756</v>
      </c>
      <c r="O407" s="8">
        <f t="shared" si="261"/>
        <v>252583.90494274421</v>
      </c>
      <c r="P407" s="9">
        <f t="shared" si="258"/>
        <v>63693.156938393935</v>
      </c>
      <c r="Q407" s="8">
        <f t="shared" si="261"/>
        <v>47061.499925542485</v>
      </c>
      <c r="R407" s="8">
        <f t="shared" si="261"/>
        <v>4297.1333958210989</v>
      </c>
      <c r="S407" s="8">
        <f>S388+S398+S406</f>
        <v>12334.523617030351</v>
      </c>
      <c r="T407" s="8">
        <f t="shared" si="261"/>
        <v>15465.706864976137</v>
      </c>
      <c r="U407" s="8">
        <f t="shared" si="261"/>
        <v>40244.257521112842</v>
      </c>
      <c r="V407" s="8">
        <f t="shared" si="261"/>
        <v>1.6150240437566507E-3</v>
      </c>
      <c r="W407" s="27">
        <f t="shared" si="251"/>
        <v>-1.1641532182693481E-10</v>
      </c>
    </row>
    <row r="408" spans="1:23" x14ac:dyDescent="0.2">
      <c r="A408" s="3">
        <f t="shared" si="252"/>
        <v>27</v>
      </c>
      <c r="B408" s="3"/>
      <c r="C408" s="3" t="s">
        <v>587</v>
      </c>
      <c r="D408" s="3"/>
      <c r="E408" s="4"/>
      <c r="F408" s="4"/>
      <c r="G408" s="4"/>
      <c r="H408" s="8">
        <f>+H407+H377</f>
        <v>109215724.62854899</v>
      </c>
      <c r="I408" s="8">
        <f t="shared" ref="I408:V408" si="262">+I407+I377</f>
        <v>0</v>
      </c>
      <c r="J408" s="66">
        <f t="shared" si="254"/>
        <v>109215750.828549</v>
      </c>
      <c r="K408" s="8">
        <f t="shared" si="262"/>
        <v>62821726.524216861</v>
      </c>
      <c r="L408" s="8">
        <f t="shared" si="262"/>
        <v>2327056.7018998382</v>
      </c>
      <c r="M408" s="8">
        <f t="shared" si="262"/>
        <v>32314689.987006508</v>
      </c>
      <c r="N408" s="8">
        <f t="shared" si="262"/>
        <v>4300159.6520117801</v>
      </c>
      <c r="O408" s="8">
        <f t="shared" si="262"/>
        <v>28014530.33499473</v>
      </c>
      <c r="P408" s="8">
        <f t="shared" si="262"/>
        <v>8404505.9341075458</v>
      </c>
      <c r="Q408" s="8">
        <f t="shared" si="262"/>
        <v>6832288.6533575542</v>
      </c>
      <c r="R408" s="8">
        <f t="shared" si="262"/>
        <v>495315.2968193515</v>
      </c>
      <c r="S408" s="8">
        <f t="shared" si="262"/>
        <v>1076901.9839306395</v>
      </c>
      <c r="T408" s="8">
        <f t="shared" si="262"/>
        <v>15465.481264077422</v>
      </c>
      <c r="U408" s="8">
        <f t="shared" si="262"/>
        <v>3022582.4020255003</v>
      </c>
      <c r="V408" s="8">
        <f t="shared" si="262"/>
        <v>309723.79802865646</v>
      </c>
      <c r="W408" s="27">
        <f t="shared" si="251"/>
        <v>26.200000002980232</v>
      </c>
    </row>
    <row r="409" spans="1:23" x14ac:dyDescent="0.2">
      <c r="A409" s="3">
        <f t="shared" si="252"/>
        <v>28</v>
      </c>
      <c r="B409" s="7" t="s">
        <v>246</v>
      </c>
      <c r="C409" s="3"/>
      <c r="D409" s="3"/>
      <c r="E409" s="4"/>
      <c r="F409" s="4"/>
      <c r="G409" s="4"/>
      <c r="H409" s="8"/>
      <c r="I409" s="8"/>
      <c r="J409" s="8"/>
      <c r="K409" s="8"/>
      <c r="L409" s="8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27" t="str">
        <f t="shared" si="251"/>
        <v>OK</v>
      </c>
    </row>
    <row r="410" spans="1:23" x14ac:dyDescent="0.2">
      <c r="A410" s="3">
        <f t="shared" si="252"/>
        <v>29</v>
      </c>
      <c r="B410" s="3"/>
      <c r="C410" s="3"/>
      <c r="D410" s="3"/>
      <c r="E410" s="4"/>
      <c r="F410" s="4"/>
      <c r="G410" s="4"/>
      <c r="H410" s="8"/>
      <c r="I410" s="8"/>
      <c r="J410" s="8"/>
      <c r="K410" s="8"/>
      <c r="L410" s="8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27" t="str">
        <f t="shared" si="251"/>
        <v>OK</v>
      </c>
    </row>
    <row r="411" spans="1:23" x14ac:dyDescent="0.2">
      <c r="A411" s="3">
        <f t="shared" si="252"/>
        <v>30</v>
      </c>
      <c r="B411" s="3" t="s">
        <v>247</v>
      </c>
      <c r="C411" s="3"/>
      <c r="D411" s="3"/>
      <c r="E411" s="4"/>
      <c r="F411" s="4"/>
      <c r="G411" s="4"/>
      <c r="H411" s="8"/>
      <c r="I411" s="8"/>
      <c r="J411" s="8"/>
      <c r="K411" s="8"/>
      <c r="L411" s="8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27" t="str">
        <f t="shared" si="251"/>
        <v>OK</v>
      </c>
    </row>
    <row r="412" spans="1:23" x14ac:dyDescent="0.2">
      <c r="A412" s="3">
        <f t="shared" si="252"/>
        <v>31</v>
      </c>
      <c r="B412" s="3" t="s">
        <v>248</v>
      </c>
      <c r="C412" s="3" t="s">
        <v>249</v>
      </c>
      <c r="D412" s="1" t="s">
        <v>323</v>
      </c>
      <c r="E412" s="4" t="s">
        <v>595</v>
      </c>
      <c r="F412" s="11"/>
      <c r="G412" s="1"/>
      <c r="H412" s="14">
        <f>'II-I TOTAL COMPANY'!K412</f>
        <v>17330480.628097732</v>
      </c>
      <c r="I412" s="66">
        <v>0</v>
      </c>
      <c r="J412" s="66">
        <f t="shared" ref="J412:J429" si="263">SUM(K412:V412)-M412-P412</f>
        <v>17330480.628097728</v>
      </c>
      <c r="K412" s="66">
        <f t="shared" ref="K412:L426" si="264">VLOOKUP($D412,$E$741:$V$815,K$1,FALSE)*$H412</f>
        <v>9959546.4772457927</v>
      </c>
      <c r="L412" s="66">
        <f t="shared" si="264"/>
        <v>368347.69547808712</v>
      </c>
      <c r="M412" s="9">
        <f t="shared" ref="M412:M427" si="265">SUM(N412:O412)</f>
        <v>5116247.0870354511</v>
      </c>
      <c r="N412" s="66">
        <f t="shared" ref="N412:O426" si="266">VLOOKUP($D412,$E$741:$V$815,N$1,FALSE)*$H412</f>
        <v>681454.24465321167</v>
      </c>
      <c r="O412" s="66">
        <f t="shared" si="266"/>
        <v>4434792.8423822392</v>
      </c>
      <c r="P412" s="9">
        <f t="shared" ref="P412:P427" si="267">SUM(Q412:S412)</f>
        <v>1349270.08707152</v>
      </c>
      <c r="Q412" s="66">
        <f t="shared" ref="Q412:V426" si="268">VLOOKUP($D412,$E$741:$V$815,Q$1,FALSE)*$H412</f>
        <v>1097598.6298401072</v>
      </c>
      <c r="R412" s="66">
        <f t="shared" si="268"/>
        <v>79433.949025762748</v>
      </c>
      <c r="S412" s="66">
        <f t="shared" si="268"/>
        <v>172237.50820565011</v>
      </c>
      <c r="T412" s="66">
        <f t="shared" si="268"/>
        <v>93.380158827785081</v>
      </c>
      <c r="U412" s="66">
        <f t="shared" si="268"/>
        <v>486887.02525621274</v>
      </c>
      <c r="V412" s="66">
        <f t="shared" si="268"/>
        <v>50088.875851840101</v>
      </c>
      <c r="W412" s="27" t="str">
        <f t="shared" si="251"/>
        <v>OK</v>
      </c>
    </row>
    <row r="413" spans="1:23" x14ac:dyDescent="0.2">
      <c r="A413" s="3">
        <f>+A412+1</f>
        <v>32</v>
      </c>
      <c r="B413" s="3" t="s">
        <v>248</v>
      </c>
      <c r="C413" s="3" t="s">
        <v>538</v>
      </c>
      <c r="D413" s="1" t="s">
        <v>323</v>
      </c>
      <c r="E413" s="4" t="s">
        <v>595</v>
      </c>
      <c r="F413" s="11"/>
      <c r="G413" s="1"/>
      <c r="H413" s="14">
        <f>'II-I TOTAL COMPANY'!K413</f>
        <v>0</v>
      </c>
      <c r="I413" s="66">
        <v>0</v>
      </c>
      <c r="J413" s="66">
        <f t="shared" si="263"/>
        <v>0</v>
      </c>
      <c r="K413" s="66">
        <f t="shared" si="264"/>
        <v>0</v>
      </c>
      <c r="L413" s="66">
        <f t="shared" si="264"/>
        <v>0</v>
      </c>
      <c r="M413" s="9">
        <f t="shared" si="265"/>
        <v>0</v>
      </c>
      <c r="N413" s="66">
        <f t="shared" si="266"/>
        <v>0</v>
      </c>
      <c r="O413" s="66">
        <f t="shared" si="266"/>
        <v>0</v>
      </c>
      <c r="P413" s="9">
        <f t="shared" si="267"/>
        <v>0</v>
      </c>
      <c r="Q413" s="66">
        <f t="shared" si="268"/>
        <v>0</v>
      </c>
      <c r="R413" s="66">
        <f t="shared" si="268"/>
        <v>0</v>
      </c>
      <c r="S413" s="66">
        <f t="shared" si="268"/>
        <v>0</v>
      </c>
      <c r="T413" s="66">
        <f t="shared" si="268"/>
        <v>0</v>
      </c>
      <c r="U413" s="66">
        <f t="shared" si="268"/>
        <v>0</v>
      </c>
      <c r="V413" s="66">
        <f t="shared" si="268"/>
        <v>0</v>
      </c>
      <c r="W413" s="27" t="str">
        <f t="shared" si="251"/>
        <v>OK</v>
      </c>
    </row>
    <row r="414" spans="1:23" x14ac:dyDescent="0.2">
      <c r="A414" s="3">
        <f>+A412+1</f>
        <v>32</v>
      </c>
      <c r="B414" s="3" t="s">
        <v>250</v>
      </c>
      <c r="C414" s="3" t="s">
        <v>251</v>
      </c>
      <c r="D414" s="1" t="s">
        <v>323</v>
      </c>
      <c r="E414" s="4" t="s">
        <v>595</v>
      </c>
      <c r="F414" s="11"/>
      <c r="G414" s="1"/>
      <c r="H414" s="14">
        <f>'II-I TOTAL COMPANY'!K414</f>
        <v>192243.70401079563</v>
      </c>
      <c r="I414" s="66">
        <v>0</v>
      </c>
      <c r="J414" s="66">
        <f t="shared" si="263"/>
        <v>192243.70401079563</v>
      </c>
      <c r="K414" s="66">
        <f t="shared" si="264"/>
        <v>110479.34250301078</v>
      </c>
      <c r="L414" s="66">
        <f t="shared" si="264"/>
        <v>4086.010472654777</v>
      </c>
      <c r="M414" s="9">
        <f t="shared" si="265"/>
        <v>56753.549526577612</v>
      </c>
      <c r="N414" s="66">
        <f t="shared" si="266"/>
        <v>7559.2414842560565</v>
      </c>
      <c r="O414" s="66">
        <f t="shared" si="266"/>
        <v>49194.308042321558</v>
      </c>
      <c r="P414" s="9">
        <f t="shared" si="267"/>
        <v>14967.194783337603</v>
      </c>
      <c r="Q414" s="66">
        <f t="shared" si="268"/>
        <v>12175.451486067492</v>
      </c>
      <c r="R414" s="66">
        <f t="shared" si="268"/>
        <v>881.14559039748553</v>
      </c>
      <c r="S414" s="66">
        <f t="shared" si="268"/>
        <v>1910.5977068726254</v>
      </c>
      <c r="T414" s="66">
        <f t="shared" si="268"/>
        <v>1.0358482259900406</v>
      </c>
      <c r="U414" s="66">
        <f t="shared" si="268"/>
        <v>5400.9445657437709</v>
      </c>
      <c r="V414" s="66">
        <f t="shared" si="268"/>
        <v>555.62631124510176</v>
      </c>
      <c r="W414" s="27" t="str">
        <f t="shared" si="251"/>
        <v>OK</v>
      </c>
    </row>
    <row r="415" spans="1:23" x14ac:dyDescent="0.2">
      <c r="A415" s="3">
        <f t="shared" si="252"/>
        <v>33</v>
      </c>
      <c r="B415" s="3" t="s">
        <v>252</v>
      </c>
      <c r="C415" s="3" t="s">
        <v>253</v>
      </c>
      <c r="D415" s="1" t="s">
        <v>323</v>
      </c>
      <c r="E415" s="4" t="s">
        <v>595</v>
      </c>
      <c r="F415" s="11"/>
      <c r="G415" s="1"/>
      <c r="H415" s="14">
        <f>'II-I TOTAL COMPANY'!K415</f>
        <v>-7327462.2003210783</v>
      </c>
      <c r="I415" s="66">
        <v>0</v>
      </c>
      <c r="J415" s="66">
        <f t="shared" si="263"/>
        <v>-7327462.2003210783</v>
      </c>
      <c r="K415" s="66">
        <f t="shared" si="264"/>
        <v>-4210973.8275833325</v>
      </c>
      <c r="L415" s="66">
        <f t="shared" si="264"/>
        <v>-155740.27478586568</v>
      </c>
      <c r="M415" s="9">
        <f t="shared" si="265"/>
        <v>-2163189.1199240247</v>
      </c>
      <c r="N415" s="66">
        <f t="shared" si="266"/>
        <v>-288124.16262992297</v>
      </c>
      <c r="O415" s="66">
        <f t="shared" si="266"/>
        <v>-1875064.9572941016</v>
      </c>
      <c r="P415" s="9">
        <f t="shared" si="267"/>
        <v>-570481.90256254328</v>
      </c>
      <c r="Q415" s="66">
        <f t="shared" si="268"/>
        <v>-464073.25012314931</v>
      </c>
      <c r="R415" s="66">
        <f t="shared" si="268"/>
        <v>-33585.292375840829</v>
      </c>
      <c r="S415" s="66">
        <f t="shared" si="268"/>
        <v>-72823.360063553089</v>
      </c>
      <c r="T415" s="66">
        <f t="shared" si="268"/>
        <v>-39.481858510099435</v>
      </c>
      <c r="U415" s="66">
        <f t="shared" si="268"/>
        <v>-205859.62674384718</v>
      </c>
      <c r="V415" s="66">
        <f t="shared" si="268"/>
        <v>-21177.966862954785</v>
      </c>
      <c r="W415" s="27">
        <f t="shared" si="251"/>
        <v>-9.3132257461547852E-10</v>
      </c>
    </row>
    <row r="416" spans="1:23" x14ac:dyDescent="0.2">
      <c r="A416" s="3">
        <f>+A414+1</f>
        <v>33</v>
      </c>
      <c r="B416" s="3" t="s">
        <v>254</v>
      </c>
      <c r="C416" s="3" t="s">
        <v>255</v>
      </c>
      <c r="D416" s="1" t="s">
        <v>323</v>
      </c>
      <c r="E416" s="4" t="s">
        <v>595</v>
      </c>
      <c r="F416" s="11"/>
      <c r="G416" s="1"/>
      <c r="H416" s="14">
        <f>'II-I TOTAL COMPANY'!K416</f>
        <v>3648104.1587524759</v>
      </c>
      <c r="I416" s="66">
        <v>0</v>
      </c>
      <c r="J416" s="66">
        <f t="shared" si="263"/>
        <v>3648104.1587524754</v>
      </c>
      <c r="K416" s="66">
        <f t="shared" si="264"/>
        <v>2096506.3637082214</v>
      </c>
      <c r="L416" s="66">
        <f t="shared" si="264"/>
        <v>77537.997276420501</v>
      </c>
      <c r="M416" s="9">
        <f t="shared" si="265"/>
        <v>1076981.2260808588</v>
      </c>
      <c r="N416" s="66">
        <f t="shared" si="266"/>
        <v>143447.61217345329</v>
      </c>
      <c r="O416" s="66">
        <f t="shared" si="266"/>
        <v>933533.61390740552</v>
      </c>
      <c r="P416" s="9">
        <f t="shared" si="267"/>
        <v>284024.31078255776</v>
      </c>
      <c r="Q416" s="66">
        <f t="shared" si="268"/>
        <v>231046.91739874889</v>
      </c>
      <c r="R416" s="66">
        <f t="shared" si="268"/>
        <v>16721.020380542392</v>
      </c>
      <c r="S416" s="66">
        <f t="shared" si="268"/>
        <v>36256.373003266512</v>
      </c>
      <c r="T416" s="66">
        <f t="shared" si="268"/>
        <v>19.656728112450615</v>
      </c>
      <c r="U416" s="66">
        <f t="shared" si="268"/>
        <v>102490.78602009761</v>
      </c>
      <c r="V416" s="66">
        <f t="shared" si="268"/>
        <v>10543.818156207219</v>
      </c>
      <c r="W416" s="27">
        <f t="shared" si="251"/>
        <v>9.3132257461547852E-10</v>
      </c>
    </row>
    <row r="417" spans="1:23" x14ac:dyDescent="0.2">
      <c r="A417" s="3">
        <f>+A415+1</f>
        <v>34</v>
      </c>
      <c r="B417" s="3" t="s">
        <v>254</v>
      </c>
      <c r="C417" s="3" t="s">
        <v>471</v>
      </c>
      <c r="D417" s="1" t="s">
        <v>394</v>
      </c>
      <c r="E417" s="4" t="s">
        <v>595</v>
      </c>
      <c r="F417" s="11"/>
      <c r="G417" s="1"/>
      <c r="H417" s="14">
        <f>'II-I TOTAL COMPANY'!K417</f>
        <v>0</v>
      </c>
      <c r="I417" s="66">
        <v>0</v>
      </c>
      <c r="J417" s="66">
        <f t="shared" si="263"/>
        <v>0</v>
      </c>
      <c r="K417" s="66">
        <f t="shared" si="264"/>
        <v>0</v>
      </c>
      <c r="L417" s="66">
        <f t="shared" si="264"/>
        <v>0</v>
      </c>
      <c r="M417" s="9">
        <f t="shared" si="265"/>
        <v>0</v>
      </c>
      <c r="N417" s="66">
        <f t="shared" si="266"/>
        <v>0</v>
      </c>
      <c r="O417" s="66">
        <f t="shared" si="266"/>
        <v>0</v>
      </c>
      <c r="P417" s="9">
        <f t="shared" si="267"/>
        <v>0</v>
      </c>
      <c r="Q417" s="66">
        <f t="shared" si="268"/>
        <v>0</v>
      </c>
      <c r="R417" s="66">
        <f t="shared" si="268"/>
        <v>0</v>
      </c>
      <c r="S417" s="66">
        <f t="shared" si="268"/>
        <v>0</v>
      </c>
      <c r="T417" s="66">
        <f t="shared" si="268"/>
        <v>0</v>
      </c>
      <c r="U417" s="66">
        <f t="shared" si="268"/>
        <v>0</v>
      </c>
      <c r="V417" s="66">
        <f t="shared" si="268"/>
        <v>0</v>
      </c>
      <c r="W417" s="27" t="str">
        <f t="shared" si="251"/>
        <v>OK</v>
      </c>
    </row>
    <row r="418" spans="1:23" x14ac:dyDescent="0.2">
      <c r="A418" s="3">
        <f t="shared" ref="A418:A429" si="269">+A417+1</f>
        <v>35</v>
      </c>
      <c r="B418" s="3" t="s">
        <v>256</v>
      </c>
      <c r="C418" s="3" t="s">
        <v>257</v>
      </c>
      <c r="D418" s="1" t="s">
        <v>340</v>
      </c>
      <c r="E418" s="4" t="s">
        <v>595</v>
      </c>
      <c r="F418" s="11"/>
      <c r="G418" s="1"/>
      <c r="H418" s="14">
        <f>'II-I TOTAL COMPANY'!K418</f>
        <v>20453638.288102284</v>
      </c>
      <c r="I418" s="66">
        <v>0</v>
      </c>
      <c r="J418" s="66">
        <f t="shared" si="263"/>
        <v>20453638.28810228</v>
      </c>
      <c r="K418" s="66">
        <f t="shared" si="264"/>
        <v>11844097.053997254</v>
      </c>
      <c r="L418" s="66">
        <f t="shared" si="264"/>
        <v>463538.11417581863</v>
      </c>
      <c r="M418" s="9">
        <f t="shared" si="265"/>
        <v>5932980.8294847598</v>
      </c>
      <c r="N418" s="66">
        <f t="shared" si="266"/>
        <v>783355.83089150942</v>
      </c>
      <c r="O418" s="66">
        <f t="shared" si="266"/>
        <v>5149624.9985932503</v>
      </c>
      <c r="P418" s="9">
        <f t="shared" si="267"/>
        <v>1327393.2232960341</v>
      </c>
      <c r="Q418" s="66">
        <f t="shared" si="268"/>
        <v>1079826.486795173</v>
      </c>
      <c r="R418" s="66">
        <f t="shared" si="268"/>
        <v>78143.235640043262</v>
      </c>
      <c r="S418" s="66">
        <f t="shared" si="268"/>
        <v>169423.50086081802</v>
      </c>
      <c r="T418" s="66">
        <f t="shared" si="268"/>
        <v>13.256214220911929</v>
      </c>
      <c r="U418" s="66">
        <f t="shared" si="268"/>
        <v>836327.04693213047</v>
      </c>
      <c r="V418" s="66">
        <f t="shared" si="268"/>
        <v>49288.764002068368</v>
      </c>
      <c r="W418" s="27">
        <f t="shared" si="251"/>
        <v>3.7252902984619141E-9</v>
      </c>
    </row>
    <row r="419" spans="1:23" x14ac:dyDescent="0.2">
      <c r="A419" s="3">
        <f t="shared" si="269"/>
        <v>36</v>
      </c>
      <c r="B419" s="3" t="s">
        <v>258</v>
      </c>
      <c r="C419" s="3" t="s">
        <v>259</v>
      </c>
      <c r="D419" s="1" t="s">
        <v>323</v>
      </c>
      <c r="E419" s="4" t="s">
        <v>595</v>
      </c>
      <c r="F419" s="11"/>
      <c r="G419" s="1"/>
      <c r="H419" s="14">
        <f>'II-I TOTAL COMPANY'!K419</f>
        <v>1464256.6102481897</v>
      </c>
      <c r="I419" s="66">
        <v>0</v>
      </c>
      <c r="J419" s="66">
        <f t="shared" si="263"/>
        <v>1464256.6102481894</v>
      </c>
      <c r="K419" s="66">
        <f t="shared" si="264"/>
        <v>841484.55414083647</v>
      </c>
      <c r="L419" s="66">
        <f t="shared" si="264"/>
        <v>31121.788226636058</v>
      </c>
      <c r="M419" s="9">
        <f t="shared" si="265"/>
        <v>432272.98639997398</v>
      </c>
      <c r="N419" s="66">
        <f t="shared" si="266"/>
        <v>57576.23828951348</v>
      </c>
      <c r="O419" s="66">
        <f t="shared" si="266"/>
        <v>374696.74811046052</v>
      </c>
      <c r="P419" s="9">
        <f t="shared" si="267"/>
        <v>114000.16458871185</v>
      </c>
      <c r="Q419" s="66">
        <f t="shared" si="268"/>
        <v>92736.380694315594</v>
      </c>
      <c r="R419" s="66">
        <f t="shared" si="268"/>
        <v>6711.394071236311</v>
      </c>
      <c r="S419" s="66">
        <f t="shared" si="268"/>
        <v>14552.389823159945</v>
      </c>
      <c r="T419" s="66">
        <f t="shared" si="268"/>
        <v>7.8897127993050065</v>
      </c>
      <c r="U419" s="66">
        <f t="shared" si="268"/>
        <v>41137.205624847164</v>
      </c>
      <c r="V419" s="66">
        <f t="shared" si="268"/>
        <v>4232.021554384798</v>
      </c>
      <c r="W419" s="27" t="str">
        <f t="shared" si="251"/>
        <v>OK</v>
      </c>
    </row>
    <row r="420" spans="1:23" x14ac:dyDescent="0.2">
      <c r="A420" s="3">
        <f t="shared" si="269"/>
        <v>37</v>
      </c>
      <c r="B420" s="3" t="s">
        <v>260</v>
      </c>
      <c r="C420" s="3" t="s">
        <v>261</v>
      </c>
      <c r="D420" s="1" t="s">
        <v>323</v>
      </c>
      <c r="E420" s="4" t="s">
        <v>595</v>
      </c>
      <c r="F420" s="11"/>
      <c r="G420" s="1"/>
      <c r="H420" s="14">
        <f>'II-I TOTAL COMPANY'!K420</f>
        <v>-6198113.2446576888</v>
      </c>
      <c r="I420" s="66">
        <v>0</v>
      </c>
      <c r="J420" s="66">
        <f t="shared" si="263"/>
        <v>-6198113.2446576897</v>
      </c>
      <c r="K420" s="66">
        <f t="shared" si="264"/>
        <v>-3561955.2773001641</v>
      </c>
      <c r="L420" s="66">
        <f t="shared" si="264"/>
        <v>-131736.72323203582</v>
      </c>
      <c r="M420" s="9">
        <f t="shared" si="265"/>
        <v>-1829786.461991302</v>
      </c>
      <c r="N420" s="66">
        <f t="shared" si="266"/>
        <v>-243716.87491259654</v>
      </c>
      <c r="O420" s="66">
        <f t="shared" si="266"/>
        <v>-1586069.5870787054</v>
      </c>
      <c r="P420" s="9">
        <f t="shared" si="267"/>
        <v>-482556.08005121857</v>
      </c>
      <c r="Q420" s="66">
        <f t="shared" si="268"/>
        <v>-392547.71699178382</v>
      </c>
      <c r="R420" s="66">
        <f t="shared" si="268"/>
        <v>-28408.941569330571</v>
      </c>
      <c r="S420" s="66">
        <f t="shared" si="268"/>
        <v>-61599.421490104163</v>
      </c>
      <c r="T420" s="66">
        <f t="shared" si="268"/>
        <v>-33.396696354765943</v>
      </c>
      <c r="U420" s="66">
        <f t="shared" si="268"/>
        <v>-174131.40377652409</v>
      </c>
      <c r="V420" s="66">
        <f t="shared" si="268"/>
        <v>-17913.901610089499</v>
      </c>
      <c r="W420" s="27" t="str">
        <f t="shared" si="251"/>
        <v>OK</v>
      </c>
    </row>
    <row r="421" spans="1:23" x14ac:dyDescent="0.2">
      <c r="A421" s="3">
        <f t="shared" si="269"/>
        <v>38</v>
      </c>
      <c r="B421" s="3" t="s">
        <v>262</v>
      </c>
      <c r="C421" s="3" t="s">
        <v>263</v>
      </c>
      <c r="D421" s="1" t="s">
        <v>331</v>
      </c>
      <c r="E421" s="4" t="s">
        <v>595</v>
      </c>
      <c r="F421" s="11"/>
      <c r="G421" s="11"/>
      <c r="H421" s="14">
        <f>'II-I TOTAL COMPANY'!K421</f>
        <v>0</v>
      </c>
      <c r="I421" s="66">
        <v>0</v>
      </c>
      <c r="J421" s="66">
        <f t="shared" si="263"/>
        <v>0</v>
      </c>
      <c r="K421" s="66">
        <f t="shared" si="264"/>
        <v>0</v>
      </c>
      <c r="L421" s="66">
        <f t="shared" si="264"/>
        <v>0</v>
      </c>
      <c r="M421" s="9">
        <f t="shared" si="265"/>
        <v>0</v>
      </c>
      <c r="N421" s="66">
        <f t="shared" si="266"/>
        <v>0</v>
      </c>
      <c r="O421" s="66">
        <f t="shared" si="266"/>
        <v>0</v>
      </c>
      <c r="P421" s="9">
        <f t="shared" si="267"/>
        <v>0</v>
      </c>
      <c r="Q421" s="66">
        <f t="shared" si="268"/>
        <v>0</v>
      </c>
      <c r="R421" s="66">
        <f t="shared" si="268"/>
        <v>0</v>
      </c>
      <c r="S421" s="66">
        <f t="shared" si="268"/>
        <v>0</v>
      </c>
      <c r="T421" s="66">
        <f t="shared" si="268"/>
        <v>0</v>
      </c>
      <c r="U421" s="66">
        <f t="shared" si="268"/>
        <v>0</v>
      </c>
      <c r="V421" s="66">
        <f t="shared" si="268"/>
        <v>0</v>
      </c>
      <c r="W421" s="27" t="str">
        <f t="shared" si="251"/>
        <v>OK</v>
      </c>
    </row>
    <row r="422" spans="1:23" x14ac:dyDescent="0.2">
      <c r="A422" s="3">
        <f t="shared" si="269"/>
        <v>39</v>
      </c>
      <c r="B422" s="3" t="s">
        <v>264</v>
      </c>
      <c r="C422" s="3" t="s">
        <v>265</v>
      </c>
      <c r="D422" s="1" t="s">
        <v>323</v>
      </c>
      <c r="E422" s="4" t="s">
        <v>595</v>
      </c>
      <c r="F422" s="11"/>
      <c r="G422" s="1"/>
      <c r="H422" s="14">
        <f>'II-I TOTAL COMPANY'!K422</f>
        <v>275266.24926529755</v>
      </c>
      <c r="I422" s="66">
        <v>0</v>
      </c>
      <c r="J422" s="66">
        <f t="shared" si="263"/>
        <v>275266.24926529755</v>
      </c>
      <c r="K422" s="66">
        <f t="shared" si="264"/>
        <v>158191.05436291517</v>
      </c>
      <c r="L422" s="66">
        <f t="shared" si="264"/>
        <v>5850.5987650094648</v>
      </c>
      <c r="M422" s="9">
        <f t="shared" si="265"/>
        <v>81263.190339882523</v>
      </c>
      <c r="N422" s="66">
        <f t="shared" si="266"/>
        <v>10823.78255958362</v>
      </c>
      <c r="O422" s="66">
        <f t="shared" si="266"/>
        <v>70439.407780298905</v>
      </c>
      <c r="P422" s="9">
        <f t="shared" si="267"/>
        <v>21430.941477288172</v>
      </c>
      <c r="Q422" s="66">
        <f t="shared" si="268"/>
        <v>17433.553316748337</v>
      </c>
      <c r="R422" s="66">
        <f t="shared" si="268"/>
        <v>1261.6779466117207</v>
      </c>
      <c r="S422" s="66">
        <f t="shared" si="268"/>
        <v>2735.7102139281105</v>
      </c>
      <c r="T422" s="66">
        <f t="shared" si="268"/>
        <v>1.4831906066498739</v>
      </c>
      <c r="U422" s="66">
        <f t="shared" si="268"/>
        <v>7733.4015215322333</v>
      </c>
      <c r="V422" s="66">
        <f t="shared" si="268"/>
        <v>795.57960806333199</v>
      </c>
      <c r="W422" s="27">
        <f t="shared" si="251"/>
        <v>-5.8207660913467407E-11</v>
      </c>
    </row>
    <row r="423" spans="1:23" x14ac:dyDescent="0.2">
      <c r="A423" s="3">
        <f t="shared" si="269"/>
        <v>40</v>
      </c>
      <c r="B423" s="3" t="s">
        <v>264</v>
      </c>
      <c r="C423" s="3" t="s">
        <v>266</v>
      </c>
      <c r="D423" s="1" t="s">
        <v>323</v>
      </c>
      <c r="E423" s="4" t="s">
        <v>595</v>
      </c>
      <c r="F423" s="11"/>
      <c r="G423" s="1"/>
      <c r="H423" s="14">
        <f>'II-I TOTAL COMPANY'!K423</f>
        <v>0</v>
      </c>
      <c r="I423" s="66">
        <v>0</v>
      </c>
      <c r="J423" s="66">
        <f t="shared" si="263"/>
        <v>0</v>
      </c>
      <c r="K423" s="66">
        <f t="shared" si="264"/>
        <v>0</v>
      </c>
      <c r="L423" s="66">
        <f t="shared" si="264"/>
        <v>0</v>
      </c>
      <c r="M423" s="9">
        <f t="shared" si="265"/>
        <v>0</v>
      </c>
      <c r="N423" s="66">
        <f t="shared" si="266"/>
        <v>0</v>
      </c>
      <c r="O423" s="66">
        <f t="shared" si="266"/>
        <v>0</v>
      </c>
      <c r="P423" s="9">
        <f t="shared" si="267"/>
        <v>0</v>
      </c>
      <c r="Q423" s="66">
        <f t="shared" si="268"/>
        <v>0</v>
      </c>
      <c r="R423" s="66">
        <f t="shared" si="268"/>
        <v>0</v>
      </c>
      <c r="S423" s="66">
        <f t="shared" si="268"/>
        <v>0</v>
      </c>
      <c r="T423" s="66">
        <f t="shared" si="268"/>
        <v>0</v>
      </c>
      <c r="U423" s="66">
        <f t="shared" si="268"/>
        <v>0</v>
      </c>
      <c r="V423" s="66">
        <f t="shared" si="268"/>
        <v>0</v>
      </c>
      <c r="W423" s="27" t="str">
        <f t="shared" si="251"/>
        <v>OK</v>
      </c>
    </row>
    <row r="424" spans="1:23" x14ac:dyDescent="0.2">
      <c r="A424" s="3">
        <f t="shared" si="269"/>
        <v>41</v>
      </c>
      <c r="B424" s="3" t="s">
        <v>608</v>
      </c>
      <c r="C424" s="3" t="s">
        <v>609</v>
      </c>
      <c r="D424" s="1" t="s">
        <v>323</v>
      </c>
      <c r="E424" s="4" t="s">
        <v>595</v>
      </c>
      <c r="F424" s="11"/>
      <c r="G424" s="1"/>
      <c r="H424" s="14">
        <f>'II-I TOTAL COMPANY'!K424</f>
        <v>3839442.0759479213</v>
      </c>
      <c r="I424" s="66">
        <v>0</v>
      </c>
      <c r="J424" s="66">
        <f t="shared" si="263"/>
        <v>3839442.0759479208</v>
      </c>
      <c r="K424" s="66">
        <f t="shared" si="264"/>
        <v>2206465.1652014619</v>
      </c>
      <c r="L424" s="66">
        <f t="shared" si="264"/>
        <v>81604.755860268007</v>
      </c>
      <c r="M424" s="9">
        <f t="shared" si="265"/>
        <v>1133467.372224059</v>
      </c>
      <c r="N424" s="66">
        <f t="shared" si="266"/>
        <v>150971.23708807593</v>
      </c>
      <c r="O424" s="66">
        <f t="shared" si="266"/>
        <v>982496.13513598312</v>
      </c>
      <c r="P424" s="9">
        <f t="shared" si="267"/>
        <v>298920.98524499708</v>
      </c>
      <c r="Q424" s="66">
        <f t="shared" si="268"/>
        <v>243165.00230688986</v>
      </c>
      <c r="R424" s="66">
        <f t="shared" si="268"/>
        <v>17598.014313218271</v>
      </c>
      <c r="S424" s="66">
        <f t="shared" si="268"/>
        <v>38157.968624888919</v>
      </c>
      <c r="T424" s="66">
        <f t="shared" si="268"/>
        <v>20.68769577462384</v>
      </c>
      <c r="U424" s="66">
        <f t="shared" si="268"/>
        <v>107866.28317572587</v>
      </c>
      <c r="V424" s="66">
        <f t="shared" si="268"/>
        <v>11096.82654563492</v>
      </c>
      <c r="W424" s="27" t="str">
        <f t="shared" si="251"/>
        <v>OK</v>
      </c>
    </row>
    <row r="425" spans="1:23" x14ac:dyDescent="0.2">
      <c r="A425" s="3">
        <f t="shared" si="269"/>
        <v>42</v>
      </c>
      <c r="B425" s="3" t="s">
        <v>267</v>
      </c>
      <c r="C425" s="3" t="s">
        <v>141</v>
      </c>
      <c r="D425" s="1" t="s">
        <v>375</v>
      </c>
      <c r="E425" s="4" t="s">
        <v>595</v>
      </c>
      <c r="F425" s="11"/>
      <c r="G425" s="1"/>
      <c r="H425" s="14">
        <f>'II-I TOTAL COMPANY'!K425</f>
        <v>827075.90619547374</v>
      </c>
      <c r="I425" s="66">
        <v>0</v>
      </c>
      <c r="J425" s="66">
        <f t="shared" si="263"/>
        <v>827075.90619547374</v>
      </c>
      <c r="K425" s="66">
        <f t="shared" si="264"/>
        <v>475307.12533205515</v>
      </c>
      <c r="L425" s="66">
        <f t="shared" si="264"/>
        <v>17578.941436778445</v>
      </c>
      <c r="M425" s="9">
        <f t="shared" si="265"/>
        <v>244166.6094920224</v>
      </c>
      <c r="N425" s="66">
        <f t="shared" si="266"/>
        <v>32521.567002217173</v>
      </c>
      <c r="O425" s="66">
        <f t="shared" si="266"/>
        <v>211645.04248980523</v>
      </c>
      <c r="P425" s="9">
        <f t="shared" si="267"/>
        <v>64392.258005692405</v>
      </c>
      <c r="Q425" s="66">
        <f t="shared" si="268"/>
        <v>52381.546761150668</v>
      </c>
      <c r="R425" s="66">
        <f t="shared" si="268"/>
        <v>3790.8876725930181</v>
      </c>
      <c r="S425" s="66">
        <f t="shared" si="268"/>
        <v>8219.823571948722</v>
      </c>
      <c r="T425" s="66">
        <f t="shared" si="268"/>
        <v>4.4564534094889083</v>
      </c>
      <c r="U425" s="66">
        <f t="shared" si="268"/>
        <v>23236.085384482612</v>
      </c>
      <c r="V425" s="66">
        <f t="shared" si="268"/>
        <v>2390.4300910332267</v>
      </c>
      <c r="W425" s="27" t="str">
        <f t="shared" si="251"/>
        <v>OK</v>
      </c>
    </row>
    <row r="426" spans="1:23" x14ac:dyDescent="0.2">
      <c r="A426" s="3">
        <f t="shared" si="269"/>
        <v>43</v>
      </c>
      <c r="B426" s="3" t="s">
        <v>268</v>
      </c>
      <c r="C426" s="3" t="s">
        <v>269</v>
      </c>
      <c r="D426" s="1" t="s">
        <v>375</v>
      </c>
      <c r="E426" s="4" t="s">
        <v>595</v>
      </c>
      <c r="F426" s="11"/>
      <c r="G426" s="1"/>
      <c r="H426" s="14">
        <f>'II-I TOTAL COMPANY'!K426</f>
        <v>16676080.472821213</v>
      </c>
      <c r="I426" s="66">
        <v>0</v>
      </c>
      <c r="J426" s="66">
        <f t="shared" si="263"/>
        <v>16676080.472821206</v>
      </c>
      <c r="K426" s="66">
        <f t="shared" si="264"/>
        <v>9583473.3087598272</v>
      </c>
      <c r="L426" s="66">
        <f t="shared" si="264"/>
        <v>354438.86084797297</v>
      </c>
      <c r="M426" s="9">
        <f t="shared" si="265"/>
        <v>4923057.2407734348</v>
      </c>
      <c r="N426" s="66">
        <f t="shared" si="266"/>
        <v>655722.48492394597</v>
      </c>
      <c r="O426" s="66">
        <f t="shared" si="266"/>
        <v>4267334.755849489</v>
      </c>
      <c r="P426" s="9">
        <f t="shared" si="267"/>
        <v>1298321.5546310507</v>
      </c>
      <c r="Q426" s="66">
        <f t="shared" si="268"/>
        <v>1056153.2291491341</v>
      </c>
      <c r="R426" s="66">
        <f t="shared" si="268"/>
        <v>76434.517579389067</v>
      </c>
      <c r="S426" s="66">
        <f t="shared" si="268"/>
        <v>165733.80790252759</v>
      </c>
      <c r="T426" s="66">
        <f t="shared" si="268"/>
        <v>89.854117528181732</v>
      </c>
      <c r="U426" s="66">
        <f t="shared" si="268"/>
        <v>468502.13727952196</v>
      </c>
      <c r="V426" s="66">
        <f t="shared" si="268"/>
        <v>48197.51641187584</v>
      </c>
      <c r="W426" s="27">
        <f t="shared" si="251"/>
        <v>-1.862645149230957E-9</v>
      </c>
    </row>
    <row r="427" spans="1:23" x14ac:dyDescent="0.2">
      <c r="A427" s="3">
        <f t="shared" si="269"/>
        <v>44</v>
      </c>
      <c r="B427" s="3"/>
      <c r="C427" s="3" t="s">
        <v>270</v>
      </c>
      <c r="D427" s="1"/>
      <c r="E427" s="4"/>
      <c r="F427" s="8"/>
      <c r="G427" s="8"/>
      <c r="H427" s="8">
        <f t="shared" ref="H427:V427" si="270">SUM(H412:H426)</f>
        <v>51181012.648462616</v>
      </c>
      <c r="I427" s="8">
        <f t="shared" si="270"/>
        <v>0</v>
      </c>
      <c r="J427" s="66">
        <f t="shared" si="263"/>
        <v>51181012.648462631</v>
      </c>
      <c r="K427" s="8">
        <f t="shared" si="270"/>
        <v>29502621.340367876</v>
      </c>
      <c r="L427" s="8">
        <f t="shared" si="270"/>
        <v>1116627.7645217443</v>
      </c>
      <c r="M427" s="9">
        <f t="shared" si="265"/>
        <v>15004214.509441692</v>
      </c>
      <c r="N427" s="8">
        <f t="shared" si="270"/>
        <v>1991591.2015232472</v>
      </c>
      <c r="O427" s="8">
        <f t="shared" si="270"/>
        <v>13012623.307918444</v>
      </c>
      <c r="P427" s="9">
        <f t="shared" si="267"/>
        <v>3719682.7372674281</v>
      </c>
      <c r="Q427" s="8">
        <f t="shared" si="270"/>
        <v>3025896.2306334018</v>
      </c>
      <c r="R427" s="8">
        <f t="shared" si="270"/>
        <v>218981.60827462288</v>
      </c>
      <c r="S427" s="8">
        <f>SUM(S412:S426)</f>
        <v>474804.89835940336</v>
      </c>
      <c r="T427" s="8">
        <f t="shared" si="270"/>
        <v>178.82156464052167</v>
      </c>
      <c r="U427" s="8">
        <f t="shared" si="270"/>
        <v>1699589.8852399231</v>
      </c>
      <c r="V427" s="8">
        <f t="shared" si="270"/>
        <v>138097.59005930863</v>
      </c>
      <c r="W427" s="27">
        <f t="shared" si="251"/>
        <v>-7.4505805969238281E-9</v>
      </c>
    </row>
    <row r="428" spans="1:23" x14ac:dyDescent="0.2">
      <c r="A428" s="3">
        <f t="shared" si="269"/>
        <v>45</v>
      </c>
      <c r="B428" s="3"/>
      <c r="C428" s="3"/>
      <c r="D428" s="1"/>
      <c r="E428" s="4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 t="str">
        <f t="shared" si="251"/>
        <v>OK</v>
      </c>
    </row>
    <row r="429" spans="1:23" x14ac:dyDescent="0.2">
      <c r="A429" s="3">
        <f t="shared" si="269"/>
        <v>46</v>
      </c>
      <c r="B429" s="3"/>
      <c r="C429" s="3" t="s">
        <v>464</v>
      </c>
      <c r="D429" s="3"/>
      <c r="E429" s="4"/>
      <c r="F429" s="8"/>
      <c r="G429" s="8"/>
      <c r="H429" s="8">
        <f>H377+H407+H427</f>
        <v>160396737.2770116</v>
      </c>
      <c r="I429" s="8">
        <f>I377+I407+I427</f>
        <v>0</v>
      </c>
      <c r="J429" s="66">
        <f t="shared" si="263"/>
        <v>160396763.47701156</v>
      </c>
      <c r="K429" s="8">
        <f>K377+K407+K427</f>
        <v>92324347.864584744</v>
      </c>
      <c r="L429" s="8">
        <f>L377+L407+L427</f>
        <v>3443684.4664215827</v>
      </c>
      <c r="M429" s="9">
        <f>SUM(N429:O429)</f>
        <v>47318904.496448204</v>
      </c>
      <c r="N429" s="8">
        <f>N377+N407+N427</f>
        <v>6291750.8535350272</v>
      </c>
      <c r="O429" s="8">
        <f>O377+O407+O427</f>
        <v>41027153.642913178</v>
      </c>
      <c r="P429" s="9">
        <f>SUM(Q429:S429)</f>
        <v>12124188.671374973</v>
      </c>
      <c r="Q429" s="8">
        <f t="shared" ref="Q429:V429" si="271">Q377+Q407+Q427</f>
        <v>9858184.8839909565</v>
      </c>
      <c r="R429" s="8">
        <f t="shared" si="271"/>
        <v>714296.90509397443</v>
      </c>
      <c r="S429" s="8">
        <f t="shared" si="271"/>
        <v>1551706.8822900429</v>
      </c>
      <c r="T429" s="8">
        <f t="shared" si="271"/>
        <v>15644.302828717944</v>
      </c>
      <c r="U429" s="8">
        <f t="shared" si="271"/>
        <v>4722172.2872654237</v>
      </c>
      <c r="V429" s="8">
        <f t="shared" si="271"/>
        <v>447821.38808796508</v>
      </c>
      <c r="W429" s="27">
        <f t="shared" si="251"/>
        <v>26.200000017881393</v>
      </c>
    </row>
    <row r="430" spans="1:23" x14ac:dyDescent="0.2">
      <c r="A430" s="3"/>
      <c r="B430" s="3"/>
      <c r="C430" s="3"/>
      <c r="D430" s="1"/>
      <c r="E430" s="4"/>
      <c r="F430" s="4"/>
      <c r="G430" s="4"/>
      <c r="H430" s="8"/>
      <c r="I430" s="8"/>
      <c r="J430" s="8"/>
      <c r="K430" s="8"/>
      <c r="L430" s="8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27" t="str">
        <f t="shared" si="251"/>
        <v>OK</v>
      </c>
    </row>
    <row r="431" spans="1:23" x14ac:dyDescent="0.2">
      <c r="A431" s="3"/>
      <c r="B431" s="3"/>
      <c r="C431" s="3"/>
      <c r="D431" s="1"/>
      <c r="E431" s="4"/>
      <c r="F431" s="4"/>
      <c r="G431" s="4"/>
      <c r="H431" s="8"/>
      <c r="I431" s="8"/>
      <c r="J431" s="8"/>
      <c r="K431" s="8"/>
      <c r="L431" s="8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27" t="str">
        <f t="shared" si="251"/>
        <v>OK</v>
      </c>
    </row>
    <row r="432" spans="1:23" x14ac:dyDescent="0.2">
      <c r="A432" s="3"/>
      <c r="B432" s="7" t="s">
        <v>272</v>
      </c>
      <c r="C432" s="18"/>
      <c r="D432" s="18"/>
      <c r="E432" s="4"/>
      <c r="F432" s="4"/>
      <c r="G432" s="4"/>
      <c r="H432" s="22"/>
      <c r="I432" s="22"/>
      <c r="J432" s="22"/>
      <c r="K432" s="22"/>
      <c r="L432" s="2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27" t="str">
        <f t="shared" si="251"/>
        <v>OK</v>
      </c>
    </row>
    <row r="433" spans="1:23" x14ac:dyDescent="0.2">
      <c r="A433" s="3"/>
      <c r="B433" s="3"/>
      <c r="C433" s="3"/>
      <c r="D433" s="3"/>
      <c r="E433" s="4"/>
      <c r="F433" s="4"/>
      <c r="G433" s="4"/>
      <c r="H433" s="8"/>
      <c r="I433" s="8"/>
      <c r="J433" s="8"/>
      <c r="K433" s="8"/>
      <c r="L433" s="8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27" t="str">
        <f t="shared" si="251"/>
        <v>OK</v>
      </c>
    </row>
    <row r="434" spans="1:23" x14ac:dyDescent="0.2">
      <c r="A434" s="3">
        <v>1</v>
      </c>
      <c r="B434" s="3" t="s">
        <v>273</v>
      </c>
      <c r="C434" s="3"/>
      <c r="D434" s="3"/>
      <c r="E434" s="4"/>
      <c r="F434" s="4"/>
      <c r="G434" s="4"/>
      <c r="H434" s="8"/>
      <c r="I434" s="8"/>
      <c r="J434" s="8"/>
      <c r="K434" s="8"/>
      <c r="L434" s="8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27" t="str">
        <f t="shared" si="251"/>
        <v>OK</v>
      </c>
    </row>
    <row r="435" spans="1:23" x14ac:dyDescent="0.2">
      <c r="A435" s="3">
        <f t="shared" ref="A435:A445" si="272">1+A434</f>
        <v>2</v>
      </c>
      <c r="B435" s="3" t="s">
        <v>147</v>
      </c>
      <c r="C435" s="3" t="s">
        <v>148</v>
      </c>
      <c r="D435" s="16" t="str">
        <f>B435</f>
        <v>A556</v>
      </c>
      <c r="E435" s="4" t="s">
        <v>595</v>
      </c>
      <c r="F435" s="11"/>
      <c r="G435" s="11"/>
      <c r="H435" s="14">
        <f>'II-I TOTAL COMPANY'!K435</f>
        <v>0</v>
      </c>
      <c r="I435" s="66">
        <v>0</v>
      </c>
      <c r="J435" s="66">
        <f t="shared" ref="J435:J437" si="273">SUM(K435:V435)-M435-P435</f>
        <v>0</v>
      </c>
      <c r="K435" s="66">
        <f>IF(+$H316&lt;&gt;0,$H435*(+K316/$H316),0)</f>
        <v>0</v>
      </c>
      <c r="L435" s="66">
        <f>IF(+$H316&lt;&gt;0,$H435*(+L316/$H316),0)</f>
        <v>0</v>
      </c>
      <c r="M435" s="9">
        <f>SUM(N435:O435)</f>
        <v>0</v>
      </c>
      <c r="N435" s="66">
        <f>IF(+$H316&lt;&gt;0,$H435*(+N316/$H316),0)</f>
        <v>0</v>
      </c>
      <c r="O435" s="66">
        <f>IF(+$H316&lt;&gt;0,$H435*(+O316/$H316),0)</f>
        <v>0</v>
      </c>
      <c r="P435" s="9">
        <f>SUM(Q435:S435)</f>
        <v>0</v>
      </c>
      <c r="Q435" s="66">
        <f t="shared" ref="Q435:V436" si="274">IF(+$H316&lt;&gt;0,$H435*(+Q316/$H316),0)</f>
        <v>0</v>
      </c>
      <c r="R435" s="66">
        <f t="shared" si="274"/>
        <v>0</v>
      </c>
      <c r="S435" s="66">
        <f>IF(+$H316&lt;&gt;0,$H435*(+S316/$H316),0)</f>
        <v>0</v>
      </c>
      <c r="T435" s="66">
        <f t="shared" si="274"/>
        <v>0</v>
      </c>
      <c r="U435" s="66">
        <f t="shared" si="274"/>
        <v>0</v>
      </c>
      <c r="V435" s="66">
        <f t="shared" si="274"/>
        <v>0</v>
      </c>
      <c r="W435" s="27" t="str">
        <f t="shared" si="251"/>
        <v>OK</v>
      </c>
    </row>
    <row r="436" spans="1:23" x14ac:dyDescent="0.2">
      <c r="A436" s="3">
        <f t="shared" si="272"/>
        <v>3</v>
      </c>
      <c r="B436" s="3" t="s">
        <v>149</v>
      </c>
      <c r="C436" s="3" t="s">
        <v>150</v>
      </c>
      <c r="D436" s="16" t="str">
        <f>B436</f>
        <v>A557</v>
      </c>
      <c r="E436" s="4" t="s">
        <v>595</v>
      </c>
      <c r="F436" s="11"/>
      <c r="G436" s="11"/>
      <c r="H436" s="14">
        <f>'II-I TOTAL COMPANY'!K436</f>
        <v>0</v>
      </c>
      <c r="I436" s="66">
        <v>0</v>
      </c>
      <c r="J436" s="66">
        <f t="shared" si="273"/>
        <v>0</v>
      </c>
      <c r="K436" s="66">
        <f>IF(+$H317&lt;&gt;0,$H436*(+K317/$H317),0)</f>
        <v>0</v>
      </c>
      <c r="L436" s="66">
        <f>IF(+$H317&lt;&gt;0,$H436*(+L317/$H317),0)</f>
        <v>0</v>
      </c>
      <c r="M436" s="9">
        <f>SUM(N436:O436)</f>
        <v>0</v>
      </c>
      <c r="N436" s="66">
        <f>IF(+$H317&lt;&gt;0,$H436*(+N317/$H317),0)</f>
        <v>0</v>
      </c>
      <c r="O436" s="66">
        <f>IF(+$H317&lt;&gt;0,$H436*(+O317/$H317),0)</f>
        <v>0</v>
      </c>
      <c r="P436" s="9">
        <f>SUM(Q436:S436)</f>
        <v>0</v>
      </c>
      <c r="Q436" s="66">
        <f t="shared" si="274"/>
        <v>0</v>
      </c>
      <c r="R436" s="66">
        <f t="shared" si="274"/>
        <v>0</v>
      </c>
      <c r="S436" s="66">
        <f>IF(+$H317&lt;&gt;0,$H436*(+S317/$H317),0)</f>
        <v>0</v>
      </c>
      <c r="T436" s="66">
        <f t="shared" si="274"/>
        <v>0</v>
      </c>
      <c r="U436" s="66">
        <f t="shared" si="274"/>
        <v>0</v>
      </c>
      <c r="V436" s="66">
        <f t="shared" si="274"/>
        <v>0</v>
      </c>
      <c r="W436" s="27" t="str">
        <f t="shared" si="251"/>
        <v>OK</v>
      </c>
    </row>
    <row r="437" spans="1:23" x14ac:dyDescent="0.2">
      <c r="A437" s="3">
        <f t="shared" si="272"/>
        <v>4</v>
      </c>
      <c r="B437" s="3"/>
      <c r="C437" s="3" t="s">
        <v>308</v>
      </c>
      <c r="D437" s="3"/>
      <c r="E437" s="4"/>
      <c r="F437" s="8"/>
      <c r="G437" s="8"/>
      <c r="H437" s="8">
        <f t="shared" ref="H437:V437" si="275">SUM(H435:H436)</f>
        <v>0</v>
      </c>
      <c r="I437" s="8">
        <f t="shared" si="275"/>
        <v>0</v>
      </c>
      <c r="J437" s="66">
        <f t="shared" si="273"/>
        <v>0</v>
      </c>
      <c r="K437" s="8">
        <f t="shared" si="275"/>
        <v>0</v>
      </c>
      <c r="L437" s="8">
        <f t="shared" si="275"/>
        <v>0</v>
      </c>
      <c r="M437" s="9">
        <f>SUM(N437:O437)</f>
        <v>0</v>
      </c>
      <c r="N437" s="8">
        <f t="shared" si="275"/>
        <v>0</v>
      </c>
      <c r="O437" s="8">
        <f t="shared" si="275"/>
        <v>0</v>
      </c>
      <c r="P437" s="9">
        <f>SUM(Q437:S437)</f>
        <v>0</v>
      </c>
      <c r="Q437" s="8">
        <f t="shared" si="275"/>
        <v>0</v>
      </c>
      <c r="R437" s="8">
        <f t="shared" si="275"/>
        <v>0</v>
      </c>
      <c r="S437" s="8">
        <f>SUM(S435:S436)</f>
        <v>0</v>
      </c>
      <c r="T437" s="8">
        <f t="shared" si="275"/>
        <v>0</v>
      </c>
      <c r="U437" s="8">
        <f t="shared" si="275"/>
        <v>0</v>
      </c>
      <c r="V437" s="8">
        <f t="shared" si="275"/>
        <v>0</v>
      </c>
      <c r="W437" s="27" t="str">
        <f t="shared" si="251"/>
        <v>OK</v>
      </c>
    </row>
    <row r="438" spans="1:23" x14ac:dyDescent="0.2">
      <c r="A438" s="3">
        <f t="shared" si="272"/>
        <v>5</v>
      </c>
      <c r="B438" s="3"/>
      <c r="C438" s="3"/>
      <c r="D438" s="3"/>
      <c r="E438" s="4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 t="str">
        <f t="shared" si="251"/>
        <v>OK</v>
      </c>
    </row>
    <row r="439" spans="1:23" x14ac:dyDescent="0.2">
      <c r="A439" s="3">
        <f t="shared" si="272"/>
        <v>6</v>
      </c>
      <c r="B439" s="3"/>
      <c r="C439" s="3" t="s">
        <v>275</v>
      </c>
      <c r="D439" s="3"/>
      <c r="E439" s="4"/>
      <c r="F439" s="8"/>
      <c r="G439" s="8"/>
      <c r="H439" s="8">
        <f t="shared" ref="H439:V439" si="276">+H437</f>
        <v>0</v>
      </c>
      <c r="I439" s="8">
        <v>0</v>
      </c>
      <c r="J439" s="66">
        <f t="shared" ref="J439" si="277">SUM(K439:V439)-M439-P439</f>
        <v>0</v>
      </c>
      <c r="K439" s="8">
        <f t="shared" si="276"/>
        <v>0</v>
      </c>
      <c r="L439" s="8">
        <f>+L437</f>
        <v>0</v>
      </c>
      <c r="M439" s="9">
        <f>SUM(N439:O439)</f>
        <v>0</v>
      </c>
      <c r="N439" s="8">
        <f t="shared" si="276"/>
        <v>0</v>
      </c>
      <c r="O439" s="8">
        <f t="shared" si="276"/>
        <v>0</v>
      </c>
      <c r="P439" s="9">
        <f>SUM(Q439:S439)</f>
        <v>0</v>
      </c>
      <c r="Q439" s="8">
        <f t="shared" si="276"/>
        <v>0</v>
      </c>
      <c r="R439" s="8">
        <f t="shared" si="276"/>
        <v>0</v>
      </c>
      <c r="S439" s="8">
        <f>+S437</f>
        <v>0</v>
      </c>
      <c r="T439" s="8">
        <f t="shared" si="276"/>
        <v>0</v>
      </c>
      <c r="U439" s="8">
        <f t="shared" si="276"/>
        <v>0</v>
      </c>
      <c r="V439" s="8">
        <f t="shared" si="276"/>
        <v>0</v>
      </c>
      <c r="W439" s="27" t="str">
        <f t="shared" si="251"/>
        <v>OK</v>
      </c>
    </row>
    <row r="440" spans="1:23" x14ac:dyDescent="0.2">
      <c r="A440" s="3">
        <f t="shared" si="272"/>
        <v>7</v>
      </c>
      <c r="B440" s="3"/>
      <c r="C440" s="3"/>
      <c r="D440" s="3"/>
      <c r="E440" s="4"/>
      <c r="F440" s="4"/>
      <c r="G440" s="4"/>
      <c r="H440" s="8"/>
      <c r="I440" s="8"/>
      <c r="J440" s="8"/>
      <c r="K440" s="8"/>
      <c r="L440" s="8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27" t="str">
        <f t="shared" si="251"/>
        <v>OK</v>
      </c>
    </row>
    <row r="441" spans="1:23" x14ac:dyDescent="0.2">
      <c r="A441" s="3">
        <f t="shared" si="272"/>
        <v>8</v>
      </c>
      <c r="B441" s="3"/>
      <c r="C441" s="3"/>
      <c r="D441" s="3"/>
      <c r="E441" s="4"/>
      <c r="F441" s="4"/>
      <c r="G441" s="4"/>
      <c r="H441" s="8"/>
      <c r="I441" s="8"/>
      <c r="J441" s="8"/>
      <c r="K441" s="8"/>
      <c r="L441" s="8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27" t="str">
        <f t="shared" si="251"/>
        <v>OK</v>
      </c>
    </row>
    <row r="442" spans="1:23" x14ac:dyDescent="0.2">
      <c r="A442" s="3">
        <f t="shared" si="272"/>
        <v>9</v>
      </c>
      <c r="B442" s="7" t="s">
        <v>274</v>
      </c>
      <c r="C442" s="3"/>
      <c r="D442" s="3"/>
      <c r="E442" s="4"/>
      <c r="F442" s="4"/>
      <c r="G442" s="4"/>
      <c r="H442" s="8"/>
      <c r="I442" s="8"/>
      <c r="J442" s="8"/>
      <c r="K442" s="8"/>
      <c r="L442" s="8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27" t="str">
        <f t="shared" si="251"/>
        <v>OK</v>
      </c>
    </row>
    <row r="443" spans="1:23" x14ac:dyDescent="0.2">
      <c r="A443" s="3">
        <f t="shared" si="272"/>
        <v>10</v>
      </c>
      <c r="B443" s="7"/>
      <c r="C443" s="3"/>
      <c r="D443" s="3"/>
      <c r="E443" s="4"/>
      <c r="F443" s="4"/>
      <c r="G443" s="4"/>
      <c r="H443" s="8"/>
      <c r="I443" s="8"/>
      <c r="J443" s="8"/>
      <c r="K443" s="8"/>
      <c r="L443" s="8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27" t="str">
        <f t="shared" si="251"/>
        <v>OK</v>
      </c>
    </row>
    <row r="444" spans="1:23" x14ac:dyDescent="0.2">
      <c r="A444" s="3">
        <f t="shared" si="272"/>
        <v>11</v>
      </c>
      <c r="B444" s="3" t="s">
        <v>276</v>
      </c>
      <c r="C444" s="3"/>
      <c r="D444" s="3"/>
      <c r="E444" s="4"/>
      <c r="F444" s="4"/>
      <c r="G444" s="4"/>
      <c r="H444" s="8"/>
      <c r="I444" s="8"/>
      <c r="J444" s="8"/>
      <c r="K444" s="8"/>
      <c r="L444" s="8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27" t="str">
        <f t="shared" si="251"/>
        <v>OK</v>
      </c>
    </row>
    <row r="445" spans="1:23" x14ac:dyDescent="0.2">
      <c r="A445" s="3">
        <f t="shared" si="272"/>
        <v>12</v>
      </c>
      <c r="B445" s="3"/>
      <c r="C445" s="3" t="s">
        <v>140</v>
      </c>
      <c r="D445" s="3"/>
      <c r="E445" s="4"/>
      <c r="F445" s="4"/>
      <c r="G445" s="4"/>
      <c r="H445" s="8"/>
      <c r="I445" s="8"/>
      <c r="J445" s="8"/>
      <c r="K445" s="8"/>
      <c r="L445" s="8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27" t="str">
        <f t="shared" si="251"/>
        <v>OK</v>
      </c>
    </row>
    <row r="446" spans="1:23" x14ac:dyDescent="0.2">
      <c r="A446" s="3">
        <f t="shared" ref="A446:A477" si="278">+A445+1</f>
        <v>13</v>
      </c>
      <c r="B446" s="3" t="s">
        <v>153</v>
      </c>
      <c r="C446" s="3" t="s">
        <v>145</v>
      </c>
      <c r="D446" s="16" t="str">
        <f t="shared" ref="D446:D453" si="279">B446</f>
        <v>A560</v>
      </c>
      <c r="E446" s="4" t="s">
        <v>595</v>
      </c>
      <c r="F446" s="11"/>
      <c r="G446" s="11"/>
      <c r="H446" s="14">
        <f>'II-I TOTAL COMPANY'!K446</f>
        <v>0</v>
      </c>
      <c r="I446" s="66">
        <v>0</v>
      </c>
      <c r="J446" s="66">
        <f t="shared" ref="J446:J454" si="280">SUM(K446:V446)-M446-P446</f>
        <v>0</v>
      </c>
      <c r="K446" s="66">
        <f t="shared" ref="K446:L451" si="281">IF(+$H326&lt;&gt;0,$H446*(+K326/$H326),0)</f>
        <v>0</v>
      </c>
      <c r="L446" s="66">
        <f t="shared" si="281"/>
        <v>0</v>
      </c>
      <c r="M446" s="9">
        <f t="shared" ref="M446:M454" si="282">SUM(N446:O446)</f>
        <v>0</v>
      </c>
      <c r="N446" s="66">
        <f t="shared" ref="N446:O451" si="283">IF(+$H326&lt;&gt;0,$H446*(+N326/$H326),0)</f>
        <v>0</v>
      </c>
      <c r="O446" s="66">
        <f t="shared" si="283"/>
        <v>0</v>
      </c>
      <c r="P446" s="9">
        <f t="shared" ref="P446:P454" si="284">SUM(Q446:S446)</f>
        <v>0</v>
      </c>
      <c r="Q446" s="66">
        <f t="shared" ref="Q446:V451" si="285">IF(+$H326&lt;&gt;0,$H446*(+Q326/$H326),0)</f>
        <v>0</v>
      </c>
      <c r="R446" s="66">
        <f t="shared" si="285"/>
        <v>0</v>
      </c>
      <c r="S446" s="66">
        <f t="shared" ref="S446:S451" si="286">IF(+$H326&lt;&gt;0,$H446*(+S326/$H326),0)</f>
        <v>0</v>
      </c>
      <c r="T446" s="66">
        <f t="shared" si="285"/>
        <v>0</v>
      </c>
      <c r="U446" s="66">
        <f t="shared" si="285"/>
        <v>0</v>
      </c>
      <c r="V446" s="66">
        <f t="shared" si="285"/>
        <v>0</v>
      </c>
      <c r="W446" s="27" t="str">
        <f t="shared" si="251"/>
        <v>OK</v>
      </c>
    </row>
    <row r="447" spans="1:23" x14ac:dyDescent="0.2">
      <c r="A447" s="3">
        <f t="shared" si="278"/>
        <v>14</v>
      </c>
      <c r="B447" s="3" t="s">
        <v>154</v>
      </c>
      <c r="C447" s="3" t="s">
        <v>155</v>
      </c>
      <c r="D447" s="16" t="str">
        <f t="shared" si="279"/>
        <v>A561</v>
      </c>
      <c r="E447" s="4" t="s">
        <v>595</v>
      </c>
      <c r="F447" s="11"/>
      <c r="G447" s="11"/>
      <c r="H447" s="14">
        <f>'II-I TOTAL COMPANY'!K447</f>
        <v>0</v>
      </c>
      <c r="I447" s="66">
        <v>0</v>
      </c>
      <c r="J447" s="66">
        <f t="shared" si="280"/>
        <v>0</v>
      </c>
      <c r="K447" s="66">
        <f t="shared" si="281"/>
        <v>0</v>
      </c>
      <c r="L447" s="66">
        <f t="shared" si="281"/>
        <v>0</v>
      </c>
      <c r="M447" s="9">
        <f t="shared" si="282"/>
        <v>0</v>
      </c>
      <c r="N447" s="66">
        <f t="shared" si="283"/>
        <v>0</v>
      </c>
      <c r="O447" s="66">
        <f t="shared" si="283"/>
        <v>0</v>
      </c>
      <c r="P447" s="9">
        <f t="shared" si="284"/>
        <v>0</v>
      </c>
      <c r="Q447" s="66">
        <f t="shared" si="285"/>
        <v>0</v>
      </c>
      <c r="R447" s="66">
        <f t="shared" si="285"/>
        <v>0</v>
      </c>
      <c r="S447" s="66">
        <f t="shared" si="286"/>
        <v>0</v>
      </c>
      <c r="T447" s="66">
        <f t="shared" si="285"/>
        <v>0</v>
      </c>
      <c r="U447" s="66">
        <f t="shared" si="285"/>
        <v>0</v>
      </c>
      <c r="V447" s="66">
        <f t="shared" si="285"/>
        <v>0</v>
      </c>
      <c r="W447" s="27" t="str">
        <f t="shared" si="251"/>
        <v>OK</v>
      </c>
    </row>
    <row r="448" spans="1:23" x14ac:dyDescent="0.2">
      <c r="A448" s="3">
        <f t="shared" si="278"/>
        <v>15</v>
      </c>
      <c r="B448" s="3" t="s">
        <v>156</v>
      </c>
      <c r="C448" s="3" t="s">
        <v>38</v>
      </c>
      <c r="D448" s="16" t="str">
        <f t="shared" si="279"/>
        <v>A562</v>
      </c>
      <c r="E448" s="4" t="s">
        <v>595</v>
      </c>
      <c r="F448" s="11"/>
      <c r="G448" s="11"/>
      <c r="H448" s="14">
        <f>'II-I TOTAL COMPANY'!K448</f>
        <v>0</v>
      </c>
      <c r="I448" s="66">
        <v>0</v>
      </c>
      <c r="J448" s="66">
        <f t="shared" si="280"/>
        <v>0</v>
      </c>
      <c r="K448" s="66">
        <f t="shared" si="281"/>
        <v>0</v>
      </c>
      <c r="L448" s="66">
        <f t="shared" si="281"/>
        <v>0</v>
      </c>
      <c r="M448" s="9">
        <f t="shared" si="282"/>
        <v>0</v>
      </c>
      <c r="N448" s="66">
        <f t="shared" si="283"/>
        <v>0</v>
      </c>
      <c r="O448" s="66">
        <f t="shared" si="283"/>
        <v>0</v>
      </c>
      <c r="P448" s="9">
        <f t="shared" si="284"/>
        <v>0</v>
      </c>
      <c r="Q448" s="66">
        <f t="shared" si="285"/>
        <v>0</v>
      </c>
      <c r="R448" s="66">
        <f t="shared" si="285"/>
        <v>0</v>
      </c>
      <c r="S448" s="66">
        <f t="shared" si="286"/>
        <v>0</v>
      </c>
      <c r="T448" s="66">
        <f t="shared" si="285"/>
        <v>0</v>
      </c>
      <c r="U448" s="66">
        <f t="shared" si="285"/>
        <v>0</v>
      </c>
      <c r="V448" s="66">
        <f t="shared" si="285"/>
        <v>0</v>
      </c>
      <c r="W448" s="27" t="str">
        <f t="shared" si="251"/>
        <v>OK</v>
      </c>
    </row>
    <row r="449" spans="1:23" x14ac:dyDescent="0.2">
      <c r="A449" s="3">
        <f t="shared" si="278"/>
        <v>16</v>
      </c>
      <c r="B449" s="3" t="s">
        <v>157</v>
      </c>
      <c r="C449" s="3" t="s">
        <v>158</v>
      </c>
      <c r="D449" s="16" t="str">
        <f t="shared" si="279"/>
        <v>A563</v>
      </c>
      <c r="E449" s="4" t="s">
        <v>595</v>
      </c>
      <c r="F449" s="11"/>
      <c r="G449" s="11"/>
      <c r="H449" s="14">
        <f>'II-I TOTAL COMPANY'!K449</f>
        <v>0</v>
      </c>
      <c r="I449" s="66">
        <v>0</v>
      </c>
      <c r="J449" s="66">
        <f t="shared" si="280"/>
        <v>0</v>
      </c>
      <c r="K449" s="66">
        <f t="shared" si="281"/>
        <v>0</v>
      </c>
      <c r="L449" s="66">
        <f t="shared" si="281"/>
        <v>0</v>
      </c>
      <c r="M449" s="9">
        <f t="shared" si="282"/>
        <v>0</v>
      </c>
      <c r="N449" s="66">
        <f t="shared" si="283"/>
        <v>0</v>
      </c>
      <c r="O449" s="66">
        <f t="shared" si="283"/>
        <v>0</v>
      </c>
      <c r="P449" s="9">
        <f t="shared" si="284"/>
        <v>0</v>
      </c>
      <c r="Q449" s="66">
        <f t="shared" si="285"/>
        <v>0</v>
      </c>
      <c r="R449" s="66">
        <f t="shared" si="285"/>
        <v>0</v>
      </c>
      <c r="S449" s="66">
        <f t="shared" si="286"/>
        <v>0</v>
      </c>
      <c r="T449" s="66">
        <f t="shared" si="285"/>
        <v>0</v>
      </c>
      <c r="U449" s="66">
        <f t="shared" si="285"/>
        <v>0</v>
      </c>
      <c r="V449" s="66">
        <f t="shared" si="285"/>
        <v>0</v>
      </c>
      <c r="W449" s="27" t="str">
        <f t="shared" si="251"/>
        <v>OK</v>
      </c>
    </row>
    <row r="450" spans="1:23" x14ac:dyDescent="0.2">
      <c r="A450" s="3">
        <f t="shared" si="278"/>
        <v>17</v>
      </c>
      <c r="B450" s="3" t="s">
        <v>159</v>
      </c>
      <c r="C450" s="3" t="s">
        <v>160</v>
      </c>
      <c r="D450" s="16" t="str">
        <f t="shared" si="279"/>
        <v>A564</v>
      </c>
      <c r="E450" s="4" t="s">
        <v>595</v>
      </c>
      <c r="F450" s="11"/>
      <c r="G450" s="11"/>
      <c r="H450" s="14">
        <f>'II-I TOTAL COMPANY'!K450</f>
        <v>0</v>
      </c>
      <c r="I450" s="66">
        <v>0</v>
      </c>
      <c r="J450" s="66">
        <f t="shared" si="280"/>
        <v>0</v>
      </c>
      <c r="K450" s="66">
        <f t="shared" si="281"/>
        <v>0</v>
      </c>
      <c r="L450" s="66">
        <f t="shared" si="281"/>
        <v>0</v>
      </c>
      <c r="M450" s="9">
        <f t="shared" si="282"/>
        <v>0</v>
      </c>
      <c r="N450" s="66">
        <f t="shared" si="283"/>
        <v>0</v>
      </c>
      <c r="O450" s="66">
        <f t="shared" si="283"/>
        <v>0</v>
      </c>
      <c r="P450" s="9">
        <f t="shared" si="284"/>
        <v>0</v>
      </c>
      <c r="Q450" s="66">
        <f t="shared" si="285"/>
        <v>0</v>
      </c>
      <c r="R450" s="66">
        <f t="shared" si="285"/>
        <v>0</v>
      </c>
      <c r="S450" s="66">
        <f t="shared" si="286"/>
        <v>0</v>
      </c>
      <c r="T450" s="66">
        <f t="shared" si="285"/>
        <v>0</v>
      </c>
      <c r="U450" s="66">
        <f t="shared" si="285"/>
        <v>0</v>
      </c>
      <c r="V450" s="66">
        <f t="shared" si="285"/>
        <v>0</v>
      </c>
      <c r="W450" s="27" t="str">
        <f t="shared" si="251"/>
        <v>OK</v>
      </c>
    </row>
    <row r="451" spans="1:23" x14ac:dyDescent="0.2">
      <c r="A451" s="3">
        <f t="shared" si="278"/>
        <v>18</v>
      </c>
      <c r="B451" s="3" t="s">
        <v>161</v>
      </c>
      <c r="C451" s="3" t="s">
        <v>277</v>
      </c>
      <c r="D451" s="16" t="str">
        <f t="shared" si="279"/>
        <v>A565</v>
      </c>
      <c r="E451" s="4" t="s">
        <v>595</v>
      </c>
      <c r="F451" s="11"/>
      <c r="G451" s="11"/>
      <c r="H451" s="14">
        <f>'II-I TOTAL COMPANY'!K451</f>
        <v>0</v>
      </c>
      <c r="I451" s="66">
        <v>0</v>
      </c>
      <c r="J451" s="66">
        <f t="shared" si="280"/>
        <v>0</v>
      </c>
      <c r="K451" s="66">
        <f t="shared" si="281"/>
        <v>0</v>
      </c>
      <c r="L451" s="66">
        <f t="shared" si="281"/>
        <v>0</v>
      </c>
      <c r="M451" s="9">
        <f t="shared" si="282"/>
        <v>0</v>
      </c>
      <c r="N451" s="66">
        <f t="shared" si="283"/>
        <v>0</v>
      </c>
      <c r="O451" s="66">
        <f t="shared" si="283"/>
        <v>0</v>
      </c>
      <c r="P451" s="9">
        <f t="shared" si="284"/>
        <v>0</v>
      </c>
      <c r="Q451" s="66">
        <f t="shared" si="285"/>
        <v>0</v>
      </c>
      <c r="R451" s="66">
        <f t="shared" si="285"/>
        <v>0</v>
      </c>
      <c r="S451" s="66">
        <f t="shared" si="286"/>
        <v>0</v>
      </c>
      <c r="T451" s="66">
        <f t="shared" si="285"/>
        <v>0</v>
      </c>
      <c r="U451" s="66">
        <f t="shared" si="285"/>
        <v>0</v>
      </c>
      <c r="V451" s="66">
        <f t="shared" si="285"/>
        <v>0</v>
      </c>
      <c r="W451" s="27" t="str">
        <f t="shared" si="251"/>
        <v>OK</v>
      </c>
    </row>
    <row r="452" spans="1:23" x14ac:dyDescent="0.2">
      <c r="A452" s="3">
        <f t="shared" si="278"/>
        <v>19</v>
      </c>
      <c r="B452" s="3" t="s">
        <v>162</v>
      </c>
      <c r="C452" s="3" t="s">
        <v>163</v>
      </c>
      <c r="D452" s="16" t="str">
        <f t="shared" si="279"/>
        <v>A566</v>
      </c>
      <c r="E452" s="4" t="s">
        <v>595</v>
      </c>
      <c r="F452" s="11"/>
      <c r="G452" s="11"/>
      <c r="H452" s="14">
        <f>'II-I TOTAL COMPANY'!K452</f>
        <v>0</v>
      </c>
      <c r="I452" s="66">
        <v>0</v>
      </c>
      <c r="J452" s="66">
        <f t="shared" si="280"/>
        <v>0</v>
      </c>
      <c r="K452" s="66">
        <f>IF(+$H333&lt;&gt;0,$H452*(+K333/$H333),0)</f>
        <v>0</v>
      </c>
      <c r="L452" s="66">
        <f>IF(+$H333&lt;&gt;0,$H452*(+L333/$H333),0)</f>
        <v>0</v>
      </c>
      <c r="M452" s="9">
        <f t="shared" si="282"/>
        <v>0</v>
      </c>
      <c r="N452" s="66">
        <f>IF(+$H333&lt;&gt;0,$H452*(+N333/$H333),0)</f>
        <v>0</v>
      </c>
      <c r="O452" s="66">
        <f>IF(+$H333&lt;&gt;0,$H452*(+O333/$H333),0)</f>
        <v>0</v>
      </c>
      <c r="P452" s="9">
        <f t="shared" si="284"/>
        <v>0</v>
      </c>
      <c r="Q452" s="66">
        <f t="shared" ref="Q452:V453" si="287">IF(+$H333&lt;&gt;0,$H452*(+Q333/$H333),0)</f>
        <v>0</v>
      </c>
      <c r="R452" s="66">
        <f t="shared" si="287"/>
        <v>0</v>
      </c>
      <c r="S452" s="66">
        <f>IF(+$H333&lt;&gt;0,$H452*(+S333/$H333),0)</f>
        <v>0</v>
      </c>
      <c r="T452" s="66">
        <f t="shared" si="287"/>
        <v>0</v>
      </c>
      <c r="U452" s="66">
        <f t="shared" si="287"/>
        <v>0</v>
      </c>
      <c r="V452" s="66">
        <f t="shared" si="287"/>
        <v>0</v>
      </c>
      <c r="W452" s="27" t="str">
        <f t="shared" si="251"/>
        <v>OK</v>
      </c>
    </row>
    <row r="453" spans="1:23" x14ac:dyDescent="0.2">
      <c r="A453" s="3">
        <f t="shared" si="278"/>
        <v>20</v>
      </c>
      <c r="B453" s="3" t="s">
        <v>164</v>
      </c>
      <c r="C453" s="3" t="s">
        <v>141</v>
      </c>
      <c r="D453" s="16" t="str">
        <f t="shared" si="279"/>
        <v>A567</v>
      </c>
      <c r="E453" s="4" t="s">
        <v>595</v>
      </c>
      <c r="F453" s="11"/>
      <c r="G453" s="11"/>
      <c r="H453" s="14">
        <f>'II-I TOTAL COMPANY'!K453</f>
        <v>0</v>
      </c>
      <c r="I453" s="66">
        <v>0</v>
      </c>
      <c r="J453" s="66">
        <f t="shared" si="280"/>
        <v>0</v>
      </c>
      <c r="K453" s="66">
        <f>IF(+$H334&lt;&gt;0,$H453*(+K334/$H334),0)</f>
        <v>0</v>
      </c>
      <c r="L453" s="66">
        <f>IF(+$H334&lt;&gt;0,$H453*(+L334/$H334),0)</f>
        <v>0</v>
      </c>
      <c r="M453" s="9">
        <f t="shared" si="282"/>
        <v>0</v>
      </c>
      <c r="N453" s="66">
        <f>IF(+$H334&lt;&gt;0,$H453*(+N334/$H334),0)</f>
        <v>0</v>
      </c>
      <c r="O453" s="66">
        <f>IF(+$H334&lt;&gt;0,$H453*(+O334/$H334),0)</f>
        <v>0</v>
      </c>
      <c r="P453" s="9">
        <f t="shared" si="284"/>
        <v>0</v>
      </c>
      <c r="Q453" s="66">
        <f t="shared" si="287"/>
        <v>0</v>
      </c>
      <c r="R453" s="66">
        <f t="shared" si="287"/>
        <v>0</v>
      </c>
      <c r="S453" s="66">
        <f>IF(+$H334&lt;&gt;0,$H453*(+S334/$H334),0)</f>
        <v>0</v>
      </c>
      <c r="T453" s="66">
        <f t="shared" si="287"/>
        <v>0</v>
      </c>
      <c r="U453" s="66">
        <f t="shared" si="287"/>
        <v>0</v>
      </c>
      <c r="V453" s="66">
        <f t="shared" si="287"/>
        <v>0</v>
      </c>
      <c r="W453" s="27" t="str">
        <f t="shared" si="251"/>
        <v>OK</v>
      </c>
    </row>
    <row r="454" spans="1:23" x14ac:dyDescent="0.2">
      <c r="A454" s="3">
        <f t="shared" si="278"/>
        <v>21</v>
      </c>
      <c r="B454" s="3"/>
      <c r="C454" s="3" t="s">
        <v>135</v>
      </c>
      <c r="D454" s="3"/>
      <c r="E454" s="4"/>
      <c r="F454" s="8"/>
      <c r="G454" s="8"/>
      <c r="H454" s="8">
        <f t="shared" ref="H454:V454" si="288">SUM(H446:H453)</f>
        <v>0</v>
      </c>
      <c r="I454" s="8">
        <f t="shared" si="288"/>
        <v>0</v>
      </c>
      <c r="J454" s="66">
        <f t="shared" si="280"/>
        <v>0</v>
      </c>
      <c r="K454" s="8">
        <f t="shared" si="288"/>
        <v>0</v>
      </c>
      <c r="L454" s="8">
        <f t="shared" si="288"/>
        <v>0</v>
      </c>
      <c r="M454" s="9">
        <f t="shared" si="282"/>
        <v>0</v>
      </c>
      <c r="N454" s="8">
        <f t="shared" si="288"/>
        <v>0</v>
      </c>
      <c r="O454" s="8">
        <f t="shared" si="288"/>
        <v>0</v>
      </c>
      <c r="P454" s="9">
        <f t="shared" si="284"/>
        <v>0</v>
      </c>
      <c r="Q454" s="8">
        <f t="shared" si="288"/>
        <v>0</v>
      </c>
      <c r="R454" s="8">
        <f t="shared" si="288"/>
        <v>0</v>
      </c>
      <c r="S454" s="8">
        <f>SUM(S446:S453)</f>
        <v>0</v>
      </c>
      <c r="T454" s="8">
        <f t="shared" si="288"/>
        <v>0</v>
      </c>
      <c r="U454" s="8">
        <f t="shared" si="288"/>
        <v>0</v>
      </c>
      <c r="V454" s="8">
        <f t="shared" si="288"/>
        <v>0</v>
      </c>
      <c r="W454" s="27" t="str">
        <f t="shared" si="251"/>
        <v>OK</v>
      </c>
    </row>
    <row r="455" spans="1:23" x14ac:dyDescent="0.2">
      <c r="A455" s="3">
        <f t="shared" si="278"/>
        <v>22</v>
      </c>
      <c r="B455" s="3"/>
      <c r="C455" s="3"/>
      <c r="D455" s="3"/>
      <c r="E455" s="4"/>
      <c r="F455" s="4"/>
      <c r="G455" s="4"/>
      <c r="H455" s="8"/>
      <c r="I455" s="8"/>
      <c r="J455" s="8"/>
      <c r="K455" s="8"/>
      <c r="L455" s="8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27" t="str">
        <f t="shared" si="251"/>
        <v>OK</v>
      </c>
    </row>
    <row r="456" spans="1:23" x14ac:dyDescent="0.2">
      <c r="A456" s="3">
        <f t="shared" si="278"/>
        <v>23</v>
      </c>
      <c r="B456" s="3"/>
      <c r="C456" s="3" t="s">
        <v>142</v>
      </c>
      <c r="D456" s="3"/>
      <c r="E456" s="4"/>
      <c r="F456" s="4"/>
      <c r="G456" s="4"/>
      <c r="H456" s="8"/>
      <c r="I456" s="8"/>
      <c r="J456" s="8"/>
      <c r="K456" s="8"/>
      <c r="L456" s="8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27" t="str">
        <f t="shared" ref="W456:W519" si="289">IF((+K456+L456+M456+P456+T456+U456+V456)-H456=0,"OK",(+K456+L456+M456+P456+T456+U456+V456)-H456)</f>
        <v>OK</v>
      </c>
    </row>
    <row r="457" spans="1:23" x14ac:dyDescent="0.2">
      <c r="A457" s="3">
        <f t="shared" si="278"/>
        <v>24</v>
      </c>
      <c r="B457" s="3" t="s">
        <v>165</v>
      </c>
      <c r="C457" s="3" t="s">
        <v>146</v>
      </c>
      <c r="D457" s="16" t="str">
        <f t="shared" ref="D457:D462" si="290">B457</f>
        <v>A568</v>
      </c>
      <c r="E457" s="4" t="s">
        <v>595</v>
      </c>
      <c r="F457" s="11"/>
      <c r="G457" s="11"/>
      <c r="H457" s="14">
        <f>'II-I TOTAL COMPANY'!K457</f>
        <v>0</v>
      </c>
      <c r="I457" s="66">
        <v>0</v>
      </c>
      <c r="J457" s="66">
        <f t="shared" ref="J457:J463" si="291">SUM(K457:V457)-M457-P457</f>
        <v>0</v>
      </c>
      <c r="K457" s="66">
        <f t="shared" ref="K457:L462" si="292">IF(+$H338&lt;&gt;0,$H457*(+K338/$H338),0)</f>
        <v>0</v>
      </c>
      <c r="L457" s="66">
        <f t="shared" si="292"/>
        <v>0</v>
      </c>
      <c r="M457" s="9">
        <f t="shared" ref="M457:M463" si="293">SUM(N457:O457)</f>
        <v>0</v>
      </c>
      <c r="N457" s="66">
        <f t="shared" ref="N457:O462" si="294">IF(+$H338&lt;&gt;0,$H457*(+N338/$H338),0)</f>
        <v>0</v>
      </c>
      <c r="O457" s="66">
        <f t="shared" si="294"/>
        <v>0</v>
      </c>
      <c r="P457" s="9">
        <f t="shared" ref="P457:P463" si="295">SUM(Q457:S457)</f>
        <v>0</v>
      </c>
      <c r="Q457" s="66">
        <f t="shared" ref="Q457:V462" si="296">IF(+$H338&lt;&gt;0,$H457*(+Q338/$H338),0)</f>
        <v>0</v>
      </c>
      <c r="R457" s="66">
        <f t="shared" si="296"/>
        <v>0</v>
      </c>
      <c r="S457" s="66">
        <f t="shared" ref="S457:S462" si="297">IF(+$H338&lt;&gt;0,$H457*(+S338/$H338),0)</f>
        <v>0</v>
      </c>
      <c r="T457" s="66">
        <f t="shared" si="296"/>
        <v>0</v>
      </c>
      <c r="U457" s="66">
        <f t="shared" si="296"/>
        <v>0</v>
      </c>
      <c r="V457" s="66">
        <f t="shared" si="296"/>
        <v>0</v>
      </c>
      <c r="W457" s="27" t="str">
        <f t="shared" si="289"/>
        <v>OK</v>
      </c>
    </row>
    <row r="458" spans="1:23" x14ac:dyDescent="0.2">
      <c r="A458" s="3">
        <f t="shared" si="278"/>
        <v>25</v>
      </c>
      <c r="B458" s="3" t="s">
        <v>166</v>
      </c>
      <c r="C458" s="3" t="s">
        <v>143</v>
      </c>
      <c r="D458" s="16" t="str">
        <f t="shared" si="290"/>
        <v>A569</v>
      </c>
      <c r="E458" s="4" t="s">
        <v>595</v>
      </c>
      <c r="F458" s="11"/>
      <c r="G458" s="11"/>
      <c r="H458" s="14">
        <f>'II-I TOTAL COMPANY'!K458</f>
        <v>0</v>
      </c>
      <c r="I458" s="66">
        <v>0</v>
      </c>
      <c r="J458" s="66">
        <f t="shared" si="291"/>
        <v>0</v>
      </c>
      <c r="K458" s="66">
        <f t="shared" si="292"/>
        <v>0</v>
      </c>
      <c r="L458" s="66">
        <f t="shared" si="292"/>
        <v>0</v>
      </c>
      <c r="M458" s="9">
        <f t="shared" si="293"/>
        <v>0</v>
      </c>
      <c r="N458" s="66">
        <f t="shared" si="294"/>
        <v>0</v>
      </c>
      <c r="O458" s="66">
        <f t="shared" si="294"/>
        <v>0</v>
      </c>
      <c r="P458" s="9">
        <f t="shared" si="295"/>
        <v>0</v>
      </c>
      <c r="Q458" s="66">
        <f t="shared" si="296"/>
        <v>0</v>
      </c>
      <c r="R458" s="66">
        <f t="shared" si="296"/>
        <v>0</v>
      </c>
      <c r="S458" s="66">
        <f t="shared" si="297"/>
        <v>0</v>
      </c>
      <c r="T458" s="66">
        <f t="shared" si="296"/>
        <v>0</v>
      </c>
      <c r="U458" s="66">
        <f t="shared" si="296"/>
        <v>0</v>
      </c>
      <c r="V458" s="66">
        <f t="shared" si="296"/>
        <v>0</v>
      </c>
      <c r="W458" s="27" t="str">
        <f t="shared" si="289"/>
        <v>OK</v>
      </c>
    </row>
    <row r="459" spans="1:23" x14ac:dyDescent="0.2">
      <c r="A459" s="3">
        <f t="shared" si="278"/>
        <v>26</v>
      </c>
      <c r="B459" s="3" t="s">
        <v>167</v>
      </c>
      <c r="C459" s="3" t="s">
        <v>168</v>
      </c>
      <c r="D459" s="16" t="str">
        <f t="shared" si="290"/>
        <v>A570</v>
      </c>
      <c r="E459" s="4" t="s">
        <v>595</v>
      </c>
      <c r="F459" s="11"/>
      <c r="G459" s="11"/>
      <c r="H459" s="14">
        <f>'II-I TOTAL COMPANY'!K459</f>
        <v>0</v>
      </c>
      <c r="I459" s="66">
        <v>0</v>
      </c>
      <c r="J459" s="66">
        <f t="shared" si="291"/>
        <v>0</v>
      </c>
      <c r="K459" s="66">
        <f t="shared" si="292"/>
        <v>0</v>
      </c>
      <c r="L459" s="66">
        <f t="shared" si="292"/>
        <v>0</v>
      </c>
      <c r="M459" s="9">
        <f t="shared" si="293"/>
        <v>0</v>
      </c>
      <c r="N459" s="66">
        <f t="shared" si="294"/>
        <v>0</v>
      </c>
      <c r="O459" s="66">
        <f t="shared" si="294"/>
        <v>0</v>
      </c>
      <c r="P459" s="9">
        <f t="shared" si="295"/>
        <v>0</v>
      </c>
      <c r="Q459" s="66">
        <f t="shared" si="296"/>
        <v>0</v>
      </c>
      <c r="R459" s="66">
        <f t="shared" si="296"/>
        <v>0</v>
      </c>
      <c r="S459" s="66">
        <f t="shared" si="297"/>
        <v>0</v>
      </c>
      <c r="T459" s="66">
        <f t="shared" si="296"/>
        <v>0</v>
      </c>
      <c r="U459" s="66">
        <f t="shared" si="296"/>
        <v>0</v>
      </c>
      <c r="V459" s="66">
        <f t="shared" si="296"/>
        <v>0</v>
      </c>
      <c r="W459" s="27" t="str">
        <f t="shared" si="289"/>
        <v>OK</v>
      </c>
    </row>
    <row r="460" spans="1:23" x14ac:dyDescent="0.2">
      <c r="A460" s="3">
        <f t="shared" si="278"/>
        <v>27</v>
      </c>
      <c r="B460" s="3" t="s">
        <v>169</v>
      </c>
      <c r="C460" s="3" t="s">
        <v>170</v>
      </c>
      <c r="D460" s="16" t="str">
        <f t="shared" si="290"/>
        <v>A571</v>
      </c>
      <c r="E460" s="4" t="s">
        <v>595</v>
      </c>
      <c r="F460" s="11"/>
      <c r="G460" s="11"/>
      <c r="H460" s="14">
        <f>'II-I TOTAL COMPANY'!K460</f>
        <v>0</v>
      </c>
      <c r="I460" s="66">
        <v>0</v>
      </c>
      <c r="J460" s="66">
        <f t="shared" si="291"/>
        <v>0</v>
      </c>
      <c r="K460" s="66">
        <f t="shared" si="292"/>
        <v>0</v>
      </c>
      <c r="L460" s="66">
        <f t="shared" si="292"/>
        <v>0</v>
      </c>
      <c r="M460" s="9">
        <f t="shared" si="293"/>
        <v>0</v>
      </c>
      <c r="N460" s="66">
        <f t="shared" si="294"/>
        <v>0</v>
      </c>
      <c r="O460" s="66">
        <f t="shared" si="294"/>
        <v>0</v>
      </c>
      <c r="P460" s="9">
        <f t="shared" si="295"/>
        <v>0</v>
      </c>
      <c r="Q460" s="66">
        <f t="shared" si="296"/>
        <v>0</v>
      </c>
      <c r="R460" s="66">
        <f t="shared" si="296"/>
        <v>0</v>
      </c>
      <c r="S460" s="66">
        <f t="shared" si="297"/>
        <v>0</v>
      </c>
      <c r="T460" s="66">
        <f t="shared" si="296"/>
        <v>0</v>
      </c>
      <c r="U460" s="66">
        <f t="shared" si="296"/>
        <v>0</v>
      </c>
      <c r="V460" s="66">
        <f t="shared" si="296"/>
        <v>0</v>
      </c>
      <c r="W460" s="27" t="str">
        <f t="shared" si="289"/>
        <v>OK</v>
      </c>
    </row>
    <row r="461" spans="1:23" x14ac:dyDescent="0.2">
      <c r="A461" s="3">
        <f t="shared" si="278"/>
        <v>28</v>
      </c>
      <c r="B461" s="3" t="s">
        <v>171</v>
      </c>
      <c r="C461" s="3" t="s">
        <v>172</v>
      </c>
      <c r="D461" s="16" t="str">
        <f t="shared" si="290"/>
        <v>A572</v>
      </c>
      <c r="E461" s="4" t="s">
        <v>595</v>
      </c>
      <c r="F461" s="11"/>
      <c r="G461" s="11"/>
      <c r="H461" s="14">
        <f>'II-I TOTAL COMPANY'!K461</f>
        <v>0</v>
      </c>
      <c r="I461" s="66">
        <v>0</v>
      </c>
      <c r="J461" s="66">
        <f t="shared" si="291"/>
        <v>0</v>
      </c>
      <c r="K461" s="66">
        <f t="shared" si="292"/>
        <v>0</v>
      </c>
      <c r="L461" s="66">
        <f t="shared" si="292"/>
        <v>0</v>
      </c>
      <c r="M461" s="9">
        <f t="shared" si="293"/>
        <v>0</v>
      </c>
      <c r="N461" s="66">
        <f t="shared" si="294"/>
        <v>0</v>
      </c>
      <c r="O461" s="66">
        <f t="shared" si="294"/>
        <v>0</v>
      </c>
      <c r="P461" s="9">
        <f t="shared" si="295"/>
        <v>0</v>
      </c>
      <c r="Q461" s="66">
        <f t="shared" si="296"/>
        <v>0</v>
      </c>
      <c r="R461" s="66">
        <f t="shared" si="296"/>
        <v>0</v>
      </c>
      <c r="S461" s="66">
        <f t="shared" si="297"/>
        <v>0</v>
      </c>
      <c r="T461" s="66">
        <f t="shared" si="296"/>
        <v>0</v>
      </c>
      <c r="U461" s="66">
        <f t="shared" si="296"/>
        <v>0</v>
      </c>
      <c r="V461" s="66">
        <f t="shared" si="296"/>
        <v>0</v>
      </c>
      <c r="W461" s="27" t="str">
        <f t="shared" si="289"/>
        <v>OK</v>
      </c>
    </row>
    <row r="462" spans="1:23" x14ac:dyDescent="0.2">
      <c r="A462" s="3">
        <f t="shared" si="278"/>
        <v>29</v>
      </c>
      <c r="B462" s="3" t="s">
        <v>173</v>
      </c>
      <c r="C462" s="3" t="s">
        <v>174</v>
      </c>
      <c r="D462" s="16" t="str">
        <f t="shared" si="290"/>
        <v>A573</v>
      </c>
      <c r="E462" s="4" t="s">
        <v>595</v>
      </c>
      <c r="F462" s="11"/>
      <c r="G462" s="11"/>
      <c r="H462" s="14">
        <f>'II-I TOTAL COMPANY'!K462</f>
        <v>0</v>
      </c>
      <c r="I462" s="66">
        <v>0</v>
      </c>
      <c r="J462" s="66">
        <f t="shared" si="291"/>
        <v>0</v>
      </c>
      <c r="K462" s="66">
        <f t="shared" si="292"/>
        <v>0</v>
      </c>
      <c r="L462" s="66">
        <f t="shared" si="292"/>
        <v>0</v>
      </c>
      <c r="M462" s="9">
        <f t="shared" si="293"/>
        <v>0</v>
      </c>
      <c r="N462" s="66">
        <f t="shared" si="294"/>
        <v>0</v>
      </c>
      <c r="O462" s="66">
        <f t="shared" si="294"/>
        <v>0</v>
      </c>
      <c r="P462" s="9">
        <f t="shared" si="295"/>
        <v>0</v>
      </c>
      <c r="Q462" s="66">
        <f t="shared" si="296"/>
        <v>0</v>
      </c>
      <c r="R462" s="66">
        <f t="shared" si="296"/>
        <v>0</v>
      </c>
      <c r="S462" s="66">
        <f t="shared" si="297"/>
        <v>0</v>
      </c>
      <c r="T462" s="66">
        <f t="shared" si="296"/>
        <v>0</v>
      </c>
      <c r="U462" s="66">
        <f t="shared" si="296"/>
        <v>0</v>
      </c>
      <c r="V462" s="66">
        <f t="shared" si="296"/>
        <v>0</v>
      </c>
      <c r="W462" s="27" t="str">
        <f t="shared" si="289"/>
        <v>OK</v>
      </c>
    </row>
    <row r="463" spans="1:23" x14ac:dyDescent="0.2">
      <c r="A463" s="3">
        <f t="shared" si="278"/>
        <v>30</v>
      </c>
      <c r="B463" s="3"/>
      <c r="C463" s="3" t="s">
        <v>135</v>
      </c>
      <c r="D463" s="3"/>
      <c r="E463" s="4"/>
      <c r="F463" s="8"/>
      <c r="G463" s="8"/>
      <c r="H463" s="8">
        <f t="shared" ref="H463:V463" si="298">SUM(H457:H462)</f>
        <v>0</v>
      </c>
      <c r="I463" s="8">
        <f t="shared" si="298"/>
        <v>0</v>
      </c>
      <c r="J463" s="66">
        <f t="shared" si="291"/>
        <v>0</v>
      </c>
      <c r="K463" s="8">
        <f t="shared" si="298"/>
        <v>0</v>
      </c>
      <c r="L463" s="8">
        <f t="shared" si="298"/>
        <v>0</v>
      </c>
      <c r="M463" s="9">
        <f t="shared" si="293"/>
        <v>0</v>
      </c>
      <c r="N463" s="8">
        <f t="shared" si="298"/>
        <v>0</v>
      </c>
      <c r="O463" s="8">
        <f t="shared" si="298"/>
        <v>0</v>
      </c>
      <c r="P463" s="9">
        <f t="shared" si="295"/>
        <v>0</v>
      </c>
      <c r="Q463" s="8">
        <f t="shared" si="298"/>
        <v>0</v>
      </c>
      <c r="R463" s="8">
        <f t="shared" si="298"/>
        <v>0</v>
      </c>
      <c r="S463" s="8">
        <f>SUM(S457:S462)</f>
        <v>0</v>
      </c>
      <c r="T463" s="8">
        <f t="shared" si="298"/>
        <v>0</v>
      </c>
      <c r="U463" s="8">
        <f t="shared" si="298"/>
        <v>0</v>
      </c>
      <c r="V463" s="8">
        <f t="shared" si="298"/>
        <v>0</v>
      </c>
      <c r="W463" s="27" t="str">
        <f t="shared" si="289"/>
        <v>OK</v>
      </c>
    </row>
    <row r="464" spans="1:23" x14ac:dyDescent="0.2">
      <c r="A464" s="3">
        <f t="shared" si="278"/>
        <v>31</v>
      </c>
      <c r="B464" s="3"/>
      <c r="C464" s="3"/>
      <c r="D464" s="3"/>
      <c r="E464" s="4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 t="str">
        <f t="shared" si="289"/>
        <v>OK</v>
      </c>
    </row>
    <row r="465" spans="1:23" x14ac:dyDescent="0.2">
      <c r="A465" s="3">
        <f t="shared" si="278"/>
        <v>32</v>
      </c>
      <c r="B465" s="3"/>
      <c r="C465" s="3" t="s">
        <v>278</v>
      </c>
      <c r="D465" s="3"/>
      <c r="E465" s="4"/>
      <c r="F465" s="8"/>
      <c r="G465" s="8"/>
      <c r="H465" s="8">
        <f t="shared" ref="H465:V465" si="299">H454+H463</f>
        <v>0</v>
      </c>
      <c r="I465" s="8">
        <v>0</v>
      </c>
      <c r="J465" s="66">
        <f t="shared" ref="J465" si="300">SUM(K465:V465)-M465-P465</f>
        <v>0</v>
      </c>
      <c r="K465" s="8">
        <f t="shared" si="299"/>
        <v>0</v>
      </c>
      <c r="L465" s="8">
        <f>L454+L463</f>
        <v>0</v>
      </c>
      <c r="M465" s="9">
        <f>SUM(N465:O465)</f>
        <v>0</v>
      </c>
      <c r="N465" s="8">
        <f t="shared" si="299"/>
        <v>0</v>
      </c>
      <c r="O465" s="8">
        <f t="shared" si="299"/>
        <v>0</v>
      </c>
      <c r="P465" s="9">
        <f>SUM(Q465:S465)</f>
        <v>0</v>
      </c>
      <c r="Q465" s="8">
        <f t="shared" si="299"/>
        <v>0</v>
      </c>
      <c r="R465" s="8">
        <f t="shared" si="299"/>
        <v>0</v>
      </c>
      <c r="S465" s="8">
        <f>S454+S463</f>
        <v>0</v>
      </c>
      <c r="T465" s="8">
        <f t="shared" si="299"/>
        <v>0</v>
      </c>
      <c r="U465" s="8">
        <f t="shared" si="299"/>
        <v>0</v>
      </c>
      <c r="V465" s="8">
        <f t="shared" si="299"/>
        <v>0</v>
      </c>
      <c r="W465" s="27" t="str">
        <f t="shared" si="289"/>
        <v>OK</v>
      </c>
    </row>
    <row r="466" spans="1:23" x14ac:dyDescent="0.2">
      <c r="A466" s="3">
        <f t="shared" si="278"/>
        <v>33</v>
      </c>
      <c r="B466" s="3"/>
      <c r="C466" s="3"/>
      <c r="D466" s="3"/>
      <c r="E466" s="4"/>
      <c r="F466" s="4"/>
      <c r="G466" s="4"/>
      <c r="H466" s="8"/>
      <c r="I466" s="8"/>
      <c r="J466" s="8"/>
      <c r="K466" s="8"/>
      <c r="L466" s="8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27" t="str">
        <f t="shared" si="289"/>
        <v>OK</v>
      </c>
    </row>
    <row r="467" spans="1:23" x14ac:dyDescent="0.2">
      <c r="A467" s="3">
        <f t="shared" si="278"/>
        <v>34</v>
      </c>
      <c r="B467" s="7" t="s">
        <v>274</v>
      </c>
      <c r="C467" s="3"/>
      <c r="D467" s="3"/>
      <c r="E467" s="4"/>
      <c r="F467" s="4"/>
      <c r="G467" s="4"/>
      <c r="H467" s="8"/>
      <c r="I467" s="8"/>
      <c r="J467" s="8"/>
      <c r="K467" s="8"/>
      <c r="L467" s="8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27" t="str">
        <f t="shared" si="289"/>
        <v>OK</v>
      </c>
    </row>
    <row r="468" spans="1:23" x14ac:dyDescent="0.2">
      <c r="A468" s="3">
        <f t="shared" si="278"/>
        <v>35</v>
      </c>
      <c r="B468" s="3" t="s">
        <v>279</v>
      </c>
      <c r="C468" s="3"/>
      <c r="D468" s="3"/>
      <c r="E468" s="4"/>
      <c r="F468" s="4"/>
      <c r="G468" s="4"/>
      <c r="H468" s="8"/>
      <c r="I468" s="8"/>
      <c r="J468" s="8"/>
      <c r="K468" s="8"/>
      <c r="L468" s="8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27" t="str">
        <f t="shared" si="289"/>
        <v>OK</v>
      </c>
    </row>
    <row r="469" spans="1:23" x14ac:dyDescent="0.2">
      <c r="A469" s="3">
        <f t="shared" si="278"/>
        <v>36</v>
      </c>
      <c r="B469" s="3"/>
      <c r="C469" s="3" t="s">
        <v>140</v>
      </c>
      <c r="D469" s="3"/>
      <c r="E469" s="4"/>
      <c r="F469" s="4"/>
      <c r="G469" s="4"/>
      <c r="H469" s="8"/>
      <c r="I469" s="8"/>
      <c r="J469" s="8"/>
      <c r="K469" s="8"/>
      <c r="L469" s="8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27" t="str">
        <f t="shared" si="289"/>
        <v>OK</v>
      </c>
    </row>
    <row r="470" spans="1:23" x14ac:dyDescent="0.2">
      <c r="A470" s="3">
        <f t="shared" si="278"/>
        <v>37</v>
      </c>
      <c r="B470" s="3" t="s">
        <v>177</v>
      </c>
      <c r="C470" s="3" t="s">
        <v>145</v>
      </c>
      <c r="D470" s="16" t="str">
        <f t="shared" ref="D470:D479" si="301">B470</f>
        <v>A580</v>
      </c>
      <c r="E470" s="4" t="s">
        <v>595</v>
      </c>
      <c r="F470" s="11"/>
      <c r="G470" s="11"/>
      <c r="H470" s="14">
        <f>'II-I TOTAL COMPANY'!K470</f>
        <v>3367828.5258848341</v>
      </c>
      <c r="I470" s="66">
        <v>0</v>
      </c>
      <c r="J470" s="66">
        <f t="shared" ref="J470:J495" si="302">SUM(K470:V470)-M470-P470</f>
        <v>3367828.5258848346</v>
      </c>
      <c r="K470" s="66">
        <f t="shared" ref="K470:L476" si="303">IF(+$H351&lt;&gt;0,$H470*(+K351/$H351),0)</f>
        <v>1941438.3529907451</v>
      </c>
      <c r="L470" s="66">
        <f t="shared" si="303"/>
        <v>77523.121497159256</v>
      </c>
      <c r="M470" s="9">
        <f t="shared" ref="M470:M480" si="304">SUM(N470:O470)</f>
        <v>963372.63038995478</v>
      </c>
      <c r="N470" s="66">
        <f t="shared" ref="N470:O476" si="305">IF(+$H351&lt;&gt;0,$H470*(+N351/$H351),0)</f>
        <v>126770.42714188863</v>
      </c>
      <c r="O470" s="66">
        <f t="shared" si="305"/>
        <v>836602.20324806613</v>
      </c>
      <c r="P470" s="9">
        <f t="shared" ref="P470:P480" si="306">SUM(Q470:S470)</f>
        <v>238890.11872630133</v>
      </c>
      <c r="Q470" s="66">
        <f t="shared" ref="Q470:V476" si="307">IF(+$H351&lt;&gt;0,$H470*(+Q351/$H351),0)</f>
        <v>194336.42290551908</v>
      </c>
      <c r="R470" s="66">
        <f t="shared" si="307"/>
        <v>14063.304220528536</v>
      </c>
      <c r="S470" s="66">
        <f t="shared" ref="S470:S476" si="308">IF(+$H351&lt;&gt;0,$H470*(+S351/$H351),0)</f>
        <v>30490.391600253701</v>
      </c>
      <c r="T470" s="66">
        <f t="shared" si="307"/>
        <v>0</v>
      </c>
      <c r="U470" s="66">
        <f t="shared" si="307"/>
        <v>137733.46975802604</v>
      </c>
      <c r="V470" s="66">
        <f t="shared" si="307"/>
        <v>8870.8325226473971</v>
      </c>
      <c r="W470" s="27" t="str">
        <f t="shared" si="289"/>
        <v>OK</v>
      </c>
    </row>
    <row r="471" spans="1:23" x14ac:dyDescent="0.2">
      <c r="A471" s="3">
        <f t="shared" si="278"/>
        <v>38</v>
      </c>
      <c r="B471" s="3" t="s">
        <v>178</v>
      </c>
      <c r="C471" s="3" t="s">
        <v>155</v>
      </c>
      <c r="D471" s="16" t="str">
        <f t="shared" si="301"/>
        <v>A581</v>
      </c>
      <c r="E471" s="4" t="s">
        <v>595</v>
      </c>
      <c r="F471" s="11"/>
      <c r="G471" s="11"/>
      <c r="H471" s="14">
        <f>'II-I TOTAL COMPANY'!K471</f>
        <v>2908699.0754324696</v>
      </c>
      <c r="I471" s="66">
        <v>0</v>
      </c>
      <c r="J471" s="66">
        <f t="shared" si="302"/>
        <v>2908699.0754324696</v>
      </c>
      <c r="K471" s="66">
        <f t="shared" si="303"/>
        <v>1645244.1026494564</v>
      </c>
      <c r="L471" s="66">
        <f t="shared" si="303"/>
        <v>57392.31328580292</v>
      </c>
      <c r="M471" s="9">
        <f t="shared" si="304"/>
        <v>865563.60753813316</v>
      </c>
      <c r="N471" s="66">
        <f t="shared" si="305"/>
        <v>116226.88518606959</v>
      </c>
      <c r="O471" s="66">
        <f t="shared" si="305"/>
        <v>749336.72235206363</v>
      </c>
      <c r="P471" s="9">
        <f t="shared" si="306"/>
        <v>297252.14071161079</v>
      </c>
      <c r="Q471" s="66">
        <f t="shared" si="307"/>
        <v>241813.7595430917</v>
      </c>
      <c r="R471" s="66">
        <f t="shared" si="307"/>
        <v>17499.038082107538</v>
      </c>
      <c r="S471" s="66">
        <f t="shared" si="308"/>
        <v>37939.343086411529</v>
      </c>
      <c r="T471" s="66">
        <f t="shared" si="307"/>
        <v>0</v>
      </c>
      <c r="U471" s="66">
        <f t="shared" si="307"/>
        <v>32208.891042569809</v>
      </c>
      <c r="V471" s="66">
        <f t="shared" si="307"/>
        <v>11038.020204896829</v>
      </c>
      <c r="W471" s="27" t="str">
        <f t="shared" si="289"/>
        <v>OK</v>
      </c>
    </row>
    <row r="472" spans="1:23" x14ac:dyDescent="0.2">
      <c r="A472" s="3">
        <f t="shared" si="278"/>
        <v>39</v>
      </c>
      <c r="B472" s="3" t="s">
        <v>179</v>
      </c>
      <c r="C472" s="3" t="s">
        <v>180</v>
      </c>
      <c r="D472" s="16" t="str">
        <f t="shared" si="301"/>
        <v>A582</v>
      </c>
      <c r="E472" s="4" t="s">
        <v>595</v>
      </c>
      <c r="F472" s="11"/>
      <c r="G472" s="11"/>
      <c r="H472" s="14">
        <f>'II-I TOTAL COMPANY'!K472</f>
        <v>724165.27887784538</v>
      </c>
      <c r="I472" s="66">
        <v>0</v>
      </c>
      <c r="J472" s="66">
        <f t="shared" si="302"/>
        <v>724165.27887784538</v>
      </c>
      <c r="K472" s="66">
        <f t="shared" si="303"/>
        <v>409608.77131647954</v>
      </c>
      <c r="L472" s="66">
        <f t="shared" si="303"/>
        <v>14288.697276076493</v>
      </c>
      <c r="M472" s="9">
        <f t="shared" si="304"/>
        <v>215495.34516428827</v>
      </c>
      <c r="N472" s="66">
        <f t="shared" si="305"/>
        <v>28936.466970671161</v>
      </c>
      <c r="O472" s="66">
        <f t="shared" si="305"/>
        <v>186558.8781936171</v>
      </c>
      <c r="P472" s="9">
        <f t="shared" si="306"/>
        <v>74005.482792493771</v>
      </c>
      <c r="Q472" s="66">
        <f t="shared" si="307"/>
        <v>60203.246906862376</v>
      </c>
      <c r="R472" s="66">
        <f t="shared" si="307"/>
        <v>4356.6541138117973</v>
      </c>
      <c r="S472" s="66">
        <f t="shared" si="308"/>
        <v>9445.5817718196013</v>
      </c>
      <c r="T472" s="66">
        <f t="shared" si="307"/>
        <v>0</v>
      </c>
      <c r="U472" s="66">
        <f t="shared" si="307"/>
        <v>8018.897781896113</v>
      </c>
      <c r="V472" s="66">
        <f t="shared" si="307"/>
        <v>2748.0845466112523</v>
      </c>
      <c r="W472" s="27" t="str">
        <f t="shared" si="289"/>
        <v>OK</v>
      </c>
    </row>
    <row r="473" spans="1:23" x14ac:dyDescent="0.2">
      <c r="A473" s="3">
        <f t="shared" si="278"/>
        <v>40</v>
      </c>
      <c r="B473" s="3" t="s">
        <v>181</v>
      </c>
      <c r="C473" s="3" t="s">
        <v>182</v>
      </c>
      <c r="D473" s="16" t="str">
        <f t="shared" si="301"/>
        <v>A583</v>
      </c>
      <c r="E473" s="4" t="s">
        <v>595</v>
      </c>
      <c r="F473" s="11"/>
      <c r="G473" s="11"/>
      <c r="H473" s="14">
        <f>'II-I TOTAL COMPANY'!K473</f>
        <v>-130014.80035380283</v>
      </c>
      <c r="I473" s="66">
        <v>0</v>
      </c>
      <c r="J473" s="66">
        <f t="shared" si="302"/>
        <v>-130014.80035380283</v>
      </c>
      <c r="K473" s="66">
        <f t="shared" si="303"/>
        <v>-75594.184272291706</v>
      </c>
      <c r="L473" s="66">
        <f t="shared" si="303"/>
        <v>-2637.0099727775582</v>
      </c>
      <c r="M473" s="9">
        <f t="shared" si="304"/>
        <v>-39770.131825580167</v>
      </c>
      <c r="N473" s="66">
        <f t="shared" si="305"/>
        <v>-5340.2875366648495</v>
      </c>
      <c r="O473" s="66">
        <f t="shared" si="305"/>
        <v>-34429.844288915316</v>
      </c>
      <c r="P473" s="9">
        <f t="shared" si="306"/>
        <v>-10156.425468654232</v>
      </c>
      <c r="Q473" s="66">
        <f t="shared" si="307"/>
        <v>-8262.2228395563452</v>
      </c>
      <c r="R473" s="66">
        <f t="shared" si="307"/>
        <v>-597.90208954792968</v>
      </c>
      <c r="S473" s="66">
        <f t="shared" si="308"/>
        <v>-1296.3005395499574</v>
      </c>
      <c r="T473" s="66">
        <f t="shared" si="307"/>
        <v>0</v>
      </c>
      <c r="U473" s="66">
        <f t="shared" si="307"/>
        <v>-1479.9049215598125</v>
      </c>
      <c r="V473" s="66">
        <f t="shared" si="307"/>
        <v>-377.14389293935614</v>
      </c>
      <c r="W473" s="27" t="str">
        <f t="shared" si="289"/>
        <v>OK</v>
      </c>
    </row>
    <row r="474" spans="1:23" x14ac:dyDescent="0.2">
      <c r="A474" s="3">
        <f t="shared" si="278"/>
        <v>41</v>
      </c>
      <c r="B474" s="3" t="s">
        <v>183</v>
      </c>
      <c r="C474" s="3" t="s">
        <v>160</v>
      </c>
      <c r="D474" s="16" t="str">
        <f t="shared" si="301"/>
        <v>A584</v>
      </c>
      <c r="E474" s="4" t="s">
        <v>595</v>
      </c>
      <c r="F474" s="11"/>
      <c r="G474" s="11"/>
      <c r="H474" s="14">
        <f>'II-I TOTAL COMPANY'!K474</f>
        <v>372704.09553017747</v>
      </c>
      <c r="I474" s="66">
        <v>0</v>
      </c>
      <c r="J474" s="66">
        <f t="shared" si="302"/>
        <v>372704.09553017729</v>
      </c>
      <c r="K474" s="66">
        <f t="shared" si="303"/>
        <v>220831.77389676956</v>
      </c>
      <c r="L474" s="66">
        <f t="shared" si="303"/>
        <v>7703.444328129216</v>
      </c>
      <c r="M474" s="9">
        <f t="shared" si="304"/>
        <v>116179.68820877108</v>
      </c>
      <c r="N474" s="66">
        <f t="shared" si="305"/>
        <v>15600.474840665374</v>
      </c>
      <c r="O474" s="66">
        <f t="shared" si="305"/>
        <v>100579.21336810572</v>
      </c>
      <c r="P474" s="9">
        <f t="shared" si="306"/>
        <v>22818.636114121251</v>
      </c>
      <c r="Q474" s="66">
        <f t="shared" si="307"/>
        <v>18562.894696710573</v>
      </c>
      <c r="R474" s="66">
        <f t="shared" si="307"/>
        <v>1343.3181049153843</v>
      </c>
      <c r="S474" s="66">
        <f t="shared" si="308"/>
        <v>2912.4233124952939</v>
      </c>
      <c r="T474" s="66">
        <f t="shared" si="307"/>
        <v>0</v>
      </c>
      <c r="U474" s="66">
        <f t="shared" si="307"/>
        <v>4323.2165565731493</v>
      </c>
      <c r="V474" s="66">
        <f t="shared" si="307"/>
        <v>847.33642581306617</v>
      </c>
      <c r="W474" s="27">
        <f t="shared" si="289"/>
        <v>-1.1641532182693481E-10</v>
      </c>
    </row>
    <row r="475" spans="1:23" x14ac:dyDescent="0.2">
      <c r="A475" s="3">
        <f t="shared" si="278"/>
        <v>42</v>
      </c>
      <c r="B475" s="3" t="s">
        <v>184</v>
      </c>
      <c r="C475" s="3" t="s">
        <v>185</v>
      </c>
      <c r="D475" s="16" t="str">
        <f t="shared" si="301"/>
        <v>A585</v>
      </c>
      <c r="E475" s="4" t="s">
        <v>595</v>
      </c>
      <c r="F475" s="11"/>
      <c r="G475" s="11"/>
      <c r="H475" s="14">
        <f>'II-I TOTAL COMPANY'!K475</f>
        <v>31427.507775630671</v>
      </c>
      <c r="I475" s="66">
        <v>0</v>
      </c>
      <c r="J475" s="66">
        <f t="shared" si="302"/>
        <v>31427.507775630671</v>
      </c>
      <c r="K475" s="66">
        <f t="shared" si="303"/>
        <v>0</v>
      </c>
      <c r="L475" s="66">
        <f t="shared" si="303"/>
        <v>0</v>
      </c>
      <c r="M475" s="9">
        <f t="shared" si="304"/>
        <v>0</v>
      </c>
      <c r="N475" s="66">
        <f t="shared" si="305"/>
        <v>0</v>
      </c>
      <c r="O475" s="66">
        <f t="shared" si="305"/>
        <v>0</v>
      </c>
      <c r="P475" s="9">
        <f t="shared" si="306"/>
        <v>0</v>
      </c>
      <c r="Q475" s="66">
        <f t="shared" si="307"/>
        <v>0</v>
      </c>
      <c r="R475" s="66">
        <f t="shared" si="307"/>
        <v>0</v>
      </c>
      <c r="S475" s="66">
        <f t="shared" si="308"/>
        <v>0</v>
      </c>
      <c r="T475" s="66">
        <f t="shared" si="307"/>
        <v>0</v>
      </c>
      <c r="U475" s="66">
        <f t="shared" si="307"/>
        <v>31427.507775630671</v>
      </c>
      <c r="V475" s="66">
        <f t="shared" si="307"/>
        <v>0</v>
      </c>
      <c r="W475" s="27" t="str">
        <f t="shared" si="289"/>
        <v>OK</v>
      </c>
    </row>
    <row r="476" spans="1:23" x14ac:dyDescent="0.2">
      <c r="A476" s="3">
        <f t="shared" si="278"/>
        <v>43</v>
      </c>
      <c r="B476" s="3" t="s">
        <v>186</v>
      </c>
      <c r="C476" s="3" t="s">
        <v>187</v>
      </c>
      <c r="D476" s="16" t="str">
        <f t="shared" si="301"/>
        <v>A586</v>
      </c>
      <c r="E476" s="4" t="s">
        <v>595</v>
      </c>
      <c r="F476" s="11"/>
      <c r="G476" s="11"/>
      <c r="H476" s="14">
        <f>'II-I TOTAL COMPANY'!K476</f>
        <v>0</v>
      </c>
      <c r="I476" s="66">
        <v>0</v>
      </c>
      <c r="J476" s="66">
        <f t="shared" si="302"/>
        <v>0</v>
      </c>
      <c r="K476" s="66">
        <f t="shared" si="303"/>
        <v>0</v>
      </c>
      <c r="L476" s="66">
        <f t="shared" si="303"/>
        <v>0</v>
      </c>
      <c r="M476" s="9">
        <f t="shared" si="304"/>
        <v>0</v>
      </c>
      <c r="N476" s="66">
        <f t="shared" si="305"/>
        <v>0</v>
      </c>
      <c r="O476" s="66">
        <f t="shared" si="305"/>
        <v>0</v>
      </c>
      <c r="P476" s="9">
        <f t="shared" si="306"/>
        <v>0</v>
      </c>
      <c r="Q476" s="66">
        <f t="shared" si="307"/>
        <v>0</v>
      </c>
      <c r="R476" s="66">
        <f t="shared" si="307"/>
        <v>0</v>
      </c>
      <c r="S476" s="66">
        <f t="shared" si="308"/>
        <v>0</v>
      </c>
      <c r="T476" s="66">
        <f t="shared" si="307"/>
        <v>0</v>
      </c>
      <c r="U476" s="66">
        <f t="shared" si="307"/>
        <v>0</v>
      </c>
      <c r="V476" s="66">
        <f t="shared" si="307"/>
        <v>0</v>
      </c>
      <c r="W476" s="27" t="str">
        <f t="shared" si="289"/>
        <v>OK</v>
      </c>
    </row>
    <row r="477" spans="1:23" x14ac:dyDescent="0.2">
      <c r="A477" s="3">
        <f t="shared" si="278"/>
        <v>44</v>
      </c>
      <c r="B477" s="3" t="s">
        <v>188</v>
      </c>
      <c r="C477" s="3" t="s">
        <v>189</v>
      </c>
      <c r="D477" s="16" t="str">
        <f t="shared" si="301"/>
        <v>A587</v>
      </c>
      <c r="E477" s="4" t="s">
        <v>595</v>
      </c>
      <c r="F477" s="11"/>
      <c r="G477" s="11"/>
      <c r="H477" s="14">
        <f>'II-I TOTAL COMPANY'!K477</f>
        <v>617636.7945847403</v>
      </c>
      <c r="I477" s="66">
        <v>0</v>
      </c>
      <c r="J477" s="66">
        <f t="shared" si="302"/>
        <v>617636.79458474019</v>
      </c>
      <c r="K477" s="66">
        <f>IF(+$H359&lt;&gt;0,$H477*(+K359/$H359),0)</f>
        <v>359066.93749144033</v>
      </c>
      <c r="L477" s="66">
        <f>IF(+$H359&lt;&gt;0,$H477*(+L359/$H359),0)</f>
        <v>14980.908803392753</v>
      </c>
      <c r="M477" s="9">
        <f t="shared" si="304"/>
        <v>174366.83812550019</v>
      </c>
      <c r="N477" s="66">
        <f>IF(+$H359&lt;&gt;0,$H477*(+N359/$H359),0)</f>
        <v>22764.738484173035</v>
      </c>
      <c r="O477" s="66">
        <f>IF(+$H359&lt;&gt;0,$H477*(+O359/$H359),0)</f>
        <v>151602.09964132716</v>
      </c>
      <c r="P477" s="9">
        <f t="shared" si="306"/>
        <v>37626.200815938631</v>
      </c>
      <c r="Q477" s="66">
        <f t="shared" ref="Q477:V478" si="309">IF(+$H359&lt;&gt;0,$H477*(+Q359/$H359),0)</f>
        <v>30608.805894026224</v>
      </c>
      <c r="R477" s="66">
        <f t="shared" si="309"/>
        <v>2215.0297030221441</v>
      </c>
      <c r="S477" s="66">
        <f>IF(+$H359&lt;&gt;0,$H477*(+S359/$H359),0)</f>
        <v>4802.3652188902606</v>
      </c>
      <c r="T477" s="66">
        <f t="shared" si="309"/>
        <v>0</v>
      </c>
      <c r="U477" s="66">
        <f t="shared" si="309"/>
        <v>30198.715828362663</v>
      </c>
      <c r="V477" s="66">
        <f t="shared" si="309"/>
        <v>1397.1935201057872</v>
      </c>
      <c r="W477" s="27" t="str">
        <f t="shared" si="289"/>
        <v>OK</v>
      </c>
    </row>
    <row r="478" spans="1:23" x14ac:dyDescent="0.2">
      <c r="A478" s="3">
        <f t="shared" ref="A478:A495" si="310">+A477+1</f>
        <v>45</v>
      </c>
      <c r="B478" s="3" t="s">
        <v>190</v>
      </c>
      <c r="C478" s="3" t="s">
        <v>191</v>
      </c>
      <c r="D478" s="16" t="str">
        <f t="shared" si="301"/>
        <v>A588</v>
      </c>
      <c r="E478" s="4" t="s">
        <v>595</v>
      </c>
      <c r="F478" s="11"/>
      <c r="G478" s="11"/>
      <c r="H478" s="14">
        <f>'II-I TOTAL COMPANY'!K478</f>
        <v>10046718.577701386</v>
      </c>
      <c r="I478" s="66">
        <v>0</v>
      </c>
      <c r="J478" s="66">
        <f t="shared" si="302"/>
        <v>10046718.577701384</v>
      </c>
      <c r="K478" s="66">
        <f>IF(+$H360&lt;&gt;0,$H478*(+K360/$H360),0)</f>
        <v>5840721.4452937702</v>
      </c>
      <c r="L478" s="66">
        <f>IF(+$H360&lt;&gt;0,$H478*(+L360/$H360),0)</f>
        <v>243685.2469048397</v>
      </c>
      <c r="M478" s="9">
        <f t="shared" si="304"/>
        <v>2836318.3140802379</v>
      </c>
      <c r="N478" s="66">
        <f>IF(+$H360&lt;&gt;0,$H478*(+N360/$H360),0)</f>
        <v>370300.02592255792</v>
      </c>
      <c r="O478" s="66">
        <f>IF(+$H360&lt;&gt;0,$H478*(+O360/$H360),0)</f>
        <v>2466018.2881576801</v>
      </c>
      <c r="P478" s="9">
        <f t="shared" si="306"/>
        <v>612042.31040019274</v>
      </c>
      <c r="Q478" s="66">
        <f t="shared" si="309"/>
        <v>497894.65509988694</v>
      </c>
      <c r="R478" s="66">
        <f t="shared" si="309"/>
        <v>36030.528398935472</v>
      </c>
      <c r="S478" s="66">
        <f>IF(+$H360&lt;&gt;0,$H478*(+S360/$H360),0)</f>
        <v>78117.126901370328</v>
      </c>
      <c r="T478" s="66">
        <f t="shared" si="309"/>
        <v>0</v>
      </c>
      <c r="U478" s="66">
        <f t="shared" si="309"/>
        <v>491223.97175110271</v>
      </c>
      <c r="V478" s="66">
        <f t="shared" si="309"/>
        <v>22727.2892712432</v>
      </c>
      <c r="W478" s="27">
        <f t="shared" si="289"/>
        <v>1.862645149230957E-9</v>
      </c>
    </row>
    <row r="479" spans="1:23" x14ac:dyDescent="0.2">
      <c r="A479" s="3">
        <f t="shared" si="310"/>
        <v>46</v>
      </c>
      <c r="B479" s="3" t="s">
        <v>192</v>
      </c>
      <c r="C479" s="3" t="s">
        <v>141</v>
      </c>
      <c r="D479" s="16" t="str">
        <f t="shared" si="301"/>
        <v>A589</v>
      </c>
      <c r="E479" s="4" t="s">
        <v>595</v>
      </c>
      <c r="F479" s="11"/>
      <c r="G479" s="11"/>
      <c r="H479" s="14">
        <f>'II-I TOTAL COMPANY'!K479</f>
        <v>0</v>
      </c>
      <c r="I479" s="66">
        <v>0</v>
      </c>
      <c r="J479" s="66">
        <f t="shared" si="302"/>
        <v>0</v>
      </c>
      <c r="K479" s="66">
        <f>IF(+$H362&lt;&gt;0,$H479*(+K362/$H362),0)</f>
        <v>0</v>
      </c>
      <c r="L479" s="66">
        <f>IF(+$H362&lt;&gt;0,$H479*(+L362/$H362),0)</f>
        <v>0</v>
      </c>
      <c r="M479" s="9">
        <f t="shared" si="304"/>
        <v>0</v>
      </c>
      <c r="N479" s="66">
        <f>IF(+$H362&lt;&gt;0,$H479*(+N362/$H362),0)</f>
        <v>0</v>
      </c>
      <c r="O479" s="66">
        <f>IF(+$H362&lt;&gt;0,$H479*(+O362/$H362),0)</f>
        <v>0</v>
      </c>
      <c r="P479" s="9">
        <f t="shared" si="306"/>
        <v>0</v>
      </c>
      <c r="Q479" s="66">
        <f t="shared" ref="Q479:V479" si="311">IF(+$H362&lt;&gt;0,$H479*(+Q362/$H362),0)</f>
        <v>0</v>
      </c>
      <c r="R479" s="66">
        <f t="shared" si="311"/>
        <v>0</v>
      </c>
      <c r="S479" s="66">
        <f t="shared" si="311"/>
        <v>0</v>
      </c>
      <c r="T479" s="66">
        <f t="shared" si="311"/>
        <v>0</v>
      </c>
      <c r="U479" s="66">
        <f t="shared" si="311"/>
        <v>0</v>
      </c>
      <c r="V479" s="66">
        <f t="shared" si="311"/>
        <v>0</v>
      </c>
      <c r="W479" s="27" t="str">
        <f t="shared" si="289"/>
        <v>OK</v>
      </c>
    </row>
    <row r="480" spans="1:23" x14ac:dyDescent="0.2">
      <c r="A480" s="3">
        <f t="shared" si="310"/>
        <v>47</v>
      </c>
      <c r="B480" s="3"/>
      <c r="C480" s="3" t="s">
        <v>193</v>
      </c>
      <c r="D480" s="3"/>
      <c r="E480" s="4"/>
      <c r="F480" s="8"/>
      <c r="G480" s="8"/>
      <c r="H480" s="8">
        <f t="shared" ref="H480:V480" si="312">SUM(H470:H479)</f>
        <v>17939165.055433281</v>
      </c>
      <c r="I480" s="8">
        <f t="shared" si="312"/>
        <v>0</v>
      </c>
      <c r="J480" s="66">
        <f t="shared" si="302"/>
        <v>17939165.055433281</v>
      </c>
      <c r="K480" s="8">
        <f t="shared" si="312"/>
        <v>10341317.199366368</v>
      </c>
      <c r="L480" s="8">
        <f t="shared" si="312"/>
        <v>412936.72212262277</v>
      </c>
      <c r="M480" s="9">
        <f t="shared" si="304"/>
        <v>5131526.2916813046</v>
      </c>
      <c r="N480" s="8">
        <f t="shared" si="312"/>
        <v>675258.73100936087</v>
      </c>
      <c r="O480" s="8">
        <f t="shared" si="312"/>
        <v>4456267.5606719442</v>
      </c>
      <c r="P480" s="9">
        <f t="shared" si="306"/>
        <v>1272478.4640920043</v>
      </c>
      <c r="Q480" s="8">
        <f t="shared" si="312"/>
        <v>1035157.5622065405</v>
      </c>
      <c r="R480" s="8">
        <f t="shared" si="312"/>
        <v>74909.970533772954</v>
      </c>
      <c r="S480" s="8">
        <f>SUM(S470:S479)</f>
        <v>162410.93135169076</v>
      </c>
      <c r="T480" s="8">
        <f t="shared" si="312"/>
        <v>0</v>
      </c>
      <c r="U480" s="8">
        <f t="shared" si="312"/>
        <v>733654.76557260135</v>
      </c>
      <c r="V480" s="8">
        <f t="shared" si="312"/>
        <v>47251.612598378175</v>
      </c>
      <c r="W480" s="27">
        <f t="shared" si="289"/>
        <v>-3.7252902984619141E-9</v>
      </c>
    </row>
    <row r="481" spans="1:23" x14ac:dyDescent="0.2">
      <c r="A481" s="3">
        <f t="shared" si="310"/>
        <v>48</v>
      </c>
      <c r="B481" s="3" t="s">
        <v>142</v>
      </c>
      <c r="C481" s="3"/>
      <c r="D481" s="3"/>
      <c r="E481" s="4"/>
      <c r="F481" s="4"/>
      <c r="G481" s="4"/>
      <c r="H481" s="8"/>
      <c r="I481" s="8"/>
      <c r="J481" s="8"/>
      <c r="K481" s="8"/>
      <c r="L481" s="8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27" t="str">
        <f t="shared" si="289"/>
        <v>OK</v>
      </c>
    </row>
    <row r="482" spans="1:23" x14ac:dyDescent="0.2">
      <c r="A482" s="3">
        <f t="shared" si="310"/>
        <v>49</v>
      </c>
      <c r="B482" s="3" t="s">
        <v>194</v>
      </c>
      <c r="C482" s="3" t="s">
        <v>195</v>
      </c>
      <c r="D482" s="16" t="str">
        <f t="shared" ref="D482:D490" si="313">B482</f>
        <v>A590</v>
      </c>
      <c r="E482" s="4" t="s">
        <v>595</v>
      </c>
      <c r="F482" s="11"/>
      <c r="G482" s="11"/>
      <c r="H482" s="14">
        <f>'II-I TOTAL COMPANY'!K482</f>
        <v>121444.69303294248</v>
      </c>
      <c r="I482" s="66">
        <v>0</v>
      </c>
      <c r="J482" s="66">
        <f t="shared" si="302"/>
        <v>121444.69303294242</v>
      </c>
      <c r="K482" s="66">
        <f t="shared" ref="K482:L490" si="314">IF(+$H365&lt;&gt;0,$H482*(+K365/$H365),0)</f>
        <v>69643.027619785556</v>
      </c>
      <c r="L482" s="66">
        <f t="shared" si="314"/>
        <v>2430.8219924346226</v>
      </c>
      <c r="M482" s="9">
        <f t="shared" ref="M482:M491" si="315">SUM(N482:O482)</f>
        <v>36630.872226455584</v>
      </c>
      <c r="N482" s="66">
        <f t="shared" ref="N482:O490" si="316">IF(+$H365&lt;&gt;0,$H482*(+N365/$H365),0)</f>
        <v>4918.3784396103338</v>
      </c>
      <c r="O482" s="66">
        <f t="shared" si="316"/>
        <v>31712.493786845247</v>
      </c>
      <c r="P482" s="9">
        <f t="shared" ref="P482:P491" si="317">SUM(Q482:S482)</f>
        <v>10044.100544043178</v>
      </c>
      <c r="Q482" s="66">
        <f t="shared" ref="Q482:V490" si="318">IF(+$H365&lt;&gt;0,$H482*(+Q365/$H365),0)</f>
        <v>8170.8468371983163</v>
      </c>
      <c r="R482" s="66">
        <f t="shared" si="318"/>
        <v>591.28959508907337</v>
      </c>
      <c r="S482" s="66">
        <f t="shared" ref="S482:S490" si="319">IF(+$H365&lt;&gt;0,$H482*(+S365/$H365),0)</f>
        <v>1281.9641117557887</v>
      </c>
      <c r="T482" s="66">
        <f t="shared" si="318"/>
        <v>0</v>
      </c>
      <c r="U482" s="66">
        <f t="shared" si="318"/>
        <v>2322.8977778339395</v>
      </c>
      <c r="V482" s="66">
        <f t="shared" si="318"/>
        <v>372.97287238958927</v>
      </c>
      <c r="W482" s="27">
        <f t="shared" si="289"/>
        <v>-1.4551915228366852E-11</v>
      </c>
    </row>
    <row r="483" spans="1:23" x14ac:dyDescent="0.2">
      <c r="A483" s="3">
        <f t="shared" si="310"/>
        <v>50</v>
      </c>
      <c r="B483" s="3" t="s">
        <v>196</v>
      </c>
      <c r="C483" s="3" t="s">
        <v>143</v>
      </c>
      <c r="D483" s="16" t="str">
        <f t="shared" si="313"/>
        <v>A591</v>
      </c>
      <c r="E483" s="4" t="s">
        <v>595</v>
      </c>
      <c r="F483" s="11"/>
      <c r="G483" s="11"/>
      <c r="H483" s="14">
        <f>'II-I TOTAL COMPANY'!K483</f>
        <v>0</v>
      </c>
      <c r="I483" s="66">
        <v>0</v>
      </c>
      <c r="J483" s="66">
        <f t="shared" si="302"/>
        <v>0</v>
      </c>
      <c r="K483" s="66">
        <f t="shared" si="314"/>
        <v>0</v>
      </c>
      <c r="L483" s="66">
        <f t="shared" si="314"/>
        <v>0</v>
      </c>
      <c r="M483" s="9">
        <f t="shared" si="315"/>
        <v>0</v>
      </c>
      <c r="N483" s="66">
        <f t="shared" si="316"/>
        <v>0</v>
      </c>
      <c r="O483" s="66">
        <f t="shared" si="316"/>
        <v>0</v>
      </c>
      <c r="P483" s="9">
        <f t="shared" si="317"/>
        <v>0</v>
      </c>
      <c r="Q483" s="66">
        <f t="shared" si="318"/>
        <v>0</v>
      </c>
      <c r="R483" s="66">
        <f t="shared" si="318"/>
        <v>0</v>
      </c>
      <c r="S483" s="66">
        <f t="shared" si="319"/>
        <v>0</v>
      </c>
      <c r="T483" s="66">
        <f t="shared" si="318"/>
        <v>0</v>
      </c>
      <c r="U483" s="66">
        <f t="shared" si="318"/>
        <v>0</v>
      </c>
      <c r="V483" s="66">
        <f t="shared" si="318"/>
        <v>0</v>
      </c>
      <c r="W483" s="27" t="str">
        <f t="shared" si="289"/>
        <v>OK</v>
      </c>
    </row>
    <row r="484" spans="1:23" x14ac:dyDescent="0.2">
      <c r="A484" s="3">
        <f t="shared" si="310"/>
        <v>51</v>
      </c>
      <c r="B484" s="3" t="s">
        <v>197</v>
      </c>
      <c r="C484" s="3" t="s">
        <v>168</v>
      </c>
      <c r="D484" s="16" t="str">
        <f t="shared" si="313"/>
        <v>A592</v>
      </c>
      <c r="E484" s="4" t="s">
        <v>595</v>
      </c>
      <c r="F484" s="11"/>
      <c r="G484" s="11"/>
      <c r="H484" s="14">
        <f>'II-I TOTAL COMPANY'!K484</f>
        <v>253736.49789774086</v>
      </c>
      <c r="I484" s="66">
        <v>0</v>
      </c>
      <c r="J484" s="66">
        <f t="shared" si="302"/>
        <v>253736.49789774092</v>
      </c>
      <c r="K484" s="66">
        <f t="shared" si="314"/>
        <v>143520.68260313798</v>
      </c>
      <c r="L484" s="66">
        <f t="shared" si="314"/>
        <v>5006.5421694488768</v>
      </c>
      <c r="M484" s="9">
        <f t="shared" si="315"/>
        <v>75506.290884286951</v>
      </c>
      <c r="N484" s="66">
        <f t="shared" si="316"/>
        <v>10138.897852226721</v>
      </c>
      <c r="O484" s="66">
        <f t="shared" si="316"/>
        <v>65367.393032060223</v>
      </c>
      <c r="P484" s="9">
        <f t="shared" si="317"/>
        <v>25930.395417599702</v>
      </c>
      <c r="Q484" s="66">
        <f t="shared" si="318"/>
        <v>21094.301919433816</v>
      </c>
      <c r="R484" s="66">
        <f t="shared" si="318"/>
        <v>1526.5053291471888</v>
      </c>
      <c r="S484" s="66">
        <f t="shared" si="319"/>
        <v>3309.5881690186984</v>
      </c>
      <c r="T484" s="66">
        <f t="shared" si="318"/>
        <v>0</v>
      </c>
      <c r="U484" s="66">
        <f t="shared" si="318"/>
        <v>2809.6998013094462</v>
      </c>
      <c r="V484" s="66">
        <f t="shared" si="318"/>
        <v>962.8870219579544</v>
      </c>
      <c r="W484" s="27">
        <f t="shared" si="289"/>
        <v>5.8207660913467407E-11</v>
      </c>
    </row>
    <row r="485" spans="1:23" x14ac:dyDescent="0.2">
      <c r="A485" s="3">
        <f t="shared" si="310"/>
        <v>52</v>
      </c>
      <c r="B485" s="3" t="s">
        <v>198</v>
      </c>
      <c r="C485" s="3" t="s">
        <v>170</v>
      </c>
      <c r="D485" s="16" t="str">
        <f t="shared" si="313"/>
        <v>A593</v>
      </c>
      <c r="E485" s="4" t="s">
        <v>595</v>
      </c>
      <c r="F485" s="11"/>
      <c r="G485" s="11"/>
      <c r="H485" s="14">
        <f>'II-I TOTAL COMPANY'!K485</f>
        <v>24216684.38848288</v>
      </c>
      <c r="I485" s="66">
        <v>0</v>
      </c>
      <c r="J485" s="66">
        <f t="shared" si="302"/>
        <v>24216684.388482876</v>
      </c>
      <c r="K485" s="66">
        <f t="shared" si="314"/>
        <v>13966900.955003634</v>
      </c>
      <c r="L485" s="66">
        <f t="shared" si="314"/>
        <v>487218.1300941821</v>
      </c>
      <c r="M485" s="9">
        <f t="shared" si="315"/>
        <v>7347992.4087085668</v>
      </c>
      <c r="N485" s="66">
        <f t="shared" si="316"/>
        <v>986679.96505092946</v>
      </c>
      <c r="O485" s="66">
        <f t="shared" si="316"/>
        <v>6361312.4436576376</v>
      </c>
      <c r="P485" s="9">
        <f t="shared" si="317"/>
        <v>2064481.8319879018</v>
      </c>
      <c r="Q485" s="66">
        <f t="shared" si="318"/>
        <v>1679450.0187830075</v>
      </c>
      <c r="R485" s="66">
        <f t="shared" si="318"/>
        <v>121534.68806411295</v>
      </c>
      <c r="S485" s="66">
        <f t="shared" si="319"/>
        <v>263497.12514078122</v>
      </c>
      <c r="T485" s="66">
        <f t="shared" si="318"/>
        <v>0</v>
      </c>
      <c r="U485" s="66">
        <f t="shared" si="318"/>
        <v>273429.57214533491</v>
      </c>
      <c r="V485" s="66">
        <f t="shared" si="318"/>
        <v>76661.490543253065</v>
      </c>
      <c r="W485" s="27">
        <f t="shared" si="289"/>
        <v>-3.7252902984619141E-9</v>
      </c>
    </row>
    <row r="486" spans="1:23" x14ac:dyDescent="0.2">
      <c r="A486" s="3">
        <f t="shared" si="310"/>
        <v>53</v>
      </c>
      <c r="B486" s="3" t="s">
        <v>199</v>
      </c>
      <c r="C486" s="3" t="s">
        <v>172</v>
      </c>
      <c r="D486" s="16" t="str">
        <f t="shared" si="313"/>
        <v>A594</v>
      </c>
      <c r="E486" s="4" t="s">
        <v>595</v>
      </c>
      <c r="F486" s="11"/>
      <c r="G486" s="11"/>
      <c r="H486" s="14">
        <f>'II-I TOTAL COMPANY'!K486</f>
        <v>138093.55144080854</v>
      </c>
      <c r="I486" s="66">
        <v>0</v>
      </c>
      <c r="J486" s="66">
        <f t="shared" si="302"/>
        <v>138093.55144080851</v>
      </c>
      <c r="K486" s="66">
        <f t="shared" si="314"/>
        <v>81822.132608975764</v>
      </c>
      <c r="L486" s="66">
        <f t="shared" si="314"/>
        <v>2854.264276556044</v>
      </c>
      <c r="M486" s="9">
        <f t="shared" si="315"/>
        <v>43046.658039034053</v>
      </c>
      <c r="N486" s="66">
        <f t="shared" si="316"/>
        <v>5780.2557061947546</v>
      </c>
      <c r="O486" s="66">
        <f t="shared" si="316"/>
        <v>37266.402332839301</v>
      </c>
      <c r="P486" s="9">
        <f t="shared" si="317"/>
        <v>8454.713907964966</v>
      </c>
      <c r="Q486" s="66">
        <f t="shared" si="318"/>
        <v>6877.8853906716904</v>
      </c>
      <c r="R486" s="66">
        <f t="shared" si="318"/>
        <v>497.72344883578575</v>
      </c>
      <c r="S486" s="66">
        <f t="shared" si="319"/>
        <v>1079.1050684574896</v>
      </c>
      <c r="T486" s="66">
        <f t="shared" si="318"/>
        <v>0</v>
      </c>
      <c r="U486" s="66">
        <f t="shared" si="318"/>
        <v>1601.8292664469802</v>
      </c>
      <c r="V486" s="66">
        <f t="shared" si="318"/>
        <v>313.95334183069951</v>
      </c>
      <c r="W486" s="27">
        <f t="shared" si="289"/>
        <v>-2.9103830456733704E-11</v>
      </c>
    </row>
    <row r="487" spans="1:23" x14ac:dyDescent="0.2">
      <c r="A487" s="3">
        <f t="shared" si="310"/>
        <v>54</v>
      </c>
      <c r="B487" s="3" t="s">
        <v>200</v>
      </c>
      <c r="C487" s="3" t="s">
        <v>201</v>
      </c>
      <c r="D487" s="16" t="str">
        <f t="shared" si="313"/>
        <v>A595</v>
      </c>
      <c r="E487" s="4" t="s">
        <v>595</v>
      </c>
      <c r="F487" s="11"/>
      <c r="G487" s="11"/>
      <c r="H487" s="14">
        <f>'II-I TOTAL COMPANY'!K487</f>
        <v>632344.21496128733</v>
      </c>
      <c r="I487" s="66">
        <v>0</v>
      </c>
      <c r="J487" s="66">
        <f t="shared" si="302"/>
        <v>632344.21496128722</v>
      </c>
      <c r="K487" s="66">
        <f t="shared" si="314"/>
        <v>395648.82701271056</v>
      </c>
      <c r="L487" s="66">
        <f t="shared" si="314"/>
        <v>13801.721820188792</v>
      </c>
      <c r="M487" s="9">
        <f t="shared" si="315"/>
        <v>208151.01265269119</v>
      </c>
      <c r="N487" s="66">
        <f t="shared" si="316"/>
        <v>27950.278452392795</v>
      </c>
      <c r="O487" s="66">
        <f t="shared" si="316"/>
        <v>180200.73420029841</v>
      </c>
      <c r="P487" s="9">
        <f t="shared" si="317"/>
        <v>6746.5267469608625</v>
      </c>
      <c r="Q487" s="66">
        <f t="shared" si="318"/>
        <v>5488.2800595989365</v>
      </c>
      <c r="R487" s="66">
        <f t="shared" si="318"/>
        <v>397.16359379077744</v>
      </c>
      <c r="S487" s="66">
        <f t="shared" si="319"/>
        <v>861.08309357114808</v>
      </c>
      <c r="T487" s="66">
        <f t="shared" si="318"/>
        <v>0</v>
      </c>
      <c r="U487" s="66">
        <f t="shared" si="318"/>
        <v>7745.6043998889318</v>
      </c>
      <c r="V487" s="66">
        <f t="shared" si="318"/>
        <v>250.52232884700675</v>
      </c>
      <c r="W487" s="27">
        <f t="shared" si="289"/>
        <v>-1.1641532182693481E-10</v>
      </c>
    </row>
    <row r="488" spans="1:23" x14ac:dyDescent="0.2">
      <c r="A488" s="3">
        <f t="shared" si="310"/>
        <v>55</v>
      </c>
      <c r="B488" s="3" t="s">
        <v>202</v>
      </c>
      <c r="C488" s="3" t="s">
        <v>203</v>
      </c>
      <c r="D488" s="16" t="str">
        <f t="shared" si="313"/>
        <v>A596</v>
      </c>
      <c r="E488" s="4" t="s">
        <v>595</v>
      </c>
      <c r="F488" s="11"/>
      <c r="G488" s="11"/>
      <c r="H488" s="14">
        <f>'II-I TOTAL COMPANY'!K488</f>
        <v>198783.2452518057</v>
      </c>
      <c r="I488" s="66">
        <v>0</v>
      </c>
      <c r="J488" s="66">
        <f t="shared" si="302"/>
        <v>198783.2452518057</v>
      </c>
      <c r="K488" s="66">
        <f t="shared" si="314"/>
        <v>0</v>
      </c>
      <c r="L488" s="66">
        <f t="shared" si="314"/>
        <v>0</v>
      </c>
      <c r="M488" s="9">
        <f t="shared" si="315"/>
        <v>0</v>
      </c>
      <c r="N488" s="66">
        <f t="shared" si="316"/>
        <v>0</v>
      </c>
      <c r="O488" s="66">
        <f t="shared" si="316"/>
        <v>0</v>
      </c>
      <c r="P488" s="9">
        <f t="shared" si="317"/>
        <v>0</v>
      </c>
      <c r="Q488" s="66">
        <f t="shared" si="318"/>
        <v>0</v>
      </c>
      <c r="R488" s="66">
        <f t="shared" si="318"/>
        <v>0</v>
      </c>
      <c r="S488" s="66">
        <f t="shared" si="319"/>
        <v>0</v>
      </c>
      <c r="T488" s="66">
        <f t="shared" si="318"/>
        <v>0</v>
      </c>
      <c r="U488" s="66">
        <f t="shared" si="318"/>
        <v>198783.2452518057</v>
      </c>
      <c r="V488" s="66">
        <f t="shared" si="318"/>
        <v>0</v>
      </c>
      <c r="W488" s="27" t="str">
        <f t="shared" si="289"/>
        <v>OK</v>
      </c>
    </row>
    <row r="489" spans="1:23" x14ac:dyDescent="0.2">
      <c r="A489" s="3">
        <f t="shared" si="310"/>
        <v>56</v>
      </c>
      <c r="B489" s="3" t="s">
        <v>204</v>
      </c>
      <c r="C489" s="3" t="s">
        <v>205</v>
      </c>
      <c r="D489" s="16" t="str">
        <f t="shared" si="313"/>
        <v>A597</v>
      </c>
      <c r="E489" s="4" t="s">
        <v>595</v>
      </c>
      <c r="F489" s="11"/>
      <c r="G489" s="11"/>
      <c r="H489" s="14">
        <f>'II-I TOTAL COMPANY'!K489</f>
        <v>0</v>
      </c>
      <c r="I489" s="66">
        <v>0</v>
      </c>
      <c r="J489" s="66">
        <f t="shared" si="302"/>
        <v>0</v>
      </c>
      <c r="K489" s="66">
        <f t="shared" si="314"/>
        <v>0</v>
      </c>
      <c r="L489" s="66">
        <f t="shared" si="314"/>
        <v>0</v>
      </c>
      <c r="M489" s="9">
        <f t="shared" si="315"/>
        <v>0</v>
      </c>
      <c r="N489" s="66">
        <f t="shared" si="316"/>
        <v>0</v>
      </c>
      <c r="O489" s="66">
        <f t="shared" si="316"/>
        <v>0</v>
      </c>
      <c r="P489" s="9">
        <f t="shared" si="317"/>
        <v>0</v>
      </c>
      <c r="Q489" s="66">
        <f t="shared" si="318"/>
        <v>0</v>
      </c>
      <c r="R489" s="66">
        <f t="shared" si="318"/>
        <v>0</v>
      </c>
      <c r="S489" s="66">
        <f t="shared" si="319"/>
        <v>0</v>
      </c>
      <c r="T489" s="66">
        <f t="shared" si="318"/>
        <v>0</v>
      </c>
      <c r="U489" s="66">
        <f t="shared" si="318"/>
        <v>0</v>
      </c>
      <c r="V489" s="66">
        <f t="shared" si="318"/>
        <v>0</v>
      </c>
      <c r="W489" s="27" t="str">
        <f t="shared" si="289"/>
        <v>OK</v>
      </c>
    </row>
    <row r="490" spans="1:23" x14ac:dyDescent="0.2">
      <c r="A490" s="3">
        <f t="shared" si="310"/>
        <v>57</v>
      </c>
      <c r="B490" s="3" t="s">
        <v>309</v>
      </c>
      <c r="C490" s="3" t="s">
        <v>206</v>
      </c>
      <c r="D490" s="16" t="str">
        <f t="shared" si="313"/>
        <v>A598</v>
      </c>
      <c r="E490" s="4" t="s">
        <v>595</v>
      </c>
      <c r="F490" s="11"/>
      <c r="G490" s="11"/>
      <c r="H490" s="14">
        <f>'II-I TOTAL COMPANY'!K490</f>
        <v>74557.807734353133</v>
      </c>
      <c r="I490" s="66">
        <v>0</v>
      </c>
      <c r="J490" s="66">
        <f t="shared" si="302"/>
        <v>74557.807734353148</v>
      </c>
      <c r="K490" s="66">
        <f t="shared" si="314"/>
        <v>43344.638667858322</v>
      </c>
      <c r="L490" s="66">
        <f t="shared" si="314"/>
        <v>1808.4151204110128</v>
      </c>
      <c r="M490" s="9">
        <f t="shared" si="315"/>
        <v>21048.631341577973</v>
      </c>
      <c r="N490" s="66">
        <f t="shared" si="316"/>
        <v>2748.037373918035</v>
      </c>
      <c r="O490" s="66">
        <f t="shared" si="316"/>
        <v>18300.593967659937</v>
      </c>
      <c r="P490" s="9">
        <f t="shared" si="317"/>
        <v>4542.0335556514838</v>
      </c>
      <c r="Q490" s="66">
        <f t="shared" si="318"/>
        <v>3694.9312036361084</v>
      </c>
      <c r="R490" s="66">
        <f t="shared" si="318"/>
        <v>267.38652906007843</v>
      </c>
      <c r="S490" s="66">
        <f t="shared" si="319"/>
        <v>579.71582295529743</v>
      </c>
      <c r="T490" s="66">
        <f t="shared" si="318"/>
        <v>0</v>
      </c>
      <c r="U490" s="66">
        <f t="shared" si="318"/>
        <v>3645.4273260537034</v>
      </c>
      <c r="V490" s="66">
        <f t="shared" si="318"/>
        <v>168.66172280064654</v>
      </c>
      <c r="W490" s="27" t="str">
        <f t="shared" si="289"/>
        <v>OK</v>
      </c>
    </row>
    <row r="491" spans="1:23" x14ac:dyDescent="0.2">
      <c r="A491" s="3">
        <f t="shared" si="310"/>
        <v>58</v>
      </c>
      <c r="B491" s="3"/>
      <c r="C491" s="3" t="s">
        <v>280</v>
      </c>
      <c r="D491" s="3"/>
      <c r="E491" s="4"/>
      <c r="F491" s="8"/>
      <c r="G491" s="8"/>
      <c r="H491" s="8">
        <f t="shared" ref="H491:V491" si="320">SUM(H482:H490)</f>
        <v>25635644.398801815</v>
      </c>
      <c r="I491" s="8">
        <f t="shared" si="320"/>
        <v>0</v>
      </c>
      <c r="J491" s="66">
        <f t="shared" si="302"/>
        <v>25635644.398801811</v>
      </c>
      <c r="K491" s="8">
        <f t="shared" si="320"/>
        <v>14700880.263516104</v>
      </c>
      <c r="L491" s="8">
        <f t="shared" si="320"/>
        <v>513119.89547322143</v>
      </c>
      <c r="M491" s="9">
        <f t="shared" si="315"/>
        <v>7732375.8738526134</v>
      </c>
      <c r="N491" s="8">
        <f t="shared" si="320"/>
        <v>1038215.8128752721</v>
      </c>
      <c r="O491" s="8">
        <f t="shared" si="320"/>
        <v>6694160.0609773416</v>
      </c>
      <c r="P491" s="9">
        <f t="shared" si="317"/>
        <v>2120199.6021601218</v>
      </c>
      <c r="Q491" s="8">
        <f t="shared" si="320"/>
        <v>1724776.2641935463</v>
      </c>
      <c r="R491" s="8">
        <f t="shared" si="320"/>
        <v>124814.75656003585</v>
      </c>
      <c r="S491" s="8">
        <f>SUM(S482:S490)</f>
        <v>270608.58140653966</v>
      </c>
      <c r="T491" s="8">
        <f t="shared" si="320"/>
        <v>0</v>
      </c>
      <c r="U491" s="8">
        <f t="shared" si="320"/>
        <v>490338.27596867364</v>
      </c>
      <c r="V491" s="8">
        <f t="shared" si="320"/>
        <v>78730.48783107895</v>
      </c>
      <c r="W491" s="27" t="str">
        <f t="shared" si="289"/>
        <v>OK</v>
      </c>
    </row>
    <row r="492" spans="1:23" x14ac:dyDescent="0.2">
      <c r="A492" s="3">
        <f t="shared" si="310"/>
        <v>59</v>
      </c>
      <c r="B492" s="3"/>
      <c r="C492" s="3"/>
      <c r="D492" s="3"/>
      <c r="E492" s="4"/>
      <c r="F492" s="8"/>
      <c r="G492" s="8"/>
      <c r="H492" s="8"/>
      <c r="I492" s="8"/>
      <c r="J492" s="8"/>
      <c r="K492" s="8"/>
      <c r="L492" s="8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27" t="str">
        <f t="shared" si="289"/>
        <v>OK</v>
      </c>
    </row>
    <row r="493" spans="1:23" x14ac:dyDescent="0.2">
      <c r="A493" s="3">
        <f t="shared" si="310"/>
        <v>60</v>
      </c>
      <c r="B493" s="3"/>
      <c r="C493" s="3" t="s">
        <v>281</v>
      </c>
      <c r="D493" s="3"/>
      <c r="E493" s="4"/>
      <c r="F493" s="8"/>
      <c r="G493" s="8"/>
      <c r="H493" s="8">
        <f t="shared" ref="H493:V493" si="321">H480+H491</f>
        <v>43574809.454235092</v>
      </c>
      <c r="I493" s="8">
        <f t="shared" si="321"/>
        <v>0</v>
      </c>
      <c r="J493" s="66">
        <f t="shared" si="302"/>
        <v>43574809.454235107</v>
      </c>
      <c r="K493" s="8">
        <f t="shared" si="321"/>
        <v>25042197.462882474</v>
      </c>
      <c r="L493" s="8">
        <f>L480+L491</f>
        <v>926056.6175958442</v>
      </c>
      <c r="M493" s="9">
        <f>SUM(N493:O493)</f>
        <v>12863902.165533919</v>
      </c>
      <c r="N493" s="8">
        <f t="shared" si="321"/>
        <v>1713474.5438846331</v>
      </c>
      <c r="O493" s="8">
        <f t="shared" si="321"/>
        <v>11150427.621649286</v>
      </c>
      <c r="P493" s="9">
        <f>SUM(Q493:S493)</f>
        <v>3392678.0662521259</v>
      </c>
      <c r="Q493" s="8">
        <f t="shared" si="321"/>
        <v>2759933.8264000867</v>
      </c>
      <c r="R493" s="8">
        <f t="shared" si="321"/>
        <v>199724.72709380882</v>
      </c>
      <c r="S493" s="8">
        <f>S480+S491</f>
        <v>433019.51275823044</v>
      </c>
      <c r="T493" s="8">
        <f t="shared" si="321"/>
        <v>0</v>
      </c>
      <c r="U493" s="8">
        <f t="shared" si="321"/>
        <v>1223993.0415412751</v>
      </c>
      <c r="V493" s="8">
        <f t="shared" si="321"/>
        <v>125982.10042945712</v>
      </c>
      <c r="W493" s="27">
        <f t="shared" si="289"/>
        <v>1.4901161193847656E-8</v>
      </c>
    </row>
    <row r="494" spans="1:23" x14ac:dyDescent="0.2">
      <c r="A494" s="3">
        <f t="shared" si="310"/>
        <v>61</v>
      </c>
      <c r="B494" s="3"/>
      <c r="C494" s="3"/>
      <c r="D494" s="3"/>
      <c r="E494" s="4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 t="str">
        <f t="shared" si="289"/>
        <v>OK</v>
      </c>
    </row>
    <row r="495" spans="1:23" x14ac:dyDescent="0.2">
      <c r="A495" s="3">
        <f t="shared" si="310"/>
        <v>62</v>
      </c>
      <c r="B495" s="3"/>
      <c r="C495" s="3" t="s">
        <v>211</v>
      </c>
      <c r="D495" s="3"/>
      <c r="E495" s="4"/>
      <c r="F495" s="8"/>
      <c r="G495" s="8"/>
      <c r="H495" s="8">
        <f t="shared" ref="H495:V495" si="322">H439+H465+H493</f>
        <v>43574809.454235092</v>
      </c>
      <c r="I495" s="8">
        <f t="shared" si="322"/>
        <v>0</v>
      </c>
      <c r="J495" s="66">
        <f t="shared" si="302"/>
        <v>43574809.454235107</v>
      </c>
      <c r="K495" s="8">
        <f t="shared" si="322"/>
        <v>25042197.462882474</v>
      </c>
      <c r="L495" s="8">
        <f>L439+L465+L493</f>
        <v>926056.6175958442</v>
      </c>
      <c r="M495" s="9">
        <f>SUM(N495:O495)</f>
        <v>12863902.165533919</v>
      </c>
      <c r="N495" s="8">
        <f t="shared" si="322"/>
        <v>1713474.5438846331</v>
      </c>
      <c r="O495" s="8">
        <f t="shared" si="322"/>
        <v>11150427.621649286</v>
      </c>
      <c r="P495" s="9">
        <f>SUM(Q495:S495)</f>
        <v>3392678.0662521259</v>
      </c>
      <c r="Q495" s="8">
        <f t="shared" si="322"/>
        <v>2759933.8264000867</v>
      </c>
      <c r="R495" s="8">
        <f t="shared" si="322"/>
        <v>199724.72709380882</v>
      </c>
      <c r="S495" s="8">
        <f>S439+S465+S493</f>
        <v>433019.51275823044</v>
      </c>
      <c r="T495" s="8">
        <f t="shared" si="322"/>
        <v>0</v>
      </c>
      <c r="U495" s="8">
        <f t="shared" si="322"/>
        <v>1223993.0415412751</v>
      </c>
      <c r="V495" s="8">
        <f t="shared" si="322"/>
        <v>125982.10042945712</v>
      </c>
      <c r="W495" s="27">
        <f t="shared" si="289"/>
        <v>1.4901161193847656E-8</v>
      </c>
    </row>
    <row r="496" spans="1:23" x14ac:dyDescent="0.2">
      <c r="A496" s="3"/>
      <c r="B496" s="7" t="s">
        <v>274</v>
      </c>
      <c r="C496" s="3"/>
      <c r="D496" s="3"/>
      <c r="E496" s="4"/>
      <c r="F496" s="4"/>
      <c r="G496" s="4"/>
      <c r="H496" s="8"/>
      <c r="I496" s="8"/>
      <c r="J496" s="8"/>
      <c r="K496" s="8"/>
      <c r="L496" s="8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27" t="str">
        <f t="shared" si="289"/>
        <v>OK</v>
      </c>
    </row>
    <row r="497" spans="1:23" x14ac:dyDescent="0.2">
      <c r="A497" s="3"/>
      <c r="B497" s="3"/>
      <c r="C497" s="3"/>
      <c r="D497" s="3"/>
      <c r="E497" s="4"/>
      <c r="F497" s="4"/>
      <c r="G497" s="4"/>
      <c r="H497" s="8"/>
      <c r="I497" s="8"/>
      <c r="J497" s="8"/>
      <c r="K497" s="8"/>
      <c r="L497" s="8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27" t="str">
        <f t="shared" si="289"/>
        <v>OK</v>
      </c>
    </row>
    <row r="498" spans="1:23" x14ac:dyDescent="0.2">
      <c r="A498" s="3">
        <v>1</v>
      </c>
      <c r="B498" s="3" t="s">
        <v>282</v>
      </c>
      <c r="C498" s="3"/>
      <c r="D498" s="3"/>
      <c r="E498" s="4"/>
      <c r="F498" s="4"/>
      <c r="G498" s="4"/>
      <c r="H498" s="8"/>
      <c r="I498" s="8"/>
      <c r="J498" s="8"/>
      <c r="K498" s="8"/>
      <c r="L498" s="8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27" t="str">
        <f t="shared" si="289"/>
        <v>OK</v>
      </c>
    </row>
    <row r="499" spans="1:23" x14ac:dyDescent="0.2">
      <c r="A499" s="3">
        <f t="shared" ref="A499:A525" si="323">+A498+1</f>
        <v>2</v>
      </c>
      <c r="B499" s="3"/>
      <c r="C499" s="3" t="s">
        <v>213</v>
      </c>
      <c r="D499" s="3"/>
      <c r="E499" s="4"/>
      <c r="F499" s="4"/>
      <c r="G499" s="4"/>
      <c r="H499" s="8"/>
      <c r="I499" s="8"/>
      <c r="J499" s="8"/>
      <c r="K499" s="8"/>
      <c r="L499" s="8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27" t="str">
        <f t="shared" si="289"/>
        <v>OK</v>
      </c>
    </row>
    <row r="500" spans="1:23" x14ac:dyDescent="0.2">
      <c r="A500" s="3">
        <f t="shared" si="323"/>
        <v>3</v>
      </c>
      <c r="B500" s="3" t="s">
        <v>214</v>
      </c>
      <c r="C500" s="3" t="s">
        <v>215</v>
      </c>
      <c r="D500" s="16" t="str">
        <f t="shared" ref="D500:D505" si="324">B500</f>
        <v>A901</v>
      </c>
      <c r="E500" s="4" t="s">
        <v>595</v>
      </c>
      <c r="F500" s="11"/>
      <c r="G500" s="11"/>
      <c r="H500" s="14">
        <f>'II-I TOTAL COMPANY'!K500</f>
        <v>0</v>
      </c>
      <c r="I500" s="66">
        <v>0</v>
      </c>
      <c r="J500" s="66">
        <f>SUM(K500:V500)-M500-P500</f>
        <v>0</v>
      </c>
      <c r="K500" s="66">
        <f t="shared" ref="K500:L505" si="325">IF(+$H382&lt;&gt;0,$H500*(+K382/$H382),0)</f>
        <v>0</v>
      </c>
      <c r="L500" s="66">
        <f t="shared" si="325"/>
        <v>0</v>
      </c>
      <c r="M500" s="9">
        <f t="shared" ref="M500:M506" si="326">SUM(N500:O500)</f>
        <v>0</v>
      </c>
      <c r="N500" s="66">
        <f t="shared" ref="N500:O505" si="327">IF(+$H382&lt;&gt;0,$H500*(+N382/$H382),0)</f>
        <v>0</v>
      </c>
      <c r="O500" s="66">
        <f t="shared" si="327"/>
        <v>0</v>
      </c>
      <c r="P500" s="9">
        <f t="shared" ref="P500:P506" si="328">SUM(Q500:S500)</f>
        <v>0</v>
      </c>
      <c r="Q500" s="66">
        <f t="shared" ref="Q500:V505" si="329">IF(+$H382&lt;&gt;0,$H500*(+Q382/$H382),0)</f>
        <v>0</v>
      </c>
      <c r="R500" s="66">
        <f t="shared" si="329"/>
        <v>0</v>
      </c>
      <c r="S500" s="66">
        <f t="shared" ref="S500:S505" si="330">IF(+$H382&lt;&gt;0,$H500*(+S382/$H382),0)</f>
        <v>0</v>
      </c>
      <c r="T500" s="66">
        <f t="shared" si="329"/>
        <v>0</v>
      </c>
      <c r="U500" s="66">
        <f t="shared" si="329"/>
        <v>0</v>
      </c>
      <c r="V500" s="66">
        <f t="shared" si="329"/>
        <v>0</v>
      </c>
      <c r="W500" s="27" t="str">
        <f t="shared" si="289"/>
        <v>OK</v>
      </c>
    </row>
    <row r="501" spans="1:23" x14ac:dyDescent="0.2">
      <c r="A501" s="3">
        <f t="shared" si="323"/>
        <v>4</v>
      </c>
      <c r="B501" s="3" t="s">
        <v>216</v>
      </c>
      <c r="C501" s="3" t="s">
        <v>217</v>
      </c>
      <c r="D501" s="16" t="str">
        <f t="shared" si="324"/>
        <v>A902</v>
      </c>
      <c r="E501" s="4" t="s">
        <v>595</v>
      </c>
      <c r="F501" s="11"/>
      <c r="G501" s="11"/>
      <c r="H501" s="14">
        <f>'II-I TOTAL COMPANY'!K501</f>
        <v>0</v>
      </c>
      <c r="I501" s="66">
        <v>0</v>
      </c>
      <c r="J501" s="66">
        <f t="shared" ref="J501:J506" si="331">SUM(K501:V501)-M501-P501</f>
        <v>0</v>
      </c>
      <c r="K501" s="66">
        <f t="shared" si="325"/>
        <v>0</v>
      </c>
      <c r="L501" s="66">
        <f t="shared" si="325"/>
        <v>0</v>
      </c>
      <c r="M501" s="9">
        <f t="shared" si="326"/>
        <v>0</v>
      </c>
      <c r="N501" s="66">
        <f t="shared" si="327"/>
        <v>0</v>
      </c>
      <c r="O501" s="66">
        <f t="shared" si="327"/>
        <v>0</v>
      </c>
      <c r="P501" s="9">
        <f t="shared" si="328"/>
        <v>0</v>
      </c>
      <c r="Q501" s="66">
        <f t="shared" si="329"/>
        <v>0</v>
      </c>
      <c r="R501" s="66">
        <f t="shared" si="329"/>
        <v>0</v>
      </c>
      <c r="S501" s="66">
        <f t="shared" si="330"/>
        <v>0</v>
      </c>
      <c r="T501" s="66">
        <f t="shared" si="329"/>
        <v>0</v>
      </c>
      <c r="U501" s="66">
        <f t="shared" si="329"/>
        <v>0</v>
      </c>
      <c r="V501" s="66">
        <f t="shared" si="329"/>
        <v>0</v>
      </c>
      <c r="W501" s="27" t="str">
        <f t="shared" si="289"/>
        <v>OK</v>
      </c>
    </row>
    <row r="502" spans="1:23" x14ac:dyDescent="0.2">
      <c r="A502" s="3">
        <f t="shared" si="323"/>
        <v>5</v>
      </c>
      <c r="B502" s="3" t="s">
        <v>218</v>
      </c>
      <c r="C502" s="3" t="s">
        <v>219</v>
      </c>
      <c r="D502" s="16" t="str">
        <f t="shared" si="324"/>
        <v>A903</v>
      </c>
      <c r="E502" s="4" t="s">
        <v>595</v>
      </c>
      <c r="F502" s="11"/>
      <c r="G502" s="11"/>
      <c r="H502" s="14">
        <f>'II-I TOTAL COMPANY'!K502</f>
        <v>0</v>
      </c>
      <c r="I502" s="66">
        <v>0</v>
      </c>
      <c r="J502" s="66">
        <f t="shared" si="331"/>
        <v>0</v>
      </c>
      <c r="K502" s="66">
        <f t="shared" si="325"/>
        <v>0</v>
      </c>
      <c r="L502" s="66">
        <f t="shared" si="325"/>
        <v>0</v>
      </c>
      <c r="M502" s="9">
        <f t="shared" si="326"/>
        <v>0</v>
      </c>
      <c r="N502" s="66">
        <f t="shared" si="327"/>
        <v>0</v>
      </c>
      <c r="O502" s="66">
        <f t="shared" si="327"/>
        <v>0</v>
      </c>
      <c r="P502" s="9">
        <f t="shared" si="328"/>
        <v>0</v>
      </c>
      <c r="Q502" s="66">
        <f t="shared" si="329"/>
        <v>0</v>
      </c>
      <c r="R502" s="66">
        <f t="shared" si="329"/>
        <v>0</v>
      </c>
      <c r="S502" s="66">
        <f t="shared" si="330"/>
        <v>0</v>
      </c>
      <c r="T502" s="66">
        <f t="shared" si="329"/>
        <v>0</v>
      </c>
      <c r="U502" s="66">
        <f t="shared" si="329"/>
        <v>0</v>
      </c>
      <c r="V502" s="66">
        <f t="shared" si="329"/>
        <v>0</v>
      </c>
      <c r="W502" s="27" t="str">
        <f t="shared" si="289"/>
        <v>OK</v>
      </c>
    </row>
    <row r="503" spans="1:23" x14ac:dyDescent="0.2">
      <c r="A503" s="3">
        <f t="shared" si="323"/>
        <v>6</v>
      </c>
      <c r="B503" s="3" t="s">
        <v>218</v>
      </c>
      <c r="C503" s="3" t="s">
        <v>219</v>
      </c>
      <c r="D503" s="16" t="str">
        <f t="shared" si="324"/>
        <v>A903</v>
      </c>
      <c r="E503" s="4" t="s">
        <v>595</v>
      </c>
      <c r="F503" s="11"/>
      <c r="G503" s="11"/>
      <c r="H503" s="14">
        <f>'II-I TOTAL COMPANY'!K503</f>
        <v>0</v>
      </c>
      <c r="I503" s="66">
        <v>0</v>
      </c>
      <c r="J503" s="66">
        <f t="shared" si="331"/>
        <v>0</v>
      </c>
      <c r="K503" s="66">
        <f t="shared" si="325"/>
        <v>0</v>
      </c>
      <c r="L503" s="66">
        <f t="shared" si="325"/>
        <v>0</v>
      </c>
      <c r="M503" s="9">
        <f t="shared" si="326"/>
        <v>0</v>
      </c>
      <c r="N503" s="66">
        <f t="shared" si="327"/>
        <v>0</v>
      </c>
      <c r="O503" s="66">
        <f t="shared" si="327"/>
        <v>0</v>
      </c>
      <c r="P503" s="9">
        <f t="shared" si="328"/>
        <v>0</v>
      </c>
      <c r="Q503" s="66">
        <f t="shared" si="329"/>
        <v>0</v>
      </c>
      <c r="R503" s="66">
        <f t="shared" si="329"/>
        <v>0</v>
      </c>
      <c r="S503" s="66">
        <f t="shared" si="330"/>
        <v>0</v>
      </c>
      <c r="T503" s="66">
        <f t="shared" si="329"/>
        <v>0</v>
      </c>
      <c r="U503" s="66">
        <f t="shared" si="329"/>
        <v>0</v>
      </c>
      <c r="V503" s="66">
        <f t="shared" si="329"/>
        <v>0</v>
      </c>
      <c r="W503" s="27" t="str">
        <f t="shared" si="289"/>
        <v>OK</v>
      </c>
    </row>
    <row r="504" spans="1:23" x14ac:dyDescent="0.2">
      <c r="A504" s="3">
        <f t="shared" si="323"/>
        <v>7</v>
      </c>
      <c r="B504" s="3" t="s">
        <v>220</v>
      </c>
      <c r="C504" s="3" t="s">
        <v>221</v>
      </c>
      <c r="D504" s="16" t="str">
        <f t="shared" si="324"/>
        <v>A904</v>
      </c>
      <c r="E504" s="4" t="s">
        <v>595</v>
      </c>
      <c r="F504" s="11"/>
      <c r="G504" s="11"/>
      <c r="H504" s="14">
        <f>'II-I TOTAL COMPANY'!K504</f>
        <v>14317.16</v>
      </c>
      <c r="I504" s="66">
        <v>0</v>
      </c>
      <c r="J504" s="66">
        <f t="shared" si="331"/>
        <v>14317.159999999998</v>
      </c>
      <c r="K504" s="66">
        <f t="shared" si="325"/>
        <v>7767.4938411614276</v>
      </c>
      <c r="L504" s="66">
        <f t="shared" si="325"/>
        <v>400.91585678821542</v>
      </c>
      <c r="M504" s="9">
        <f t="shared" si="326"/>
        <v>4335.4126513882702</v>
      </c>
      <c r="N504" s="66">
        <f t="shared" si="327"/>
        <v>499.58005501086143</v>
      </c>
      <c r="O504" s="66">
        <f t="shared" si="327"/>
        <v>3835.8325963774091</v>
      </c>
      <c r="P504" s="9">
        <f t="shared" si="328"/>
        <v>967.26443805473434</v>
      </c>
      <c r="Q504" s="66">
        <f t="shared" si="329"/>
        <v>714.69076471873348</v>
      </c>
      <c r="R504" s="66">
        <f t="shared" si="329"/>
        <v>65.257722828287413</v>
      </c>
      <c r="S504" s="66">
        <f t="shared" si="330"/>
        <v>187.31595050771338</v>
      </c>
      <c r="T504" s="66">
        <f t="shared" si="329"/>
        <v>234.86709074891291</v>
      </c>
      <c r="U504" s="66">
        <f t="shared" si="329"/>
        <v>611.2060935388871</v>
      </c>
      <c r="V504" s="66">
        <f t="shared" si="329"/>
        <v>2.8319552476507344E-5</v>
      </c>
      <c r="W504" s="27">
        <f t="shared" si="289"/>
        <v>-1.8189894035458565E-12</v>
      </c>
    </row>
    <row r="505" spans="1:23" x14ac:dyDescent="0.2">
      <c r="A505" s="3">
        <f t="shared" si="323"/>
        <v>8</v>
      </c>
      <c r="B505" s="3" t="s">
        <v>222</v>
      </c>
      <c r="C505" s="3" t="s">
        <v>223</v>
      </c>
      <c r="D505" s="16" t="str">
        <f t="shared" si="324"/>
        <v>A905</v>
      </c>
      <c r="E505" s="4" t="s">
        <v>595</v>
      </c>
      <c r="F505" s="11"/>
      <c r="G505" s="11"/>
      <c r="H505" s="14">
        <f>'II-I TOTAL COMPANY'!K505</f>
        <v>53.831517123446361</v>
      </c>
      <c r="I505" s="66">
        <v>0</v>
      </c>
      <c r="J505" s="66">
        <f t="shared" si="331"/>
        <v>0</v>
      </c>
      <c r="K505" s="66">
        <f t="shared" si="325"/>
        <v>0</v>
      </c>
      <c r="L505" s="66">
        <f t="shared" si="325"/>
        <v>0</v>
      </c>
      <c r="M505" s="9">
        <f t="shared" si="326"/>
        <v>0</v>
      </c>
      <c r="N505" s="66">
        <f t="shared" si="327"/>
        <v>0</v>
      </c>
      <c r="O505" s="66">
        <f t="shared" si="327"/>
        <v>0</v>
      </c>
      <c r="P505" s="9">
        <f t="shared" si="328"/>
        <v>0</v>
      </c>
      <c r="Q505" s="66">
        <f t="shared" si="329"/>
        <v>0</v>
      </c>
      <c r="R505" s="66">
        <f t="shared" si="329"/>
        <v>0</v>
      </c>
      <c r="S505" s="66">
        <f t="shared" si="330"/>
        <v>0</v>
      </c>
      <c r="T505" s="66">
        <f t="shared" si="329"/>
        <v>0</v>
      </c>
      <c r="U505" s="66">
        <f t="shared" si="329"/>
        <v>0</v>
      </c>
      <c r="V505" s="66">
        <f t="shared" si="329"/>
        <v>0</v>
      </c>
      <c r="W505" s="27">
        <f t="shared" si="289"/>
        <v>-53.831517123446361</v>
      </c>
    </row>
    <row r="506" spans="1:23" x14ac:dyDescent="0.2">
      <c r="A506" s="3">
        <f t="shared" si="323"/>
        <v>9</v>
      </c>
      <c r="B506" s="3"/>
      <c r="C506" s="3" t="s">
        <v>135</v>
      </c>
      <c r="D506" s="3"/>
      <c r="E506" s="4"/>
      <c r="F506" s="8"/>
      <c r="G506" s="8"/>
      <c r="H506" s="8">
        <f t="shared" ref="H506:V506" si="332">SUM(H500:H505)</f>
        <v>14370.991517123446</v>
      </c>
      <c r="I506" s="8">
        <f t="shared" si="332"/>
        <v>0</v>
      </c>
      <c r="J506" s="66">
        <f t="shared" si="331"/>
        <v>14317.159999999998</v>
      </c>
      <c r="K506" s="8">
        <f t="shared" si="332"/>
        <v>7767.4938411614276</v>
      </c>
      <c r="L506" s="8">
        <f t="shared" si="332"/>
        <v>400.91585678821542</v>
      </c>
      <c r="M506" s="9">
        <f t="shared" si="326"/>
        <v>4335.4126513882702</v>
      </c>
      <c r="N506" s="8">
        <f t="shared" si="332"/>
        <v>499.58005501086143</v>
      </c>
      <c r="O506" s="8">
        <f t="shared" si="332"/>
        <v>3835.8325963774091</v>
      </c>
      <c r="P506" s="9">
        <f t="shared" si="328"/>
        <v>967.26443805473434</v>
      </c>
      <c r="Q506" s="8">
        <f t="shared" si="332"/>
        <v>714.69076471873348</v>
      </c>
      <c r="R506" s="8">
        <f t="shared" si="332"/>
        <v>65.257722828287413</v>
      </c>
      <c r="S506" s="8">
        <f>SUM(S500:S505)</f>
        <v>187.31595050771338</v>
      </c>
      <c r="T506" s="8">
        <f t="shared" si="332"/>
        <v>234.86709074891291</v>
      </c>
      <c r="U506" s="8">
        <f t="shared" si="332"/>
        <v>611.2060935388871</v>
      </c>
      <c r="V506" s="8">
        <f t="shared" si="332"/>
        <v>2.8319552476507344E-5</v>
      </c>
      <c r="W506" s="27">
        <f t="shared" si="289"/>
        <v>-53.831517123448066</v>
      </c>
    </row>
    <row r="507" spans="1:23" x14ac:dyDescent="0.2">
      <c r="A507" s="3">
        <f t="shared" si="323"/>
        <v>10</v>
      </c>
      <c r="B507" s="3"/>
      <c r="C507" s="3"/>
      <c r="D507" s="3"/>
      <c r="E507" s="4"/>
      <c r="F507" s="4"/>
      <c r="G507" s="4"/>
      <c r="H507" s="8"/>
      <c r="I507" s="8"/>
      <c r="J507" s="8"/>
      <c r="K507" s="8"/>
      <c r="L507" s="8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27" t="str">
        <f t="shared" si="289"/>
        <v>OK</v>
      </c>
    </row>
    <row r="508" spans="1:23" x14ac:dyDescent="0.2">
      <c r="A508" s="3">
        <f t="shared" si="323"/>
        <v>11</v>
      </c>
      <c r="B508" s="3"/>
      <c r="C508" s="3" t="s">
        <v>224</v>
      </c>
      <c r="D508" s="3"/>
      <c r="E508" s="4"/>
      <c r="F508" s="4"/>
      <c r="G508" s="4"/>
      <c r="H508" s="8"/>
      <c r="I508" s="8"/>
      <c r="J508" s="8"/>
      <c r="K508" s="8"/>
      <c r="L508" s="8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27" t="str">
        <f t="shared" si="289"/>
        <v>OK</v>
      </c>
    </row>
    <row r="509" spans="1:23" x14ac:dyDescent="0.2">
      <c r="A509" s="3">
        <f t="shared" si="323"/>
        <v>12</v>
      </c>
      <c r="B509" s="3" t="s">
        <v>225</v>
      </c>
      <c r="C509" s="3" t="s">
        <v>226</v>
      </c>
      <c r="D509" s="16" t="str">
        <f>B509</f>
        <v>A906</v>
      </c>
      <c r="E509" s="4" t="s">
        <v>595</v>
      </c>
      <c r="F509" s="11"/>
      <c r="G509" s="11"/>
      <c r="H509" s="14">
        <f>'II-I TOTAL COMPANY'!K509</f>
        <v>0</v>
      </c>
      <c r="I509" s="66">
        <v>0</v>
      </c>
      <c r="J509" s="66">
        <f t="shared" ref="J509:J514" si="333">SUM(K509:V509)-M509-P509</f>
        <v>0</v>
      </c>
      <c r="K509" s="66">
        <f>IF(+$H391&lt;&gt;0,$H509*(+K391/$H391),0)</f>
        <v>0</v>
      </c>
      <c r="L509" s="66">
        <f>IF(+$H391&lt;&gt;0,$H509*(+L391/$H391),0)</f>
        <v>0</v>
      </c>
      <c r="M509" s="9">
        <f t="shared" ref="M509:M514" si="334">SUM(N509:O509)</f>
        <v>0</v>
      </c>
      <c r="N509" s="66">
        <f>IF(+$H391&lt;&gt;0,$H509*(+N391/$H391),0)</f>
        <v>0</v>
      </c>
      <c r="O509" s="66">
        <f>IF(+$H391&lt;&gt;0,$H509*(+O391/$H391),0)</f>
        <v>0</v>
      </c>
      <c r="P509" s="9">
        <f t="shared" ref="P509:P514" si="335">SUM(Q509:S509)</f>
        <v>0</v>
      </c>
      <c r="Q509" s="66">
        <f t="shared" ref="Q509:V509" si="336">IF(+$H391&lt;&gt;0,$H509*(+Q391/$H391),0)</f>
        <v>0</v>
      </c>
      <c r="R509" s="66">
        <f t="shared" si="336"/>
        <v>0</v>
      </c>
      <c r="S509" s="66">
        <f t="shared" si="336"/>
        <v>0</v>
      </c>
      <c r="T509" s="66">
        <f t="shared" si="336"/>
        <v>0</v>
      </c>
      <c r="U509" s="66">
        <f t="shared" si="336"/>
        <v>0</v>
      </c>
      <c r="V509" s="66">
        <f t="shared" si="336"/>
        <v>0</v>
      </c>
      <c r="W509" s="27" t="str">
        <f t="shared" si="289"/>
        <v>OK</v>
      </c>
    </row>
    <row r="510" spans="1:23" x14ac:dyDescent="0.2">
      <c r="A510" s="3">
        <f t="shared" si="323"/>
        <v>13</v>
      </c>
      <c r="B510" s="3" t="s">
        <v>227</v>
      </c>
      <c r="C510" s="3" t="s">
        <v>228</v>
      </c>
      <c r="D510" s="16" t="str">
        <f>B510</f>
        <v>A907</v>
      </c>
      <c r="E510" s="4" t="s">
        <v>595</v>
      </c>
      <c r="F510" s="11"/>
      <c r="G510" s="11"/>
      <c r="H510" s="14">
        <f>'II-I TOTAL COMPANY'!K510</f>
        <v>0</v>
      </c>
      <c r="I510" s="66">
        <v>0</v>
      </c>
      <c r="J510" s="66">
        <f t="shared" si="333"/>
        <v>0</v>
      </c>
      <c r="K510" s="66">
        <f t="shared" ref="K510:L513" si="337">IF(+$H393&lt;&gt;0,$H510*(+K393/$H393),0)</f>
        <v>0</v>
      </c>
      <c r="L510" s="66">
        <f t="shared" si="337"/>
        <v>0</v>
      </c>
      <c r="M510" s="9">
        <f t="shared" si="334"/>
        <v>0</v>
      </c>
      <c r="N510" s="66">
        <f t="shared" ref="N510:O513" si="338">IF(+$H393&lt;&gt;0,$H510*(+N393/$H393),0)</f>
        <v>0</v>
      </c>
      <c r="O510" s="66">
        <f t="shared" si="338"/>
        <v>0</v>
      </c>
      <c r="P510" s="9">
        <f t="shared" si="335"/>
        <v>0</v>
      </c>
      <c r="Q510" s="66">
        <f t="shared" ref="Q510:V513" si="339">IF(+$H393&lt;&gt;0,$H510*(+Q393/$H393),0)</f>
        <v>0</v>
      </c>
      <c r="R510" s="66">
        <f t="shared" si="339"/>
        <v>0</v>
      </c>
      <c r="S510" s="66">
        <f>IF(+$H393&lt;&gt;0,$H510*(+S393/$H393),0)</f>
        <v>0</v>
      </c>
      <c r="T510" s="66">
        <f t="shared" si="339"/>
        <v>0</v>
      </c>
      <c r="U510" s="66">
        <f t="shared" si="339"/>
        <v>0</v>
      </c>
      <c r="V510" s="66">
        <f t="shared" si="339"/>
        <v>0</v>
      </c>
      <c r="W510" s="27" t="str">
        <f t="shared" si="289"/>
        <v>OK</v>
      </c>
    </row>
    <row r="511" spans="1:23" x14ac:dyDescent="0.2">
      <c r="A511" s="3">
        <f t="shared" si="323"/>
        <v>14</v>
      </c>
      <c r="B511" s="3" t="s">
        <v>229</v>
      </c>
      <c r="C511" s="3" t="s">
        <v>230</v>
      </c>
      <c r="D511" s="16" t="str">
        <f>B511</f>
        <v>A908</v>
      </c>
      <c r="E511" s="4" t="s">
        <v>595</v>
      </c>
      <c r="F511" s="11"/>
      <c r="G511" s="11"/>
      <c r="H511" s="14">
        <f>'II-I TOTAL COMPANY'!K511</f>
        <v>0</v>
      </c>
      <c r="I511" s="66">
        <v>0</v>
      </c>
      <c r="J511" s="66">
        <f t="shared" si="333"/>
        <v>0</v>
      </c>
      <c r="K511" s="66">
        <f t="shared" si="337"/>
        <v>0</v>
      </c>
      <c r="L511" s="66">
        <f t="shared" si="337"/>
        <v>0</v>
      </c>
      <c r="M511" s="9">
        <f t="shared" si="334"/>
        <v>0</v>
      </c>
      <c r="N511" s="66">
        <f t="shared" si="338"/>
        <v>0</v>
      </c>
      <c r="O511" s="66">
        <f t="shared" si="338"/>
        <v>0</v>
      </c>
      <c r="P511" s="9">
        <f t="shared" si="335"/>
        <v>0</v>
      </c>
      <c r="Q511" s="66">
        <f t="shared" si="339"/>
        <v>0</v>
      </c>
      <c r="R511" s="66">
        <f t="shared" si="339"/>
        <v>0</v>
      </c>
      <c r="S511" s="66">
        <f>IF(+$H394&lt;&gt;0,$H511*(+S394/$H394),0)</f>
        <v>0</v>
      </c>
      <c r="T511" s="66">
        <f t="shared" si="339"/>
        <v>0</v>
      </c>
      <c r="U511" s="66">
        <f t="shared" si="339"/>
        <v>0</v>
      </c>
      <c r="V511" s="66">
        <f t="shared" si="339"/>
        <v>0</v>
      </c>
      <c r="W511" s="27" t="str">
        <f t="shared" si="289"/>
        <v>OK</v>
      </c>
    </row>
    <row r="512" spans="1:23" x14ac:dyDescent="0.2">
      <c r="A512" s="3">
        <f t="shared" si="323"/>
        <v>15</v>
      </c>
      <c r="B512" s="3" t="s">
        <v>231</v>
      </c>
      <c r="C512" s="3" t="s">
        <v>232</v>
      </c>
      <c r="D512" s="16" t="str">
        <f>B512</f>
        <v>A909</v>
      </c>
      <c r="E512" s="4" t="s">
        <v>595</v>
      </c>
      <c r="F512" s="11"/>
      <c r="G512" s="11"/>
      <c r="H512" s="14">
        <f>'II-I TOTAL COMPANY'!K512</f>
        <v>0</v>
      </c>
      <c r="I512" s="66">
        <v>0</v>
      </c>
      <c r="J512" s="66">
        <f t="shared" si="333"/>
        <v>0</v>
      </c>
      <c r="K512" s="66">
        <f t="shared" si="337"/>
        <v>0</v>
      </c>
      <c r="L512" s="66">
        <f t="shared" si="337"/>
        <v>0</v>
      </c>
      <c r="M512" s="9">
        <f t="shared" si="334"/>
        <v>0</v>
      </c>
      <c r="N512" s="66">
        <f t="shared" si="338"/>
        <v>0</v>
      </c>
      <c r="O512" s="66">
        <f t="shared" si="338"/>
        <v>0</v>
      </c>
      <c r="P512" s="9">
        <f t="shared" si="335"/>
        <v>0</v>
      </c>
      <c r="Q512" s="66">
        <f t="shared" si="339"/>
        <v>0</v>
      </c>
      <c r="R512" s="66">
        <f t="shared" si="339"/>
        <v>0</v>
      </c>
      <c r="S512" s="66">
        <f>IF(+$H395&lt;&gt;0,$H512*(+S395/$H395),0)</f>
        <v>0</v>
      </c>
      <c r="T512" s="66">
        <f t="shared" si="339"/>
        <v>0</v>
      </c>
      <c r="U512" s="66">
        <f t="shared" si="339"/>
        <v>0</v>
      </c>
      <c r="V512" s="66">
        <f t="shared" si="339"/>
        <v>0</v>
      </c>
      <c r="W512" s="27" t="str">
        <f t="shared" si="289"/>
        <v>OK</v>
      </c>
    </row>
    <row r="513" spans="1:23" x14ac:dyDescent="0.2">
      <c r="A513" s="3">
        <f t="shared" si="323"/>
        <v>16</v>
      </c>
      <c r="B513" s="3" t="s">
        <v>233</v>
      </c>
      <c r="C513" s="3" t="s">
        <v>234</v>
      </c>
      <c r="D513" s="16" t="str">
        <f>B513</f>
        <v>A910</v>
      </c>
      <c r="E513" s="4" t="s">
        <v>595</v>
      </c>
      <c r="F513" s="11"/>
      <c r="G513" s="11"/>
      <c r="H513" s="14">
        <f>'II-I TOTAL COMPANY'!K513</f>
        <v>0</v>
      </c>
      <c r="I513" s="66">
        <v>0</v>
      </c>
      <c r="J513" s="66">
        <f t="shared" si="333"/>
        <v>0</v>
      </c>
      <c r="K513" s="66">
        <f t="shared" si="337"/>
        <v>0</v>
      </c>
      <c r="L513" s="66">
        <f t="shared" si="337"/>
        <v>0</v>
      </c>
      <c r="M513" s="9">
        <f t="shared" si="334"/>
        <v>0</v>
      </c>
      <c r="N513" s="66">
        <f t="shared" si="338"/>
        <v>0</v>
      </c>
      <c r="O513" s="66">
        <f t="shared" si="338"/>
        <v>0</v>
      </c>
      <c r="P513" s="9">
        <f t="shared" si="335"/>
        <v>0</v>
      </c>
      <c r="Q513" s="66">
        <f t="shared" si="339"/>
        <v>0</v>
      </c>
      <c r="R513" s="66">
        <f t="shared" si="339"/>
        <v>0</v>
      </c>
      <c r="S513" s="66">
        <f>IF(+$H396&lt;&gt;0,$H513*(+S396/$H396),0)</f>
        <v>0</v>
      </c>
      <c r="T513" s="66">
        <f t="shared" si="339"/>
        <v>0</v>
      </c>
      <c r="U513" s="66">
        <f t="shared" si="339"/>
        <v>0</v>
      </c>
      <c r="V513" s="66">
        <f t="shared" si="339"/>
        <v>0</v>
      </c>
      <c r="W513" s="27" t="str">
        <f t="shared" si="289"/>
        <v>OK</v>
      </c>
    </row>
    <row r="514" spans="1:23" x14ac:dyDescent="0.2">
      <c r="A514" s="3">
        <f t="shared" si="323"/>
        <v>17</v>
      </c>
      <c r="B514" s="3"/>
      <c r="C514" s="3" t="s">
        <v>135</v>
      </c>
      <c r="D514" s="3"/>
      <c r="E514" s="4"/>
      <c r="F514" s="8"/>
      <c r="G514" s="8"/>
      <c r="H514" s="8">
        <f t="shared" ref="H514:V514" si="340">SUM(H509:H513)</f>
        <v>0</v>
      </c>
      <c r="I514" s="8">
        <f t="shared" si="340"/>
        <v>0</v>
      </c>
      <c r="J514" s="66">
        <f t="shared" si="333"/>
        <v>0</v>
      </c>
      <c r="K514" s="8">
        <f t="shared" si="340"/>
        <v>0</v>
      </c>
      <c r="L514" s="8">
        <f t="shared" si="340"/>
        <v>0</v>
      </c>
      <c r="M514" s="9">
        <f t="shared" si="334"/>
        <v>0</v>
      </c>
      <c r="N514" s="8">
        <f t="shared" si="340"/>
        <v>0</v>
      </c>
      <c r="O514" s="8">
        <f t="shared" si="340"/>
        <v>0</v>
      </c>
      <c r="P514" s="9">
        <f t="shared" si="335"/>
        <v>0</v>
      </c>
      <c r="Q514" s="8">
        <f t="shared" si="340"/>
        <v>0</v>
      </c>
      <c r="R514" s="8">
        <f t="shared" si="340"/>
        <v>0</v>
      </c>
      <c r="S514" s="8">
        <f>SUM(S509:S513)</f>
        <v>0</v>
      </c>
      <c r="T514" s="8">
        <f t="shared" si="340"/>
        <v>0</v>
      </c>
      <c r="U514" s="8">
        <f t="shared" si="340"/>
        <v>0</v>
      </c>
      <c r="V514" s="8">
        <f t="shared" si="340"/>
        <v>0</v>
      </c>
      <c r="W514" s="27" t="str">
        <f t="shared" si="289"/>
        <v>OK</v>
      </c>
    </row>
    <row r="515" spans="1:23" x14ac:dyDescent="0.2">
      <c r="A515" s="3">
        <f t="shared" si="323"/>
        <v>18</v>
      </c>
      <c r="B515" s="3"/>
      <c r="C515" s="3"/>
      <c r="D515" s="3"/>
      <c r="E515" s="4"/>
      <c r="F515" s="4"/>
      <c r="G515" s="4"/>
      <c r="H515" s="8"/>
      <c r="I515" s="8"/>
      <c r="J515" s="8"/>
      <c r="K515" s="8"/>
      <c r="L515" s="8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27" t="str">
        <f t="shared" si="289"/>
        <v>OK</v>
      </c>
    </row>
    <row r="516" spans="1:23" x14ac:dyDescent="0.2">
      <c r="A516" s="3">
        <f t="shared" si="323"/>
        <v>19</v>
      </c>
      <c r="B516" s="3"/>
      <c r="C516" s="3" t="s">
        <v>235</v>
      </c>
      <c r="D516" s="3"/>
      <c r="E516" s="4"/>
      <c r="F516" s="4"/>
      <c r="G516" s="4"/>
      <c r="H516" s="8"/>
      <c r="I516" s="8"/>
      <c r="J516" s="8"/>
      <c r="K516" s="8"/>
      <c r="L516" s="8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27" t="str">
        <f t="shared" si="289"/>
        <v>OK</v>
      </c>
    </row>
    <row r="517" spans="1:23" x14ac:dyDescent="0.2">
      <c r="A517" s="3">
        <f t="shared" si="323"/>
        <v>20</v>
      </c>
      <c r="B517" s="3" t="s">
        <v>236</v>
      </c>
      <c r="C517" s="3" t="s">
        <v>228</v>
      </c>
      <c r="D517" s="16" t="str">
        <f>B517</f>
        <v>A911</v>
      </c>
      <c r="E517" s="4" t="s">
        <v>595</v>
      </c>
      <c r="F517" s="11"/>
      <c r="G517" s="11"/>
      <c r="H517" s="14">
        <f>'II-I TOTAL COMPANY'!K517</f>
        <v>0</v>
      </c>
      <c r="I517" s="66">
        <v>0</v>
      </c>
      <c r="J517" s="66">
        <f t="shared" ref="J517:J525" si="341">SUM(K517:V517)-M517-P517</f>
        <v>0</v>
      </c>
      <c r="K517" s="66">
        <f t="shared" ref="K517:L521" si="342">IF(+$H401&lt;&gt;0,$H517*(+K401/$H401),0)</f>
        <v>0</v>
      </c>
      <c r="L517" s="66">
        <f t="shared" si="342"/>
        <v>0</v>
      </c>
      <c r="M517" s="9">
        <f t="shared" ref="M517:M523" si="343">SUM(N517:O517)</f>
        <v>0</v>
      </c>
      <c r="N517" s="66">
        <f t="shared" ref="N517:O521" si="344">IF(+$H401&lt;&gt;0,$H517*(+N401/$H401),0)</f>
        <v>0</v>
      </c>
      <c r="O517" s="66">
        <f t="shared" si="344"/>
        <v>0</v>
      </c>
      <c r="P517" s="9">
        <f t="shared" ref="P517:P523" si="345">SUM(Q517:S517)</f>
        <v>0</v>
      </c>
      <c r="Q517" s="66">
        <f t="shared" ref="Q517:V521" si="346">IF(+$H401&lt;&gt;0,$H517*(+Q401/$H401),0)</f>
        <v>0</v>
      </c>
      <c r="R517" s="66">
        <f t="shared" si="346"/>
        <v>0</v>
      </c>
      <c r="S517" s="66">
        <f>IF(+$H401&lt;&gt;0,$H517*(+S401/$H401),0)</f>
        <v>0</v>
      </c>
      <c r="T517" s="66">
        <f t="shared" si="346"/>
        <v>0</v>
      </c>
      <c r="U517" s="66">
        <f t="shared" si="346"/>
        <v>0</v>
      </c>
      <c r="V517" s="66">
        <f t="shared" si="346"/>
        <v>0</v>
      </c>
      <c r="W517" s="27" t="str">
        <f t="shared" si="289"/>
        <v>OK</v>
      </c>
    </row>
    <row r="518" spans="1:23" x14ac:dyDescent="0.2">
      <c r="A518" s="3">
        <f t="shared" si="323"/>
        <v>21</v>
      </c>
      <c r="B518" s="3" t="s">
        <v>237</v>
      </c>
      <c r="C518" s="3" t="s">
        <v>238</v>
      </c>
      <c r="D518" s="16" t="str">
        <f>B518</f>
        <v>A912</v>
      </c>
      <c r="E518" s="4" t="s">
        <v>595</v>
      </c>
      <c r="F518" s="11"/>
      <c r="G518" s="11"/>
      <c r="H518" s="14">
        <f>'II-I TOTAL COMPANY'!K518</f>
        <v>0</v>
      </c>
      <c r="I518" s="66">
        <v>0</v>
      </c>
      <c r="J518" s="66">
        <f t="shared" si="341"/>
        <v>0</v>
      </c>
      <c r="K518" s="66">
        <f t="shared" si="342"/>
        <v>0</v>
      </c>
      <c r="L518" s="66">
        <f t="shared" si="342"/>
        <v>0</v>
      </c>
      <c r="M518" s="9">
        <f t="shared" si="343"/>
        <v>0</v>
      </c>
      <c r="N518" s="66">
        <f t="shared" si="344"/>
        <v>0</v>
      </c>
      <c r="O518" s="66">
        <f t="shared" si="344"/>
        <v>0</v>
      </c>
      <c r="P518" s="9">
        <f t="shared" si="345"/>
        <v>0</v>
      </c>
      <c r="Q518" s="66">
        <f t="shared" si="346"/>
        <v>0</v>
      </c>
      <c r="R518" s="66">
        <f t="shared" si="346"/>
        <v>0</v>
      </c>
      <c r="S518" s="66">
        <f>IF(+$H402&lt;&gt;0,$H518*(+S402/$H402),0)</f>
        <v>0</v>
      </c>
      <c r="T518" s="66">
        <f t="shared" si="346"/>
        <v>0</v>
      </c>
      <c r="U518" s="66">
        <f t="shared" si="346"/>
        <v>0</v>
      </c>
      <c r="V518" s="66">
        <f t="shared" si="346"/>
        <v>0</v>
      </c>
      <c r="W518" s="27" t="str">
        <f t="shared" si="289"/>
        <v>OK</v>
      </c>
    </row>
    <row r="519" spans="1:23" x14ac:dyDescent="0.2">
      <c r="A519" s="3">
        <f t="shared" si="323"/>
        <v>22</v>
      </c>
      <c r="B519" s="3" t="s">
        <v>239</v>
      </c>
      <c r="C519" s="3" t="s">
        <v>240</v>
      </c>
      <c r="D519" s="16" t="str">
        <f>B519</f>
        <v>A913</v>
      </c>
      <c r="E519" s="4" t="s">
        <v>595</v>
      </c>
      <c r="F519" s="11"/>
      <c r="G519" s="11"/>
      <c r="H519" s="14">
        <f>'II-I TOTAL COMPANY'!K519</f>
        <v>0</v>
      </c>
      <c r="I519" s="66">
        <v>0</v>
      </c>
      <c r="J519" s="66">
        <f t="shared" si="341"/>
        <v>0</v>
      </c>
      <c r="K519" s="66">
        <f t="shared" si="342"/>
        <v>0</v>
      </c>
      <c r="L519" s="66">
        <f t="shared" si="342"/>
        <v>0</v>
      </c>
      <c r="M519" s="9">
        <f t="shared" si="343"/>
        <v>0</v>
      </c>
      <c r="N519" s="66">
        <f t="shared" si="344"/>
        <v>0</v>
      </c>
      <c r="O519" s="66">
        <f t="shared" si="344"/>
        <v>0</v>
      </c>
      <c r="P519" s="9">
        <f t="shared" si="345"/>
        <v>0</v>
      </c>
      <c r="Q519" s="66">
        <f t="shared" si="346"/>
        <v>0</v>
      </c>
      <c r="R519" s="66">
        <f t="shared" si="346"/>
        <v>0</v>
      </c>
      <c r="S519" s="66">
        <f>IF(+$H403&lt;&gt;0,$H519*(+S403/$H403),0)</f>
        <v>0</v>
      </c>
      <c r="T519" s="66">
        <f t="shared" si="346"/>
        <v>0</v>
      </c>
      <c r="U519" s="66">
        <f t="shared" si="346"/>
        <v>0</v>
      </c>
      <c r="V519" s="66">
        <f t="shared" si="346"/>
        <v>0</v>
      </c>
      <c r="W519" s="27" t="str">
        <f t="shared" si="289"/>
        <v>OK</v>
      </c>
    </row>
    <row r="520" spans="1:23" x14ac:dyDescent="0.2">
      <c r="A520" s="3">
        <f t="shared" si="323"/>
        <v>23</v>
      </c>
      <c r="B520" s="3" t="s">
        <v>241</v>
      </c>
      <c r="C520" s="3" t="s">
        <v>242</v>
      </c>
      <c r="D520" s="16" t="str">
        <f>B520</f>
        <v>A916</v>
      </c>
      <c r="E520" s="4" t="s">
        <v>595</v>
      </c>
      <c r="F520" s="11"/>
      <c r="G520" s="11"/>
      <c r="H520" s="14">
        <f>'II-I TOTAL COMPANY'!K520</f>
        <v>0</v>
      </c>
      <c r="I520" s="66">
        <v>0</v>
      </c>
      <c r="J520" s="66">
        <f t="shared" si="341"/>
        <v>0</v>
      </c>
      <c r="K520" s="66">
        <f t="shared" si="342"/>
        <v>0</v>
      </c>
      <c r="L520" s="66">
        <f t="shared" si="342"/>
        <v>0</v>
      </c>
      <c r="M520" s="9">
        <f t="shared" si="343"/>
        <v>0</v>
      </c>
      <c r="N520" s="66">
        <f t="shared" si="344"/>
        <v>0</v>
      </c>
      <c r="O520" s="66">
        <f t="shared" si="344"/>
        <v>0</v>
      </c>
      <c r="P520" s="9">
        <f t="shared" si="345"/>
        <v>0</v>
      </c>
      <c r="Q520" s="66">
        <f t="shared" si="346"/>
        <v>0</v>
      </c>
      <c r="R520" s="66">
        <f t="shared" si="346"/>
        <v>0</v>
      </c>
      <c r="S520" s="66">
        <f>IF(+$H404&lt;&gt;0,$H520*(+S404/$H404),0)</f>
        <v>0</v>
      </c>
      <c r="T520" s="66">
        <f t="shared" si="346"/>
        <v>0</v>
      </c>
      <c r="U520" s="66">
        <f t="shared" si="346"/>
        <v>0</v>
      </c>
      <c r="V520" s="66">
        <f t="shared" si="346"/>
        <v>0</v>
      </c>
      <c r="W520" s="27" t="str">
        <f t="shared" ref="W520:W583" si="347">IF((+K520+L520+M520+P520+T520+U520+V520)-H520=0,"OK",(+K520+L520+M520+P520+T520+U520+V520)-H520)</f>
        <v>OK</v>
      </c>
    </row>
    <row r="521" spans="1:23" x14ac:dyDescent="0.2">
      <c r="A521" s="3">
        <f t="shared" si="323"/>
        <v>24</v>
      </c>
      <c r="B521" s="3" t="s">
        <v>243</v>
      </c>
      <c r="C521" s="3" t="s">
        <v>244</v>
      </c>
      <c r="D521" s="16" t="str">
        <f>B521</f>
        <v>A917</v>
      </c>
      <c r="E521" s="4" t="s">
        <v>595</v>
      </c>
      <c r="F521" s="11"/>
      <c r="G521" s="11"/>
      <c r="H521" s="14">
        <f>'II-I TOTAL COMPANY'!K521</f>
        <v>0</v>
      </c>
      <c r="I521" s="66">
        <v>0</v>
      </c>
      <c r="J521" s="66">
        <f t="shared" si="341"/>
        <v>0</v>
      </c>
      <c r="K521" s="66">
        <f t="shared" si="342"/>
        <v>0</v>
      </c>
      <c r="L521" s="66">
        <f t="shared" si="342"/>
        <v>0</v>
      </c>
      <c r="M521" s="9">
        <f t="shared" si="343"/>
        <v>0</v>
      </c>
      <c r="N521" s="66">
        <f t="shared" si="344"/>
        <v>0</v>
      </c>
      <c r="O521" s="66">
        <f t="shared" si="344"/>
        <v>0</v>
      </c>
      <c r="P521" s="9">
        <f t="shared" si="345"/>
        <v>0</v>
      </c>
      <c r="Q521" s="66">
        <f t="shared" si="346"/>
        <v>0</v>
      </c>
      <c r="R521" s="66">
        <f t="shared" si="346"/>
        <v>0</v>
      </c>
      <c r="S521" s="66">
        <f>IF(+$H405&lt;&gt;0,$H521*(+S405/$H405),0)</f>
        <v>0</v>
      </c>
      <c r="T521" s="66">
        <f t="shared" si="346"/>
        <v>0</v>
      </c>
      <c r="U521" s="66">
        <f t="shared" si="346"/>
        <v>0</v>
      </c>
      <c r="V521" s="66">
        <f t="shared" si="346"/>
        <v>0</v>
      </c>
      <c r="W521" s="27" t="str">
        <f t="shared" si="347"/>
        <v>OK</v>
      </c>
    </row>
    <row r="522" spans="1:23" x14ac:dyDescent="0.2">
      <c r="A522" s="3">
        <f t="shared" si="323"/>
        <v>25</v>
      </c>
      <c r="B522" s="3"/>
      <c r="C522" s="3" t="s">
        <v>135</v>
      </c>
      <c r="D522" s="3"/>
      <c r="E522" s="4"/>
      <c r="F522" s="11"/>
      <c r="G522" s="11"/>
      <c r="H522" s="11">
        <f>SUM(H517:H521)</f>
        <v>0</v>
      </c>
      <c r="I522" s="11">
        <f>SUM(I517:I521)</f>
        <v>0</v>
      </c>
      <c r="J522" s="66">
        <f t="shared" si="341"/>
        <v>0</v>
      </c>
      <c r="K522" s="11">
        <f>SUM(K517:K521)</f>
        <v>0</v>
      </c>
      <c r="L522" s="11">
        <f>SUM(L517:L521)</f>
        <v>0</v>
      </c>
      <c r="M522" s="9">
        <f t="shared" si="343"/>
        <v>0</v>
      </c>
      <c r="N522" s="11">
        <f>SUM(N517:N521)</f>
        <v>0</v>
      </c>
      <c r="O522" s="11">
        <f>SUM(O517:O521)</f>
        <v>0</v>
      </c>
      <c r="P522" s="9">
        <f t="shared" si="345"/>
        <v>0</v>
      </c>
      <c r="Q522" s="11">
        <f t="shared" ref="Q522:V522" si="348">SUM(Q517:Q521)</f>
        <v>0</v>
      </c>
      <c r="R522" s="11">
        <f t="shared" si="348"/>
        <v>0</v>
      </c>
      <c r="S522" s="11">
        <f>SUM(S517:S521)</f>
        <v>0</v>
      </c>
      <c r="T522" s="11">
        <f t="shared" si="348"/>
        <v>0</v>
      </c>
      <c r="U522" s="11">
        <f t="shared" si="348"/>
        <v>0</v>
      </c>
      <c r="V522" s="11">
        <f t="shared" si="348"/>
        <v>0</v>
      </c>
      <c r="W522" s="27" t="str">
        <f t="shared" si="347"/>
        <v>OK</v>
      </c>
    </row>
    <row r="523" spans="1:23" x14ac:dyDescent="0.2">
      <c r="A523" s="3">
        <f t="shared" si="323"/>
        <v>26</v>
      </c>
      <c r="B523" s="3"/>
      <c r="C523" s="3" t="s">
        <v>245</v>
      </c>
      <c r="D523" s="3"/>
      <c r="E523" s="4"/>
      <c r="F523" s="8"/>
      <c r="G523" s="8"/>
      <c r="H523" s="8">
        <f t="shared" ref="H523:V523" si="349">H506+H514+H522</f>
        <v>14370.991517123446</v>
      </c>
      <c r="I523" s="8">
        <f t="shared" si="349"/>
        <v>0</v>
      </c>
      <c r="J523" s="66">
        <f t="shared" si="341"/>
        <v>14317.159999999998</v>
      </c>
      <c r="K523" s="8">
        <f t="shared" si="349"/>
        <v>7767.4938411614276</v>
      </c>
      <c r="L523" s="8">
        <f t="shared" si="349"/>
        <v>400.91585678821542</v>
      </c>
      <c r="M523" s="9">
        <f t="shared" si="343"/>
        <v>4335.4126513882702</v>
      </c>
      <c r="N523" s="8">
        <f t="shared" si="349"/>
        <v>499.58005501086143</v>
      </c>
      <c r="O523" s="8">
        <f t="shared" si="349"/>
        <v>3835.8325963774091</v>
      </c>
      <c r="P523" s="9">
        <f t="shared" si="345"/>
        <v>967.26443805473434</v>
      </c>
      <c r="Q523" s="8">
        <f t="shared" si="349"/>
        <v>714.69076471873348</v>
      </c>
      <c r="R523" s="8">
        <f t="shared" si="349"/>
        <v>65.257722828287413</v>
      </c>
      <c r="S523" s="8">
        <f>S506+S514+S522</f>
        <v>187.31595050771338</v>
      </c>
      <c r="T523" s="8">
        <f t="shared" si="349"/>
        <v>234.86709074891291</v>
      </c>
      <c r="U523" s="8">
        <f t="shared" si="349"/>
        <v>611.2060935388871</v>
      </c>
      <c r="V523" s="8">
        <f t="shared" si="349"/>
        <v>2.8319552476507344E-5</v>
      </c>
      <c r="W523" s="27">
        <f t="shared" si="347"/>
        <v>-53.831517123448066</v>
      </c>
    </row>
    <row r="524" spans="1:23" x14ac:dyDescent="0.2">
      <c r="A524" s="3">
        <f t="shared" si="323"/>
        <v>27</v>
      </c>
      <c r="B524" s="3"/>
      <c r="C524" s="3"/>
      <c r="D524" s="3"/>
      <c r="E524" s="4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 t="str">
        <f t="shared" si="347"/>
        <v>OK</v>
      </c>
    </row>
    <row r="525" spans="1:23" x14ac:dyDescent="0.2">
      <c r="A525" s="3">
        <f t="shared" si="323"/>
        <v>28</v>
      </c>
      <c r="B525" s="3"/>
      <c r="C525" s="3" t="s">
        <v>283</v>
      </c>
      <c r="D525" s="3"/>
      <c r="E525" s="4"/>
      <c r="F525" s="8"/>
      <c r="G525" s="8"/>
      <c r="H525" s="8">
        <f t="shared" ref="H525:V525" si="350">H495+H523</f>
        <v>43589180.445752218</v>
      </c>
      <c r="I525" s="8">
        <f t="shared" si="350"/>
        <v>0</v>
      </c>
      <c r="J525" s="66">
        <f t="shared" si="341"/>
        <v>43589126.614235096</v>
      </c>
      <c r="K525" s="8">
        <f t="shared" si="350"/>
        <v>25049964.956723634</v>
      </c>
      <c r="L525" s="8">
        <f>L495+L523</f>
        <v>926457.53345263237</v>
      </c>
      <c r="M525" s="9">
        <f>SUM(N525:O525)</f>
        <v>12868237.578185307</v>
      </c>
      <c r="N525" s="8">
        <f t="shared" si="350"/>
        <v>1713974.1239396441</v>
      </c>
      <c r="O525" s="8">
        <f t="shared" si="350"/>
        <v>11154263.454245662</v>
      </c>
      <c r="P525" s="9">
        <f>SUM(Q525:S525)</f>
        <v>3393645.3306901804</v>
      </c>
      <c r="Q525" s="8">
        <f t="shared" si="350"/>
        <v>2760648.5171648054</v>
      </c>
      <c r="R525" s="8">
        <f t="shared" si="350"/>
        <v>199789.98481663709</v>
      </c>
      <c r="S525" s="8">
        <f>S495+S523</f>
        <v>433206.82870873815</v>
      </c>
      <c r="T525" s="8">
        <f t="shared" si="350"/>
        <v>234.86709074891291</v>
      </c>
      <c r="U525" s="8">
        <f t="shared" si="350"/>
        <v>1224604.2476348139</v>
      </c>
      <c r="V525" s="8">
        <f t="shared" si="350"/>
        <v>125982.10045777667</v>
      </c>
      <c r="W525" s="27">
        <f t="shared" si="347"/>
        <v>-53.831517122685909</v>
      </c>
    </row>
    <row r="526" spans="1:23" x14ac:dyDescent="0.2">
      <c r="A526" s="3"/>
      <c r="B526" s="3"/>
      <c r="C526" s="3"/>
      <c r="D526" s="3"/>
      <c r="E526" s="4"/>
      <c r="F526" s="4"/>
      <c r="G526" s="4"/>
      <c r="H526" s="8"/>
      <c r="I526" s="8"/>
      <c r="J526" s="8"/>
      <c r="K526" s="8"/>
      <c r="L526" s="8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27" t="str">
        <f t="shared" si="347"/>
        <v>OK</v>
      </c>
    </row>
    <row r="527" spans="1:23" x14ac:dyDescent="0.2">
      <c r="A527" s="3"/>
      <c r="B527" s="3"/>
      <c r="C527" s="3"/>
      <c r="D527" s="3"/>
      <c r="E527" s="4"/>
      <c r="F527" s="4"/>
      <c r="G527" s="4"/>
      <c r="H527" s="8"/>
      <c r="I527" s="8"/>
      <c r="J527" s="8"/>
      <c r="K527" s="8"/>
      <c r="L527" s="8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27" t="str">
        <f t="shared" si="347"/>
        <v>OK</v>
      </c>
    </row>
    <row r="528" spans="1:23" x14ac:dyDescent="0.2">
      <c r="A528" s="3"/>
      <c r="B528" s="7" t="s">
        <v>284</v>
      </c>
      <c r="C528" s="3"/>
      <c r="D528" s="3"/>
      <c r="E528" s="4"/>
      <c r="F528" s="4"/>
      <c r="G528" s="4"/>
      <c r="H528" s="8"/>
      <c r="I528" s="8"/>
      <c r="J528" s="8"/>
      <c r="K528" s="10"/>
      <c r="L528" s="10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27" t="str">
        <f t="shared" si="347"/>
        <v>OK</v>
      </c>
    </row>
    <row r="529" spans="1:23" x14ac:dyDescent="0.2">
      <c r="A529" s="3"/>
      <c r="B529" s="3"/>
      <c r="C529" s="3"/>
      <c r="D529" s="3"/>
      <c r="E529" s="4"/>
      <c r="F529" s="4"/>
      <c r="G529" s="4"/>
      <c r="H529" s="8"/>
      <c r="I529" s="8"/>
      <c r="J529" s="8"/>
      <c r="K529" s="10"/>
      <c r="L529" s="10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27" t="str">
        <f t="shared" si="347"/>
        <v>OK</v>
      </c>
    </row>
    <row r="530" spans="1:23" x14ac:dyDescent="0.2">
      <c r="A530" s="3">
        <v>1</v>
      </c>
      <c r="B530" s="3" t="s">
        <v>285</v>
      </c>
      <c r="C530" s="3"/>
      <c r="D530" s="78"/>
      <c r="E530" s="4"/>
      <c r="F530" s="4"/>
      <c r="G530" s="4"/>
      <c r="H530" s="8"/>
      <c r="I530" s="8"/>
      <c r="J530" s="8"/>
      <c r="K530" s="10"/>
      <c r="L530" s="10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27" t="str">
        <f t="shared" si="347"/>
        <v>OK</v>
      </c>
    </row>
    <row r="531" spans="1:23" x14ac:dyDescent="0.2">
      <c r="A531" s="3">
        <f t="shared" ref="A531:A537" si="351">+A530+1</f>
        <v>2</v>
      </c>
      <c r="B531" s="3"/>
      <c r="C531" s="3"/>
      <c r="D531" s="78"/>
      <c r="E531" s="4"/>
      <c r="F531" s="4"/>
      <c r="G531" s="4"/>
      <c r="H531" s="8"/>
      <c r="I531" s="8"/>
      <c r="J531" s="8"/>
      <c r="K531" s="10"/>
      <c r="L531" s="10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27" t="str">
        <f t="shared" si="347"/>
        <v>OK</v>
      </c>
    </row>
    <row r="532" spans="1:23" x14ac:dyDescent="0.2">
      <c r="A532" s="3">
        <f t="shared" si="351"/>
        <v>3</v>
      </c>
      <c r="B532" s="3" t="s">
        <v>23</v>
      </c>
      <c r="C532" s="3"/>
      <c r="D532" s="78"/>
      <c r="E532" s="4"/>
      <c r="F532" s="4"/>
      <c r="G532" s="4"/>
      <c r="H532" s="8"/>
      <c r="I532" s="8"/>
      <c r="J532" s="8"/>
      <c r="K532" s="10"/>
      <c r="L532" s="10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27" t="str">
        <f t="shared" si="347"/>
        <v>OK</v>
      </c>
    </row>
    <row r="533" spans="1:23" x14ac:dyDescent="0.2">
      <c r="A533" s="3">
        <f t="shared" si="351"/>
        <v>4</v>
      </c>
      <c r="B533" s="3" t="s">
        <v>24</v>
      </c>
      <c r="C533" s="3" t="s">
        <v>25</v>
      </c>
      <c r="D533" s="78" t="s">
        <v>323</v>
      </c>
      <c r="E533" s="4" t="s">
        <v>595</v>
      </c>
      <c r="F533" s="11"/>
      <c r="G533" s="11"/>
      <c r="H533" s="14">
        <f>'II-I TOTAL COMPANY'!K533</f>
        <v>0</v>
      </c>
      <c r="I533" s="66">
        <v>0</v>
      </c>
      <c r="J533" s="66">
        <f>SUM(K533:V533)-M533-P533</f>
        <v>0</v>
      </c>
      <c r="K533" s="66">
        <f t="shared" ref="K533:L535" si="352">IF($H93&lt;&gt;0,$H533*(K93/$H93),0)</f>
        <v>0</v>
      </c>
      <c r="L533" s="66">
        <f t="shared" si="352"/>
        <v>0</v>
      </c>
      <c r="M533" s="9">
        <f>SUM(N533:O533)</f>
        <v>0</v>
      </c>
      <c r="N533" s="66">
        <f>IF($H93&lt;&gt;0,$H533*(N93/$H93),0)</f>
        <v>0</v>
      </c>
      <c r="O533" s="66">
        <f>IF($H93&lt;&gt;0,$H533*(O93/$H93),0)</f>
        <v>0</v>
      </c>
      <c r="P533" s="9">
        <f>SUM(Q533:S533)</f>
        <v>0</v>
      </c>
      <c r="Q533" s="66">
        <f t="shared" ref="Q533:V534" si="353">IF($H93&lt;&gt;0,$H533*(Q93/$H93),0)</f>
        <v>0</v>
      </c>
      <c r="R533" s="66">
        <f t="shared" si="353"/>
        <v>0</v>
      </c>
      <c r="S533" s="66">
        <f>IF($H93&lt;&gt;0,$H533*(S93/$H93),0)</f>
        <v>0</v>
      </c>
      <c r="T533" s="66">
        <f t="shared" si="353"/>
        <v>0</v>
      </c>
      <c r="U533" s="66">
        <f t="shared" si="353"/>
        <v>0</v>
      </c>
      <c r="V533" s="66">
        <f t="shared" si="353"/>
        <v>0</v>
      </c>
      <c r="W533" s="27" t="str">
        <f t="shared" si="347"/>
        <v>OK</v>
      </c>
    </row>
    <row r="534" spans="1:23" x14ac:dyDescent="0.2">
      <c r="A534" s="3">
        <f t="shared" si="351"/>
        <v>5</v>
      </c>
      <c r="B534" s="3" t="s">
        <v>26</v>
      </c>
      <c r="C534" s="3" t="s">
        <v>27</v>
      </c>
      <c r="D534" s="78" t="s">
        <v>324</v>
      </c>
      <c r="E534" s="4" t="s">
        <v>595</v>
      </c>
      <c r="F534" s="11"/>
      <c r="G534" s="11"/>
      <c r="H534" s="14">
        <f>'II-I TOTAL COMPANY'!K534</f>
        <v>0</v>
      </c>
      <c r="I534" s="66">
        <v>0</v>
      </c>
      <c r="J534" s="66">
        <f t="shared" ref="J534:J536" si="354">SUM(K534:V534)-M534-P534</f>
        <v>0</v>
      </c>
      <c r="K534" s="66">
        <f t="shared" si="352"/>
        <v>0</v>
      </c>
      <c r="L534" s="66">
        <f t="shared" si="352"/>
        <v>0</v>
      </c>
      <c r="M534" s="9">
        <f>SUM(N534:O534)</f>
        <v>0</v>
      </c>
      <c r="N534" s="66">
        <f>IF($H94&lt;&gt;0,$H534*(N94/$H94),0)</f>
        <v>0</v>
      </c>
      <c r="O534" s="66">
        <f>IF($H94&lt;&gt;0,$H534*(O94/$H94),0)</f>
        <v>0</v>
      </c>
      <c r="P534" s="9">
        <f>SUM(Q534:S534)</f>
        <v>0</v>
      </c>
      <c r="Q534" s="66">
        <f t="shared" si="353"/>
        <v>0</v>
      </c>
      <c r="R534" s="66">
        <f t="shared" si="353"/>
        <v>0</v>
      </c>
      <c r="S534" s="66">
        <f>IF($H94&lt;&gt;0,$H534*(S94/$H94),0)</f>
        <v>0</v>
      </c>
      <c r="T534" s="66">
        <f t="shared" si="353"/>
        <v>0</v>
      </c>
      <c r="U534" s="66">
        <f t="shared" si="353"/>
        <v>0</v>
      </c>
      <c r="V534" s="66">
        <f t="shared" si="353"/>
        <v>0</v>
      </c>
      <c r="W534" s="27" t="str">
        <f t="shared" si="347"/>
        <v>OK</v>
      </c>
    </row>
    <row r="535" spans="1:23" x14ac:dyDescent="0.2">
      <c r="A535" s="3">
        <f t="shared" si="351"/>
        <v>6</v>
      </c>
      <c r="B535" s="3" t="s">
        <v>28</v>
      </c>
      <c r="C535" s="3" t="s">
        <v>29</v>
      </c>
      <c r="D535" s="78" t="s">
        <v>323</v>
      </c>
      <c r="E535" s="4" t="s">
        <v>595</v>
      </c>
      <c r="F535" s="11"/>
      <c r="G535" s="11"/>
      <c r="H535" s="14">
        <f>'II-I TOTAL COMPANY'!K535</f>
        <v>27356422.992008861</v>
      </c>
      <c r="I535" s="66">
        <v>0</v>
      </c>
      <c r="J535" s="66">
        <f t="shared" si="354"/>
        <v>27356422.992008857</v>
      </c>
      <c r="K535" s="66">
        <f t="shared" si="352"/>
        <v>15721293.141655575</v>
      </c>
      <c r="L535" s="66">
        <f t="shared" si="352"/>
        <v>581442.34899596556</v>
      </c>
      <c r="M535" s="9">
        <f>SUM(N535:O535)</f>
        <v>8076072.5826412253</v>
      </c>
      <c r="N535" s="66">
        <f t="shared" ref="N535:V535" si="355">IF($H95&lt;&gt;0,$H535*(N95/$H95),0)</f>
        <v>1075685.7219648499</v>
      </c>
      <c r="O535" s="66">
        <f t="shared" si="355"/>
        <v>7000386.8606763752</v>
      </c>
      <c r="P535" s="9">
        <f>SUM(Q535:S535)</f>
        <v>2129843.0219268915</v>
      </c>
      <c r="Q535" s="66">
        <f t="shared" si="355"/>
        <v>1732575.8608606549</v>
      </c>
      <c r="R535" s="66">
        <f t="shared" si="355"/>
        <v>125387.67712831499</v>
      </c>
      <c r="S535" s="66">
        <f>IF($H95&lt;&gt;0,$H535*(S95/$H95),0)</f>
        <v>271879.48393792176</v>
      </c>
      <c r="T535" s="66">
        <f t="shared" si="355"/>
        <v>147.40197798162606</v>
      </c>
      <c r="U535" s="66">
        <f t="shared" si="355"/>
        <v>768558.45478602068</v>
      </c>
      <c r="V535" s="66">
        <f t="shared" si="355"/>
        <v>79066.040025201582</v>
      </c>
      <c r="W535" s="27" t="str">
        <f t="shared" si="347"/>
        <v>OK</v>
      </c>
    </row>
    <row r="536" spans="1:23" x14ac:dyDescent="0.2">
      <c r="A536" s="3">
        <f t="shared" si="351"/>
        <v>7</v>
      </c>
      <c r="B536" s="3"/>
      <c r="C536" s="3" t="s">
        <v>30</v>
      </c>
      <c r="D536" s="3"/>
      <c r="E536" s="4"/>
      <c r="F536" s="8"/>
      <c r="G536" s="8"/>
      <c r="H536" s="8">
        <f t="shared" ref="H536:V536" si="356">SUM(H533:H535)</f>
        <v>27356422.992008861</v>
      </c>
      <c r="I536" s="8">
        <f t="shared" si="356"/>
        <v>0</v>
      </c>
      <c r="J536" s="66">
        <f t="shared" si="354"/>
        <v>27356422.992008857</v>
      </c>
      <c r="K536" s="8">
        <f t="shared" si="356"/>
        <v>15721293.141655575</v>
      </c>
      <c r="L536" s="8">
        <f t="shared" si="356"/>
        <v>581442.34899596556</v>
      </c>
      <c r="M536" s="9">
        <f>SUM(N536:O536)</f>
        <v>8076072.5826412253</v>
      </c>
      <c r="N536" s="8">
        <f t="shared" si="356"/>
        <v>1075685.7219648499</v>
      </c>
      <c r="O536" s="8">
        <f t="shared" si="356"/>
        <v>7000386.8606763752</v>
      </c>
      <c r="P536" s="9">
        <f>SUM(Q536:S536)</f>
        <v>2129843.0219268915</v>
      </c>
      <c r="Q536" s="8">
        <f t="shared" si="356"/>
        <v>1732575.8608606549</v>
      </c>
      <c r="R536" s="8">
        <f t="shared" si="356"/>
        <v>125387.67712831499</v>
      </c>
      <c r="S536" s="8">
        <f>SUM(S533:S535)</f>
        <v>271879.48393792176</v>
      </c>
      <c r="T536" s="8">
        <f t="shared" si="356"/>
        <v>147.40197798162606</v>
      </c>
      <c r="U536" s="8">
        <f t="shared" si="356"/>
        <v>768558.45478602068</v>
      </c>
      <c r="V536" s="8">
        <f t="shared" si="356"/>
        <v>79066.040025201582</v>
      </c>
      <c r="W536" s="27" t="str">
        <f t="shared" si="347"/>
        <v>OK</v>
      </c>
    </row>
    <row r="537" spans="1:23" x14ac:dyDescent="0.2">
      <c r="A537" s="3">
        <f t="shared" si="351"/>
        <v>8</v>
      </c>
      <c r="B537" s="3"/>
      <c r="C537" s="3"/>
      <c r="D537" s="3"/>
      <c r="E537" s="4"/>
      <c r="F537" s="4"/>
      <c r="G537" s="4"/>
      <c r="H537" s="8"/>
      <c r="I537" s="8"/>
      <c r="J537" s="8"/>
      <c r="K537" s="10"/>
      <c r="L537" s="10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27" t="str">
        <f t="shared" si="347"/>
        <v>OK</v>
      </c>
    </row>
    <row r="538" spans="1:23" x14ac:dyDescent="0.2">
      <c r="A538" s="3">
        <f t="shared" ref="A538:A582" si="357">1+A537</f>
        <v>9</v>
      </c>
      <c r="B538" s="3"/>
      <c r="C538" s="3"/>
      <c r="D538" s="3"/>
      <c r="E538" s="4"/>
      <c r="F538" s="4"/>
      <c r="G538" s="4"/>
      <c r="H538" s="8"/>
      <c r="I538" s="8"/>
      <c r="J538" s="8"/>
      <c r="K538" s="10"/>
      <c r="L538" s="10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27" t="str">
        <f t="shared" si="347"/>
        <v>OK</v>
      </c>
    </row>
    <row r="539" spans="1:23" x14ac:dyDescent="0.2">
      <c r="A539" s="3">
        <f t="shared" si="357"/>
        <v>10</v>
      </c>
      <c r="B539" s="3" t="s">
        <v>33</v>
      </c>
      <c r="C539" s="3"/>
      <c r="D539" s="3"/>
      <c r="E539" s="4"/>
      <c r="F539" s="4"/>
      <c r="G539" s="4"/>
      <c r="H539" s="8"/>
      <c r="I539" s="8"/>
      <c r="J539" s="8"/>
      <c r="K539" s="10"/>
      <c r="L539" s="10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27" t="str">
        <f t="shared" si="347"/>
        <v>OK</v>
      </c>
    </row>
    <row r="540" spans="1:23" x14ac:dyDescent="0.2">
      <c r="A540" s="3">
        <f t="shared" si="357"/>
        <v>11</v>
      </c>
      <c r="B540" s="3" t="s">
        <v>34</v>
      </c>
      <c r="C540" s="3" t="s">
        <v>35</v>
      </c>
      <c r="D540" s="16" t="str">
        <f t="shared" ref="D540:D548" si="358">D101</f>
        <v>DEMANDDP</v>
      </c>
      <c r="E540" s="4" t="s">
        <v>595</v>
      </c>
      <c r="F540" s="11"/>
      <c r="G540" s="11"/>
      <c r="H540" s="14">
        <f>'II-I TOTAL COMPANY'!K540</f>
        <v>0</v>
      </c>
      <c r="I540" s="66">
        <v>0</v>
      </c>
      <c r="J540" s="66">
        <f>SUM(K540:V540)-M540-P540</f>
        <v>0</v>
      </c>
      <c r="K540" s="66">
        <f t="shared" ref="K540:L548" si="359">IF($H101&lt;&gt;0,$H540*(K101/$H101),0)</f>
        <v>0</v>
      </c>
      <c r="L540" s="66">
        <f t="shared" si="359"/>
        <v>0</v>
      </c>
      <c r="M540" s="9">
        <f t="shared" ref="M540:M549" si="360">SUM(N540:O540)</f>
        <v>0</v>
      </c>
      <c r="N540" s="66">
        <f t="shared" ref="N540:O548" si="361">IF($H101&lt;&gt;0,$H540*(N101/$H101),0)</f>
        <v>0</v>
      </c>
      <c r="O540" s="66">
        <f t="shared" si="361"/>
        <v>0</v>
      </c>
      <c r="P540" s="9">
        <f t="shared" ref="P540:P549" si="362">SUM(Q540:S540)</f>
        <v>0</v>
      </c>
      <c r="Q540" s="66">
        <f t="shared" ref="Q540:V548" si="363">IF($H101&lt;&gt;0,$H540*(Q101/$H101),0)</f>
        <v>0</v>
      </c>
      <c r="R540" s="66">
        <f t="shared" si="363"/>
        <v>0</v>
      </c>
      <c r="S540" s="66">
        <f t="shared" ref="S540:S548" si="364">IF($H101&lt;&gt;0,$H540*(S101/$H101),0)</f>
        <v>0</v>
      </c>
      <c r="T540" s="66">
        <f t="shared" si="363"/>
        <v>0</v>
      </c>
      <c r="U540" s="66">
        <f t="shared" si="363"/>
        <v>0</v>
      </c>
      <c r="V540" s="66">
        <f t="shared" si="363"/>
        <v>0</v>
      </c>
      <c r="W540" s="27" t="str">
        <f t="shared" si="347"/>
        <v>OK</v>
      </c>
    </row>
    <row r="541" spans="1:23" x14ac:dyDescent="0.2">
      <c r="A541" s="3">
        <f t="shared" si="357"/>
        <v>12</v>
      </c>
      <c r="B541" s="3" t="s">
        <v>36</v>
      </c>
      <c r="C541" s="3" t="s">
        <v>31</v>
      </c>
      <c r="D541" s="16" t="str">
        <f t="shared" si="358"/>
        <v>DEMANDDP</v>
      </c>
      <c r="E541" s="4" t="s">
        <v>595</v>
      </c>
      <c r="F541" s="11"/>
      <c r="G541" s="11"/>
      <c r="H541" s="14">
        <f>'II-I TOTAL COMPANY'!K541</f>
        <v>0</v>
      </c>
      <c r="I541" s="66">
        <v>0</v>
      </c>
      <c r="J541" s="66">
        <f t="shared" ref="J541:J549" si="365">SUM(K541:V541)-M541-P541</f>
        <v>0</v>
      </c>
      <c r="K541" s="66">
        <f t="shared" si="359"/>
        <v>0</v>
      </c>
      <c r="L541" s="66">
        <f t="shared" si="359"/>
        <v>0</v>
      </c>
      <c r="M541" s="9">
        <f t="shared" si="360"/>
        <v>0</v>
      </c>
      <c r="N541" s="66">
        <f t="shared" si="361"/>
        <v>0</v>
      </c>
      <c r="O541" s="66">
        <f t="shared" si="361"/>
        <v>0</v>
      </c>
      <c r="P541" s="9">
        <f t="shared" si="362"/>
        <v>0</v>
      </c>
      <c r="Q541" s="66">
        <f t="shared" si="363"/>
        <v>0</v>
      </c>
      <c r="R541" s="66">
        <f t="shared" si="363"/>
        <v>0</v>
      </c>
      <c r="S541" s="66">
        <f t="shared" si="364"/>
        <v>0</v>
      </c>
      <c r="T541" s="66">
        <f t="shared" si="363"/>
        <v>0</v>
      </c>
      <c r="U541" s="66">
        <f t="shared" si="363"/>
        <v>0</v>
      </c>
      <c r="V541" s="66">
        <f t="shared" si="363"/>
        <v>0</v>
      </c>
      <c r="W541" s="27" t="str">
        <f t="shared" si="347"/>
        <v>OK</v>
      </c>
    </row>
    <row r="542" spans="1:23" x14ac:dyDescent="0.2">
      <c r="A542" s="3">
        <f t="shared" si="357"/>
        <v>13</v>
      </c>
      <c r="B542" s="3" t="s">
        <v>37</v>
      </c>
      <c r="C542" s="3" t="s">
        <v>38</v>
      </c>
      <c r="D542" s="16" t="str">
        <f t="shared" si="358"/>
        <v>DEMANDDP</v>
      </c>
      <c r="E542" s="4" t="s">
        <v>595</v>
      </c>
      <c r="F542" s="11"/>
      <c r="G542" s="11"/>
      <c r="H542" s="14">
        <f>'II-I TOTAL COMPANY'!K542</f>
        <v>0</v>
      </c>
      <c r="I542" s="66">
        <v>0</v>
      </c>
      <c r="J542" s="66">
        <f t="shared" si="365"/>
        <v>0</v>
      </c>
      <c r="K542" s="66">
        <f t="shared" si="359"/>
        <v>0</v>
      </c>
      <c r="L542" s="66">
        <f t="shared" si="359"/>
        <v>0</v>
      </c>
      <c r="M542" s="9">
        <f t="shared" si="360"/>
        <v>0</v>
      </c>
      <c r="N542" s="66">
        <f t="shared" si="361"/>
        <v>0</v>
      </c>
      <c r="O542" s="66">
        <f t="shared" si="361"/>
        <v>0</v>
      </c>
      <c r="P542" s="9">
        <f t="shared" si="362"/>
        <v>0</v>
      </c>
      <c r="Q542" s="66">
        <f t="shared" si="363"/>
        <v>0</v>
      </c>
      <c r="R542" s="66">
        <f t="shared" si="363"/>
        <v>0</v>
      </c>
      <c r="S542" s="66">
        <f t="shared" si="364"/>
        <v>0</v>
      </c>
      <c r="T542" s="66">
        <f t="shared" si="363"/>
        <v>0</v>
      </c>
      <c r="U542" s="66">
        <f t="shared" si="363"/>
        <v>0</v>
      </c>
      <c r="V542" s="66">
        <f t="shared" si="363"/>
        <v>0</v>
      </c>
      <c r="W542" s="27" t="str">
        <f t="shared" si="347"/>
        <v>OK</v>
      </c>
    </row>
    <row r="543" spans="1:23" x14ac:dyDescent="0.2">
      <c r="A543" s="3">
        <f t="shared" si="357"/>
        <v>14</v>
      </c>
      <c r="B543" s="3" t="s">
        <v>39</v>
      </c>
      <c r="C543" s="3" t="s">
        <v>40</v>
      </c>
      <c r="D543" s="16" t="str">
        <f t="shared" si="358"/>
        <v>DEMANDDP</v>
      </c>
      <c r="E543" s="4" t="s">
        <v>595</v>
      </c>
      <c r="F543" s="11"/>
      <c r="G543" s="11"/>
      <c r="H543" s="14">
        <f>'II-I TOTAL COMPANY'!K543</f>
        <v>0</v>
      </c>
      <c r="I543" s="66">
        <v>0</v>
      </c>
      <c r="J543" s="66">
        <f t="shared" si="365"/>
        <v>0</v>
      </c>
      <c r="K543" s="66">
        <f t="shared" si="359"/>
        <v>0</v>
      </c>
      <c r="L543" s="66">
        <f t="shared" si="359"/>
        <v>0</v>
      </c>
      <c r="M543" s="9">
        <f t="shared" si="360"/>
        <v>0</v>
      </c>
      <c r="N543" s="66">
        <f t="shared" si="361"/>
        <v>0</v>
      </c>
      <c r="O543" s="66">
        <f t="shared" si="361"/>
        <v>0</v>
      </c>
      <c r="P543" s="9">
        <f t="shared" si="362"/>
        <v>0</v>
      </c>
      <c r="Q543" s="66">
        <f t="shared" si="363"/>
        <v>0</v>
      </c>
      <c r="R543" s="66">
        <f t="shared" si="363"/>
        <v>0</v>
      </c>
      <c r="S543" s="66">
        <f t="shared" si="364"/>
        <v>0</v>
      </c>
      <c r="T543" s="66">
        <f t="shared" si="363"/>
        <v>0</v>
      </c>
      <c r="U543" s="66">
        <f t="shared" si="363"/>
        <v>0</v>
      </c>
      <c r="V543" s="66">
        <f t="shared" si="363"/>
        <v>0</v>
      </c>
      <c r="W543" s="27" t="str">
        <f t="shared" si="347"/>
        <v>OK</v>
      </c>
    </row>
    <row r="544" spans="1:23" x14ac:dyDescent="0.2">
      <c r="A544" s="3">
        <f t="shared" si="357"/>
        <v>15</v>
      </c>
      <c r="B544" s="3" t="s">
        <v>41</v>
      </c>
      <c r="C544" s="3" t="s">
        <v>42</v>
      </c>
      <c r="D544" s="16" t="str">
        <f t="shared" si="358"/>
        <v>DEMANDDP</v>
      </c>
      <c r="E544" s="4" t="s">
        <v>595</v>
      </c>
      <c r="F544" s="11"/>
      <c r="G544" s="11"/>
      <c r="H544" s="14">
        <f>'II-I TOTAL COMPANY'!K544</f>
        <v>0</v>
      </c>
      <c r="I544" s="66">
        <v>0</v>
      </c>
      <c r="J544" s="66">
        <f t="shared" si="365"/>
        <v>0</v>
      </c>
      <c r="K544" s="66">
        <f t="shared" si="359"/>
        <v>0</v>
      </c>
      <c r="L544" s="66">
        <f t="shared" si="359"/>
        <v>0</v>
      </c>
      <c r="M544" s="9">
        <f t="shared" si="360"/>
        <v>0</v>
      </c>
      <c r="N544" s="66">
        <f t="shared" si="361"/>
        <v>0</v>
      </c>
      <c r="O544" s="66">
        <f t="shared" si="361"/>
        <v>0</v>
      </c>
      <c r="P544" s="9">
        <f t="shared" si="362"/>
        <v>0</v>
      </c>
      <c r="Q544" s="66">
        <f t="shared" si="363"/>
        <v>0</v>
      </c>
      <c r="R544" s="66">
        <f t="shared" si="363"/>
        <v>0</v>
      </c>
      <c r="S544" s="66">
        <f t="shared" si="364"/>
        <v>0</v>
      </c>
      <c r="T544" s="66">
        <f t="shared" si="363"/>
        <v>0</v>
      </c>
      <c r="U544" s="66">
        <f t="shared" si="363"/>
        <v>0</v>
      </c>
      <c r="V544" s="66">
        <f t="shared" si="363"/>
        <v>0</v>
      </c>
      <c r="W544" s="27" t="str">
        <f t="shared" si="347"/>
        <v>OK</v>
      </c>
    </row>
    <row r="545" spans="1:23" x14ac:dyDescent="0.2">
      <c r="A545" s="3">
        <f t="shared" si="357"/>
        <v>16</v>
      </c>
      <c r="B545" s="3" t="s">
        <v>43</v>
      </c>
      <c r="C545" s="3" t="s">
        <v>44</v>
      </c>
      <c r="D545" s="16" t="str">
        <f t="shared" si="358"/>
        <v>DEMANDDP</v>
      </c>
      <c r="E545" s="4" t="s">
        <v>595</v>
      </c>
      <c r="F545" s="11"/>
      <c r="G545" s="11"/>
      <c r="H545" s="14">
        <f>'II-I TOTAL COMPANY'!K545</f>
        <v>0</v>
      </c>
      <c r="I545" s="66">
        <v>0</v>
      </c>
      <c r="J545" s="66">
        <f t="shared" si="365"/>
        <v>0</v>
      </c>
      <c r="K545" s="66">
        <f t="shared" si="359"/>
        <v>0</v>
      </c>
      <c r="L545" s="66">
        <f t="shared" si="359"/>
        <v>0</v>
      </c>
      <c r="M545" s="9">
        <f t="shared" si="360"/>
        <v>0</v>
      </c>
      <c r="N545" s="66">
        <f t="shared" si="361"/>
        <v>0</v>
      </c>
      <c r="O545" s="66">
        <f t="shared" si="361"/>
        <v>0</v>
      </c>
      <c r="P545" s="9">
        <f t="shared" si="362"/>
        <v>0</v>
      </c>
      <c r="Q545" s="66">
        <f t="shared" si="363"/>
        <v>0</v>
      </c>
      <c r="R545" s="66">
        <f t="shared" si="363"/>
        <v>0</v>
      </c>
      <c r="S545" s="66">
        <f t="shared" si="364"/>
        <v>0</v>
      </c>
      <c r="T545" s="66">
        <f t="shared" si="363"/>
        <v>0</v>
      </c>
      <c r="U545" s="66">
        <f t="shared" si="363"/>
        <v>0</v>
      </c>
      <c r="V545" s="66">
        <f t="shared" si="363"/>
        <v>0</v>
      </c>
      <c r="W545" s="27" t="str">
        <f t="shared" si="347"/>
        <v>OK</v>
      </c>
    </row>
    <row r="546" spans="1:23" x14ac:dyDescent="0.2">
      <c r="A546" s="3">
        <f t="shared" si="357"/>
        <v>17</v>
      </c>
      <c r="B546" s="3" t="s">
        <v>45</v>
      </c>
      <c r="C546" s="3" t="s">
        <v>46</v>
      </c>
      <c r="D546" s="16" t="str">
        <f t="shared" si="358"/>
        <v>DEMANDDP</v>
      </c>
      <c r="E546" s="4" t="s">
        <v>595</v>
      </c>
      <c r="F546" s="11"/>
      <c r="G546" s="11"/>
      <c r="H546" s="14">
        <f>'II-I TOTAL COMPANY'!K546</f>
        <v>0</v>
      </c>
      <c r="I546" s="66">
        <v>0</v>
      </c>
      <c r="J546" s="66">
        <f t="shared" si="365"/>
        <v>0</v>
      </c>
      <c r="K546" s="66">
        <f t="shared" si="359"/>
        <v>0</v>
      </c>
      <c r="L546" s="66">
        <f t="shared" si="359"/>
        <v>0</v>
      </c>
      <c r="M546" s="9">
        <f t="shared" si="360"/>
        <v>0</v>
      </c>
      <c r="N546" s="66">
        <f t="shared" si="361"/>
        <v>0</v>
      </c>
      <c r="O546" s="66">
        <f t="shared" si="361"/>
        <v>0</v>
      </c>
      <c r="P546" s="9">
        <f t="shared" si="362"/>
        <v>0</v>
      </c>
      <c r="Q546" s="66">
        <f t="shared" si="363"/>
        <v>0</v>
      </c>
      <c r="R546" s="66">
        <f t="shared" si="363"/>
        <v>0</v>
      </c>
      <c r="S546" s="66">
        <f t="shared" si="364"/>
        <v>0</v>
      </c>
      <c r="T546" s="66">
        <f t="shared" si="363"/>
        <v>0</v>
      </c>
      <c r="U546" s="66">
        <f t="shared" si="363"/>
        <v>0</v>
      </c>
      <c r="V546" s="66">
        <f t="shared" si="363"/>
        <v>0</v>
      </c>
      <c r="W546" s="27" t="str">
        <f t="shared" si="347"/>
        <v>OK</v>
      </c>
    </row>
    <row r="547" spans="1:23" x14ac:dyDescent="0.2">
      <c r="A547" s="3">
        <f t="shared" si="357"/>
        <v>18</v>
      </c>
      <c r="B547" s="3" t="s">
        <v>47</v>
      </c>
      <c r="C547" s="3" t="s">
        <v>48</v>
      </c>
      <c r="D547" s="16" t="str">
        <f t="shared" si="358"/>
        <v>DEMANDDP</v>
      </c>
      <c r="E547" s="4" t="s">
        <v>595</v>
      </c>
      <c r="F547" s="11"/>
      <c r="G547" s="11"/>
      <c r="H547" s="14">
        <f>'II-I TOTAL COMPANY'!K547</f>
        <v>0</v>
      </c>
      <c r="I547" s="66">
        <v>0</v>
      </c>
      <c r="J547" s="66">
        <f t="shared" si="365"/>
        <v>0</v>
      </c>
      <c r="K547" s="66">
        <f t="shared" si="359"/>
        <v>0</v>
      </c>
      <c r="L547" s="66">
        <f t="shared" si="359"/>
        <v>0</v>
      </c>
      <c r="M547" s="9">
        <f t="shared" si="360"/>
        <v>0</v>
      </c>
      <c r="N547" s="66">
        <f t="shared" si="361"/>
        <v>0</v>
      </c>
      <c r="O547" s="66">
        <f t="shared" si="361"/>
        <v>0</v>
      </c>
      <c r="P547" s="9">
        <f t="shared" si="362"/>
        <v>0</v>
      </c>
      <c r="Q547" s="66">
        <f t="shared" si="363"/>
        <v>0</v>
      </c>
      <c r="R547" s="66">
        <f t="shared" si="363"/>
        <v>0</v>
      </c>
      <c r="S547" s="66">
        <f t="shared" si="364"/>
        <v>0</v>
      </c>
      <c r="T547" s="66">
        <f t="shared" si="363"/>
        <v>0</v>
      </c>
      <c r="U547" s="66">
        <f t="shared" si="363"/>
        <v>0</v>
      </c>
      <c r="V547" s="66">
        <f t="shared" si="363"/>
        <v>0</v>
      </c>
      <c r="W547" s="27" t="str">
        <f t="shared" si="347"/>
        <v>OK</v>
      </c>
    </row>
    <row r="548" spans="1:23" x14ac:dyDescent="0.2">
      <c r="A548" s="3">
        <f t="shared" si="357"/>
        <v>19</v>
      </c>
      <c r="B548" s="3" t="s">
        <v>49</v>
      </c>
      <c r="C548" s="3" t="s">
        <v>50</v>
      </c>
      <c r="D548" s="16" t="str">
        <f t="shared" si="358"/>
        <v>DEMANDDP</v>
      </c>
      <c r="E548" s="4" t="s">
        <v>595</v>
      </c>
      <c r="F548" s="11"/>
      <c r="G548" s="11"/>
      <c r="H548" s="14">
        <f>'II-I TOTAL COMPANY'!K548</f>
        <v>0</v>
      </c>
      <c r="I548" s="66">
        <v>0</v>
      </c>
      <c r="J548" s="66">
        <f t="shared" si="365"/>
        <v>0</v>
      </c>
      <c r="K548" s="66">
        <f t="shared" si="359"/>
        <v>0</v>
      </c>
      <c r="L548" s="66">
        <f t="shared" si="359"/>
        <v>0</v>
      </c>
      <c r="M548" s="9">
        <f t="shared" si="360"/>
        <v>0</v>
      </c>
      <c r="N548" s="66">
        <f t="shared" si="361"/>
        <v>0</v>
      </c>
      <c r="O548" s="66">
        <f t="shared" si="361"/>
        <v>0</v>
      </c>
      <c r="P548" s="9">
        <f t="shared" si="362"/>
        <v>0</v>
      </c>
      <c r="Q548" s="66">
        <f t="shared" si="363"/>
        <v>0</v>
      </c>
      <c r="R548" s="66">
        <f t="shared" si="363"/>
        <v>0</v>
      </c>
      <c r="S548" s="66">
        <f t="shared" si="364"/>
        <v>0</v>
      </c>
      <c r="T548" s="66">
        <f t="shared" si="363"/>
        <v>0</v>
      </c>
      <c r="U548" s="66">
        <f t="shared" si="363"/>
        <v>0</v>
      </c>
      <c r="V548" s="66">
        <f t="shared" si="363"/>
        <v>0</v>
      </c>
      <c r="W548" s="27" t="str">
        <f t="shared" si="347"/>
        <v>OK</v>
      </c>
    </row>
    <row r="549" spans="1:23" x14ac:dyDescent="0.2">
      <c r="A549" s="3">
        <f t="shared" si="357"/>
        <v>20</v>
      </c>
      <c r="B549" s="3"/>
      <c r="C549" s="3" t="s">
        <v>51</v>
      </c>
      <c r="D549" s="3"/>
      <c r="E549" s="4"/>
      <c r="F549" s="8"/>
      <c r="G549" s="8"/>
      <c r="H549" s="8">
        <f t="shared" ref="H549:V549" si="366">SUM(H540:H548)</f>
        <v>0</v>
      </c>
      <c r="I549" s="8">
        <f t="shared" si="366"/>
        <v>0</v>
      </c>
      <c r="J549" s="66">
        <f t="shared" si="365"/>
        <v>0</v>
      </c>
      <c r="K549" s="8">
        <f t="shared" si="366"/>
        <v>0</v>
      </c>
      <c r="L549" s="8">
        <f t="shared" si="366"/>
        <v>0</v>
      </c>
      <c r="M549" s="9">
        <f t="shared" si="360"/>
        <v>0</v>
      </c>
      <c r="N549" s="8">
        <f t="shared" si="366"/>
        <v>0</v>
      </c>
      <c r="O549" s="8">
        <f t="shared" si="366"/>
        <v>0</v>
      </c>
      <c r="P549" s="9">
        <f t="shared" si="362"/>
        <v>0</v>
      </c>
      <c r="Q549" s="8">
        <f t="shared" si="366"/>
        <v>0</v>
      </c>
      <c r="R549" s="8">
        <f t="shared" si="366"/>
        <v>0</v>
      </c>
      <c r="S549" s="8">
        <f>SUM(S540:S548)</f>
        <v>0</v>
      </c>
      <c r="T549" s="8">
        <f t="shared" si="366"/>
        <v>0</v>
      </c>
      <c r="U549" s="8">
        <f t="shared" si="366"/>
        <v>0</v>
      </c>
      <c r="V549" s="8">
        <f t="shared" si="366"/>
        <v>0</v>
      </c>
      <c r="W549" s="27" t="str">
        <f t="shared" si="347"/>
        <v>OK</v>
      </c>
    </row>
    <row r="550" spans="1:23" x14ac:dyDescent="0.2">
      <c r="A550" s="3">
        <f t="shared" si="357"/>
        <v>21</v>
      </c>
      <c r="B550" s="7" t="s">
        <v>286</v>
      </c>
      <c r="C550" s="3"/>
      <c r="D550" s="3"/>
      <c r="E550" s="4"/>
      <c r="F550" s="4"/>
      <c r="G550" s="4"/>
      <c r="H550" s="8"/>
      <c r="I550" s="8"/>
      <c r="J550" s="8"/>
      <c r="K550" s="8"/>
      <c r="L550" s="8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27" t="str">
        <f t="shared" si="347"/>
        <v>OK</v>
      </c>
    </row>
    <row r="551" spans="1:23" x14ac:dyDescent="0.2">
      <c r="A551" s="3">
        <f t="shared" si="357"/>
        <v>22</v>
      </c>
      <c r="B551" s="3"/>
      <c r="C551" s="3"/>
      <c r="D551" s="3"/>
      <c r="E551" s="4"/>
      <c r="F551" s="4"/>
      <c r="G551" s="4"/>
      <c r="H551" s="8"/>
      <c r="I551" s="8"/>
      <c r="J551" s="8"/>
      <c r="K551" s="10"/>
      <c r="L551" s="10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27" t="str">
        <f t="shared" si="347"/>
        <v>OK</v>
      </c>
    </row>
    <row r="552" spans="1:23" x14ac:dyDescent="0.2">
      <c r="A552" s="3">
        <f t="shared" si="357"/>
        <v>23</v>
      </c>
      <c r="B552" s="3" t="s">
        <v>176</v>
      </c>
      <c r="C552" s="3"/>
      <c r="D552" s="3"/>
      <c r="E552" s="4"/>
      <c r="F552" s="4"/>
      <c r="G552" s="4"/>
      <c r="H552" s="8"/>
      <c r="I552" s="8"/>
      <c r="J552" s="8"/>
      <c r="K552" s="10"/>
      <c r="L552" s="10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27" t="str">
        <f t="shared" si="347"/>
        <v>OK</v>
      </c>
    </row>
    <row r="553" spans="1:23" x14ac:dyDescent="0.2">
      <c r="A553" s="3">
        <f t="shared" si="357"/>
        <v>24</v>
      </c>
      <c r="B553" s="3" t="s">
        <v>53</v>
      </c>
      <c r="C553" s="3" t="s">
        <v>35</v>
      </c>
      <c r="D553" s="16" t="str">
        <f>D114</f>
        <v>DEMANDDP</v>
      </c>
      <c r="E553" s="4" t="s">
        <v>595</v>
      </c>
      <c r="F553" s="11"/>
      <c r="G553" s="11"/>
      <c r="H553" s="14">
        <f>'II-I TOTAL COMPANY'!K553</f>
        <v>120015.99900380966</v>
      </c>
      <c r="I553" s="66">
        <v>0</v>
      </c>
      <c r="J553" s="66">
        <f>SUM(K553:V553)-M553-P553</f>
        <v>120015.99900380967</v>
      </c>
      <c r="K553" s="66">
        <f t="shared" ref="K553:L556" si="367">IF($H114&lt;&gt;0,$H553*(K114/$H114),0)</f>
        <v>67884.51106969286</v>
      </c>
      <c r="L553" s="66">
        <f t="shared" si="367"/>
        <v>2368.0675228018004</v>
      </c>
      <c r="M553" s="9">
        <f t="shared" ref="M553:M568" si="368">SUM(N553:O553)</f>
        <v>35714.069543129081</v>
      </c>
      <c r="N553" s="66">
        <f t="shared" ref="N553:O556" si="369">IF($H114&lt;&gt;0,$H553*(N114/$H114),0)</f>
        <v>4795.6441608292726</v>
      </c>
      <c r="O553" s="66">
        <f t="shared" si="369"/>
        <v>30918.425382299811</v>
      </c>
      <c r="P553" s="9">
        <f t="shared" ref="P553:P564" si="370">SUM(Q553:S553)</f>
        <v>12264.937588368693</v>
      </c>
      <c r="Q553" s="66">
        <f t="shared" ref="Q553:V556" si="371">IF($H114&lt;&gt;0,$H553*(Q114/$H114),0)</f>
        <v>9977.4913704733099</v>
      </c>
      <c r="R553" s="66">
        <f t="shared" si="371"/>
        <v>722.02881170084254</v>
      </c>
      <c r="S553" s="66">
        <f>IF($H114&lt;&gt;0,$H553*(S114/$H114),0)</f>
        <v>1565.4174061945421</v>
      </c>
      <c r="T553" s="66">
        <f t="shared" si="371"/>
        <v>0</v>
      </c>
      <c r="U553" s="66">
        <f t="shared" si="371"/>
        <v>1328.9728964843609</v>
      </c>
      <c r="V553" s="66">
        <f t="shared" si="371"/>
        <v>455.44038333287011</v>
      </c>
      <c r="W553" s="27" t="str">
        <f t="shared" si="347"/>
        <v>OK</v>
      </c>
    </row>
    <row r="554" spans="1:23" x14ac:dyDescent="0.2">
      <c r="A554" s="3">
        <f t="shared" si="357"/>
        <v>25</v>
      </c>
      <c r="B554" s="3" t="s">
        <v>54</v>
      </c>
      <c r="C554" s="3" t="s">
        <v>31</v>
      </c>
      <c r="D554" s="16" t="str">
        <f>D115</f>
        <v>DEMANDDP</v>
      </c>
      <c r="E554" s="4" t="s">
        <v>595</v>
      </c>
      <c r="F554" s="11"/>
      <c r="G554" s="11"/>
      <c r="H554" s="14">
        <f>'II-I TOTAL COMPANY'!K554</f>
        <v>1531230.1427943213</v>
      </c>
      <c r="I554" s="66">
        <v>0</v>
      </c>
      <c r="J554" s="66">
        <f t="shared" ref="J554:J568" si="372">SUM(K554:V554)-M554-P554</f>
        <v>1531230.1427943218</v>
      </c>
      <c r="K554" s="66">
        <f t="shared" si="367"/>
        <v>866107.93928790197</v>
      </c>
      <c r="L554" s="66">
        <f t="shared" si="367"/>
        <v>30213.108262101738</v>
      </c>
      <c r="M554" s="9">
        <f t="shared" si="368"/>
        <v>455659.74753545946</v>
      </c>
      <c r="N554" s="66">
        <f t="shared" si="369"/>
        <v>61185.466555540355</v>
      </c>
      <c r="O554" s="66">
        <f t="shared" si="369"/>
        <v>394474.28097991913</v>
      </c>
      <c r="P554" s="9">
        <f t="shared" si="370"/>
        <v>156482.82137954867</v>
      </c>
      <c r="Q554" s="66">
        <f t="shared" si="371"/>
        <v>127298.32407972534</v>
      </c>
      <c r="R554" s="66">
        <f t="shared" si="371"/>
        <v>9212.0408080526031</v>
      </c>
      <c r="S554" s="66">
        <f>IF($H115&lt;&gt;0,$H554*(S115/$H115),0)</f>
        <v>19972.456491770707</v>
      </c>
      <c r="T554" s="66">
        <f t="shared" si="371"/>
        <v>0</v>
      </c>
      <c r="U554" s="66">
        <f t="shared" si="371"/>
        <v>16955.767355558444</v>
      </c>
      <c r="V554" s="66">
        <f t="shared" si="371"/>
        <v>5810.758973751108</v>
      </c>
      <c r="W554" s="27">
        <f t="shared" si="347"/>
        <v>2.3283064365386963E-10</v>
      </c>
    </row>
    <row r="555" spans="1:23" x14ac:dyDescent="0.2">
      <c r="A555" s="3">
        <f t="shared" si="357"/>
        <v>26</v>
      </c>
      <c r="B555" s="3" t="s">
        <v>55</v>
      </c>
      <c r="C555" s="3" t="s">
        <v>38</v>
      </c>
      <c r="D555" s="16" t="str">
        <f>D116</f>
        <v>DEMANDDP</v>
      </c>
      <c r="E555" s="4" t="s">
        <v>595</v>
      </c>
      <c r="F555" s="11"/>
      <c r="G555" s="11"/>
      <c r="H555" s="14">
        <f>'II-I TOTAL COMPANY'!K555</f>
        <v>19245285.888670489</v>
      </c>
      <c r="I555" s="66">
        <v>0</v>
      </c>
      <c r="J555" s="66">
        <f t="shared" si="372"/>
        <v>19245285.888670493</v>
      </c>
      <c r="K555" s="66">
        <f t="shared" si="367"/>
        <v>10885688.85642809</v>
      </c>
      <c r="L555" s="66">
        <f t="shared" si="367"/>
        <v>379733.84264001099</v>
      </c>
      <c r="M555" s="9">
        <f t="shared" si="368"/>
        <v>5726965.4405289823</v>
      </c>
      <c r="N555" s="66">
        <f t="shared" si="369"/>
        <v>769010.32913589268</v>
      </c>
      <c r="O555" s="66">
        <f t="shared" si="369"/>
        <v>4957955.1113930894</v>
      </c>
      <c r="P555" s="9">
        <f t="shared" si="370"/>
        <v>1966756.3679352754</v>
      </c>
      <c r="Q555" s="66">
        <f t="shared" si="371"/>
        <v>1599950.6355015745</v>
      </c>
      <c r="R555" s="66">
        <f t="shared" si="371"/>
        <v>115781.65424926936</v>
      </c>
      <c r="S555" s="66">
        <f>IF($H116&lt;&gt;0,$H555*(S116/$H116),0)</f>
        <v>251024.07818443156</v>
      </c>
      <c r="T555" s="66">
        <f t="shared" si="371"/>
        <v>0</v>
      </c>
      <c r="U555" s="66">
        <f t="shared" si="371"/>
        <v>213108.78169104896</v>
      </c>
      <c r="V555" s="66">
        <f t="shared" si="371"/>
        <v>73032.599447083179</v>
      </c>
      <c r="W555" s="27" t="str">
        <f t="shared" si="347"/>
        <v>OK</v>
      </c>
    </row>
    <row r="556" spans="1:23" x14ac:dyDescent="0.2">
      <c r="A556" s="3">
        <f t="shared" si="357"/>
        <v>27</v>
      </c>
      <c r="B556" s="3" t="s">
        <v>56</v>
      </c>
      <c r="C556" s="3" t="s">
        <v>57</v>
      </c>
      <c r="D556" s="16" t="str">
        <f>D117</f>
        <v>DEMANDDP</v>
      </c>
      <c r="E556" s="4" t="s">
        <v>595</v>
      </c>
      <c r="F556" s="11"/>
      <c r="G556" s="11"/>
      <c r="H556" s="14">
        <f>'II-I TOTAL COMPANY'!K556</f>
        <v>0</v>
      </c>
      <c r="I556" s="66">
        <v>0</v>
      </c>
      <c r="J556" s="66">
        <f t="shared" si="372"/>
        <v>0</v>
      </c>
      <c r="K556" s="66">
        <f t="shared" si="367"/>
        <v>0</v>
      </c>
      <c r="L556" s="66">
        <f t="shared" si="367"/>
        <v>0</v>
      </c>
      <c r="M556" s="9">
        <f t="shared" si="368"/>
        <v>0</v>
      </c>
      <c r="N556" s="66">
        <f t="shared" si="369"/>
        <v>0</v>
      </c>
      <c r="O556" s="66">
        <f t="shared" si="369"/>
        <v>0</v>
      </c>
      <c r="P556" s="9">
        <f t="shared" si="370"/>
        <v>0</v>
      </c>
      <c r="Q556" s="66">
        <f t="shared" si="371"/>
        <v>0</v>
      </c>
      <c r="R556" s="66">
        <f t="shared" si="371"/>
        <v>0</v>
      </c>
      <c r="S556" s="66">
        <f>IF($H117&lt;&gt;0,$H556*(S117/$H117),0)</f>
        <v>0</v>
      </c>
      <c r="T556" s="66">
        <f t="shared" si="371"/>
        <v>0</v>
      </c>
      <c r="U556" s="66">
        <f t="shared" si="371"/>
        <v>0</v>
      </c>
      <c r="V556" s="66">
        <f t="shared" si="371"/>
        <v>0</v>
      </c>
      <c r="W556" s="27" t="str">
        <f t="shared" si="347"/>
        <v>OK</v>
      </c>
    </row>
    <row r="557" spans="1:23" x14ac:dyDescent="0.2">
      <c r="A557" s="3">
        <f t="shared" si="357"/>
        <v>28</v>
      </c>
      <c r="B557" s="3" t="s">
        <v>58</v>
      </c>
      <c r="C557" s="3" t="s">
        <v>59</v>
      </c>
      <c r="D557" s="3" t="str">
        <f>B557</f>
        <v>A364</v>
      </c>
      <c r="E557" s="4" t="s">
        <v>595</v>
      </c>
      <c r="F557" s="11"/>
      <c r="G557" s="11"/>
      <c r="H557" s="14">
        <f>'II-I TOTAL COMPANY'!K557</f>
        <v>43484356.269545406</v>
      </c>
      <c r="I557" s="66">
        <v>0</v>
      </c>
      <c r="J557" s="66">
        <f t="shared" si="372"/>
        <v>43484356.269545414</v>
      </c>
      <c r="K557" s="66">
        <f>IF($H121&lt;&gt;0,$H557*(K121/$H121),0)</f>
        <v>25464672.86110526</v>
      </c>
      <c r="L557" s="66">
        <f>IF($H121&lt;&gt;0,$H557*(L121/$H121),0)</f>
        <v>888303.73572621495</v>
      </c>
      <c r="M557" s="9">
        <f t="shared" si="368"/>
        <v>13396974.996562494</v>
      </c>
      <c r="N557" s="66">
        <f>IF($H121&lt;&gt;0,$H557*(N121/$H121),0)</f>
        <v>1798930.386173283</v>
      </c>
      <c r="O557" s="66">
        <f>IF($H121&lt;&gt;0,$H557*(O121/$H121),0)</f>
        <v>11598044.61038921</v>
      </c>
      <c r="P557" s="9">
        <f t="shared" si="370"/>
        <v>3120026.0234685251</v>
      </c>
      <c r="Q557" s="66">
        <f t="shared" ref="Q557:V557" si="373">IF($H121&lt;&gt;0,$H557*(Q121/$H121),0)</f>
        <v>2538132.1756036622</v>
      </c>
      <c r="R557" s="66">
        <f t="shared" si="373"/>
        <v>183673.88060229932</v>
      </c>
      <c r="S557" s="66">
        <f t="shared" si="373"/>
        <v>398219.96726256376</v>
      </c>
      <c r="T557" s="66">
        <f t="shared" si="373"/>
        <v>0</v>
      </c>
      <c r="U557" s="66">
        <f t="shared" si="373"/>
        <v>498521.08407330781</v>
      </c>
      <c r="V557" s="66">
        <f t="shared" si="373"/>
        <v>115857.56860961203</v>
      </c>
      <c r="W557" s="27" t="str">
        <f t="shared" si="347"/>
        <v>OK</v>
      </c>
    </row>
    <row r="558" spans="1:23" x14ac:dyDescent="0.2">
      <c r="A558" s="3">
        <f t="shared" si="357"/>
        <v>29</v>
      </c>
      <c r="B558" s="3" t="s">
        <v>63</v>
      </c>
      <c r="C558" s="3" t="s">
        <v>44</v>
      </c>
      <c r="D558" s="3" t="str">
        <f>B558</f>
        <v>A365</v>
      </c>
      <c r="E558" s="4" t="s">
        <v>595</v>
      </c>
      <c r="F558" s="11"/>
      <c r="G558" s="11"/>
      <c r="H558" s="14">
        <f>'II-I TOTAL COMPANY'!K558</f>
        <v>40621699.592868529</v>
      </c>
      <c r="I558" s="66">
        <v>0</v>
      </c>
      <c r="J558" s="66">
        <f t="shared" si="372"/>
        <v>40621699.592868514</v>
      </c>
      <c r="K558" s="66">
        <f>IF($H125&lt;&gt;0,$H558*(K125/$H125),0)</f>
        <v>23428444.857931688</v>
      </c>
      <c r="L558" s="66">
        <f>IF($H125&lt;&gt;0,$H558*(L125/$H125),0)</f>
        <v>817272.43083275412</v>
      </c>
      <c r="M558" s="9">
        <f t="shared" si="368"/>
        <v>12325714.596139951</v>
      </c>
      <c r="N558" s="66">
        <f>IF($H125&lt;&gt;0,$H558*(N125/$H125),0)</f>
        <v>1655082.7723411496</v>
      </c>
      <c r="O558" s="66">
        <f>IF($H125&lt;&gt;0,$H558*(O125/$H125),0)</f>
        <v>10670631.823798802</v>
      </c>
      <c r="P558" s="9">
        <f t="shared" si="370"/>
        <v>3463015.8054928198</v>
      </c>
      <c r="Q558" s="66">
        <f t="shared" ref="Q558:V558" si="374">IF($H125&lt;&gt;0,$H558*(Q125/$H125),0)</f>
        <v>2817153.3745010216</v>
      </c>
      <c r="R558" s="66">
        <f t="shared" si="374"/>
        <v>203865.46355624657</v>
      </c>
      <c r="S558" s="66">
        <f t="shared" si="374"/>
        <v>441996.96743555181</v>
      </c>
      <c r="T558" s="66">
        <f t="shared" si="374"/>
        <v>0</v>
      </c>
      <c r="U558" s="66">
        <f t="shared" si="374"/>
        <v>458657.91374713491</v>
      </c>
      <c r="V558" s="66">
        <f t="shared" si="374"/>
        <v>128593.98872417858</v>
      </c>
      <c r="W558" s="27">
        <f t="shared" si="347"/>
        <v>-7.4505805969238281E-9</v>
      </c>
    </row>
    <row r="559" spans="1:23" x14ac:dyDescent="0.2">
      <c r="A559" s="3">
        <f t="shared" si="357"/>
        <v>30</v>
      </c>
      <c r="B559" s="3" t="s">
        <v>64</v>
      </c>
      <c r="C559" s="3" t="s">
        <v>65</v>
      </c>
      <c r="D559" s="3" t="str">
        <f>B559</f>
        <v>A366</v>
      </c>
      <c r="E559" s="4" t="s">
        <v>595</v>
      </c>
      <c r="F559" s="11"/>
      <c r="G559" s="11"/>
      <c r="H559" s="14">
        <f>'II-I TOTAL COMPANY'!K559</f>
        <v>1485236.3349345445</v>
      </c>
      <c r="I559" s="66">
        <v>0</v>
      </c>
      <c r="J559" s="66">
        <f t="shared" si="372"/>
        <v>1485236.3349345443</v>
      </c>
      <c r="K559" s="66">
        <f>IF($H130&lt;&gt;0,$H559*(K130/$H130),0)</f>
        <v>880020.84879954136</v>
      </c>
      <c r="L559" s="66">
        <f>IF($H130&lt;&gt;0,$H559*(L130/$H130),0)</f>
        <v>30698.442967221279</v>
      </c>
      <c r="M559" s="9">
        <f t="shared" si="368"/>
        <v>462979.33502333035</v>
      </c>
      <c r="N559" s="66">
        <f>IF($H130&lt;&gt;0,$H559*(N130/$H130),0)</f>
        <v>62168.332340507724</v>
      </c>
      <c r="O559" s="66">
        <f>IF($H130&lt;&gt;0,$H559*(O130/$H130),0)</f>
        <v>400811.00268282264</v>
      </c>
      <c r="P559" s="9">
        <f t="shared" si="370"/>
        <v>90932.908644676703</v>
      </c>
      <c r="Q559" s="66">
        <f t="shared" ref="Q559:V559" si="375">IF($H130&lt;&gt;0,$H559*(Q130/$H130),0)</f>
        <v>73973.659038812388</v>
      </c>
      <c r="R559" s="66">
        <f t="shared" si="375"/>
        <v>5353.160544043978</v>
      </c>
      <c r="S559" s="66">
        <f t="shared" si="375"/>
        <v>11606.089061820341</v>
      </c>
      <c r="T559" s="66">
        <f t="shared" si="375"/>
        <v>0</v>
      </c>
      <c r="U559" s="66">
        <f t="shared" si="375"/>
        <v>17228.139938948283</v>
      </c>
      <c r="V559" s="66">
        <f t="shared" si="375"/>
        <v>3376.6595608264142</v>
      </c>
      <c r="W559" s="27">
        <f t="shared" si="347"/>
        <v>-2.3283064365386963E-10</v>
      </c>
    </row>
    <row r="560" spans="1:23" x14ac:dyDescent="0.2">
      <c r="A560" s="3">
        <f t="shared" si="357"/>
        <v>31</v>
      </c>
      <c r="B560" s="3" t="s">
        <v>66</v>
      </c>
      <c r="C560" s="3" t="s">
        <v>67</v>
      </c>
      <c r="D560" s="3" t="str">
        <f>B560</f>
        <v>A367</v>
      </c>
      <c r="E560" s="4" t="s">
        <v>595</v>
      </c>
      <c r="F560" s="11"/>
      <c r="G560" s="11"/>
      <c r="H560" s="14">
        <f>'II-I TOTAL COMPANY'!K560</f>
        <v>12658093.909374265</v>
      </c>
      <c r="I560" s="66">
        <v>0</v>
      </c>
      <c r="J560" s="66">
        <f t="shared" si="372"/>
        <v>12658093.909374271</v>
      </c>
      <c r="K560" s="66">
        <f>IF($H135&lt;&gt;0,$H560*(K135/$H135),0)</f>
        <v>7500076.7785571096</v>
      </c>
      <c r="L560" s="66">
        <f>IF($H135&lt;&gt;0,$H560*(L135/$H135),0)</f>
        <v>261630.93698336041</v>
      </c>
      <c r="M560" s="9">
        <f t="shared" si="368"/>
        <v>3945793.5164798135</v>
      </c>
      <c r="N560" s="66">
        <f>IF($H135&lt;&gt;0,$H560*(N135/$H135),0)</f>
        <v>529836.61283105961</v>
      </c>
      <c r="O560" s="66">
        <f>IF($H135&lt;&gt;0,$H560*(O135/$H135),0)</f>
        <v>3415956.9036487537</v>
      </c>
      <c r="P560" s="9">
        <f t="shared" si="370"/>
        <v>774985.9534156872</v>
      </c>
      <c r="Q560" s="66">
        <f t="shared" ref="Q560:V560" si="376">IF($H135&lt;&gt;0,$H560*(Q135/$H135),0)</f>
        <v>630448.83895503823</v>
      </c>
      <c r="R560" s="66">
        <f t="shared" si="376"/>
        <v>45622.91352874288</v>
      </c>
      <c r="S560" s="66">
        <f t="shared" si="376"/>
        <v>98914.200931906133</v>
      </c>
      <c r="T560" s="66">
        <f t="shared" si="376"/>
        <v>0</v>
      </c>
      <c r="U560" s="66">
        <f t="shared" si="376"/>
        <v>146828.76260272719</v>
      </c>
      <c r="V560" s="66">
        <f t="shared" si="376"/>
        <v>28777.961335568118</v>
      </c>
      <c r="W560" s="27" t="str">
        <f t="shared" si="347"/>
        <v>OK</v>
      </c>
    </row>
    <row r="561" spans="1:23" x14ac:dyDescent="0.2">
      <c r="A561" s="3">
        <f t="shared" si="357"/>
        <v>32</v>
      </c>
      <c r="B561" s="3" t="s">
        <v>69</v>
      </c>
      <c r="C561" s="3" t="s">
        <v>70</v>
      </c>
      <c r="D561" s="3" t="str">
        <f>B561</f>
        <v>A368</v>
      </c>
      <c r="E561" s="4" t="s">
        <v>595</v>
      </c>
      <c r="F561" s="11"/>
      <c r="G561" s="11"/>
      <c r="H561" s="14">
        <f>'II-I TOTAL COMPANY'!K561</f>
        <v>31322680.60329067</v>
      </c>
      <c r="I561" s="66">
        <v>0</v>
      </c>
      <c r="J561" s="66">
        <f t="shared" si="372"/>
        <v>31322680.603290681</v>
      </c>
      <c r="K561" s="66">
        <f>IF($H139&lt;&gt;0,$H561*(K139/$H139),0)</f>
        <v>19598158.006939992</v>
      </c>
      <c r="L561" s="66">
        <f>IF($H139&lt;&gt;0,$H561*(L139/$H139),0)</f>
        <v>683657.59363467467</v>
      </c>
      <c r="M561" s="9">
        <f t="shared" si="368"/>
        <v>10310599.088774636</v>
      </c>
      <c r="N561" s="66">
        <f>IF($H139&lt;&gt;0,$H561*(N139/$H139),0)</f>
        <v>1384495.3808756431</v>
      </c>
      <c r="O561" s="66">
        <f>IF($H139&lt;&gt;0,$H561*(O139/$H139),0)</f>
        <v>8926103.707898993</v>
      </c>
      <c r="P561" s="9">
        <f t="shared" si="370"/>
        <v>334183.97365989955</v>
      </c>
      <c r="Q561" s="66">
        <f t="shared" ref="Q561:V561" si="377">IF($H139&lt;&gt;0,$H561*(Q139/$H139),0)</f>
        <v>271857.6991785256</v>
      </c>
      <c r="R561" s="66">
        <f t="shared" si="377"/>
        <v>19673.190805304042</v>
      </c>
      <c r="S561" s="66">
        <f t="shared" si="377"/>
        <v>42653.083676069917</v>
      </c>
      <c r="T561" s="66">
        <f t="shared" si="377"/>
        <v>0</v>
      </c>
      <c r="U561" s="66">
        <f t="shared" si="377"/>
        <v>383672.51088399207</v>
      </c>
      <c r="V561" s="66">
        <f t="shared" si="377"/>
        <v>12409.42939748053</v>
      </c>
      <c r="W561" s="27">
        <f t="shared" si="347"/>
        <v>3.7252902984619141E-9</v>
      </c>
    </row>
    <row r="562" spans="1:23" x14ac:dyDescent="0.2">
      <c r="A562" s="3">
        <f t="shared" si="357"/>
        <v>33</v>
      </c>
      <c r="B562" s="3" t="s">
        <v>72</v>
      </c>
      <c r="C562" s="3" t="s">
        <v>73</v>
      </c>
      <c r="D562" s="16" t="str">
        <f>D141</f>
        <v>SERVICES</v>
      </c>
      <c r="E562" s="4" t="s">
        <v>595</v>
      </c>
      <c r="F562" s="11"/>
      <c r="G562" s="11"/>
      <c r="H562" s="14">
        <f>'II-I TOTAL COMPANY'!K562</f>
        <v>7344259.7496501962</v>
      </c>
      <c r="I562" s="66">
        <v>0</v>
      </c>
      <c r="J562" s="66">
        <f t="shared" si="372"/>
        <v>7344259.7496501962</v>
      </c>
      <c r="K562" s="66">
        <f t="shared" ref="K562:L564" si="378">IF($H141&lt;&gt;0,$H562*(K141/$H141),0)</f>
        <v>5944817.975921154</v>
      </c>
      <c r="L562" s="66">
        <f t="shared" si="378"/>
        <v>600674.27658905787</v>
      </c>
      <c r="M562" s="9">
        <f t="shared" si="368"/>
        <v>798767.49713998381</v>
      </c>
      <c r="N562" s="66">
        <f t="shared" ref="N562:O564" si="379">IF($H141&lt;&gt;0,$H562*(N141/$H141),0)</f>
        <v>3292.6546093370434</v>
      </c>
      <c r="O562" s="66">
        <f t="shared" si="379"/>
        <v>795474.84253064671</v>
      </c>
      <c r="P562" s="9">
        <f t="shared" si="370"/>
        <v>0</v>
      </c>
      <c r="Q562" s="66">
        <f t="shared" ref="Q562:V564" si="380">IF($H141&lt;&gt;0,$H562*(Q141/$H141),0)</f>
        <v>0</v>
      </c>
      <c r="R562" s="66">
        <f t="shared" si="380"/>
        <v>0</v>
      </c>
      <c r="S562" s="66">
        <f>IF($H141&lt;&gt;0,$H562*(S141/$H141),0)</f>
        <v>0</v>
      </c>
      <c r="T562" s="66">
        <f t="shared" si="380"/>
        <v>0</v>
      </c>
      <c r="U562" s="66">
        <f t="shared" si="380"/>
        <v>0</v>
      </c>
      <c r="V562" s="66">
        <f t="shared" si="380"/>
        <v>0</v>
      </c>
      <c r="W562" s="27" t="str">
        <f t="shared" si="347"/>
        <v>OK</v>
      </c>
    </row>
    <row r="563" spans="1:23" x14ac:dyDescent="0.2">
      <c r="A563" s="3">
        <f t="shared" si="357"/>
        <v>34</v>
      </c>
      <c r="B563" s="3" t="s">
        <v>74</v>
      </c>
      <c r="C563" s="3" t="s">
        <v>75</v>
      </c>
      <c r="D563" s="16" t="str">
        <f>D142</f>
        <v>METERS</v>
      </c>
      <c r="E563" s="4" t="s">
        <v>595</v>
      </c>
      <c r="F563" s="11"/>
      <c r="G563" s="11"/>
      <c r="H563" s="14">
        <f>'II-I TOTAL COMPANY'!K563</f>
        <v>0</v>
      </c>
      <c r="I563" s="66">
        <v>0</v>
      </c>
      <c r="J563" s="66">
        <f t="shared" si="372"/>
        <v>0</v>
      </c>
      <c r="K563" s="66">
        <f t="shared" si="378"/>
        <v>0</v>
      </c>
      <c r="L563" s="66">
        <f t="shared" si="378"/>
        <v>0</v>
      </c>
      <c r="M563" s="9">
        <f t="shared" si="368"/>
        <v>0</v>
      </c>
      <c r="N563" s="66">
        <f t="shared" si="379"/>
        <v>0</v>
      </c>
      <c r="O563" s="66">
        <f t="shared" si="379"/>
        <v>0</v>
      </c>
      <c r="P563" s="9">
        <f t="shared" si="370"/>
        <v>0</v>
      </c>
      <c r="Q563" s="66">
        <f t="shared" si="380"/>
        <v>0</v>
      </c>
      <c r="R563" s="66">
        <f t="shared" si="380"/>
        <v>0</v>
      </c>
      <c r="S563" s="66">
        <f>IF($H142&lt;&gt;0,$H563*(S142/$H142),0)</f>
        <v>0</v>
      </c>
      <c r="T563" s="66">
        <f t="shared" si="380"/>
        <v>0</v>
      </c>
      <c r="U563" s="66">
        <f t="shared" si="380"/>
        <v>0</v>
      </c>
      <c r="V563" s="66">
        <f t="shared" si="380"/>
        <v>0</v>
      </c>
      <c r="W563" s="27" t="str">
        <f t="shared" si="347"/>
        <v>OK</v>
      </c>
    </row>
    <row r="564" spans="1:23" x14ac:dyDescent="0.2">
      <c r="A564" s="3">
        <f t="shared" si="357"/>
        <v>35</v>
      </c>
      <c r="B564" s="3" t="s">
        <v>76</v>
      </c>
      <c r="C564" s="3" t="s">
        <v>77</v>
      </c>
      <c r="D564" s="16" t="str">
        <f>D143</f>
        <v>NROADLIGHT</v>
      </c>
      <c r="E564" s="4" t="s">
        <v>595</v>
      </c>
      <c r="F564" s="11"/>
      <c r="G564" s="11"/>
      <c r="H564" s="14">
        <f>'II-I TOTAL COMPANY'!K564</f>
        <v>1338981.8461807715</v>
      </c>
      <c r="I564" s="66">
        <v>0</v>
      </c>
      <c r="J564" s="66">
        <f t="shared" si="372"/>
        <v>1338981.8461807715</v>
      </c>
      <c r="K564" s="66">
        <f t="shared" si="378"/>
        <v>0</v>
      </c>
      <c r="L564" s="66">
        <f t="shared" si="378"/>
        <v>0</v>
      </c>
      <c r="M564" s="9">
        <f t="shared" si="368"/>
        <v>0</v>
      </c>
      <c r="N564" s="66">
        <f t="shared" si="379"/>
        <v>0</v>
      </c>
      <c r="O564" s="66">
        <f t="shared" si="379"/>
        <v>0</v>
      </c>
      <c r="P564" s="9">
        <f t="shared" si="370"/>
        <v>0</v>
      </c>
      <c r="Q564" s="66">
        <f t="shared" si="380"/>
        <v>0</v>
      </c>
      <c r="R564" s="66">
        <f t="shared" si="380"/>
        <v>0</v>
      </c>
      <c r="S564" s="66">
        <f>IF($H143&lt;&gt;0,$H564*(S143/$H143),0)</f>
        <v>0</v>
      </c>
      <c r="T564" s="66">
        <f t="shared" si="380"/>
        <v>0</v>
      </c>
      <c r="U564" s="66">
        <f t="shared" si="380"/>
        <v>1338981.8461807715</v>
      </c>
      <c r="V564" s="66">
        <f t="shared" si="380"/>
        <v>0</v>
      </c>
      <c r="W564" s="27" t="str">
        <f t="shared" si="347"/>
        <v>OK</v>
      </c>
    </row>
    <row r="565" spans="1:23" x14ac:dyDescent="0.2">
      <c r="A565" s="3">
        <f t="shared" si="357"/>
        <v>36</v>
      </c>
      <c r="B565" s="3" t="s">
        <v>74</v>
      </c>
      <c r="C565" s="3" t="s">
        <v>817</v>
      </c>
      <c r="D565" s="16" t="str">
        <f>D146</f>
        <v>METERS</v>
      </c>
      <c r="E565" s="4" t="s">
        <v>595</v>
      </c>
      <c r="F565" s="4"/>
      <c r="G565" s="4"/>
      <c r="H565" s="14">
        <f>'II-I TOTAL COMPANY'!K565</f>
        <v>0</v>
      </c>
      <c r="I565" s="66">
        <v>0</v>
      </c>
      <c r="J565" s="66">
        <f t="shared" si="372"/>
        <v>0</v>
      </c>
      <c r="K565" s="66">
        <f>IF($H146&lt;&gt;0,$H565*(K146/$H146),0)</f>
        <v>0</v>
      </c>
      <c r="L565" s="66">
        <f>IF($H146&lt;&gt;0,$H565*(L146/$H146),0)</f>
        <v>0</v>
      </c>
      <c r="M565" s="9">
        <f>SUM(N565:O565)</f>
        <v>0</v>
      </c>
      <c r="N565" s="66">
        <f t="shared" ref="N565:V565" si="381">IF($H146&lt;&gt;0,$H565*(N146/$H146),0)</f>
        <v>0</v>
      </c>
      <c r="O565" s="66">
        <f t="shared" si="381"/>
        <v>0</v>
      </c>
      <c r="P565" s="9">
        <f>SUM(Q565:S565)</f>
        <v>0</v>
      </c>
      <c r="Q565" s="66">
        <f t="shared" si="381"/>
        <v>0</v>
      </c>
      <c r="R565" s="66">
        <f t="shared" si="381"/>
        <v>0</v>
      </c>
      <c r="S565" s="66">
        <f t="shared" si="381"/>
        <v>0</v>
      </c>
      <c r="T565" s="66">
        <f t="shared" si="381"/>
        <v>0</v>
      </c>
      <c r="U565" s="66">
        <f t="shared" si="381"/>
        <v>0</v>
      </c>
      <c r="V565" s="66">
        <f t="shared" si="381"/>
        <v>0</v>
      </c>
      <c r="W565" s="27" t="str">
        <f t="shared" si="347"/>
        <v>OK</v>
      </c>
    </row>
    <row r="566" spans="1:23" x14ac:dyDescent="0.2">
      <c r="A566" s="3">
        <f t="shared" si="357"/>
        <v>37</v>
      </c>
      <c r="B566" s="3" t="s">
        <v>78</v>
      </c>
      <c r="C566" s="3" t="s">
        <v>79</v>
      </c>
      <c r="D566" s="16" t="str">
        <f>D144</f>
        <v>DEMANDDP</v>
      </c>
      <c r="E566" s="4" t="s">
        <v>595</v>
      </c>
      <c r="F566" s="11"/>
      <c r="G566" s="11"/>
      <c r="H566" s="14">
        <f>'II-I TOTAL COMPANY'!K566</f>
        <v>1349.017365706957</v>
      </c>
      <c r="I566" s="66">
        <v>0</v>
      </c>
      <c r="J566" s="66">
        <f t="shared" si="372"/>
        <v>1349.0173657069572</v>
      </c>
      <c r="K566" s="66">
        <f>IF($H144&lt;&gt;0,$H566*(K144/$H144),0)</f>
        <v>763.04313637913299</v>
      </c>
      <c r="L566" s="66">
        <f>IF($H144&lt;&gt;0,$H566*(L144/$H144),0)</f>
        <v>26.617819606908235</v>
      </c>
      <c r="M566" s="9">
        <f t="shared" si="368"/>
        <v>401.43731180555119</v>
      </c>
      <c r="N566" s="66">
        <f>IF($H144&lt;&gt;0,$H566*(N144/$H144),0)</f>
        <v>53.904540281371141</v>
      </c>
      <c r="O566" s="66">
        <f>IF($H144&lt;&gt;0,$H566*(O144/$H144),0)</f>
        <v>347.53277152418008</v>
      </c>
      <c r="P566" s="9">
        <f>SUM(Q566:S566)</f>
        <v>137.86173454670961</v>
      </c>
      <c r="Q566" s="66">
        <f t="shared" ref="Q566:V567" si="382">IF($H144&lt;&gt;0,$H566*(Q144/$H144),0)</f>
        <v>112.15012362253925</v>
      </c>
      <c r="R566" s="66">
        <f t="shared" si="382"/>
        <v>8.1158296694616237</v>
      </c>
      <c r="S566" s="66">
        <f>IF($H144&lt;&gt;0,$H566*(S144/$H144),0)</f>
        <v>17.595781254708754</v>
      </c>
      <c r="T566" s="66">
        <f t="shared" si="382"/>
        <v>0</v>
      </c>
      <c r="U566" s="66">
        <f t="shared" si="382"/>
        <v>14.938071013801819</v>
      </c>
      <c r="V566" s="66">
        <f t="shared" si="382"/>
        <v>5.1192923548532256</v>
      </c>
      <c r="W566" s="27">
        <f t="shared" si="347"/>
        <v>2.2737367544323206E-13</v>
      </c>
    </row>
    <row r="567" spans="1:23" x14ac:dyDescent="0.2">
      <c r="A567" s="3">
        <f t="shared" si="357"/>
        <v>38</v>
      </c>
      <c r="B567" s="3" t="s">
        <v>80</v>
      </c>
      <c r="C567" s="3" t="s">
        <v>81</v>
      </c>
      <c r="D567" s="16" t="str">
        <f>D145</f>
        <v>ROADLIGHT</v>
      </c>
      <c r="E567" s="4" t="s">
        <v>595</v>
      </c>
      <c r="F567" s="11"/>
      <c r="G567" s="11"/>
      <c r="H567" s="14">
        <f>'II-I TOTAL COMPANY'!K567</f>
        <v>3826298.220244647</v>
      </c>
      <c r="I567" s="66">
        <v>0</v>
      </c>
      <c r="J567" s="66">
        <f t="shared" si="372"/>
        <v>3826298.220244647</v>
      </c>
      <c r="K567" s="66">
        <f>IF($H145&lt;&gt;0,$H567*(K145/$H145),0)</f>
        <v>0</v>
      </c>
      <c r="L567" s="66">
        <f>IF($H145&lt;&gt;0,$H567*(L145/$H145),0)</f>
        <v>0</v>
      </c>
      <c r="M567" s="9">
        <f t="shared" si="368"/>
        <v>0</v>
      </c>
      <c r="N567" s="66">
        <f>IF($H145&lt;&gt;0,$H567*(N145/$H145),0)</f>
        <v>0</v>
      </c>
      <c r="O567" s="66">
        <f>IF($H145&lt;&gt;0,$H567*(O145/$H145),0)</f>
        <v>0</v>
      </c>
      <c r="P567" s="9">
        <f>SUM(Q567:S567)</f>
        <v>0</v>
      </c>
      <c r="Q567" s="66">
        <f t="shared" si="382"/>
        <v>0</v>
      </c>
      <c r="R567" s="66">
        <f t="shared" si="382"/>
        <v>0</v>
      </c>
      <c r="S567" s="66">
        <f>IF($H145&lt;&gt;0,$H567*(S145/$H145),0)</f>
        <v>0</v>
      </c>
      <c r="T567" s="66">
        <f t="shared" si="382"/>
        <v>0</v>
      </c>
      <c r="U567" s="66">
        <f t="shared" si="382"/>
        <v>3826298.220244647</v>
      </c>
      <c r="V567" s="66">
        <f t="shared" si="382"/>
        <v>0</v>
      </c>
      <c r="W567" s="27" t="str">
        <f t="shared" si="347"/>
        <v>OK</v>
      </c>
    </row>
    <row r="568" spans="1:23" x14ac:dyDescent="0.2">
      <c r="A568" s="3">
        <f t="shared" si="357"/>
        <v>39</v>
      </c>
      <c r="B568" s="3"/>
      <c r="C568" s="3" t="s">
        <v>287</v>
      </c>
      <c r="D568" s="3"/>
      <c r="E568" s="4"/>
      <c r="F568" s="8"/>
      <c r="G568" s="8"/>
      <c r="H568" s="8">
        <f t="shared" ref="H568:V568" si="383">SUM(H553:H567)</f>
        <v>162979487.57392335</v>
      </c>
      <c r="I568" s="8">
        <f t="shared" si="383"/>
        <v>0</v>
      </c>
      <c r="J568" s="66">
        <f t="shared" si="372"/>
        <v>162979487.57392338</v>
      </c>
      <c r="K568" s="8">
        <f t="shared" si="383"/>
        <v>94636635.679176807</v>
      </c>
      <c r="L568" s="8">
        <f t="shared" si="383"/>
        <v>3694579.0529778046</v>
      </c>
      <c r="M568" s="9">
        <f t="shared" si="368"/>
        <v>47459569.725039594</v>
      </c>
      <c r="N568" s="8">
        <f t="shared" si="383"/>
        <v>6268851.4835635247</v>
      </c>
      <c r="O568" s="8">
        <f t="shared" si="383"/>
        <v>41190718.241476066</v>
      </c>
      <c r="P568" s="9">
        <f>SUM(Q568:S568)</f>
        <v>9918786.6533193476</v>
      </c>
      <c r="Q568" s="8">
        <f t="shared" si="383"/>
        <v>8068904.3483524546</v>
      </c>
      <c r="R568" s="8">
        <f t="shared" si="383"/>
        <v>583912.44873532909</v>
      </c>
      <c r="S568" s="8">
        <f>SUM(S553:S567)</f>
        <v>1265969.856231564</v>
      </c>
      <c r="T568" s="8">
        <f t="shared" si="383"/>
        <v>0</v>
      </c>
      <c r="U568" s="8">
        <f t="shared" si="383"/>
        <v>6901596.9376856349</v>
      </c>
      <c r="V568" s="8">
        <f t="shared" si="383"/>
        <v>368319.52572418767</v>
      </c>
      <c r="W568" s="27">
        <f t="shared" si="347"/>
        <v>5.9604644775390625E-8</v>
      </c>
    </row>
    <row r="569" spans="1:23" x14ac:dyDescent="0.2">
      <c r="A569" s="3">
        <f t="shared" si="357"/>
        <v>40</v>
      </c>
      <c r="B569" s="3"/>
      <c r="C569" s="3"/>
      <c r="D569" s="3"/>
      <c r="E569" s="4"/>
      <c r="F569" s="4"/>
      <c r="G569" s="4"/>
      <c r="H569" s="8"/>
      <c r="I569" s="8"/>
      <c r="J569" s="8"/>
      <c r="K569" s="10"/>
      <c r="L569" s="10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27" t="str">
        <f t="shared" si="347"/>
        <v>OK</v>
      </c>
    </row>
    <row r="570" spans="1:23" x14ac:dyDescent="0.2">
      <c r="A570" s="3">
        <f t="shared" si="357"/>
        <v>41</v>
      </c>
      <c r="B570" s="3" t="s">
        <v>84</v>
      </c>
      <c r="C570" s="3"/>
      <c r="D570" s="3"/>
      <c r="E570" s="4"/>
      <c r="F570" s="4"/>
      <c r="G570" s="4"/>
      <c r="H570" s="8"/>
      <c r="I570" s="8"/>
      <c r="J570" s="8"/>
      <c r="K570" s="10"/>
      <c r="L570" s="10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27" t="str">
        <f t="shared" si="347"/>
        <v>OK</v>
      </c>
    </row>
    <row r="571" spans="1:23" x14ac:dyDescent="0.2">
      <c r="A571" s="3">
        <f t="shared" si="357"/>
        <v>42</v>
      </c>
      <c r="B571" s="3" t="s">
        <v>85</v>
      </c>
      <c r="C571" s="3" t="s">
        <v>35</v>
      </c>
      <c r="D571" s="16" t="str">
        <f t="shared" ref="D571:D578" si="384">D151</f>
        <v>LABOR</v>
      </c>
      <c r="E571" s="4" t="s">
        <v>595</v>
      </c>
      <c r="F571" s="11"/>
      <c r="G571" s="11"/>
      <c r="H571" s="14">
        <f>'II-I TOTAL COMPANY'!K571</f>
        <v>0</v>
      </c>
      <c r="I571" s="66">
        <v>0</v>
      </c>
      <c r="J571" s="66">
        <f>SUM(K571:V571)-M571-P571</f>
        <v>0</v>
      </c>
      <c r="K571" s="66">
        <f t="shared" ref="K571:L578" si="385">IF($H151&lt;&gt;0,$H571*(K151/$H151),0)</f>
        <v>0</v>
      </c>
      <c r="L571" s="66">
        <f t="shared" si="385"/>
        <v>0</v>
      </c>
      <c r="M571" s="9">
        <f t="shared" ref="M571:M582" si="386">SUM(N571:O571)</f>
        <v>0</v>
      </c>
      <c r="N571" s="66">
        <f t="shared" ref="N571:O578" si="387">IF($H151&lt;&gt;0,$H571*(N151/$H151),0)</f>
        <v>0</v>
      </c>
      <c r="O571" s="66">
        <f t="shared" si="387"/>
        <v>0</v>
      </c>
      <c r="P571" s="9">
        <f t="shared" ref="P571:P582" si="388">SUM(Q571:S571)</f>
        <v>0</v>
      </c>
      <c r="Q571" s="66">
        <f t="shared" ref="Q571:V578" si="389">IF($H151&lt;&gt;0,$H571*(Q151/$H151),0)</f>
        <v>0</v>
      </c>
      <c r="R571" s="66">
        <f t="shared" si="389"/>
        <v>0</v>
      </c>
      <c r="S571" s="66">
        <f t="shared" ref="S571:S578" si="390">IF($H151&lt;&gt;0,$H571*(S151/$H151),0)</f>
        <v>0</v>
      </c>
      <c r="T571" s="66">
        <f t="shared" si="389"/>
        <v>0</v>
      </c>
      <c r="U571" s="66">
        <f t="shared" si="389"/>
        <v>0</v>
      </c>
      <c r="V571" s="66">
        <f t="shared" si="389"/>
        <v>0</v>
      </c>
      <c r="W571" s="27" t="str">
        <f t="shared" si="347"/>
        <v>OK</v>
      </c>
    </row>
    <row r="572" spans="1:23" x14ac:dyDescent="0.2">
      <c r="A572" s="3">
        <f t="shared" si="357"/>
        <v>43</v>
      </c>
      <c r="B572" s="3" t="s">
        <v>86</v>
      </c>
      <c r="C572" s="3" t="s">
        <v>31</v>
      </c>
      <c r="D572" s="16" t="str">
        <f t="shared" si="384"/>
        <v>LABOR</v>
      </c>
      <c r="E572" s="4" t="s">
        <v>595</v>
      </c>
      <c r="F572" s="11"/>
      <c r="G572" s="11"/>
      <c r="H572" s="14">
        <f>'II-I TOTAL COMPANY'!K572</f>
        <v>5217051.2958346838</v>
      </c>
      <c r="I572" s="66">
        <v>0</v>
      </c>
      <c r="J572" s="66">
        <f t="shared" ref="J572:J582" si="391">SUM(K572:V572)-M572-P572</f>
        <v>5217051.2958346838</v>
      </c>
      <c r="K572" s="66">
        <f t="shared" si="385"/>
        <v>2998154.8677189928</v>
      </c>
      <c r="L572" s="66">
        <f t="shared" si="385"/>
        <v>110884.91215275701</v>
      </c>
      <c r="M572" s="9">
        <f t="shared" si="386"/>
        <v>1540160.6030448864</v>
      </c>
      <c r="N572" s="66">
        <f t="shared" si="387"/>
        <v>205140.4012625076</v>
      </c>
      <c r="O572" s="66">
        <f t="shared" si="387"/>
        <v>1335020.2017823788</v>
      </c>
      <c r="P572" s="9">
        <f t="shared" si="388"/>
        <v>406175.18966986111</v>
      </c>
      <c r="Q572" s="66">
        <f t="shared" si="389"/>
        <v>330413.70732845279</v>
      </c>
      <c r="R572" s="66">
        <f t="shared" si="389"/>
        <v>23912.261615309242</v>
      </c>
      <c r="S572" s="66">
        <f t="shared" si="390"/>
        <v>51849.220726099105</v>
      </c>
      <c r="T572" s="66">
        <f t="shared" si="389"/>
        <v>28.110534789664314</v>
      </c>
      <c r="U572" s="66">
        <f t="shared" si="389"/>
        <v>146569.19450460927</v>
      </c>
      <c r="V572" s="66">
        <f t="shared" si="389"/>
        <v>15078.418208787334</v>
      </c>
      <c r="W572" s="27" t="str">
        <f t="shared" si="347"/>
        <v>OK</v>
      </c>
    </row>
    <row r="573" spans="1:23" x14ac:dyDescent="0.2">
      <c r="A573" s="3">
        <f t="shared" si="357"/>
        <v>44</v>
      </c>
      <c r="B573" s="3" t="s">
        <v>87</v>
      </c>
      <c r="C573" s="3" t="s">
        <v>88</v>
      </c>
      <c r="D573" s="16" t="str">
        <f t="shared" si="384"/>
        <v>LABOR</v>
      </c>
      <c r="E573" s="4" t="s">
        <v>595</v>
      </c>
      <c r="F573" s="11"/>
      <c r="G573" s="11"/>
      <c r="H573" s="14">
        <f>'II-I TOTAL COMPANY'!K573</f>
        <v>469346.94374101737</v>
      </c>
      <c r="I573" s="66">
        <v>0</v>
      </c>
      <c r="J573" s="66">
        <f t="shared" si="391"/>
        <v>469346.9437410176</v>
      </c>
      <c r="K573" s="66">
        <f t="shared" si="385"/>
        <v>269726.08552836318</v>
      </c>
      <c r="L573" s="66">
        <f t="shared" si="385"/>
        <v>9975.6532329746206</v>
      </c>
      <c r="M573" s="9">
        <f t="shared" si="386"/>
        <v>138559.05010682603</v>
      </c>
      <c r="N573" s="66">
        <f t="shared" si="387"/>
        <v>18455.256601988152</v>
      </c>
      <c r="O573" s="66">
        <f t="shared" si="387"/>
        <v>120103.79350483789</v>
      </c>
      <c r="P573" s="9">
        <f t="shared" si="388"/>
        <v>36541.155738143279</v>
      </c>
      <c r="Q573" s="66">
        <f t="shared" si="389"/>
        <v>29725.347693737222</v>
      </c>
      <c r="R573" s="66">
        <f t="shared" si="389"/>
        <v>2151.2433500589968</v>
      </c>
      <c r="S573" s="66">
        <f t="shared" si="390"/>
        <v>4664.5646943470565</v>
      </c>
      <c r="T573" s="66">
        <f t="shared" si="389"/>
        <v>2.5289369113522633</v>
      </c>
      <c r="U573" s="66">
        <f t="shared" si="389"/>
        <v>13185.954974651053</v>
      </c>
      <c r="V573" s="66">
        <f t="shared" si="389"/>
        <v>1356.5152231479026</v>
      </c>
      <c r="W573" s="27">
        <f t="shared" si="347"/>
        <v>5.8207660913467407E-11</v>
      </c>
    </row>
    <row r="574" spans="1:23" x14ac:dyDescent="0.2">
      <c r="A574" s="3">
        <f t="shared" si="357"/>
        <v>45</v>
      </c>
      <c r="B574" s="3" t="s">
        <v>89</v>
      </c>
      <c r="C574" s="3" t="s">
        <v>90</v>
      </c>
      <c r="D574" s="16" t="str">
        <f t="shared" si="384"/>
        <v>LABOR</v>
      </c>
      <c r="E574" s="4" t="s">
        <v>595</v>
      </c>
      <c r="F574" s="11"/>
      <c r="G574" s="11"/>
      <c r="H574" s="14">
        <f>'II-I TOTAL COMPANY'!K574</f>
        <v>6049.9309756666789</v>
      </c>
      <c r="I574" s="66">
        <v>0</v>
      </c>
      <c r="J574" s="66">
        <f t="shared" si="391"/>
        <v>6049.930975666678</v>
      </c>
      <c r="K574" s="66">
        <f t="shared" si="385"/>
        <v>3476.797327743534</v>
      </c>
      <c r="L574" s="66">
        <f t="shared" si="385"/>
        <v>128.58720888994316</v>
      </c>
      <c r="M574" s="9">
        <f t="shared" si="386"/>
        <v>1786.0405833659627</v>
      </c>
      <c r="N574" s="66">
        <f t="shared" si="387"/>
        <v>237.89017925693474</v>
      </c>
      <c r="O574" s="66">
        <f t="shared" si="387"/>
        <v>1548.1504041090279</v>
      </c>
      <c r="P574" s="9">
        <f t="shared" si="388"/>
        <v>471.01930231986131</v>
      </c>
      <c r="Q574" s="66">
        <f t="shared" si="389"/>
        <v>383.1628269300831</v>
      </c>
      <c r="R574" s="66">
        <f t="shared" si="389"/>
        <v>27.729750780907192</v>
      </c>
      <c r="S574" s="66">
        <f t="shared" si="390"/>
        <v>60.126724608871022</v>
      </c>
      <c r="T574" s="66">
        <f t="shared" si="389"/>
        <v>3.2598260113395477E-2</v>
      </c>
      <c r="U574" s="66">
        <f t="shared" si="389"/>
        <v>169.96833261346725</v>
      </c>
      <c r="V574" s="66">
        <f t="shared" si="389"/>
        <v>17.485622473797051</v>
      </c>
      <c r="W574" s="27" t="str">
        <f t="shared" si="347"/>
        <v>OK</v>
      </c>
    </row>
    <row r="575" spans="1:23" x14ac:dyDescent="0.2">
      <c r="A575" s="3">
        <f t="shared" si="357"/>
        <v>46</v>
      </c>
      <c r="B575" s="3" t="s">
        <v>91</v>
      </c>
      <c r="C575" s="3" t="s">
        <v>114</v>
      </c>
      <c r="D575" s="16" t="str">
        <f t="shared" si="384"/>
        <v>LABOR</v>
      </c>
      <c r="E575" s="4" t="s">
        <v>595</v>
      </c>
      <c r="F575" s="11"/>
      <c r="G575" s="11"/>
      <c r="H575" s="14">
        <f>'II-I TOTAL COMPANY'!K575</f>
        <v>100853.07194279417</v>
      </c>
      <c r="I575" s="66">
        <v>0</v>
      </c>
      <c r="J575" s="66">
        <f t="shared" si="391"/>
        <v>100853.07194279417</v>
      </c>
      <c r="K575" s="66">
        <f t="shared" si="385"/>
        <v>57958.626707603609</v>
      </c>
      <c r="L575" s="66">
        <f t="shared" si="385"/>
        <v>2143.5641301133141</v>
      </c>
      <c r="M575" s="9">
        <f t="shared" si="386"/>
        <v>29773.509841921481</v>
      </c>
      <c r="N575" s="66">
        <f t="shared" si="387"/>
        <v>3965.6577008203008</v>
      </c>
      <c r="O575" s="66">
        <f t="shared" si="387"/>
        <v>25807.852141101179</v>
      </c>
      <c r="P575" s="9">
        <f t="shared" si="388"/>
        <v>7851.9480262458637</v>
      </c>
      <c r="Q575" s="66">
        <f t="shared" si="389"/>
        <v>6387.3700882886087</v>
      </c>
      <c r="R575" s="66">
        <f t="shared" si="389"/>
        <v>462.258257443079</v>
      </c>
      <c r="S575" s="66">
        <f t="shared" si="390"/>
        <v>1002.3196805141758</v>
      </c>
      <c r="T575" s="66">
        <f t="shared" si="389"/>
        <v>0.54341688949003364</v>
      </c>
      <c r="U575" s="66">
        <f t="shared" si="389"/>
        <v>2833.392404972657</v>
      </c>
      <c r="V575" s="66">
        <f t="shared" si="389"/>
        <v>291.48741504775001</v>
      </c>
      <c r="W575" s="27">
        <f t="shared" si="347"/>
        <v>1.4551915228366852E-11</v>
      </c>
    </row>
    <row r="576" spans="1:23" x14ac:dyDescent="0.2">
      <c r="A576" s="3">
        <f t="shared" si="357"/>
        <v>47</v>
      </c>
      <c r="B576" s="3" t="s">
        <v>93</v>
      </c>
      <c r="C576" s="3" t="s">
        <v>94</v>
      </c>
      <c r="D576" s="16" t="str">
        <f t="shared" si="384"/>
        <v>LABOR</v>
      </c>
      <c r="E576" s="4" t="s">
        <v>595</v>
      </c>
      <c r="F576" s="11"/>
      <c r="G576" s="11"/>
      <c r="H576" s="14">
        <f>'II-I TOTAL COMPANY'!K576</f>
        <v>1068478.61414841</v>
      </c>
      <c r="I576" s="66">
        <v>0</v>
      </c>
      <c r="J576" s="66">
        <f t="shared" si="391"/>
        <v>1068478.61414841</v>
      </c>
      <c r="K576" s="66">
        <f t="shared" si="385"/>
        <v>614037.35106464429</v>
      </c>
      <c r="L576" s="66">
        <f t="shared" si="385"/>
        <v>22709.793434758725</v>
      </c>
      <c r="M576" s="9">
        <f t="shared" si="386"/>
        <v>315432.71733234765</v>
      </c>
      <c r="N576" s="66">
        <f t="shared" si="387"/>
        <v>42013.796533266526</v>
      </c>
      <c r="O576" s="66">
        <f t="shared" si="387"/>
        <v>273418.9207990811</v>
      </c>
      <c r="P576" s="9">
        <f t="shared" si="388"/>
        <v>83186.74269245156</v>
      </c>
      <c r="Q576" s="66">
        <f t="shared" si="389"/>
        <v>67670.406151423551</v>
      </c>
      <c r="R576" s="66">
        <f t="shared" si="389"/>
        <v>4897.3526812509708</v>
      </c>
      <c r="S576" s="66">
        <f t="shared" si="390"/>
        <v>10618.983859777038</v>
      </c>
      <c r="T576" s="66">
        <f t="shared" si="389"/>
        <v>5.7571803595283164</v>
      </c>
      <c r="U576" s="66">
        <f t="shared" si="389"/>
        <v>30018.115778575651</v>
      </c>
      <c r="V576" s="66">
        <f t="shared" si="389"/>
        <v>3088.1366652726433</v>
      </c>
      <c r="W576" s="27">
        <f t="shared" si="347"/>
        <v>2.3283064365386963E-10</v>
      </c>
    </row>
    <row r="577" spans="1:23" x14ac:dyDescent="0.2">
      <c r="A577" s="3">
        <f t="shared" si="357"/>
        <v>48</v>
      </c>
      <c r="B577" s="3" t="s">
        <v>95</v>
      </c>
      <c r="C577" s="3" t="s">
        <v>96</v>
      </c>
      <c r="D577" s="16" t="str">
        <f t="shared" si="384"/>
        <v>LABOR</v>
      </c>
      <c r="E577" s="4" t="s">
        <v>595</v>
      </c>
      <c r="F577" s="11"/>
      <c r="G577" s="11"/>
      <c r="H577" s="14">
        <f>'II-I TOTAL COMPANY'!K577</f>
        <v>9652.16569492909</v>
      </c>
      <c r="I577" s="66">
        <v>0</v>
      </c>
      <c r="J577" s="66">
        <f t="shared" si="391"/>
        <v>9652.1656949290937</v>
      </c>
      <c r="K577" s="66">
        <f t="shared" si="385"/>
        <v>5546.9432676245106</v>
      </c>
      <c r="L577" s="66">
        <f t="shared" si="385"/>
        <v>205.15028211828829</v>
      </c>
      <c r="M577" s="9">
        <f t="shared" si="386"/>
        <v>2849.4803854545462</v>
      </c>
      <c r="N577" s="66">
        <f t="shared" si="387"/>
        <v>379.53415280598142</v>
      </c>
      <c r="O577" s="66">
        <f t="shared" si="387"/>
        <v>2469.9462326485645</v>
      </c>
      <c r="P577" s="9">
        <f t="shared" si="388"/>
        <v>751.47243328676302</v>
      </c>
      <c r="Q577" s="66">
        <f t="shared" si="389"/>
        <v>611.30467579575259</v>
      </c>
      <c r="R577" s="66">
        <f t="shared" si="389"/>
        <v>44.240529403215433</v>
      </c>
      <c r="S577" s="66">
        <f t="shared" si="390"/>
        <v>95.927228087794987</v>
      </c>
      <c r="T577" s="66">
        <f t="shared" si="389"/>
        <v>5.2007834344956066E-2</v>
      </c>
      <c r="U577" s="66">
        <f t="shared" si="389"/>
        <v>271.17045068356708</v>
      </c>
      <c r="V577" s="66">
        <f t="shared" si="389"/>
        <v>27.896867927070318</v>
      </c>
      <c r="W577" s="27">
        <f t="shared" si="347"/>
        <v>1.8189894035458565E-12</v>
      </c>
    </row>
    <row r="578" spans="1:23" x14ac:dyDescent="0.2">
      <c r="A578" s="3">
        <f t="shared" si="357"/>
        <v>49</v>
      </c>
      <c r="B578" s="3" t="s">
        <v>97</v>
      </c>
      <c r="C578" s="3" t="s">
        <v>98</v>
      </c>
      <c r="D578" s="16" t="str">
        <f t="shared" si="384"/>
        <v>LABOR</v>
      </c>
      <c r="E578" s="4" t="s">
        <v>595</v>
      </c>
      <c r="F578" s="11"/>
      <c r="G578" s="11"/>
      <c r="H578" s="14">
        <f>'II-I TOTAL COMPANY'!K578</f>
        <v>1421.7655756999477</v>
      </c>
      <c r="I578" s="66">
        <v>0</v>
      </c>
      <c r="J578" s="66">
        <f t="shared" si="391"/>
        <v>1421.7655756999477</v>
      </c>
      <c r="K578" s="66">
        <f t="shared" si="385"/>
        <v>817.06564490623873</v>
      </c>
      <c r="L578" s="66">
        <f t="shared" si="385"/>
        <v>30.218669900595572</v>
      </c>
      <c r="M578" s="9">
        <f t="shared" si="386"/>
        <v>419.7289239242856</v>
      </c>
      <c r="N578" s="66">
        <f t="shared" si="387"/>
        <v>55.905442396775214</v>
      </c>
      <c r="O578" s="66">
        <f t="shared" si="387"/>
        <v>363.82348152751035</v>
      </c>
      <c r="P578" s="9">
        <f t="shared" si="388"/>
        <v>110.69201156543599</v>
      </c>
      <c r="Q578" s="66">
        <f t="shared" si="389"/>
        <v>90.04527810452214</v>
      </c>
      <c r="R578" s="66">
        <f t="shared" si="389"/>
        <v>6.5166371718295659</v>
      </c>
      <c r="S578" s="66">
        <f t="shared" si="390"/>
        <v>14.130096289084271</v>
      </c>
      <c r="T578" s="66">
        <f t="shared" si="389"/>
        <v>7.6607624522246872E-3</v>
      </c>
      <c r="U578" s="66">
        <f t="shared" si="389"/>
        <v>39.943451461000684</v>
      </c>
      <c r="V578" s="66">
        <f t="shared" si="389"/>
        <v>4.1092131799388802</v>
      </c>
      <c r="W578" s="27" t="str">
        <f t="shared" si="347"/>
        <v>OK</v>
      </c>
    </row>
    <row r="579" spans="1:23" x14ac:dyDescent="0.2">
      <c r="A579" s="3">
        <f t="shared" si="357"/>
        <v>50</v>
      </c>
      <c r="B579" s="3" t="s">
        <v>105</v>
      </c>
      <c r="C579" s="3" t="s">
        <v>106</v>
      </c>
      <c r="D579" s="16" t="str">
        <f>D168</f>
        <v>LABOR</v>
      </c>
      <c r="E579" s="4" t="s">
        <v>595</v>
      </c>
      <c r="F579" s="11"/>
      <c r="G579" s="11"/>
      <c r="H579" s="14">
        <f>'II-I TOTAL COMPANY'!K579</f>
        <v>11035812.098397458</v>
      </c>
      <c r="I579" s="66">
        <v>0</v>
      </c>
      <c r="J579" s="66">
        <f t="shared" si="391"/>
        <v>11035812.098397454</v>
      </c>
      <c r="K579" s="66">
        <f>IF($H168&lt;&gt;0,$H579*(K168/$H168),0)</f>
        <v>6342102.4417489152</v>
      </c>
      <c r="L579" s="66">
        <f>IF($H168&lt;&gt;0,$H579*(L168/$H168),0)</f>
        <v>234558.75468239048</v>
      </c>
      <c r="M579" s="9">
        <f t="shared" si="386"/>
        <v>3257955.8936152877</v>
      </c>
      <c r="N579" s="66">
        <f>IF($H168&lt;&gt;0,$H579*(N168/$H168),0)</f>
        <v>433940.70591761114</v>
      </c>
      <c r="O579" s="66">
        <f>IF($H168&lt;&gt;0,$H579*(O168/$H168),0)</f>
        <v>2824015.1876976765</v>
      </c>
      <c r="P579" s="9">
        <f t="shared" si="388"/>
        <v>859196.66456152382</v>
      </c>
      <c r="Q579" s="66">
        <f t="shared" ref="Q579:V579" si="392">IF($H168&lt;&gt;0,$H579*(Q168/$H168),0)</f>
        <v>698935.73630816792</v>
      </c>
      <c r="R579" s="66">
        <f t="shared" si="392"/>
        <v>50582.448028633866</v>
      </c>
      <c r="S579" s="66">
        <f t="shared" si="392"/>
        <v>109678.48022472201</v>
      </c>
      <c r="T579" s="66">
        <f t="shared" si="392"/>
        <v>59.463202934554836</v>
      </c>
      <c r="U579" s="66">
        <f t="shared" si="392"/>
        <v>310042.97221646336</v>
      </c>
      <c r="V579" s="66">
        <f t="shared" si="392"/>
        <v>31895.908369942295</v>
      </c>
      <c r="W579" s="27">
        <f t="shared" si="347"/>
        <v>-3.7252902984619141E-9</v>
      </c>
    </row>
    <row r="580" spans="1:23" x14ac:dyDescent="0.2">
      <c r="A580" s="3">
        <f t="shared" si="357"/>
        <v>51</v>
      </c>
      <c r="B580" s="3" t="s">
        <v>99</v>
      </c>
      <c r="C580" s="3" t="s">
        <v>100</v>
      </c>
      <c r="D580" s="16" t="str">
        <f>D159</f>
        <v>LABOR</v>
      </c>
      <c r="E580" s="4" t="s">
        <v>595</v>
      </c>
      <c r="F580" s="11"/>
      <c r="G580" s="11"/>
      <c r="H580" s="14">
        <f>'II-I TOTAL COMPANY'!K580</f>
        <v>309846.85453762778</v>
      </c>
      <c r="I580" s="66">
        <v>0</v>
      </c>
      <c r="J580" s="66">
        <f t="shared" si="391"/>
        <v>309846.85453762783</v>
      </c>
      <c r="K580" s="66">
        <f>IF($H159&lt;&gt;0,$H580*(K159/$H159),0)</f>
        <v>178063.96803518114</v>
      </c>
      <c r="L580" s="66">
        <f>IF($H159&lt;&gt;0,$H580*(L159/$H159),0)</f>
        <v>6585.586243639962</v>
      </c>
      <c r="M580" s="9">
        <f t="shared" si="386"/>
        <v>91471.962086560976</v>
      </c>
      <c r="N580" s="66">
        <f>IF($H159&lt;&gt;0,$H580*(N159/$H159),0)</f>
        <v>12183.531360046823</v>
      </c>
      <c r="O580" s="66">
        <f>IF($H159&lt;&gt;0,$H580*(O159/$H159),0)</f>
        <v>79288.430726514154</v>
      </c>
      <c r="P580" s="9">
        <f t="shared" si="388"/>
        <v>24123.225510723212</v>
      </c>
      <c r="Q580" s="66">
        <f t="shared" ref="Q580:V581" si="393">IF($H159&lt;&gt;0,$H580*(Q159/$H159),0)</f>
        <v>19623.661357053588</v>
      </c>
      <c r="R580" s="66">
        <f t="shared" si="393"/>
        <v>1420.1775344436255</v>
      </c>
      <c r="S580" s="66">
        <f>IF($H159&lt;&gt;0,$H580*(S159/$H159),0)</f>
        <v>3079.3866192259989</v>
      </c>
      <c r="T580" s="66">
        <f t="shared" si="393"/>
        <v>1.6695179499005721</v>
      </c>
      <c r="U580" s="66">
        <f t="shared" si="393"/>
        <v>8704.9180301573178</v>
      </c>
      <c r="V580" s="66">
        <f t="shared" si="393"/>
        <v>895.52511341527202</v>
      </c>
      <c r="W580" s="27" t="str">
        <f t="shared" si="347"/>
        <v>OK</v>
      </c>
    </row>
    <row r="581" spans="1:23" x14ac:dyDescent="0.2">
      <c r="A581" s="3">
        <f t="shared" si="357"/>
        <v>52</v>
      </c>
      <c r="B581" s="3" t="s">
        <v>101</v>
      </c>
      <c r="C581" s="3" t="s">
        <v>864</v>
      </c>
      <c r="D581" s="16" t="str">
        <f>D160</f>
        <v>LABOR</v>
      </c>
      <c r="E581" s="4" t="s">
        <v>595</v>
      </c>
      <c r="F581" s="11"/>
      <c r="G581" s="11"/>
      <c r="H581" s="14">
        <f>'II-I TOTAL COMPANY'!K581</f>
        <v>36857.56</v>
      </c>
      <c r="I581" s="66">
        <v>0</v>
      </c>
      <c r="J581" s="66">
        <f t="shared" si="391"/>
        <v>36857.56</v>
      </c>
      <c r="K581" s="66">
        <f>IF($H160&lt;&gt;0,$H581*(K160/$H160),0)</f>
        <v>21181.442669439006</v>
      </c>
      <c r="L581" s="66">
        <f>IF($H160&lt;&gt;0,$H581*(L160/$H160),0)</f>
        <v>783.38261807546462</v>
      </c>
      <c r="M581" s="9">
        <f t="shared" si="386"/>
        <v>10880.966779392364</v>
      </c>
      <c r="N581" s="66">
        <f>IF($H160&lt;&gt;0,$H581*(N160/$H160),0)</f>
        <v>1449.2812547182857</v>
      </c>
      <c r="O581" s="66">
        <f>IF($H160&lt;&gt;0,$H581*(O160/$H160),0)</f>
        <v>9431.6855246740779</v>
      </c>
      <c r="P581" s="9">
        <f t="shared" si="388"/>
        <v>2869.5570687067807</v>
      </c>
      <c r="Q581" s="66">
        <f t="shared" si="393"/>
        <v>2334.3153732078595</v>
      </c>
      <c r="R581" s="66">
        <f t="shared" si="393"/>
        <v>168.93596923718746</v>
      </c>
      <c r="S581" s="66">
        <f>IF($H160&lt;&gt;0,$H581*(S160/$H160),0)</f>
        <v>366.30572626173341</v>
      </c>
      <c r="T581" s="66">
        <f t="shared" si="393"/>
        <v>0.19859603900566497</v>
      </c>
      <c r="U581" s="66">
        <f t="shared" si="393"/>
        <v>1035.4858663012249</v>
      </c>
      <c r="V581" s="66">
        <f t="shared" si="393"/>
        <v>106.52640204614967</v>
      </c>
      <c r="W581" s="27" t="str">
        <f t="shared" si="347"/>
        <v>OK</v>
      </c>
    </row>
    <row r="582" spans="1:23" x14ac:dyDescent="0.2">
      <c r="A582" s="3">
        <f t="shared" si="357"/>
        <v>53</v>
      </c>
      <c r="B582" s="3"/>
      <c r="C582" s="3" t="s">
        <v>288</v>
      </c>
      <c r="D582" s="3"/>
      <c r="E582" s="4"/>
      <c r="F582" s="8"/>
      <c r="G582" s="8"/>
      <c r="H582" s="8">
        <f t="shared" ref="H582:V582" si="394">SUM(H571:H581)</f>
        <v>18255370.300848287</v>
      </c>
      <c r="I582" s="8">
        <f t="shared" si="394"/>
        <v>0</v>
      </c>
      <c r="J582" s="66">
        <f t="shared" si="391"/>
        <v>18255370.300848287</v>
      </c>
      <c r="K582" s="8">
        <f t="shared" si="394"/>
        <v>10491065.589713413</v>
      </c>
      <c r="L582" s="8">
        <f t="shared" si="394"/>
        <v>388005.60265561845</v>
      </c>
      <c r="M582" s="9">
        <f t="shared" si="386"/>
        <v>5389289.9526999677</v>
      </c>
      <c r="N582" s="8">
        <f t="shared" si="394"/>
        <v>717821.96040541853</v>
      </c>
      <c r="O582" s="8">
        <f t="shared" si="394"/>
        <v>4671467.992294549</v>
      </c>
      <c r="P582" s="9">
        <f t="shared" si="388"/>
        <v>1421277.6670148277</v>
      </c>
      <c r="Q582" s="8">
        <f t="shared" si="394"/>
        <v>1156175.057081162</v>
      </c>
      <c r="R582" s="8">
        <f t="shared" si="394"/>
        <v>83673.164353732936</v>
      </c>
      <c r="S582" s="8">
        <f>SUM(S571:S581)</f>
        <v>181429.44557993283</v>
      </c>
      <c r="T582" s="8">
        <f t="shared" si="394"/>
        <v>98.363652730406571</v>
      </c>
      <c r="U582" s="8">
        <f t="shared" si="394"/>
        <v>512871.11601048859</v>
      </c>
      <c r="V582" s="8">
        <f t="shared" si="394"/>
        <v>52762.009101240146</v>
      </c>
      <c r="W582" s="27" t="str">
        <f t="shared" si="347"/>
        <v>OK</v>
      </c>
    </row>
    <row r="583" spans="1:23" x14ac:dyDescent="0.2">
      <c r="A583" s="3"/>
      <c r="B583" s="7" t="s">
        <v>286</v>
      </c>
      <c r="C583" s="3"/>
      <c r="D583" s="3"/>
      <c r="E583" s="4"/>
      <c r="F583" s="4"/>
      <c r="G583" s="4"/>
      <c r="H583" s="8"/>
      <c r="I583" s="8"/>
      <c r="J583" s="8"/>
      <c r="K583" s="10"/>
      <c r="L583" s="10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27" t="str">
        <f t="shared" si="347"/>
        <v>OK</v>
      </c>
    </row>
    <row r="584" spans="1:23" x14ac:dyDescent="0.2">
      <c r="A584" s="3"/>
      <c r="B584" s="3"/>
      <c r="C584" s="3"/>
      <c r="D584" s="1"/>
      <c r="E584" s="4"/>
      <c r="F584" s="4"/>
      <c r="G584" s="4"/>
      <c r="H584" s="8"/>
      <c r="I584" s="8"/>
      <c r="J584" s="8"/>
      <c r="K584" s="10"/>
      <c r="L584" s="10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27" t="str">
        <f t="shared" ref="W584:W647" si="395">IF((+K584+L584+M584+P584+T584+U584+V584)-H584=0,"OK",(+K584+L584+M584+P584+T584+U584+V584)-H584)</f>
        <v>OK</v>
      </c>
    </row>
    <row r="585" spans="1:23" x14ac:dyDescent="0.2">
      <c r="A585" s="3">
        <f t="shared" ref="A585:A611" si="396">+A584+1</f>
        <v>1</v>
      </c>
      <c r="B585" s="3" t="s">
        <v>813</v>
      </c>
      <c r="C585" s="3"/>
      <c r="D585" s="1"/>
      <c r="E585" s="4"/>
      <c r="F585" s="4"/>
      <c r="G585" s="4"/>
      <c r="H585" s="8"/>
      <c r="I585" s="8"/>
      <c r="J585" s="8"/>
      <c r="K585" s="10"/>
      <c r="L585" s="10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27" t="str">
        <f t="shared" si="395"/>
        <v>OK</v>
      </c>
    </row>
    <row r="586" spans="1:23" x14ac:dyDescent="0.2">
      <c r="A586" s="3">
        <f t="shared" si="396"/>
        <v>2</v>
      </c>
      <c r="B586" s="3"/>
      <c r="C586" s="3" t="s">
        <v>814</v>
      </c>
      <c r="D586" s="1" t="s">
        <v>331</v>
      </c>
      <c r="E586" s="4" t="s">
        <v>612</v>
      </c>
      <c r="F586" s="11"/>
      <c r="G586" s="11"/>
      <c r="H586" s="14">
        <f>'II-I TOTAL COMPANY'!K586</f>
        <v>-1286124.8801766695</v>
      </c>
      <c r="I586" s="66">
        <v>0</v>
      </c>
      <c r="J586" s="66">
        <f>SUM(K586:V586)-M586-P586</f>
        <v>-1286124.8801766697</v>
      </c>
      <c r="K586" s="66">
        <f t="shared" ref="K586:L591" si="397">VLOOKUP($D586,$E$741:$V$815,K$1,FALSE)*$H586</f>
        <v>-747696.58479798085</v>
      </c>
      <c r="L586" s="66">
        <f t="shared" si="397"/>
        <v>-31195.226237541818</v>
      </c>
      <c r="M586" s="9">
        <f t="shared" ref="M586:M591" si="398">SUM(N586:O586)</f>
        <v>-363089.65197211114</v>
      </c>
      <c r="N586" s="66">
        <f t="shared" ref="N586:O591" si="399">VLOOKUP($D586,$E$741:$V$815,N$1,FALSE)*$H586</f>
        <v>-47403.744096714836</v>
      </c>
      <c r="O586" s="66">
        <f t="shared" si="399"/>
        <v>-315685.90787539631</v>
      </c>
      <c r="P586" s="9">
        <f t="shared" ref="P586:P591" si="400">SUM(Q586:S586)</f>
        <v>-78350.243120535059</v>
      </c>
      <c r="Q586" s="66">
        <f t="shared" ref="Q586:V591" si="401">VLOOKUP($D586,$E$741:$V$815,Q$1,FALSE)*$H586</f>
        <v>-63737.696908541708</v>
      </c>
      <c r="R586" s="66">
        <f t="shared" si="401"/>
        <v>-4612.4272976684852</v>
      </c>
      <c r="S586" s="66">
        <f t="shared" si="401"/>
        <v>-10000.118914324861</v>
      </c>
      <c r="T586" s="66">
        <f t="shared" si="401"/>
        <v>0</v>
      </c>
      <c r="U586" s="66">
        <f t="shared" si="401"/>
        <v>-62883.753229687863</v>
      </c>
      <c r="V586" s="66">
        <f t="shared" si="401"/>
        <v>-2909.4208188128428</v>
      </c>
      <c r="W586" s="27">
        <f t="shared" si="395"/>
        <v>-2.3283064365386963E-10</v>
      </c>
    </row>
    <row r="587" spans="1:23" x14ac:dyDescent="0.2">
      <c r="A587" s="3">
        <f t="shared" si="396"/>
        <v>3</v>
      </c>
      <c r="B587" s="3"/>
      <c r="C587" s="3" t="s">
        <v>820</v>
      </c>
      <c r="D587" s="1" t="s">
        <v>331</v>
      </c>
      <c r="E587" s="4" t="s">
        <v>612</v>
      </c>
      <c r="F587" s="11"/>
      <c r="G587" s="11"/>
      <c r="H587" s="14">
        <f>'II-I TOTAL COMPANY'!K587</f>
        <v>939710.90400000033</v>
      </c>
      <c r="I587" s="66">
        <v>0</v>
      </c>
      <c r="J587" s="66">
        <f t="shared" ref="J587:J591" si="402">SUM(K587:V587)-M587-P587</f>
        <v>939710.90400000033</v>
      </c>
      <c r="K587" s="66">
        <f t="shared" si="397"/>
        <v>546306.69575547578</v>
      </c>
      <c r="L587" s="66">
        <f t="shared" si="397"/>
        <v>22792.883257291582</v>
      </c>
      <c r="M587" s="9">
        <f t="shared" si="398"/>
        <v>265292.51579433639</v>
      </c>
      <c r="N587" s="66">
        <f t="shared" si="399"/>
        <v>34635.684220640775</v>
      </c>
      <c r="O587" s="66">
        <f t="shared" si="399"/>
        <v>230656.83157369561</v>
      </c>
      <c r="P587" s="9">
        <f t="shared" si="400"/>
        <v>57246.83421201216</v>
      </c>
      <c r="Q587" s="66">
        <f t="shared" si="401"/>
        <v>46570.134598886099</v>
      </c>
      <c r="R587" s="66">
        <f t="shared" si="401"/>
        <v>3370.083490594584</v>
      </c>
      <c r="S587" s="66">
        <f t="shared" si="401"/>
        <v>7306.6161225314772</v>
      </c>
      <c r="T587" s="66">
        <f t="shared" si="401"/>
        <v>0</v>
      </c>
      <c r="U587" s="66">
        <f t="shared" si="401"/>
        <v>45946.198153219484</v>
      </c>
      <c r="V587" s="66">
        <f t="shared" si="401"/>
        <v>2125.7768276650381</v>
      </c>
      <c r="W587" s="27">
        <f t="shared" si="395"/>
        <v>1.1641532182693481E-10</v>
      </c>
    </row>
    <row r="588" spans="1:23" x14ac:dyDescent="0.2">
      <c r="A588" s="3">
        <f t="shared" si="396"/>
        <v>4</v>
      </c>
      <c r="B588" s="3"/>
      <c r="C588" s="3" t="s">
        <v>821</v>
      </c>
      <c r="D588" s="1" t="s">
        <v>331</v>
      </c>
      <c r="E588" s="4" t="s">
        <v>612</v>
      </c>
      <c r="F588" s="11"/>
      <c r="G588" s="11"/>
      <c r="H588" s="14">
        <f>'II-I TOTAL COMPANY'!K588</f>
        <v>0</v>
      </c>
      <c r="I588" s="66">
        <v>0</v>
      </c>
      <c r="J588" s="66">
        <f t="shared" si="402"/>
        <v>0</v>
      </c>
      <c r="K588" s="66">
        <f t="shared" si="397"/>
        <v>0</v>
      </c>
      <c r="L588" s="66">
        <f t="shared" si="397"/>
        <v>0</v>
      </c>
      <c r="M588" s="9">
        <f t="shared" si="398"/>
        <v>0</v>
      </c>
      <c r="N588" s="66">
        <f t="shared" si="399"/>
        <v>0</v>
      </c>
      <c r="O588" s="66">
        <f t="shared" si="399"/>
        <v>0</v>
      </c>
      <c r="P588" s="9">
        <f t="shared" si="400"/>
        <v>0</v>
      </c>
      <c r="Q588" s="66">
        <f t="shared" si="401"/>
        <v>0</v>
      </c>
      <c r="R588" s="66">
        <f t="shared" si="401"/>
        <v>0</v>
      </c>
      <c r="S588" s="66">
        <f t="shared" si="401"/>
        <v>0</v>
      </c>
      <c r="T588" s="66">
        <f t="shared" si="401"/>
        <v>0</v>
      </c>
      <c r="U588" s="66">
        <f t="shared" si="401"/>
        <v>0</v>
      </c>
      <c r="V588" s="66">
        <f t="shared" si="401"/>
        <v>0</v>
      </c>
      <c r="W588" s="27" t="str">
        <f t="shared" si="395"/>
        <v>OK</v>
      </c>
    </row>
    <row r="589" spans="1:23" x14ac:dyDescent="0.2">
      <c r="A589" s="3">
        <f t="shared" si="396"/>
        <v>5</v>
      </c>
      <c r="B589" s="3"/>
      <c r="C589" s="3" t="s">
        <v>530</v>
      </c>
      <c r="D589" s="1" t="s">
        <v>331</v>
      </c>
      <c r="E589" s="4" t="s">
        <v>612</v>
      </c>
      <c r="F589" s="11"/>
      <c r="G589" s="11"/>
      <c r="H589" s="14">
        <f>'II-I TOTAL COMPANY'!K589</f>
        <v>0</v>
      </c>
      <c r="I589" s="66">
        <v>0</v>
      </c>
      <c r="J589" s="66">
        <f t="shared" si="402"/>
        <v>0</v>
      </c>
      <c r="K589" s="66">
        <f t="shared" si="397"/>
        <v>0</v>
      </c>
      <c r="L589" s="66">
        <f t="shared" si="397"/>
        <v>0</v>
      </c>
      <c r="M589" s="9">
        <f t="shared" si="398"/>
        <v>0</v>
      </c>
      <c r="N589" s="66">
        <f t="shared" si="399"/>
        <v>0</v>
      </c>
      <c r="O589" s="66">
        <f t="shared" si="399"/>
        <v>0</v>
      </c>
      <c r="P589" s="9">
        <f t="shared" si="400"/>
        <v>0</v>
      </c>
      <c r="Q589" s="66">
        <f t="shared" si="401"/>
        <v>0</v>
      </c>
      <c r="R589" s="66">
        <f t="shared" si="401"/>
        <v>0</v>
      </c>
      <c r="S589" s="66">
        <f t="shared" si="401"/>
        <v>0</v>
      </c>
      <c r="T589" s="66">
        <f t="shared" si="401"/>
        <v>0</v>
      </c>
      <c r="U589" s="66">
        <f t="shared" si="401"/>
        <v>0</v>
      </c>
      <c r="V589" s="66">
        <f t="shared" si="401"/>
        <v>0</v>
      </c>
      <c r="W589" s="27" t="str">
        <f t="shared" si="395"/>
        <v>OK</v>
      </c>
    </row>
    <row r="590" spans="1:23" x14ac:dyDescent="0.2">
      <c r="A590" s="3">
        <f t="shared" si="396"/>
        <v>6</v>
      </c>
      <c r="B590" s="3"/>
      <c r="C590" s="3" t="s">
        <v>531</v>
      </c>
      <c r="D590" s="1" t="s">
        <v>331</v>
      </c>
      <c r="E590" s="4" t="s">
        <v>612</v>
      </c>
      <c r="F590" s="11"/>
      <c r="G590" s="11"/>
      <c r="H590" s="14">
        <f>'II-I TOTAL COMPANY'!K590</f>
        <v>0</v>
      </c>
      <c r="I590" s="66">
        <v>0</v>
      </c>
      <c r="J590" s="66">
        <f t="shared" si="402"/>
        <v>0</v>
      </c>
      <c r="K590" s="66">
        <f t="shared" si="397"/>
        <v>0</v>
      </c>
      <c r="L590" s="66">
        <f t="shared" si="397"/>
        <v>0</v>
      </c>
      <c r="M590" s="9">
        <f t="shared" si="398"/>
        <v>0</v>
      </c>
      <c r="N590" s="66">
        <f t="shared" si="399"/>
        <v>0</v>
      </c>
      <c r="O590" s="66">
        <f t="shared" si="399"/>
        <v>0</v>
      </c>
      <c r="P590" s="9">
        <f t="shared" si="400"/>
        <v>0</v>
      </c>
      <c r="Q590" s="66">
        <f t="shared" si="401"/>
        <v>0</v>
      </c>
      <c r="R590" s="66">
        <f t="shared" si="401"/>
        <v>0</v>
      </c>
      <c r="S590" s="66">
        <f t="shared" si="401"/>
        <v>0</v>
      </c>
      <c r="T590" s="66">
        <f t="shared" si="401"/>
        <v>0</v>
      </c>
      <c r="U590" s="66">
        <f t="shared" si="401"/>
        <v>0</v>
      </c>
      <c r="V590" s="66">
        <f t="shared" si="401"/>
        <v>0</v>
      </c>
      <c r="W590" s="27" t="str">
        <f t="shared" si="395"/>
        <v>OK</v>
      </c>
    </row>
    <row r="591" spans="1:23" x14ac:dyDescent="0.2">
      <c r="A591" s="3">
        <f t="shared" si="396"/>
        <v>7</v>
      </c>
      <c r="B591" s="3"/>
      <c r="C591" s="3" t="s">
        <v>654</v>
      </c>
      <c r="D591" s="1" t="s">
        <v>331</v>
      </c>
      <c r="E591" s="4" t="s">
        <v>612</v>
      </c>
      <c r="F591" s="11"/>
      <c r="G591" s="11"/>
      <c r="H591" s="14">
        <f>'II-I TOTAL COMPANY'!K591</f>
        <v>59660.879999999946</v>
      </c>
      <c r="I591" s="66">
        <v>0</v>
      </c>
      <c r="J591" s="66">
        <f t="shared" si="402"/>
        <v>59660.879999999946</v>
      </c>
      <c r="K591" s="66">
        <f t="shared" si="397"/>
        <v>34684.218390918992</v>
      </c>
      <c r="L591" s="66">
        <f t="shared" si="397"/>
        <v>1447.0870424924649</v>
      </c>
      <c r="M591" s="9">
        <f t="shared" si="398"/>
        <v>16843.036387395146</v>
      </c>
      <c r="N591" s="66">
        <f t="shared" si="399"/>
        <v>2198.9692693887696</v>
      </c>
      <c r="O591" s="66">
        <f t="shared" si="399"/>
        <v>14644.067118006376</v>
      </c>
      <c r="P591" s="9">
        <f t="shared" si="400"/>
        <v>3634.5183308660939</v>
      </c>
      <c r="Q591" s="66">
        <f t="shared" si="401"/>
        <v>2956.6701844804693</v>
      </c>
      <c r="R591" s="66">
        <f t="shared" si="401"/>
        <v>213.96170446304021</v>
      </c>
      <c r="S591" s="66">
        <f t="shared" si="401"/>
        <v>463.88644192258437</v>
      </c>
      <c r="T591" s="66">
        <f t="shared" si="401"/>
        <v>0</v>
      </c>
      <c r="U591" s="66">
        <f t="shared" si="401"/>
        <v>2917.0573660550458</v>
      </c>
      <c r="V591" s="66">
        <f t="shared" si="401"/>
        <v>134.96248227221204</v>
      </c>
      <c r="W591" s="27" t="str">
        <f t="shared" si="395"/>
        <v>OK</v>
      </c>
    </row>
    <row r="592" spans="1:23" x14ac:dyDescent="0.2">
      <c r="A592" s="3">
        <f t="shared" si="396"/>
        <v>8</v>
      </c>
      <c r="B592" s="3"/>
      <c r="C592" s="3"/>
      <c r="D592" s="1"/>
      <c r="E592" s="4"/>
      <c r="F592" s="4"/>
      <c r="G592" s="4"/>
      <c r="H592" s="14"/>
      <c r="I592" s="66"/>
      <c r="J592" s="66"/>
      <c r="K592" s="66"/>
      <c r="L592" s="66"/>
      <c r="M592" s="9"/>
      <c r="N592" s="66"/>
      <c r="O592" s="66"/>
      <c r="P592" s="9"/>
      <c r="Q592" s="66"/>
      <c r="R592" s="66"/>
      <c r="S592" s="66"/>
      <c r="T592" s="66"/>
      <c r="U592" s="66"/>
      <c r="V592" s="66"/>
      <c r="W592" s="27" t="str">
        <f t="shared" si="395"/>
        <v>OK</v>
      </c>
    </row>
    <row r="593" spans="1:23" x14ac:dyDescent="0.2">
      <c r="A593" s="3">
        <f t="shared" si="396"/>
        <v>9</v>
      </c>
      <c r="B593" s="3"/>
      <c r="C593" s="3"/>
      <c r="D593" s="1"/>
      <c r="E593" s="4"/>
      <c r="F593" s="4"/>
      <c r="G593" s="4"/>
      <c r="H593" s="14"/>
      <c r="I593" s="66"/>
      <c r="J593" s="66"/>
      <c r="K593" s="66"/>
      <c r="L593" s="66"/>
      <c r="M593" s="9"/>
      <c r="N593" s="66"/>
      <c r="O593" s="66"/>
      <c r="P593" s="9"/>
      <c r="Q593" s="66"/>
      <c r="R593" s="66"/>
      <c r="S593" s="66"/>
      <c r="T593" s="66"/>
      <c r="U593" s="66"/>
      <c r="V593" s="66"/>
      <c r="W593" s="27" t="str">
        <f t="shared" si="395"/>
        <v>OK</v>
      </c>
    </row>
    <row r="594" spans="1:23" x14ac:dyDescent="0.2">
      <c r="A594" s="3">
        <f t="shared" si="396"/>
        <v>10</v>
      </c>
      <c r="B594" s="3"/>
      <c r="C594" s="3" t="s">
        <v>290</v>
      </c>
      <c r="D594" s="1"/>
      <c r="E594" s="4" t="s">
        <v>612</v>
      </c>
      <c r="F594" s="8"/>
      <c r="G594" s="8"/>
      <c r="H594" s="8">
        <f>SUM(H586:H593)</f>
        <v>-286753.09617666918</v>
      </c>
      <c r="I594" s="8">
        <f>SUM(I586:I593)</f>
        <v>0</v>
      </c>
      <c r="J594" s="66">
        <f t="shared" ref="J594" si="403">SUM(K594:V594)-M594-P594</f>
        <v>-286753.09617666923</v>
      </c>
      <c r="K594" s="8">
        <f t="shared" ref="K594:V594" si="404">SUM(K586:K593)</f>
        <v>-166705.67065158609</v>
      </c>
      <c r="L594" s="8">
        <f t="shared" si="404"/>
        <v>-6955.2559377577709</v>
      </c>
      <c r="M594" s="8">
        <f t="shared" si="404"/>
        <v>-80954.099790379609</v>
      </c>
      <c r="N594" s="8">
        <f t="shared" si="404"/>
        <v>-10569.090606685291</v>
      </c>
      <c r="O594" s="8">
        <f t="shared" si="404"/>
        <v>-70385.009183694317</v>
      </c>
      <c r="P594" s="9">
        <f>SUM(Q594:S594)</f>
        <v>-17468.890577656799</v>
      </c>
      <c r="Q594" s="8">
        <f t="shared" si="404"/>
        <v>-14210.892125175138</v>
      </c>
      <c r="R594" s="8">
        <f t="shared" si="404"/>
        <v>-1028.382102610861</v>
      </c>
      <c r="S594" s="8">
        <f>SUM(S586:S593)</f>
        <v>-2229.6163498707997</v>
      </c>
      <c r="T594" s="8">
        <f t="shared" si="404"/>
        <v>0</v>
      </c>
      <c r="U594" s="8">
        <f t="shared" si="404"/>
        <v>-14020.497710413334</v>
      </c>
      <c r="V594" s="8">
        <f t="shared" si="404"/>
        <v>-648.68150887559261</v>
      </c>
      <c r="W594" s="27" t="str">
        <f t="shared" si="395"/>
        <v>OK</v>
      </c>
    </row>
    <row r="595" spans="1:23" x14ac:dyDescent="0.2">
      <c r="A595" s="3">
        <f t="shared" si="396"/>
        <v>11</v>
      </c>
      <c r="B595" s="3"/>
      <c r="C595" s="3"/>
      <c r="D595" s="3"/>
      <c r="E595" s="4"/>
      <c r="F595" s="4"/>
      <c r="G595" s="4"/>
      <c r="H595" s="8"/>
      <c r="I595" s="8"/>
      <c r="J595" s="8"/>
      <c r="K595" s="10"/>
      <c r="L595" s="10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27" t="str">
        <f t="shared" si="395"/>
        <v>OK</v>
      </c>
    </row>
    <row r="596" spans="1:23" x14ac:dyDescent="0.2">
      <c r="A596" s="3">
        <f t="shared" si="396"/>
        <v>12</v>
      </c>
      <c r="B596" s="3"/>
      <c r="C596" s="3"/>
      <c r="D596" s="3"/>
      <c r="E596" s="4"/>
      <c r="F596" s="4"/>
      <c r="G596" s="4"/>
      <c r="H596" s="8"/>
      <c r="I596" s="8"/>
      <c r="J596" s="8"/>
      <c r="K596" s="10"/>
      <c r="L596" s="10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27" t="str">
        <f t="shared" si="395"/>
        <v>OK</v>
      </c>
    </row>
    <row r="597" spans="1:23" x14ac:dyDescent="0.2">
      <c r="A597" s="3">
        <f t="shared" si="396"/>
        <v>13</v>
      </c>
      <c r="B597" s="3" t="s">
        <v>291</v>
      </c>
      <c r="C597" s="3"/>
      <c r="D597" s="3"/>
      <c r="E597" s="4"/>
      <c r="F597" s="8"/>
      <c r="G597" s="8"/>
      <c r="H597" s="8">
        <f t="shared" ref="H597:V597" si="405">H536+H549+H568+H582+H594</f>
        <v>208304527.77060381</v>
      </c>
      <c r="I597" s="8">
        <f t="shared" si="405"/>
        <v>0</v>
      </c>
      <c r="J597" s="66">
        <f t="shared" ref="J597" si="406">SUM(K597:V597)-M597-P597</f>
        <v>208304527.77060395</v>
      </c>
      <c r="K597" s="8">
        <f t="shared" si="405"/>
        <v>120682288.73989421</v>
      </c>
      <c r="L597" s="8">
        <f>L536+L549+L568+L582+L594</f>
        <v>4657071.7486916305</v>
      </c>
      <c r="M597" s="9">
        <f>SUM(N597:O597)</f>
        <v>60843978.160590403</v>
      </c>
      <c r="N597" s="8">
        <f t="shared" si="405"/>
        <v>8051790.0753271077</v>
      </c>
      <c r="O597" s="8">
        <f t="shared" si="405"/>
        <v>52792188.085263297</v>
      </c>
      <c r="P597" s="9">
        <f>SUM(Q597:S597)</f>
        <v>13452438.451683411</v>
      </c>
      <c r="Q597" s="8">
        <f t="shared" si="405"/>
        <v>10943444.374169096</v>
      </c>
      <c r="R597" s="8">
        <f t="shared" si="405"/>
        <v>791944.90811476612</v>
      </c>
      <c r="S597" s="8">
        <f>S536+S549+S568+S582+S594</f>
        <v>1717049.1693995476</v>
      </c>
      <c r="T597" s="8">
        <f t="shared" si="405"/>
        <v>245.76563071203265</v>
      </c>
      <c r="U597" s="8">
        <f t="shared" si="405"/>
        <v>8169006.0107717309</v>
      </c>
      <c r="V597" s="8">
        <f t="shared" si="405"/>
        <v>499498.89334175381</v>
      </c>
      <c r="W597" s="27">
        <f t="shared" si="395"/>
        <v>2.9802322387695313E-8</v>
      </c>
    </row>
    <row r="598" spans="1:23" x14ac:dyDescent="0.2">
      <c r="A598" s="3">
        <f t="shared" si="396"/>
        <v>14</v>
      </c>
      <c r="B598" s="3"/>
      <c r="C598" s="3"/>
      <c r="D598" s="3"/>
      <c r="E598" s="4"/>
      <c r="F598" s="4"/>
      <c r="G598" s="4"/>
      <c r="H598" s="8"/>
      <c r="I598" s="8"/>
      <c r="J598" s="8"/>
      <c r="K598" s="10"/>
      <c r="L598" s="10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27" t="str">
        <f t="shared" si="395"/>
        <v>OK</v>
      </c>
    </row>
    <row r="599" spans="1:23" x14ac:dyDescent="0.2">
      <c r="A599" s="3">
        <f t="shared" si="396"/>
        <v>15</v>
      </c>
      <c r="B599" s="3"/>
      <c r="C599" s="3"/>
      <c r="D599" s="3"/>
      <c r="E599" s="4"/>
      <c r="F599" s="4"/>
      <c r="G599" s="4"/>
      <c r="H599" s="8"/>
      <c r="I599" s="8"/>
      <c r="J599" s="8"/>
      <c r="K599" s="10"/>
      <c r="L599" s="10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27" t="str">
        <f t="shared" si="395"/>
        <v>OK</v>
      </c>
    </row>
    <row r="600" spans="1:23" x14ac:dyDescent="0.2">
      <c r="A600" s="3">
        <f t="shared" si="396"/>
        <v>16</v>
      </c>
      <c r="B600" s="3"/>
      <c r="C600" s="3"/>
      <c r="D600" s="3"/>
      <c r="E600" s="4"/>
      <c r="F600" s="4"/>
      <c r="G600" s="4"/>
      <c r="H600" s="8"/>
      <c r="I600" s="8"/>
      <c r="J600" s="8"/>
      <c r="K600" s="10"/>
      <c r="L600" s="10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27" t="str">
        <f t="shared" si="395"/>
        <v>OK</v>
      </c>
    </row>
    <row r="601" spans="1:23" x14ac:dyDescent="0.2">
      <c r="A601" s="3">
        <f t="shared" si="396"/>
        <v>17</v>
      </c>
      <c r="B601" s="7" t="s">
        <v>292</v>
      </c>
      <c r="C601" s="3"/>
      <c r="D601" s="3"/>
      <c r="E601" s="4"/>
      <c r="F601" s="4"/>
      <c r="G601" s="4"/>
      <c r="H601" s="8"/>
      <c r="I601" s="8"/>
      <c r="J601" s="8"/>
      <c r="K601" s="10"/>
      <c r="L601" s="10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27" t="str">
        <f t="shared" si="395"/>
        <v>OK</v>
      </c>
    </row>
    <row r="602" spans="1:23" x14ac:dyDescent="0.2">
      <c r="A602" s="3">
        <f t="shared" si="396"/>
        <v>18</v>
      </c>
      <c r="B602" s="3"/>
      <c r="C602" s="3"/>
      <c r="D602" s="3"/>
      <c r="E602" s="4"/>
      <c r="F602" s="4"/>
      <c r="G602" s="4"/>
      <c r="H602" s="8"/>
      <c r="I602" s="8"/>
      <c r="J602" s="8"/>
      <c r="K602" s="10"/>
      <c r="L602" s="10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27" t="str">
        <f t="shared" si="395"/>
        <v>OK</v>
      </c>
    </row>
    <row r="603" spans="1:23" x14ac:dyDescent="0.2">
      <c r="A603" s="3">
        <f t="shared" si="396"/>
        <v>19</v>
      </c>
      <c r="B603" s="3" t="s">
        <v>293</v>
      </c>
      <c r="C603" s="3"/>
      <c r="D603" s="3"/>
      <c r="E603" s="4"/>
      <c r="F603" s="4"/>
      <c r="G603" s="4"/>
      <c r="H603" s="8"/>
      <c r="I603" s="8"/>
      <c r="J603" s="8"/>
      <c r="K603" s="10"/>
      <c r="L603" s="10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27" t="str">
        <f t="shared" si="395"/>
        <v>OK</v>
      </c>
    </row>
    <row r="604" spans="1:23" x14ac:dyDescent="0.2">
      <c r="A604" s="3">
        <f t="shared" si="396"/>
        <v>20</v>
      </c>
      <c r="B604" s="3"/>
      <c r="C604" s="3"/>
      <c r="D604" s="3"/>
      <c r="E604" s="4"/>
      <c r="F604" s="4"/>
      <c r="G604" s="4"/>
      <c r="H604" s="8"/>
      <c r="I604" s="8"/>
      <c r="J604" s="8"/>
      <c r="K604" s="10"/>
      <c r="L604" s="10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27" t="str">
        <f t="shared" si="395"/>
        <v>OK</v>
      </c>
    </row>
    <row r="605" spans="1:23" x14ac:dyDescent="0.2">
      <c r="A605" s="3">
        <f t="shared" si="396"/>
        <v>21</v>
      </c>
      <c r="B605" s="3"/>
      <c r="C605" s="3" t="s">
        <v>294</v>
      </c>
      <c r="D605" s="1" t="s">
        <v>323</v>
      </c>
      <c r="E605" s="4" t="s">
        <v>595</v>
      </c>
      <c r="F605" s="11"/>
      <c r="G605" s="11"/>
      <c r="H605" s="2">
        <f>'II-I TOTAL COMPANY'!K605</f>
        <v>3784155.9606139623</v>
      </c>
      <c r="I605" s="66">
        <v>0</v>
      </c>
      <c r="J605" s="66">
        <f>SUM(K605:V605)-M605-P605</f>
        <v>3784155.9606139627</v>
      </c>
      <c r="K605" s="66">
        <f t="shared" ref="K605:L608" si="407">VLOOKUP($D605,$E$741:$V$815,K$1,FALSE)*$H605</f>
        <v>2174693.1303092376</v>
      </c>
      <c r="L605" s="66">
        <f t="shared" si="407"/>
        <v>80429.68670828022</v>
      </c>
      <c r="M605" s="9">
        <f>SUM(N605:O605)</f>
        <v>1117145.9883801348</v>
      </c>
      <c r="N605" s="66">
        <f t="shared" ref="N605:O608" si="408">VLOOKUP($D605,$E$741:$V$815,N$1,FALSE)*$H605</f>
        <v>148797.3240401232</v>
      </c>
      <c r="O605" s="66">
        <f t="shared" si="408"/>
        <v>968348.66434001166</v>
      </c>
      <c r="P605" s="9">
        <f>SUM(Q605:S605)</f>
        <v>294616.66713338305</v>
      </c>
      <c r="Q605" s="66">
        <f t="shared" ref="Q605:V608" si="409">VLOOKUP($D605,$E$741:$V$815,Q$1,FALSE)*$H605</f>
        <v>239663.54347594708</v>
      </c>
      <c r="R605" s="66">
        <f t="shared" si="409"/>
        <v>17344.611389115285</v>
      </c>
      <c r="S605" s="66">
        <f t="shared" si="409"/>
        <v>37608.512268320665</v>
      </c>
      <c r="T605" s="66">
        <f t="shared" si="409"/>
        <v>20.389802926661723</v>
      </c>
      <c r="U605" s="66">
        <f t="shared" si="409"/>
        <v>106313.06068810016</v>
      </c>
      <c r="V605" s="66">
        <f t="shared" si="409"/>
        <v>10937.037591899645</v>
      </c>
      <c r="W605" s="27">
        <f t="shared" si="395"/>
        <v>4.6566128730773926E-10</v>
      </c>
    </row>
    <row r="606" spans="1:23" x14ac:dyDescent="0.2">
      <c r="A606" s="3">
        <f t="shared" si="396"/>
        <v>22</v>
      </c>
      <c r="B606" s="3"/>
      <c r="C606" s="3" t="s">
        <v>540</v>
      </c>
      <c r="D606" s="1" t="s">
        <v>340</v>
      </c>
      <c r="E606" s="4" t="s">
        <v>595</v>
      </c>
      <c r="F606" s="11"/>
      <c r="G606" s="11"/>
      <c r="H606" s="2">
        <f>'II-I TOTAL COMPANY'!K606</f>
        <v>46349858.023808211</v>
      </c>
      <c r="I606" s="66">
        <v>0</v>
      </c>
      <c r="J606" s="66">
        <f t="shared" ref="J606:J608" si="410">SUM(K606:V606)-M606-P606</f>
        <v>46349858.023808211</v>
      </c>
      <c r="K606" s="66">
        <f t="shared" si="407"/>
        <v>26839832.069989745</v>
      </c>
      <c r="L606" s="66">
        <f t="shared" si="407"/>
        <v>1050420.7358145472</v>
      </c>
      <c r="M606" s="9">
        <f>SUM(N606:O606)</f>
        <v>13444689.655265665</v>
      </c>
      <c r="N606" s="66">
        <f t="shared" si="408"/>
        <v>1775157.6043595185</v>
      </c>
      <c r="O606" s="66">
        <f t="shared" si="408"/>
        <v>11669532.050906146</v>
      </c>
      <c r="P606" s="9">
        <f>SUM(Q606:S606)</f>
        <v>3007997.2362337429</v>
      </c>
      <c r="Q606" s="66">
        <f t="shared" si="409"/>
        <v>2446987.8487299467</v>
      </c>
      <c r="R606" s="66">
        <f t="shared" si="409"/>
        <v>177079.88312005307</v>
      </c>
      <c r="S606" s="66">
        <f t="shared" si="409"/>
        <v>383929.50438374322</v>
      </c>
      <c r="T606" s="66">
        <f t="shared" si="409"/>
        <v>30.0398216893207</v>
      </c>
      <c r="U606" s="66">
        <f t="shared" si="409"/>
        <v>1895195.3359478118</v>
      </c>
      <c r="V606" s="66">
        <f t="shared" si="409"/>
        <v>111692.95073501661</v>
      </c>
      <c r="W606" s="27">
        <f t="shared" si="395"/>
        <v>7.4505805969238281E-9</v>
      </c>
    </row>
    <row r="607" spans="1:23" x14ac:dyDescent="0.2">
      <c r="A607" s="3">
        <f t="shared" si="396"/>
        <v>23</v>
      </c>
      <c r="B607" s="3"/>
      <c r="C607" s="3" t="s">
        <v>641</v>
      </c>
      <c r="D607" s="1" t="s">
        <v>640</v>
      </c>
      <c r="E607" s="4" t="s">
        <v>595</v>
      </c>
      <c r="F607" s="11"/>
      <c r="G607" s="11"/>
      <c r="H607" s="2">
        <f>'II-I TOTAL COMPANY'!K607</f>
        <v>51762292.913373299</v>
      </c>
      <c r="I607" s="66">
        <v>0</v>
      </c>
      <c r="J607" s="66">
        <f t="shared" si="410"/>
        <v>51762292.913373299</v>
      </c>
      <c r="K607" s="66">
        <f t="shared" si="407"/>
        <v>23321633.18082308</v>
      </c>
      <c r="L607" s="66">
        <f t="shared" si="407"/>
        <v>985252.86259934085</v>
      </c>
      <c r="M607" s="9">
        <f>SUM(N607:O607)</f>
        <v>17553758.714965492</v>
      </c>
      <c r="N607" s="66">
        <f t="shared" si="408"/>
        <v>2398321.3904083222</v>
      </c>
      <c r="O607" s="66">
        <f t="shared" si="408"/>
        <v>15155437.324557168</v>
      </c>
      <c r="P607" s="9">
        <f>SUM(Q607:S607)</f>
        <v>4558360.2862402443</v>
      </c>
      <c r="Q607" s="66">
        <f t="shared" si="409"/>
        <v>4219751.7849725531</v>
      </c>
      <c r="R607" s="66">
        <f t="shared" si="409"/>
        <v>216654.4401528076</v>
      </c>
      <c r="S607" s="66">
        <f t="shared" si="409"/>
        <v>121954.06111488414</v>
      </c>
      <c r="T607" s="66">
        <f t="shared" si="409"/>
        <v>4870260.6561981272</v>
      </c>
      <c r="U607" s="66">
        <f t="shared" si="409"/>
        <v>473027.21254701348</v>
      </c>
      <c r="V607" s="66">
        <f t="shared" si="409"/>
        <v>0</v>
      </c>
      <c r="W607" s="27">
        <f t="shared" si="395"/>
        <v>-7.4505805969238281E-9</v>
      </c>
    </row>
    <row r="608" spans="1:23" x14ac:dyDescent="0.2">
      <c r="A608" s="3">
        <f t="shared" si="396"/>
        <v>24</v>
      </c>
      <c r="B608" s="3"/>
      <c r="C608" s="3" t="s">
        <v>358</v>
      </c>
      <c r="D608" s="1" t="s">
        <v>370</v>
      </c>
      <c r="E608" s="4" t="s">
        <v>595</v>
      </c>
      <c r="F608" s="11"/>
      <c r="G608" s="11"/>
      <c r="H608" s="2">
        <f>'II-I TOTAL COMPANY'!K608</f>
        <v>9293800.276345931</v>
      </c>
      <c r="I608" s="66">
        <v>0</v>
      </c>
      <c r="J608" s="66">
        <f t="shared" ca="1" si="410"/>
        <v>9293800.2763459273</v>
      </c>
      <c r="K608" s="66">
        <f t="shared" ca="1" si="407"/>
        <v>5377711.28121542</v>
      </c>
      <c r="L608" s="66">
        <f t="shared" ca="1" si="407"/>
        <v>208041.26224183146</v>
      </c>
      <c r="M608" s="9">
        <f ca="1">SUM(N608:O608)</f>
        <v>2708166.0590386488</v>
      </c>
      <c r="N608" s="66">
        <f t="shared" ca="1" si="408"/>
        <v>358243.18267287716</v>
      </c>
      <c r="O608" s="66">
        <f t="shared" ca="1" si="408"/>
        <v>2349922.8763657715</v>
      </c>
      <c r="P608" s="9">
        <f ca="1">SUM(Q608:S608)</f>
        <v>610762.31242954091</v>
      </c>
      <c r="Q608" s="66">
        <f t="shared" ca="1" si="409"/>
        <v>496852.24849214568</v>
      </c>
      <c r="R608" s="66">
        <f t="shared" ca="1" si="409"/>
        <v>35955.274840267935</v>
      </c>
      <c r="S608" s="66">
        <f t="shared" ca="1" si="409"/>
        <v>77954.789097127301</v>
      </c>
      <c r="T608" s="66">
        <f t="shared" ca="1" si="409"/>
        <v>3.7711241436883327</v>
      </c>
      <c r="U608" s="66">
        <f t="shared" ca="1" si="409"/>
        <v>366436.40907502495</v>
      </c>
      <c r="V608" s="66">
        <f t="shared" ca="1" si="409"/>
        <v>22679.181221319915</v>
      </c>
      <c r="W608" s="27">
        <f t="shared" ca="1" si="395"/>
        <v>-1.862645149230957E-9</v>
      </c>
    </row>
    <row r="609" spans="1:23" x14ac:dyDescent="0.2">
      <c r="A609" s="3">
        <f t="shared" si="396"/>
        <v>25</v>
      </c>
      <c r="B609" s="3"/>
      <c r="C609" s="3"/>
      <c r="D609" s="1"/>
      <c r="E609" s="4"/>
      <c r="F609" s="4"/>
      <c r="G609" s="4"/>
      <c r="H609" s="14"/>
      <c r="I609" s="66"/>
      <c r="J609" s="66"/>
      <c r="K609" s="66"/>
      <c r="L609" s="66"/>
      <c r="M609" s="9"/>
      <c r="N609" s="66"/>
      <c r="O609" s="66"/>
      <c r="P609" s="9"/>
      <c r="Q609" s="66"/>
      <c r="R609" s="66"/>
      <c r="S609" s="66"/>
      <c r="T609" s="66"/>
      <c r="U609" s="66"/>
      <c r="V609" s="66"/>
      <c r="W609" s="27" t="str">
        <f t="shared" si="395"/>
        <v>OK</v>
      </c>
    </row>
    <row r="610" spans="1:23" x14ac:dyDescent="0.2">
      <c r="A610" s="3">
        <f t="shared" si="396"/>
        <v>26</v>
      </c>
      <c r="B610" s="3"/>
      <c r="C610" s="3"/>
      <c r="D610" s="28"/>
      <c r="E610" s="4"/>
      <c r="F610" s="4"/>
      <c r="G610" s="4"/>
      <c r="H610" s="14"/>
      <c r="I610" s="66"/>
      <c r="J610" s="66"/>
      <c r="K610" s="66"/>
      <c r="L610" s="66"/>
      <c r="M610" s="9"/>
      <c r="N610" s="66"/>
      <c r="O610" s="66"/>
      <c r="P610" s="9"/>
      <c r="Q610" s="66"/>
      <c r="R610" s="66"/>
      <c r="S610" s="66"/>
      <c r="T610" s="66"/>
      <c r="U610" s="66"/>
      <c r="V610" s="66"/>
      <c r="W610" s="27" t="str">
        <f t="shared" si="395"/>
        <v>OK</v>
      </c>
    </row>
    <row r="611" spans="1:23" x14ac:dyDescent="0.2">
      <c r="A611" s="3">
        <f t="shared" si="396"/>
        <v>27</v>
      </c>
      <c r="B611" s="3" t="s">
        <v>593</v>
      </c>
      <c r="C611" s="3"/>
      <c r="D611" s="1"/>
      <c r="E611" s="4"/>
      <c r="F611" s="2"/>
      <c r="G611" s="14"/>
      <c r="H611" s="2">
        <f t="shared" ref="H611:V611" si="411">SUM(H605:H610)</f>
        <v>111190107.17414141</v>
      </c>
      <c r="I611" s="2">
        <f t="shared" si="411"/>
        <v>0</v>
      </c>
      <c r="J611" s="66">
        <f t="shared" ref="J611" ca="1" si="412">SUM(K611:V611)-M611-P611</f>
        <v>111190107.17414144</v>
      </c>
      <c r="K611" s="14">
        <f t="shared" ca="1" si="411"/>
        <v>57713869.662337489</v>
      </c>
      <c r="L611" s="14">
        <f t="shared" ca="1" si="411"/>
        <v>2324144.5473639998</v>
      </c>
      <c r="M611" s="9">
        <f ca="1">SUM(N611:O611)</f>
        <v>34823760.41764994</v>
      </c>
      <c r="N611" s="14">
        <f t="shared" ca="1" si="411"/>
        <v>4680519.5014808411</v>
      </c>
      <c r="O611" s="14">
        <f t="shared" ca="1" si="411"/>
        <v>30143240.9161691</v>
      </c>
      <c r="P611" s="9">
        <f ca="1">SUM(Q611:S611)</f>
        <v>8471736.5020369124</v>
      </c>
      <c r="Q611" s="14">
        <f t="shared" ca="1" si="411"/>
        <v>7403255.4256705921</v>
      </c>
      <c r="R611" s="14">
        <f t="shared" ca="1" si="411"/>
        <v>447034.2095022439</v>
      </c>
      <c r="S611" s="14">
        <f ca="1">SUM(S605:S610)</f>
        <v>621446.8668640753</v>
      </c>
      <c r="T611" s="14">
        <f t="shared" ca="1" si="411"/>
        <v>4870314.8569468874</v>
      </c>
      <c r="U611" s="14">
        <f t="shared" ca="1" si="411"/>
        <v>2840972.0182579504</v>
      </c>
      <c r="V611" s="14">
        <f t="shared" ca="1" si="411"/>
        <v>145309.16954823618</v>
      </c>
      <c r="W611" s="27">
        <f t="shared" ca="1" si="395"/>
        <v>1.4901161193847656E-8</v>
      </c>
    </row>
    <row r="612" spans="1:23" x14ac:dyDescent="0.2">
      <c r="A612" s="3"/>
      <c r="B612" s="3"/>
      <c r="C612" s="3"/>
      <c r="D612" s="74"/>
      <c r="E612" s="4"/>
      <c r="F612" s="4"/>
      <c r="G612" s="4"/>
      <c r="H612" s="14"/>
      <c r="I612" s="8"/>
      <c r="J612" s="8"/>
      <c r="K612" s="10"/>
      <c r="L612" s="10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27" t="str">
        <f t="shared" si="395"/>
        <v>OK</v>
      </c>
    </row>
    <row r="613" spans="1:23" x14ac:dyDescent="0.2">
      <c r="A613" s="3"/>
      <c r="B613" s="3"/>
      <c r="C613" s="3"/>
      <c r="D613" s="74"/>
      <c r="E613" s="4"/>
      <c r="F613" s="4"/>
      <c r="G613" s="4"/>
      <c r="H613" s="10"/>
      <c r="I613" s="5"/>
      <c r="J613" s="5"/>
      <c r="K613" s="5"/>
      <c r="L613" s="5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27" t="str">
        <f t="shared" si="395"/>
        <v>OK</v>
      </c>
    </row>
    <row r="614" spans="1:23" x14ac:dyDescent="0.2">
      <c r="A614" s="3"/>
      <c r="B614" s="3"/>
      <c r="C614" s="3"/>
      <c r="D614" s="3"/>
      <c r="E614" s="4"/>
      <c r="F614" s="4"/>
      <c r="G614" s="4"/>
      <c r="H614" s="5"/>
      <c r="I614" s="5"/>
      <c r="J614" s="5"/>
      <c r="K614" s="5"/>
      <c r="L614" s="5"/>
      <c r="M614" s="3"/>
      <c r="N614" s="3"/>
      <c r="O614" s="3"/>
      <c r="P614" s="3"/>
      <c r="Q614" s="11"/>
      <c r="R614" s="11"/>
      <c r="S614" s="11"/>
      <c r="T614" s="11"/>
      <c r="U614" s="3"/>
      <c r="V614" s="3"/>
      <c r="W614" s="27" t="str">
        <f t="shared" si="395"/>
        <v>OK</v>
      </c>
    </row>
    <row r="615" spans="1:23" x14ac:dyDescent="0.2">
      <c r="A615" s="3"/>
      <c r="B615" s="3"/>
      <c r="C615" s="3"/>
      <c r="D615" s="3"/>
      <c r="E615" s="4"/>
      <c r="F615" s="4"/>
      <c r="G615" s="4"/>
      <c r="H615" s="5"/>
      <c r="I615" s="5"/>
      <c r="J615" s="5"/>
      <c r="K615" s="5"/>
      <c r="L615" s="5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27" t="str">
        <f t="shared" si="395"/>
        <v>OK</v>
      </c>
    </row>
    <row r="616" spans="1:23" x14ac:dyDescent="0.2">
      <c r="A616" s="3"/>
      <c r="B616" s="3"/>
      <c r="C616" s="3"/>
      <c r="D616" s="3"/>
      <c r="E616" s="4"/>
      <c r="F616" s="4"/>
      <c r="G616" s="4"/>
      <c r="H616" s="8"/>
      <c r="I616" s="8"/>
      <c r="J616" s="8"/>
      <c r="K616" s="10"/>
      <c r="L616" s="10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27" t="str">
        <f t="shared" si="395"/>
        <v>OK</v>
      </c>
    </row>
    <row r="617" spans="1:23" x14ac:dyDescent="0.2">
      <c r="A617" s="3"/>
      <c r="B617" s="3"/>
      <c r="C617" s="3"/>
      <c r="D617" s="3"/>
      <c r="E617" s="4"/>
      <c r="F617" s="4"/>
      <c r="G617" s="4"/>
      <c r="H617" s="8"/>
      <c r="I617" s="8"/>
      <c r="J617" s="8"/>
      <c r="K617" s="10"/>
      <c r="L617" s="10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27" t="str">
        <f t="shared" si="395"/>
        <v>OK</v>
      </c>
    </row>
    <row r="618" spans="1:23" x14ac:dyDescent="0.2">
      <c r="A618" s="3"/>
      <c r="B618" s="3"/>
      <c r="C618" s="3"/>
      <c r="D618" s="3"/>
      <c r="E618" s="4"/>
      <c r="F618" s="4"/>
      <c r="G618" s="4"/>
      <c r="H618" s="8"/>
      <c r="I618" s="8"/>
      <c r="J618" s="8"/>
      <c r="K618" s="10"/>
      <c r="L618" s="10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27" t="str">
        <f t="shared" si="395"/>
        <v>OK</v>
      </c>
    </row>
    <row r="619" spans="1:23" x14ac:dyDescent="0.2">
      <c r="A619" s="3"/>
      <c r="B619" s="7" t="s">
        <v>297</v>
      </c>
      <c r="C619" s="3"/>
      <c r="D619" s="3"/>
      <c r="E619" s="4"/>
      <c r="F619" s="4"/>
      <c r="G619" s="4"/>
      <c r="H619" s="8"/>
      <c r="I619" s="8"/>
      <c r="J619" s="8"/>
      <c r="K619" s="10"/>
      <c r="L619" s="10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27" t="str">
        <f t="shared" si="395"/>
        <v>OK</v>
      </c>
    </row>
    <row r="620" spans="1:23" x14ac:dyDescent="0.2">
      <c r="A620" s="3"/>
      <c r="B620" s="3"/>
      <c r="C620" s="3"/>
      <c r="D620" s="3"/>
      <c r="E620" s="4"/>
      <c r="F620" s="4"/>
      <c r="G620" s="4"/>
      <c r="H620" s="8"/>
      <c r="I620" s="8"/>
      <c r="J620" s="8"/>
      <c r="K620" s="10"/>
      <c r="L620" s="10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27" t="str">
        <f t="shared" si="395"/>
        <v>OK</v>
      </c>
    </row>
    <row r="621" spans="1:23" x14ac:dyDescent="0.2">
      <c r="A621" s="3"/>
      <c r="B621" s="3" t="s">
        <v>298</v>
      </c>
      <c r="C621" s="3"/>
      <c r="D621" s="3"/>
      <c r="E621" s="4"/>
      <c r="F621" s="4"/>
      <c r="G621" s="4"/>
      <c r="H621" s="8"/>
      <c r="I621" s="8"/>
      <c r="J621" s="8"/>
      <c r="K621" s="10"/>
      <c r="L621" s="10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27" t="str">
        <f t="shared" si="395"/>
        <v>OK</v>
      </c>
    </row>
    <row r="622" spans="1:23" x14ac:dyDescent="0.2">
      <c r="A622" s="3"/>
      <c r="B622" s="3"/>
      <c r="C622" s="3"/>
      <c r="D622" s="3"/>
      <c r="E622" s="4"/>
      <c r="F622" s="4"/>
      <c r="G622" s="4"/>
      <c r="H622" s="8"/>
      <c r="I622" s="8"/>
      <c r="J622" s="8"/>
      <c r="K622" s="10"/>
      <c r="L622" s="10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27" t="str">
        <f t="shared" si="395"/>
        <v>OK</v>
      </c>
    </row>
    <row r="623" spans="1:23" x14ac:dyDescent="0.2">
      <c r="A623" s="3">
        <v>1</v>
      </c>
      <c r="B623" s="3"/>
      <c r="C623" s="3" t="s">
        <v>20</v>
      </c>
      <c r="D623" s="3"/>
      <c r="E623" s="4" t="s">
        <v>595</v>
      </c>
      <c r="F623" s="11"/>
      <c r="G623" s="11"/>
      <c r="H623" s="8">
        <f>H59</f>
        <v>295477290.13719887</v>
      </c>
      <c r="I623" s="8">
        <f t="shared" ref="I623:V623" si="413">I59</f>
        <v>0</v>
      </c>
      <c r="J623" s="8">
        <f t="shared" si="413"/>
        <v>295477290.13719887</v>
      </c>
      <c r="K623" s="8">
        <f t="shared" si="413"/>
        <v>170977844.37466782</v>
      </c>
      <c r="L623" s="8">
        <f t="shared" si="413"/>
        <v>6615963.9867061377</v>
      </c>
      <c r="M623" s="8">
        <f t="shared" si="413"/>
        <v>86093718.198892921</v>
      </c>
      <c r="N623" s="8">
        <f t="shared" si="413"/>
        <v>11388273.582197115</v>
      </c>
      <c r="O623" s="8">
        <f t="shared" si="413"/>
        <v>74705444.616695806</v>
      </c>
      <c r="P623" s="9">
        <f>SUM(Q623:S623)</f>
        <v>19405285.037060376</v>
      </c>
      <c r="Q623" s="8">
        <f t="shared" si="413"/>
        <v>15786108.808922032</v>
      </c>
      <c r="R623" s="8">
        <f t="shared" si="413"/>
        <v>1142379.3641438545</v>
      </c>
      <c r="S623" s="8">
        <f>S59</f>
        <v>2476796.8639944908</v>
      </c>
      <c r="T623" s="8">
        <f t="shared" si="413"/>
        <v>115.46635024240854</v>
      </c>
      <c r="U623" s="8">
        <f t="shared" si="413"/>
        <v>11663794.062107921</v>
      </c>
      <c r="V623" s="8">
        <f t="shared" si="413"/>
        <v>720569.01141346991</v>
      </c>
      <c r="W623" s="27" t="str">
        <f t="shared" si="395"/>
        <v>OK</v>
      </c>
    </row>
    <row r="624" spans="1:23" x14ac:dyDescent="0.2">
      <c r="A624" s="3">
        <f>1+A623</f>
        <v>2</v>
      </c>
      <c r="B624" s="3"/>
      <c r="C624" s="3"/>
      <c r="D624" s="3"/>
      <c r="E624" s="4"/>
      <c r="F624" s="4"/>
      <c r="G624" s="4"/>
      <c r="H624" s="8"/>
      <c r="I624" s="8"/>
      <c r="J624" s="8"/>
      <c r="K624" s="10"/>
      <c r="L624" s="10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27" t="str">
        <f t="shared" si="395"/>
        <v>OK</v>
      </c>
    </row>
    <row r="625" spans="1:23" x14ac:dyDescent="0.2">
      <c r="A625" s="3">
        <f t="shared" ref="A625:A647" si="414">1+A624</f>
        <v>3</v>
      </c>
      <c r="B625" s="3"/>
      <c r="C625" s="3" t="s">
        <v>299</v>
      </c>
      <c r="D625" s="28"/>
      <c r="E625" s="4"/>
      <c r="F625" s="4"/>
      <c r="G625" s="4"/>
      <c r="H625" s="8"/>
      <c r="I625" s="8"/>
      <c r="J625" s="8"/>
      <c r="K625" s="10"/>
      <c r="L625" s="10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27" t="str">
        <f t="shared" si="395"/>
        <v>OK</v>
      </c>
    </row>
    <row r="626" spans="1:23" x14ac:dyDescent="0.2">
      <c r="A626" s="3">
        <f t="shared" si="414"/>
        <v>4</v>
      </c>
      <c r="B626" s="3"/>
      <c r="C626" s="3" t="s">
        <v>552</v>
      </c>
      <c r="D626" s="28" t="s">
        <v>312</v>
      </c>
      <c r="E626" s="4" t="s">
        <v>595</v>
      </c>
      <c r="F626" s="11"/>
      <c r="G626" s="11"/>
      <c r="H626" s="14">
        <f>'II-I TOTAL COMPANY'!K626</f>
        <v>-99055204.705877095</v>
      </c>
      <c r="I626" s="66">
        <v>0</v>
      </c>
      <c r="J626" s="66">
        <f>SUM(K626:V626)-M626-P626</f>
        <v>-99055204.705877051</v>
      </c>
      <c r="K626" s="66">
        <f t="shared" ref="K626:L630" si="415">VLOOKUP($D626,$E$741:$V$815,K$1,FALSE)*$H626</f>
        <v>-57318264.169683784</v>
      </c>
      <c r="L626" s="66">
        <f t="shared" si="415"/>
        <v>-2217922.2864463795</v>
      </c>
      <c r="M626" s="9">
        <f>SUM(N626:O626)</f>
        <v>-28861882.667445716</v>
      </c>
      <c r="N626" s="66">
        <f t="shared" ref="N626:O630" si="416">VLOOKUP($D626,$E$741:$V$815,N$1,FALSE)*$H626</f>
        <v>-3817781.6313475408</v>
      </c>
      <c r="O626" s="66">
        <f t="shared" si="416"/>
        <v>-25044101.036098175</v>
      </c>
      <c r="P626" s="9">
        <f>SUM(Q626:S626)</f>
        <v>-6505388.2162935622</v>
      </c>
      <c r="Q626" s="66">
        <f t="shared" ref="Q626:V629" si="417">VLOOKUP($D626,$E$741:$V$815,Q$1,FALSE)*$H626</f>
        <v>-5292102.951879452</v>
      </c>
      <c r="R626" s="66">
        <f t="shared" si="417"/>
        <v>-382968.93036332045</v>
      </c>
      <c r="S626" s="66">
        <f t="shared" si="417"/>
        <v>-830316.33405078936</v>
      </c>
      <c r="T626" s="66">
        <f t="shared" si="417"/>
        <v>-38.708703985065434</v>
      </c>
      <c r="U626" s="66">
        <f t="shared" si="417"/>
        <v>-3910146.5556419385</v>
      </c>
      <c r="V626" s="66">
        <f t="shared" si="417"/>
        <v>-241562.10166171004</v>
      </c>
      <c r="W626" s="27">
        <f t="shared" si="395"/>
        <v>2.9802322387695313E-8</v>
      </c>
    </row>
    <row r="627" spans="1:23" x14ac:dyDescent="0.2">
      <c r="A627" s="3">
        <f t="shared" si="414"/>
        <v>5</v>
      </c>
      <c r="B627" s="3"/>
      <c r="C627" s="3" t="s">
        <v>311</v>
      </c>
      <c r="D627" s="1" t="s">
        <v>340</v>
      </c>
      <c r="E627" s="4" t="s">
        <v>595</v>
      </c>
      <c r="F627" s="11"/>
      <c r="G627" s="11"/>
      <c r="H627" s="14">
        <f>'II-I TOTAL COMPANY'!K627</f>
        <v>-313383.41044441686</v>
      </c>
      <c r="I627" s="66">
        <v>0</v>
      </c>
      <c r="J627" s="66">
        <f t="shared" ref="J627:J636" si="418">SUM(K627:V627)-M627-P627</f>
        <v>-313383.41044441686</v>
      </c>
      <c r="K627" s="66">
        <f t="shared" si="415"/>
        <v>-181471.06525177095</v>
      </c>
      <c r="L627" s="66">
        <f t="shared" si="415"/>
        <v>-7102.1670103499928</v>
      </c>
      <c r="M627" s="9">
        <f>SUM(N627:O627)</f>
        <v>-90903.033497312703</v>
      </c>
      <c r="N627" s="66">
        <f t="shared" si="416"/>
        <v>-12002.300931424072</v>
      </c>
      <c r="O627" s="66">
        <f t="shared" si="416"/>
        <v>-78900.732565888626</v>
      </c>
      <c r="P627" s="9">
        <f>SUM(Q627:S627)</f>
        <v>-20337.849406444842</v>
      </c>
      <c r="Q627" s="66">
        <f t="shared" si="417"/>
        <v>-16544.719445680661</v>
      </c>
      <c r="R627" s="66">
        <f t="shared" si="417"/>
        <v>-1197.2830135694437</v>
      </c>
      <c r="S627" s="66">
        <f t="shared" si="417"/>
        <v>-2595.8469471947392</v>
      </c>
      <c r="T627" s="66">
        <f t="shared" si="417"/>
        <v>-0.20310702495152996</v>
      </c>
      <c r="U627" s="66">
        <f t="shared" si="417"/>
        <v>-12813.907165208606</v>
      </c>
      <c r="V627" s="66">
        <f t="shared" si="417"/>
        <v>-755.18500630487665</v>
      </c>
      <c r="W627" s="27" t="str">
        <f t="shared" si="395"/>
        <v>OK</v>
      </c>
    </row>
    <row r="628" spans="1:23" x14ac:dyDescent="0.2">
      <c r="A628" s="3">
        <f t="shared" si="414"/>
        <v>6</v>
      </c>
      <c r="B628" s="3"/>
      <c r="C628" s="3" t="s">
        <v>537</v>
      </c>
      <c r="D628" s="1" t="s">
        <v>331</v>
      </c>
      <c r="E628" s="4" t="s">
        <v>595</v>
      </c>
      <c r="F628" s="11"/>
      <c r="G628" s="11"/>
      <c r="H628" s="14">
        <f>'II-I TOTAL COMPANY'!K628</f>
        <v>-3290277.415381867</v>
      </c>
      <c r="I628" s="66">
        <v>0</v>
      </c>
      <c r="J628" s="66">
        <f t="shared" si="418"/>
        <v>-3290277.4153818679</v>
      </c>
      <c r="K628" s="66">
        <f t="shared" si="415"/>
        <v>-1912822.9493398899</v>
      </c>
      <c r="L628" s="66">
        <f t="shared" si="415"/>
        <v>-79806.362460706267</v>
      </c>
      <c r="M628" s="9">
        <f>SUM(N628:O628)</f>
        <v>-928887.77758392587</v>
      </c>
      <c r="N628" s="66">
        <f t="shared" si="416"/>
        <v>-121272.41375233889</v>
      </c>
      <c r="O628" s="66">
        <f t="shared" si="416"/>
        <v>-807615.36383158702</v>
      </c>
      <c r="P628" s="9">
        <f>SUM(Q628:S628)</f>
        <v>-200442.46045046806</v>
      </c>
      <c r="Q628" s="66">
        <f t="shared" si="417"/>
        <v>-163059.36373598638</v>
      </c>
      <c r="R628" s="66">
        <f t="shared" si="417"/>
        <v>-11799.915856945983</v>
      </c>
      <c r="S628" s="66">
        <f t="shared" si="417"/>
        <v>-25583.18085753567</v>
      </c>
      <c r="T628" s="66">
        <f t="shared" si="417"/>
        <v>0</v>
      </c>
      <c r="U628" s="66">
        <f t="shared" si="417"/>
        <v>-160874.73015658234</v>
      </c>
      <c r="V628" s="66">
        <f t="shared" si="417"/>
        <v>-7443.1353902948676</v>
      </c>
      <c r="W628" s="27">
        <f t="shared" si="395"/>
        <v>-4.6566128730773926E-10</v>
      </c>
    </row>
    <row r="629" spans="1:23" x14ac:dyDescent="0.2">
      <c r="A629" s="3">
        <f t="shared" si="414"/>
        <v>7</v>
      </c>
      <c r="B629" s="3"/>
      <c r="C629" s="3" t="s">
        <v>808</v>
      </c>
      <c r="D629" s="28" t="s">
        <v>375</v>
      </c>
      <c r="E629" s="4" t="s">
        <v>595</v>
      </c>
      <c r="F629" s="11"/>
      <c r="G629" s="11"/>
      <c r="H629" s="14">
        <f>'II-I TOTAL COMPANY'!K629</f>
        <v>284537.79600363062</v>
      </c>
      <c r="I629" s="66">
        <v>0</v>
      </c>
      <c r="J629" s="66">
        <f t="shared" si="418"/>
        <v>284537.79600363056</v>
      </c>
      <c r="K629" s="66">
        <f t="shared" si="415"/>
        <v>163519.26208190215</v>
      </c>
      <c r="L629" s="66">
        <f t="shared" si="415"/>
        <v>6047.6592475124953</v>
      </c>
      <c r="M629" s="9">
        <f>SUM(N629:O629)</f>
        <v>84000.305657700243</v>
      </c>
      <c r="N629" s="66">
        <f t="shared" si="416"/>
        <v>11188.350341338859</v>
      </c>
      <c r="O629" s="66">
        <f t="shared" si="416"/>
        <v>72811.955316361389</v>
      </c>
      <c r="P629" s="9">
        <f>SUM(Q629:S629)</f>
        <v>22152.780700525655</v>
      </c>
      <c r="Q629" s="66">
        <f t="shared" si="417"/>
        <v>18020.752091835624</v>
      </c>
      <c r="R629" s="66">
        <f t="shared" si="417"/>
        <v>1304.1739158122912</v>
      </c>
      <c r="S629" s="66">
        <f t="shared" si="417"/>
        <v>2827.8546928777396</v>
      </c>
      <c r="T629" s="66">
        <f t="shared" si="417"/>
        <v>1.5331475885469079</v>
      </c>
      <c r="U629" s="66">
        <f t="shared" si="417"/>
        <v>7993.8787643636942</v>
      </c>
      <c r="V629" s="66">
        <f t="shared" si="417"/>
        <v>822.37640403781688</v>
      </c>
      <c r="W629" s="27" t="str">
        <f t="shared" si="395"/>
        <v>OK</v>
      </c>
    </row>
    <row r="630" spans="1:23" s="132" customFormat="1" x14ac:dyDescent="0.2">
      <c r="A630" s="3">
        <f t="shared" si="414"/>
        <v>8</v>
      </c>
      <c r="B630" s="3"/>
      <c r="C630" s="3" t="s">
        <v>811</v>
      </c>
      <c r="D630" s="28" t="s">
        <v>370</v>
      </c>
      <c r="E630" s="4" t="s">
        <v>595</v>
      </c>
      <c r="F630" s="10"/>
      <c r="G630" s="28"/>
      <c r="H630" s="14">
        <f>'II-I TOTAL COMPANY'!K630</f>
        <v>254165.30000000031</v>
      </c>
      <c r="I630" s="66">
        <v>0</v>
      </c>
      <c r="J630" s="66">
        <f t="shared" ca="1" si="418"/>
        <v>254165.30000000037</v>
      </c>
      <c r="K630" s="66">
        <f t="shared" ca="1" si="415"/>
        <v>147068.75126015756</v>
      </c>
      <c r="L630" s="66">
        <f t="shared" ca="1" si="415"/>
        <v>5689.4777440669914</v>
      </c>
      <c r="M630" s="9">
        <f ca="1">SUM(N630:O630)</f>
        <v>74062.473732866376</v>
      </c>
      <c r="N630" s="66">
        <f t="shared" ca="1" si="416"/>
        <v>9797.1748143490659</v>
      </c>
      <c r="O630" s="66">
        <f t="shared" ca="1" si="416"/>
        <v>64265.298918517306</v>
      </c>
      <c r="P630" s="9">
        <f ca="1">SUM(Q630:S630)</f>
        <v>16703.025861492064</v>
      </c>
      <c r="Q630" s="66">
        <f t="shared" ref="Q630:V630" ca="1" si="419">VLOOKUP($D630,$E$741:$V$815,Q$1,FALSE)*$H630</f>
        <v>13587.832430086586</v>
      </c>
      <c r="R630" s="66">
        <f t="shared" ca="1" si="419"/>
        <v>983.29885995271309</v>
      </c>
      <c r="S630" s="66">
        <f t="shared" ca="1" si="419"/>
        <v>2131.8945714527667</v>
      </c>
      <c r="T630" s="66">
        <f t="shared" ca="1" si="419"/>
        <v>0.10313207415886508</v>
      </c>
      <c r="U630" s="66">
        <f t="shared" ca="1" si="419"/>
        <v>10021.241803583804</v>
      </c>
      <c r="V630" s="66">
        <f t="shared" ca="1" si="419"/>
        <v>620.22646575933311</v>
      </c>
      <c r="W630" s="27">
        <f t="shared" ca="1" si="395"/>
        <v>-2.9103830456733704E-11</v>
      </c>
    </row>
    <row r="631" spans="1:23" x14ac:dyDescent="0.2">
      <c r="A631" s="3">
        <f t="shared" si="414"/>
        <v>9</v>
      </c>
      <c r="B631" s="3"/>
      <c r="C631" s="3" t="s">
        <v>553</v>
      </c>
      <c r="D631" s="28"/>
      <c r="E631" s="4"/>
      <c r="F631" s="4"/>
      <c r="G631" s="4"/>
      <c r="H631" s="14"/>
      <c r="I631" s="66"/>
      <c r="J631" s="66"/>
      <c r="K631" s="66"/>
      <c r="L631" s="66"/>
      <c r="M631" s="9"/>
      <c r="N631" s="66"/>
      <c r="O631" s="66"/>
      <c r="P631" s="9"/>
      <c r="Q631" s="66"/>
      <c r="R631" s="66"/>
      <c r="S631" s="66"/>
      <c r="T631" s="66"/>
      <c r="U631" s="66"/>
      <c r="V631" s="66"/>
      <c r="W631" s="27" t="str">
        <f t="shared" si="395"/>
        <v>OK</v>
      </c>
    </row>
    <row r="632" spans="1:23" x14ac:dyDescent="0.2">
      <c r="A632" s="3">
        <f t="shared" si="414"/>
        <v>10</v>
      </c>
      <c r="B632" s="3"/>
      <c r="C632" s="3" t="s">
        <v>554</v>
      </c>
      <c r="D632" s="1" t="s">
        <v>331</v>
      </c>
      <c r="E632" s="4" t="s">
        <v>595</v>
      </c>
      <c r="F632" s="11"/>
      <c r="G632" s="11"/>
      <c r="H632" s="14">
        <f>'II-I TOTAL COMPANY'!K632</f>
        <v>3081911.9871566002</v>
      </c>
      <c r="I632" s="66">
        <v>0</v>
      </c>
      <c r="J632" s="66">
        <f t="shared" si="418"/>
        <v>3081911.9871566002</v>
      </c>
      <c r="K632" s="66">
        <f t="shared" ref="K632:L634" si="420">VLOOKUP($D632,$E$741:$V$815,K$1,FALSE)*$H632</f>
        <v>1791688.4300756331</v>
      </c>
      <c r="L632" s="66">
        <f t="shared" si="420"/>
        <v>74752.415698805038</v>
      </c>
      <c r="M632" s="9">
        <f>SUM(N632:O632)</f>
        <v>870063.5281012943</v>
      </c>
      <c r="N632" s="66">
        <f t="shared" ref="N632:O634" si="421">VLOOKUP($D632,$E$741:$V$815,N$1,FALSE)*$H632</f>
        <v>113592.52077271148</v>
      </c>
      <c r="O632" s="66">
        <f t="shared" si="421"/>
        <v>756471.00732858281</v>
      </c>
      <c r="P632" s="9">
        <f>SUM(Q632:S632)</f>
        <v>187748.9170698894</v>
      </c>
      <c r="Q632" s="66">
        <f t="shared" ref="Q632:V634" si="422">VLOOKUP($D632,$E$741:$V$815,Q$1,FALSE)*$H632</f>
        <v>152733.20278914564</v>
      </c>
      <c r="R632" s="66">
        <f t="shared" si="422"/>
        <v>11052.655304063603</v>
      </c>
      <c r="S632" s="66">
        <f t="shared" si="422"/>
        <v>23963.058976680164</v>
      </c>
      <c r="T632" s="66">
        <f t="shared" si="422"/>
        <v>0</v>
      </c>
      <c r="U632" s="66">
        <f t="shared" si="422"/>
        <v>150686.91684850294</v>
      </c>
      <c r="V632" s="66">
        <f t="shared" si="422"/>
        <v>6971.7793624757269</v>
      </c>
      <c r="W632" s="27">
        <f t="shared" si="395"/>
        <v>4.6566128730773926E-10</v>
      </c>
    </row>
    <row r="633" spans="1:23" x14ac:dyDescent="0.2">
      <c r="A633" s="3">
        <f t="shared" si="414"/>
        <v>11</v>
      </c>
      <c r="B633" s="3"/>
      <c r="C633" s="3" t="s">
        <v>555</v>
      </c>
      <c r="D633" s="1" t="s">
        <v>323</v>
      </c>
      <c r="E633" s="4" t="s">
        <v>595</v>
      </c>
      <c r="F633" s="11"/>
      <c r="G633" s="11"/>
      <c r="H633" s="14">
        <f>'II-I TOTAL COMPANY'!K633</f>
        <v>304561.40182925004</v>
      </c>
      <c r="I633" s="66">
        <v>0</v>
      </c>
      <c r="J633" s="66">
        <f t="shared" si="418"/>
        <v>304561.40182924992</v>
      </c>
      <c r="K633" s="66">
        <f t="shared" si="420"/>
        <v>175026.50398372102</v>
      </c>
      <c r="L633" s="66">
        <f t="shared" si="420"/>
        <v>6473.2475055248242</v>
      </c>
      <c r="M633" s="9">
        <f>SUM(N633:O633)</f>
        <v>89911.608245072071</v>
      </c>
      <c r="N633" s="66">
        <f t="shared" si="421"/>
        <v>11975.701337306527</v>
      </c>
      <c r="O633" s="66">
        <f t="shared" si="421"/>
        <v>77935.906907765544</v>
      </c>
      <c r="P633" s="9">
        <f>SUM(Q633:S633)</f>
        <v>23711.724907301803</v>
      </c>
      <c r="Q633" s="66">
        <f t="shared" si="422"/>
        <v>19288.915554251413</v>
      </c>
      <c r="R633" s="66">
        <f t="shared" si="422"/>
        <v>1395.9517561732487</v>
      </c>
      <c r="S633" s="66">
        <f t="shared" si="422"/>
        <v>3026.8575968771415</v>
      </c>
      <c r="T633" s="66">
        <f t="shared" si="422"/>
        <v>1.6410388543707652</v>
      </c>
      <c r="U633" s="66">
        <f t="shared" si="422"/>
        <v>8556.4271485979116</v>
      </c>
      <c r="V633" s="66">
        <f t="shared" si="422"/>
        <v>880.2490001780269</v>
      </c>
      <c r="W633" s="27">
        <f t="shared" si="395"/>
        <v>-5.8207660913467407E-11</v>
      </c>
    </row>
    <row r="634" spans="1:23" x14ac:dyDescent="0.2">
      <c r="A634" s="3">
        <f t="shared" si="414"/>
        <v>12</v>
      </c>
      <c r="B634" s="3"/>
      <c r="C634" s="3" t="s">
        <v>670</v>
      </c>
      <c r="D634" s="28" t="s">
        <v>312</v>
      </c>
      <c r="E634" s="4"/>
      <c r="F634" s="4"/>
      <c r="G634" s="4"/>
      <c r="H634" s="14">
        <f>'II-I TOTAL COMPANY'!K634</f>
        <v>-22990.289999999997</v>
      </c>
      <c r="I634" s="66">
        <v>0</v>
      </c>
      <c r="J634" s="66">
        <f t="shared" si="418"/>
        <v>-22990.289999999997</v>
      </c>
      <c r="K634" s="66">
        <f t="shared" si="420"/>
        <v>-13303.324337882616</v>
      </c>
      <c r="L634" s="66">
        <f t="shared" si="420"/>
        <v>-514.77029111464719</v>
      </c>
      <c r="M634" s="9">
        <f>SUM(N634:O634)</f>
        <v>-6698.7197133234686</v>
      </c>
      <c r="N634" s="66">
        <f t="shared" si="421"/>
        <v>-886.09081291561256</v>
      </c>
      <c r="O634" s="66">
        <f t="shared" si="421"/>
        <v>-5812.6289004078562</v>
      </c>
      <c r="P634" s="9">
        <f>SUM(Q634:S634)</f>
        <v>-1509.8728239395384</v>
      </c>
      <c r="Q634" s="66">
        <f t="shared" si="422"/>
        <v>-1228.2744953667836</v>
      </c>
      <c r="R634" s="66">
        <f t="shared" si="422"/>
        <v>-88.885453280176336</v>
      </c>
      <c r="S634" s="66">
        <f t="shared" si="422"/>
        <v>-192.71287529257842</v>
      </c>
      <c r="T634" s="66">
        <f t="shared" si="422"/>
        <v>-8.984124890592542E-3</v>
      </c>
      <c r="U634" s="66">
        <f t="shared" si="422"/>
        <v>-907.52831740274678</v>
      </c>
      <c r="V634" s="66">
        <f t="shared" si="422"/>
        <v>-56.065532212086708</v>
      </c>
      <c r="W634" s="27" t="str">
        <f t="shared" si="395"/>
        <v>OK</v>
      </c>
    </row>
    <row r="635" spans="1:23" x14ac:dyDescent="0.2">
      <c r="A635" s="3">
        <f t="shared" si="414"/>
        <v>13</v>
      </c>
      <c r="B635" s="3"/>
      <c r="C635" s="3"/>
      <c r="D635" s="3"/>
      <c r="E635" s="4"/>
      <c r="F635" s="4"/>
      <c r="G635" s="4"/>
      <c r="H635" s="8"/>
      <c r="I635" s="8"/>
      <c r="J635" s="8"/>
      <c r="K635" s="31"/>
      <c r="L635" s="31"/>
      <c r="M635" s="31"/>
      <c r="N635" s="31"/>
      <c r="O635" s="31"/>
      <c r="P635" s="31"/>
      <c r="Q635" s="3"/>
      <c r="R635" s="3"/>
      <c r="S635" s="3"/>
      <c r="T635" s="3"/>
      <c r="U635" s="3"/>
      <c r="V635" s="3"/>
      <c r="W635" s="27" t="str">
        <f t="shared" si="395"/>
        <v>OK</v>
      </c>
    </row>
    <row r="636" spans="1:23" x14ac:dyDescent="0.2">
      <c r="A636" s="3">
        <f t="shared" si="414"/>
        <v>14</v>
      </c>
      <c r="B636" s="3"/>
      <c r="C636" s="3" t="s">
        <v>356</v>
      </c>
      <c r="D636" s="3"/>
      <c r="E636" s="4"/>
      <c r="F636" s="8"/>
      <c r="G636" s="8"/>
      <c r="H636" s="8">
        <f ca="1">SUM(I636:J636)</f>
        <v>196720610.80048507</v>
      </c>
      <c r="I636" s="8">
        <v>0</v>
      </c>
      <c r="J636" s="66">
        <f t="shared" ca="1" si="418"/>
        <v>196720610.80048507</v>
      </c>
      <c r="K636" s="8">
        <f t="shared" ref="K636:V636" ca="1" si="423">SUM(K623:K634)</f>
        <v>113829285.81345591</v>
      </c>
      <c r="L636" s="8">
        <f t="shared" ca="1" si="423"/>
        <v>4403581.2006934974</v>
      </c>
      <c r="M636" s="8">
        <f t="shared" ca="1" si="423"/>
        <v>57323383.916389577</v>
      </c>
      <c r="N636" s="8">
        <f t="shared" ca="1" si="423"/>
        <v>7582884.8926186012</v>
      </c>
      <c r="O636" s="8">
        <f t="shared" ca="1" si="423"/>
        <v>49740499.023770981</v>
      </c>
      <c r="P636" s="9">
        <f ca="1">SUM(Q636:S636)</f>
        <v>12927923.086625174</v>
      </c>
      <c r="Q636" s="8">
        <f t="shared" ca="1" si="423"/>
        <v>10516804.202230867</v>
      </c>
      <c r="R636" s="8">
        <f t="shared" ca="1" si="423"/>
        <v>761060.42929274018</v>
      </c>
      <c r="S636" s="8">
        <f ca="1">SUM(S623:S634)</f>
        <v>1650058.4551015662</v>
      </c>
      <c r="T636" s="8">
        <f t="shared" ca="1" si="423"/>
        <v>79.822873624577525</v>
      </c>
      <c r="U636" s="8">
        <f t="shared" ca="1" si="423"/>
        <v>7756309.8053918369</v>
      </c>
      <c r="V636" s="8">
        <f t="shared" ca="1" si="423"/>
        <v>480047.15505539888</v>
      </c>
      <c r="W636" s="27">
        <f t="shared" ca="1" si="395"/>
        <v>-2.9802322387695313E-8</v>
      </c>
    </row>
    <row r="637" spans="1:23" x14ac:dyDescent="0.2">
      <c r="A637" s="3">
        <f t="shared" si="414"/>
        <v>15</v>
      </c>
      <c r="B637" s="3"/>
      <c r="C637" s="3"/>
      <c r="D637" s="3"/>
      <c r="E637" s="4"/>
      <c r="F637" s="4"/>
      <c r="G637" s="4"/>
      <c r="H637" s="8"/>
      <c r="I637" s="8"/>
      <c r="J637" s="8"/>
      <c r="K637" s="31"/>
      <c r="L637" s="31"/>
      <c r="M637" s="31"/>
      <c r="N637" s="31"/>
      <c r="O637" s="31"/>
      <c r="P637" s="31"/>
      <c r="Q637" s="3"/>
      <c r="R637" s="3"/>
      <c r="S637" s="3"/>
      <c r="T637" s="3"/>
      <c r="U637" s="3"/>
      <c r="V637" s="3"/>
      <c r="W637" s="27" t="str">
        <f t="shared" si="395"/>
        <v>OK</v>
      </c>
    </row>
    <row r="638" spans="1:23" x14ac:dyDescent="0.2">
      <c r="A638" s="3">
        <f t="shared" si="414"/>
        <v>16</v>
      </c>
      <c r="B638" s="3"/>
      <c r="C638" s="3" t="s">
        <v>301</v>
      </c>
      <c r="D638" s="1">
        <f>(1/(1-0.21)*0.21)</f>
        <v>0.26582278481012656</v>
      </c>
      <c r="E638" s="4"/>
      <c r="F638" s="24"/>
      <c r="G638" s="11"/>
      <c r="H638" s="24">
        <f t="shared" ref="H638:V638" si="424">$D$638</f>
        <v>0.26582278481012656</v>
      </c>
      <c r="I638" s="24">
        <f t="shared" si="424"/>
        <v>0.26582278481012656</v>
      </c>
      <c r="J638" s="24">
        <f t="shared" si="424"/>
        <v>0.26582278481012656</v>
      </c>
      <c r="K638" s="24">
        <f t="shared" si="424"/>
        <v>0.26582278481012656</v>
      </c>
      <c r="L638" s="24">
        <f t="shared" si="424"/>
        <v>0.26582278481012656</v>
      </c>
      <c r="M638" s="24">
        <f t="shared" si="424"/>
        <v>0.26582278481012656</v>
      </c>
      <c r="N638" s="24">
        <f t="shared" si="424"/>
        <v>0.26582278481012656</v>
      </c>
      <c r="O638" s="24">
        <f t="shared" si="424"/>
        <v>0.26582278481012656</v>
      </c>
      <c r="P638" s="24">
        <f t="shared" si="424"/>
        <v>0.26582278481012656</v>
      </c>
      <c r="Q638" s="24">
        <f t="shared" si="424"/>
        <v>0.26582278481012656</v>
      </c>
      <c r="R638" s="24">
        <f t="shared" si="424"/>
        <v>0.26582278481012656</v>
      </c>
      <c r="S638" s="24">
        <f t="shared" si="424"/>
        <v>0.26582278481012656</v>
      </c>
      <c r="T638" s="24">
        <f t="shared" si="424"/>
        <v>0.26582278481012656</v>
      </c>
      <c r="U638" s="24">
        <f t="shared" si="424"/>
        <v>0.26582278481012656</v>
      </c>
      <c r="V638" s="24">
        <f t="shared" si="424"/>
        <v>0.26582278481012656</v>
      </c>
      <c r="W638" s="27"/>
    </row>
    <row r="639" spans="1:23" x14ac:dyDescent="0.2">
      <c r="A639" s="3">
        <f t="shared" si="414"/>
        <v>17</v>
      </c>
      <c r="B639" s="3"/>
      <c r="C639" s="3"/>
      <c r="D639" s="3"/>
      <c r="E639" s="4"/>
      <c r="F639" s="4"/>
      <c r="G639" s="4"/>
      <c r="H639" s="8"/>
      <c r="I639" s="8"/>
      <c r="J639" s="8"/>
      <c r="K639" s="10"/>
      <c r="L639" s="10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27" t="str">
        <f t="shared" si="395"/>
        <v>OK</v>
      </c>
    </row>
    <row r="640" spans="1:23" x14ac:dyDescent="0.2">
      <c r="A640" s="3">
        <f t="shared" si="414"/>
        <v>18</v>
      </c>
      <c r="B640" s="3"/>
      <c r="C640" s="3" t="s">
        <v>302</v>
      </c>
      <c r="D640" s="3"/>
      <c r="E640" s="4"/>
      <c r="F640" s="8"/>
      <c r="G640" s="8"/>
      <c r="H640" s="8">
        <f ca="1">SUM(I640:J640)</f>
        <v>52292820.592533991</v>
      </c>
      <c r="I640" s="8">
        <v>0</v>
      </c>
      <c r="J640" s="66">
        <f t="shared" ref="J640" ca="1" si="425">SUM(K640:V640)-M640-P640</f>
        <v>52292820.592533991</v>
      </c>
      <c r="K640" s="8">
        <f t="shared" ref="K640:V640" ca="1" si="426">K636*K638</f>
        <v>30258417.747880682</v>
      </c>
      <c r="L640" s="8">
        <f ca="1">L636*L638</f>
        <v>1170572.2179058662</v>
      </c>
      <c r="M640" s="9">
        <f ca="1">SUM(N640:O640)</f>
        <v>15237861.547394698</v>
      </c>
      <c r="N640" s="8">
        <f t="shared" ca="1" si="426"/>
        <v>2015703.5790505141</v>
      </c>
      <c r="O640" s="8">
        <f t="shared" ca="1" si="426"/>
        <v>13222157.968344184</v>
      </c>
      <c r="P640" s="9">
        <f ca="1">SUM(Q640:S640)</f>
        <v>3436536.5166978305</v>
      </c>
      <c r="Q640" s="8">
        <f t="shared" ca="1" si="426"/>
        <v>2795606.1803398505</v>
      </c>
      <c r="R640" s="8">
        <f t="shared" ca="1" si="426"/>
        <v>202307.20272338661</v>
      </c>
      <c r="S640" s="8">
        <f ca="1">S636*S638</f>
        <v>438623.13363459351</v>
      </c>
      <c r="T640" s="8">
        <f t="shared" ca="1" si="426"/>
        <v>21.218738558431998</v>
      </c>
      <c r="U640" s="8">
        <f t="shared" ca="1" si="426"/>
        <v>2061803.8723193489</v>
      </c>
      <c r="V640" s="8">
        <f t="shared" ca="1" si="426"/>
        <v>127607.47159700475</v>
      </c>
      <c r="W640" s="27" t="str">
        <f t="shared" ca="1" si="395"/>
        <v>OK</v>
      </c>
    </row>
    <row r="641" spans="1:23" x14ac:dyDescent="0.2">
      <c r="A641" s="3">
        <f t="shared" si="414"/>
        <v>19</v>
      </c>
      <c r="B641" s="3"/>
      <c r="C641" s="3"/>
      <c r="D641" s="3"/>
      <c r="E641" s="4"/>
      <c r="F641" s="4"/>
      <c r="G641" s="4"/>
      <c r="H641" s="8"/>
      <c r="I641" s="8"/>
      <c r="J641" s="8"/>
      <c r="K641" s="10"/>
      <c r="L641" s="10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27" t="str">
        <f t="shared" si="395"/>
        <v>OK</v>
      </c>
    </row>
    <row r="642" spans="1:23" x14ac:dyDescent="0.2">
      <c r="A642" s="3">
        <f t="shared" si="414"/>
        <v>20</v>
      </c>
      <c r="B642" s="3"/>
      <c r="C642" s="3" t="s">
        <v>303</v>
      </c>
      <c r="D642" s="3"/>
      <c r="E642" s="4"/>
      <c r="F642" s="4"/>
      <c r="G642" s="4"/>
      <c r="H642" s="8"/>
      <c r="I642" s="8"/>
      <c r="J642" s="8"/>
      <c r="K642" s="10"/>
      <c r="L642" s="10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27" t="str">
        <f t="shared" si="395"/>
        <v>OK</v>
      </c>
    </row>
    <row r="643" spans="1:23" x14ac:dyDescent="0.2">
      <c r="A643" s="3">
        <f t="shared" si="414"/>
        <v>21</v>
      </c>
      <c r="B643" s="3"/>
      <c r="C643" s="3" t="s">
        <v>311</v>
      </c>
      <c r="D643" s="3"/>
      <c r="E643" s="4"/>
      <c r="F643" s="11"/>
      <c r="G643" s="11"/>
      <c r="H643" s="8">
        <f>H627</f>
        <v>-313383.41044441686</v>
      </c>
      <c r="I643" s="66">
        <v>0</v>
      </c>
      <c r="J643" s="66">
        <f>SUM(K643:V643)-M643-P643</f>
        <v>-313383.41044441686</v>
      </c>
      <c r="K643" s="8">
        <f t="shared" ref="K643:V643" si="427">K627</f>
        <v>-181471.06525177095</v>
      </c>
      <c r="L643" s="8">
        <f>L627</f>
        <v>-7102.1670103499928</v>
      </c>
      <c r="M643" s="9">
        <f>SUM(N643:O643)</f>
        <v>-90903.033497312703</v>
      </c>
      <c r="N643" s="8">
        <f t="shared" si="427"/>
        <v>-12002.300931424072</v>
      </c>
      <c r="O643" s="8">
        <f t="shared" si="427"/>
        <v>-78900.732565888626</v>
      </c>
      <c r="P643" s="9">
        <f>SUM(Q643:S643)</f>
        <v>-20337.849406444842</v>
      </c>
      <c r="Q643" s="8">
        <f t="shared" si="427"/>
        <v>-16544.719445680661</v>
      </c>
      <c r="R643" s="8">
        <f t="shared" si="427"/>
        <v>-1197.2830135694437</v>
      </c>
      <c r="S643" s="8">
        <f>S627</f>
        <v>-2595.8469471947392</v>
      </c>
      <c r="T643" s="8">
        <f t="shared" si="427"/>
        <v>-0.20310702495152996</v>
      </c>
      <c r="U643" s="8">
        <f t="shared" si="427"/>
        <v>-12813.907165208606</v>
      </c>
      <c r="V643" s="8">
        <f t="shared" si="427"/>
        <v>-755.18500630487665</v>
      </c>
      <c r="W643" s="27" t="str">
        <f t="shared" si="395"/>
        <v>OK</v>
      </c>
    </row>
    <row r="644" spans="1:23" x14ac:dyDescent="0.2">
      <c r="A644" s="3">
        <f t="shared" si="414"/>
        <v>22</v>
      </c>
      <c r="B644" s="3"/>
      <c r="C644" s="3" t="s">
        <v>300</v>
      </c>
      <c r="D644" s="3"/>
      <c r="E644" s="4"/>
      <c r="F644" s="11"/>
      <c r="G644" s="11"/>
      <c r="H644" s="8">
        <f>H628</f>
        <v>-3290277.415381867</v>
      </c>
      <c r="I644" s="66">
        <v>0</v>
      </c>
      <c r="J644" s="66">
        <f t="shared" ref="J644:J647" si="428">SUM(K644:V644)-M644-P644</f>
        <v>-3290277.4153818679</v>
      </c>
      <c r="K644" s="8">
        <f t="shared" ref="K644:V644" si="429">K628</f>
        <v>-1912822.9493398899</v>
      </c>
      <c r="L644" s="8">
        <f>L628</f>
        <v>-79806.362460706267</v>
      </c>
      <c r="M644" s="9">
        <f>SUM(N644:O644)</f>
        <v>-928887.77758392587</v>
      </c>
      <c r="N644" s="8">
        <f t="shared" si="429"/>
        <v>-121272.41375233889</v>
      </c>
      <c r="O644" s="8">
        <f t="shared" si="429"/>
        <v>-807615.36383158702</v>
      </c>
      <c r="P644" s="9">
        <f>SUM(Q644:S644)</f>
        <v>-200442.46045046806</v>
      </c>
      <c r="Q644" s="8">
        <f t="shared" si="429"/>
        <v>-163059.36373598638</v>
      </c>
      <c r="R644" s="8">
        <f t="shared" si="429"/>
        <v>-11799.915856945983</v>
      </c>
      <c r="S644" s="8">
        <f>S628</f>
        <v>-25583.18085753567</v>
      </c>
      <c r="T644" s="8">
        <f t="shared" si="429"/>
        <v>0</v>
      </c>
      <c r="U644" s="8">
        <f t="shared" si="429"/>
        <v>-160874.73015658234</v>
      </c>
      <c r="V644" s="8">
        <f t="shared" si="429"/>
        <v>-7443.1353902948676</v>
      </c>
      <c r="W644" s="27">
        <f t="shared" si="395"/>
        <v>-4.6566128730773926E-10</v>
      </c>
    </row>
    <row r="645" spans="1:23" x14ac:dyDescent="0.2">
      <c r="A645" s="3">
        <f t="shared" si="414"/>
        <v>23</v>
      </c>
      <c r="B645" s="3"/>
      <c r="C645" s="3" t="s">
        <v>638</v>
      </c>
      <c r="D645" s="28" t="s">
        <v>370</v>
      </c>
      <c r="E645" s="4"/>
      <c r="F645" s="11"/>
      <c r="G645" s="11"/>
      <c r="H645" s="8">
        <f>+'II-I TOTAL COMPANY'!K645</f>
        <v>284537.79600363062</v>
      </c>
      <c r="I645" s="8">
        <v>0</v>
      </c>
      <c r="J645" s="66">
        <f t="shared" ca="1" si="428"/>
        <v>284537.79600363062</v>
      </c>
      <c r="K645" s="66">
        <f ca="1">VLOOKUP($D645,$E$741:$V$815,K$1,FALSE)*$H645</f>
        <v>164643.31812631918</v>
      </c>
      <c r="L645" s="66">
        <f ca="1">VLOOKUP($D645,$E$741:$V$815,L$1,FALSE)*$H645</f>
        <v>6369.3645737971638</v>
      </c>
      <c r="M645" s="9">
        <f ca="1">SUM(N645:O645)</f>
        <v>82912.864354522651</v>
      </c>
      <c r="N645" s="66">
        <f ca="1">VLOOKUP($D645,$E$741:$V$815,N$1,FALSE)*$H645</f>
        <v>10967.92728486996</v>
      </c>
      <c r="O645" s="66">
        <f ca="1">VLOOKUP($D645,$E$741:$V$815,O$1,FALSE)*$H645</f>
        <v>71944.937069652689</v>
      </c>
      <c r="P645" s="9">
        <f ca="1">SUM(Q645:S645)</f>
        <v>18699.020539863588</v>
      </c>
      <c r="Q645" s="66">
        <f t="shared" ref="Q645:V646" ca="1" si="430">VLOOKUP($D645,$E$741:$V$815,Q$1,FALSE)*$H645</f>
        <v>15211.564647587569</v>
      </c>
      <c r="R645" s="66">
        <f t="shared" ca="1" si="430"/>
        <v>1100.8020781114783</v>
      </c>
      <c r="S645" s="66">
        <f t="shared" ca="1" si="430"/>
        <v>2386.6538141645383</v>
      </c>
      <c r="T645" s="66">
        <f t="shared" ca="1" si="430"/>
        <v>0.11545625259799988</v>
      </c>
      <c r="U645" s="66">
        <f t="shared" ca="1" si="430"/>
        <v>11218.770052446893</v>
      </c>
      <c r="V645" s="66">
        <f t="shared" ca="1" si="430"/>
        <v>694.34290042850728</v>
      </c>
      <c r="W645" s="27">
        <f t="shared" ca="1" si="395"/>
        <v>-5.8207660913467407E-11</v>
      </c>
    </row>
    <row r="646" spans="1:23" x14ac:dyDescent="0.2">
      <c r="A646" s="3">
        <f t="shared" si="414"/>
        <v>24</v>
      </c>
      <c r="B646" s="3"/>
      <c r="C646" s="3" t="s">
        <v>812</v>
      </c>
      <c r="D646" s="28" t="s">
        <v>370</v>
      </c>
      <c r="E646" s="4"/>
      <c r="F646" s="11">
        <v>0</v>
      </c>
      <c r="G646" s="11"/>
      <c r="H646" s="8">
        <f>+'II-I TOTAL COMPANY'!K646</f>
        <v>-77000.03</v>
      </c>
      <c r="I646" s="8">
        <v>0</v>
      </c>
      <c r="J646" s="66">
        <f t="shared" ca="1" si="428"/>
        <v>-77000.029999999984</v>
      </c>
      <c r="K646" s="66">
        <f ca="1">VLOOKUP($D646,$E$741:$V$815,K$1,FALSE)*$H646</f>
        <v>-44554.855675006213</v>
      </c>
      <c r="L646" s="66">
        <f ca="1">VLOOKUP($D646,$E$741:$V$815,L$1,FALSE)*$H646</f>
        <v>-1723.6418857235435</v>
      </c>
      <c r="M646" s="9">
        <f ca="1">SUM(N646:O646)</f>
        <v>-22437.416513209773</v>
      </c>
      <c r="N646" s="66">
        <f ca="1">VLOOKUP($D646,$E$741:$V$815,N$1,FALSE)*$H646</f>
        <v>-2968.0792563741848</v>
      </c>
      <c r="O646" s="66">
        <f ca="1">VLOOKUP($D646,$E$741:$V$815,O$1,FALSE)*$H646</f>
        <v>-19469.337256835588</v>
      </c>
      <c r="P646" s="9">
        <f ca="1">SUM(Q646:S646)</f>
        <v>-5060.2245563248143</v>
      </c>
      <c r="Q646" s="66">
        <f t="shared" ca="1" si="430"/>
        <v>-4116.4687105267267</v>
      </c>
      <c r="R646" s="66">
        <f t="shared" ca="1" si="430"/>
        <v>-297.89291345169704</v>
      </c>
      <c r="S646" s="66">
        <f t="shared" ca="1" si="430"/>
        <v>-645.86293234639027</v>
      </c>
      <c r="T646" s="66">
        <f t="shared" ca="1" si="430"/>
        <v>-3.1244126575086472E-2</v>
      </c>
      <c r="U646" s="66">
        <f t="shared" ca="1" si="430"/>
        <v>-3035.9609258746414</v>
      </c>
      <c r="V646" s="66">
        <f t="shared" ca="1" si="430"/>
        <v>-187.89919973443489</v>
      </c>
      <c r="W646" s="27">
        <f t="shared" ca="1" si="395"/>
        <v>1.4551915228366852E-11</v>
      </c>
    </row>
    <row r="647" spans="1:23" x14ac:dyDescent="0.2">
      <c r="A647" s="3">
        <f t="shared" si="414"/>
        <v>25</v>
      </c>
      <c r="B647" s="3"/>
      <c r="C647" s="3" t="s">
        <v>304</v>
      </c>
      <c r="D647" s="3"/>
      <c r="E647" s="4"/>
      <c r="F647" s="8">
        <f>F640+SUM(F643:F646)</f>
        <v>0</v>
      </c>
      <c r="G647" s="8"/>
      <c r="H647" s="8">
        <f ca="1">H640+SUM(H643:H646)</f>
        <v>48896697.532711335</v>
      </c>
      <c r="I647" s="8">
        <f>I640+SUM(I643:I646)</f>
        <v>0</v>
      </c>
      <c r="J647" s="66">
        <f t="shared" ca="1" si="428"/>
        <v>48896697.532711349</v>
      </c>
      <c r="K647" s="8">
        <f ca="1">K640+SUM(K643:K646)</f>
        <v>28284212.195740335</v>
      </c>
      <c r="L647" s="8">
        <f ca="1">L640+SUM(L643:L646)</f>
        <v>1088309.4111228837</v>
      </c>
      <c r="M647" s="9">
        <f ca="1">M640+SUM(M643:M646)</f>
        <v>14278546.184154773</v>
      </c>
      <c r="N647" s="9">
        <f ca="1">N640+SUM(N643:N646)</f>
        <v>1890428.7123952471</v>
      </c>
      <c r="O647" s="9">
        <f ca="1">O640+SUM(O643:O646)</f>
        <v>12388117.471759524</v>
      </c>
      <c r="P647" s="9">
        <f ca="1">SUM(Q647:S647)</f>
        <v>3229395.0028244564</v>
      </c>
      <c r="Q647" s="9">
        <f t="shared" ref="Q647:V647" ca="1" si="431">Q640+SUM(Q643:Q646)</f>
        <v>2627097.1930952445</v>
      </c>
      <c r="R647" s="9">
        <f t="shared" ca="1" si="431"/>
        <v>190112.91301753095</v>
      </c>
      <c r="S647" s="9">
        <f t="shared" ca="1" si="431"/>
        <v>412184.89671168127</v>
      </c>
      <c r="T647" s="9">
        <f t="shared" ca="1" si="431"/>
        <v>21.099843659503382</v>
      </c>
      <c r="U647" s="9">
        <f t="shared" ca="1" si="431"/>
        <v>1896298.0441241302</v>
      </c>
      <c r="V647" s="9">
        <f t="shared" ca="1" si="431"/>
        <v>119915.59490109909</v>
      </c>
      <c r="W647" s="27">
        <f t="shared" ca="1" si="395"/>
        <v>7.4505805969238281E-9</v>
      </c>
    </row>
    <row r="648" spans="1:23" x14ac:dyDescent="0.2">
      <c r="A648" s="3"/>
      <c r="B648" s="3"/>
      <c r="C648" s="3"/>
      <c r="D648" s="3"/>
      <c r="E648" s="4"/>
      <c r="F648" s="4"/>
      <c r="G648" s="4"/>
      <c r="H648" s="8"/>
      <c r="I648" s="8"/>
      <c r="J648" s="8"/>
      <c r="K648" s="10"/>
      <c r="L648" s="10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27" t="str">
        <f t="shared" ref="W648:W669" si="432">IF((+K648+L648+M648+P648+T648+U648+V648)-H648=0,"OK",(+K648+L648+M648+P648+T648+U648+V648)-H648)</f>
        <v>OK</v>
      </c>
    </row>
    <row r="649" spans="1:23" x14ac:dyDescent="0.2">
      <c r="A649" s="3"/>
      <c r="B649" s="3"/>
      <c r="C649" s="3"/>
      <c r="D649" s="3"/>
      <c r="E649" s="4"/>
      <c r="F649" s="4"/>
      <c r="G649" s="4"/>
      <c r="H649" s="5"/>
      <c r="I649" s="5"/>
      <c r="J649" s="5"/>
      <c r="K649" s="5"/>
      <c r="L649" s="5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27" t="str">
        <f t="shared" si="432"/>
        <v>OK</v>
      </c>
    </row>
    <row r="650" spans="1:23" x14ac:dyDescent="0.2">
      <c r="A650" s="3"/>
      <c r="B650" s="7" t="s">
        <v>305</v>
      </c>
      <c r="C650" s="3"/>
      <c r="D650" s="3"/>
      <c r="E650" s="4"/>
      <c r="F650" s="4"/>
      <c r="G650" s="4"/>
      <c r="H650" s="5"/>
      <c r="I650" s="5"/>
      <c r="J650" s="5"/>
      <c r="K650" s="5"/>
      <c r="L650" s="5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27" t="str">
        <f t="shared" si="432"/>
        <v>OK</v>
      </c>
    </row>
    <row r="651" spans="1:23" x14ac:dyDescent="0.2">
      <c r="A651" s="3"/>
      <c r="B651" s="3"/>
      <c r="C651" s="3"/>
      <c r="D651" s="3"/>
      <c r="E651" s="4"/>
      <c r="F651" s="4"/>
      <c r="G651" s="4"/>
      <c r="H651" s="5"/>
      <c r="I651" s="5"/>
      <c r="J651" s="5"/>
      <c r="K651" s="5"/>
      <c r="L651" s="5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27" t="str">
        <f t="shared" si="432"/>
        <v>OK</v>
      </c>
    </row>
    <row r="652" spans="1:23" x14ac:dyDescent="0.2">
      <c r="A652" s="3">
        <v>1</v>
      </c>
      <c r="B652" s="3" t="s">
        <v>306</v>
      </c>
      <c r="C652" s="3" t="str">
        <f>'II-I TOTAL COMPANY'!C652</f>
        <v>ND - Nuclear Decommissioning</v>
      </c>
      <c r="D652" s="3" t="s">
        <v>461</v>
      </c>
      <c r="E652" s="4" t="s">
        <v>595</v>
      </c>
      <c r="F652" s="11"/>
      <c r="G652" s="11"/>
      <c r="H652" s="14">
        <f>'II-I TOTAL COMPANY'!K652</f>
        <v>0</v>
      </c>
      <c r="I652" s="66">
        <v>0</v>
      </c>
      <c r="J652" s="66">
        <f t="shared" ref="J652" si="433">SUM(K652:V652)-M652-P652</f>
        <v>0</v>
      </c>
      <c r="K652" s="66">
        <f>VLOOKUP($D652,$E$741:$V$815,K$1,FALSE)*$H652</f>
        <v>0</v>
      </c>
      <c r="L652" s="66">
        <f>VLOOKUP($D652,$E$741:$V$815,L$1,FALSE)*$H652</f>
        <v>0</v>
      </c>
      <c r="M652" s="9">
        <f>SUM(N652:O652)</f>
        <v>0</v>
      </c>
      <c r="N652" s="66">
        <f>VLOOKUP($D652,$E$741:$V$815,N$1,FALSE)*$H652</f>
        <v>0</v>
      </c>
      <c r="O652" s="66">
        <f>VLOOKUP($D652,$E$741:$V$815,O$1,FALSE)*$H652</f>
        <v>0</v>
      </c>
      <c r="P652" s="9">
        <f>SUM(Q652:S652)</f>
        <v>0</v>
      </c>
      <c r="Q652" s="66">
        <f t="shared" ref="Q652:V652" si="434">VLOOKUP($D652,$E$741:$V$815,Q$1,FALSE)*$H652</f>
        <v>0</v>
      </c>
      <c r="R652" s="66">
        <f t="shared" si="434"/>
        <v>0</v>
      </c>
      <c r="S652" s="66">
        <f t="shared" si="434"/>
        <v>0</v>
      </c>
      <c r="T652" s="66">
        <f t="shared" si="434"/>
        <v>0</v>
      </c>
      <c r="U652" s="66">
        <f t="shared" si="434"/>
        <v>0</v>
      </c>
      <c r="V652" s="66">
        <f t="shared" si="434"/>
        <v>0</v>
      </c>
      <c r="W652" s="27" t="str">
        <f t="shared" si="432"/>
        <v>OK</v>
      </c>
    </row>
    <row r="653" spans="1:23" x14ac:dyDescent="0.2">
      <c r="A653" s="3">
        <f t="shared" ref="A653:A664" si="435">+A652+1</f>
        <v>2</v>
      </c>
      <c r="B653" s="3"/>
      <c r="C653" s="3"/>
      <c r="D653" s="3"/>
      <c r="E653" s="4"/>
      <c r="F653" s="4"/>
      <c r="G653" s="4"/>
      <c r="H653" s="14"/>
      <c r="I653" s="66"/>
      <c r="J653" s="66"/>
      <c r="K653" s="66"/>
      <c r="L653" s="66"/>
      <c r="M653" s="9"/>
      <c r="N653" s="66"/>
      <c r="O653" s="66"/>
      <c r="P653" s="9"/>
      <c r="Q653" s="66"/>
      <c r="R653" s="66"/>
      <c r="S653" s="66"/>
      <c r="T653" s="66"/>
      <c r="U653" s="66"/>
      <c r="V653" s="66"/>
      <c r="W653" s="27" t="str">
        <f t="shared" si="432"/>
        <v>OK</v>
      </c>
    </row>
    <row r="654" spans="1:23" x14ac:dyDescent="0.2">
      <c r="A654" s="3">
        <f t="shared" si="435"/>
        <v>3</v>
      </c>
      <c r="B654" s="3"/>
      <c r="C654" s="3" t="s">
        <v>450</v>
      </c>
      <c r="D654" s="1"/>
      <c r="E654" s="4"/>
      <c r="F654" s="9"/>
      <c r="G654" s="9"/>
      <c r="H654" s="9">
        <f t="shared" ref="H654:V654" si="436">SUM(H652:H653)</f>
        <v>0</v>
      </c>
      <c r="I654" s="9">
        <f t="shared" si="436"/>
        <v>0</v>
      </c>
      <c r="J654" s="66">
        <f t="shared" ref="J654" si="437">SUM(K654:V654)-M654-P654</f>
        <v>0</v>
      </c>
      <c r="K654" s="9">
        <f t="shared" si="436"/>
        <v>0</v>
      </c>
      <c r="L654" s="9">
        <f t="shared" si="436"/>
        <v>0</v>
      </c>
      <c r="M654" s="9">
        <f t="shared" si="436"/>
        <v>0</v>
      </c>
      <c r="N654" s="9">
        <f t="shared" si="436"/>
        <v>0</v>
      </c>
      <c r="O654" s="9">
        <f t="shared" si="436"/>
        <v>0</v>
      </c>
      <c r="P654" s="9">
        <f>SUM(Q654:S654)</f>
        <v>0</v>
      </c>
      <c r="Q654" s="9">
        <f t="shared" si="436"/>
        <v>0</v>
      </c>
      <c r="R654" s="9">
        <f t="shared" si="436"/>
        <v>0</v>
      </c>
      <c r="S654" s="9">
        <f>SUM(S652:S653)</f>
        <v>0</v>
      </c>
      <c r="T654" s="9">
        <f t="shared" si="436"/>
        <v>0</v>
      </c>
      <c r="U654" s="9">
        <f t="shared" si="436"/>
        <v>0</v>
      </c>
      <c r="V654" s="9">
        <f t="shared" si="436"/>
        <v>0</v>
      </c>
      <c r="W654" s="27" t="str">
        <f t="shared" si="432"/>
        <v>OK</v>
      </c>
    </row>
    <row r="655" spans="1:23" x14ac:dyDescent="0.2">
      <c r="A655" s="3">
        <f t="shared" si="435"/>
        <v>4</v>
      </c>
      <c r="B655" s="3"/>
      <c r="C655" s="3"/>
      <c r="D655" s="3"/>
      <c r="E655" s="4"/>
      <c r="F655" s="4"/>
      <c r="G655" s="4"/>
      <c r="H655" s="5"/>
      <c r="I655" s="5"/>
      <c r="J655" s="5"/>
      <c r="K655" s="5"/>
      <c r="L655" s="5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27" t="str">
        <f t="shared" si="432"/>
        <v>OK</v>
      </c>
    </row>
    <row r="656" spans="1:23" x14ac:dyDescent="0.2">
      <c r="A656" s="3">
        <f t="shared" si="435"/>
        <v>5</v>
      </c>
      <c r="B656" s="3"/>
      <c r="C656" s="3"/>
      <c r="D656" s="3"/>
      <c r="E656" s="4"/>
      <c r="F656" s="4"/>
      <c r="G656" s="4"/>
      <c r="H656" s="5"/>
      <c r="I656" s="5"/>
      <c r="J656" s="5"/>
      <c r="K656" s="5"/>
      <c r="L656" s="5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27" t="str">
        <f t="shared" si="432"/>
        <v>OK</v>
      </c>
    </row>
    <row r="657" spans="1:23" x14ac:dyDescent="0.2">
      <c r="A657" s="3">
        <f t="shared" si="435"/>
        <v>6</v>
      </c>
      <c r="B657" s="7" t="s">
        <v>307</v>
      </c>
      <c r="C657" s="3"/>
      <c r="D657" s="73"/>
      <c r="E657" s="4"/>
      <c r="F657" s="4"/>
      <c r="G657" s="4"/>
      <c r="H657" s="5"/>
      <c r="I657" s="5"/>
      <c r="J657" s="5"/>
      <c r="K657" s="5"/>
      <c r="L657" s="5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27" t="str">
        <f t="shared" si="432"/>
        <v>OK</v>
      </c>
    </row>
    <row r="658" spans="1:23" x14ac:dyDescent="0.2">
      <c r="A658" s="3">
        <f t="shared" si="435"/>
        <v>7</v>
      </c>
      <c r="B658" s="3"/>
      <c r="C658" s="3"/>
      <c r="D658" s="3"/>
      <c r="E658" s="4"/>
      <c r="F658" s="4"/>
      <c r="G658" s="4"/>
      <c r="H658" s="5"/>
      <c r="I658" s="5"/>
      <c r="J658" s="5"/>
      <c r="K658" s="5"/>
      <c r="L658" s="5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27" t="str">
        <f t="shared" si="432"/>
        <v>OK</v>
      </c>
    </row>
    <row r="659" spans="1:23" x14ac:dyDescent="0.2">
      <c r="A659" s="3">
        <f t="shared" si="435"/>
        <v>8</v>
      </c>
      <c r="B659" s="3" t="s">
        <v>597</v>
      </c>
      <c r="C659" s="3" t="s">
        <v>598</v>
      </c>
      <c r="D659" s="28" t="s">
        <v>434</v>
      </c>
      <c r="E659" s="4" t="s">
        <v>569</v>
      </c>
      <c r="F659" s="11"/>
      <c r="G659" s="11"/>
      <c r="H659" s="14">
        <f>'II-I TOTAL COMPANY'!K659</f>
        <v>135194.97</v>
      </c>
      <c r="I659" s="66">
        <v>0</v>
      </c>
      <c r="J659" s="66">
        <f t="shared" ref="J659:J662" si="438">SUM(K659:V659)-M659-P659</f>
        <v>135194.97</v>
      </c>
      <c r="K659" s="66">
        <f t="shared" ref="K659:L662" si="439">VLOOKUP($D659,$E$741:$V$815,K$1,FALSE)*$H659</f>
        <v>95093.656324845011</v>
      </c>
      <c r="L659" s="66">
        <f t="shared" si="439"/>
        <v>10103.392135878301</v>
      </c>
      <c r="M659" s="9">
        <f>SUM(N659:O659)</f>
        <v>7362.4431009280024</v>
      </c>
      <c r="N659" s="66">
        <f t="shared" ref="N659:O662" si="440">VLOOKUP($D659,$E$741:$V$815,N$1,FALSE)*$H659</f>
        <v>58.56685254781214</v>
      </c>
      <c r="O659" s="66">
        <f t="shared" si="440"/>
        <v>7303.8762483801902</v>
      </c>
      <c r="P659" s="9">
        <f>SUM(Q659:S659)</f>
        <v>110.42291990785414</v>
      </c>
      <c r="Q659" s="66">
        <f t="shared" ref="Q659:V662" si="441">VLOOKUP($D659,$E$741:$V$815,Q$1,FALSE)*$H659</f>
        <v>47.687246258548427</v>
      </c>
      <c r="R659" s="66">
        <f t="shared" si="441"/>
        <v>55.923209898084508</v>
      </c>
      <c r="S659" s="66">
        <f t="shared" si="441"/>
        <v>6.8124637512212027</v>
      </c>
      <c r="T659" s="66">
        <f t="shared" si="441"/>
        <v>12.506463304480716</v>
      </c>
      <c r="U659" s="66">
        <f t="shared" si="441"/>
        <v>22510.617162430779</v>
      </c>
      <c r="V659" s="66">
        <f t="shared" si="441"/>
        <v>1.9318927055701922</v>
      </c>
      <c r="W659" s="27" t="str">
        <f t="shared" si="432"/>
        <v>OK</v>
      </c>
    </row>
    <row r="660" spans="1:23" x14ac:dyDescent="0.2">
      <c r="A660" s="3">
        <f t="shared" si="435"/>
        <v>9</v>
      </c>
      <c r="B660" s="3" t="s">
        <v>599</v>
      </c>
      <c r="C660" s="3" t="s">
        <v>600</v>
      </c>
      <c r="D660" s="28" t="s">
        <v>331</v>
      </c>
      <c r="E660" s="4" t="s">
        <v>569</v>
      </c>
      <c r="F660" s="11"/>
      <c r="G660" s="11"/>
      <c r="H660" s="14">
        <f>'II-I TOTAL COMPANY'!K660</f>
        <v>2858753.67</v>
      </c>
      <c r="I660" s="66">
        <v>0</v>
      </c>
      <c r="J660" s="66">
        <f t="shared" si="438"/>
        <v>2858753.6700000004</v>
      </c>
      <c r="K660" s="66">
        <f t="shared" si="439"/>
        <v>1661953.9741304729</v>
      </c>
      <c r="L660" s="66">
        <f t="shared" si="439"/>
        <v>69339.664341772761</v>
      </c>
      <c r="M660" s="9">
        <f>SUM(N660:O660)</f>
        <v>807063.0551612624</v>
      </c>
      <c r="N660" s="66">
        <f t="shared" si="440"/>
        <v>105367.39433079716</v>
      </c>
      <c r="O660" s="66">
        <f t="shared" si="440"/>
        <v>701695.66083046526</v>
      </c>
      <c r="P660" s="9">
        <f>SUM(Q660:S660)</f>
        <v>174154.1964692061</v>
      </c>
      <c r="Q660" s="66">
        <f t="shared" si="441"/>
        <v>141673.93677168567</v>
      </c>
      <c r="R660" s="66">
        <f t="shared" si="441"/>
        <v>10252.343040752536</v>
      </c>
      <c r="S660" s="66">
        <f t="shared" si="441"/>
        <v>22227.916656767902</v>
      </c>
      <c r="T660" s="66">
        <f t="shared" si="441"/>
        <v>0</v>
      </c>
      <c r="U660" s="66">
        <f t="shared" si="441"/>
        <v>139775.82045069404</v>
      </c>
      <c r="V660" s="66">
        <f t="shared" si="441"/>
        <v>6466.9594465920791</v>
      </c>
      <c r="W660" s="27" t="str">
        <f t="shared" si="432"/>
        <v>OK</v>
      </c>
    </row>
    <row r="661" spans="1:23" x14ac:dyDescent="0.2">
      <c r="A661" s="3">
        <f t="shared" si="435"/>
        <v>10</v>
      </c>
      <c r="B661" s="3" t="s">
        <v>601</v>
      </c>
      <c r="C661" s="3" t="s">
        <v>602</v>
      </c>
      <c r="D661" s="28" t="s">
        <v>333</v>
      </c>
      <c r="E661" s="4" t="s">
        <v>825</v>
      </c>
      <c r="F661" s="28"/>
      <c r="G661" s="11"/>
      <c r="H661" s="14">
        <f>'II-I TOTAL COMPANY'!K661</f>
        <v>19790829.601</v>
      </c>
      <c r="I661" s="66">
        <v>0</v>
      </c>
      <c r="J661" s="66">
        <f t="shared" si="438"/>
        <v>19790829.601</v>
      </c>
      <c r="K661" s="66">
        <f t="shared" si="439"/>
        <v>11506933.177517742</v>
      </c>
      <c r="L661" s="66">
        <f t="shared" si="439"/>
        <v>401405.1852970586</v>
      </c>
      <c r="M661" s="9">
        <f>SUM(N661:O661)</f>
        <v>6053802.3365610046</v>
      </c>
      <c r="N661" s="66">
        <f t="shared" si="440"/>
        <v>812897.61143248773</v>
      </c>
      <c r="O661" s="66">
        <f t="shared" si="440"/>
        <v>5240904.7251285166</v>
      </c>
      <c r="P661" s="9">
        <f>SUM(Q661:S661)</f>
        <v>1546009.2640100205</v>
      </c>
      <c r="Q661" s="66">
        <f t="shared" si="441"/>
        <v>1257674.0793985096</v>
      </c>
      <c r="R661" s="66">
        <f t="shared" si="441"/>
        <v>91012.548880007671</v>
      </c>
      <c r="S661" s="66">
        <f t="shared" si="441"/>
        <v>197322.63573150334</v>
      </c>
      <c r="T661" s="66">
        <f t="shared" si="441"/>
        <v>0</v>
      </c>
      <c r="U661" s="66">
        <f t="shared" si="441"/>
        <v>225270.86184472885</v>
      </c>
      <c r="V661" s="66">
        <f t="shared" si="441"/>
        <v>57408.775769444685</v>
      </c>
      <c r="W661" s="27" t="str">
        <f t="shared" si="432"/>
        <v>OK</v>
      </c>
    </row>
    <row r="662" spans="1:23" x14ac:dyDescent="0.2">
      <c r="A662" s="3">
        <f t="shared" si="435"/>
        <v>11</v>
      </c>
      <c r="B662" s="3" t="s">
        <v>603</v>
      </c>
      <c r="C662" s="3" t="s">
        <v>604</v>
      </c>
      <c r="D662" s="28" t="s">
        <v>331</v>
      </c>
      <c r="E662" s="4" t="s">
        <v>826</v>
      </c>
      <c r="F662" s="28"/>
      <c r="G662" s="11"/>
      <c r="H662" s="14">
        <f>'II-I TOTAL COMPANY'!K662</f>
        <v>3205337.37</v>
      </c>
      <c r="I662" s="66">
        <v>0</v>
      </c>
      <c r="J662" s="66">
        <f t="shared" si="438"/>
        <v>3205337.3699999996</v>
      </c>
      <c r="K662" s="66">
        <f t="shared" si="439"/>
        <v>1863442.5331583109</v>
      </c>
      <c r="L662" s="66">
        <f t="shared" si="439"/>
        <v>77746.124008628089</v>
      </c>
      <c r="M662" s="9">
        <f>SUM(N662:O662)</f>
        <v>904908.10656476254</v>
      </c>
      <c r="N662" s="66">
        <f t="shared" si="440"/>
        <v>118141.70985499087</v>
      </c>
      <c r="O662" s="66">
        <f t="shared" si="440"/>
        <v>786766.39670977171</v>
      </c>
      <c r="P662" s="9">
        <f>SUM(Q662:S662)</f>
        <v>195267.94488909858</v>
      </c>
      <c r="Q662" s="66">
        <f t="shared" si="441"/>
        <v>158849.91024403344</v>
      </c>
      <c r="R662" s="66">
        <f t="shared" si="441"/>
        <v>11495.295528062597</v>
      </c>
      <c r="S662" s="66">
        <f t="shared" si="441"/>
        <v>24922.739117002558</v>
      </c>
      <c r="T662" s="66">
        <f t="shared" si="441"/>
        <v>0</v>
      </c>
      <c r="U662" s="66">
        <f t="shared" si="441"/>
        <v>156721.67399894231</v>
      </c>
      <c r="V662" s="66">
        <f t="shared" si="441"/>
        <v>7250.9873802579541</v>
      </c>
      <c r="W662" s="27">
        <f t="shared" si="432"/>
        <v>-4.6566128730773926E-10</v>
      </c>
    </row>
    <row r="663" spans="1:23" x14ac:dyDescent="0.2">
      <c r="A663" s="3">
        <f t="shared" si="435"/>
        <v>12</v>
      </c>
      <c r="B663" s="3"/>
      <c r="C663" s="3"/>
      <c r="D663" s="3"/>
      <c r="E663" s="4"/>
      <c r="F663" s="4"/>
      <c r="G663" s="4"/>
      <c r="H663" s="14"/>
      <c r="I663" s="66"/>
      <c r="J663" s="66"/>
      <c r="K663" s="66"/>
      <c r="L663" s="66"/>
      <c r="M663" s="9"/>
      <c r="N663" s="66"/>
      <c r="O663" s="66"/>
      <c r="P663" s="9"/>
      <c r="Q663" s="66"/>
      <c r="R663" s="66"/>
      <c r="S663" s="66"/>
      <c r="T663" s="66"/>
      <c r="U663" s="66"/>
      <c r="V663" s="66"/>
      <c r="W663" s="27" t="str">
        <f t="shared" si="432"/>
        <v>OK</v>
      </c>
    </row>
    <row r="664" spans="1:23" x14ac:dyDescent="0.2">
      <c r="A664" s="3">
        <f t="shared" si="435"/>
        <v>13</v>
      </c>
      <c r="B664" s="3" t="s">
        <v>448</v>
      </c>
      <c r="C664" s="3"/>
      <c r="D664" s="3"/>
      <c r="E664" s="3"/>
      <c r="F664" s="66"/>
      <c r="G664" s="66"/>
      <c r="H664" s="14">
        <f>SUM(H659:H663)</f>
        <v>25990115.611000001</v>
      </c>
      <c r="I664" s="66">
        <v>0</v>
      </c>
      <c r="J664" s="66">
        <f t="shared" ref="J664" si="442">SUM(K664:V664)-M664-P664</f>
        <v>25990115.610999987</v>
      </c>
      <c r="K664" s="66">
        <f>SUM(K659:K663)</f>
        <v>15127423.341131372</v>
      </c>
      <c r="L664" s="66">
        <f>SUM(L659:L663)</f>
        <v>558594.36578333774</v>
      </c>
      <c r="M664" s="9">
        <f>SUM(N664:O664)</f>
        <v>7773135.941387957</v>
      </c>
      <c r="N664" s="66">
        <f>SUM(N659:N663)</f>
        <v>1036465.2824708235</v>
      </c>
      <c r="O664" s="66">
        <f>SUM(O659:O663)</f>
        <v>6736670.6589171337</v>
      </c>
      <c r="P664" s="9">
        <f>SUM(Q664:S664)</f>
        <v>1915541.8282882329</v>
      </c>
      <c r="Q664" s="66">
        <f t="shared" ref="Q664:V664" si="443">SUM(Q659:Q663)</f>
        <v>1558245.6136604871</v>
      </c>
      <c r="R664" s="66">
        <f t="shared" si="443"/>
        <v>112816.11065872089</v>
      </c>
      <c r="S664" s="66">
        <f t="shared" si="443"/>
        <v>244480.10396902502</v>
      </c>
      <c r="T664" s="66">
        <f t="shared" si="443"/>
        <v>12.506463304480716</v>
      </c>
      <c r="U664" s="66">
        <f t="shared" si="443"/>
        <v>544278.97345679603</v>
      </c>
      <c r="V664" s="66">
        <f t="shared" si="443"/>
        <v>71128.654489000284</v>
      </c>
      <c r="W664" s="27" t="str">
        <f t="shared" si="432"/>
        <v>OK</v>
      </c>
    </row>
    <row r="665" spans="1:23" x14ac:dyDescent="0.2">
      <c r="A665" s="3"/>
      <c r="B665" s="3"/>
      <c r="C665" s="3"/>
      <c r="D665" s="3"/>
      <c r="E665" s="3"/>
      <c r="F665" s="3"/>
      <c r="G665" s="3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27" t="str">
        <f t="shared" si="432"/>
        <v>OK</v>
      </c>
    </row>
    <row r="666" spans="1:23" x14ac:dyDescent="0.2">
      <c r="A666" s="3"/>
      <c r="B666" s="3"/>
      <c r="C666" s="3"/>
      <c r="D666" s="28"/>
      <c r="E666" s="4"/>
      <c r="F666" s="4"/>
      <c r="G666" s="4"/>
      <c r="H666" s="14"/>
      <c r="I666" s="66"/>
      <c r="J666" s="66"/>
      <c r="K666" s="66"/>
      <c r="L666" s="66"/>
      <c r="M666" s="9"/>
      <c r="N666" s="66"/>
      <c r="O666" s="66"/>
      <c r="P666" s="9"/>
      <c r="Q666" s="66"/>
      <c r="R666" s="66"/>
      <c r="S666" s="66"/>
      <c r="T666" s="66"/>
      <c r="U666" s="66"/>
      <c r="V666" s="66"/>
      <c r="W666" s="27" t="str">
        <f t="shared" si="432"/>
        <v>OK</v>
      </c>
    </row>
    <row r="667" spans="1:23" x14ac:dyDescent="0.2">
      <c r="A667" s="3"/>
      <c r="B667" s="7" t="s">
        <v>590</v>
      </c>
      <c r="C667" s="3"/>
      <c r="D667" s="3"/>
      <c r="E667" s="3"/>
      <c r="F667" s="3"/>
      <c r="G667" s="3"/>
      <c r="H667" s="5"/>
      <c r="I667" s="5"/>
      <c r="J667" s="5"/>
      <c r="K667" s="5"/>
      <c r="L667" s="2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27" t="str">
        <f t="shared" si="432"/>
        <v>OK</v>
      </c>
    </row>
    <row r="668" spans="1:23" x14ac:dyDescent="0.2">
      <c r="A668" s="3"/>
      <c r="B668" s="7"/>
      <c r="C668" s="3"/>
      <c r="D668" s="3"/>
      <c r="E668" s="3"/>
      <c r="F668" s="3"/>
      <c r="G668" s="3"/>
      <c r="H668" s="5"/>
      <c r="I668" s="5"/>
      <c r="J668" s="5"/>
      <c r="K668" s="5"/>
      <c r="L668" s="2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27" t="str">
        <f t="shared" si="432"/>
        <v>OK</v>
      </c>
    </row>
    <row r="669" spans="1:23" s="132" customFormat="1" x14ac:dyDescent="0.2">
      <c r="A669" s="3">
        <v>1</v>
      </c>
      <c r="B669" s="3" t="s">
        <v>789</v>
      </c>
      <c r="C669" s="3"/>
      <c r="D669" s="3" t="s">
        <v>614</v>
      </c>
      <c r="E669" s="3" t="s">
        <v>366</v>
      </c>
      <c r="F669" s="3"/>
      <c r="G669" s="3"/>
      <c r="H669" s="31">
        <f t="shared" ref="H669:H702" si="444">SUM(I669:J669)</f>
        <v>6726455.2502995022</v>
      </c>
      <c r="I669" s="94">
        <v>0</v>
      </c>
      <c r="J669" s="94">
        <f>SUM(K669:M669,P669,T669:V669)</f>
        <v>6726455.2502995022</v>
      </c>
      <c r="K669" s="31">
        <f>+'[4]ERCOT 4 CP'!$G$20</f>
        <v>3260753.0515910774</v>
      </c>
      <c r="L669" s="31">
        <f>+'[4]ERCOT 4 CP'!$G$21</f>
        <v>128972.63027239306</v>
      </c>
      <c r="M669" s="31">
        <f t="shared" ref="M669:M701" si="445">SUM(N669:O669)</f>
        <v>1920489.8482757821</v>
      </c>
      <c r="N669" s="31">
        <f>+'[4]ERCOT 4 CP'!$G$23</f>
        <v>193175.39687988901</v>
      </c>
      <c r="O669" s="31">
        <f>+'[4]ERCOT 4 CP'!$G$22</f>
        <v>1727314.451395893</v>
      </c>
      <c r="P669" s="9">
        <f t="shared" ref="P669:P733" si="446">SUM(Q669:S669)</f>
        <v>544116.5308285245</v>
      </c>
      <c r="Q669" s="31">
        <f>+'[4]ERCOT 4 CP'!$G$25</f>
        <v>425992.24200444156</v>
      </c>
      <c r="R669" s="31">
        <f>+'[4]ERCOT 4 CP'!$G$24</f>
        <v>34860.174762492941</v>
      </c>
      <c r="S669" s="31">
        <f>+'[4]ERCOT 4 CP'!$G$27+'[4]ERCOT 4 CP'!$G$26</f>
        <v>83264.114061590008</v>
      </c>
      <c r="T669" s="31">
        <f>+'[4]ERCOT 4 CP'!$G$29</f>
        <v>872123.18933172501</v>
      </c>
      <c r="U669" s="31">
        <v>0</v>
      </c>
      <c r="V669" s="31">
        <v>0</v>
      </c>
      <c r="W669" s="27" t="str">
        <f t="shared" si="432"/>
        <v>OK</v>
      </c>
    </row>
    <row r="670" spans="1:23" x14ac:dyDescent="0.2">
      <c r="A670" s="3">
        <f>1+A669</f>
        <v>2</v>
      </c>
      <c r="B670" s="3" t="s">
        <v>583</v>
      </c>
      <c r="C670" s="3"/>
      <c r="D670" s="3" t="s">
        <v>614</v>
      </c>
      <c r="E670" s="3" t="s">
        <v>461</v>
      </c>
      <c r="F670" s="3"/>
      <c r="G670" s="3"/>
      <c r="H670" s="31">
        <f>SUM(I670:J670)</f>
        <v>6726455.2502995022</v>
      </c>
      <c r="I670" s="94">
        <v>0</v>
      </c>
      <c r="J670" s="94">
        <f t="shared" ref="J670:J733" si="447">SUM(K670:M670,P670,T670:V670)</f>
        <v>6726455.2502995022</v>
      </c>
      <c r="K670" s="31">
        <f>+K669</f>
        <v>3260753.0515910774</v>
      </c>
      <c r="L670" s="31">
        <f>+L669</f>
        <v>128972.63027239306</v>
      </c>
      <c r="M670" s="31">
        <f t="shared" si="445"/>
        <v>1920489.8482757821</v>
      </c>
      <c r="N670" s="31">
        <f>+N669</f>
        <v>193175.39687988901</v>
      </c>
      <c r="O670" s="31">
        <f>+O669</f>
        <v>1727314.451395893</v>
      </c>
      <c r="P670" s="9">
        <f t="shared" si="446"/>
        <v>544116.5308285245</v>
      </c>
      <c r="Q670" s="31">
        <f t="shared" ref="Q670:V670" si="448">+Q669</f>
        <v>425992.24200444156</v>
      </c>
      <c r="R670" s="31">
        <f t="shared" si="448"/>
        <v>34860.174762492941</v>
      </c>
      <c r="S670" s="31">
        <f t="shared" si="448"/>
        <v>83264.114061590008</v>
      </c>
      <c r="T670" s="31">
        <f t="shared" si="448"/>
        <v>872123.18933172501</v>
      </c>
      <c r="U670" s="31">
        <f t="shared" si="448"/>
        <v>0</v>
      </c>
      <c r="V670" s="31">
        <f t="shared" si="448"/>
        <v>0</v>
      </c>
      <c r="W670" s="27"/>
    </row>
    <row r="671" spans="1:23" s="132" customFormat="1" x14ac:dyDescent="0.2">
      <c r="A671" s="3">
        <f t="shared" ref="A671:A735" si="449">1+A670</f>
        <v>3</v>
      </c>
      <c r="B671" s="3" t="s">
        <v>453</v>
      </c>
      <c r="C671" s="3"/>
      <c r="D671" s="3" t="s">
        <v>614</v>
      </c>
      <c r="E671" s="3" t="s">
        <v>367</v>
      </c>
      <c r="F671" s="3"/>
      <c r="G671" s="3"/>
      <c r="H671" s="31">
        <f t="shared" si="444"/>
        <v>5405175</v>
      </c>
      <c r="I671" s="94">
        <v>0</v>
      </c>
      <c r="J671" s="94">
        <f t="shared" si="447"/>
        <v>5405175</v>
      </c>
      <c r="K671" s="31">
        <v>2576796</v>
      </c>
      <c r="L671" s="31">
        <v>95632</v>
      </c>
      <c r="M671" s="31">
        <f t="shared" si="445"/>
        <v>1558412</v>
      </c>
      <c r="N671" s="31">
        <v>170419</v>
      </c>
      <c r="O671" s="31">
        <v>1387993</v>
      </c>
      <c r="P671" s="9">
        <f t="shared" si="446"/>
        <v>578236</v>
      </c>
      <c r="Q671" s="31">
        <v>535452</v>
      </c>
      <c r="R671" s="31">
        <v>42784</v>
      </c>
      <c r="S671" s="31"/>
      <c r="T671" s="31">
        <v>596099</v>
      </c>
      <c r="U671" s="31">
        <f t="shared" ref="U671" si="450">+U669</f>
        <v>0</v>
      </c>
      <c r="V671" s="31"/>
      <c r="W671" s="27" t="str">
        <f t="shared" ref="W671:W703" si="451">IF((+K671+L671+M671+P671+T671+U671+V671)-H671=0,"OK",(+K671+L671+M671+P671+T671+U671+V671)-H671)</f>
        <v>OK</v>
      </c>
    </row>
    <row r="672" spans="1:23" s="132" customFormat="1" x14ac:dyDescent="0.2">
      <c r="A672" s="3">
        <f t="shared" si="449"/>
        <v>4</v>
      </c>
      <c r="B672" s="3" t="s">
        <v>862</v>
      </c>
      <c r="C672" s="3"/>
      <c r="D672" s="3" t="s">
        <v>548</v>
      </c>
      <c r="E672" s="3" t="s">
        <v>368</v>
      </c>
      <c r="F672" s="3"/>
      <c r="G672" s="3"/>
      <c r="H672" s="31">
        <f t="shared" si="444"/>
        <v>7150536.8731108885</v>
      </c>
      <c r="I672" s="94">
        <v>0</v>
      </c>
      <c r="J672" s="94">
        <f t="shared" si="447"/>
        <v>7150536.8731108885</v>
      </c>
      <c r="K672" s="31">
        <f>+[4]Summary!$E$25</f>
        <v>4044549.9228943191</v>
      </c>
      <c r="L672" s="31">
        <f>+[4]Summary!$E$26</f>
        <v>141089.1404509588</v>
      </c>
      <c r="M672" s="31">
        <f t="shared" si="445"/>
        <v>2127839.398719538</v>
      </c>
      <c r="N672" s="31">
        <f>+[4]Summary!$E$28</f>
        <v>285723.82588124881</v>
      </c>
      <c r="O672" s="31">
        <f>+[4]Summary!$E$27</f>
        <v>1842115.5728382894</v>
      </c>
      <c r="P672" s="9">
        <f t="shared" si="446"/>
        <v>730743.3108918271</v>
      </c>
      <c r="Q672" s="31">
        <f>+[4]Summary!$E$30</f>
        <v>594457.57680565922</v>
      </c>
      <c r="R672" s="31">
        <f>+[4]Summary!$E$29</f>
        <v>43018.378252648035</v>
      </c>
      <c r="S672" s="31">
        <f>+[4]Summary!$E$31+[4]Summary!$E$32</f>
        <v>93267.355833519832</v>
      </c>
      <c r="T672" s="31">
        <v>0</v>
      </c>
      <c r="U672" s="31">
        <f>+[4]Summary!$E$35</f>
        <v>79180.024151402962</v>
      </c>
      <c r="V672" s="31">
        <f>+[4]Summary!$E$33</f>
        <v>27135.076002842503</v>
      </c>
      <c r="W672" s="27" t="str">
        <f t="shared" si="451"/>
        <v>OK</v>
      </c>
    </row>
    <row r="673" spans="1:23" s="132" customFormat="1" x14ac:dyDescent="0.2">
      <c r="A673" s="3">
        <f t="shared" si="449"/>
        <v>5</v>
      </c>
      <c r="B673" s="3" t="s">
        <v>341</v>
      </c>
      <c r="C673" s="3"/>
      <c r="D673" s="3" t="s">
        <v>548</v>
      </c>
      <c r="E673" s="3" t="s">
        <v>369</v>
      </c>
      <c r="F673" s="3"/>
      <c r="G673" s="3"/>
      <c r="H673" s="31">
        <f t="shared" si="444"/>
        <v>6392658.4862162182</v>
      </c>
      <c r="I673" s="94">
        <v>0</v>
      </c>
      <c r="J673" s="94">
        <f t="shared" si="447"/>
        <v>6392658.4862162182</v>
      </c>
      <c r="K673" s="31">
        <f>+K672</f>
        <v>4044549.9228943191</v>
      </c>
      <c r="L673" s="31">
        <f>+L672</f>
        <v>141089.1404509588</v>
      </c>
      <c r="M673" s="31">
        <f t="shared" si="445"/>
        <v>2127839.398719538</v>
      </c>
      <c r="N673" s="31">
        <f>+N672</f>
        <v>285723.82588124881</v>
      </c>
      <c r="O673" s="31">
        <f>+O672</f>
        <v>1842115.5728382894</v>
      </c>
      <c r="P673" s="9">
        <f t="shared" si="446"/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f>+U672</f>
        <v>79180.024151402962</v>
      </c>
      <c r="V673" s="31">
        <v>0</v>
      </c>
      <c r="W673" s="27" t="str">
        <f t="shared" si="451"/>
        <v>OK</v>
      </c>
    </row>
    <row r="674" spans="1:23" s="132" customFormat="1" x14ac:dyDescent="0.2">
      <c r="A674" s="3">
        <f t="shared" si="449"/>
        <v>6</v>
      </c>
      <c r="B674" s="18" t="s">
        <v>319</v>
      </c>
      <c r="C674" s="18"/>
      <c r="D674" s="18" t="s">
        <v>547</v>
      </c>
      <c r="E674" s="18" t="s">
        <v>310</v>
      </c>
      <c r="F674" s="18"/>
      <c r="G674" s="18"/>
      <c r="H674" s="31">
        <f t="shared" si="444"/>
        <v>38295797001.651588</v>
      </c>
      <c r="I674" s="94">
        <v>0</v>
      </c>
      <c r="J674" s="94">
        <f t="shared" si="447"/>
        <v>38295797001.651588</v>
      </c>
      <c r="K674" s="31">
        <f>+'[2]II-H-1.2'!$P$144</f>
        <v>12589882555.539207</v>
      </c>
      <c r="L674" s="31">
        <f>+'[2]II-H-1.2'!$P$146</f>
        <v>672100106.11512482</v>
      </c>
      <c r="M674" s="31">
        <f t="shared" si="445"/>
        <v>9205057207.3266869</v>
      </c>
      <c r="N674" s="31">
        <f>+'[2]II-H-1.2'!$P$149</f>
        <v>1309566782.6682951</v>
      </c>
      <c r="O674" s="31">
        <f>+'[2]II-H-1.2'!$P$148</f>
        <v>7895490424.658391</v>
      </c>
      <c r="P674" s="9">
        <f t="shared" si="446"/>
        <v>4525071649.0120554</v>
      </c>
      <c r="Q674" s="31">
        <f>+'[2]II-H-1.2'!$P$153</f>
        <v>3758114018.0188446</v>
      </c>
      <c r="R674" s="31">
        <f>+'[2]II-H-1.2'!$P$152</f>
        <v>261157650.99321082</v>
      </c>
      <c r="S674" s="31">
        <f>+'[2]II-H-1.2'!$P$154+'[2]II-H-1.2'!$P$155</f>
        <v>505799980</v>
      </c>
      <c r="T674" s="31">
        <f>+'[2]II-H-1.2'!$P$158</f>
        <v>11035696755.195988</v>
      </c>
      <c r="U674" s="31">
        <f>+'[2]II-H-1.2'!$P$160</f>
        <v>238384897.60503083</v>
      </c>
      <c r="V674" s="31">
        <v>29603830.857500002</v>
      </c>
      <c r="W674" s="27" t="str">
        <f t="shared" si="451"/>
        <v>OK</v>
      </c>
    </row>
    <row r="675" spans="1:23" s="132" customFormat="1" x14ac:dyDescent="0.2">
      <c r="A675" s="3">
        <f t="shared" si="449"/>
        <v>7</v>
      </c>
      <c r="B675" s="3" t="s">
        <v>365</v>
      </c>
      <c r="C675" s="3"/>
      <c r="D675" s="3" t="s">
        <v>533</v>
      </c>
      <c r="E675" s="3" t="s">
        <v>364</v>
      </c>
      <c r="F675" s="3"/>
      <c r="G675" s="3"/>
      <c r="H675" s="31">
        <f t="shared" si="444"/>
        <v>150624628.23955706</v>
      </c>
      <c r="I675" s="94">
        <v>0</v>
      </c>
      <c r="J675" s="94">
        <f t="shared" si="447"/>
        <v>150624628.23955706</v>
      </c>
      <c r="K675" s="31">
        <f>+[4]Input!$O$103</f>
        <v>79181810.634783342</v>
      </c>
      <c r="L675" s="31">
        <f>+[4]Input!$O$104</f>
        <v>2897445.3648867225</v>
      </c>
      <c r="M675" s="31">
        <f t="shared" si="445"/>
        <v>31023216.42432715</v>
      </c>
      <c r="N675" s="31">
        <f>+[4]Input!$O$106</f>
        <v>3600643.1610355754</v>
      </c>
      <c r="O675" s="31">
        <f>+[4]Input!$O$105</f>
        <v>27422573.263291575</v>
      </c>
      <c r="P675" s="9">
        <f t="shared" si="446"/>
        <v>10189737.794917222</v>
      </c>
      <c r="Q675" s="31">
        <f>+[4]Input!$O$108</f>
        <v>8299929.3328995882</v>
      </c>
      <c r="R675" s="31">
        <f>+[4]Input!$O$107</f>
        <v>667793.64812638971</v>
      </c>
      <c r="S675" s="31">
        <f>+[4]Input!$O$109+[4]Input!$O$110</f>
        <v>1222014.813891246</v>
      </c>
      <c r="T675" s="31">
        <f>+[4]Input!$O$112</f>
        <v>25972433.783929482</v>
      </c>
      <c r="U675" s="31">
        <f>+[4]Input!$O$113</f>
        <v>809370.79648379341</v>
      </c>
      <c r="V675" s="31">
        <f>+[4]Input!$O$111</f>
        <v>550613.44022935256</v>
      </c>
      <c r="W675" s="27" t="str">
        <f t="shared" si="451"/>
        <v>OK</v>
      </c>
    </row>
    <row r="676" spans="1:23" s="132" customFormat="1" x14ac:dyDescent="0.2">
      <c r="A676" s="3">
        <f t="shared" si="449"/>
        <v>8</v>
      </c>
      <c r="B676" s="3" t="s">
        <v>342</v>
      </c>
      <c r="C676" s="3"/>
      <c r="D676" s="3" t="s">
        <v>535</v>
      </c>
      <c r="E676" s="3" t="s">
        <v>345</v>
      </c>
      <c r="F676" s="3"/>
      <c r="G676" s="3"/>
      <c r="H676" s="31">
        <f t="shared" si="444"/>
        <v>1329631</v>
      </c>
      <c r="I676" s="94">
        <v>0</v>
      </c>
      <c r="J676" s="94">
        <f t="shared" si="447"/>
        <v>1329631</v>
      </c>
      <c r="K676" s="31">
        <f>+'[2]II-H-1.1'!$E$15</f>
        <v>935238</v>
      </c>
      <c r="L676" s="31">
        <f>+'[2]II-H-1.1'!$E$17</f>
        <v>99366</v>
      </c>
      <c r="M676" s="31">
        <f t="shared" si="445"/>
        <v>72409</v>
      </c>
      <c r="N676" s="31">
        <f>+'[2]II-H-1.1'!$E$20</f>
        <v>576</v>
      </c>
      <c r="O676" s="31">
        <f>+'[2]II-H-1.1'!$E$19</f>
        <v>71833</v>
      </c>
      <c r="P676" s="9">
        <f t="shared" si="446"/>
        <v>1086</v>
      </c>
      <c r="Q676" s="31">
        <f>+'[2]II-H-1.1'!$E$24</f>
        <v>469</v>
      </c>
      <c r="R676" s="31">
        <f>+'[2]II-H-1.1'!$E$23</f>
        <v>550</v>
      </c>
      <c r="S676" s="31">
        <f>+'[2]II-H-1.1'!$E$25+'[2]II-H-1.1'!$E$26</f>
        <v>67</v>
      </c>
      <c r="T676" s="31">
        <f>+'[2]II-H-1.1'!$E$29</f>
        <v>123</v>
      </c>
      <c r="U676" s="31">
        <f>+'[2]II-H-1.1'!$E$31</f>
        <v>221390</v>
      </c>
      <c r="V676" s="31">
        <v>19</v>
      </c>
      <c r="W676" s="27" t="str">
        <f t="shared" si="451"/>
        <v>OK</v>
      </c>
    </row>
    <row r="677" spans="1:23" s="132" customFormat="1" x14ac:dyDescent="0.2">
      <c r="A677" s="3">
        <f t="shared" si="449"/>
        <v>9</v>
      </c>
      <c r="B677" s="3" t="s">
        <v>445</v>
      </c>
      <c r="C677" s="3"/>
      <c r="D677" s="3" t="s">
        <v>534</v>
      </c>
      <c r="E677" s="3" t="s">
        <v>446</v>
      </c>
      <c r="F677" s="3"/>
      <c r="G677" s="3"/>
      <c r="H677" s="31">
        <f t="shared" si="444"/>
        <v>1328350</v>
      </c>
      <c r="I677" s="94">
        <v>0</v>
      </c>
      <c r="J677" s="94">
        <f t="shared" si="447"/>
        <v>1328350</v>
      </c>
      <c r="K677" s="31">
        <f>+K676</f>
        <v>935238</v>
      </c>
      <c r="L677" s="31">
        <f>+L676</f>
        <v>99366</v>
      </c>
      <c r="M677" s="31">
        <f t="shared" si="445"/>
        <v>72409</v>
      </c>
      <c r="N677" s="31">
        <f>+N676</f>
        <v>576</v>
      </c>
      <c r="O677" s="31">
        <f>+O676</f>
        <v>71833</v>
      </c>
      <c r="P677" s="9">
        <f t="shared" si="446"/>
        <v>1086</v>
      </c>
      <c r="Q677" s="31">
        <f>+Q676</f>
        <v>469</v>
      </c>
      <c r="R677" s="31">
        <f>+R676</f>
        <v>550</v>
      </c>
      <c r="S677" s="31">
        <f>+S676</f>
        <v>67</v>
      </c>
      <c r="T677" s="31">
        <v>0</v>
      </c>
      <c r="U677" s="31">
        <v>220232</v>
      </c>
      <c r="V677" s="31">
        <f>+V676</f>
        <v>19</v>
      </c>
      <c r="W677" s="27" t="str">
        <f t="shared" si="451"/>
        <v>OK</v>
      </c>
    </row>
    <row r="678" spans="1:23" s="132" customFormat="1" x14ac:dyDescent="0.2">
      <c r="A678" s="3">
        <f t="shared" si="449"/>
        <v>10</v>
      </c>
      <c r="B678" s="3" t="s">
        <v>347</v>
      </c>
      <c r="C678" s="3"/>
      <c r="D678" s="3" t="s">
        <v>613</v>
      </c>
      <c r="E678" s="3" t="s">
        <v>343</v>
      </c>
      <c r="F678" s="3"/>
      <c r="G678" s="3"/>
      <c r="H678" s="31">
        <f t="shared" si="444"/>
        <v>1155398</v>
      </c>
      <c r="I678" s="94">
        <v>0</v>
      </c>
      <c r="J678" s="94">
        <f t="shared" si="447"/>
        <v>1155398</v>
      </c>
      <c r="K678" s="31">
        <f>+'[5]369'!$G$13</f>
        <v>935238</v>
      </c>
      <c r="L678" s="31">
        <f>+'[5]369'!$G$15</f>
        <v>94498</v>
      </c>
      <c r="M678" s="31">
        <f t="shared" si="445"/>
        <v>125662</v>
      </c>
      <c r="N678" s="31">
        <f>+'[5]369'!$G$18</f>
        <v>518</v>
      </c>
      <c r="O678" s="31">
        <f>+'[5]369'!$G$17</f>
        <v>125144</v>
      </c>
      <c r="P678" s="9">
        <f t="shared" si="446"/>
        <v>0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27" t="str">
        <f t="shared" si="451"/>
        <v>OK</v>
      </c>
    </row>
    <row r="679" spans="1:23" s="132" customFormat="1" x14ac:dyDescent="0.2">
      <c r="A679" s="3">
        <f t="shared" si="449"/>
        <v>11</v>
      </c>
      <c r="B679" s="3" t="s">
        <v>346</v>
      </c>
      <c r="C679" s="3"/>
      <c r="D679" s="3" t="s">
        <v>613</v>
      </c>
      <c r="E679" s="3" t="s">
        <v>344</v>
      </c>
      <c r="F679" s="3"/>
      <c r="G679" s="3"/>
      <c r="H679" s="31">
        <f t="shared" si="444"/>
        <v>1994932.7802414242</v>
      </c>
      <c r="I679" s="94">
        <v>0</v>
      </c>
      <c r="J679" s="94">
        <f t="shared" si="447"/>
        <v>1994932.7802414242</v>
      </c>
      <c r="K679" s="31">
        <f>+'[5]370'!$F$13</f>
        <v>935238</v>
      </c>
      <c r="L679" s="31">
        <f>+'[5]370'!$F$15</f>
        <v>177705.24038775123</v>
      </c>
      <c r="M679" s="31">
        <f t="shared" si="445"/>
        <v>705477.8436128865</v>
      </c>
      <c r="N679" s="31">
        <f>+'[5]370'!$F$18</f>
        <v>13763.351647210171</v>
      </c>
      <c r="O679" s="31">
        <f>+'[5]370'!$F$17</f>
        <v>691714.49196567631</v>
      </c>
      <c r="P679" s="9">
        <f t="shared" si="446"/>
        <v>94875.887253449953</v>
      </c>
      <c r="Q679" s="31">
        <f>+'[5]370'!$F$22</f>
        <v>40973.104163782722</v>
      </c>
      <c r="R679" s="31">
        <f>+'[5]370'!$F$21</f>
        <v>48049.482494841133</v>
      </c>
      <c r="S679" s="31">
        <f>+'[5]370'!$F$23+'[5]370'!$F$24</f>
        <v>5853.3005948261025</v>
      </c>
      <c r="T679" s="31">
        <f>+'[5]370'!$F$27</f>
        <v>79975.917773878275</v>
      </c>
      <c r="U679" s="31">
        <v>0</v>
      </c>
      <c r="V679" s="31">
        <f>+'[5]370'!$F$31</f>
        <v>1659.8912134581485</v>
      </c>
      <c r="W679" s="27" t="str">
        <f t="shared" si="451"/>
        <v>OK</v>
      </c>
    </row>
    <row r="680" spans="1:23" s="132" customFormat="1" x14ac:dyDescent="0.2">
      <c r="A680" s="3">
        <f t="shared" si="449"/>
        <v>12</v>
      </c>
      <c r="B680" s="3" t="s">
        <v>348</v>
      </c>
      <c r="C680" s="3"/>
      <c r="D680" s="87" t="s">
        <v>76</v>
      </c>
      <c r="E680" s="3" t="s">
        <v>371</v>
      </c>
      <c r="F680" s="3"/>
      <c r="G680" s="3"/>
      <c r="H680" s="31">
        <f t="shared" si="444"/>
        <v>112909952.16154858</v>
      </c>
      <c r="I680" s="94">
        <v>0</v>
      </c>
      <c r="J680" s="94">
        <f t="shared" si="447"/>
        <v>112909952.16154858</v>
      </c>
      <c r="K680" s="31">
        <v>0</v>
      </c>
      <c r="L680" s="31">
        <v>0</v>
      </c>
      <c r="M680" s="31">
        <f t="shared" si="445"/>
        <v>0</v>
      </c>
      <c r="N680" s="31">
        <v>0</v>
      </c>
      <c r="O680" s="31">
        <v>0</v>
      </c>
      <c r="P680" s="9">
        <f t="shared" si="446"/>
        <v>0</v>
      </c>
      <c r="Q680" s="31">
        <v>0</v>
      </c>
      <c r="R680" s="31">
        <v>0</v>
      </c>
      <c r="S680" s="31">
        <v>0</v>
      </c>
      <c r="T680" s="31">
        <v>0</v>
      </c>
      <c r="U680" s="31">
        <v>112909952.16154858</v>
      </c>
      <c r="V680" s="31">
        <v>0</v>
      </c>
      <c r="W680" s="27" t="str">
        <f t="shared" si="451"/>
        <v>OK</v>
      </c>
    </row>
    <row r="681" spans="1:23" s="132" customFormat="1" x14ac:dyDescent="0.2">
      <c r="A681" s="3">
        <f t="shared" si="449"/>
        <v>13</v>
      </c>
      <c r="B681" s="3" t="s">
        <v>349</v>
      </c>
      <c r="C681" s="3"/>
      <c r="D681" s="87" t="s">
        <v>80</v>
      </c>
      <c r="E681" s="3" t="s">
        <v>372</v>
      </c>
      <c r="F681" s="3"/>
      <c r="G681" s="3"/>
      <c r="H681" s="31">
        <f t="shared" si="444"/>
        <v>125474945.44348232</v>
      </c>
      <c r="I681" s="94">
        <v>0</v>
      </c>
      <c r="J681" s="94">
        <f t="shared" si="447"/>
        <v>125474945.44348232</v>
      </c>
      <c r="K681" s="31">
        <v>0</v>
      </c>
      <c r="L681" s="31">
        <v>0</v>
      </c>
      <c r="M681" s="31">
        <f t="shared" si="445"/>
        <v>0</v>
      </c>
      <c r="N681" s="31">
        <v>0</v>
      </c>
      <c r="O681" s="31">
        <v>0</v>
      </c>
      <c r="P681" s="9">
        <f t="shared" si="446"/>
        <v>0</v>
      </c>
      <c r="Q681" s="31">
        <v>0</v>
      </c>
      <c r="R681" s="31">
        <v>0</v>
      </c>
      <c r="S681" s="31">
        <v>0</v>
      </c>
      <c r="T681" s="31">
        <v>0</v>
      </c>
      <c r="U681" s="31">
        <v>125474945.44348232</v>
      </c>
      <c r="V681" s="31">
        <v>0</v>
      </c>
      <c r="W681" s="27" t="str">
        <f t="shared" si="451"/>
        <v>OK</v>
      </c>
    </row>
    <row r="682" spans="1:23" s="132" customFormat="1" x14ac:dyDescent="0.2">
      <c r="A682" s="3">
        <f t="shared" si="449"/>
        <v>14</v>
      </c>
      <c r="B682" s="3" t="s">
        <v>809</v>
      </c>
      <c r="C682" s="3"/>
      <c r="D682" s="3" t="s">
        <v>613</v>
      </c>
      <c r="E682" s="3" t="s">
        <v>373</v>
      </c>
      <c r="F682" s="3"/>
      <c r="G682" s="3"/>
      <c r="H682" s="31">
        <f t="shared" si="444"/>
        <v>1107122</v>
      </c>
      <c r="I682" s="94">
        <v>0</v>
      </c>
      <c r="J682" s="94">
        <f t="shared" si="447"/>
        <v>1107122</v>
      </c>
      <c r="K682" s="31">
        <f>+'[5]902'!$F$13</f>
        <v>935238</v>
      </c>
      <c r="L682" s="31">
        <f>+'[5]902'!$F$15</f>
        <v>97741</v>
      </c>
      <c r="M682" s="31">
        <f t="shared" si="445"/>
        <v>73006</v>
      </c>
      <c r="N682" s="31">
        <f>+'[5]902'!$F$18</f>
        <v>581</v>
      </c>
      <c r="O682" s="31">
        <f>+'[5]902'!$F$17</f>
        <v>72425</v>
      </c>
      <c r="P682" s="9">
        <f t="shared" si="446"/>
        <v>1117</v>
      </c>
      <c r="Q682" s="31">
        <f>+'[5]902'!$F$22</f>
        <v>482</v>
      </c>
      <c r="R682" s="31">
        <f>+'[5]902'!$F$21</f>
        <v>566</v>
      </c>
      <c r="S682" s="31">
        <f>+'[5]902'!$F$23+'[5]902'!$F$24</f>
        <v>69</v>
      </c>
      <c r="T682" s="31">
        <v>0</v>
      </c>
      <c r="U682" s="31">
        <v>0</v>
      </c>
      <c r="V682" s="31">
        <f>+'[5]902'!$F$31</f>
        <v>20</v>
      </c>
      <c r="W682" s="27" t="str">
        <f t="shared" si="451"/>
        <v>OK</v>
      </c>
    </row>
    <row r="683" spans="1:23" x14ac:dyDescent="0.2">
      <c r="A683" s="3">
        <f t="shared" si="449"/>
        <v>15</v>
      </c>
      <c r="B683" s="3" t="s">
        <v>810</v>
      </c>
      <c r="C683" s="3"/>
      <c r="D683" s="3" t="s">
        <v>613</v>
      </c>
      <c r="E683" s="3" t="s">
        <v>374</v>
      </c>
      <c r="F683" s="3"/>
      <c r="G683" s="3"/>
      <c r="H683" s="31">
        <f t="shared" si="444"/>
        <v>1110889.1666666667</v>
      </c>
      <c r="I683" s="94">
        <v>0</v>
      </c>
      <c r="J683" s="94">
        <f t="shared" si="447"/>
        <v>1110889.1666666667</v>
      </c>
      <c r="K683" s="31">
        <f>+'[5]903'!$F$13</f>
        <v>935238</v>
      </c>
      <c r="L683" s="31">
        <f>+'[5]903'!$F$15</f>
        <v>99366</v>
      </c>
      <c r="M683" s="31">
        <f t="shared" si="445"/>
        <v>72409</v>
      </c>
      <c r="N683" s="31">
        <f>+'[5]903'!$F$18</f>
        <v>576</v>
      </c>
      <c r="O683" s="31">
        <f>+'[5]903'!$F$17</f>
        <v>71833</v>
      </c>
      <c r="P683" s="9">
        <f t="shared" si="446"/>
        <v>1105</v>
      </c>
      <c r="Q683" s="31">
        <f>+'[5]903'!$F$22</f>
        <v>469</v>
      </c>
      <c r="R683" s="31">
        <f>+'[5]903'!$F$21</f>
        <v>550</v>
      </c>
      <c r="S683" s="31">
        <f>+'[5]903'!$F$23+'[5]903'!$F$24+19</f>
        <v>86</v>
      </c>
      <c r="T683" s="31">
        <f>+'[5]903'!$F$27</f>
        <v>124.16666666666667</v>
      </c>
      <c r="U683" s="31">
        <f>+'[5]903'!$F$29</f>
        <v>2628</v>
      </c>
      <c r="V683" s="31">
        <f>+'[5]903'!$F$31</f>
        <v>19</v>
      </c>
      <c r="W683" s="27" t="str">
        <f t="shared" si="451"/>
        <v>OK</v>
      </c>
    </row>
    <row r="684" spans="1:23" x14ac:dyDescent="0.2">
      <c r="A684" s="3">
        <f t="shared" si="449"/>
        <v>16</v>
      </c>
      <c r="B684" s="3" t="s">
        <v>134</v>
      </c>
      <c r="C684" s="3"/>
      <c r="D684" s="3"/>
      <c r="E684" s="3" t="s">
        <v>428</v>
      </c>
      <c r="F684" s="3"/>
      <c r="G684" s="3"/>
      <c r="H684" s="31">
        <f t="shared" si="444"/>
        <v>0</v>
      </c>
      <c r="I684" s="94">
        <v>0</v>
      </c>
      <c r="J684" s="94">
        <f t="shared" si="447"/>
        <v>0</v>
      </c>
      <c r="K684" s="31">
        <v>0</v>
      </c>
      <c r="L684" s="31">
        <v>0</v>
      </c>
      <c r="M684" s="31">
        <f t="shared" si="445"/>
        <v>0</v>
      </c>
      <c r="N684" s="31">
        <v>0</v>
      </c>
      <c r="O684" s="31">
        <v>0</v>
      </c>
      <c r="P684" s="9">
        <f t="shared" si="446"/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27" t="str">
        <f t="shared" si="451"/>
        <v>OK</v>
      </c>
    </row>
    <row r="685" spans="1:23" x14ac:dyDescent="0.2">
      <c r="A685" s="3">
        <f t="shared" si="449"/>
        <v>17</v>
      </c>
      <c r="B685" s="3" t="s">
        <v>356</v>
      </c>
      <c r="C685" s="3"/>
      <c r="D685" s="3"/>
      <c r="E685" s="3" t="s">
        <v>370</v>
      </c>
      <c r="F685" s="3"/>
      <c r="G685" s="3"/>
      <c r="H685" s="31">
        <f ca="1">SUM(I685:J685)</f>
        <v>196720610.80048504</v>
      </c>
      <c r="I685" s="94">
        <v>0</v>
      </c>
      <c r="J685" s="94">
        <f t="shared" ca="1" si="447"/>
        <v>196720610.80048504</v>
      </c>
      <c r="K685" s="31">
        <f ca="1">+K636</f>
        <v>113829285.81345591</v>
      </c>
      <c r="L685" s="31">
        <f ca="1">+L636</f>
        <v>4403581.2006934974</v>
      </c>
      <c r="M685" s="31">
        <f t="shared" ca="1" si="445"/>
        <v>57323383.916389585</v>
      </c>
      <c r="N685" s="31">
        <f t="shared" ref="N685:V685" ca="1" si="452">+N636</f>
        <v>7582884.8926186012</v>
      </c>
      <c r="O685" s="31">
        <f t="shared" ca="1" si="452"/>
        <v>49740499.023770981</v>
      </c>
      <c r="P685" s="9">
        <f t="shared" ca="1" si="446"/>
        <v>12927923.086625174</v>
      </c>
      <c r="Q685" s="31">
        <f t="shared" ca="1" si="452"/>
        <v>10516804.202230867</v>
      </c>
      <c r="R685" s="31">
        <f t="shared" ca="1" si="452"/>
        <v>761060.42929274018</v>
      </c>
      <c r="S685" s="31">
        <f t="shared" ca="1" si="452"/>
        <v>1650058.4551015662</v>
      </c>
      <c r="T685" s="31">
        <f t="shared" ca="1" si="452"/>
        <v>79.822873624577525</v>
      </c>
      <c r="U685" s="31">
        <f t="shared" ca="1" si="452"/>
        <v>7756309.8053918369</v>
      </c>
      <c r="V685" s="31">
        <f t="shared" ca="1" si="452"/>
        <v>480047.15505539888</v>
      </c>
      <c r="W685" s="27" t="str">
        <f t="shared" ca="1" si="451"/>
        <v>OK</v>
      </c>
    </row>
    <row r="686" spans="1:23" s="132" customFormat="1" x14ac:dyDescent="0.2">
      <c r="A686" s="3">
        <f t="shared" si="449"/>
        <v>18</v>
      </c>
      <c r="B686" s="3" t="s">
        <v>796</v>
      </c>
      <c r="C686" s="3"/>
      <c r="D686" s="3"/>
      <c r="E686" s="3" t="s">
        <v>797</v>
      </c>
      <c r="F686" s="3"/>
      <c r="G686" s="3"/>
      <c r="H686" s="31">
        <f t="shared" si="444"/>
        <v>73637</v>
      </c>
      <c r="I686" s="94">
        <v>0</v>
      </c>
      <c r="J686" s="94">
        <f t="shared" si="447"/>
        <v>73637</v>
      </c>
      <c r="K686" s="31">
        <v>0</v>
      </c>
      <c r="L686" s="31">
        <v>0</v>
      </c>
      <c r="M686" s="31">
        <f t="shared" si="445"/>
        <v>72409</v>
      </c>
      <c r="N686" s="31">
        <f>+N676</f>
        <v>576</v>
      </c>
      <c r="O686" s="31">
        <f>+O676</f>
        <v>71833</v>
      </c>
      <c r="P686" s="9">
        <f t="shared" si="446"/>
        <v>1086</v>
      </c>
      <c r="Q686" s="31">
        <f>+Q676</f>
        <v>469</v>
      </c>
      <c r="R686" s="31">
        <f>+R676</f>
        <v>550</v>
      </c>
      <c r="S686" s="31">
        <f>+S676</f>
        <v>67</v>
      </c>
      <c r="T686" s="31">
        <f>+T676</f>
        <v>123</v>
      </c>
      <c r="U686" s="31"/>
      <c r="V686" s="31">
        <f>+V676</f>
        <v>19</v>
      </c>
      <c r="W686" s="27" t="str">
        <f t="shared" si="451"/>
        <v>OK</v>
      </c>
    </row>
    <row r="687" spans="1:23" s="132" customFormat="1" x14ac:dyDescent="0.2">
      <c r="A687" s="3">
        <f t="shared" si="449"/>
        <v>19</v>
      </c>
      <c r="B687" s="3" t="s">
        <v>823</v>
      </c>
      <c r="C687" s="3"/>
      <c r="D687" s="3"/>
      <c r="E687" s="3" t="s">
        <v>824</v>
      </c>
      <c r="F687" s="3"/>
      <c r="G687" s="3"/>
      <c r="H687" s="31">
        <f t="shared" si="444"/>
        <v>1255994</v>
      </c>
      <c r="I687" s="94">
        <v>0</v>
      </c>
      <c r="J687" s="94">
        <f t="shared" si="447"/>
        <v>1255994</v>
      </c>
      <c r="K687" s="31">
        <f>+K676</f>
        <v>935238</v>
      </c>
      <c r="L687" s="31">
        <f>+L676</f>
        <v>99366</v>
      </c>
      <c r="M687" s="31">
        <v>0</v>
      </c>
      <c r="N687" s="31">
        <v>0</v>
      </c>
      <c r="O687" s="31">
        <v>0</v>
      </c>
      <c r="P687" s="9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f>+U676</f>
        <v>221390</v>
      </c>
      <c r="V687" s="31">
        <v>0</v>
      </c>
      <c r="W687" s="27" t="str">
        <f t="shared" si="451"/>
        <v>OK</v>
      </c>
    </row>
    <row r="688" spans="1:23" s="132" customFormat="1" x14ac:dyDescent="0.2">
      <c r="A688" s="3">
        <f t="shared" si="449"/>
        <v>20</v>
      </c>
      <c r="B688" s="3" t="s">
        <v>455</v>
      </c>
      <c r="C688" s="3"/>
      <c r="D688" s="3"/>
      <c r="E688" s="3" t="s">
        <v>458</v>
      </c>
      <c r="F688" s="3"/>
      <c r="G688" s="3"/>
      <c r="H688" s="31">
        <f t="shared" si="444"/>
        <v>38295797001.651588</v>
      </c>
      <c r="I688" s="94">
        <v>0</v>
      </c>
      <c r="J688" s="94">
        <f t="shared" si="447"/>
        <v>38295797001.651588</v>
      </c>
      <c r="K688" s="31">
        <f>+'[2]II-H-1.2'!$P$144</f>
        <v>12589882555.539207</v>
      </c>
      <c r="L688" s="31">
        <f>+'[2]II-H-1.2'!$P$146</f>
        <v>672100106.11512482</v>
      </c>
      <c r="M688" s="31">
        <f t="shared" si="445"/>
        <v>9205057207.3266869</v>
      </c>
      <c r="N688" s="31">
        <f>+'[2]II-H-1.2'!$P$149</f>
        <v>1309566782.6682951</v>
      </c>
      <c r="O688" s="31">
        <f>+'[2]II-H-1.2'!$P$148</f>
        <v>7895490424.658391</v>
      </c>
      <c r="P688" s="9">
        <f t="shared" si="446"/>
        <v>4525071649.0120554</v>
      </c>
      <c r="Q688" s="31">
        <f>+'[2]II-H-1.2'!$P$153</f>
        <v>3758114018.0188446</v>
      </c>
      <c r="R688" s="31">
        <f>+'[2]II-H-1.2'!$P$152</f>
        <v>261157650.99321082</v>
      </c>
      <c r="S688" s="31">
        <f>+'[2]II-H-1.2'!$P$154+'[2]II-H-1.2'!$P$155</f>
        <v>505799980</v>
      </c>
      <c r="T688" s="31">
        <f>+'[2]II-H-1.2'!$P$158</f>
        <v>11035696755.195988</v>
      </c>
      <c r="U688" s="31">
        <f>+'[2]II-H-1.2'!$P$160</f>
        <v>238384897.60503083</v>
      </c>
      <c r="V688" s="31">
        <f>+V674</f>
        <v>29603830.857500002</v>
      </c>
      <c r="W688" s="27" t="str">
        <f t="shared" si="451"/>
        <v>OK</v>
      </c>
    </row>
    <row r="689" spans="1:23" x14ac:dyDescent="0.2">
      <c r="A689" s="3">
        <f t="shared" si="449"/>
        <v>21</v>
      </c>
      <c r="B689" s="3" t="s">
        <v>456</v>
      </c>
      <c r="C689" s="3"/>
      <c r="D689" s="3" t="s">
        <v>547</v>
      </c>
      <c r="E689" s="3" t="s">
        <v>459</v>
      </c>
      <c r="F689" s="3"/>
      <c r="G689" s="3"/>
      <c r="H689" s="31">
        <f t="shared" si="444"/>
        <v>38295797001.651588</v>
      </c>
      <c r="I689" s="94">
        <v>0</v>
      </c>
      <c r="J689" s="94">
        <f t="shared" si="447"/>
        <v>38295797001.651588</v>
      </c>
      <c r="K689" s="31">
        <f>K688</f>
        <v>12589882555.539207</v>
      </c>
      <c r="L689" s="31">
        <f>L688</f>
        <v>672100106.11512482</v>
      </c>
      <c r="M689" s="31">
        <f t="shared" si="445"/>
        <v>9205057207.3266869</v>
      </c>
      <c r="N689" s="31">
        <f>N688</f>
        <v>1309566782.6682951</v>
      </c>
      <c r="O689" s="31">
        <f>O688</f>
        <v>7895490424.658391</v>
      </c>
      <c r="P689" s="9">
        <f t="shared" si="446"/>
        <v>4525071649.0120554</v>
      </c>
      <c r="Q689" s="31">
        <f>+Q688</f>
        <v>3758114018.0188446</v>
      </c>
      <c r="R689" s="31">
        <f>+R688</f>
        <v>261157650.99321082</v>
      </c>
      <c r="S689" s="31">
        <f>+S688</f>
        <v>505799980</v>
      </c>
      <c r="T689" s="31">
        <f>+T688</f>
        <v>11035696755.195988</v>
      </c>
      <c r="U689" s="31">
        <f>+U688</f>
        <v>238384897.60503083</v>
      </c>
      <c r="V689" s="31">
        <f>+V674</f>
        <v>29603830.857500002</v>
      </c>
      <c r="W689" s="27" t="str">
        <f t="shared" si="451"/>
        <v>OK</v>
      </c>
    </row>
    <row r="690" spans="1:23" s="132" customFormat="1" x14ac:dyDescent="0.2">
      <c r="A690" s="3">
        <f t="shared" si="449"/>
        <v>22</v>
      </c>
      <c r="B690" s="3" t="s">
        <v>457</v>
      </c>
      <c r="C690" s="3"/>
      <c r="D690" s="3" t="s">
        <v>547</v>
      </c>
      <c r="E690" s="3" t="s">
        <v>460</v>
      </c>
      <c r="F690" s="3"/>
      <c r="G690" s="3"/>
      <c r="H690" s="31">
        <f t="shared" si="444"/>
        <v>40432437272.627991</v>
      </c>
      <c r="I690" s="94">
        <v>0</v>
      </c>
      <c r="J690" s="94">
        <f t="shared" si="447"/>
        <v>40432437272.627991</v>
      </c>
      <c r="K690" s="31">
        <f>+'[2]II-H-1.2'!$P$313</f>
        <v>13539159700.226864</v>
      </c>
      <c r="L690" s="31">
        <f>+'[2]II-H-1.2'!$P$315</f>
        <v>722776454.1162051</v>
      </c>
      <c r="M690" s="31">
        <f t="shared" si="445"/>
        <v>9899118520.7591171</v>
      </c>
      <c r="N690" s="31">
        <f>+'[2]II-H-1.2'!$P$318</f>
        <v>1408308118.0814846</v>
      </c>
      <c r="O690" s="31">
        <f>+'[2]II-H-1.2'!$P$317</f>
        <v>8490810402.6776323</v>
      </c>
      <c r="P690" s="9">
        <f t="shared" si="446"/>
        <v>4727025596.7074633</v>
      </c>
      <c r="Q690" s="31">
        <f>+'[2]II-H-1.2'!$P$322</f>
        <v>3925838646.6430254</v>
      </c>
      <c r="R690" s="31">
        <f>+'[2]II-H-1.2'!$P$321</f>
        <v>272813116.95703781</v>
      </c>
      <c r="S690" s="31">
        <f>+'[2]II-H-1.2'!$P$323+'[2]II-H-1.2'!$P$324</f>
        <v>528373833.10739994</v>
      </c>
      <c r="T690" s="31">
        <f>+'[2]II-H-1.2'!$P$327</f>
        <v>11257072832.105221</v>
      </c>
      <c r="U690" s="31">
        <f>+'[2]II-H-1.2'!$P$329</f>
        <v>256359118.88445011</v>
      </c>
      <c r="V690" s="31">
        <v>30925049.828670219</v>
      </c>
      <c r="W690" s="27" t="str">
        <f t="shared" si="451"/>
        <v>OK</v>
      </c>
    </row>
    <row r="691" spans="1:23" x14ac:dyDescent="0.2">
      <c r="A691" s="3">
        <f t="shared" si="449"/>
        <v>23</v>
      </c>
      <c r="B691" s="3" t="s">
        <v>33</v>
      </c>
      <c r="C691" s="3"/>
      <c r="D691" s="3"/>
      <c r="E691" s="3" t="s">
        <v>325</v>
      </c>
      <c r="F691" s="3"/>
      <c r="G691" s="3"/>
      <c r="H691" s="31">
        <f t="shared" si="444"/>
        <v>0</v>
      </c>
      <c r="I691" s="94">
        <v>0</v>
      </c>
      <c r="J691" s="94">
        <f t="shared" si="447"/>
        <v>0</v>
      </c>
      <c r="K691" s="31">
        <f t="shared" ref="K691:V691" si="453">K111</f>
        <v>0</v>
      </c>
      <c r="L691" s="31">
        <f t="shared" si="453"/>
        <v>0</v>
      </c>
      <c r="M691" s="31">
        <f t="shared" si="445"/>
        <v>0</v>
      </c>
      <c r="N691" s="31">
        <f t="shared" si="453"/>
        <v>0</v>
      </c>
      <c r="O691" s="31">
        <f t="shared" si="453"/>
        <v>0</v>
      </c>
      <c r="P691" s="9">
        <f t="shared" si="446"/>
        <v>0</v>
      </c>
      <c r="Q691" s="31">
        <f t="shared" si="453"/>
        <v>0</v>
      </c>
      <c r="R691" s="31">
        <f t="shared" si="453"/>
        <v>0</v>
      </c>
      <c r="S691" s="31">
        <f>S111</f>
        <v>0</v>
      </c>
      <c r="T691" s="31">
        <f t="shared" si="453"/>
        <v>0</v>
      </c>
      <c r="U691" s="31">
        <f t="shared" si="453"/>
        <v>0</v>
      </c>
      <c r="V691" s="31">
        <f t="shared" si="453"/>
        <v>0</v>
      </c>
      <c r="W691" s="27" t="str">
        <f t="shared" si="451"/>
        <v>OK</v>
      </c>
    </row>
    <row r="692" spans="1:23" x14ac:dyDescent="0.2">
      <c r="A692" s="3">
        <f t="shared" si="449"/>
        <v>24</v>
      </c>
      <c r="B692" s="3" t="s">
        <v>378</v>
      </c>
      <c r="C692" s="3"/>
      <c r="D692" s="3"/>
      <c r="E692" s="3" t="s">
        <v>386</v>
      </c>
      <c r="F692" s="3"/>
      <c r="G692" s="3"/>
      <c r="H692" s="31">
        <f t="shared" si="444"/>
        <v>0</v>
      </c>
      <c r="I692" s="94">
        <v>0</v>
      </c>
      <c r="J692" s="94">
        <f t="shared" si="447"/>
        <v>0</v>
      </c>
      <c r="K692" s="31">
        <f t="shared" ref="K692:V692" si="454">K111</f>
        <v>0</v>
      </c>
      <c r="L692" s="31">
        <f t="shared" si="454"/>
        <v>0</v>
      </c>
      <c r="M692" s="31">
        <f t="shared" si="445"/>
        <v>0</v>
      </c>
      <c r="N692" s="31">
        <f t="shared" si="454"/>
        <v>0</v>
      </c>
      <c r="O692" s="31">
        <f t="shared" si="454"/>
        <v>0</v>
      </c>
      <c r="P692" s="9">
        <f t="shared" si="446"/>
        <v>0</v>
      </c>
      <c r="Q692" s="31">
        <f t="shared" si="454"/>
        <v>0</v>
      </c>
      <c r="R692" s="31">
        <f t="shared" si="454"/>
        <v>0</v>
      </c>
      <c r="S692" s="31">
        <f>S111</f>
        <v>0</v>
      </c>
      <c r="T692" s="31">
        <f t="shared" si="454"/>
        <v>0</v>
      </c>
      <c r="U692" s="31">
        <f t="shared" si="454"/>
        <v>0</v>
      </c>
      <c r="V692" s="31">
        <f t="shared" si="454"/>
        <v>0</v>
      </c>
      <c r="W692" s="27" t="str">
        <f t="shared" si="451"/>
        <v>OK</v>
      </c>
    </row>
    <row r="693" spans="1:23" x14ac:dyDescent="0.2">
      <c r="A693" s="3">
        <f t="shared" si="449"/>
        <v>25</v>
      </c>
      <c r="B693" s="3" t="s">
        <v>379</v>
      </c>
      <c r="C693" s="3"/>
      <c r="D693" s="3"/>
      <c r="E693" s="3" t="s">
        <v>387</v>
      </c>
      <c r="F693" s="3"/>
      <c r="G693" s="3"/>
      <c r="H693" s="31">
        <f t="shared" si="444"/>
        <v>0</v>
      </c>
      <c r="I693" s="94">
        <v>0</v>
      </c>
      <c r="J693" s="94">
        <f t="shared" si="447"/>
        <v>0</v>
      </c>
      <c r="K693" s="31"/>
      <c r="L693" s="31"/>
      <c r="M693" s="31">
        <f t="shared" si="445"/>
        <v>0</v>
      </c>
      <c r="N693" s="31"/>
      <c r="O693" s="31"/>
      <c r="P693" s="9">
        <f t="shared" si="446"/>
        <v>0</v>
      </c>
      <c r="Q693" s="31"/>
      <c r="R693" s="31"/>
      <c r="S693" s="31"/>
      <c r="T693" s="31"/>
      <c r="U693" s="31"/>
      <c r="V693" s="31"/>
      <c r="W693" s="27" t="str">
        <f t="shared" si="451"/>
        <v>OK</v>
      </c>
    </row>
    <row r="694" spans="1:23" x14ac:dyDescent="0.2">
      <c r="A694" s="3">
        <f t="shared" si="449"/>
        <v>26</v>
      </c>
      <c r="B694" s="3" t="s">
        <v>52</v>
      </c>
      <c r="C694" s="3"/>
      <c r="D694" s="3"/>
      <c r="E694" s="3" t="s">
        <v>331</v>
      </c>
      <c r="F694" s="3"/>
      <c r="G694" s="3"/>
      <c r="H694" s="31">
        <f t="shared" si="444"/>
        <v>5530937010.1372623</v>
      </c>
      <c r="I694" s="94">
        <v>0</v>
      </c>
      <c r="J694" s="94">
        <f t="shared" si="447"/>
        <v>5530937010.1372623</v>
      </c>
      <c r="K694" s="31">
        <f t="shared" ref="K694:V694" si="455">K147</f>
        <v>3215444143.0635533</v>
      </c>
      <c r="L694" s="31">
        <f t="shared" si="455"/>
        <v>134154026.56165403</v>
      </c>
      <c r="M694" s="31">
        <f t="shared" si="445"/>
        <v>1561454898.387897</v>
      </c>
      <c r="N694" s="31">
        <f t="shared" si="455"/>
        <v>203858215.23612881</v>
      </c>
      <c r="O694" s="31">
        <f t="shared" si="455"/>
        <v>1357596683.1517682</v>
      </c>
      <c r="P694" s="9">
        <f t="shared" si="446"/>
        <v>336942598.7382285</v>
      </c>
      <c r="Q694" s="31">
        <f t="shared" si="455"/>
        <v>274101832.72711378</v>
      </c>
      <c r="R694" s="31">
        <f t="shared" si="455"/>
        <v>19835589.249885038</v>
      </c>
      <c r="S694" s="31">
        <f>S147</f>
        <v>43005176.761229701</v>
      </c>
      <c r="T694" s="31">
        <f t="shared" si="455"/>
        <v>0</v>
      </c>
      <c r="U694" s="31">
        <f t="shared" si="455"/>
        <v>270429476.51136535</v>
      </c>
      <c r="V694" s="31">
        <f t="shared" si="455"/>
        <v>12511866.874564579</v>
      </c>
      <c r="W694" s="27" t="str">
        <f t="shared" si="451"/>
        <v>OK</v>
      </c>
    </row>
    <row r="695" spans="1:23" x14ac:dyDescent="0.2">
      <c r="A695" s="3">
        <f t="shared" si="449"/>
        <v>27</v>
      </c>
      <c r="B695" s="3" t="s">
        <v>380</v>
      </c>
      <c r="C695" s="3"/>
      <c r="D695" s="3"/>
      <c r="E695" s="3" t="s">
        <v>388</v>
      </c>
      <c r="F695" s="3"/>
      <c r="G695" s="3"/>
      <c r="H695" s="31">
        <f t="shared" si="444"/>
        <v>5530937010.1372623</v>
      </c>
      <c r="I695" s="94">
        <v>0</v>
      </c>
      <c r="J695" s="94">
        <f t="shared" si="447"/>
        <v>5530937010.1372623</v>
      </c>
      <c r="K695" s="31">
        <f t="shared" ref="K695:V695" si="456">K147</f>
        <v>3215444143.0635533</v>
      </c>
      <c r="L695" s="31">
        <f t="shared" si="456"/>
        <v>134154026.56165403</v>
      </c>
      <c r="M695" s="31">
        <f t="shared" si="445"/>
        <v>1561454898.387897</v>
      </c>
      <c r="N695" s="31">
        <f t="shared" si="456"/>
        <v>203858215.23612881</v>
      </c>
      <c r="O695" s="31">
        <f t="shared" si="456"/>
        <v>1357596683.1517682</v>
      </c>
      <c r="P695" s="9">
        <f t="shared" si="446"/>
        <v>336942598.7382285</v>
      </c>
      <c r="Q695" s="31">
        <f t="shared" si="456"/>
        <v>274101832.72711378</v>
      </c>
      <c r="R695" s="31">
        <f t="shared" si="456"/>
        <v>19835589.249885038</v>
      </c>
      <c r="S695" s="31">
        <f>S147</f>
        <v>43005176.761229701</v>
      </c>
      <c r="T695" s="31">
        <f t="shared" si="456"/>
        <v>0</v>
      </c>
      <c r="U695" s="31">
        <f t="shared" si="456"/>
        <v>270429476.51136535</v>
      </c>
      <c r="V695" s="31">
        <f t="shared" si="456"/>
        <v>12511866.874564579</v>
      </c>
      <c r="W695" s="27" t="str">
        <f t="shared" si="451"/>
        <v>OK</v>
      </c>
    </row>
    <row r="696" spans="1:23" x14ac:dyDescent="0.2">
      <c r="A696" s="3">
        <f t="shared" si="449"/>
        <v>28</v>
      </c>
      <c r="B696" s="3" t="s">
        <v>381</v>
      </c>
      <c r="C696" s="3"/>
      <c r="D696" s="3"/>
      <c r="E696" s="3" t="s">
        <v>389</v>
      </c>
      <c r="F696" s="3"/>
      <c r="G696" s="3"/>
      <c r="H696" s="31">
        <f t="shared" si="444"/>
        <v>0</v>
      </c>
      <c r="I696" s="94">
        <v>0</v>
      </c>
      <c r="J696" s="94">
        <f t="shared" si="447"/>
        <v>0</v>
      </c>
      <c r="K696" s="31"/>
      <c r="L696" s="31"/>
      <c r="M696" s="31">
        <f t="shared" si="445"/>
        <v>0</v>
      </c>
      <c r="N696" s="31"/>
      <c r="O696" s="31"/>
      <c r="P696" s="9">
        <f t="shared" si="446"/>
        <v>0</v>
      </c>
      <c r="Q696" s="31"/>
      <c r="R696" s="31"/>
      <c r="S696" s="31"/>
      <c r="T696" s="31"/>
      <c r="U696" s="31"/>
      <c r="V696" s="31"/>
      <c r="W696" s="27" t="str">
        <f t="shared" si="451"/>
        <v>OK</v>
      </c>
    </row>
    <row r="697" spans="1:23" x14ac:dyDescent="0.2">
      <c r="A697" s="3">
        <f t="shared" si="449"/>
        <v>29</v>
      </c>
      <c r="B697" s="3" t="s">
        <v>84</v>
      </c>
      <c r="C697" s="3"/>
      <c r="D697" s="3"/>
      <c r="E697" s="3" t="s">
        <v>375</v>
      </c>
      <c r="F697" s="3"/>
      <c r="G697" s="3"/>
      <c r="H697" s="31">
        <f t="shared" si="444"/>
        <v>651539327.46740794</v>
      </c>
      <c r="I697" s="94">
        <v>0</v>
      </c>
      <c r="J697" s="94">
        <f t="shared" si="447"/>
        <v>651539327.46740794</v>
      </c>
      <c r="K697" s="31">
        <f t="shared" ref="K697:V697" si="457">+K162+K168</f>
        <v>374429097.08715796</v>
      </c>
      <c r="L697" s="31">
        <f t="shared" si="457"/>
        <v>13848029.661500804</v>
      </c>
      <c r="M697" s="31">
        <f t="shared" si="445"/>
        <v>192345282.15216929</v>
      </c>
      <c r="N697" s="31">
        <f t="shared" si="457"/>
        <v>25619268.720183134</v>
      </c>
      <c r="O697" s="31">
        <f t="shared" si="457"/>
        <v>166726013.43198615</v>
      </c>
      <c r="P697" s="9">
        <f t="shared" si="446"/>
        <v>50725801.780545503</v>
      </c>
      <c r="Q697" s="31">
        <f t="shared" si="457"/>
        <v>41264214.678255439</v>
      </c>
      <c r="R697" s="31">
        <f t="shared" si="457"/>
        <v>2986318.8931077328</v>
      </c>
      <c r="S697" s="31">
        <f>+S162+S168</f>
        <v>6475268.2091823285</v>
      </c>
      <c r="T697" s="31">
        <f t="shared" si="457"/>
        <v>3510.6265767848458</v>
      </c>
      <c r="U697" s="31">
        <f t="shared" si="457"/>
        <v>18304515.136973433</v>
      </c>
      <c r="V697" s="31">
        <f t="shared" si="457"/>
        <v>1883091.0224841544</v>
      </c>
      <c r="W697" s="27" t="str">
        <f t="shared" si="451"/>
        <v>OK</v>
      </c>
    </row>
    <row r="698" spans="1:23" x14ac:dyDescent="0.2">
      <c r="A698" s="3">
        <f t="shared" si="449"/>
        <v>30</v>
      </c>
      <c r="B698" s="3" t="s">
        <v>382</v>
      </c>
      <c r="C698" s="3"/>
      <c r="D698" s="3"/>
      <c r="E698" s="3" t="s">
        <v>390</v>
      </c>
      <c r="F698" s="3"/>
      <c r="G698" s="3"/>
      <c r="H698" s="31">
        <f t="shared" si="444"/>
        <v>651539327.46740794</v>
      </c>
      <c r="I698" s="94">
        <v>0</v>
      </c>
      <c r="J698" s="94">
        <f t="shared" si="447"/>
        <v>651539327.46740794</v>
      </c>
      <c r="K698" s="31">
        <f t="shared" ref="K698:V698" si="458">+K162+K168</f>
        <v>374429097.08715796</v>
      </c>
      <c r="L698" s="31">
        <f t="shared" si="458"/>
        <v>13848029.661500804</v>
      </c>
      <c r="M698" s="31">
        <f t="shared" si="445"/>
        <v>192345282.15216929</v>
      </c>
      <c r="N698" s="31">
        <f t="shared" si="458"/>
        <v>25619268.720183134</v>
      </c>
      <c r="O698" s="31">
        <f t="shared" si="458"/>
        <v>166726013.43198615</v>
      </c>
      <c r="P698" s="9">
        <f t="shared" si="446"/>
        <v>50725801.780545503</v>
      </c>
      <c r="Q698" s="31">
        <f t="shared" si="458"/>
        <v>41264214.678255439</v>
      </c>
      <c r="R698" s="31">
        <f t="shared" si="458"/>
        <v>2986318.8931077328</v>
      </c>
      <c r="S698" s="31">
        <f>+S162+S168</f>
        <v>6475268.2091823285</v>
      </c>
      <c r="T698" s="31">
        <f t="shared" si="458"/>
        <v>3510.6265767848458</v>
      </c>
      <c r="U698" s="31">
        <f t="shared" si="458"/>
        <v>18304515.136973433</v>
      </c>
      <c r="V698" s="31">
        <f t="shared" si="458"/>
        <v>1883091.0224841544</v>
      </c>
      <c r="W698" s="27" t="str">
        <f t="shared" si="451"/>
        <v>OK</v>
      </c>
    </row>
    <row r="699" spans="1:23" x14ac:dyDescent="0.2">
      <c r="A699" s="3">
        <f t="shared" si="449"/>
        <v>31</v>
      </c>
      <c r="B699" s="3" t="s">
        <v>383</v>
      </c>
      <c r="C699" s="3"/>
      <c r="D699" s="3"/>
      <c r="E699" s="3" t="s">
        <v>391</v>
      </c>
      <c r="F699" s="3"/>
      <c r="G699" s="3"/>
      <c r="H699" s="31">
        <f t="shared" si="444"/>
        <v>0</v>
      </c>
      <c r="I699" s="94">
        <v>0</v>
      </c>
      <c r="J699" s="94">
        <f t="shared" si="447"/>
        <v>0</v>
      </c>
      <c r="K699" s="94">
        <v>0</v>
      </c>
      <c r="L699" s="94">
        <v>0</v>
      </c>
      <c r="M699" s="31">
        <f t="shared" si="445"/>
        <v>0</v>
      </c>
      <c r="N699" s="31"/>
      <c r="O699" s="31"/>
      <c r="P699" s="9">
        <f t="shared" si="446"/>
        <v>0</v>
      </c>
      <c r="Q699" s="31"/>
      <c r="R699" s="31"/>
      <c r="S699" s="31"/>
      <c r="T699" s="31"/>
      <c r="U699" s="31"/>
      <c r="V699" s="31"/>
      <c r="W699" s="27" t="str">
        <f t="shared" si="451"/>
        <v>OK</v>
      </c>
    </row>
    <row r="700" spans="1:23" x14ac:dyDescent="0.2">
      <c r="A700" s="3">
        <f t="shared" si="449"/>
        <v>32</v>
      </c>
      <c r="B700" s="3" t="s">
        <v>376</v>
      </c>
      <c r="C700" s="3"/>
      <c r="D700" s="3"/>
      <c r="E700" s="3" t="s">
        <v>377</v>
      </c>
      <c r="F700" s="3"/>
      <c r="G700" s="3"/>
      <c r="H700" s="31">
        <f t="shared" si="444"/>
        <v>152369039.81184542</v>
      </c>
      <c r="I700" s="94">
        <v>0</v>
      </c>
      <c r="J700" s="94">
        <f t="shared" si="447"/>
        <v>152369039.81184542</v>
      </c>
      <c r="K700" s="31">
        <f t="shared" ref="K700:V700" si="459">+K96</f>
        <v>87564018.925074622</v>
      </c>
      <c r="L700" s="31">
        <f t="shared" si="459"/>
        <v>3238501.3365357928</v>
      </c>
      <c r="M700" s="31">
        <f t="shared" si="445"/>
        <v>44981883.239167288</v>
      </c>
      <c r="N700" s="31">
        <f t="shared" si="459"/>
        <v>5991324.2547453437</v>
      </c>
      <c r="O700" s="31">
        <f t="shared" si="459"/>
        <v>38990558.984421946</v>
      </c>
      <c r="P700" s="9">
        <f t="shared" si="446"/>
        <v>11862740.106619805</v>
      </c>
      <c r="Q700" s="31">
        <f t="shared" si="459"/>
        <v>9650052.5817148816</v>
      </c>
      <c r="R700" s="31">
        <f t="shared" si="459"/>
        <v>698380.77784730494</v>
      </c>
      <c r="S700" s="31">
        <f>+S96</f>
        <v>1514306.7470576188</v>
      </c>
      <c r="T700" s="31">
        <f t="shared" si="459"/>
        <v>820.99541515306419</v>
      </c>
      <c r="U700" s="31">
        <f t="shared" si="459"/>
        <v>4280695.3902280722</v>
      </c>
      <c r="V700" s="31">
        <f t="shared" si="459"/>
        <v>440379.81880467484</v>
      </c>
      <c r="W700" s="27" t="str">
        <f t="shared" si="451"/>
        <v>OK</v>
      </c>
    </row>
    <row r="701" spans="1:23" x14ac:dyDescent="0.2">
      <c r="A701" s="3">
        <f t="shared" si="449"/>
        <v>33</v>
      </c>
      <c r="B701" s="3" t="s">
        <v>384</v>
      </c>
      <c r="C701" s="3"/>
      <c r="D701" s="3"/>
      <c r="E701" s="3" t="s">
        <v>392</v>
      </c>
      <c r="F701" s="3"/>
      <c r="G701" s="3"/>
      <c r="H701" s="31">
        <f t="shared" si="444"/>
        <v>152369039.81184542</v>
      </c>
      <c r="I701" s="94">
        <v>0</v>
      </c>
      <c r="J701" s="94">
        <f t="shared" si="447"/>
        <v>152369039.81184542</v>
      </c>
      <c r="K701" s="31">
        <f t="shared" ref="K701:V701" si="460">+K96</f>
        <v>87564018.925074622</v>
      </c>
      <c r="L701" s="31">
        <f t="shared" si="460"/>
        <v>3238501.3365357928</v>
      </c>
      <c r="M701" s="31">
        <f t="shared" si="445"/>
        <v>44981883.239167288</v>
      </c>
      <c r="N701" s="31">
        <f t="shared" si="460"/>
        <v>5991324.2547453437</v>
      </c>
      <c r="O701" s="31">
        <f t="shared" si="460"/>
        <v>38990558.984421946</v>
      </c>
      <c r="P701" s="9">
        <f t="shared" si="446"/>
        <v>11862740.106619805</v>
      </c>
      <c r="Q701" s="31">
        <f t="shared" si="460"/>
        <v>9650052.5817148816</v>
      </c>
      <c r="R701" s="31">
        <f t="shared" si="460"/>
        <v>698380.77784730494</v>
      </c>
      <c r="S701" s="31">
        <f>+S96</f>
        <v>1514306.7470576188</v>
      </c>
      <c r="T701" s="31">
        <f t="shared" si="460"/>
        <v>820.99541515306419</v>
      </c>
      <c r="U701" s="31">
        <f t="shared" si="460"/>
        <v>4280695.3902280722</v>
      </c>
      <c r="V701" s="31">
        <f t="shared" si="460"/>
        <v>440379.81880467484</v>
      </c>
      <c r="W701" s="27" t="str">
        <f t="shared" si="451"/>
        <v>OK</v>
      </c>
    </row>
    <row r="702" spans="1:23" x14ac:dyDescent="0.2">
      <c r="A702" s="3">
        <f t="shared" si="449"/>
        <v>34</v>
      </c>
      <c r="B702" s="3" t="s">
        <v>385</v>
      </c>
      <c r="C702" s="3"/>
      <c r="D702" s="3"/>
      <c r="E702" s="3" t="s">
        <v>393</v>
      </c>
      <c r="F702" s="3"/>
      <c r="G702" s="3"/>
      <c r="H702" s="31">
        <f t="shared" si="444"/>
        <v>0</v>
      </c>
      <c r="I702" s="94">
        <v>0</v>
      </c>
      <c r="J702" s="94">
        <f t="shared" si="447"/>
        <v>0</v>
      </c>
      <c r="K702" s="31"/>
      <c r="L702" s="31"/>
      <c r="M702" s="31">
        <f t="shared" ref="M702:M733" si="461">SUM(N702:O702)</f>
        <v>0</v>
      </c>
      <c r="N702" s="31"/>
      <c r="O702" s="31"/>
      <c r="P702" s="9">
        <f t="shared" si="446"/>
        <v>0</v>
      </c>
      <c r="Q702" s="31"/>
      <c r="R702" s="31"/>
      <c r="S702" s="31"/>
      <c r="T702" s="31"/>
      <c r="U702" s="31"/>
      <c r="V702" s="31"/>
      <c r="W702" s="27" t="str">
        <f t="shared" si="451"/>
        <v>OK</v>
      </c>
    </row>
    <row r="703" spans="1:23" x14ac:dyDescent="0.2">
      <c r="A703" s="3">
        <f t="shared" si="449"/>
        <v>35</v>
      </c>
      <c r="B703" s="3" t="s">
        <v>429</v>
      </c>
      <c r="C703" s="3"/>
      <c r="D703" s="3"/>
      <c r="E703" s="3" t="s">
        <v>313</v>
      </c>
      <c r="F703" s="3"/>
      <c r="G703" s="3"/>
      <c r="H703" s="31">
        <f t="shared" ref="H703:H721" si="462">SUM(I703:J703)</f>
        <v>6334845377.4165163</v>
      </c>
      <c r="I703" s="94">
        <v>0</v>
      </c>
      <c r="J703" s="94">
        <f t="shared" si="447"/>
        <v>6334845377.4165163</v>
      </c>
      <c r="K703" s="31">
        <f t="shared" ref="K703:V703" si="463">+K171</f>
        <v>3677437259.0757861</v>
      </c>
      <c r="L703" s="31">
        <f t="shared" si="463"/>
        <v>151240557.55969059</v>
      </c>
      <c r="M703" s="31">
        <f t="shared" si="461"/>
        <v>1798782063.7792335</v>
      </c>
      <c r="N703" s="31">
        <f t="shared" si="463"/>
        <v>235468808.21105728</v>
      </c>
      <c r="O703" s="31">
        <f t="shared" si="463"/>
        <v>1563313255.5681763</v>
      </c>
      <c r="P703" s="9">
        <f t="shared" si="446"/>
        <v>399531140.62539381</v>
      </c>
      <c r="Q703" s="31">
        <f t="shared" si="463"/>
        <v>325016099.98708409</v>
      </c>
      <c r="R703" s="31">
        <f t="shared" si="463"/>
        <v>23520288.920840073</v>
      </c>
      <c r="S703" s="31">
        <f>+S171</f>
        <v>50994751.717469648</v>
      </c>
      <c r="T703" s="31">
        <f t="shared" si="463"/>
        <v>4331.62199193791</v>
      </c>
      <c r="U703" s="31">
        <f t="shared" si="463"/>
        <v>293014687.03856689</v>
      </c>
      <c r="V703" s="31">
        <f t="shared" si="463"/>
        <v>14835337.71585341</v>
      </c>
      <c r="W703" s="27" t="str">
        <f t="shared" si="451"/>
        <v>OK</v>
      </c>
    </row>
    <row r="704" spans="1:23" x14ac:dyDescent="0.2">
      <c r="A704" s="3">
        <f t="shared" si="449"/>
        <v>36</v>
      </c>
      <c r="B704" s="3" t="s">
        <v>398</v>
      </c>
      <c r="C704" s="3"/>
      <c r="D704" s="3"/>
      <c r="E704" s="3" t="s">
        <v>340</v>
      </c>
      <c r="F704" s="3"/>
      <c r="G704" s="3"/>
      <c r="H704" s="31">
        <f t="shared" si="462"/>
        <v>4777087836.416275</v>
      </c>
      <c r="I704" s="94">
        <v>0</v>
      </c>
      <c r="J704" s="94">
        <f t="shared" si="447"/>
        <v>4777087836.416275</v>
      </c>
      <c r="K704" s="31">
        <f t="shared" ref="K704:V704" si="464">+K249</f>
        <v>2766270292.5032372</v>
      </c>
      <c r="L704" s="31">
        <f t="shared" si="464"/>
        <v>108262513.28756109</v>
      </c>
      <c r="M704" s="31">
        <f t="shared" si="461"/>
        <v>1385688460.6544116</v>
      </c>
      <c r="N704" s="31">
        <f t="shared" si="464"/>
        <v>182958139.70243025</v>
      </c>
      <c r="O704" s="31">
        <f t="shared" si="464"/>
        <v>1202730320.9519813</v>
      </c>
      <c r="P704" s="9">
        <f t="shared" si="446"/>
        <v>310021812.83500201</v>
      </c>
      <c r="Q704" s="31">
        <f t="shared" si="464"/>
        <v>252200899.55878189</v>
      </c>
      <c r="R704" s="31">
        <f t="shared" si="464"/>
        <v>18250889.901157845</v>
      </c>
      <c r="S704" s="31">
        <f>+S249</f>
        <v>39570023.375062272</v>
      </c>
      <c r="T704" s="31">
        <f t="shared" si="464"/>
        <v>3096.0799648287075</v>
      </c>
      <c r="U704" s="31">
        <f t="shared" si="464"/>
        <v>195329931.3740873</v>
      </c>
      <c r="V704" s="31">
        <f t="shared" si="464"/>
        <v>11511729.682011461</v>
      </c>
      <c r="W704" s="27" t="str">
        <f t="shared" ref="W704:W735" si="465">IF((+K704+L704+M704+P704+T704+U704+V704)-H704=0,"OK",(+K704+L704+M704+P704+T704+U704+V704)-H704)</f>
        <v>OK</v>
      </c>
    </row>
    <row r="705" spans="1:23" x14ac:dyDescent="0.2">
      <c r="A705" s="3">
        <f t="shared" si="449"/>
        <v>37</v>
      </c>
      <c r="B705" s="3" t="s">
        <v>399</v>
      </c>
      <c r="C705" s="3"/>
      <c r="D705" s="3"/>
      <c r="E705" s="3" t="s">
        <v>400</v>
      </c>
      <c r="F705" s="3"/>
      <c r="G705" s="3"/>
      <c r="H705" s="31">
        <f t="shared" si="462"/>
        <v>5683306049.9491072</v>
      </c>
      <c r="I705" s="94">
        <v>0</v>
      </c>
      <c r="J705" s="94">
        <f t="shared" si="447"/>
        <v>5683306049.9491072</v>
      </c>
      <c r="K705" s="31">
        <f t="shared" ref="K705:V705" si="466">+K171-K168-K162</f>
        <v>3303008161.9886279</v>
      </c>
      <c r="L705" s="31">
        <f t="shared" si="466"/>
        <v>137392527.89818981</v>
      </c>
      <c r="M705" s="31">
        <f t="shared" si="461"/>
        <v>1606436781.6270642</v>
      </c>
      <c r="N705" s="31">
        <f t="shared" si="466"/>
        <v>209849539.49087414</v>
      </c>
      <c r="O705" s="31">
        <f t="shared" si="466"/>
        <v>1396587242.1361902</v>
      </c>
      <c r="P705" s="9">
        <f t="shared" si="446"/>
        <v>348805338.84484828</v>
      </c>
      <c r="Q705" s="31">
        <f t="shared" si="466"/>
        <v>283751885.30882865</v>
      </c>
      <c r="R705" s="31">
        <f t="shared" si="466"/>
        <v>20533970.027732342</v>
      </c>
      <c r="S705" s="31">
        <f>+S171-S168-S162</f>
        <v>44519483.508287318</v>
      </c>
      <c r="T705" s="31">
        <f t="shared" si="466"/>
        <v>820.99541515306419</v>
      </c>
      <c r="U705" s="31">
        <f t="shared" si="466"/>
        <v>274710171.90159345</v>
      </c>
      <c r="V705" s="31">
        <f t="shared" si="466"/>
        <v>12952246.693369254</v>
      </c>
      <c r="W705" s="27" t="str">
        <f t="shared" si="465"/>
        <v>OK</v>
      </c>
    </row>
    <row r="706" spans="1:23" x14ac:dyDescent="0.2">
      <c r="A706" s="3">
        <f t="shared" si="449"/>
        <v>38</v>
      </c>
      <c r="B706" s="3" t="s">
        <v>397</v>
      </c>
      <c r="C706" s="3"/>
      <c r="D706" s="3"/>
      <c r="E706" s="3" t="s">
        <v>361</v>
      </c>
      <c r="F706" s="3"/>
      <c r="G706" s="3"/>
      <c r="H706" s="31">
        <f t="shared" si="462"/>
        <v>5530937010.1372623</v>
      </c>
      <c r="I706" s="94">
        <v>0</v>
      </c>
      <c r="J706" s="94">
        <f t="shared" si="447"/>
        <v>5530937010.1372623</v>
      </c>
      <c r="K706" s="31">
        <f>+K147+K111</f>
        <v>3215444143.0635533</v>
      </c>
      <c r="L706" s="31">
        <f>+L147+L111</f>
        <v>134154026.56165403</v>
      </c>
      <c r="M706" s="31">
        <f t="shared" si="461"/>
        <v>1561454898.387897</v>
      </c>
      <c r="N706" s="31">
        <f>+N147+N111</f>
        <v>203858215.23612881</v>
      </c>
      <c r="O706" s="31">
        <f>+O147+O111</f>
        <v>1357596683.1517682</v>
      </c>
      <c r="P706" s="9">
        <f t="shared" si="446"/>
        <v>336942598.7382285</v>
      </c>
      <c r="Q706" s="31">
        <f t="shared" ref="Q706:V706" si="467">+Q147+Q111</f>
        <v>274101832.72711378</v>
      </c>
      <c r="R706" s="31">
        <f t="shared" si="467"/>
        <v>19835589.249885038</v>
      </c>
      <c r="S706" s="31">
        <f t="shared" si="467"/>
        <v>43005176.761229701</v>
      </c>
      <c r="T706" s="31">
        <f t="shared" si="467"/>
        <v>0</v>
      </c>
      <c r="U706" s="31">
        <f t="shared" si="467"/>
        <v>270429476.51136535</v>
      </c>
      <c r="V706" s="31">
        <f t="shared" si="467"/>
        <v>12511866.874564579</v>
      </c>
      <c r="W706" s="27" t="str">
        <f t="shared" si="465"/>
        <v>OK</v>
      </c>
    </row>
    <row r="707" spans="1:23" x14ac:dyDescent="0.2">
      <c r="A707" s="3">
        <f t="shared" si="449"/>
        <v>39</v>
      </c>
      <c r="B707" s="3" t="s">
        <v>420</v>
      </c>
      <c r="C707" s="3"/>
      <c r="D707" s="3"/>
      <c r="E707" s="3" t="s">
        <v>329</v>
      </c>
      <c r="F707" s="3"/>
      <c r="G707" s="3"/>
      <c r="H707" s="31">
        <f t="shared" si="462"/>
        <v>0</v>
      </c>
      <c r="I707" s="94">
        <v>0</v>
      </c>
      <c r="J707" s="94">
        <f t="shared" si="447"/>
        <v>0</v>
      </c>
      <c r="K707" s="31">
        <f t="shared" ref="K707:V707" si="468">+K102</f>
        <v>0</v>
      </c>
      <c r="L707" s="31">
        <f t="shared" si="468"/>
        <v>0</v>
      </c>
      <c r="M707" s="31">
        <f t="shared" si="461"/>
        <v>0</v>
      </c>
      <c r="N707" s="31">
        <f t="shared" si="468"/>
        <v>0</v>
      </c>
      <c r="O707" s="31">
        <f t="shared" si="468"/>
        <v>0</v>
      </c>
      <c r="P707" s="9">
        <f t="shared" si="446"/>
        <v>0</v>
      </c>
      <c r="Q707" s="31">
        <f t="shared" si="468"/>
        <v>0</v>
      </c>
      <c r="R707" s="31">
        <f t="shared" si="468"/>
        <v>0</v>
      </c>
      <c r="S707" s="31">
        <f>+S102</f>
        <v>0</v>
      </c>
      <c r="T707" s="31">
        <f t="shared" si="468"/>
        <v>0</v>
      </c>
      <c r="U707" s="31">
        <f t="shared" si="468"/>
        <v>0</v>
      </c>
      <c r="V707" s="31">
        <f t="shared" si="468"/>
        <v>0</v>
      </c>
      <c r="W707" s="27" t="str">
        <f t="shared" si="465"/>
        <v>OK</v>
      </c>
    </row>
    <row r="708" spans="1:23" x14ac:dyDescent="0.2">
      <c r="A708" s="3">
        <f t="shared" si="449"/>
        <v>40</v>
      </c>
      <c r="B708" s="3" t="s">
        <v>411</v>
      </c>
      <c r="C708" s="3"/>
      <c r="D708" s="3"/>
      <c r="E708" s="3" t="s">
        <v>330</v>
      </c>
      <c r="F708" s="3"/>
      <c r="G708" s="3"/>
      <c r="H708" s="31">
        <f t="shared" si="462"/>
        <v>0</v>
      </c>
      <c r="I708" s="94">
        <v>0</v>
      </c>
      <c r="J708" s="94">
        <f t="shared" si="447"/>
        <v>0</v>
      </c>
      <c r="K708" s="31">
        <f t="shared" ref="K708:V708" si="469">+K103</f>
        <v>0</v>
      </c>
      <c r="L708" s="31">
        <f t="shared" si="469"/>
        <v>0</v>
      </c>
      <c r="M708" s="31">
        <f t="shared" si="461"/>
        <v>0</v>
      </c>
      <c r="N708" s="31">
        <f t="shared" si="469"/>
        <v>0</v>
      </c>
      <c r="O708" s="31">
        <f t="shared" si="469"/>
        <v>0</v>
      </c>
      <c r="P708" s="9">
        <f t="shared" si="446"/>
        <v>0</v>
      </c>
      <c r="Q708" s="31">
        <f t="shared" si="469"/>
        <v>0</v>
      </c>
      <c r="R708" s="31">
        <f t="shared" si="469"/>
        <v>0</v>
      </c>
      <c r="S708" s="31">
        <f>+S103</f>
        <v>0</v>
      </c>
      <c r="T708" s="31">
        <f t="shared" si="469"/>
        <v>0</v>
      </c>
      <c r="U708" s="31">
        <f t="shared" si="469"/>
        <v>0</v>
      </c>
      <c r="V708" s="31">
        <f t="shared" si="469"/>
        <v>0</v>
      </c>
      <c r="W708" s="27" t="str">
        <f t="shared" si="465"/>
        <v>OK</v>
      </c>
    </row>
    <row r="709" spans="1:23" x14ac:dyDescent="0.2">
      <c r="A709" s="3">
        <f t="shared" si="449"/>
        <v>41</v>
      </c>
      <c r="B709" s="3" t="s">
        <v>427</v>
      </c>
      <c r="C709" s="3"/>
      <c r="D709" s="3"/>
      <c r="E709" s="3" t="s">
        <v>326</v>
      </c>
      <c r="F709" s="3"/>
      <c r="G709" s="3"/>
      <c r="H709" s="31">
        <f t="shared" si="462"/>
        <v>0</v>
      </c>
      <c r="I709" s="94">
        <v>0</v>
      </c>
      <c r="J709" s="94">
        <f t="shared" si="447"/>
        <v>0</v>
      </c>
      <c r="K709" s="31">
        <f t="shared" ref="K709:V709" si="470">+K102+K103</f>
        <v>0</v>
      </c>
      <c r="L709" s="31">
        <f t="shared" si="470"/>
        <v>0</v>
      </c>
      <c r="M709" s="31">
        <f t="shared" si="461"/>
        <v>0</v>
      </c>
      <c r="N709" s="31">
        <f t="shared" si="470"/>
        <v>0</v>
      </c>
      <c r="O709" s="31">
        <f t="shared" si="470"/>
        <v>0</v>
      </c>
      <c r="P709" s="9">
        <f t="shared" si="446"/>
        <v>0</v>
      </c>
      <c r="Q709" s="31">
        <f t="shared" si="470"/>
        <v>0</v>
      </c>
      <c r="R709" s="31">
        <f t="shared" si="470"/>
        <v>0</v>
      </c>
      <c r="S709" s="31">
        <f>+S102+S103</f>
        <v>0</v>
      </c>
      <c r="T709" s="31">
        <f t="shared" si="470"/>
        <v>0</v>
      </c>
      <c r="U709" s="31">
        <f t="shared" si="470"/>
        <v>0</v>
      </c>
      <c r="V709" s="31">
        <f t="shared" si="470"/>
        <v>0</v>
      </c>
      <c r="W709" s="27" t="str">
        <f t="shared" si="465"/>
        <v>OK</v>
      </c>
    </row>
    <row r="710" spans="1:23" x14ac:dyDescent="0.2">
      <c r="A710" s="3">
        <f t="shared" si="449"/>
        <v>42</v>
      </c>
      <c r="B710" s="3" t="s">
        <v>409</v>
      </c>
      <c r="C710" s="3"/>
      <c r="D710" s="3"/>
      <c r="E710" s="3" t="s">
        <v>327</v>
      </c>
      <c r="F710" s="3"/>
      <c r="G710" s="3"/>
      <c r="H710" s="31">
        <f t="shared" si="462"/>
        <v>0</v>
      </c>
      <c r="I710" s="94">
        <v>0</v>
      </c>
      <c r="J710" s="94">
        <f t="shared" si="447"/>
        <v>0</v>
      </c>
      <c r="K710" s="31">
        <f>+K104+K105+K106</f>
        <v>0</v>
      </c>
      <c r="L710" s="31">
        <f t="shared" ref="L710:V710" si="471">+L104+L105+L106</f>
        <v>0</v>
      </c>
      <c r="M710" s="31">
        <f t="shared" si="461"/>
        <v>0</v>
      </c>
      <c r="N710" s="31">
        <f t="shared" si="471"/>
        <v>0</v>
      </c>
      <c r="O710" s="31">
        <f t="shared" si="471"/>
        <v>0</v>
      </c>
      <c r="P710" s="9">
        <f t="shared" si="446"/>
        <v>0</v>
      </c>
      <c r="Q710" s="31">
        <f t="shared" si="471"/>
        <v>0</v>
      </c>
      <c r="R710" s="31">
        <f t="shared" si="471"/>
        <v>0</v>
      </c>
      <c r="S710" s="31">
        <f>+S104+S105+S106</f>
        <v>0</v>
      </c>
      <c r="T710" s="31">
        <f t="shared" si="471"/>
        <v>0</v>
      </c>
      <c r="U710" s="31">
        <f t="shared" si="471"/>
        <v>0</v>
      </c>
      <c r="V710" s="31">
        <f t="shared" si="471"/>
        <v>0</v>
      </c>
      <c r="W710" s="27" t="str">
        <f t="shared" si="465"/>
        <v>OK</v>
      </c>
    </row>
    <row r="711" spans="1:23" x14ac:dyDescent="0.2">
      <c r="A711" s="3">
        <f t="shared" si="449"/>
        <v>43</v>
      </c>
      <c r="B711" s="3" t="s">
        <v>410</v>
      </c>
      <c r="C711" s="3"/>
      <c r="D711" s="3"/>
      <c r="E711" s="3" t="s">
        <v>328</v>
      </c>
      <c r="F711" s="3"/>
      <c r="G711" s="3"/>
      <c r="H711" s="31">
        <f t="shared" si="462"/>
        <v>0</v>
      </c>
      <c r="I711" s="94">
        <v>0</v>
      </c>
      <c r="J711" s="94">
        <f t="shared" si="447"/>
        <v>0</v>
      </c>
      <c r="K711" s="31">
        <f t="shared" ref="K711:V711" si="472">+K107+K108</f>
        <v>0</v>
      </c>
      <c r="L711" s="31">
        <f t="shared" si="472"/>
        <v>0</v>
      </c>
      <c r="M711" s="31">
        <f t="shared" si="461"/>
        <v>0</v>
      </c>
      <c r="N711" s="31">
        <f t="shared" si="472"/>
        <v>0</v>
      </c>
      <c r="O711" s="31">
        <f t="shared" si="472"/>
        <v>0</v>
      </c>
      <c r="P711" s="9">
        <f t="shared" si="446"/>
        <v>0</v>
      </c>
      <c r="Q711" s="31">
        <f t="shared" si="472"/>
        <v>0</v>
      </c>
      <c r="R711" s="31">
        <f t="shared" si="472"/>
        <v>0</v>
      </c>
      <c r="S711" s="31">
        <f>+S107+S108</f>
        <v>0</v>
      </c>
      <c r="T711" s="31">
        <f t="shared" si="472"/>
        <v>0</v>
      </c>
      <c r="U711" s="31">
        <f t="shared" si="472"/>
        <v>0</v>
      </c>
      <c r="V711" s="31">
        <f t="shared" si="472"/>
        <v>0</v>
      </c>
      <c r="W711" s="27" t="str">
        <f t="shared" si="465"/>
        <v>OK</v>
      </c>
    </row>
    <row r="712" spans="1:23" x14ac:dyDescent="0.2">
      <c r="A712" s="3">
        <f t="shared" si="449"/>
        <v>44</v>
      </c>
      <c r="B712" s="3" t="s">
        <v>412</v>
      </c>
      <c r="C712" s="3"/>
      <c r="D712" s="3"/>
      <c r="E712" s="3" t="s">
        <v>337</v>
      </c>
      <c r="F712" s="3"/>
      <c r="G712" s="3"/>
      <c r="H712" s="31">
        <f t="shared" si="462"/>
        <v>88124441.371371984</v>
      </c>
      <c r="I712" s="94">
        <v>0</v>
      </c>
      <c r="J712" s="94">
        <f t="shared" si="447"/>
        <v>88124441.371371984</v>
      </c>
      <c r="K712" s="31">
        <f t="shared" ref="K712:V712" si="473">+K115</f>
        <v>49845726.115194902</v>
      </c>
      <c r="L712" s="31">
        <f t="shared" si="473"/>
        <v>1738806.7366749418</v>
      </c>
      <c r="M712" s="31">
        <f t="shared" si="461"/>
        <v>26223857.266618904</v>
      </c>
      <c r="N712" s="31">
        <f t="shared" si="473"/>
        <v>3521309.3770568594</v>
      </c>
      <c r="O712" s="31">
        <f t="shared" si="473"/>
        <v>22702547.889562044</v>
      </c>
      <c r="P712" s="9">
        <f t="shared" si="446"/>
        <v>9005805.7459107973</v>
      </c>
      <c r="Q712" s="31">
        <f t="shared" si="473"/>
        <v>7326197.0121394796</v>
      </c>
      <c r="R712" s="31">
        <f t="shared" si="473"/>
        <v>530165.86299592047</v>
      </c>
      <c r="S712" s="31">
        <f>+S115</f>
        <v>1149442.8707753967</v>
      </c>
      <c r="T712" s="31">
        <f t="shared" si="473"/>
        <v>0</v>
      </c>
      <c r="U712" s="31">
        <f t="shared" si="473"/>
        <v>975828.18184649618</v>
      </c>
      <c r="V712" s="31">
        <f t="shared" si="473"/>
        <v>334417.32512594986</v>
      </c>
      <c r="W712" s="27" t="str">
        <f t="shared" si="465"/>
        <v>OK</v>
      </c>
    </row>
    <row r="713" spans="1:23" x14ac:dyDescent="0.2">
      <c r="A713" s="3">
        <f t="shared" si="449"/>
        <v>45</v>
      </c>
      <c r="B713" s="3" t="s">
        <v>413</v>
      </c>
      <c r="C713" s="3"/>
      <c r="D713" s="3"/>
      <c r="E713" s="3" t="s">
        <v>332</v>
      </c>
      <c r="F713" s="3"/>
      <c r="G713" s="3"/>
      <c r="H713" s="31">
        <f t="shared" si="462"/>
        <v>937709681.18433952</v>
      </c>
      <c r="I713" s="94">
        <v>0</v>
      </c>
      <c r="J713" s="94">
        <f t="shared" si="447"/>
        <v>937709681.18433952</v>
      </c>
      <c r="K713" s="31">
        <f t="shared" ref="K713:V713" si="474">+K116</f>
        <v>530395645.25472832</v>
      </c>
      <c r="L713" s="31">
        <f t="shared" si="474"/>
        <v>18502198.542370819</v>
      </c>
      <c r="M713" s="31">
        <f t="shared" si="461"/>
        <v>279041369.84286445</v>
      </c>
      <c r="N713" s="31">
        <f t="shared" si="474"/>
        <v>37469354.039889395</v>
      </c>
      <c r="O713" s="31">
        <f t="shared" si="474"/>
        <v>241572015.80297506</v>
      </c>
      <c r="P713" s="9">
        <f t="shared" si="446"/>
        <v>95828479.629369736</v>
      </c>
      <c r="Q713" s="31">
        <f t="shared" si="474"/>
        <v>77956191.921787366</v>
      </c>
      <c r="R713" s="31">
        <f t="shared" si="474"/>
        <v>5641359.5891028903</v>
      </c>
      <c r="S713" s="31">
        <f>+S116</f>
        <v>12230928.11847947</v>
      </c>
      <c r="T713" s="31">
        <f t="shared" si="474"/>
        <v>0</v>
      </c>
      <c r="U713" s="31">
        <f t="shared" si="474"/>
        <v>10383538.539936002</v>
      </c>
      <c r="V713" s="31">
        <f t="shared" si="474"/>
        <v>3558449.3750702566</v>
      </c>
      <c r="W713" s="27" t="str">
        <f t="shared" si="465"/>
        <v>OK</v>
      </c>
    </row>
    <row r="714" spans="1:23" x14ac:dyDescent="0.2">
      <c r="A714" s="3">
        <f t="shared" si="449"/>
        <v>46</v>
      </c>
      <c r="B714" s="3" t="s">
        <v>414</v>
      </c>
      <c r="C714" s="3"/>
      <c r="D714" s="3"/>
      <c r="E714" s="3" t="s">
        <v>333</v>
      </c>
      <c r="F714" s="3"/>
      <c r="G714" s="3"/>
      <c r="H714" s="31">
        <f t="shared" si="462"/>
        <v>2301868369.7338309</v>
      </c>
      <c r="I714" s="94">
        <v>0</v>
      </c>
      <c r="J714" s="94">
        <f t="shared" si="447"/>
        <v>2301868369.7338309</v>
      </c>
      <c r="K714" s="31">
        <f t="shared" ref="K714:V714" si="475">+K121+K125</f>
        <v>1338369641.2923756</v>
      </c>
      <c r="L714" s="31">
        <f t="shared" si="475"/>
        <v>46687375.825607598</v>
      </c>
      <c r="M714" s="31">
        <f t="shared" si="461"/>
        <v>704116825.62546134</v>
      </c>
      <c r="N714" s="31">
        <f t="shared" si="475"/>
        <v>94547997.093263716</v>
      </c>
      <c r="O714" s="31">
        <f t="shared" si="475"/>
        <v>609568828.53219759</v>
      </c>
      <c r="P714" s="9">
        <f t="shared" si="446"/>
        <v>179816101.49179041</v>
      </c>
      <c r="Q714" s="31">
        <f t="shared" si="475"/>
        <v>146279880.18527853</v>
      </c>
      <c r="R714" s="31">
        <f t="shared" si="475"/>
        <v>10585655.666761853</v>
      </c>
      <c r="S714" s="31">
        <f>+S121+S125</f>
        <v>22950565.639750019</v>
      </c>
      <c r="T714" s="31">
        <f t="shared" si="475"/>
        <v>0</v>
      </c>
      <c r="U714" s="31">
        <f t="shared" si="475"/>
        <v>26201219.552557807</v>
      </c>
      <c r="V714" s="31">
        <f t="shared" si="475"/>
        <v>6677205.946038234</v>
      </c>
      <c r="W714" s="27" t="str">
        <f t="shared" si="465"/>
        <v>OK</v>
      </c>
    </row>
    <row r="715" spans="1:23" x14ac:dyDescent="0.2">
      <c r="A715" s="3">
        <f t="shared" si="449"/>
        <v>47</v>
      </c>
      <c r="B715" s="3" t="s">
        <v>415</v>
      </c>
      <c r="C715" s="3"/>
      <c r="D715" s="3"/>
      <c r="E715" s="3" t="s">
        <v>421</v>
      </c>
      <c r="F715" s="3"/>
      <c r="G715" s="3"/>
      <c r="H715" s="31">
        <f t="shared" si="462"/>
        <v>624968714.99514675</v>
      </c>
      <c r="I715" s="94">
        <v>0</v>
      </c>
      <c r="J715" s="94">
        <f t="shared" si="447"/>
        <v>624968714.99514675</v>
      </c>
      <c r="K715" s="31">
        <f t="shared" ref="K715:V715" si="476">+K130+K135</f>
        <v>370301672.60715842</v>
      </c>
      <c r="L715" s="31">
        <f t="shared" si="476"/>
        <v>12917517.570980784</v>
      </c>
      <c r="M715" s="31">
        <f t="shared" si="461"/>
        <v>194815864.16453379</v>
      </c>
      <c r="N715" s="31">
        <f t="shared" si="476"/>
        <v>26159650.058622237</v>
      </c>
      <c r="O715" s="31">
        <f t="shared" si="476"/>
        <v>168656214.10591155</v>
      </c>
      <c r="P715" s="9">
        <f t="shared" si="446"/>
        <v>38263420.931551084</v>
      </c>
      <c r="Q715" s="31">
        <f t="shared" si="476"/>
        <v>31127182.621083088</v>
      </c>
      <c r="R715" s="31">
        <f t="shared" si="476"/>
        <v>2252542.4322596621</v>
      </c>
      <c r="S715" s="31">
        <f>+S130+S135</f>
        <v>4883695.8782083327</v>
      </c>
      <c r="T715" s="31">
        <f t="shared" si="476"/>
        <v>0</v>
      </c>
      <c r="U715" s="31">
        <f t="shared" si="476"/>
        <v>7249383.9708517408</v>
      </c>
      <c r="V715" s="31">
        <f t="shared" si="476"/>
        <v>1420855.7500707544</v>
      </c>
      <c r="W715" s="27" t="str">
        <f t="shared" si="465"/>
        <v>OK</v>
      </c>
    </row>
    <row r="716" spans="1:23" x14ac:dyDescent="0.2">
      <c r="A716" s="3">
        <f t="shared" si="449"/>
        <v>48</v>
      </c>
      <c r="B716" s="3" t="s">
        <v>416</v>
      </c>
      <c r="C716" s="3"/>
      <c r="D716" s="3"/>
      <c r="E716" s="3" t="s">
        <v>338</v>
      </c>
      <c r="F716" s="3"/>
      <c r="G716" s="3"/>
      <c r="H716" s="31">
        <f t="shared" si="462"/>
        <v>911592832.01848769</v>
      </c>
      <c r="I716" s="94">
        <v>0</v>
      </c>
      <c r="J716" s="94">
        <f t="shared" si="447"/>
        <v>911592832.01848769</v>
      </c>
      <c r="K716" s="31">
        <f t="shared" ref="K716:V716" si="477">+K139</f>
        <v>570370735.06458843</v>
      </c>
      <c r="L716" s="31">
        <f t="shared" si="477"/>
        <v>19896680.293924268</v>
      </c>
      <c r="M716" s="31">
        <f t="shared" si="461"/>
        <v>300072281.2387861</v>
      </c>
      <c r="N716" s="31">
        <f t="shared" si="477"/>
        <v>40293360.621132471</v>
      </c>
      <c r="O716" s="31">
        <f t="shared" si="477"/>
        <v>259778920.61765364</v>
      </c>
      <c r="P716" s="9">
        <f t="shared" si="446"/>
        <v>9725850.6965656988</v>
      </c>
      <c r="Q716" s="31">
        <f t="shared" si="477"/>
        <v>7911951.5037338985</v>
      </c>
      <c r="R716" s="31">
        <f t="shared" si="477"/>
        <v>572554.43581553153</v>
      </c>
      <c r="S716" s="31">
        <f>+S139</f>
        <v>1241344.7570162702</v>
      </c>
      <c r="T716" s="31">
        <f t="shared" si="477"/>
        <v>0</v>
      </c>
      <c r="U716" s="31">
        <f t="shared" si="477"/>
        <v>11166129.59133639</v>
      </c>
      <c r="V716" s="31">
        <f t="shared" si="477"/>
        <v>361155.13328684604</v>
      </c>
      <c r="W716" s="27" t="str">
        <f t="shared" si="465"/>
        <v>OK</v>
      </c>
    </row>
    <row r="717" spans="1:23" x14ac:dyDescent="0.2">
      <c r="A717" s="3">
        <f t="shared" si="449"/>
        <v>49</v>
      </c>
      <c r="B717" s="3" t="s">
        <v>417</v>
      </c>
      <c r="C717" s="3"/>
      <c r="D717" s="3"/>
      <c r="E717" s="3" t="s">
        <v>334</v>
      </c>
      <c r="F717" s="3"/>
      <c r="G717" s="3"/>
      <c r="H717" s="31">
        <f t="shared" si="462"/>
        <v>0</v>
      </c>
      <c r="I717" s="94">
        <v>0</v>
      </c>
      <c r="J717" s="94">
        <f t="shared" si="447"/>
        <v>0</v>
      </c>
      <c r="K717" s="31">
        <f t="shared" ref="K717:R717" si="478">+K142</f>
        <v>0</v>
      </c>
      <c r="L717" s="31">
        <f t="shared" si="478"/>
        <v>0</v>
      </c>
      <c r="M717" s="31">
        <f t="shared" si="461"/>
        <v>0</v>
      </c>
      <c r="N717" s="31">
        <f t="shared" si="478"/>
        <v>0</v>
      </c>
      <c r="O717" s="31">
        <f t="shared" si="478"/>
        <v>0</v>
      </c>
      <c r="P717" s="9">
        <f t="shared" si="446"/>
        <v>0</v>
      </c>
      <c r="Q717" s="31">
        <f t="shared" si="478"/>
        <v>0</v>
      </c>
      <c r="R717" s="31">
        <f t="shared" si="478"/>
        <v>0</v>
      </c>
      <c r="S717" s="31">
        <f t="shared" ref="S717:V718" si="479">+S142</f>
        <v>0</v>
      </c>
      <c r="T717" s="31">
        <f t="shared" si="479"/>
        <v>0</v>
      </c>
      <c r="U717" s="31">
        <f t="shared" si="479"/>
        <v>0</v>
      </c>
      <c r="V717" s="31">
        <f t="shared" si="479"/>
        <v>0</v>
      </c>
      <c r="W717" s="27" t="str">
        <f t="shared" si="465"/>
        <v>OK</v>
      </c>
    </row>
    <row r="718" spans="1:23" x14ac:dyDescent="0.2">
      <c r="A718" s="3">
        <f t="shared" si="449"/>
        <v>50</v>
      </c>
      <c r="B718" s="3" t="s">
        <v>418</v>
      </c>
      <c r="C718" s="3"/>
      <c r="D718" s="3"/>
      <c r="E718" s="3" t="s">
        <v>336</v>
      </c>
      <c r="F718" s="3"/>
      <c r="G718" s="3"/>
      <c r="H718" s="31">
        <f t="shared" si="462"/>
        <v>74059352.817488492</v>
      </c>
      <c r="I718" s="94">
        <v>0</v>
      </c>
      <c r="J718" s="94">
        <f t="shared" si="447"/>
        <v>74059352.817488492</v>
      </c>
      <c r="K718" s="31">
        <f t="shared" ref="K718:R718" si="480">+K143</f>
        <v>0</v>
      </c>
      <c r="L718" s="31">
        <f t="shared" si="480"/>
        <v>0</v>
      </c>
      <c r="M718" s="31">
        <f t="shared" si="461"/>
        <v>0</v>
      </c>
      <c r="N718" s="31">
        <f t="shared" si="480"/>
        <v>0</v>
      </c>
      <c r="O718" s="31">
        <f t="shared" si="480"/>
        <v>0</v>
      </c>
      <c r="P718" s="9">
        <f t="shared" si="446"/>
        <v>0</v>
      </c>
      <c r="Q718" s="31">
        <f t="shared" si="480"/>
        <v>0</v>
      </c>
      <c r="R718" s="31">
        <f t="shared" si="480"/>
        <v>0</v>
      </c>
      <c r="S718" s="31">
        <f t="shared" si="479"/>
        <v>0</v>
      </c>
      <c r="T718" s="31">
        <f t="shared" si="479"/>
        <v>0</v>
      </c>
      <c r="U718" s="31">
        <f t="shared" si="479"/>
        <v>74059352.817488492</v>
      </c>
      <c r="V718" s="31">
        <f t="shared" si="479"/>
        <v>0</v>
      </c>
      <c r="W718" s="27" t="str">
        <f t="shared" si="465"/>
        <v>OK</v>
      </c>
    </row>
    <row r="719" spans="1:23" x14ac:dyDescent="0.2">
      <c r="A719" s="3">
        <f t="shared" si="449"/>
        <v>51</v>
      </c>
      <c r="B719" s="3" t="s">
        <v>419</v>
      </c>
      <c r="C719" s="3"/>
      <c r="D719" s="3"/>
      <c r="E719" s="3" t="s">
        <v>335</v>
      </c>
      <c r="F719" s="3"/>
      <c r="G719" s="3"/>
      <c r="H719" s="31">
        <f t="shared" si="462"/>
        <v>139927776.80823046</v>
      </c>
      <c r="I719" s="94">
        <v>0</v>
      </c>
      <c r="J719" s="94">
        <f t="shared" si="447"/>
        <v>139927776.80823046</v>
      </c>
      <c r="K719" s="31">
        <f t="shared" ref="K719:R719" si="481">+K145</f>
        <v>0</v>
      </c>
      <c r="L719" s="31">
        <f t="shared" si="481"/>
        <v>0</v>
      </c>
      <c r="M719" s="31">
        <f t="shared" si="461"/>
        <v>0</v>
      </c>
      <c r="N719" s="31">
        <f t="shared" si="481"/>
        <v>0</v>
      </c>
      <c r="O719" s="31">
        <f t="shared" si="481"/>
        <v>0</v>
      </c>
      <c r="P719" s="9">
        <f t="shared" si="446"/>
        <v>0</v>
      </c>
      <c r="Q719" s="31">
        <f t="shared" si="481"/>
        <v>0</v>
      </c>
      <c r="R719" s="31">
        <f t="shared" si="481"/>
        <v>0</v>
      </c>
      <c r="S719" s="31">
        <f>+S145</f>
        <v>0</v>
      </c>
      <c r="T719" s="31">
        <f>+T145</f>
        <v>0</v>
      </c>
      <c r="U719" s="31">
        <f>+U145</f>
        <v>139927776.80823046</v>
      </c>
      <c r="V719" s="31">
        <f>+V145</f>
        <v>0</v>
      </c>
      <c r="W719" s="27" t="str">
        <f t="shared" si="465"/>
        <v>OK</v>
      </c>
    </row>
    <row r="720" spans="1:23" x14ac:dyDescent="0.2">
      <c r="A720" s="3">
        <f t="shared" si="449"/>
        <v>52</v>
      </c>
      <c r="B720" s="3" t="s">
        <v>401</v>
      </c>
      <c r="C720" s="3"/>
      <c r="D720" s="3"/>
      <c r="E720" s="3" t="s">
        <v>312</v>
      </c>
      <c r="F720" s="3"/>
      <c r="G720" s="3"/>
      <c r="H720" s="31">
        <f t="shared" si="462"/>
        <v>4117863426.665699</v>
      </c>
      <c r="I720" s="94">
        <v>0</v>
      </c>
      <c r="J720" s="94">
        <f t="shared" si="447"/>
        <v>4117863426.665699</v>
      </c>
      <c r="K720" s="94">
        <f t="shared" ref="K720:V720" si="482">+K308</f>
        <v>2382800423.3108196</v>
      </c>
      <c r="L720" s="94">
        <f t="shared" si="482"/>
        <v>92202132.07032451</v>
      </c>
      <c r="M720" s="17">
        <f t="shared" si="461"/>
        <v>1199828836.9994137</v>
      </c>
      <c r="N720" s="94">
        <f t="shared" si="482"/>
        <v>158710523.06037372</v>
      </c>
      <c r="O720" s="94">
        <f t="shared" si="482"/>
        <v>1041118313.9390399</v>
      </c>
      <c r="P720" s="9">
        <f t="shared" si="446"/>
        <v>270438088.45460773</v>
      </c>
      <c r="Q720" s="94">
        <f t="shared" si="482"/>
        <v>220000122.76387754</v>
      </c>
      <c r="R720" s="94">
        <f t="shared" si="482"/>
        <v>15920554.165477725</v>
      </c>
      <c r="S720" s="94">
        <f>+S308</f>
        <v>34517411.525252469</v>
      </c>
      <c r="T720" s="94">
        <f t="shared" si="482"/>
        <v>1609.1749737636198</v>
      </c>
      <c r="U720" s="94">
        <f t="shared" si="482"/>
        <v>162550262.17138764</v>
      </c>
      <c r="V720" s="94">
        <f t="shared" si="482"/>
        <v>10042074.48417134</v>
      </c>
      <c r="W720" s="27" t="str">
        <f t="shared" si="465"/>
        <v>OK</v>
      </c>
    </row>
    <row r="721" spans="1:23" x14ac:dyDescent="0.2">
      <c r="A721" s="3">
        <f t="shared" si="449"/>
        <v>53</v>
      </c>
      <c r="B721" s="3" t="s">
        <v>570</v>
      </c>
      <c r="C721" s="3"/>
      <c r="D721" s="3" t="s">
        <v>615</v>
      </c>
      <c r="E721" s="3" t="s">
        <v>324</v>
      </c>
      <c r="F721" s="3"/>
      <c r="G721" s="3"/>
      <c r="H721" s="31">
        <f t="shared" si="462"/>
        <v>505557424.04040056</v>
      </c>
      <c r="I721" s="94">
        <v>0</v>
      </c>
      <c r="J721" s="94">
        <f t="shared" si="447"/>
        <v>505557424.04040056</v>
      </c>
      <c r="K721" s="31">
        <f>+K39</f>
        <v>274280246.75195694</v>
      </c>
      <c r="L721" s="31">
        <f t="shared" ref="L721:U721" si="483">+L39</f>
        <v>14156857.073246393</v>
      </c>
      <c r="M721" s="17">
        <f t="shared" si="461"/>
        <v>153089024.09332699</v>
      </c>
      <c r="N721" s="31">
        <f t="shared" si="483"/>
        <v>17640817.432595063</v>
      </c>
      <c r="O721" s="31">
        <f t="shared" si="483"/>
        <v>135448206.66073191</v>
      </c>
      <c r="P721" s="9">
        <f t="shared" si="446"/>
        <v>34155357.463968903</v>
      </c>
      <c r="Q721" s="31">
        <f t="shared" si="483"/>
        <v>25236654.615626764</v>
      </c>
      <c r="R721" s="31">
        <f t="shared" si="483"/>
        <v>2304334.5364451767</v>
      </c>
      <c r="S721" s="31">
        <f>+S39</f>
        <v>6614368.3118969649</v>
      </c>
      <c r="T721" s="31">
        <f t="shared" si="483"/>
        <v>8293460.5320387157</v>
      </c>
      <c r="U721" s="31">
        <f t="shared" si="483"/>
        <v>21582477.125862662</v>
      </c>
      <c r="V721" s="31">
        <f>+V39</f>
        <v>1</v>
      </c>
      <c r="W721" s="27" t="str">
        <f t="shared" si="465"/>
        <v>OK</v>
      </c>
    </row>
    <row r="722" spans="1:23" x14ac:dyDescent="0.2">
      <c r="A722" s="3">
        <f t="shared" si="449"/>
        <v>54</v>
      </c>
      <c r="B722" s="3" t="s">
        <v>354</v>
      </c>
      <c r="C722" s="3"/>
      <c r="D722" s="3" t="s">
        <v>615</v>
      </c>
      <c r="E722" s="3" t="s">
        <v>395</v>
      </c>
      <c r="F722" s="3"/>
      <c r="G722" s="3"/>
      <c r="H722" s="31">
        <f>SUM(I722:J722)</f>
        <v>505557424.04040056</v>
      </c>
      <c r="I722" s="94">
        <v>0</v>
      </c>
      <c r="J722" s="94">
        <f t="shared" si="447"/>
        <v>505557424.04040056</v>
      </c>
      <c r="K722" s="31">
        <f>+K$39</f>
        <v>274280246.75195694</v>
      </c>
      <c r="L722" s="31">
        <f t="shared" ref="L722:V722" si="484">+L$39</f>
        <v>14156857.073246393</v>
      </c>
      <c r="M722" s="17">
        <f t="shared" si="461"/>
        <v>153089024.09332699</v>
      </c>
      <c r="N722" s="31">
        <f t="shared" si="484"/>
        <v>17640817.432595063</v>
      </c>
      <c r="O722" s="31">
        <f t="shared" si="484"/>
        <v>135448206.66073191</v>
      </c>
      <c r="P722" s="9">
        <f t="shared" si="446"/>
        <v>34155357.463968903</v>
      </c>
      <c r="Q722" s="31">
        <f t="shared" si="484"/>
        <v>25236654.615626764</v>
      </c>
      <c r="R722" s="31">
        <f t="shared" si="484"/>
        <v>2304334.5364451767</v>
      </c>
      <c r="S722" s="31">
        <f t="shared" si="484"/>
        <v>6614368.3118969649</v>
      </c>
      <c r="T722" s="31">
        <f t="shared" si="484"/>
        <v>8293460.5320387157</v>
      </c>
      <c r="U722" s="31">
        <f t="shared" si="484"/>
        <v>21582477.125862662</v>
      </c>
      <c r="V722" s="31">
        <f t="shared" si="484"/>
        <v>1</v>
      </c>
      <c r="W722" s="27" t="str">
        <f t="shared" si="465"/>
        <v>OK</v>
      </c>
    </row>
    <row r="723" spans="1:23" x14ac:dyDescent="0.2">
      <c r="A723" s="3">
        <f t="shared" si="449"/>
        <v>55</v>
      </c>
      <c r="B723" s="18" t="s">
        <v>355</v>
      </c>
      <c r="C723" s="18"/>
      <c r="D723" s="3"/>
      <c r="E723" s="3" t="s">
        <v>396</v>
      </c>
      <c r="F723" s="3"/>
      <c r="G723" s="3"/>
      <c r="H723" s="31">
        <f>SUM(I723:J723)</f>
        <v>0</v>
      </c>
      <c r="I723" s="94">
        <v>0</v>
      </c>
      <c r="J723" s="94">
        <f t="shared" si="447"/>
        <v>0</v>
      </c>
      <c r="K723" s="31">
        <v>0</v>
      </c>
      <c r="L723" s="31">
        <v>0</v>
      </c>
      <c r="M723" s="17">
        <f t="shared" si="461"/>
        <v>0</v>
      </c>
      <c r="N723" s="31">
        <v>0</v>
      </c>
      <c r="O723" s="31">
        <v>0</v>
      </c>
      <c r="P723" s="9">
        <f t="shared" si="446"/>
        <v>0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27" t="str">
        <f t="shared" si="465"/>
        <v>OK</v>
      </c>
    </row>
    <row r="724" spans="1:23" x14ac:dyDescent="0.2">
      <c r="A724" s="3">
        <f t="shared" si="449"/>
        <v>56</v>
      </c>
      <c r="B724" s="3" t="s">
        <v>351</v>
      </c>
      <c r="C724" s="3"/>
      <c r="D724" s="3"/>
      <c r="E724" s="3" t="s">
        <v>323</v>
      </c>
      <c r="F724" s="3"/>
      <c r="G724" s="3"/>
      <c r="H724" s="31">
        <f>SUM(I724:J724)</f>
        <v>43589126.614235096</v>
      </c>
      <c r="I724" s="94">
        <v>0</v>
      </c>
      <c r="J724" s="94">
        <f t="shared" si="447"/>
        <v>43589126.614235096</v>
      </c>
      <c r="K724" s="31">
        <f>K525</f>
        <v>25049964.956723634</v>
      </c>
      <c r="L724" s="31">
        <f>L$525</f>
        <v>926457.53345263237</v>
      </c>
      <c r="M724" s="31">
        <f t="shared" si="461"/>
        <v>12868237.578185307</v>
      </c>
      <c r="N724" s="31">
        <f t="shared" ref="N724:V724" si="485">N525</f>
        <v>1713974.1239396441</v>
      </c>
      <c r="O724" s="31">
        <f t="shared" si="485"/>
        <v>11154263.454245662</v>
      </c>
      <c r="P724" s="9">
        <f t="shared" si="446"/>
        <v>3393645.3306901804</v>
      </c>
      <c r="Q724" s="31">
        <f t="shared" si="485"/>
        <v>2760648.5171648054</v>
      </c>
      <c r="R724" s="31">
        <f t="shared" si="485"/>
        <v>199789.98481663709</v>
      </c>
      <c r="S724" s="31">
        <f>S525</f>
        <v>433206.82870873815</v>
      </c>
      <c r="T724" s="31">
        <f t="shared" si="485"/>
        <v>234.86709074891291</v>
      </c>
      <c r="U724" s="31">
        <f t="shared" si="485"/>
        <v>1224604.2476348139</v>
      </c>
      <c r="V724" s="31">
        <f t="shared" si="485"/>
        <v>125982.10045777667</v>
      </c>
      <c r="W724" s="27" t="str">
        <f t="shared" si="465"/>
        <v>OK</v>
      </c>
    </row>
    <row r="725" spans="1:23" x14ac:dyDescent="0.2">
      <c r="A725" s="3">
        <f t="shared" si="449"/>
        <v>57</v>
      </c>
      <c r="B725" s="3" t="s">
        <v>357</v>
      </c>
      <c r="C725" s="3"/>
      <c r="D725" s="3"/>
      <c r="E725" s="3" t="s">
        <v>394</v>
      </c>
      <c r="F725" s="3"/>
      <c r="G725" s="3"/>
      <c r="H725" s="31">
        <f>SUM(I725:J725)</f>
        <v>43589126.614235096</v>
      </c>
      <c r="I725" s="94">
        <v>0</v>
      </c>
      <c r="J725" s="94">
        <f t="shared" si="447"/>
        <v>43589126.614235096</v>
      </c>
      <c r="K725" s="31">
        <f t="shared" ref="K725:V725" si="486">K525</f>
        <v>25049964.956723634</v>
      </c>
      <c r="L725" s="31">
        <f t="shared" si="486"/>
        <v>926457.53345263237</v>
      </c>
      <c r="M725" s="31">
        <f t="shared" si="461"/>
        <v>12868237.578185307</v>
      </c>
      <c r="N725" s="31">
        <f t="shared" si="486"/>
        <v>1713974.1239396441</v>
      </c>
      <c r="O725" s="31">
        <f t="shared" si="486"/>
        <v>11154263.454245662</v>
      </c>
      <c r="P725" s="9">
        <f t="shared" si="446"/>
        <v>3393645.3306901804</v>
      </c>
      <c r="Q725" s="31">
        <f t="shared" si="486"/>
        <v>2760648.5171648054</v>
      </c>
      <c r="R725" s="31">
        <f t="shared" si="486"/>
        <v>199789.98481663709</v>
      </c>
      <c r="S725" s="31">
        <f>S525</f>
        <v>433206.82870873815</v>
      </c>
      <c r="T725" s="31">
        <f t="shared" si="486"/>
        <v>234.86709074891291</v>
      </c>
      <c r="U725" s="31">
        <f t="shared" si="486"/>
        <v>1224604.2476348139</v>
      </c>
      <c r="V725" s="31">
        <f t="shared" si="486"/>
        <v>125982.10045777667</v>
      </c>
      <c r="W725" s="27" t="str">
        <f t="shared" si="465"/>
        <v>OK</v>
      </c>
    </row>
    <row r="726" spans="1:23" x14ac:dyDescent="0.2">
      <c r="A726" s="3">
        <f t="shared" si="449"/>
        <v>58</v>
      </c>
      <c r="B726" s="3" t="s">
        <v>402</v>
      </c>
      <c r="C726" s="3"/>
      <c r="D726" s="3"/>
      <c r="E726" s="3" t="s">
        <v>422</v>
      </c>
      <c r="F726" s="3"/>
      <c r="G726" s="3"/>
      <c r="H726" s="31">
        <f t="shared" ref="H726:H738" si="487">SUM(I726:J726)</f>
        <v>-1.7399999859044326</v>
      </c>
      <c r="I726" s="94">
        <v>0</v>
      </c>
      <c r="J726" s="94">
        <f t="shared" si="447"/>
        <v>-1.7399999859044326</v>
      </c>
      <c r="K726" s="31">
        <f>SUM(K327:K333)-K332</f>
        <v>-0.84349186062754056</v>
      </c>
      <c r="L726" s="31">
        <f>SUM(L327:L333)-L332</f>
        <v>-3.3362650313717351E-2</v>
      </c>
      <c r="M726" s="31">
        <f t="shared" si="461"/>
        <v>-0.4967924686764088</v>
      </c>
      <c r="N726" s="31">
        <f>SUM(N327:N333)-N332</f>
        <v>-4.9970627106929295E-2</v>
      </c>
      <c r="O726" s="31">
        <f>SUM(O327:O333)-O332</f>
        <v>-0.44682184156947952</v>
      </c>
      <c r="P726" s="9">
        <f t="shared" si="446"/>
        <v>-0.14075210830452201</v>
      </c>
      <c r="Q726" s="31">
        <f t="shared" ref="Q726:V726" si="488">SUM(Q327:Q333)-Q332</f>
        <v>-0.11019570766886244</v>
      </c>
      <c r="R726" s="31">
        <f t="shared" si="488"/>
        <v>-9.0176328380997452E-3</v>
      </c>
      <c r="S726" s="31">
        <f t="shared" si="488"/>
        <v>-2.1538767797559821E-2</v>
      </c>
      <c r="T726" s="31">
        <f t="shared" si="488"/>
        <v>-0.22560089871475295</v>
      </c>
      <c r="U726" s="31">
        <f t="shared" si="488"/>
        <v>7.0011691351187413E-10</v>
      </c>
      <c r="V726" s="31">
        <f t="shared" si="488"/>
        <v>3.2392066617499311E-11</v>
      </c>
      <c r="W726" s="27" t="str">
        <f t="shared" si="465"/>
        <v>OK</v>
      </c>
    </row>
    <row r="727" spans="1:23" x14ac:dyDescent="0.2">
      <c r="A727" s="3">
        <f t="shared" si="449"/>
        <v>59</v>
      </c>
      <c r="B727" s="3" t="s">
        <v>403</v>
      </c>
      <c r="C727" s="3"/>
      <c r="D727" s="3"/>
      <c r="E727" s="3" t="s">
        <v>423</v>
      </c>
      <c r="F727" s="3"/>
      <c r="G727" s="3"/>
      <c r="H727" s="31">
        <f t="shared" si="487"/>
        <v>0</v>
      </c>
      <c r="I727" s="94">
        <v>0</v>
      </c>
      <c r="J727" s="94">
        <f t="shared" si="447"/>
        <v>0</v>
      </c>
      <c r="K727" s="31">
        <f t="shared" ref="K727:V727" si="489">SUM(K458:K462)</f>
        <v>0</v>
      </c>
      <c r="L727" s="31">
        <f t="shared" si="489"/>
        <v>0</v>
      </c>
      <c r="M727" s="31">
        <f t="shared" si="461"/>
        <v>0</v>
      </c>
      <c r="N727" s="31">
        <f t="shared" si="489"/>
        <v>0</v>
      </c>
      <c r="O727" s="31">
        <f t="shared" si="489"/>
        <v>0</v>
      </c>
      <c r="P727" s="9">
        <f t="shared" si="446"/>
        <v>0</v>
      </c>
      <c r="Q727" s="31">
        <f t="shared" si="489"/>
        <v>0</v>
      </c>
      <c r="R727" s="31">
        <f t="shared" si="489"/>
        <v>0</v>
      </c>
      <c r="S727" s="31">
        <f>SUM(S458:S462)</f>
        <v>0</v>
      </c>
      <c r="T727" s="31">
        <f t="shared" si="489"/>
        <v>0</v>
      </c>
      <c r="U727" s="31">
        <f t="shared" si="489"/>
        <v>0</v>
      </c>
      <c r="V727" s="31">
        <f t="shared" si="489"/>
        <v>0</v>
      </c>
      <c r="W727" s="27" t="str">
        <f t="shared" si="465"/>
        <v>OK</v>
      </c>
    </row>
    <row r="728" spans="1:23" x14ac:dyDescent="0.2">
      <c r="A728" s="3">
        <f t="shared" si="449"/>
        <v>60</v>
      </c>
      <c r="B728" s="3" t="s">
        <v>404</v>
      </c>
      <c r="C728" s="3"/>
      <c r="D728" s="3"/>
      <c r="E728" s="3" t="s">
        <v>360</v>
      </c>
      <c r="F728" s="3"/>
      <c r="G728" s="3"/>
      <c r="H728" s="31">
        <f t="shared" si="487"/>
        <v>14571336.529548448</v>
      </c>
      <c r="I728" s="94">
        <v>0</v>
      </c>
      <c r="J728" s="94">
        <f t="shared" si="447"/>
        <v>14571336.529548448</v>
      </c>
      <c r="K728" s="31">
        <f t="shared" ref="K728:V728" si="490">SUM(K471:K478)</f>
        <v>8399878.8463756237</v>
      </c>
      <c r="L728" s="31">
        <f t="shared" si="490"/>
        <v>335413.60062546353</v>
      </c>
      <c r="M728" s="31">
        <f t="shared" si="461"/>
        <v>4168153.6612913506</v>
      </c>
      <c r="N728" s="31">
        <f t="shared" si="490"/>
        <v>548488.30386747222</v>
      </c>
      <c r="O728" s="31">
        <f t="shared" si="490"/>
        <v>3619665.3574238783</v>
      </c>
      <c r="P728" s="9">
        <f t="shared" si="446"/>
        <v>1033588.3453657029</v>
      </c>
      <c r="Q728" s="31">
        <f t="shared" si="490"/>
        <v>840821.13930102147</v>
      </c>
      <c r="R728" s="31">
        <f t="shared" si="490"/>
        <v>60846.666313244408</v>
      </c>
      <c r="S728" s="31">
        <f>SUM(S471:S478)</f>
        <v>131920.53975143706</v>
      </c>
      <c r="T728" s="31">
        <f t="shared" si="490"/>
        <v>0</v>
      </c>
      <c r="U728" s="31">
        <f t="shared" si="490"/>
        <v>595921.29581457528</v>
      </c>
      <c r="V728" s="31">
        <f t="shared" si="490"/>
        <v>38380.780075730785</v>
      </c>
      <c r="W728" s="27" t="str">
        <f t="shared" si="465"/>
        <v>OK</v>
      </c>
    </row>
    <row r="729" spans="1:23" x14ac:dyDescent="0.2">
      <c r="A729" s="3">
        <f t="shared" si="449"/>
        <v>61</v>
      </c>
      <c r="B729" s="3" t="s">
        <v>405</v>
      </c>
      <c r="C729" s="3"/>
      <c r="D729" s="3"/>
      <c r="E729" s="3" t="s">
        <v>424</v>
      </c>
      <c r="F729" s="3"/>
      <c r="G729" s="3"/>
      <c r="H729" s="31">
        <f t="shared" si="487"/>
        <v>25514199.705768872</v>
      </c>
      <c r="I729" s="94">
        <v>0</v>
      </c>
      <c r="J729" s="94">
        <f t="shared" si="447"/>
        <v>25514199.705768872</v>
      </c>
      <c r="K729" s="31">
        <f t="shared" ref="K729:V729" si="491">SUM(K483:K490)</f>
        <v>14631237.235896317</v>
      </c>
      <c r="L729" s="31">
        <f t="shared" si="491"/>
        <v>510689.07348078681</v>
      </c>
      <c r="M729" s="31">
        <f t="shared" si="461"/>
        <v>7695745.0016261581</v>
      </c>
      <c r="N729" s="31">
        <f t="shared" si="491"/>
        <v>1033297.4344356618</v>
      </c>
      <c r="O729" s="31">
        <f t="shared" si="491"/>
        <v>6662447.5671904963</v>
      </c>
      <c r="P729" s="9">
        <f t="shared" si="446"/>
        <v>2110155.5016160784</v>
      </c>
      <c r="Q729" s="31">
        <f t="shared" si="491"/>
        <v>1716605.4173563479</v>
      </c>
      <c r="R729" s="31">
        <f t="shared" si="491"/>
        <v>124223.46696494677</v>
      </c>
      <c r="S729" s="31">
        <f>SUM(S483:S490)</f>
        <v>269326.61729478382</v>
      </c>
      <c r="T729" s="31">
        <f t="shared" si="491"/>
        <v>0</v>
      </c>
      <c r="U729" s="31">
        <f t="shared" si="491"/>
        <v>488015.37819083972</v>
      </c>
      <c r="V729" s="31">
        <f t="shared" si="491"/>
        <v>78357.514958689368</v>
      </c>
      <c r="W729" s="27" t="str">
        <f t="shared" si="465"/>
        <v>OK</v>
      </c>
    </row>
    <row r="730" spans="1:23" ht="12.95" customHeight="1" x14ac:dyDescent="0.2">
      <c r="A730" s="3">
        <f t="shared" si="449"/>
        <v>62</v>
      </c>
      <c r="B730" s="3" t="s">
        <v>406</v>
      </c>
      <c r="C730" s="3"/>
      <c r="D730" s="3"/>
      <c r="E730" s="3" t="s">
        <v>339</v>
      </c>
      <c r="F730" s="3"/>
      <c r="G730" s="3"/>
      <c r="H730" s="31">
        <f t="shared" si="487"/>
        <v>0</v>
      </c>
      <c r="I730" s="94">
        <v>0</v>
      </c>
      <c r="J730" s="94">
        <f t="shared" si="447"/>
        <v>0</v>
      </c>
      <c r="K730" s="31">
        <f t="shared" ref="K730:V730" si="492">SUM(K501:K503)</f>
        <v>0</v>
      </c>
      <c r="L730" s="31">
        <f t="shared" si="492"/>
        <v>0</v>
      </c>
      <c r="M730" s="31">
        <f t="shared" si="461"/>
        <v>0</v>
      </c>
      <c r="N730" s="31">
        <f t="shared" si="492"/>
        <v>0</v>
      </c>
      <c r="O730" s="31">
        <f t="shared" si="492"/>
        <v>0</v>
      </c>
      <c r="P730" s="9">
        <f t="shared" si="446"/>
        <v>0</v>
      </c>
      <c r="Q730" s="31">
        <f t="shared" si="492"/>
        <v>0</v>
      </c>
      <c r="R730" s="31">
        <f t="shared" si="492"/>
        <v>0</v>
      </c>
      <c r="S730" s="31">
        <f t="shared" si="492"/>
        <v>0</v>
      </c>
      <c r="T730" s="31">
        <f t="shared" si="492"/>
        <v>0</v>
      </c>
      <c r="U730" s="31">
        <f t="shared" si="492"/>
        <v>0</v>
      </c>
      <c r="V730" s="31">
        <f t="shared" si="492"/>
        <v>0</v>
      </c>
      <c r="W730" s="27" t="str">
        <f t="shared" si="465"/>
        <v>OK</v>
      </c>
    </row>
    <row r="731" spans="1:23" ht="12.95" customHeight="1" x14ac:dyDescent="0.2">
      <c r="A731" s="3">
        <f t="shared" si="449"/>
        <v>63</v>
      </c>
      <c r="B731" s="3" t="s">
        <v>407</v>
      </c>
      <c r="C731" s="3"/>
      <c r="D731" s="3"/>
      <c r="E731" s="3" t="s">
        <v>425</v>
      </c>
      <c r="F731" s="3"/>
      <c r="G731" s="3"/>
      <c r="H731" s="31">
        <f t="shared" si="487"/>
        <v>0</v>
      </c>
      <c r="I731" s="94">
        <v>0</v>
      </c>
      <c r="J731" s="94">
        <f t="shared" si="447"/>
        <v>0</v>
      </c>
      <c r="K731" s="31">
        <f t="shared" ref="K731:V731" si="493">SUM(K511:K513)</f>
        <v>0</v>
      </c>
      <c r="L731" s="31">
        <f t="shared" si="493"/>
        <v>0</v>
      </c>
      <c r="M731" s="31">
        <f t="shared" si="461"/>
        <v>0</v>
      </c>
      <c r="N731" s="31">
        <f t="shared" si="493"/>
        <v>0</v>
      </c>
      <c r="O731" s="31">
        <f t="shared" si="493"/>
        <v>0</v>
      </c>
      <c r="P731" s="9">
        <f t="shared" si="446"/>
        <v>0</v>
      </c>
      <c r="Q731" s="31">
        <f t="shared" si="493"/>
        <v>0</v>
      </c>
      <c r="R731" s="31">
        <f t="shared" si="493"/>
        <v>0</v>
      </c>
      <c r="S731" s="31">
        <f>SUM(S511:S513)</f>
        <v>0</v>
      </c>
      <c r="T731" s="31">
        <f t="shared" si="493"/>
        <v>0</v>
      </c>
      <c r="U731" s="31">
        <f t="shared" si="493"/>
        <v>0</v>
      </c>
      <c r="V731" s="31">
        <f t="shared" si="493"/>
        <v>0</v>
      </c>
      <c r="W731" s="27" t="str">
        <f t="shared" si="465"/>
        <v>OK</v>
      </c>
    </row>
    <row r="732" spans="1:23" ht="12.95" customHeight="1" x14ac:dyDescent="0.2">
      <c r="A732" s="3">
        <f t="shared" si="449"/>
        <v>64</v>
      </c>
      <c r="B732" s="3" t="s">
        <v>408</v>
      </c>
      <c r="C732" s="3"/>
      <c r="D732" s="3"/>
      <c r="E732" s="3" t="s">
        <v>426</v>
      </c>
      <c r="F732" s="3"/>
      <c r="G732" s="3"/>
      <c r="H732" s="31">
        <f t="shared" si="487"/>
        <v>0</v>
      </c>
      <c r="I732" s="94">
        <v>0</v>
      </c>
      <c r="J732" s="94">
        <f t="shared" si="447"/>
        <v>0</v>
      </c>
      <c r="K732" s="31">
        <f t="shared" ref="K732:V732" si="494">SUM(K518:K520)</f>
        <v>0</v>
      </c>
      <c r="L732" s="31">
        <f t="shared" si="494"/>
        <v>0</v>
      </c>
      <c r="M732" s="31">
        <f t="shared" si="461"/>
        <v>0</v>
      </c>
      <c r="N732" s="31">
        <f t="shared" si="494"/>
        <v>0</v>
      </c>
      <c r="O732" s="31">
        <f t="shared" si="494"/>
        <v>0</v>
      </c>
      <c r="P732" s="9">
        <f t="shared" si="446"/>
        <v>0</v>
      </c>
      <c r="Q732" s="31">
        <f t="shared" si="494"/>
        <v>0</v>
      </c>
      <c r="R732" s="31">
        <f t="shared" si="494"/>
        <v>0</v>
      </c>
      <c r="S732" s="31">
        <f>SUM(S518:S520)</f>
        <v>0</v>
      </c>
      <c r="T732" s="31">
        <f t="shared" si="494"/>
        <v>0</v>
      </c>
      <c r="U732" s="31">
        <f t="shared" si="494"/>
        <v>0</v>
      </c>
      <c r="V732" s="31">
        <f t="shared" si="494"/>
        <v>0</v>
      </c>
      <c r="W732" s="27" t="str">
        <f t="shared" si="465"/>
        <v>OK</v>
      </c>
    </row>
    <row r="733" spans="1:23" ht="12.95" customHeight="1" x14ac:dyDescent="0.2">
      <c r="A733" s="3">
        <f t="shared" si="449"/>
        <v>65</v>
      </c>
      <c r="B733" s="3" t="s">
        <v>433</v>
      </c>
      <c r="C733" s="3"/>
      <c r="D733" s="3"/>
      <c r="E733" s="3" t="s">
        <v>434</v>
      </c>
      <c r="F733" s="3"/>
      <c r="G733" s="3"/>
      <c r="H733" s="31">
        <f t="shared" si="487"/>
        <v>1329631</v>
      </c>
      <c r="I733" s="94">
        <v>0</v>
      </c>
      <c r="J733" s="94">
        <f t="shared" si="447"/>
        <v>1329631</v>
      </c>
      <c r="K733" s="31">
        <f t="shared" ref="K733:V733" si="495">+K676</f>
        <v>935238</v>
      </c>
      <c r="L733" s="31">
        <f t="shared" si="495"/>
        <v>99366</v>
      </c>
      <c r="M733" s="31">
        <f t="shared" si="461"/>
        <v>72409</v>
      </c>
      <c r="N733" s="31">
        <f t="shared" si="495"/>
        <v>576</v>
      </c>
      <c r="O733" s="31">
        <f t="shared" si="495"/>
        <v>71833</v>
      </c>
      <c r="P733" s="9">
        <f t="shared" si="446"/>
        <v>1086</v>
      </c>
      <c r="Q733" s="31">
        <f t="shared" si="495"/>
        <v>469</v>
      </c>
      <c r="R733" s="31">
        <f t="shared" si="495"/>
        <v>550</v>
      </c>
      <c r="S733" s="31">
        <f>+S676</f>
        <v>67</v>
      </c>
      <c r="T733" s="31">
        <f t="shared" si="495"/>
        <v>123</v>
      </c>
      <c r="U733" s="31">
        <f t="shared" si="495"/>
        <v>221390</v>
      </c>
      <c r="V733" s="31">
        <f t="shared" si="495"/>
        <v>19</v>
      </c>
      <c r="W733" s="27" t="str">
        <f t="shared" si="465"/>
        <v>OK</v>
      </c>
    </row>
    <row r="734" spans="1:23" ht="12.95" customHeight="1" x14ac:dyDescent="0.2">
      <c r="A734" s="3">
        <f t="shared" si="449"/>
        <v>66</v>
      </c>
      <c r="B734" s="3" t="s">
        <v>463</v>
      </c>
      <c r="C734" s="3"/>
      <c r="D734" s="3"/>
      <c r="E734" s="3" t="s">
        <v>461</v>
      </c>
      <c r="F734" s="3"/>
      <c r="G734" s="3"/>
      <c r="H734" s="31">
        <f t="shared" si="487"/>
        <v>6726455.2502995022</v>
      </c>
      <c r="I734" s="94">
        <v>0</v>
      </c>
      <c r="J734" s="94">
        <f t="shared" ref="J734:J739" si="496">SUM(K734:M734,P734,T734:V734)</f>
        <v>6726455.2502995022</v>
      </c>
      <c r="K734" s="31">
        <f>K669</f>
        <v>3260753.0515910774</v>
      </c>
      <c r="L734" s="31">
        <f>L669</f>
        <v>128972.63027239306</v>
      </c>
      <c r="M734" s="31">
        <f t="shared" ref="M734:M739" si="497">SUM(N734:O734)</f>
        <v>1920489.8482757821</v>
      </c>
      <c r="N734" s="31">
        <f>N669</f>
        <v>193175.39687988901</v>
      </c>
      <c r="O734" s="31">
        <f>O669</f>
        <v>1727314.451395893</v>
      </c>
      <c r="P734" s="9">
        <f t="shared" ref="P734:P739" si="498">SUM(Q734:S734)</f>
        <v>544116.5308285245</v>
      </c>
      <c r="Q734" s="31">
        <f t="shared" ref="Q734:V734" si="499">Q669</f>
        <v>425992.24200444156</v>
      </c>
      <c r="R734" s="31">
        <f t="shared" si="499"/>
        <v>34860.174762492941</v>
      </c>
      <c r="S734" s="31">
        <f t="shared" si="499"/>
        <v>83264.114061590008</v>
      </c>
      <c r="T734" s="31">
        <f t="shared" si="499"/>
        <v>872123.18933172501</v>
      </c>
      <c r="U734" s="31">
        <f t="shared" si="499"/>
        <v>0</v>
      </c>
      <c r="V734" s="31">
        <f t="shared" si="499"/>
        <v>0</v>
      </c>
      <c r="W734" s="27" t="str">
        <f t="shared" si="465"/>
        <v>OK</v>
      </c>
    </row>
    <row r="735" spans="1:23" ht="12.95" customHeight="1" x14ac:dyDescent="0.2">
      <c r="A735" s="3">
        <f t="shared" si="449"/>
        <v>67</v>
      </c>
      <c r="B735" s="3" t="s">
        <v>575</v>
      </c>
      <c r="C735" s="3"/>
      <c r="D735" s="3"/>
      <c r="E735" s="3" t="s">
        <v>576</v>
      </c>
      <c r="F735" s="3"/>
      <c r="G735" s="3"/>
      <c r="H735" s="31">
        <f>SUM(I735:J735)</f>
        <v>5405175</v>
      </c>
      <c r="I735" s="94">
        <v>0</v>
      </c>
      <c r="J735" s="94">
        <f t="shared" si="496"/>
        <v>5405175</v>
      </c>
      <c r="K735" s="31">
        <f t="shared" ref="K735:V735" si="500">K671</f>
        <v>2576796</v>
      </c>
      <c r="L735" s="31">
        <f t="shared" si="500"/>
        <v>95632</v>
      </c>
      <c r="M735" s="31">
        <f t="shared" si="497"/>
        <v>1558412</v>
      </c>
      <c r="N735" s="31">
        <f t="shared" si="500"/>
        <v>170419</v>
      </c>
      <c r="O735" s="31">
        <f t="shared" si="500"/>
        <v>1387993</v>
      </c>
      <c r="P735" s="9">
        <f t="shared" si="498"/>
        <v>578236</v>
      </c>
      <c r="Q735" s="31">
        <f t="shared" si="500"/>
        <v>535452</v>
      </c>
      <c r="R735" s="31">
        <f t="shared" si="500"/>
        <v>42784</v>
      </c>
      <c r="S735" s="31">
        <f>S671</f>
        <v>0</v>
      </c>
      <c r="T735" s="31">
        <f t="shared" si="500"/>
        <v>596099</v>
      </c>
      <c r="U735" s="31">
        <f t="shared" si="500"/>
        <v>0</v>
      </c>
      <c r="V735" s="31">
        <f t="shared" si="500"/>
        <v>0</v>
      </c>
      <c r="W735" s="27" t="str">
        <f t="shared" si="465"/>
        <v>OK</v>
      </c>
    </row>
    <row r="736" spans="1:23" ht="12.95" customHeight="1" x14ac:dyDescent="0.2">
      <c r="A736" s="3">
        <f t="shared" ref="A736:A739" si="501">1+A735</f>
        <v>68</v>
      </c>
      <c r="B736" s="3" t="s">
        <v>791</v>
      </c>
      <c r="C736" s="3"/>
      <c r="D736" s="3"/>
      <c r="E736" s="3" t="s">
        <v>792</v>
      </c>
      <c r="F736" s="3"/>
      <c r="G736" s="3"/>
      <c r="H736" s="31">
        <f t="shared" si="487"/>
        <v>1085626994.505121</v>
      </c>
      <c r="I736" s="94">
        <v>0</v>
      </c>
      <c r="J736" s="94">
        <f t="shared" si="496"/>
        <v>1085626994.505121</v>
      </c>
      <c r="K736" s="31">
        <f>+K125</f>
        <v>626132151.8292793</v>
      </c>
      <c r="L736" s="31">
        <f>+L125</f>
        <v>21841848.609717488</v>
      </c>
      <c r="M736" s="31">
        <f t="shared" si="497"/>
        <v>329408385.8195948</v>
      </c>
      <c r="N736" s="31">
        <f>+N125</f>
        <v>44232578.986167498</v>
      </c>
      <c r="O736" s="31">
        <f>+O125</f>
        <v>285175806.83342731</v>
      </c>
      <c r="P736" s="9">
        <f t="shared" si="498"/>
        <v>92550126.620032385</v>
      </c>
      <c r="Q736" s="31">
        <f t="shared" ref="Q736:V736" si="502">+Q125</f>
        <v>75289261.199608356</v>
      </c>
      <c r="R736" s="31">
        <f t="shared" si="502"/>
        <v>5448365.1029415829</v>
      </c>
      <c r="S736" s="31">
        <f>+S125</f>
        <v>11812500.31748244</v>
      </c>
      <c r="T736" s="31">
        <f t="shared" si="502"/>
        <v>0</v>
      </c>
      <c r="U736" s="31">
        <f t="shared" si="502"/>
        <v>12257769.059340563</v>
      </c>
      <c r="V736" s="31">
        <f t="shared" si="502"/>
        <v>3436712.567156205</v>
      </c>
      <c r="W736" s="27" t="str">
        <f t="shared" ref="W736:W768" si="503">IF((+K736+L736+M736+P736+T736+U736+V736)-H736=0,"OK",(+K736+L736+M736+P736+T736+U736+V736)-H736)</f>
        <v>OK</v>
      </c>
    </row>
    <row r="737" spans="1:23" ht="12.95" customHeight="1" x14ac:dyDescent="0.2">
      <c r="A737" s="3">
        <f t="shared" si="501"/>
        <v>69</v>
      </c>
      <c r="B737" s="3" t="s">
        <v>477</v>
      </c>
      <c r="C737" s="3"/>
      <c r="D737" s="3"/>
      <c r="E737" s="3" t="s">
        <v>476</v>
      </c>
      <c r="F737" s="3"/>
      <c r="G737" s="3"/>
      <c r="H737" s="31">
        <f t="shared" si="487"/>
        <v>160396763.47701162</v>
      </c>
      <c r="I737" s="94">
        <v>0</v>
      </c>
      <c r="J737" s="94">
        <f t="shared" si="496"/>
        <v>160396763.47701162</v>
      </c>
      <c r="K737" s="31">
        <f>+K429-K332</f>
        <v>92324347.864584744</v>
      </c>
      <c r="L737" s="31">
        <f>+L429-L332</f>
        <v>3443684.4664215827</v>
      </c>
      <c r="M737" s="31">
        <f t="shared" si="497"/>
        <v>47318904.496448204</v>
      </c>
      <c r="N737" s="31">
        <f t="shared" ref="N737:V737" si="504">+N429-N332</f>
        <v>6291750.8535350272</v>
      </c>
      <c r="O737" s="31">
        <f t="shared" si="504"/>
        <v>41027153.642913178</v>
      </c>
      <c r="P737" s="9">
        <f t="shared" si="498"/>
        <v>12124188.671374973</v>
      </c>
      <c r="Q737" s="31">
        <f t="shared" si="504"/>
        <v>9858184.8839909565</v>
      </c>
      <c r="R737" s="31">
        <f t="shared" si="504"/>
        <v>714296.90509397443</v>
      </c>
      <c r="S737" s="31">
        <f t="shared" si="504"/>
        <v>1551706.8822900429</v>
      </c>
      <c r="T737" s="31">
        <f t="shared" si="504"/>
        <v>15644.302828717944</v>
      </c>
      <c r="U737" s="31">
        <f t="shared" si="504"/>
        <v>4722172.2872654237</v>
      </c>
      <c r="V737" s="31">
        <f t="shared" si="504"/>
        <v>447821.38808796508</v>
      </c>
      <c r="W737" s="27" t="str">
        <f t="shared" si="503"/>
        <v>OK</v>
      </c>
    </row>
    <row r="738" spans="1:23" s="132" customFormat="1" ht="12.95" customHeight="1" x14ac:dyDescent="0.2">
      <c r="A738" s="3">
        <f t="shared" si="501"/>
        <v>70</v>
      </c>
      <c r="B738" s="3" t="s">
        <v>639</v>
      </c>
      <c r="C738" s="3"/>
      <c r="D738" s="3"/>
      <c r="E738" s="3" t="s">
        <v>640</v>
      </c>
      <c r="F738" s="3"/>
      <c r="G738" s="3"/>
      <c r="H738" s="31">
        <f t="shared" si="487"/>
        <v>23098223685</v>
      </c>
      <c r="I738" s="94">
        <v>0</v>
      </c>
      <c r="J738" s="94">
        <f t="shared" si="496"/>
        <v>23098223685</v>
      </c>
      <c r="K738" s="31">
        <v>10406963633</v>
      </c>
      <c r="L738" s="31">
        <v>439655775</v>
      </c>
      <c r="M738" s="31">
        <f t="shared" si="497"/>
        <v>7833127601</v>
      </c>
      <c r="N738" s="31">
        <v>1070218509</v>
      </c>
      <c r="O738" s="31">
        <v>6762909092</v>
      </c>
      <c r="P738" s="9">
        <f t="shared" si="498"/>
        <v>2034106675</v>
      </c>
      <c r="Q738" s="31">
        <v>1883007207.3428581</v>
      </c>
      <c r="R738" s="31">
        <v>96679116</v>
      </c>
      <c r="S738" s="31">
        <v>54420351.657141812</v>
      </c>
      <c r="T738" s="31">
        <v>2173288000</v>
      </c>
      <c r="U738" s="31">
        <v>211082001</v>
      </c>
      <c r="V738" s="31">
        <v>0</v>
      </c>
      <c r="W738" s="27" t="str">
        <f t="shared" si="503"/>
        <v>OK</v>
      </c>
    </row>
    <row r="739" spans="1:23" ht="12.95" customHeight="1" x14ac:dyDescent="0.2">
      <c r="A739" s="3">
        <f t="shared" si="501"/>
        <v>71</v>
      </c>
      <c r="B739" s="3" t="s">
        <v>557</v>
      </c>
      <c r="C739" s="3"/>
      <c r="D739" s="3"/>
      <c r="E739" s="3" t="s">
        <v>489</v>
      </c>
      <c r="F739" s="3"/>
      <c r="G739" s="3"/>
      <c r="H739" s="31">
        <f>SUM(I739:J739)</f>
        <v>0</v>
      </c>
      <c r="I739" s="94">
        <v>0</v>
      </c>
      <c r="J739" s="94">
        <f t="shared" si="496"/>
        <v>0</v>
      </c>
      <c r="K739" s="31">
        <f>+K590</f>
        <v>0</v>
      </c>
      <c r="L739" s="31">
        <f t="shared" ref="L739:V739" si="505">+L590</f>
        <v>0</v>
      </c>
      <c r="M739" s="31">
        <f t="shared" si="497"/>
        <v>0</v>
      </c>
      <c r="N739" s="31">
        <f t="shared" si="505"/>
        <v>0</v>
      </c>
      <c r="O739" s="31">
        <f t="shared" si="505"/>
        <v>0</v>
      </c>
      <c r="P739" s="9">
        <f t="shared" si="498"/>
        <v>0</v>
      </c>
      <c r="Q739" s="31">
        <f t="shared" si="505"/>
        <v>0</v>
      </c>
      <c r="R739" s="31">
        <f t="shared" si="505"/>
        <v>0</v>
      </c>
      <c r="S739" s="31"/>
      <c r="T739" s="31">
        <f t="shared" si="505"/>
        <v>0</v>
      </c>
      <c r="U739" s="31">
        <f t="shared" si="505"/>
        <v>0</v>
      </c>
      <c r="V739" s="31">
        <f t="shared" si="505"/>
        <v>0</v>
      </c>
      <c r="W739" s="27" t="str">
        <f t="shared" si="503"/>
        <v>OK</v>
      </c>
    </row>
    <row r="740" spans="1:23" ht="12.95" customHeight="1" x14ac:dyDescent="0.2">
      <c r="A740" s="3"/>
      <c r="B740" s="7" t="s">
        <v>589</v>
      </c>
      <c r="C740" s="3"/>
      <c r="D740" s="3"/>
      <c r="E740" s="3"/>
      <c r="F740" s="3"/>
      <c r="G740" s="3"/>
      <c r="H740" s="5"/>
      <c r="I740" s="5"/>
      <c r="J740" s="5"/>
      <c r="K740" s="5"/>
      <c r="L740" s="2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27" t="str">
        <f t="shared" si="503"/>
        <v>OK</v>
      </c>
    </row>
    <row r="741" spans="1:23" ht="12.95" customHeight="1" x14ac:dyDescent="0.2">
      <c r="A741" s="3">
        <v>1</v>
      </c>
      <c r="B741" s="3" t="str">
        <f t="shared" ref="B741:B758" si="506">B669</f>
        <v>Generation Demand TX 4CP</v>
      </c>
      <c r="C741" s="3"/>
      <c r="D741" s="3"/>
      <c r="E741" s="3" t="str">
        <f t="shared" ref="E741:E756" si="507">E669</f>
        <v>DEMANDG</v>
      </c>
      <c r="F741" s="3"/>
      <c r="G741" s="3"/>
      <c r="H741" s="29">
        <f t="shared" ref="H741:H774" si="508">SUM(I741:J741)</f>
        <v>0.99999999999999989</v>
      </c>
      <c r="I741" s="29">
        <v>0</v>
      </c>
      <c r="J741" s="29">
        <f>SUM(K741:M741,P741,T741:V741)</f>
        <v>0.99999999999999989</v>
      </c>
      <c r="K741" s="29">
        <f t="shared" ref="K741:V741" si="509">IF($H669&lt;&gt;0,K669/$H669,0)</f>
        <v>0.48476544186418086</v>
      </c>
      <c r="L741" s="29">
        <f t="shared" si="509"/>
        <v>1.9173937159048283E-2</v>
      </c>
      <c r="M741" s="29">
        <f t="shared" si="509"/>
        <v>0.28551291531899664</v>
      </c>
      <c r="N741" s="29">
        <f t="shared" si="509"/>
        <v>2.8718751510505878E-2</v>
      </c>
      <c r="O741" s="29">
        <f t="shared" si="509"/>
        <v>0.25679416380849074</v>
      </c>
      <c r="P741" s="29">
        <f t="shared" si="509"/>
        <v>8.0892016757904861E-2</v>
      </c>
      <c r="Q741" s="29">
        <f t="shared" si="509"/>
        <v>6.3330866876052411E-2</v>
      </c>
      <c r="R741" s="29">
        <f t="shared" si="509"/>
        <v>5.1825476369504958E-3</v>
      </c>
      <c r="S741" s="29">
        <f t="shared" si="509"/>
        <v>1.2378602244901962E-2</v>
      </c>
      <c r="T741" s="29">
        <f t="shared" si="509"/>
        <v>0.12965568889986934</v>
      </c>
      <c r="U741" s="29">
        <f t="shared" si="509"/>
        <v>0</v>
      </c>
      <c r="V741" s="29">
        <f t="shared" si="509"/>
        <v>0</v>
      </c>
      <c r="W741" s="27" t="str">
        <f t="shared" si="503"/>
        <v>OK</v>
      </c>
    </row>
    <row r="742" spans="1:23" ht="12.95" customHeight="1" x14ac:dyDescent="0.2">
      <c r="A742" s="3">
        <f>+A741+1</f>
        <v>2</v>
      </c>
      <c r="B742" s="3" t="str">
        <f t="shared" si="506"/>
        <v>Retail Generation Demand</v>
      </c>
      <c r="C742" s="3"/>
      <c r="D742" s="3"/>
      <c r="E742" s="3" t="str">
        <f t="shared" si="507"/>
        <v>TDEMANDG</v>
      </c>
      <c r="F742" s="3"/>
      <c r="G742" s="3"/>
      <c r="H742" s="29">
        <f>SUM(I742:J742)</f>
        <v>0.99999999999999989</v>
      </c>
      <c r="I742" s="29">
        <v>0</v>
      </c>
      <c r="J742" s="29">
        <f t="shared" ref="J742:J805" si="510">SUM(K742:M742,P742,T742:V742)</f>
        <v>0.99999999999999989</v>
      </c>
      <c r="K742" s="29">
        <f t="shared" ref="K742:V742" si="511">IF($H670&lt;&gt;0,K670/$H670,0)</f>
        <v>0.48476544186418086</v>
      </c>
      <c r="L742" s="29">
        <f t="shared" si="511"/>
        <v>1.9173937159048283E-2</v>
      </c>
      <c r="M742" s="29">
        <f t="shared" si="511"/>
        <v>0.28551291531899664</v>
      </c>
      <c r="N742" s="29">
        <f t="shared" si="511"/>
        <v>2.8718751510505878E-2</v>
      </c>
      <c r="O742" s="29">
        <f t="shared" si="511"/>
        <v>0.25679416380849074</v>
      </c>
      <c r="P742" s="29">
        <f t="shared" si="511"/>
        <v>8.0892016757904861E-2</v>
      </c>
      <c r="Q742" s="29">
        <f t="shared" si="511"/>
        <v>6.3330866876052411E-2</v>
      </c>
      <c r="R742" s="29">
        <f t="shared" si="511"/>
        <v>5.1825476369504958E-3</v>
      </c>
      <c r="S742" s="29">
        <f t="shared" si="511"/>
        <v>1.2378602244901962E-2</v>
      </c>
      <c r="T742" s="29">
        <f t="shared" si="511"/>
        <v>0.12965568889986934</v>
      </c>
      <c r="U742" s="29">
        <f t="shared" si="511"/>
        <v>0</v>
      </c>
      <c r="V742" s="29">
        <f t="shared" si="511"/>
        <v>0</v>
      </c>
      <c r="W742" s="27" t="str">
        <f t="shared" si="503"/>
        <v>OK</v>
      </c>
    </row>
    <row r="743" spans="1:23" ht="12.95" customHeight="1" x14ac:dyDescent="0.2">
      <c r="A743" s="3">
        <f t="shared" ref="A743:A807" si="512">+A742+1</f>
        <v>3</v>
      </c>
      <c r="B743" s="3" t="str">
        <f t="shared" si="506"/>
        <v>Transmission Demands</v>
      </c>
      <c r="C743" s="3"/>
      <c r="D743" s="3"/>
      <c r="E743" s="3" t="str">
        <f t="shared" si="507"/>
        <v>DEMANDT</v>
      </c>
      <c r="F743" s="3"/>
      <c r="G743" s="3"/>
      <c r="H743" s="29">
        <f t="shared" si="508"/>
        <v>1</v>
      </c>
      <c r="I743" s="29">
        <v>0</v>
      </c>
      <c r="J743" s="29">
        <f t="shared" si="510"/>
        <v>1</v>
      </c>
      <c r="K743" s="29">
        <f t="shared" ref="K743:V743" si="513">IF($H671&lt;&gt;0,K671/$H671,0)</f>
        <v>0.47672758051311936</v>
      </c>
      <c r="L743" s="29">
        <f t="shared" si="513"/>
        <v>1.7692674150235652E-2</v>
      </c>
      <c r="M743" s="29">
        <f t="shared" si="513"/>
        <v>0.28831850957647071</v>
      </c>
      <c r="N743" s="29">
        <f t="shared" si="513"/>
        <v>3.1528858917611362E-2</v>
      </c>
      <c r="O743" s="29">
        <f t="shared" si="513"/>
        <v>0.25678965065885934</v>
      </c>
      <c r="P743" s="29">
        <f t="shared" si="513"/>
        <v>0.10697821994662522</v>
      </c>
      <c r="Q743" s="29">
        <f t="shared" si="513"/>
        <v>9.9062842553663849E-2</v>
      </c>
      <c r="R743" s="29">
        <f t="shared" si="513"/>
        <v>7.9153773929613747E-3</v>
      </c>
      <c r="S743" s="29">
        <f t="shared" ref="S743:S773" si="514">IF($H671&lt;&gt;0,S671/$H671,0)</f>
        <v>0</v>
      </c>
      <c r="T743" s="29">
        <f t="shared" si="513"/>
        <v>0.11028301581354905</v>
      </c>
      <c r="U743" s="29">
        <f t="shared" si="513"/>
        <v>0</v>
      </c>
      <c r="V743" s="29">
        <f t="shared" si="513"/>
        <v>0</v>
      </c>
      <c r="W743" s="27" t="str">
        <f t="shared" si="503"/>
        <v>OK</v>
      </c>
    </row>
    <row r="744" spans="1:23" ht="12.95" customHeight="1" x14ac:dyDescent="0.2">
      <c r="A744" s="3">
        <f t="shared" si="512"/>
        <v>4</v>
      </c>
      <c r="B744" s="3" t="str">
        <f t="shared" si="506"/>
        <v>Distribution Primary Demands - MDD</v>
      </c>
      <c r="C744" s="3"/>
      <c r="D744" s="3"/>
      <c r="E744" s="3" t="str">
        <f t="shared" si="507"/>
        <v>DEMANDDP</v>
      </c>
      <c r="F744" s="3"/>
      <c r="G744" s="3"/>
      <c r="H744" s="29">
        <f t="shared" si="508"/>
        <v>1</v>
      </c>
      <c r="I744" s="29">
        <v>0</v>
      </c>
      <c r="J744" s="29">
        <f t="shared" si="510"/>
        <v>1</v>
      </c>
      <c r="K744" s="29">
        <f t="shared" ref="K744:V744" si="515">IF($H672&lt;&gt;0,K672/$H672,0)</f>
        <v>0.56562884643019973</v>
      </c>
      <c r="L744" s="29">
        <f t="shared" si="515"/>
        <v>1.97312653517689E-2</v>
      </c>
      <c r="M744" s="29">
        <f t="shared" si="515"/>
        <v>0.29757757165355436</v>
      </c>
      <c r="N744" s="29">
        <f t="shared" si="515"/>
        <v>3.9958373888776655E-2</v>
      </c>
      <c r="O744" s="29">
        <f t="shared" si="515"/>
        <v>0.25761919776477776</v>
      </c>
      <c r="P744" s="29">
        <f t="shared" si="515"/>
        <v>0.10219418819302059</v>
      </c>
      <c r="Q744" s="29">
        <f t="shared" si="515"/>
        <v>8.313467748709566E-2</v>
      </c>
      <c r="R744" s="29">
        <f t="shared" si="515"/>
        <v>6.0161046668279891E-3</v>
      </c>
      <c r="S744" s="29">
        <f t="shared" si="514"/>
        <v>1.3043406039096929E-2</v>
      </c>
      <c r="T744" s="29">
        <f t="shared" si="515"/>
        <v>0</v>
      </c>
      <c r="U744" s="29">
        <f t="shared" si="515"/>
        <v>1.1073297789590332E-2</v>
      </c>
      <c r="V744" s="29">
        <f t="shared" si="515"/>
        <v>3.7948305818661151E-3</v>
      </c>
      <c r="W744" s="27" t="str">
        <f t="shared" si="503"/>
        <v>OK</v>
      </c>
    </row>
    <row r="745" spans="1:23" x14ac:dyDescent="0.2">
      <c r="A745" s="3">
        <f t="shared" si="512"/>
        <v>5</v>
      </c>
      <c r="B745" s="3" t="str">
        <f t="shared" si="506"/>
        <v>Distribution Secondary Demand</v>
      </c>
      <c r="C745" s="3"/>
      <c r="D745" s="3"/>
      <c r="E745" s="3" t="str">
        <f t="shared" si="507"/>
        <v>DEMANDDS</v>
      </c>
      <c r="F745" s="3"/>
      <c r="G745" s="3"/>
      <c r="H745" s="29">
        <f t="shared" si="508"/>
        <v>1</v>
      </c>
      <c r="I745" s="29">
        <v>0</v>
      </c>
      <c r="J745" s="29">
        <f t="shared" si="510"/>
        <v>1</v>
      </c>
      <c r="K745" s="29">
        <f t="shared" ref="K745:V745" si="516">IF($H673&lt;&gt;0,K673/$H673,0)</f>
        <v>0.6326866876457008</v>
      </c>
      <c r="L745" s="29">
        <f t="shared" si="516"/>
        <v>2.2070495515312399E-2</v>
      </c>
      <c r="M745" s="29">
        <f t="shared" si="516"/>
        <v>0.33285672984214043</v>
      </c>
      <c r="N745" s="29">
        <f t="shared" si="516"/>
        <v>4.4695618653385512E-2</v>
      </c>
      <c r="O745" s="29">
        <f t="shared" si="516"/>
        <v>0.28816111118875493</v>
      </c>
      <c r="P745" s="29">
        <f t="shared" si="516"/>
        <v>0</v>
      </c>
      <c r="Q745" s="29">
        <f t="shared" si="516"/>
        <v>0</v>
      </c>
      <c r="R745" s="29">
        <f t="shared" si="516"/>
        <v>0</v>
      </c>
      <c r="S745" s="29">
        <f t="shared" si="514"/>
        <v>0</v>
      </c>
      <c r="T745" s="29">
        <f t="shared" si="516"/>
        <v>0</v>
      </c>
      <c r="U745" s="29">
        <f t="shared" si="516"/>
        <v>1.2386086996846474E-2</v>
      </c>
      <c r="V745" s="29">
        <f t="shared" si="516"/>
        <v>0</v>
      </c>
      <c r="W745" s="27" t="str">
        <f t="shared" si="503"/>
        <v>OK</v>
      </c>
    </row>
    <row r="746" spans="1:23" x14ac:dyDescent="0.2">
      <c r="A746" s="3">
        <f t="shared" si="512"/>
        <v>6</v>
      </c>
      <c r="B746" s="3" t="str">
        <f t="shared" si="506"/>
        <v>Energy</v>
      </c>
      <c r="C746" s="3"/>
      <c r="D746" s="3"/>
      <c r="E746" s="3" t="str">
        <f t="shared" si="507"/>
        <v>ENERGY</v>
      </c>
      <c r="F746" s="3"/>
      <c r="G746" s="3"/>
      <c r="H746" s="29">
        <f t="shared" si="508"/>
        <v>1</v>
      </c>
      <c r="I746" s="29">
        <v>0</v>
      </c>
      <c r="J746" s="29">
        <f t="shared" si="510"/>
        <v>1</v>
      </c>
      <c r="K746" s="29">
        <f t="shared" ref="K746:V746" si="517">IF($H674&lt;&gt;0,K674/$H674,0)</f>
        <v>0.32875363724630779</v>
      </c>
      <c r="L746" s="29">
        <f t="shared" si="517"/>
        <v>1.7550231585104211E-2</v>
      </c>
      <c r="M746" s="29">
        <f t="shared" si="517"/>
        <v>0.24036729688455627</v>
      </c>
      <c r="N746" s="29">
        <f t="shared" si="517"/>
        <v>3.4196096835687147E-2</v>
      </c>
      <c r="O746" s="29">
        <f t="shared" si="517"/>
        <v>0.2061712000488691</v>
      </c>
      <c r="P746" s="29">
        <f t="shared" si="517"/>
        <v>0.11816105168974292</v>
      </c>
      <c r="Q746" s="29">
        <f t="shared" si="517"/>
        <v>9.8133850507322457E-2</v>
      </c>
      <c r="R746" s="29">
        <f t="shared" si="517"/>
        <v>6.8194859864634189E-3</v>
      </c>
      <c r="S746" s="29">
        <f t="shared" si="514"/>
        <v>1.3207715195957048E-2</v>
      </c>
      <c r="T746" s="29">
        <f t="shared" si="517"/>
        <v>0.28816991991888952</v>
      </c>
      <c r="U746" s="29">
        <f t="shared" si="517"/>
        <v>6.2248318684880741E-3</v>
      </c>
      <c r="V746" s="29">
        <f t="shared" si="517"/>
        <v>7.7303080691135042E-4</v>
      </c>
      <c r="W746" s="27" t="str">
        <f t="shared" si="503"/>
        <v>OK</v>
      </c>
    </row>
    <row r="747" spans="1:23" x14ac:dyDescent="0.2">
      <c r="A747" s="3">
        <f t="shared" si="512"/>
        <v>7</v>
      </c>
      <c r="B747" s="3" t="str">
        <f t="shared" si="506"/>
        <v>Non-Coincident Peaks</v>
      </c>
      <c r="C747" s="3"/>
      <c r="D747" s="3"/>
      <c r="E747" s="3" t="str">
        <f t="shared" si="507"/>
        <v>NCP</v>
      </c>
      <c r="F747" s="3"/>
      <c r="G747" s="3"/>
      <c r="H747" s="29">
        <f t="shared" si="508"/>
        <v>1.0000000000000002</v>
      </c>
      <c r="I747" s="29">
        <v>0</v>
      </c>
      <c r="J747" s="29">
        <f t="shared" si="510"/>
        <v>1.0000000000000002</v>
      </c>
      <c r="K747" s="29">
        <f t="shared" ref="K747:V747" si="518">IF($H675&lt;&gt;0,K675/$H675,0)</f>
        <v>0.52568966682427709</v>
      </c>
      <c r="L747" s="29">
        <f t="shared" si="518"/>
        <v>1.9236199277309123E-2</v>
      </c>
      <c r="M747" s="29">
        <f t="shared" si="518"/>
        <v>0.20596377091126875</v>
      </c>
      <c r="N747" s="29">
        <f t="shared" si="518"/>
        <v>2.3904743886298763E-2</v>
      </c>
      <c r="O747" s="29">
        <f t="shared" si="518"/>
        <v>0.18205902702496998</v>
      </c>
      <c r="P747" s="29">
        <f t="shared" si="518"/>
        <v>6.7649878469483865E-2</v>
      </c>
      <c r="Q747" s="29">
        <f t="shared" si="518"/>
        <v>5.5103401282419626E-2</v>
      </c>
      <c r="R747" s="29">
        <f t="shared" si="518"/>
        <v>4.4334957432347289E-3</v>
      </c>
      <c r="S747" s="29">
        <f t="shared" si="514"/>
        <v>8.1129814438295183E-3</v>
      </c>
      <c r="T747" s="29">
        <f t="shared" si="518"/>
        <v>0.17243152124247765</v>
      </c>
      <c r="U747" s="29">
        <f t="shared" si="518"/>
        <v>5.3734293385046599E-3</v>
      </c>
      <c r="V747" s="29">
        <f t="shared" si="518"/>
        <v>3.6555339366789582E-3</v>
      </c>
      <c r="W747" s="27" t="str">
        <f t="shared" si="503"/>
        <v>OK</v>
      </c>
    </row>
    <row r="748" spans="1:23" x14ac:dyDescent="0.2">
      <c r="A748" s="3">
        <f t="shared" si="512"/>
        <v>8</v>
      </c>
      <c r="B748" s="3" t="str">
        <f t="shared" si="506"/>
        <v>Customers</v>
      </c>
      <c r="C748" s="3"/>
      <c r="D748" s="3"/>
      <c r="E748" s="3" t="str">
        <f t="shared" si="507"/>
        <v>CUSTOMERS</v>
      </c>
      <c r="F748" s="3"/>
      <c r="G748" s="3"/>
      <c r="H748" s="29">
        <f t="shared" si="508"/>
        <v>1</v>
      </c>
      <c r="I748" s="29">
        <v>0</v>
      </c>
      <c r="J748" s="29">
        <f t="shared" si="510"/>
        <v>1</v>
      </c>
      <c r="K748" s="29">
        <f t="shared" ref="K748:V748" si="519">IF($H676&lt;&gt;0,K676/$H676,0)</f>
        <v>0.70338161489917128</v>
      </c>
      <c r="L748" s="29">
        <f t="shared" si="519"/>
        <v>7.4732012114639326E-2</v>
      </c>
      <c r="M748" s="29">
        <f t="shared" si="519"/>
        <v>5.4457966157527918E-2</v>
      </c>
      <c r="N748" s="29">
        <f t="shared" si="519"/>
        <v>4.3320289614186193E-4</v>
      </c>
      <c r="O748" s="29">
        <f t="shared" si="519"/>
        <v>5.4024763261386055E-2</v>
      </c>
      <c r="P748" s="29">
        <f t="shared" si="519"/>
        <v>8.1676796043413547E-4</v>
      </c>
      <c r="Q748" s="29">
        <f t="shared" si="519"/>
        <v>3.5272944147662021E-4</v>
      </c>
      <c r="R748" s="29">
        <f t="shared" si="519"/>
        <v>4.1364859874656954E-4</v>
      </c>
      <c r="S748" s="29">
        <f t="shared" si="514"/>
        <v>5.0389920210945741E-5</v>
      </c>
      <c r="T748" s="29">
        <f t="shared" si="519"/>
        <v>9.2506868446960095E-5</v>
      </c>
      <c r="U748" s="29">
        <f t="shared" si="519"/>
        <v>0.16650484232091459</v>
      </c>
      <c r="V748" s="29">
        <f t="shared" si="519"/>
        <v>1.4289678865790585E-5</v>
      </c>
      <c r="W748" s="27" t="str">
        <f t="shared" si="503"/>
        <v>OK</v>
      </c>
    </row>
    <row r="749" spans="1:23" x14ac:dyDescent="0.2">
      <c r="A749" s="3">
        <f t="shared" si="512"/>
        <v>9</v>
      </c>
      <c r="B749" s="3" t="str">
        <f t="shared" si="506"/>
        <v>Distribution Customers</v>
      </c>
      <c r="C749" s="3"/>
      <c r="D749" s="3"/>
      <c r="E749" s="3" t="str">
        <f t="shared" si="507"/>
        <v>DCUSTOMERS</v>
      </c>
      <c r="F749" s="3"/>
      <c r="G749" s="3"/>
      <c r="H749" s="29">
        <f t="shared" si="508"/>
        <v>0.99999999999999989</v>
      </c>
      <c r="I749" s="29">
        <v>0</v>
      </c>
      <c r="J749" s="29">
        <f t="shared" si="510"/>
        <v>0.99999999999999989</v>
      </c>
      <c r="K749" s="29">
        <f t="shared" ref="K749:V749" si="520">IF($H677&lt;&gt;0,K677/$H677,0)</f>
        <v>0.70405992396582229</v>
      </c>
      <c r="L749" s="29">
        <f t="shared" si="520"/>
        <v>7.4804080249934124E-2</v>
      </c>
      <c r="M749" s="29">
        <f t="shared" si="520"/>
        <v>5.4510482929950692E-2</v>
      </c>
      <c r="N749" s="29">
        <f t="shared" si="520"/>
        <v>4.3362065720630859E-4</v>
      </c>
      <c r="O749" s="29">
        <f t="shared" si="520"/>
        <v>5.4076862272744379E-2</v>
      </c>
      <c r="P749" s="29">
        <f t="shared" si="520"/>
        <v>8.1755561410772764E-4</v>
      </c>
      <c r="Q749" s="29">
        <f t="shared" si="520"/>
        <v>3.5306959762110892E-4</v>
      </c>
      <c r="R749" s="29">
        <f t="shared" si="520"/>
        <v>4.1404750254074601E-4</v>
      </c>
      <c r="S749" s="29">
        <f t="shared" si="514"/>
        <v>5.0438513945872697E-5</v>
      </c>
      <c r="T749" s="29">
        <f t="shared" si="520"/>
        <v>0</v>
      </c>
      <c r="U749" s="29">
        <f t="shared" si="520"/>
        <v>0.16579365378100652</v>
      </c>
      <c r="V749" s="29">
        <f t="shared" si="520"/>
        <v>1.4303459178680319E-5</v>
      </c>
      <c r="W749" s="27" t="str">
        <f t="shared" si="503"/>
        <v>OK</v>
      </c>
    </row>
    <row r="750" spans="1:23" x14ac:dyDescent="0.2">
      <c r="A750" s="3">
        <f t="shared" si="512"/>
        <v>10</v>
      </c>
      <c r="B750" s="3" t="str">
        <f t="shared" si="506"/>
        <v>Services Account 369</v>
      </c>
      <c r="C750" s="3"/>
      <c r="D750" s="3"/>
      <c r="E750" s="3" t="str">
        <f t="shared" si="507"/>
        <v>SERVICES</v>
      </c>
      <c r="F750" s="3"/>
      <c r="G750" s="3"/>
      <c r="H750" s="29">
        <f t="shared" si="508"/>
        <v>1</v>
      </c>
      <c r="I750" s="29">
        <v>0</v>
      </c>
      <c r="J750" s="29">
        <f t="shared" si="510"/>
        <v>1</v>
      </c>
      <c r="K750" s="29">
        <f t="shared" ref="K750:V750" si="521">IF($H678&lt;&gt;0,K678/$H678,0)</f>
        <v>0.80945094244580651</v>
      </c>
      <c r="L750" s="29">
        <f t="shared" si="521"/>
        <v>8.1788266900236981E-2</v>
      </c>
      <c r="M750" s="29">
        <f t="shared" si="521"/>
        <v>0.10876079065395647</v>
      </c>
      <c r="N750" s="29">
        <f t="shared" si="521"/>
        <v>4.4833035888931777E-4</v>
      </c>
      <c r="O750" s="29">
        <f t="shared" si="521"/>
        <v>0.10831246029506715</v>
      </c>
      <c r="P750" s="29">
        <f t="shared" si="521"/>
        <v>0</v>
      </c>
      <c r="Q750" s="29">
        <f t="shared" si="521"/>
        <v>0</v>
      </c>
      <c r="R750" s="29">
        <f t="shared" si="521"/>
        <v>0</v>
      </c>
      <c r="S750" s="29">
        <f t="shared" si="514"/>
        <v>0</v>
      </c>
      <c r="T750" s="29">
        <f t="shared" si="521"/>
        <v>0</v>
      </c>
      <c r="U750" s="29">
        <f t="shared" si="521"/>
        <v>0</v>
      </c>
      <c r="V750" s="29">
        <f t="shared" si="521"/>
        <v>0</v>
      </c>
      <c r="W750" s="27" t="str">
        <f t="shared" si="503"/>
        <v>OK</v>
      </c>
    </row>
    <row r="751" spans="1:23" x14ac:dyDescent="0.2">
      <c r="A751" s="3">
        <f t="shared" si="512"/>
        <v>11</v>
      </c>
      <c r="B751" s="3" t="str">
        <f t="shared" si="506"/>
        <v>Meters Account 370</v>
      </c>
      <c r="C751" s="3"/>
      <c r="D751" s="3"/>
      <c r="E751" s="3" t="str">
        <f t="shared" si="507"/>
        <v>METERS</v>
      </c>
      <c r="F751" s="3"/>
      <c r="G751" s="3"/>
      <c r="H751" s="29">
        <f t="shared" si="508"/>
        <v>1</v>
      </c>
      <c r="I751" s="29">
        <v>0</v>
      </c>
      <c r="J751" s="29">
        <f t="shared" si="510"/>
        <v>1</v>
      </c>
      <c r="K751" s="29">
        <f t="shared" ref="K751:V751" si="522">IF($H679&lt;&gt;0,K679/$H679,0)</f>
        <v>0.46880677347274763</v>
      </c>
      <c r="L751" s="29">
        <f t="shared" si="522"/>
        <v>8.907830987981738E-2</v>
      </c>
      <c r="M751" s="29">
        <f t="shared" si="522"/>
        <v>0.35363489466923814</v>
      </c>
      <c r="N751" s="29">
        <f t="shared" si="522"/>
        <v>6.8991555923726654E-3</v>
      </c>
      <c r="O751" s="29">
        <f t="shared" si="522"/>
        <v>0.3467357390768655</v>
      </c>
      <c r="P751" s="29">
        <f t="shared" si="522"/>
        <v>4.75584381554792E-2</v>
      </c>
      <c r="Q751" s="29">
        <f t="shared" si="522"/>
        <v>2.0538588853517264E-2</v>
      </c>
      <c r="R751" s="29">
        <f t="shared" si="522"/>
        <v>2.4085765180030902E-2</v>
      </c>
      <c r="S751" s="29">
        <f t="shared" si="514"/>
        <v>2.9340841219310373E-3</v>
      </c>
      <c r="T751" s="29">
        <f t="shared" si="522"/>
        <v>4.0089530116498309E-2</v>
      </c>
      <c r="U751" s="29">
        <f t="shared" si="522"/>
        <v>0</v>
      </c>
      <c r="V751" s="29">
        <f t="shared" si="522"/>
        <v>8.3205370621924945E-4</v>
      </c>
      <c r="W751" s="27" t="str">
        <f t="shared" si="503"/>
        <v>OK</v>
      </c>
    </row>
    <row r="752" spans="1:23" x14ac:dyDescent="0.2">
      <c r="A752" s="3">
        <f t="shared" si="512"/>
        <v>12</v>
      </c>
      <c r="B752" s="3" t="str">
        <f t="shared" si="506"/>
        <v>Non-Roadway Lighting Account 371</v>
      </c>
      <c r="C752" s="3"/>
      <c r="D752" s="3"/>
      <c r="E752" s="3" t="str">
        <f t="shared" si="507"/>
        <v>NROADLIGHT</v>
      </c>
      <c r="F752" s="3"/>
      <c r="G752" s="3"/>
      <c r="H752" s="29">
        <f t="shared" si="508"/>
        <v>1</v>
      </c>
      <c r="I752" s="29">
        <v>0</v>
      </c>
      <c r="J752" s="29">
        <f t="shared" si="510"/>
        <v>1</v>
      </c>
      <c r="K752" s="29">
        <f t="shared" ref="K752:V752" si="523">IF($H680&lt;&gt;0,K680/$H680,0)</f>
        <v>0</v>
      </c>
      <c r="L752" s="29">
        <f t="shared" si="523"/>
        <v>0</v>
      </c>
      <c r="M752" s="29">
        <f t="shared" si="523"/>
        <v>0</v>
      </c>
      <c r="N752" s="29">
        <f t="shared" si="523"/>
        <v>0</v>
      </c>
      <c r="O752" s="29">
        <f t="shared" si="523"/>
        <v>0</v>
      </c>
      <c r="P752" s="29">
        <f t="shared" si="523"/>
        <v>0</v>
      </c>
      <c r="Q752" s="29">
        <f t="shared" si="523"/>
        <v>0</v>
      </c>
      <c r="R752" s="29">
        <f t="shared" si="523"/>
        <v>0</v>
      </c>
      <c r="S752" s="29">
        <f t="shared" si="514"/>
        <v>0</v>
      </c>
      <c r="T752" s="29">
        <f t="shared" si="523"/>
        <v>0</v>
      </c>
      <c r="U752" s="29">
        <f t="shared" si="523"/>
        <v>1</v>
      </c>
      <c r="V752" s="29">
        <f t="shared" si="523"/>
        <v>0</v>
      </c>
      <c r="W752" s="27" t="str">
        <f t="shared" si="503"/>
        <v>OK</v>
      </c>
    </row>
    <row r="753" spans="1:23" x14ac:dyDescent="0.2">
      <c r="A753" s="3">
        <f t="shared" si="512"/>
        <v>13</v>
      </c>
      <c r="B753" s="3" t="str">
        <f t="shared" si="506"/>
        <v>Roadway Lighting Account 373</v>
      </c>
      <c r="C753" s="3"/>
      <c r="D753" s="3"/>
      <c r="E753" s="3" t="str">
        <f t="shared" si="507"/>
        <v>ROADLIGHT</v>
      </c>
      <c r="F753" s="3"/>
      <c r="G753" s="3"/>
      <c r="H753" s="29">
        <f t="shared" si="508"/>
        <v>1</v>
      </c>
      <c r="I753" s="29">
        <v>0</v>
      </c>
      <c r="J753" s="29">
        <f t="shared" si="510"/>
        <v>1</v>
      </c>
      <c r="K753" s="29">
        <f t="shared" ref="K753:V753" si="524">IF($H681&lt;&gt;0,K681/$H681,0)</f>
        <v>0</v>
      </c>
      <c r="L753" s="29">
        <f t="shared" si="524"/>
        <v>0</v>
      </c>
      <c r="M753" s="29">
        <f t="shared" si="524"/>
        <v>0</v>
      </c>
      <c r="N753" s="29">
        <f t="shared" si="524"/>
        <v>0</v>
      </c>
      <c r="O753" s="29">
        <f t="shared" si="524"/>
        <v>0</v>
      </c>
      <c r="P753" s="29">
        <f t="shared" si="524"/>
        <v>0</v>
      </c>
      <c r="Q753" s="29">
        <f t="shared" si="524"/>
        <v>0</v>
      </c>
      <c r="R753" s="29">
        <f t="shared" si="524"/>
        <v>0</v>
      </c>
      <c r="S753" s="29">
        <f t="shared" si="514"/>
        <v>0</v>
      </c>
      <c r="T753" s="29">
        <f t="shared" si="524"/>
        <v>0</v>
      </c>
      <c r="U753" s="29">
        <f t="shared" si="524"/>
        <v>1</v>
      </c>
      <c r="V753" s="29">
        <f t="shared" si="524"/>
        <v>0</v>
      </c>
      <c r="W753" s="27" t="str">
        <f t="shared" si="503"/>
        <v>OK</v>
      </c>
    </row>
    <row r="754" spans="1:23" x14ac:dyDescent="0.2">
      <c r="A754" s="3">
        <f t="shared" si="512"/>
        <v>14</v>
      </c>
      <c r="B754" s="3" t="str">
        <f t="shared" si="506"/>
        <v>Meter Reading Expense 902</v>
      </c>
      <c r="C754" s="3"/>
      <c r="D754" s="3"/>
      <c r="E754" s="3" t="str">
        <f t="shared" si="507"/>
        <v>METEREAD</v>
      </c>
      <c r="F754" s="3"/>
      <c r="G754" s="3"/>
      <c r="H754" s="29">
        <f t="shared" si="508"/>
        <v>1</v>
      </c>
      <c r="I754" s="29">
        <v>0</v>
      </c>
      <c r="J754" s="29">
        <f t="shared" si="510"/>
        <v>1</v>
      </c>
      <c r="K754" s="29">
        <f t="shared" ref="K754:V754" si="525">IF($H682&lt;&gt;0,K682/$H682,0)</f>
        <v>0.84474701071787928</v>
      </c>
      <c r="L754" s="29">
        <f t="shared" si="525"/>
        <v>8.8283856702332714E-2</v>
      </c>
      <c r="M754" s="29">
        <f t="shared" si="525"/>
        <v>6.5942145490740858E-2</v>
      </c>
      <c r="N754" s="29">
        <f t="shared" si="525"/>
        <v>5.2478407980330983E-4</v>
      </c>
      <c r="O754" s="29">
        <f t="shared" si="525"/>
        <v>6.5417361410937541E-2</v>
      </c>
      <c r="P754" s="29">
        <f t="shared" si="525"/>
        <v>1.0089222325994787E-3</v>
      </c>
      <c r="Q754" s="29">
        <f t="shared" si="525"/>
        <v>4.3536304038759954E-4</v>
      </c>
      <c r="R754" s="29">
        <f t="shared" si="525"/>
        <v>5.1123543746759619E-4</v>
      </c>
      <c r="S754" s="29">
        <f t="shared" si="514"/>
        <v>6.232375474428292E-5</v>
      </c>
      <c r="T754" s="29">
        <f t="shared" si="525"/>
        <v>0</v>
      </c>
      <c r="U754" s="29">
        <f t="shared" si="525"/>
        <v>0</v>
      </c>
      <c r="V754" s="29">
        <f t="shared" si="525"/>
        <v>1.8064856447618241E-5</v>
      </c>
      <c r="W754" s="27" t="str">
        <f t="shared" si="503"/>
        <v>OK</v>
      </c>
    </row>
    <row r="755" spans="1:23" x14ac:dyDescent="0.2">
      <c r="A755" s="3">
        <f t="shared" si="512"/>
        <v>15</v>
      </c>
      <c r="B755" s="3" t="str">
        <f t="shared" si="506"/>
        <v>Billing 903</v>
      </c>
      <c r="C755" s="3"/>
      <c r="D755" s="3"/>
      <c r="E755" s="3" t="str">
        <f t="shared" si="507"/>
        <v>BILLING</v>
      </c>
      <c r="F755" s="3"/>
      <c r="G755" s="3"/>
      <c r="H755" s="29">
        <f t="shared" si="508"/>
        <v>1</v>
      </c>
      <c r="I755" s="29">
        <v>0</v>
      </c>
      <c r="J755" s="29">
        <f t="shared" si="510"/>
        <v>1</v>
      </c>
      <c r="K755" s="29">
        <f t="shared" ref="K755:V755" si="526">IF($H683&lt;&gt;0,K683/$H683,0)</f>
        <v>0.84188236600260902</v>
      </c>
      <c r="L755" s="29">
        <f t="shared" si="526"/>
        <v>8.9447267091601543E-2</v>
      </c>
      <c r="M755" s="29">
        <f t="shared" si="526"/>
        <v>6.5181119928705761E-2</v>
      </c>
      <c r="N755" s="29">
        <f t="shared" si="526"/>
        <v>5.1850357108832487E-4</v>
      </c>
      <c r="O755" s="29">
        <f t="shared" si="526"/>
        <v>6.4662616357617428E-2</v>
      </c>
      <c r="P755" s="29">
        <f t="shared" si="526"/>
        <v>9.9469869106353997E-4</v>
      </c>
      <c r="Q755" s="29">
        <f t="shared" si="526"/>
        <v>4.2218433132018118E-4</v>
      </c>
      <c r="R755" s="29">
        <f t="shared" si="526"/>
        <v>4.9509889600447691E-4</v>
      </c>
      <c r="S755" s="29">
        <f t="shared" si="514"/>
        <v>7.7415463738881839E-5</v>
      </c>
      <c r="T755" s="29">
        <f t="shared" si="526"/>
        <v>1.1177232652222281E-4</v>
      </c>
      <c r="U755" s="29">
        <f t="shared" si="526"/>
        <v>2.365672543090482E-3</v>
      </c>
      <c r="V755" s="29">
        <f t="shared" si="526"/>
        <v>1.7103416407427381E-5</v>
      </c>
      <c r="W755" s="27" t="str">
        <f t="shared" si="503"/>
        <v>OK</v>
      </c>
    </row>
    <row r="756" spans="1:23" x14ac:dyDescent="0.2">
      <c r="A756" s="3">
        <f t="shared" si="512"/>
        <v>16</v>
      </c>
      <c r="B756" s="3" t="str">
        <f t="shared" si="506"/>
        <v>Customer Deposits</v>
      </c>
      <c r="C756" s="3"/>
      <c r="D756" s="3"/>
      <c r="E756" s="3" t="str">
        <f t="shared" si="507"/>
        <v>CUSTDEP</v>
      </c>
      <c r="F756" s="3"/>
      <c r="G756" s="3"/>
      <c r="H756" s="29">
        <f t="shared" si="508"/>
        <v>0</v>
      </c>
      <c r="I756" s="29">
        <v>0</v>
      </c>
      <c r="J756" s="29">
        <f t="shared" si="510"/>
        <v>0</v>
      </c>
      <c r="K756" s="29">
        <f t="shared" ref="K756:V756" si="527">IF($H684&lt;&gt;0,K684/$H684,0)</f>
        <v>0</v>
      </c>
      <c r="L756" s="29">
        <f t="shared" si="527"/>
        <v>0</v>
      </c>
      <c r="M756" s="29">
        <f t="shared" si="527"/>
        <v>0</v>
      </c>
      <c r="N756" s="29">
        <f t="shared" si="527"/>
        <v>0</v>
      </c>
      <c r="O756" s="29">
        <f t="shared" si="527"/>
        <v>0</v>
      </c>
      <c r="P756" s="29">
        <f t="shared" si="527"/>
        <v>0</v>
      </c>
      <c r="Q756" s="29">
        <f t="shared" si="527"/>
        <v>0</v>
      </c>
      <c r="R756" s="29">
        <f t="shared" si="527"/>
        <v>0</v>
      </c>
      <c r="S756" s="29">
        <f t="shared" si="514"/>
        <v>0</v>
      </c>
      <c r="T756" s="29">
        <f t="shared" si="527"/>
        <v>0</v>
      </c>
      <c r="U756" s="29">
        <f t="shared" si="527"/>
        <v>0</v>
      </c>
      <c r="V756" s="29">
        <f t="shared" si="527"/>
        <v>0</v>
      </c>
      <c r="W756" s="27" t="str">
        <f t="shared" si="503"/>
        <v>OK</v>
      </c>
    </row>
    <row r="757" spans="1:23" x14ac:dyDescent="0.2">
      <c r="A757" s="3">
        <f t="shared" si="512"/>
        <v>17</v>
      </c>
      <c r="B757" s="3" t="str">
        <f t="shared" si="506"/>
        <v>Taxable Income</v>
      </c>
      <c r="C757" s="3"/>
      <c r="D757" s="3"/>
      <c r="E757" s="3" t="s">
        <v>370</v>
      </c>
      <c r="F757" s="3"/>
      <c r="G757" s="3"/>
      <c r="H757" s="29">
        <f t="shared" ca="1" si="508"/>
        <v>0.99999999999999989</v>
      </c>
      <c r="I757" s="29">
        <v>0</v>
      </c>
      <c r="J757" s="29">
        <f t="shared" ca="1" si="510"/>
        <v>0.99999999999999989</v>
      </c>
      <c r="K757" s="29">
        <f t="shared" ref="K757:V757" ca="1" si="528">IF($H685&lt;&gt;0,K685/$H685,0)</f>
        <v>0.57863426384387395</v>
      </c>
      <c r="L757" s="29">
        <f t="shared" ca="1" si="528"/>
        <v>2.2384950833441799E-2</v>
      </c>
      <c r="M757" s="29">
        <f t="shared" ca="1" si="528"/>
        <v>0.29139490612159202</v>
      </c>
      <c r="N757" s="29">
        <f t="shared" ca="1" si="528"/>
        <v>3.8546468830910646E-2</v>
      </c>
      <c r="O757" s="29">
        <f t="shared" ca="1" si="528"/>
        <v>0.2528484372906814</v>
      </c>
      <c r="P757" s="29">
        <f t="shared" ca="1" si="528"/>
        <v>6.5717176426097687E-2</v>
      </c>
      <c r="Q757" s="29">
        <f t="shared" ca="1" si="528"/>
        <v>5.3460611775433424E-2</v>
      </c>
      <c r="R757" s="29">
        <f t="shared" ca="1" si="528"/>
        <v>3.8687376284359505E-3</v>
      </c>
      <c r="S757" s="29">
        <f t="shared" ca="1" si="514"/>
        <v>8.3878270222283065E-3</v>
      </c>
      <c r="T757" s="29">
        <f t="shared" ca="1" si="528"/>
        <v>4.0576771950720634E-7</v>
      </c>
      <c r="U757" s="29">
        <f t="shared" ca="1" si="528"/>
        <v>3.9428048610820561E-2</v>
      </c>
      <c r="V757" s="29">
        <f t="shared" ca="1" si="528"/>
        <v>2.4402483964543246E-3</v>
      </c>
      <c r="W757" s="27" t="str">
        <f t="shared" ca="1" si="503"/>
        <v>OK</v>
      </c>
    </row>
    <row r="758" spans="1:23" x14ac:dyDescent="0.2">
      <c r="A758" s="3">
        <f t="shared" si="512"/>
        <v>18</v>
      </c>
      <c r="B758" s="3" t="str">
        <f t="shared" si="506"/>
        <v>Large Cust Acct Rep Alloc to C&amp;I Cust</v>
      </c>
      <c r="C758" s="3"/>
      <c r="D758" s="3"/>
      <c r="E758" s="3" t="str">
        <f>E686</f>
        <v>LCUST</v>
      </c>
      <c r="F758" s="3"/>
      <c r="G758" s="3"/>
      <c r="H758" s="29">
        <f t="shared" si="508"/>
        <v>1</v>
      </c>
      <c r="I758" s="29">
        <v>0</v>
      </c>
      <c r="J758" s="29">
        <f t="shared" si="510"/>
        <v>1</v>
      </c>
      <c r="K758" s="29">
        <f t="shared" ref="K758:V759" si="529">IF($H686&lt;&gt;0,K686/$H686,0)</f>
        <v>0</v>
      </c>
      <c r="L758" s="29">
        <f t="shared" si="529"/>
        <v>0</v>
      </c>
      <c r="M758" s="29">
        <f t="shared" si="529"/>
        <v>0.98332360090715265</v>
      </c>
      <c r="N758" s="29">
        <f t="shared" si="529"/>
        <v>7.8221546233551067E-3</v>
      </c>
      <c r="O758" s="29">
        <f t="shared" si="529"/>
        <v>0.97550144628379754</v>
      </c>
      <c r="P758" s="29">
        <f t="shared" si="529"/>
        <v>1.474802069611744E-2</v>
      </c>
      <c r="Q758" s="29">
        <f t="shared" si="529"/>
        <v>6.3690807610304601E-3</v>
      </c>
      <c r="R758" s="29">
        <f t="shared" si="529"/>
        <v>7.4690712549397723E-3</v>
      </c>
      <c r="S758" s="29">
        <f t="shared" si="514"/>
        <v>9.0986868014720861E-4</v>
      </c>
      <c r="T758" s="29">
        <f t="shared" si="529"/>
        <v>1.6703559351956218E-3</v>
      </c>
      <c r="U758" s="29">
        <f t="shared" si="529"/>
        <v>0</v>
      </c>
      <c r="V758" s="29">
        <f t="shared" si="529"/>
        <v>2.5802246153428302E-4</v>
      </c>
      <c r="W758" s="27" t="str">
        <f t="shared" si="503"/>
        <v>OK</v>
      </c>
    </row>
    <row r="759" spans="1:23" x14ac:dyDescent="0.2">
      <c r="A759" s="3">
        <f t="shared" si="512"/>
        <v>19</v>
      </c>
      <c r="B759" s="3" t="s">
        <v>823</v>
      </c>
      <c r="C759" s="3"/>
      <c r="D759" s="3"/>
      <c r="E759" s="3" t="s">
        <v>824</v>
      </c>
      <c r="F759" s="3"/>
      <c r="G759" s="3"/>
      <c r="H759" s="29">
        <f t="shared" ref="H759" si="530">SUM(I759:J759)</f>
        <v>1</v>
      </c>
      <c r="I759" s="29">
        <v>0</v>
      </c>
      <c r="J759" s="29">
        <f t="shared" si="510"/>
        <v>1</v>
      </c>
      <c r="K759" s="29">
        <f t="shared" si="529"/>
        <v>0.74461979913916787</v>
      </c>
      <c r="L759" s="29">
        <f t="shared" si="529"/>
        <v>7.9113435255263959E-2</v>
      </c>
      <c r="M759" s="29">
        <f t="shared" si="529"/>
        <v>0</v>
      </c>
      <c r="N759" s="29">
        <f t="shared" si="529"/>
        <v>0</v>
      </c>
      <c r="O759" s="29">
        <f t="shared" si="529"/>
        <v>0</v>
      </c>
      <c r="P759" s="29">
        <f t="shared" si="529"/>
        <v>0</v>
      </c>
      <c r="Q759" s="29">
        <f t="shared" si="529"/>
        <v>0</v>
      </c>
      <c r="R759" s="29">
        <f t="shared" si="529"/>
        <v>0</v>
      </c>
      <c r="S759" s="29">
        <f t="shared" si="514"/>
        <v>0</v>
      </c>
      <c r="T759" s="29">
        <f t="shared" si="529"/>
        <v>0</v>
      </c>
      <c r="U759" s="29">
        <f t="shared" si="529"/>
        <v>0.17626676560556817</v>
      </c>
      <c r="V759" s="29">
        <f t="shared" si="529"/>
        <v>0</v>
      </c>
      <c r="W759" s="27" t="str">
        <f t="shared" ref="W759" si="531">IF((+K759+L759+M759+P759+T759+U759+V759)-H759=0,"OK",(+K759+L759+M759+P759+T759+U759+V759)-H759)</f>
        <v>OK</v>
      </c>
    </row>
    <row r="760" spans="1:23" x14ac:dyDescent="0.2">
      <c r="A760" s="3">
        <f t="shared" si="512"/>
        <v>20</v>
      </c>
      <c r="B760" s="3" t="str">
        <f t="shared" ref="B760:B806" si="532">B688</f>
        <v>Energy @ Meter</v>
      </c>
      <c r="C760" s="3"/>
      <c r="D760" s="3"/>
      <c r="E760" s="3" t="str">
        <f t="shared" ref="E760:E791" si="533">E688</f>
        <v>ENERGYM</v>
      </c>
      <c r="F760" s="3"/>
      <c r="G760" s="3"/>
      <c r="H760" s="29">
        <f t="shared" si="508"/>
        <v>1</v>
      </c>
      <c r="I760" s="29">
        <v>0</v>
      </c>
      <c r="J760" s="29">
        <f t="shared" si="510"/>
        <v>1</v>
      </c>
      <c r="K760" s="29">
        <f t="shared" ref="K760:V760" si="534">IF($H688&lt;&gt;0,K688/$H688,0)</f>
        <v>0.32875363724630779</v>
      </c>
      <c r="L760" s="29">
        <f t="shared" si="534"/>
        <v>1.7550231585104211E-2</v>
      </c>
      <c r="M760" s="29">
        <f t="shared" si="534"/>
        <v>0.24036729688455627</v>
      </c>
      <c r="N760" s="29">
        <f t="shared" si="534"/>
        <v>3.4196096835687147E-2</v>
      </c>
      <c r="O760" s="29">
        <f t="shared" si="534"/>
        <v>0.2061712000488691</v>
      </c>
      <c r="P760" s="29">
        <f t="shared" si="534"/>
        <v>0.11816105168974292</v>
      </c>
      <c r="Q760" s="29">
        <f t="shared" si="534"/>
        <v>9.8133850507322457E-2</v>
      </c>
      <c r="R760" s="29">
        <f t="shared" si="534"/>
        <v>6.8194859864634189E-3</v>
      </c>
      <c r="S760" s="29">
        <f t="shared" si="514"/>
        <v>1.3207715195957048E-2</v>
      </c>
      <c r="T760" s="29">
        <f t="shared" si="534"/>
        <v>0.28816991991888952</v>
      </c>
      <c r="U760" s="29">
        <f t="shared" si="534"/>
        <v>6.2248318684880741E-3</v>
      </c>
      <c r="V760" s="29">
        <f t="shared" si="534"/>
        <v>7.7303080691135042E-4</v>
      </c>
      <c r="W760" s="27" t="str">
        <f t="shared" si="503"/>
        <v>OK</v>
      </c>
    </row>
    <row r="761" spans="1:23" x14ac:dyDescent="0.2">
      <c r="A761" s="3">
        <f t="shared" si="512"/>
        <v>21</v>
      </c>
      <c r="B761" s="3" t="str">
        <f t="shared" si="532"/>
        <v>Retail Energy @ Meter</v>
      </c>
      <c r="C761" s="3"/>
      <c r="D761" s="3"/>
      <c r="E761" s="3" t="str">
        <f t="shared" si="533"/>
        <v>TENERGYM</v>
      </c>
      <c r="F761" s="3"/>
      <c r="G761" s="3"/>
      <c r="H761" s="29">
        <f t="shared" si="508"/>
        <v>1</v>
      </c>
      <c r="I761" s="29">
        <v>0</v>
      </c>
      <c r="J761" s="29">
        <f t="shared" si="510"/>
        <v>1</v>
      </c>
      <c r="K761" s="29">
        <f t="shared" ref="K761:V761" si="535">IF($H689&lt;&gt;0,K689/$H689,0)</f>
        <v>0.32875363724630779</v>
      </c>
      <c r="L761" s="29">
        <f t="shared" si="535"/>
        <v>1.7550231585104211E-2</v>
      </c>
      <c r="M761" s="29">
        <f t="shared" si="535"/>
        <v>0.24036729688455627</v>
      </c>
      <c r="N761" s="29">
        <f t="shared" si="535"/>
        <v>3.4196096835687147E-2</v>
      </c>
      <c r="O761" s="29">
        <f t="shared" si="535"/>
        <v>0.2061712000488691</v>
      </c>
      <c r="P761" s="29">
        <f t="shared" si="535"/>
        <v>0.11816105168974292</v>
      </c>
      <c r="Q761" s="29">
        <f t="shared" si="535"/>
        <v>9.8133850507322457E-2</v>
      </c>
      <c r="R761" s="29">
        <f t="shared" si="535"/>
        <v>6.8194859864634189E-3</v>
      </c>
      <c r="S761" s="29">
        <f t="shared" si="514"/>
        <v>1.3207715195957048E-2</v>
      </c>
      <c r="T761" s="29">
        <f t="shared" si="535"/>
        <v>0.28816991991888952</v>
      </c>
      <c r="U761" s="29">
        <f t="shared" si="535"/>
        <v>6.2248318684880741E-3</v>
      </c>
      <c r="V761" s="29">
        <f t="shared" si="535"/>
        <v>7.7303080691135042E-4</v>
      </c>
      <c r="W761" s="27" t="str">
        <f t="shared" si="503"/>
        <v>OK</v>
      </c>
    </row>
    <row r="762" spans="1:23" x14ac:dyDescent="0.2">
      <c r="A762" s="3">
        <f t="shared" si="512"/>
        <v>22</v>
      </c>
      <c r="B762" s="3" t="str">
        <f t="shared" si="532"/>
        <v>Retail Energy @ Source</v>
      </c>
      <c r="C762" s="3"/>
      <c r="D762" s="3"/>
      <c r="E762" s="3" t="str">
        <f t="shared" si="533"/>
        <v>TENERGY</v>
      </c>
      <c r="F762" s="3"/>
      <c r="G762" s="3"/>
      <c r="H762" s="29">
        <f t="shared" si="508"/>
        <v>1</v>
      </c>
      <c r="I762" s="29">
        <v>0</v>
      </c>
      <c r="J762" s="29">
        <f t="shared" si="510"/>
        <v>1</v>
      </c>
      <c r="K762" s="29">
        <f t="shared" ref="K762:V762" si="536">IF($H690&lt;&gt;0,K690/$H690,0)</f>
        <v>0.33485885624294592</v>
      </c>
      <c r="L762" s="29">
        <f t="shared" si="536"/>
        <v>1.7876153476543234E-2</v>
      </c>
      <c r="M762" s="29">
        <f t="shared" si="536"/>
        <v>0.24483111057617682</v>
      </c>
      <c r="N762" s="29">
        <f t="shared" si="536"/>
        <v>3.4831145809626547E-2</v>
      </c>
      <c r="O762" s="29">
        <f t="shared" si="536"/>
        <v>0.20999996476655028</v>
      </c>
      <c r="P762" s="29">
        <f t="shared" si="536"/>
        <v>0.11691171533474615</v>
      </c>
      <c r="Q762" s="29">
        <f t="shared" si="536"/>
        <v>9.7096265064899892E-2</v>
      </c>
      <c r="R762" s="29">
        <f t="shared" si="536"/>
        <v>6.7473824325135906E-3</v>
      </c>
      <c r="S762" s="29">
        <f t="shared" si="514"/>
        <v>1.3068067837332656E-2</v>
      </c>
      <c r="T762" s="29">
        <f t="shared" si="536"/>
        <v>0.27841687495119294</v>
      </c>
      <c r="U762" s="29">
        <f t="shared" si="536"/>
        <v>6.3404319941405178E-3</v>
      </c>
      <c r="V762" s="29">
        <f t="shared" si="536"/>
        <v>7.6485742425440924E-4</v>
      </c>
      <c r="W762" s="27" t="str">
        <f t="shared" si="503"/>
        <v>OK</v>
      </c>
    </row>
    <row r="763" spans="1:23" x14ac:dyDescent="0.2">
      <c r="A763" s="3">
        <f t="shared" si="512"/>
        <v>23</v>
      </c>
      <c r="B763" s="3" t="str">
        <f t="shared" si="532"/>
        <v>Transmission Plant</v>
      </c>
      <c r="C763" s="3"/>
      <c r="D763" s="3"/>
      <c r="E763" s="3" t="str">
        <f t="shared" si="533"/>
        <v>TRANPLT</v>
      </c>
      <c r="F763" s="3"/>
      <c r="G763" s="3"/>
      <c r="H763" s="29">
        <f t="shared" si="508"/>
        <v>0</v>
      </c>
      <c r="I763" s="29">
        <v>0</v>
      </c>
      <c r="J763" s="29">
        <f t="shared" si="510"/>
        <v>0</v>
      </c>
      <c r="K763" s="29">
        <f t="shared" ref="K763:V763" si="537">IF($H691&lt;&gt;0,K691/$H691,0)</f>
        <v>0</v>
      </c>
      <c r="L763" s="29">
        <f t="shared" si="537"/>
        <v>0</v>
      </c>
      <c r="M763" s="29">
        <f t="shared" si="537"/>
        <v>0</v>
      </c>
      <c r="N763" s="29">
        <f t="shared" si="537"/>
        <v>0</v>
      </c>
      <c r="O763" s="29">
        <f t="shared" si="537"/>
        <v>0</v>
      </c>
      <c r="P763" s="29">
        <f t="shared" si="537"/>
        <v>0</v>
      </c>
      <c r="Q763" s="29">
        <f t="shared" si="537"/>
        <v>0</v>
      </c>
      <c r="R763" s="29">
        <f t="shared" si="537"/>
        <v>0</v>
      </c>
      <c r="S763" s="29">
        <f t="shared" si="514"/>
        <v>0</v>
      </c>
      <c r="T763" s="29">
        <f t="shared" si="537"/>
        <v>0</v>
      </c>
      <c r="U763" s="29">
        <f t="shared" si="537"/>
        <v>0</v>
      </c>
      <c r="V763" s="29">
        <f t="shared" si="537"/>
        <v>0</v>
      </c>
      <c r="W763" s="27" t="str">
        <f t="shared" si="503"/>
        <v>OK</v>
      </c>
    </row>
    <row r="764" spans="1:23" x14ac:dyDescent="0.2">
      <c r="A764" s="3">
        <f t="shared" si="512"/>
        <v>24</v>
      </c>
      <c r="B764" s="3" t="str">
        <f t="shared" si="532"/>
        <v>Texas Transmission Plant</v>
      </c>
      <c r="C764" s="3"/>
      <c r="D764" s="3"/>
      <c r="E764" s="3" t="str">
        <f t="shared" si="533"/>
        <v>TTRANPLT</v>
      </c>
      <c r="F764" s="3"/>
      <c r="G764" s="3"/>
      <c r="H764" s="29">
        <f t="shared" si="508"/>
        <v>0</v>
      </c>
      <c r="I764" s="29">
        <v>0</v>
      </c>
      <c r="J764" s="29">
        <f t="shared" si="510"/>
        <v>0</v>
      </c>
      <c r="K764" s="29">
        <f t="shared" ref="K764:V764" si="538">IF($H692&lt;&gt;0,K692/$H692,0)</f>
        <v>0</v>
      </c>
      <c r="L764" s="29">
        <f t="shared" si="538"/>
        <v>0</v>
      </c>
      <c r="M764" s="29">
        <f t="shared" si="538"/>
        <v>0</v>
      </c>
      <c r="N764" s="29">
        <f t="shared" si="538"/>
        <v>0</v>
      </c>
      <c r="O764" s="29">
        <f t="shared" si="538"/>
        <v>0</v>
      </c>
      <c r="P764" s="29">
        <f t="shared" si="538"/>
        <v>0</v>
      </c>
      <c r="Q764" s="29">
        <f t="shared" si="538"/>
        <v>0</v>
      </c>
      <c r="R764" s="29">
        <f t="shared" si="538"/>
        <v>0</v>
      </c>
      <c r="S764" s="29">
        <f t="shared" si="514"/>
        <v>0</v>
      </c>
      <c r="T764" s="29">
        <f t="shared" si="538"/>
        <v>0</v>
      </c>
      <c r="U764" s="29">
        <f t="shared" si="538"/>
        <v>0</v>
      </c>
      <c r="V764" s="29">
        <f t="shared" si="538"/>
        <v>0</v>
      </c>
      <c r="W764" s="27" t="str">
        <f t="shared" si="503"/>
        <v>OK</v>
      </c>
    </row>
    <row r="765" spans="1:23" x14ac:dyDescent="0.2">
      <c r="A765" s="3">
        <f t="shared" si="512"/>
        <v>25</v>
      </c>
      <c r="B765" s="3" t="str">
        <f t="shared" si="532"/>
        <v>Other Jurisdiction Transmission Plant</v>
      </c>
      <c r="C765" s="3"/>
      <c r="D765" s="3"/>
      <c r="E765" s="3" t="str">
        <f t="shared" si="533"/>
        <v>OTRANPLT</v>
      </c>
      <c r="F765" s="3"/>
      <c r="G765" s="3"/>
      <c r="H765" s="29">
        <f t="shared" si="508"/>
        <v>0</v>
      </c>
      <c r="I765" s="29">
        <v>0</v>
      </c>
      <c r="J765" s="29">
        <f t="shared" si="510"/>
        <v>0</v>
      </c>
      <c r="K765" s="29">
        <f t="shared" ref="K765:V765" si="539">IF($H693&lt;&gt;0,K693/$H693,0)</f>
        <v>0</v>
      </c>
      <c r="L765" s="29">
        <f t="shared" si="539"/>
        <v>0</v>
      </c>
      <c r="M765" s="29">
        <f t="shared" si="539"/>
        <v>0</v>
      </c>
      <c r="N765" s="29">
        <f t="shared" si="539"/>
        <v>0</v>
      </c>
      <c r="O765" s="29">
        <f t="shared" si="539"/>
        <v>0</v>
      </c>
      <c r="P765" s="29">
        <f t="shared" si="539"/>
        <v>0</v>
      </c>
      <c r="Q765" s="29">
        <f t="shared" si="539"/>
        <v>0</v>
      </c>
      <c r="R765" s="29">
        <f t="shared" si="539"/>
        <v>0</v>
      </c>
      <c r="S765" s="29">
        <f t="shared" si="514"/>
        <v>0</v>
      </c>
      <c r="T765" s="29">
        <f t="shared" si="539"/>
        <v>0</v>
      </c>
      <c r="U765" s="29">
        <f t="shared" si="539"/>
        <v>0</v>
      </c>
      <c r="V765" s="29">
        <f t="shared" si="539"/>
        <v>0</v>
      </c>
      <c r="W765" s="27" t="str">
        <f t="shared" si="503"/>
        <v>OK</v>
      </c>
    </row>
    <row r="766" spans="1:23" x14ac:dyDescent="0.2">
      <c r="A766" s="3">
        <f t="shared" si="512"/>
        <v>26</v>
      </c>
      <c r="B766" s="3" t="str">
        <f t="shared" si="532"/>
        <v>Distribution Plant</v>
      </c>
      <c r="C766" s="3"/>
      <c r="D766" s="3"/>
      <c r="E766" s="3" t="str">
        <f t="shared" si="533"/>
        <v>DISTPLT</v>
      </c>
      <c r="F766" s="3"/>
      <c r="G766" s="3"/>
      <c r="H766" s="29">
        <f t="shared" si="508"/>
        <v>1</v>
      </c>
      <c r="I766" s="29">
        <v>0</v>
      </c>
      <c r="J766" s="29">
        <f t="shared" si="510"/>
        <v>1</v>
      </c>
      <c r="K766" s="29">
        <f t="shared" ref="K766:V766" si="540">IF($H694&lt;&gt;0,K694/$H694,0)</f>
        <v>0.58135613136981923</v>
      </c>
      <c r="L766" s="29">
        <f t="shared" si="540"/>
        <v>2.4255207809413239E-2</v>
      </c>
      <c r="M766" s="29">
        <f t="shared" si="540"/>
        <v>0.28231290566607736</v>
      </c>
      <c r="N766" s="29">
        <f t="shared" si="540"/>
        <v>3.6857808154837336E-2</v>
      </c>
      <c r="O766" s="29">
        <f t="shared" si="540"/>
        <v>0.24545509751124003</v>
      </c>
      <c r="P766" s="29">
        <f t="shared" si="540"/>
        <v>6.0919623224902089E-2</v>
      </c>
      <c r="Q766" s="29">
        <f t="shared" si="540"/>
        <v>4.9557937872865297E-2</v>
      </c>
      <c r="R766" s="29">
        <f t="shared" si="540"/>
        <v>3.5862981649456126E-3</v>
      </c>
      <c r="S766" s="29">
        <f t="shared" si="514"/>
        <v>7.7753871870911853E-3</v>
      </c>
      <c r="T766" s="29">
        <f t="shared" si="540"/>
        <v>0</v>
      </c>
      <c r="U766" s="29">
        <f t="shared" si="540"/>
        <v>4.8893971494470889E-2</v>
      </c>
      <c r="V766" s="29">
        <f t="shared" si="540"/>
        <v>2.2621604353172827E-3</v>
      </c>
      <c r="W766" s="27" t="str">
        <f t="shared" si="503"/>
        <v>OK</v>
      </c>
    </row>
    <row r="767" spans="1:23" x14ac:dyDescent="0.2">
      <c r="A767" s="3">
        <f t="shared" si="512"/>
        <v>27</v>
      </c>
      <c r="B767" s="3" t="str">
        <f t="shared" si="532"/>
        <v>Texas Distribution Plant</v>
      </c>
      <c r="C767" s="3"/>
      <c r="D767" s="3"/>
      <c r="E767" s="3" t="str">
        <f t="shared" si="533"/>
        <v>TDISTPLT</v>
      </c>
      <c r="F767" s="3"/>
      <c r="G767" s="3"/>
      <c r="H767" s="29">
        <f t="shared" si="508"/>
        <v>1</v>
      </c>
      <c r="I767" s="29">
        <v>0</v>
      </c>
      <c r="J767" s="29">
        <f t="shared" si="510"/>
        <v>1</v>
      </c>
      <c r="K767" s="29">
        <f t="shared" ref="K767:V767" si="541">IF($H695&lt;&gt;0,K695/$H695,0)</f>
        <v>0.58135613136981923</v>
      </c>
      <c r="L767" s="29">
        <f t="shared" si="541"/>
        <v>2.4255207809413239E-2</v>
      </c>
      <c r="M767" s="29">
        <f t="shared" si="541"/>
        <v>0.28231290566607736</v>
      </c>
      <c r="N767" s="29">
        <f t="shared" si="541"/>
        <v>3.6857808154837336E-2</v>
      </c>
      <c r="O767" s="29">
        <f t="shared" si="541"/>
        <v>0.24545509751124003</v>
      </c>
      <c r="P767" s="29">
        <f t="shared" si="541"/>
        <v>6.0919623224902089E-2</v>
      </c>
      <c r="Q767" s="29">
        <f t="shared" si="541"/>
        <v>4.9557937872865297E-2</v>
      </c>
      <c r="R767" s="29">
        <f t="shared" si="541"/>
        <v>3.5862981649456126E-3</v>
      </c>
      <c r="S767" s="29">
        <f t="shared" si="514"/>
        <v>7.7753871870911853E-3</v>
      </c>
      <c r="T767" s="29">
        <f t="shared" si="541"/>
        <v>0</v>
      </c>
      <c r="U767" s="29">
        <f t="shared" si="541"/>
        <v>4.8893971494470889E-2</v>
      </c>
      <c r="V767" s="29">
        <f t="shared" si="541"/>
        <v>2.2621604353172827E-3</v>
      </c>
      <c r="W767" s="27" t="str">
        <f t="shared" si="503"/>
        <v>OK</v>
      </c>
    </row>
    <row r="768" spans="1:23" x14ac:dyDescent="0.2">
      <c r="A768" s="3">
        <f t="shared" si="512"/>
        <v>28</v>
      </c>
      <c r="B768" s="3" t="str">
        <f t="shared" si="532"/>
        <v>Other Jurisdiction Distribution Plant</v>
      </c>
      <c r="C768" s="3"/>
      <c r="D768" s="3"/>
      <c r="E768" s="3" t="str">
        <f t="shared" si="533"/>
        <v>ODISTPLT</v>
      </c>
      <c r="F768" s="3"/>
      <c r="G768" s="3"/>
      <c r="H768" s="29">
        <f t="shared" si="508"/>
        <v>0</v>
      </c>
      <c r="I768" s="29">
        <v>0</v>
      </c>
      <c r="J768" s="29">
        <f t="shared" si="510"/>
        <v>0</v>
      </c>
      <c r="K768" s="29">
        <f t="shared" ref="K768:V768" si="542">IF($H696&lt;&gt;0,K696/$H696,0)</f>
        <v>0</v>
      </c>
      <c r="L768" s="29">
        <f t="shared" si="542"/>
        <v>0</v>
      </c>
      <c r="M768" s="29">
        <f t="shared" si="542"/>
        <v>0</v>
      </c>
      <c r="N768" s="29">
        <f t="shared" si="542"/>
        <v>0</v>
      </c>
      <c r="O768" s="29">
        <f t="shared" si="542"/>
        <v>0</v>
      </c>
      <c r="P768" s="29">
        <f t="shared" si="542"/>
        <v>0</v>
      </c>
      <c r="Q768" s="29">
        <f t="shared" si="542"/>
        <v>0</v>
      </c>
      <c r="R768" s="29">
        <f t="shared" si="542"/>
        <v>0</v>
      </c>
      <c r="S768" s="29">
        <f t="shared" si="514"/>
        <v>0</v>
      </c>
      <c r="T768" s="29">
        <f t="shared" si="542"/>
        <v>0</v>
      </c>
      <c r="U768" s="29">
        <f t="shared" si="542"/>
        <v>0</v>
      </c>
      <c r="V768" s="29">
        <f t="shared" si="542"/>
        <v>0</v>
      </c>
      <c r="W768" s="27" t="str">
        <f t="shared" si="503"/>
        <v>OK</v>
      </c>
    </row>
    <row r="769" spans="1:23" x14ac:dyDescent="0.2">
      <c r="A769" s="3">
        <f t="shared" si="512"/>
        <v>29</v>
      </c>
      <c r="B769" s="3" t="str">
        <f t="shared" si="532"/>
        <v>General Plant</v>
      </c>
      <c r="C769" s="3"/>
      <c r="D769" s="3"/>
      <c r="E769" s="3" t="str">
        <f t="shared" si="533"/>
        <v>GENPLT</v>
      </c>
      <c r="F769" s="3"/>
      <c r="G769" s="3"/>
      <c r="H769" s="29">
        <f t="shared" si="508"/>
        <v>1</v>
      </c>
      <c r="I769" s="29">
        <v>0</v>
      </c>
      <c r="J769" s="29">
        <f t="shared" si="510"/>
        <v>1</v>
      </c>
      <c r="K769" s="29">
        <f t="shared" ref="K769:V769" si="543">IF($H697&lt;&gt;0,K697/$H697,0)</f>
        <v>0.57468380081152981</v>
      </c>
      <c r="L769" s="29">
        <f t="shared" si="543"/>
        <v>2.1254326604242514E-2</v>
      </c>
      <c r="M769" s="29">
        <f t="shared" si="543"/>
        <v>0.29521668768611825</v>
      </c>
      <c r="N769" s="29">
        <f t="shared" si="543"/>
        <v>3.9321139400391288E-2</v>
      </c>
      <c r="O769" s="29">
        <f t="shared" si="543"/>
        <v>0.25589554828572697</v>
      </c>
      <c r="P769" s="29">
        <f t="shared" si="543"/>
        <v>7.7855318385340239E-2</v>
      </c>
      <c r="Q769" s="29">
        <f t="shared" si="543"/>
        <v>6.3333421235910903E-2</v>
      </c>
      <c r="R769" s="29">
        <f t="shared" si="543"/>
        <v>4.5834821740014121E-3</v>
      </c>
      <c r="S769" s="29">
        <f t="shared" si="514"/>
        <v>9.938414975427929E-3</v>
      </c>
      <c r="T769" s="29">
        <f t="shared" si="543"/>
        <v>5.3882036414148135E-6</v>
      </c>
      <c r="U769" s="29">
        <f t="shared" si="543"/>
        <v>2.8094259801821529E-2</v>
      </c>
      <c r="V769" s="29">
        <f t="shared" si="543"/>
        <v>2.8902185073062265E-3</v>
      </c>
      <c r="W769" s="27" t="str">
        <f t="shared" ref="W769:W800" si="544">IF((+K769+L769+M769+P769+T769+U769+V769)-H769=0,"OK",(+K769+L769+M769+P769+T769+U769+V769)-H769)</f>
        <v>OK</v>
      </c>
    </row>
    <row r="770" spans="1:23" x14ac:dyDescent="0.2">
      <c r="A770" s="3">
        <f t="shared" si="512"/>
        <v>30</v>
      </c>
      <c r="B770" s="3" t="str">
        <f t="shared" si="532"/>
        <v>Texas General Plant</v>
      </c>
      <c r="C770" s="3"/>
      <c r="D770" s="3"/>
      <c r="E770" s="3" t="str">
        <f t="shared" si="533"/>
        <v>TGENPLT</v>
      </c>
      <c r="F770" s="3"/>
      <c r="G770" s="3"/>
      <c r="H770" s="29">
        <f t="shared" si="508"/>
        <v>1</v>
      </c>
      <c r="I770" s="29">
        <v>0</v>
      </c>
      <c r="J770" s="29">
        <f t="shared" si="510"/>
        <v>1</v>
      </c>
      <c r="K770" s="29">
        <f t="shared" ref="K770:V770" si="545">IF($H698&lt;&gt;0,K698/$H698,0)</f>
        <v>0.57468380081152981</v>
      </c>
      <c r="L770" s="29">
        <f t="shared" si="545"/>
        <v>2.1254326604242514E-2</v>
      </c>
      <c r="M770" s="29">
        <f t="shared" si="545"/>
        <v>0.29521668768611825</v>
      </c>
      <c r="N770" s="29">
        <f t="shared" si="545"/>
        <v>3.9321139400391288E-2</v>
      </c>
      <c r="O770" s="29">
        <f t="shared" si="545"/>
        <v>0.25589554828572697</v>
      </c>
      <c r="P770" s="29">
        <f t="shared" si="545"/>
        <v>7.7855318385340239E-2</v>
      </c>
      <c r="Q770" s="29">
        <f t="shared" si="545"/>
        <v>6.3333421235910903E-2</v>
      </c>
      <c r="R770" s="29">
        <f t="shared" si="545"/>
        <v>4.5834821740014121E-3</v>
      </c>
      <c r="S770" s="29">
        <f t="shared" si="514"/>
        <v>9.938414975427929E-3</v>
      </c>
      <c r="T770" s="29">
        <f t="shared" si="545"/>
        <v>5.3882036414148135E-6</v>
      </c>
      <c r="U770" s="29">
        <f t="shared" si="545"/>
        <v>2.8094259801821529E-2</v>
      </c>
      <c r="V770" s="29">
        <f t="shared" si="545"/>
        <v>2.8902185073062265E-3</v>
      </c>
      <c r="W770" s="27" t="str">
        <f t="shared" si="544"/>
        <v>OK</v>
      </c>
    </row>
    <row r="771" spans="1:23" x14ac:dyDescent="0.2">
      <c r="A771" s="3">
        <f t="shared" si="512"/>
        <v>31</v>
      </c>
      <c r="B771" s="3" t="str">
        <f t="shared" si="532"/>
        <v>Other Jurisdiction General Plant</v>
      </c>
      <c r="C771" s="3"/>
      <c r="D771" s="3"/>
      <c r="E771" s="3" t="str">
        <f t="shared" si="533"/>
        <v>OGENPLT</v>
      </c>
      <c r="F771" s="3"/>
      <c r="G771" s="3"/>
      <c r="H771" s="29">
        <f t="shared" si="508"/>
        <v>0</v>
      </c>
      <c r="I771" s="29">
        <v>0</v>
      </c>
      <c r="J771" s="29">
        <f t="shared" si="510"/>
        <v>0</v>
      </c>
      <c r="K771" s="29">
        <f t="shared" ref="K771:V771" si="546">IF($H699&lt;&gt;0,K699/$H699,0)</f>
        <v>0</v>
      </c>
      <c r="L771" s="29">
        <f t="shared" si="546"/>
        <v>0</v>
      </c>
      <c r="M771" s="29">
        <f t="shared" si="546"/>
        <v>0</v>
      </c>
      <c r="N771" s="29">
        <f t="shared" si="546"/>
        <v>0</v>
      </c>
      <c r="O771" s="29">
        <f t="shared" si="546"/>
        <v>0</v>
      </c>
      <c r="P771" s="29">
        <f t="shared" si="546"/>
        <v>0</v>
      </c>
      <c r="Q771" s="29">
        <f t="shared" si="546"/>
        <v>0</v>
      </c>
      <c r="R771" s="29">
        <f t="shared" si="546"/>
        <v>0</v>
      </c>
      <c r="S771" s="29">
        <f t="shared" si="514"/>
        <v>0</v>
      </c>
      <c r="T771" s="29">
        <f t="shared" si="546"/>
        <v>0</v>
      </c>
      <c r="U771" s="29">
        <f t="shared" si="546"/>
        <v>0</v>
      </c>
      <c r="V771" s="29">
        <f t="shared" si="546"/>
        <v>0</v>
      </c>
      <c r="W771" s="27" t="str">
        <f t="shared" si="544"/>
        <v>OK</v>
      </c>
    </row>
    <row r="772" spans="1:23" x14ac:dyDescent="0.2">
      <c r="A772" s="3">
        <f t="shared" si="512"/>
        <v>32</v>
      </c>
      <c r="B772" s="3" t="str">
        <f t="shared" si="532"/>
        <v>Intangible Plant</v>
      </c>
      <c r="C772" s="3"/>
      <c r="D772" s="3"/>
      <c r="E772" s="3" t="str">
        <f t="shared" si="533"/>
        <v>INTANPLT</v>
      </c>
      <c r="F772" s="3"/>
      <c r="G772" s="3"/>
      <c r="H772" s="29">
        <f t="shared" si="508"/>
        <v>1</v>
      </c>
      <c r="I772" s="29">
        <v>0</v>
      </c>
      <c r="J772" s="29">
        <f t="shared" si="510"/>
        <v>1</v>
      </c>
      <c r="K772" s="29">
        <f t="shared" ref="K772:V772" si="547">IF($H700&lt;&gt;0,K700/$H700,0)</f>
        <v>0.57468380081152981</v>
      </c>
      <c r="L772" s="29">
        <f t="shared" si="547"/>
        <v>2.1254326604242514E-2</v>
      </c>
      <c r="M772" s="29">
        <f t="shared" si="547"/>
        <v>0.29521668768611825</v>
      </c>
      <c r="N772" s="29">
        <f t="shared" si="547"/>
        <v>3.9321139400391288E-2</v>
      </c>
      <c r="O772" s="29">
        <f t="shared" si="547"/>
        <v>0.25589554828572697</v>
      </c>
      <c r="P772" s="29">
        <f t="shared" si="547"/>
        <v>7.7855318385340225E-2</v>
      </c>
      <c r="Q772" s="29">
        <f t="shared" si="547"/>
        <v>6.3333421235910889E-2</v>
      </c>
      <c r="R772" s="29">
        <f t="shared" si="547"/>
        <v>4.5834821740014121E-3</v>
      </c>
      <c r="S772" s="29">
        <f t="shared" si="514"/>
        <v>9.938414975427929E-3</v>
      </c>
      <c r="T772" s="29">
        <f t="shared" si="547"/>
        <v>5.3882036414148135E-6</v>
      </c>
      <c r="U772" s="29">
        <f t="shared" si="547"/>
        <v>2.8094259801821522E-2</v>
      </c>
      <c r="V772" s="29">
        <f t="shared" si="547"/>
        <v>2.8902185073062265E-3</v>
      </c>
      <c r="W772" s="27" t="str">
        <f t="shared" si="544"/>
        <v>OK</v>
      </c>
    </row>
    <row r="773" spans="1:23" x14ac:dyDescent="0.2">
      <c r="A773" s="3">
        <f t="shared" si="512"/>
        <v>33</v>
      </c>
      <c r="B773" s="3" t="str">
        <f t="shared" si="532"/>
        <v>Texas Intangible Plant</v>
      </c>
      <c r="C773" s="3"/>
      <c r="D773" s="3"/>
      <c r="E773" s="3" t="str">
        <f t="shared" si="533"/>
        <v>TINTANPLT</v>
      </c>
      <c r="F773" s="3"/>
      <c r="G773" s="3"/>
      <c r="H773" s="29">
        <f t="shared" si="508"/>
        <v>1</v>
      </c>
      <c r="I773" s="29">
        <v>0</v>
      </c>
      <c r="J773" s="29">
        <f t="shared" si="510"/>
        <v>1</v>
      </c>
      <c r="K773" s="29">
        <f t="shared" ref="K773:V773" si="548">IF($H701&lt;&gt;0,K701/$H701,0)</f>
        <v>0.57468380081152981</v>
      </c>
      <c r="L773" s="29">
        <f t="shared" si="548"/>
        <v>2.1254326604242514E-2</v>
      </c>
      <c r="M773" s="29">
        <f t="shared" si="548"/>
        <v>0.29521668768611825</v>
      </c>
      <c r="N773" s="29">
        <f t="shared" si="548"/>
        <v>3.9321139400391288E-2</v>
      </c>
      <c r="O773" s="29">
        <f t="shared" si="548"/>
        <v>0.25589554828572697</v>
      </c>
      <c r="P773" s="29">
        <f t="shared" si="548"/>
        <v>7.7855318385340225E-2</v>
      </c>
      <c r="Q773" s="29">
        <f t="shared" si="548"/>
        <v>6.3333421235910889E-2</v>
      </c>
      <c r="R773" s="29">
        <f t="shared" si="548"/>
        <v>4.5834821740014121E-3</v>
      </c>
      <c r="S773" s="29">
        <f t="shared" si="514"/>
        <v>9.938414975427929E-3</v>
      </c>
      <c r="T773" s="29">
        <f t="shared" si="548"/>
        <v>5.3882036414148135E-6</v>
      </c>
      <c r="U773" s="29">
        <f t="shared" si="548"/>
        <v>2.8094259801821522E-2</v>
      </c>
      <c r="V773" s="29">
        <f t="shared" si="548"/>
        <v>2.8902185073062265E-3</v>
      </c>
      <c r="W773" s="27" t="str">
        <f t="shared" si="544"/>
        <v>OK</v>
      </c>
    </row>
    <row r="774" spans="1:23" x14ac:dyDescent="0.2">
      <c r="A774" s="3">
        <f t="shared" si="512"/>
        <v>34</v>
      </c>
      <c r="B774" s="3" t="str">
        <f t="shared" si="532"/>
        <v>Other Jurisdiction Intangible Plant</v>
      </c>
      <c r="C774" s="3"/>
      <c r="D774" s="3"/>
      <c r="E774" s="3" t="str">
        <f t="shared" si="533"/>
        <v>OINTANPLT</v>
      </c>
      <c r="F774" s="3"/>
      <c r="G774" s="3"/>
      <c r="H774" s="29">
        <f t="shared" si="508"/>
        <v>0</v>
      </c>
      <c r="I774" s="29">
        <v>0</v>
      </c>
      <c r="J774" s="29">
        <f t="shared" si="510"/>
        <v>0</v>
      </c>
      <c r="K774" s="29">
        <f t="shared" ref="K774:V774" si="549">IF($H702&lt;&gt;0,K702/$H702,0)</f>
        <v>0</v>
      </c>
      <c r="L774" s="29">
        <f t="shared" si="549"/>
        <v>0</v>
      </c>
      <c r="M774" s="29">
        <f t="shared" si="549"/>
        <v>0</v>
      </c>
      <c r="N774" s="29">
        <f t="shared" si="549"/>
        <v>0</v>
      </c>
      <c r="O774" s="29">
        <f t="shared" si="549"/>
        <v>0</v>
      </c>
      <c r="P774" s="29">
        <f t="shared" si="549"/>
        <v>0</v>
      </c>
      <c r="Q774" s="29">
        <f t="shared" si="549"/>
        <v>0</v>
      </c>
      <c r="R774" s="29">
        <f t="shared" si="549"/>
        <v>0</v>
      </c>
      <c r="S774" s="29">
        <f t="shared" si="549"/>
        <v>0</v>
      </c>
      <c r="T774" s="29">
        <f t="shared" si="549"/>
        <v>0</v>
      </c>
      <c r="U774" s="29">
        <f t="shared" si="549"/>
        <v>0</v>
      </c>
      <c r="V774" s="29">
        <f t="shared" si="549"/>
        <v>0</v>
      </c>
      <c r="W774" s="27" t="str">
        <f t="shared" si="544"/>
        <v>OK</v>
      </c>
    </row>
    <row r="775" spans="1:23" x14ac:dyDescent="0.2">
      <c r="A775" s="3">
        <f t="shared" si="512"/>
        <v>35</v>
      </c>
      <c r="B775" s="3" t="str">
        <f t="shared" si="532"/>
        <v>Plant in Service</v>
      </c>
      <c r="C775" s="3"/>
      <c r="D775" s="3"/>
      <c r="E775" s="3" t="str">
        <f t="shared" si="533"/>
        <v>PLTSVC</v>
      </c>
      <c r="F775" s="3"/>
      <c r="G775" s="3"/>
      <c r="H775" s="29">
        <f t="shared" ref="H775:H806" si="550">SUM(I775:J775)</f>
        <v>1</v>
      </c>
      <c r="I775" s="29">
        <v>0</v>
      </c>
      <c r="J775" s="29">
        <f t="shared" si="510"/>
        <v>1</v>
      </c>
      <c r="K775" s="29">
        <f t="shared" ref="K775:V775" si="551">IF($H703&lt;&gt;0,K703/$H703,0)</f>
        <v>0.58050939525465151</v>
      </c>
      <c r="L775" s="29">
        <f t="shared" si="551"/>
        <v>2.3874388173523137E-2</v>
      </c>
      <c r="M775" s="29">
        <f t="shared" si="551"/>
        <v>0.28395042919150376</v>
      </c>
      <c r="N775" s="29">
        <f t="shared" si="551"/>
        <v>3.7170411301670384E-2</v>
      </c>
      <c r="O775" s="29">
        <f t="shared" si="551"/>
        <v>0.24678001788983339</v>
      </c>
      <c r="P775" s="29">
        <f t="shared" si="551"/>
        <v>6.306880702245822E-2</v>
      </c>
      <c r="Q775" s="29">
        <f t="shared" si="551"/>
        <v>5.1306082567658902E-2</v>
      </c>
      <c r="R775" s="29">
        <f t="shared" si="551"/>
        <v>3.7128434112518377E-3</v>
      </c>
      <c r="S775" s="29">
        <f t="shared" si="551"/>
        <v>8.0498810435474886E-3</v>
      </c>
      <c r="T775" s="29">
        <f t="shared" si="551"/>
        <v>6.837770669794054E-7</v>
      </c>
      <c r="U775" s="29">
        <f t="shared" si="551"/>
        <v>4.6254433941379715E-2</v>
      </c>
      <c r="V775" s="29">
        <f t="shared" si="551"/>
        <v>2.3418626394167137E-3</v>
      </c>
      <c r="W775" s="27" t="str">
        <f t="shared" si="544"/>
        <v>OK</v>
      </c>
    </row>
    <row r="776" spans="1:23" x14ac:dyDescent="0.2">
      <c r="A776" s="3">
        <f t="shared" si="512"/>
        <v>36</v>
      </c>
      <c r="B776" s="3" t="str">
        <f t="shared" si="532"/>
        <v>Net Plant</v>
      </c>
      <c r="C776" s="3"/>
      <c r="D776" s="3"/>
      <c r="E776" s="3" t="str">
        <f t="shared" si="533"/>
        <v>NPLT</v>
      </c>
      <c r="F776" s="3"/>
      <c r="G776" s="3"/>
      <c r="H776" s="29">
        <f t="shared" si="550"/>
        <v>1.0000000000000002</v>
      </c>
      <c r="I776" s="29">
        <v>0</v>
      </c>
      <c r="J776" s="29">
        <f t="shared" si="510"/>
        <v>1.0000000000000002</v>
      </c>
      <c r="K776" s="29">
        <f t="shared" ref="K776:V776" si="552">IF($H704&lt;&gt;0,K704/$H704,0)</f>
        <v>0.57907042684366183</v>
      </c>
      <c r="L776" s="29">
        <f t="shared" si="552"/>
        <v>2.2662868466069189E-2</v>
      </c>
      <c r="M776" s="29">
        <f t="shared" si="552"/>
        <v>0.2900697052482798</v>
      </c>
      <c r="N776" s="29">
        <f t="shared" si="552"/>
        <v>3.8299094755537021E-2</v>
      </c>
      <c r="O776" s="29">
        <f t="shared" si="552"/>
        <v>0.2517706104927428</v>
      </c>
      <c r="P776" s="29">
        <f t="shared" si="552"/>
        <v>6.4897658040045034E-2</v>
      </c>
      <c r="Q776" s="29">
        <f t="shared" si="552"/>
        <v>5.2793858558811968E-2</v>
      </c>
      <c r="R776" s="29">
        <f t="shared" si="552"/>
        <v>3.8205054054123245E-3</v>
      </c>
      <c r="S776" s="29">
        <f t="shared" si="552"/>
        <v>8.2832940758207456E-3</v>
      </c>
      <c r="T776" s="29">
        <f t="shared" si="552"/>
        <v>6.4811032805948085E-7</v>
      </c>
      <c r="U776" s="29">
        <f t="shared" si="552"/>
        <v>4.0888913510248939E-2</v>
      </c>
      <c r="V776" s="29">
        <f t="shared" si="552"/>
        <v>2.4097797813672711E-3</v>
      </c>
      <c r="W776" s="27" t="str">
        <f t="shared" si="544"/>
        <v>OK</v>
      </c>
    </row>
    <row r="777" spans="1:23" x14ac:dyDescent="0.2">
      <c r="A777" s="3">
        <f t="shared" si="512"/>
        <v>37</v>
      </c>
      <c r="B777" s="3" t="str">
        <f t="shared" si="532"/>
        <v>Plant excluding General</v>
      </c>
      <c r="C777" s="3"/>
      <c r="D777" s="3"/>
      <c r="E777" s="3" t="str">
        <f t="shared" si="533"/>
        <v>PLTXGENL</v>
      </c>
      <c r="F777" s="3"/>
      <c r="G777" s="3"/>
      <c r="H777" s="29">
        <f t="shared" si="550"/>
        <v>1.0000000000000002</v>
      </c>
      <c r="I777" s="29">
        <v>0</v>
      </c>
      <c r="J777" s="29">
        <f t="shared" si="510"/>
        <v>1.0000000000000002</v>
      </c>
      <c r="K777" s="29">
        <f t="shared" ref="K777:V777" si="553">IF($H705&lt;&gt;0,K705/$H705,0)</f>
        <v>0.58117724665174519</v>
      </c>
      <c r="L777" s="29">
        <f t="shared" si="553"/>
        <v>2.4174754393073754E-2</v>
      </c>
      <c r="M777" s="29">
        <f t="shared" si="553"/>
        <v>0.28265885516431927</v>
      </c>
      <c r="N777" s="29">
        <f t="shared" si="553"/>
        <v>3.692384989415682E-2</v>
      </c>
      <c r="O777" s="29">
        <f t="shared" si="553"/>
        <v>0.24573500527016248</v>
      </c>
      <c r="P777" s="29">
        <f t="shared" si="553"/>
        <v>6.1373668033938053E-2</v>
      </c>
      <c r="Q777" s="29">
        <f t="shared" si="553"/>
        <v>4.9927257623468932E-2</v>
      </c>
      <c r="R777" s="29">
        <f t="shared" si="553"/>
        <v>3.6130325988543623E-3</v>
      </c>
      <c r="S777" s="29">
        <f t="shared" si="553"/>
        <v>7.8333778116147692E-3</v>
      </c>
      <c r="T777" s="29">
        <f t="shared" si="553"/>
        <v>1.4445736476929939E-7</v>
      </c>
      <c r="U777" s="29">
        <f t="shared" si="553"/>
        <v>4.8336332671025772E-2</v>
      </c>
      <c r="V777" s="29">
        <f t="shared" si="553"/>
        <v>2.2789986285333408E-3</v>
      </c>
      <c r="W777" s="27" t="str">
        <f t="shared" si="544"/>
        <v>OK</v>
      </c>
    </row>
    <row r="778" spans="1:23" x14ac:dyDescent="0.2">
      <c r="A778" s="3">
        <f t="shared" si="512"/>
        <v>38</v>
      </c>
      <c r="B778" s="3" t="str">
        <f t="shared" si="532"/>
        <v>Production, Transmission and Distribution Plant</v>
      </c>
      <c r="C778" s="3"/>
      <c r="D778" s="3"/>
      <c r="E778" s="3" t="str">
        <f t="shared" si="533"/>
        <v>PTDPLT</v>
      </c>
      <c r="F778" s="3"/>
      <c r="G778" s="3"/>
      <c r="H778" s="29">
        <f t="shared" si="550"/>
        <v>1</v>
      </c>
      <c r="I778" s="29">
        <v>0</v>
      </c>
      <c r="J778" s="29">
        <f t="shared" si="510"/>
        <v>1</v>
      </c>
      <c r="K778" s="29">
        <f t="shared" ref="K778:V778" si="554">IF($H706&lt;&gt;0,K706/$H706,0)</f>
        <v>0.58135613136981923</v>
      </c>
      <c r="L778" s="29">
        <f t="shared" si="554"/>
        <v>2.4255207809413239E-2</v>
      </c>
      <c r="M778" s="29">
        <f t="shared" si="554"/>
        <v>0.28231290566607736</v>
      </c>
      <c r="N778" s="29">
        <f t="shared" si="554"/>
        <v>3.6857808154837336E-2</v>
      </c>
      <c r="O778" s="29">
        <f t="shared" si="554"/>
        <v>0.24545509751124003</v>
      </c>
      <c r="P778" s="29">
        <f t="shared" si="554"/>
        <v>6.0919623224902089E-2</v>
      </c>
      <c r="Q778" s="29">
        <f t="shared" si="554"/>
        <v>4.9557937872865297E-2</v>
      </c>
      <c r="R778" s="29">
        <f t="shared" si="554"/>
        <v>3.5862981649456126E-3</v>
      </c>
      <c r="S778" s="29">
        <f t="shared" si="554"/>
        <v>7.7753871870911853E-3</v>
      </c>
      <c r="T778" s="29">
        <f t="shared" si="554"/>
        <v>0</v>
      </c>
      <c r="U778" s="29">
        <f t="shared" si="554"/>
        <v>4.8893971494470889E-2</v>
      </c>
      <c r="V778" s="29">
        <f t="shared" si="554"/>
        <v>2.2621604353172827E-3</v>
      </c>
      <c r="W778" s="27" t="str">
        <f t="shared" si="544"/>
        <v>OK</v>
      </c>
    </row>
    <row r="779" spans="1:23" x14ac:dyDescent="0.2">
      <c r="A779" s="3">
        <f t="shared" si="512"/>
        <v>39</v>
      </c>
      <c r="B779" s="3" t="str">
        <f t="shared" si="532"/>
        <v>Accounts 352</v>
      </c>
      <c r="C779" s="3"/>
      <c r="D779" s="3"/>
      <c r="E779" s="3" t="str">
        <f t="shared" si="533"/>
        <v>PLT352</v>
      </c>
      <c r="F779" s="3"/>
      <c r="G779" s="3"/>
      <c r="H779" s="29">
        <f t="shared" si="550"/>
        <v>0</v>
      </c>
      <c r="I779" s="29">
        <v>0</v>
      </c>
      <c r="J779" s="29">
        <f t="shared" si="510"/>
        <v>0</v>
      </c>
      <c r="K779" s="29">
        <f t="shared" ref="K779:V779" si="555">IF($H707&lt;&gt;0,K707/$H707,0)</f>
        <v>0</v>
      </c>
      <c r="L779" s="29">
        <f t="shared" si="555"/>
        <v>0</v>
      </c>
      <c r="M779" s="29">
        <f t="shared" si="555"/>
        <v>0</v>
      </c>
      <c r="N779" s="29">
        <f t="shared" si="555"/>
        <v>0</v>
      </c>
      <c r="O779" s="29">
        <f t="shared" si="555"/>
        <v>0</v>
      </c>
      <c r="P779" s="29">
        <f t="shared" si="555"/>
        <v>0</v>
      </c>
      <c r="Q779" s="29">
        <f t="shared" si="555"/>
        <v>0</v>
      </c>
      <c r="R779" s="29">
        <f t="shared" si="555"/>
        <v>0</v>
      </c>
      <c r="S779" s="29">
        <f t="shared" si="555"/>
        <v>0</v>
      </c>
      <c r="T779" s="29">
        <f t="shared" si="555"/>
        <v>0</v>
      </c>
      <c r="U779" s="29">
        <f t="shared" si="555"/>
        <v>0</v>
      </c>
      <c r="V779" s="29">
        <f t="shared" si="555"/>
        <v>0</v>
      </c>
      <c r="W779" s="27" t="str">
        <f t="shared" si="544"/>
        <v>OK</v>
      </c>
    </row>
    <row r="780" spans="1:23" x14ac:dyDescent="0.2">
      <c r="A780" s="3">
        <f t="shared" si="512"/>
        <v>40</v>
      </c>
      <c r="B780" s="3" t="str">
        <f t="shared" si="532"/>
        <v>Account 353</v>
      </c>
      <c r="C780" s="3"/>
      <c r="D780" s="3"/>
      <c r="E780" s="3" t="str">
        <f t="shared" si="533"/>
        <v>PLT353</v>
      </c>
      <c r="F780" s="3"/>
      <c r="G780" s="3"/>
      <c r="H780" s="29">
        <f t="shared" si="550"/>
        <v>0</v>
      </c>
      <c r="I780" s="29">
        <v>0</v>
      </c>
      <c r="J780" s="29">
        <f t="shared" si="510"/>
        <v>0</v>
      </c>
      <c r="K780" s="29">
        <f t="shared" ref="K780:V780" si="556">IF($H708&lt;&gt;0,K708/$H708,0)</f>
        <v>0</v>
      </c>
      <c r="L780" s="29">
        <f t="shared" si="556"/>
        <v>0</v>
      </c>
      <c r="M780" s="29">
        <f t="shared" si="556"/>
        <v>0</v>
      </c>
      <c r="N780" s="29">
        <f t="shared" si="556"/>
        <v>0</v>
      </c>
      <c r="O780" s="29">
        <f t="shared" si="556"/>
        <v>0</v>
      </c>
      <c r="P780" s="29">
        <f t="shared" si="556"/>
        <v>0</v>
      </c>
      <c r="Q780" s="29">
        <f t="shared" si="556"/>
        <v>0</v>
      </c>
      <c r="R780" s="29">
        <f t="shared" si="556"/>
        <v>0</v>
      </c>
      <c r="S780" s="29">
        <f t="shared" si="556"/>
        <v>0</v>
      </c>
      <c r="T780" s="29">
        <f t="shared" si="556"/>
        <v>0</v>
      </c>
      <c r="U780" s="29">
        <f t="shared" si="556"/>
        <v>0</v>
      </c>
      <c r="V780" s="29">
        <f t="shared" si="556"/>
        <v>0</v>
      </c>
      <c r="W780" s="27" t="str">
        <f t="shared" si="544"/>
        <v>OK</v>
      </c>
    </row>
    <row r="781" spans="1:23" x14ac:dyDescent="0.2">
      <c r="A781" s="3">
        <f t="shared" si="512"/>
        <v>41</v>
      </c>
      <c r="B781" s="3" t="str">
        <f t="shared" si="532"/>
        <v>Accounts 352 through 353</v>
      </c>
      <c r="C781" s="3"/>
      <c r="D781" s="3"/>
      <c r="E781" s="3" t="str">
        <f t="shared" si="533"/>
        <v>PLT352_353</v>
      </c>
      <c r="F781" s="3"/>
      <c r="G781" s="3"/>
      <c r="H781" s="29">
        <f t="shared" si="550"/>
        <v>0</v>
      </c>
      <c r="I781" s="29">
        <v>0</v>
      </c>
      <c r="J781" s="29">
        <f t="shared" si="510"/>
        <v>0</v>
      </c>
      <c r="K781" s="29">
        <f t="shared" ref="K781:V781" si="557">IF($H709&lt;&gt;0,K709/$H709,0)</f>
        <v>0</v>
      </c>
      <c r="L781" s="29">
        <f t="shared" si="557"/>
        <v>0</v>
      </c>
      <c r="M781" s="29">
        <f t="shared" si="557"/>
        <v>0</v>
      </c>
      <c r="N781" s="29">
        <f t="shared" si="557"/>
        <v>0</v>
      </c>
      <c r="O781" s="29">
        <f t="shared" si="557"/>
        <v>0</v>
      </c>
      <c r="P781" s="29">
        <f t="shared" si="557"/>
        <v>0</v>
      </c>
      <c r="Q781" s="29">
        <f t="shared" si="557"/>
        <v>0</v>
      </c>
      <c r="R781" s="29">
        <f t="shared" si="557"/>
        <v>0</v>
      </c>
      <c r="S781" s="29">
        <f t="shared" si="557"/>
        <v>0</v>
      </c>
      <c r="T781" s="29">
        <f t="shared" si="557"/>
        <v>0</v>
      </c>
      <c r="U781" s="29">
        <f t="shared" si="557"/>
        <v>0</v>
      </c>
      <c r="V781" s="29">
        <f t="shared" si="557"/>
        <v>0</v>
      </c>
      <c r="W781" s="27" t="str">
        <f t="shared" si="544"/>
        <v>OK</v>
      </c>
    </row>
    <row r="782" spans="1:23" x14ac:dyDescent="0.2">
      <c r="A782" s="3">
        <f t="shared" si="512"/>
        <v>42</v>
      </c>
      <c r="B782" s="3" t="str">
        <f t="shared" si="532"/>
        <v>Accounts 354 through 356</v>
      </c>
      <c r="C782" s="3"/>
      <c r="D782" s="3"/>
      <c r="E782" s="3" t="str">
        <f t="shared" si="533"/>
        <v>PLT354_356</v>
      </c>
      <c r="F782" s="3"/>
      <c r="G782" s="3"/>
      <c r="H782" s="29">
        <f t="shared" si="550"/>
        <v>0</v>
      </c>
      <c r="I782" s="29">
        <v>0</v>
      </c>
      <c r="J782" s="29">
        <f t="shared" si="510"/>
        <v>0</v>
      </c>
      <c r="K782" s="29">
        <f t="shared" ref="K782:V782" si="558">IF($H710&lt;&gt;0,K710/$H710,0)</f>
        <v>0</v>
      </c>
      <c r="L782" s="29">
        <f t="shared" si="558"/>
        <v>0</v>
      </c>
      <c r="M782" s="29">
        <f t="shared" si="558"/>
        <v>0</v>
      </c>
      <c r="N782" s="29">
        <f t="shared" si="558"/>
        <v>0</v>
      </c>
      <c r="O782" s="29">
        <f t="shared" si="558"/>
        <v>0</v>
      </c>
      <c r="P782" s="29">
        <f t="shared" si="558"/>
        <v>0</v>
      </c>
      <c r="Q782" s="29">
        <f t="shared" si="558"/>
        <v>0</v>
      </c>
      <c r="R782" s="29">
        <f t="shared" si="558"/>
        <v>0</v>
      </c>
      <c r="S782" s="29">
        <f t="shared" si="558"/>
        <v>0</v>
      </c>
      <c r="T782" s="29">
        <f t="shared" si="558"/>
        <v>0</v>
      </c>
      <c r="U782" s="29">
        <f t="shared" si="558"/>
        <v>0</v>
      </c>
      <c r="V782" s="29">
        <f t="shared" si="558"/>
        <v>0</v>
      </c>
      <c r="W782" s="27" t="str">
        <f t="shared" si="544"/>
        <v>OK</v>
      </c>
    </row>
    <row r="783" spans="1:23" x14ac:dyDescent="0.2">
      <c r="A783" s="3">
        <f t="shared" si="512"/>
        <v>43</v>
      </c>
      <c r="B783" s="3" t="str">
        <f t="shared" si="532"/>
        <v>Accounts 357 through 358</v>
      </c>
      <c r="C783" s="3"/>
      <c r="D783" s="3"/>
      <c r="E783" s="3" t="str">
        <f t="shared" si="533"/>
        <v>PLT357_358</v>
      </c>
      <c r="F783" s="3"/>
      <c r="G783" s="3"/>
      <c r="H783" s="29">
        <f t="shared" si="550"/>
        <v>0</v>
      </c>
      <c r="I783" s="29">
        <v>0</v>
      </c>
      <c r="J783" s="29">
        <f t="shared" si="510"/>
        <v>0</v>
      </c>
      <c r="K783" s="29">
        <f t="shared" ref="K783:V783" si="559">IF($H711&lt;&gt;0,K711/$H711,0)</f>
        <v>0</v>
      </c>
      <c r="L783" s="29">
        <f t="shared" si="559"/>
        <v>0</v>
      </c>
      <c r="M783" s="29">
        <f t="shared" si="559"/>
        <v>0</v>
      </c>
      <c r="N783" s="29">
        <f t="shared" si="559"/>
        <v>0</v>
      </c>
      <c r="O783" s="29">
        <f t="shared" si="559"/>
        <v>0</v>
      </c>
      <c r="P783" s="29">
        <f t="shared" si="559"/>
        <v>0</v>
      </c>
      <c r="Q783" s="29">
        <f t="shared" si="559"/>
        <v>0</v>
      </c>
      <c r="R783" s="29">
        <f t="shared" si="559"/>
        <v>0</v>
      </c>
      <c r="S783" s="29">
        <f t="shared" si="559"/>
        <v>0</v>
      </c>
      <c r="T783" s="29">
        <f t="shared" si="559"/>
        <v>0</v>
      </c>
      <c r="U783" s="29">
        <f t="shared" si="559"/>
        <v>0</v>
      </c>
      <c r="V783" s="29">
        <f t="shared" si="559"/>
        <v>0</v>
      </c>
      <c r="W783" s="27" t="str">
        <f t="shared" si="544"/>
        <v>OK</v>
      </c>
    </row>
    <row r="784" spans="1:23" x14ac:dyDescent="0.2">
      <c r="A784" s="3">
        <f t="shared" si="512"/>
        <v>44</v>
      </c>
      <c r="B784" s="3" t="str">
        <f t="shared" si="532"/>
        <v>Account 361</v>
      </c>
      <c r="C784" s="3"/>
      <c r="D784" s="3"/>
      <c r="E784" s="3" t="str">
        <f t="shared" si="533"/>
        <v>PLT361</v>
      </c>
      <c r="F784" s="3"/>
      <c r="G784" s="3"/>
      <c r="H784" s="29">
        <f t="shared" si="550"/>
        <v>1.0000000000000002</v>
      </c>
      <c r="I784" s="29">
        <v>0</v>
      </c>
      <c r="J784" s="29">
        <f t="shared" si="510"/>
        <v>1.0000000000000002</v>
      </c>
      <c r="K784" s="29">
        <f t="shared" ref="K784:V784" si="560">IF($H712&lt;&gt;0,K712/$H712,0)</f>
        <v>0.56562884643019973</v>
      </c>
      <c r="L784" s="29">
        <f t="shared" si="560"/>
        <v>1.97312653517689E-2</v>
      </c>
      <c r="M784" s="29">
        <f t="shared" si="560"/>
        <v>0.29757757165355442</v>
      </c>
      <c r="N784" s="29">
        <f t="shared" si="560"/>
        <v>3.9958373888776655E-2</v>
      </c>
      <c r="O784" s="29">
        <f t="shared" si="560"/>
        <v>0.25761919776477776</v>
      </c>
      <c r="P784" s="29">
        <f t="shared" si="560"/>
        <v>0.10219418819302058</v>
      </c>
      <c r="Q784" s="29">
        <f t="shared" si="560"/>
        <v>8.313467748709566E-2</v>
      </c>
      <c r="R784" s="29">
        <f t="shared" si="560"/>
        <v>6.0161046668279882E-3</v>
      </c>
      <c r="S784" s="29">
        <f t="shared" si="560"/>
        <v>1.3043406039096931E-2</v>
      </c>
      <c r="T784" s="29">
        <f t="shared" si="560"/>
        <v>0</v>
      </c>
      <c r="U784" s="29">
        <f t="shared" si="560"/>
        <v>1.1073297789590332E-2</v>
      </c>
      <c r="V784" s="29">
        <f t="shared" si="560"/>
        <v>3.7948305818661147E-3</v>
      </c>
      <c r="W784" s="27" t="str">
        <f t="shared" si="544"/>
        <v>OK</v>
      </c>
    </row>
    <row r="785" spans="1:23" x14ac:dyDescent="0.2">
      <c r="A785" s="3">
        <f t="shared" si="512"/>
        <v>45</v>
      </c>
      <c r="B785" s="3" t="str">
        <f t="shared" si="532"/>
        <v>Account 362</v>
      </c>
      <c r="C785" s="3"/>
      <c r="D785" s="3"/>
      <c r="E785" s="3" t="str">
        <f t="shared" si="533"/>
        <v>PLT362</v>
      </c>
      <c r="F785" s="3"/>
      <c r="G785" s="3"/>
      <c r="H785" s="29">
        <f t="shared" si="550"/>
        <v>1.0000000000000002</v>
      </c>
      <c r="I785" s="29">
        <v>0</v>
      </c>
      <c r="J785" s="29">
        <f t="shared" si="510"/>
        <v>1.0000000000000002</v>
      </c>
      <c r="K785" s="29">
        <f t="shared" ref="K785:V785" si="561">IF($H713&lt;&gt;0,K713/$H713,0)</f>
        <v>0.56562884643019973</v>
      </c>
      <c r="L785" s="29">
        <f t="shared" si="561"/>
        <v>1.97312653517689E-2</v>
      </c>
      <c r="M785" s="29">
        <f t="shared" si="561"/>
        <v>0.29757757165355442</v>
      </c>
      <c r="N785" s="29">
        <f t="shared" si="561"/>
        <v>3.9958373888776655E-2</v>
      </c>
      <c r="O785" s="29">
        <f t="shared" si="561"/>
        <v>0.25761919776477776</v>
      </c>
      <c r="P785" s="29">
        <f t="shared" si="561"/>
        <v>0.10219418819302059</v>
      </c>
      <c r="Q785" s="29">
        <f t="shared" si="561"/>
        <v>8.3134677487095673E-2</v>
      </c>
      <c r="R785" s="29">
        <f t="shared" si="561"/>
        <v>6.0161046668279882E-3</v>
      </c>
      <c r="S785" s="29">
        <f t="shared" si="561"/>
        <v>1.3043406039096929E-2</v>
      </c>
      <c r="T785" s="29">
        <f t="shared" si="561"/>
        <v>0</v>
      </c>
      <c r="U785" s="29">
        <f t="shared" si="561"/>
        <v>1.1073297789590333E-2</v>
      </c>
      <c r="V785" s="29">
        <f t="shared" si="561"/>
        <v>3.7948305818661155E-3</v>
      </c>
      <c r="W785" s="27" t="str">
        <f t="shared" si="544"/>
        <v>OK</v>
      </c>
    </row>
    <row r="786" spans="1:23" x14ac:dyDescent="0.2">
      <c r="A786" s="3">
        <f t="shared" si="512"/>
        <v>46</v>
      </c>
      <c r="B786" s="3" t="str">
        <f t="shared" si="532"/>
        <v>Accounts 364 through 365</v>
      </c>
      <c r="C786" s="3"/>
      <c r="D786" s="3"/>
      <c r="E786" s="3" t="str">
        <f t="shared" si="533"/>
        <v>PLT364_365</v>
      </c>
      <c r="F786" s="3"/>
      <c r="G786" s="3"/>
      <c r="H786" s="29">
        <f t="shared" si="550"/>
        <v>0.99999999999999989</v>
      </c>
      <c r="I786" s="29">
        <v>0</v>
      </c>
      <c r="J786" s="29">
        <f t="shared" si="510"/>
        <v>0.99999999999999989</v>
      </c>
      <c r="K786" s="29">
        <f t="shared" ref="K786:V786" si="562">IF($H714&lt;&gt;0,K714/$H714,0)</f>
        <v>0.58142753030101957</v>
      </c>
      <c r="L786" s="29">
        <f t="shared" si="562"/>
        <v>2.0282382971797009E-2</v>
      </c>
      <c r="M786" s="29">
        <f t="shared" si="562"/>
        <v>0.30588926581708908</v>
      </c>
      <c r="N786" s="29">
        <f t="shared" si="562"/>
        <v>4.1074458616500505E-2</v>
      </c>
      <c r="O786" s="29">
        <f t="shared" si="562"/>
        <v>0.26481480720058859</v>
      </c>
      <c r="P786" s="29">
        <f t="shared" si="562"/>
        <v>7.8117456174343652E-2</v>
      </c>
      <c r="Q786" s="29">
        <f t="shared" si="562"/>
        <v>6.3548325398898958E-2</v>
      </c>
      <c r="R786" s="29">
        <f t="shared" si="562"/>
        <v>4.5987232832022844E-3</v>
      </c>
      <c r="S786" s="29">
        <f t="shared" si="562"/>
        <v>9.9704074922424141E-3</v>
      </c>
      <c r="T786" s="29">
        <f t="shared" si="562"/>
        <v>0</v>
      </c>
      <c r="U786" s="29">
        <f t="shared" si="562"/>
        <v>1.1382588117142206E-2</v>
      </c>
      <c r="V786" s="29">
        <f t="shared" si="562"/>
        <v>2.9007766186084443E-3</v>
      </c>
      <c r="W786" s="27" t="str">
        <f t="shared" si="544"/>
        <v>OK</v>
      </c>
    </row>
    <row r="787" spans="1:23" x14ac:dyDescent="0.2">
      <c r="A787" s="3">
        <f t="shared" si="512"/>
        <v>47</v>
      </c>
      <c r="B787" s="3" t="str">
        <f t="shared" si="532"/>
        <v>Accounts 366 through 367</v>
      </c>
      <c r="C787" s="3"/>
      <c r="D787" s="3"/>
      <c r="E787" s="3" t="str">
        <f t="shared" si="533"/>
        <v>PLT366_367</v>
      </c>
      <c r="F787" s="3"/>
      <c r="G787" s="3"/>
      <c r="H787" s="29">
        <f t="shared" si="550"/>
        <v>0.99999999999999967</v>
      </c>
      <c r="I787" s="29">
        <v>0</v>
      </c>
      <c r="J787" s="29">
        <f t="shared" si="510"/>
        <v>0.99999999999999967</v>
      </c>
      <c r="K787" s="29">
        <f t="shared" ref="K787:V787" si="563">IF($H715&lt;&gt;0,K715/$H715,0)</f>
        <v>0.59251233497349387</v>
      </c>
      <c r="L787" s="29">
        <f t="shared" si="563"/>
        <v>2.0669062724333481E-2</v>
      </c>
      <c r="M787" s="29">
        <f t="shared" si="563"/>
        <v>0.31172098617135846</v>
      </c>
      <c r="N787" s="29">
        <f t="shared" si="563"/>
        <v>4.1857535314908337E-2</v>
      </c>
      <c r="O787" s="29">
        <f t="shared" si="563"/>
        <v>0.26986345085645008</v>
      </c>
      <c r="P787" s="29">
        <f t="shared" si="563"/>
        <v>6.1224538146438613E-2</v>
      </c>
      <c r="Q787" s="29">
        <f t="shared" si="563"/>
        <v>4.9805985282518998E-2</v>
      </c>
      <c r="R787" s="29">
        <f t="shared" si="563"/>
        <v>3.604248305896647E-3</v>
      </c>
      <c r="S787" s="29">
        <f t="shared" si="563"/>
        <v>7.8143045580229692E-3</v>
      </c>
      <c r="T787" s="29">
        <f t="shared" si="563"/>
        <v>0</v>
      </c>
      <c r="U787" s="29">
        <f t="shared" si="563"/>
        <v>1.1599594982779316E-2</v>
      </c>
      <c r="V787" s="29">
        <f t="shared" si="563"/>
        <v>2.2734830015959892E-3</v>
      </c>
      <c r="W787" s="27" t="str">
        <f t="shared" si="544"/>
        <v>OK</v>
      </c>
    </row>
    <row r="788" spans="1:23" x14ac:dyDescent="0.2">
      <c r="A788" s="3">
        <f t="shared" si="512"/>
        <v>48</v>
      </c>
      <c r="B788" s="3" t="str">
        <f t="shared" si="532"/>
        <v>Account 368</v>
      </c>
      <c r="C788" s="3"/>
      <c r="D788" s="3"/>
      <c r="E788" s="3" t="str">
        <f t="shared" si="533"/>
        <v>PLT368</v>
      </c>
      <c r="F788" s="3"/>
      <c r="G788" s="3"/>
      <c r="H788" s="29">
        <f t="shared" si="550"/>
        <v>0.99999999999999989</v>
      </c>
      <c r="I788" s="29">
        <v>0</v>
      </c>
      <c r="J788" s="29">
        <f t="shared" si="510"/>
        <v>0.99999999999999989</v>
      </c>
      <c r="K788" s="29">
        <f t="shared" ref="K788:V788" si="564">IF($H716&lt;&gt;0,K716/$H716,0)</f>
        <v>0.62568584902280244</v>
      </c>
      <c r="L788" s="29">
        <f t="shared" si="564"/>
        <v>2.1826279886238455E-2</v>
      </c>
      <c r="M788" s="29">
        <f t="shared" si="564"/>
        <v>0.32917358572725203</v>
      </c>
      <c r="N788" s="29">
        <f t="shared" si="564"/>
        <v>4.420105029996034E-2</v>
      </c>
      <c r="O788" s="29">
        <f t="shared" si="564"/>
        <v>0.28497253542729167</v>
      </c>
      <c r="P788" s="29">
        <f t="shared" si="564"/>
        <v>1.0669073247351349E-2</v>
      </c>
      <c r="Q788" s="29">
        <f t="shared" si="564"/>
        <v>8.6792603296527888E-3</v>
      </c>
      <c r="R788" s="29">
        <f t="shared" si="564"/>
        <v>6.2808132721684212E-4</v>
      </c>
      <c r="S788" s="29">
        <f t="shared" si="564"/>
        <v>1.3617315904817194E-3</v>
      </c>
      <c r="T788" s="29">
        <f t="shared" si="564"/>
        <v>0</v>
      </c>
      <c r="U788" s="29">
        <f t="shared" si="564"/>
        <v>1.2249031803608932E-2</v>
      </c>
      <c r="V788" s="29">
        <f t="shared" si="564"/>
        <v>3.9618031274682246E-4</v>
      </c>
      <c r="W788" s="27" t="str">
        <f t="shared" si="544"/>
        <v>OK</v>
      </c>
    </row>
    <row r="789" spans="1:23" x14ac:dyDescent="0.2">
      <c r="A789" s="3">
        <f t="shared" si="512"/>
        <v>49</v>
      </c>
      <c r="B789" s="3" t="str">
        <f t="shared" si="532"/>
        <v>Account 370</v>
      </c>
      <c r="C789" s="3"/>
      <c r="D789" s="3"/>
      <c r="E789" s="3" t="str">
        <f t="shared" si="533"/>
        <v>PLT370</v>
      </c>
      <c r="F789" s="3"/>
      <c r="G789" s="3"/>
      <c r="H789" s="29">
        <f t="shared" si="550"/>
        <v>0</v>
      </c>
      <c r="I789" s="29">
        <v>0</v>
      </c>
      <c r="J789" s="29">
        <f t="shared" si="510"/>
        <v>0</v>
      </c>
      <c r="K789" s="29">
        <f t="shared" ref="K789:V789" si="565">IF($H717&lt;&gt;0,K717/$H717,0)</f>
        <v>0</v>
      </c>
      <c r="L789" s="29">
        <f t="shared" si="565"/>
        <v>0</v>
      </c>
      <c r="M789" s="29">
        <f t="shared" si="565"/>
        <v>0</v>
      </c>
      <c r="N789" s="29">
        <f t="shared" si="565"/>
        <v>0</v>
      </c>
      <c r="O789" s="29">
        <f t="shared" si="565"/>
        <v>0</v>
      </c>
      <c r="P789" s="29">
        <f t="shared" si="565"/>
        <v>0</v>
      </c>
      <c r="Q789" s="29">
        <f t="shared" si="565"/>
        <v>0</v>
      </c>
      <c r="R789" s="29">
        <f t="shared" si="565"/>
        <v>0</v>
      </c>
      <c r="S789" s="29">
        <f t="shared" si="565"/>
        <v>0</v>
      </c>
      <c r="T789" s="29">
        <f t="shared" si="565"/>
        <v>0</v>
      </c>
      <c r="U789" s="29">
        <f t="shared" si="565"/>
        <v>0</v>
      </c>
      <c r="V789" s="29">
        <f t="shared" si="565"/>
        <v>0</v>
      </c>
      <c r="W789" s="27" t="str">
        <f t="shared" si="544"/>
        <v>OK</v>
      </c>
    </row>
    <row r="790" spans="1:23" x14ac:dyDescent="0.2">
      <c r="A790" s="3">
        <f t="shared" si="512"/>
        <v>50</v>
      </c>
      <c r="B790" s="3" t="str">
        <f t="shared" si="532"/>
        <v>Account 371</v>
      </c>
      <c r="C790" s="3"/>
      <c r="D790" s="3"/>
      <c r="E790" s="3" t="str">
        <f t="shared" si="533"/>
        <v>PLT371</v>
      </c>
      <c r="F790" s="3"/>
      <c r="G790" s="3"/>
      <c r="H790" s="29">
        <f t="shared" si="550"/>
        <v>1</v>
      </c>
      <c r="I790" s="29">
        <v>0</v>
      </c>
      <c r="J790" s="29">
        <f t="shared" si="510"/>
        <v>1</v>
      </c>
      <c r="K790" s="29">
        <f t="shared" ref="K790:V790" si="566">IF($H718&lt;&gt;0,K718/$H718,0)</f>
        <v>0</v>
      </c>
      <c r="L790" s="29">
        <f t="shared" si="566"/>
        <v>0</v>
      </c>
      <c r="M790" s="29">
        <f t="shared" si="566"/>
        <v>0</v>
      </c>
      <c r="N790" s="29">
        <f t="shared" si="566"/>
        <v>0</v>
      </c>
      <c r="O790" s="29">
        <f t="shared" si="566"/>
        <v>0</v>
      </c>
      <c r="P790" s="29">
        <f t="shared" si="566"/>
        <v>0</v>
      </c>
      <c r="Q790" s="29">
        <f t="shared" si="566"/>
        <v>0</v>
      </c>
      <c r="R790" s="29">
        <f t="shared" si="566"/>
        <v>0</v>
      </c>
      <c r="S790" s="29">
        <f t="shared" si="566"/>
        <v>0</v>
      </c>
      <c r="T790" s="29">
        <f t="shared" si="566"/>
        <v>0</v>
      </c>
      <c r="U790" s="29">
        <f t="shared" si="566"/>
        <v>1</v>
      </c>
      <c r="V790" s="29">
        <f t="shared" si="566"/>
        <v>0</v>
      </c>
      <c r="W790" s="27" t="str">
        <f t="shared" si="544"/>
        <v>OK</v>
      </c>
    </row>
    <row r="791" spans="1:23" x14ac:dyDescent="0.2">
      <c r="A791" s="3">
        <f t="shared" si="512"/>
        <v>51</v>
      </c>
      <c r="B791" s="3" t="str">
        <f t="shared" si="532"/>
        <v>Account 373</v>
      </c>
      <c r="C791" s="3"/>
      <c r="D791" s="3"/>
      <c r="E791" s="3" t="str">
        <f t="shared" si="533"/>
        <v>PLT373</v>
      </c>
      <c r="F791" s="3"/>
      <c r="G791" s="3"/>
      <c r="H791" s="29">
        <f t="shared" si="550"/>
        <v>1</v>
      </c>
      <c r="I791" s="29">
        <v>0</v>
      </c>
      <c r="J791" s="29">
        <f t="shared" si="510"/>
        <v>1</v>
      </c>
      <c r="K791" s="29">
        <f t="shared" ref="K791:V791" si="567">IF($H719&lt;&gt;0,K719/$H719,0)</f>
        <v>0</v>
      </c>
      <c r="L791" s="29">
        <f t="shared" si="567"/>
        <v>0</v>
      </c>
      <c r="M791" s="29">
        <f t="shared" si="567"/>
        <v>0</v>
      </c>
      <c r="N791" s="29">
        <f t="shared" si="567"/>
        <v>0</v>
      </c>
      <c r="O791" s="29">
        <f t="shared" si="567"/>
        <v>0</v>
      </c>
      <c r="P791" s="29">
        <f t="shared" si="567"/>
        <v>0</v>
      </c>
      <c r="Q791" s="29">
        <f t="shared" si="567"/>
        <v>0</v>
      </c>
      <c r="R791" s="29">
        <f t="shared" si="567"/>
        <v>0</v>
      </c>
      <c r="S791" s="29">
        <f t="shared" si="567"/>
        <v>0</v>
      </c>
      <c r="T791" s="29">
        <f t="shared" si="567"/>
        <v>0</v>
      </c>
      <c r="U791" s="29">
        <f t="shared" si="567"/>
        <v>1</v>
      </c>
      <c r="V791" s="29">
        <f t="shared" si="567"/>
        <v>0</v>
      </c>
      <c r="W791" s="27" t="str">
        <f t="shared" si="544"/>
        <v>OK</v>
      </c>
    </row>
    <row r="792" spans="1:23" x14ac:dyDescent="0.2">
      <c r="A792" s="3">
        <f t="shared" si="512"/>
        <v>52</v>
      </c>
      <c r="B792" s="3" t="str">
        <f t="shared" si="532"/>
        <v>Rate base</v>
      </c>
      <c r="C792" s="3"/>
      <c r="D792" s="3"/>
      <c r="E792" s="3" t="s">
        <v>312</v>
      </c>
      <c r="F792" s="3"/>
      <c r="G792" s="3"/>
      <c r="H792" s="29">
        <f t="shared" si="550"/>
        <v>0.99999999999999989</v>
      </c>
      <c r="I792" s="29">
        <v>0</v>
      </c>
      <c r="J792" s="29">
        <f t="shared" si="510"/>
        <v>0.99999999999999989</v>
      </c>
      <c r="K792" s="29">
        <f t="shared" ref="K792:V792" si="568">IF($H720&lt;&gt;0,K720/$H720,0)</f>
        <v>0.57864969680167655</v>
      </c>
      <c r="L792" s="29">
        <f t="shared" si="568"/>
        <v>2.2390769803888828E-2</v>
      </c>
      <c r="M792" s="29">
        <f t="shared" si="568"/>
        <v>0.29137169271564078</v>
      </c>
      <c r="N792" s="29">
        <f t="shared" si="568"/>
        <v>3.8541958927686977E-2</v>
      </c>
      <c r="O792" s="29">
        <f t="shared" si="568"/>
        <v>0.25282973378795381</v>
      </c>
      <c r="P792" s="29">
        <f t="shared" si="568"/>
        <v>6.5674370525101611E-2</v>
      </c>
      <c r="Q792" s="29">
        <f t="shared" si="568"/>
        <v>5.3425793905461122E-2</v>
      </c>
      <c r="R792" s="29">
        <f t="shared" si="568"/>
        <v>3.8662171412442536E-3</v>
      </c>
      <c r="S792" s="29">
        <f t="shared" si="568"/>
        <v>8.3823594783962469E-3</v>
      </c>
      <c r="T792" s="29">
        <f t="shared" si="568"/>
        <v>3.9077910242074126E-7</v>
      </c>
      <c r="U792" s="29">
        <f t="shared" si="568"/>
        <v>3.9474418000066416E-2</v>
      </c>
      <c r="V792" s="29">
        <f t="shared" si="568"/>
        <v>2.4386613745231885E-3</v>
      </c>
      <c r="W792" s="27" t="str">
        <f t="shared" si="544"/>
        <v>OK</v>
      </c>
    </row>
    <row r="793" spans="1:23" x14ac:dyDescent="0.2">
      <c r="A793" s="3">
        <f t="shared" si="512"/>
        <v>53</v>
      </c>
      <c r="B793" s="3" t="str">
        <f t="shared" si="532"/>
        <v>Revenue - Curr tariff rev by func &amp; whsl rev req</v>
      </c>
      <c r="C793" s="3"/>
      <c r="D793" s="3"/>
      <c r="E793" s="3" t="s">
        <v>324</v>
      </c>
      <c r="F793" s="3"/>
      <c r="G793" s="3"/>
      <c r="H793" s="29">
        <f t="shared" si="550"/>
        <v>1</v>
      </c>
      <c r="I793" s="29">
        <v>0</v>
      </c>
      <c r="J793" s="29">
        <f t="shared" si="510"/>
        <v>1</v>
      </c>
      <c r="K793" s="29">
        <f t="shared" ref="K793:V793" si="569">IF($H721&lt;&gt;0,K721/$H721,0)</f>
        <v>0.54253035107251912</v>
      </c>
      <c r="L793" s="29">
        <f t="shared" si="569"/>
        <v>2.8002470936150426E-2</v>
      </c>
      <c r="M793" s="29">
        <f t="shared" si="569"/>
        <v>0.30281233508518945</v>
      </c>
      <c r="N793" s="29">
        <f t="shared" si="569"/>
        <v>3.4893795627824332E-2</v>
      </c>
      <c r="O793" s="29">
        <f t="shared" si="569"/>
        <v>0.2679185394573651</v>
      </c>
      <c r="P793" s="29">
        <f t="shared" si="569"/>
        <v>6.7559798036393684E-2</v>
      </c>
      <c r="Q793" s="29">
        <f t="shared" si="569"/>
        <v>4.99184729875711E-2</v>
      </c>
      <c r="R793" s="29">
        <f t="shared" si="569"/>
        <v>4.5580075118450457E-3</v>
      </c>
      <c r="S793" s="29">
        <f t="shared" si="569"/>
        <v>1.3083317536977543E-2</v>
      </c>
      <c r="T793" s="29">
        <f t="shared" si="569"/>
        <v>1.6404586576451819E-2</v>
      </c>
      <c r="U793" s="29">
        <f t="shared" si="569"/>
        <v>4.26904563152809E-2</v>
      </c>
      <c r="V793" s="29">
        <f t="shared" si="569"/>
        <v>1.9780146674694802E-9</v>
      </c>
      <c r="W793" s="27" t="str">
        <f t="shared" si="544"/>
        <v>OK</v>
      </c>
    </row>
    <row r="794" spans="1:23" x14ac:dyDescent="0.2">
      <c r="A794" s="3">
        <f t="shared" si="512"/>
        <v>54</v>
      </c>
      <c r="B794" s="3" t="str">
        <f t="shared" si="532"/>
        <v>Retail Revenue</v>
      </c>
      <c r="C794" s="3"/>
      <c r="D794" s="3"/>
      <c r="E794" s="3" t="s">
        <v>395</v>
      </c>
      <c r="F794" s="3"/>
      <c r="G794" s="3"/>
      <c r="H794" s="29">
        <f t="shared" si="550"/>
        <v>1</v>
      </c>
      <c r="I794" s="29">
        <v>0</v>
      </c>
      <c r="J794" s="29">
        <f t="shared" si="510"/>
        <v>1</v>
      </c>
      <c r="K794" s="29">
        <f t="shared" ref="K794:V794" si="570">IF($H722&lt;&gt;0,K722/$H722,0)</f>
        <v>0.54253035107251912</v>
      </c>
      <c r="L794" s="29">
        <f t="shared" si="570"/>
        <v>2.8002470936150426E-2</v>
      </c>
      <c r="M794" s="29">
        <f t="shared" si="570"/>
        <v>0.30281233508518945</v>
      </c>
      <c r="N794" s="29">
        <f t="shared" si="570"/>
        <v>3.4893795627824332E-2</v>
      </c>
      <c r="O794" s="29">
        <f t="shared" si="570"/>
        <v>0.2679185394573651</v>
      </c>
      <c r="P794" s="29">
        <f t="shared" si="570"/>
        <v>6.7559798036393684E-2</v>
      </c>
      <c r="Q794" s="29">
        <f t="shared" si="570"/>
        <v>4.99184729875711E-2</v>
      </c>
      <c r="R794" s="29">
        <f t="shared" si="570"/>
        <v>4.5580075118450457E-3</v>
      </c>
      <c r="S794" s="29">
        <f t="shared" si="570"/>
        <v>1.3083317536977543E-2</v>
      </c>
      <c r="T794" s="29">
        <f t="shared" si="570"/>
        <v>1.6404586576451819E-2</v>
      </c>
      <c r="U794" s="29">
        <f t="shared" si="570"/>
        <v>4.26904563152809E-2</v>
      </c>
      <c r="V794" s="29">
        <f t="shared" si="570"/>
        <v>1.9780146674694802E-9</v>
      </c>
      <c r="W794" s="27" t="str">
        <f t="shared" si="544"/>
        <v>OK</v>
      </c>
    </row>
    <row r="795" spans="1:23" x14ac:dyDescent="0.2">
      <c r="A795" s="3">
        <f t="shared" si="512"/>
        <v>55</v>
      </c>
      <c r="B795" s="3" t="str">
        <f t="shared" si="532"/>
        <v>Wholesale Revenue</v>
      </c>
      <c r="C795" s="3"/>
      <c r="D795" s="3"/>
      <c r="E795" s="3" t="str">
        <f t="shared" ref="E795:E806" si="571">E723</f>
        <v>OREVENUE</v>
      </c>
      <c r="F795" s="3"/>
      <c r="G795" s="3"/>
      <c r="H795" s="29">
        <f t="shared" si="550"/>
        <v>0</v>
      </c>
      <c r="I795" s="29">
        <v>0</v>
      </c>
      <c r="J795" s="29">
        <f t="shared" si="510"/>
        <v>0</v>
      </c>
      <c r="K795" s="29">
        <f t="shared" ref="K795:V795" si="572">IF($H723&lt;&gt;0,K723/$H723,0)</f>
        <v>0</v>
      </c>
      <c r="L795" s="29">
        <f t="shared" si="572"/>
        <v>0</v>
      </c>
      <c r="M795" s="29">
        <f t="shared" si="572"/>
        <v>0</v>
      </c>
      <c r="N795" s="29">
        <f t="shared" si="572"/>
        <v>0</v>
      </c>
      <c r="O795" s="29">
        <f t="shared" si="572"/>
        <v>0</v>
      </c>
      <c r="P795" s="29">
        <f t="shared" si="572"/>
        <v>0</v>
      </c>
      <c r="Q795" s="29">
        <f t="shared" si="572"/>
        <v>0</v>
      </c>
      <c r="R795" s="29">
        <f t="shared" si="572"/>
        <v>0</v>
      </c>
      <c r="S795" s="29">
        <f t="shared" si="572"/>
        <v>0</v>
      </c>
      <c r="T795" s="29">
        <f t="shared" si="572"/>
        <v>0</v>
      </c>
      <c r="U795" s="29">
        <f t="shared" si="572"/>
        <v>0</v>
      </c>
      <c r="V795" s="29">
        <f t="shared" si="572"/>
        <v>0</v>
      </c>
      <c r="W795" s="27" t="str">
        <f t="shared" si="544"/>
        <v>OK</v>
      </c>
    </row>
    <row r="796" spans="1:23" x14ac:dyDescent="0.2">
      <c r="A796" s="3">
        <f t="shared" si="512"/>
        <v>56</v>
      </c>
      <c r="B796" s="18" t="str">
        <f t="shared" si="532"/>
        <v>Labor excluding A&amp;G</v>
      </c>
      <c r="C796" s="18"/>
      <c r="D796" s="18"/>
      <c r="E796" s="3" t="str">
        <f t="shared" si="571"/>
        <v>LABOR</v>
      </c>
      <c r="F796" s="3"/>
      <c r="G796" s="3"/>
      <c r="H796" s="29">
        <f t="shared" si="550"/>
        <v>1</v>
      </c>
      <c r="I796" s="29">
        <v>0</v>
      </c>
      <c r="J796" s="29">
        <f t="shared" si="510"/>
        <v>1</v>
      </c>
      <c r="K796" s="29">
        <f t="shared" ref="K796:V796" si="573">IF($H724&lt;&gt;0,K724/$H724,0)</f>
        <v>0.57468380081152981</v>
      </c>
      <c r="L796" s="29">
        <f t="shared" si="573"/>
        <v>2.1254326604242514E-2</v>
      </c>
      <c r="M796" s="29">
        <f t="shared" si="573"/>
        <v>0.29521668768611825</v>
      </c>
      <c r="N796" s="29">
        <f t="shared" si="573"/>
        <v>3.9321139400391288E-2</v>
      </c>
      <c r="O796" s="29">
        <f t="shared" si="573"/>
        <v>0.25589554828572697</v>
      </c>
      <c r="P796" s="29">
        <f t="shared" si="573"/>
        <v>7.7855318385340225E-2</v>
      </c>
      <c r="Q796" s="29">
        <f t="shared" si="573"/>
        <v>6.3333421235910889E-2</v>
      </c>
      <c r="R796" s="29">
        <f t="shared" si="573"/>
        <v>4.5834821740014121E-3</v>
      </c>
      <c r="S796" s="29">
        <f t="shared" si="573"/>
        <v>9.938414975427929E-3</v>
      </c>
      <c r="T796" s="29">
        <f t="shared" si="573"/>
        <v>5.3882036414148135E-6</v>
      </c>
      <c r="U796" s="29">
        <f t="shared" si="573"/>
        <v>2.8094259801821526E-2</v>
      </c>
      <c r="V796" s="29">
        <f t="shared" si="573"/>
        <v>2.8902185073062265E-3</v>
      </c>
      <c r="W796" s="27" t="str">
        <f t="shared" si="544"/>
        <v>OK</v>
      </c>
    </row>
    <row r="797" spans="1:23" x14ac:dyDescent="0.2">
      <c r="A797" s="3">
        <f t="shared" si="512"/>
        <v>57</v>
      </c>
      <c r="B797" s="3" t="str">
        <f t="shared" si="532"/>
        <v>Retail Labor excluding A&amp;G</v>
      </c>
      <c r="C797" s="3"/>
      <c r="D797" s="3"/>
      <c r="E797" s="3" t="str">
        <f t="shared" si="571"/>
        <v>TLABOR</v>
      </c>
      <c r="F797" s="3"/>
      <c r="G797" s="3"/>
      <c r="H797" s="29">
        <f t="shared" si="550"/>
        <v>1</v>
      </c>
      <c r="I797" s="29">
        <v>0</v>
      </c>
      <c r="J797" s="29">
        <f t="shared" si="510"/>
        <v>1</v>
      </c>
      <c r="K797" s="29">
        <f t="shared" ref="K797:V797" si="574">IF($H725&lt;&gt;0,K725/$H725,0)</f>
        <v>0.57468380081152981</v>
      </c>
      <c r="L797" s="29">
        <f t="shared" si="574"/>
        <v>2.1254326604242514E-2</v>
      </c>
      <c r="M797" s="29">
        <f t="shared" si="574"/>
        <v>0.29521668768611825</v>
      </c>
      <c r="N797" s="29">
        <f t="shared" si="574"/>
        <v>3.9321139400391288E-2</v>
      </c>
      <c r="O797" s="29">
        <f t="shared" si="574"/>
        <v>0.25589554828572697</v>
      </c>
      <c r="P797" s="29">
        <f t="shared" si="574"/>
        <v>7.7855318385340225E-2</v>
      </c>
      <c r="Q797" s="29">
        <f t="shared" si="574"/>
        <v>6.3333421235910889E-2</v>
      </c>
      <c r="R797" s="29">
        <f t="shared" si="574"/>
        <v>4.5834821740014121E-3</v>
      </c>
      <c r="S797" s="29">
        <f t="shared" si="574"/>
        <v>9.938414975427929E-3</v>
      </c>
      <c r="T797" s="29">
        <f t="shared" si="574"/>
        <v>5.3882036414148135E-6</v>
      </c>
      <c r="U797" s="29">
        <f t="shared" si="574"/>
        <v>2.8094259801821526E-2</v>
      </c>
      <c r="V797" s="29">
        <f t="shared" si="574"/>
        <v>2.8902185073062265E-3</v>
      </c>
      <c r="W797" s="27" t="str">
        <f t="shared" si="544"/>
        <v>OK</v>
      </c>
    </row>
    <row r="798" spans="1:23" x14ac:dyDescent="0.2">
      <c r="A798" s="3">
        <f t="shared" si="512"/>
        <v>58</v>
      </c>
      <c r="B798" s="3" t="str">
        <f t="shared" si="532"/>
        <v>Accounts 561 through 566 Labor</v>
      </c>
      <c r="C798" s="3"/>
      <c r="D798" s="3"/>
      <c r="E798" s="3" t="str">
        <f t="shared" si="571"/>
        <v>LAB561_566</v>
      </c>
      <c r="F798" s="3"/>
      <c r="G798" s="3"/>
      <c r="H798" s="29">
        <f t="shared" si="550"/>
        <v>0.99999999999999989</v>
      </c>
      <c r="I798" s="29">
        <v>0</v>
      </c>
      <c r="J798" s="29">
        <f t="shared" si="510"/>
        <v>0.99999999999999989</v>
      </c>
      <c r="K798" s="29">
        <f t="shared" ref="K798:V798" si="575">IF($H726&lt;&gt;0,K726/$H726,0)</f>
        <v>0.48476544106930142</v>
      </c>
      <c r="L798" s="29">
        <f t="shared" si="575"/>
        <v>1.9173937117232687E-2</v>
      </c>
      <c r="M798" s="29">
        <f t="shared" si="575"/>
        <v>0.28551291534533063</v>
      </c>
      <c r="N798" s="29">
        <f t="shared" si="575"/>
        <v>2.8718751443526661E-2</v>
      </c>
      <c r="O798" s="29">
        <f t="shared" si="575"/>
        <v>0.25679416390180398</v>
      </c>
      <c r="P798" s="29">
        <f t="shared" si="575"/>
        <v>8.0892016922264873E-2</v>
      </c>
      <c r="Q798" s="29">
        <f t="shared" si="575"/>
        <v>6.3330866989394802E-2</v>
      </c>
      <c r="R798" s="29">
        <f t="shared" si="575"/>
        <v>5.1825476500866061E-3</v>
      </c>
      <c r="S798" s="29">
        <f t="shared" si="575"/>
        <v>1.2378602282783473E-2</v>
      </c>
      <c r="T798" s="29">
        <f t="shared" si="575"/>
        <v>0.12965568996685256</v>
      </c>
      <c r="U798" s="29">
        <f t="shared" si="575"/>
        <v>-4.0236604550773094E-10</v>
      </c>
      <c r="V798" s="29">
        <f t="shared" si="575"/>
        <v>-1.8616130390749557E-11</v>
      </c>
      <c r="W798" s="27" t="str">
        <f t="shared" si="544"/>
        <v>OK</v>
      </c>
    </row>
    <row r="799" spans="1:23" x14ac:dyDescent="0.2">
      <c r="A799" s="3">
        <f t="shared" si="512"/>
        <v>59</v>
      </c>
      <c r="B799" s="3" t="str">
        <f t="shared" si="532"/>
        <v>Accounts 569 through 573 Labor</v>
      </c>
      <c r="C799" s="3"/>
      <c r="D799" s="3"/>
      <c r="E799" s="3" t="str">
        <f t="shared" si="571"/>
        <v>LAB569_573</v>
      </c>
      <c r="F799" s="3"/>
      <c r="G799" s="3"/>
      <c r="H799" s="29">
        <f t="shared" si="550"/>
        <v>0</v>
      </c>
      <c r="I799" s="29">
        <v>0</v>
      </c>
      <c r="J799" s="29">
        <f t="shared" si="510"/>
        <v>0</v>
      </c>
      <c r="K799" s="29">
        <f t="shared" ref="K799:V799" si="576">IF($H727&lt;&gt;0,K727/$H727,0)</f>
        <v>0</v>
      </c>
      <c r="L799" s="29">
        <f t="shared" si="576"/>
        <v>0</v>
      </c>
      <c r="M799" s="29">
        <f t="shared" si="576"/>
        <v>0</v>
      </c>
      <c r="N799" s="29">
        <f t="shared" si="576"/>
        <v>0</v>
      </c>
      <c r="O799" s="29">
        <f t="shared" si="576"/>
        <v>0</v>
      </c>
      <c r="P799" s="29">
        <f t="shared" si="576"/>
        <v>0</v>
      </c>
      <c r="Q799" s="29">
        <f t="shared" si="576"/>
        <v>0</v>
      </c>
      <c r="R799" s="29">
        <f t="shared" si="576"/>
        <v>0</v>
      </c>
      <c r="S799" s="29">
        <f t="shared" si="576"/>
        <v>0</v>
      </c>
      <c r="T799" s="29">
        <f t="shared" si="576"/>
        <v>0</v>
      </c>
      <c r="U799" s="29">
        <f t="shared" si="576"/>
        <v>0</v>
      </c>
      <c r="V799" s="29">
        <f t="shared" si="576"/>
        <v>0</v>
      </c>
      <c r="W799" s="27" t="str">
        <f t="shared" si="544"/>
        <v>OK</v>
      </c>
    </row>
    <row r="800" spans="1:23" x14ac:dyDescent="0.2">
      <c r="A800" s="3">
        <f t="shared" si="512"/>
        <v>60</v>
      </c>
      <c r="B800" s="3" t="str">
        <f t="shared" si="532"/>
        <v>Accounts 581 through 588 Labor</v>
      </c>
      <c r="C800" s="3"/>
      <c r="D800" s="3"/>
      <c r="E800" s="3" t="str">
        <f t="shared" si="571"/>
        <v>LAB581_588</v>
      </c>
      <c r="F800" s="3"/>
      <c r="G800" s="3"/>
      <c r="H800" s="29">
        <f t="shared" si="550"/>
        <v>1</v>
      </c>
      <c r="I800" s="29">
        <v>0</v>
      </c>
      <c r="J800" s="29">
        <f t="shared" si="510"/>
        <v>1</v>
      </c>
      <c r="K800" s="29">
        <f t="shared" ref="K800:V800" si="577">IF($H728&lt;&gt;0,K728/$H728,0)</f>
        <v>0.57646591507525413</v>
      </c>
      <c r="L800" s="29">
        <f t="shared" si="577"/>
        <v>2.3018725835155608E-2</v>
      </c>
      <c r="M800" s="29">
        <f t="shared" si="577"/>
        <v>0.28605156794223857</v>
      </c>
      <c r="N800" s="29">
        <f t="shared" si="577"/>
        <v>3.7641591953848683E-2</v>
      </c>
      <c r="O800" s="29">
        <f t="shared" si="577"/>
        <v>0.24840997598838988</v>
      </c>
      <c r="P800" s="29">
        <f t="shared" si="577"/>
        <v>7.0932981560733521E-2</v>
      </c>
      <c r="Q800" s="29">
        <f t="shared" si="577"/>
        <v>5.7703776012307757E-2</v>
      </c>
      <c r="R800" s="29">
        <f t="shared" si="577"/>
        <v>4.1757779864500869E-3</v>
      </c>
      <c r="S800" s="29">
        <f t="shared" si="577"/>
        <v>9.0534275619756858E-3</v>
      </c>
      <c r="T800" s="29">
        <f t="shared" si="577"/>
        <v>0</v>
      </c>
      <c r="U800" s="29">
        <f t="shared" si="577"/>
        <v>4.0896817845510448E-2</v>
      </c>
      <c r="V800" s="29">
        <f t="shared" si="577"/>
        <v>2.6339917411076479E-3</v>
      </c>
      <c r="W800" s="27" t="str">
        <f t="shared" si="544"/>
        <v>OK</v>
      </c>
    </row>
    <row r="801" spans="1:23" x14ac:dyDescent="0.2">
      <c r="A801" s="3">
        <f t="shared" si="512"/>
        <v>61</v>
      </c>
      <c r="B801" s="3" t="str">
        <f t="shared" si="532"/>
        <v>Accounts 591 through 598 Labor</v>
      </c>
      <c r="C801" s="3"/>
      <c r="D801" s="3"/>
      <c r="E801" s="3" t="str">
        <f t="shared" si="571"/>
        <v>LAB591_598</v>
      </c>
      <c r="F801" s="3"/>
      <c r="G801" s="3"/>
      <c r="H801" s="29">
        <f t="shared" si="550"/>
        <v>1</v>
      </c>
      <c r="I801" s="29">
        <v>0</v>
      </c>
      <c r="J801" s="29">
        <f t="shared" si="510"/>
        <v>1</v>
      </c>
      <c r="K801" s="29">
        <f t="shared" ref="K801:V801" si="578">IF($H729&lt;&gt;0,K729/$H729,0)</f>
        <v>0.57345468032015645</v>
      </c>
      <c r="L801" s="29">
        <f t="shared" si="578"/>
        <v>2.001587662439272E-2</v>
      </c>
      <c r="M801" s="29">
        <f t="shared" si="578"/>
        <v>0.30162596085214921</v>
      </c>
      <c r="N801" s="29">
        <f t="shared" si="578"/>
        <v>4.049891614676155E-2</v>
      </c>
      <c r="O801" s="29">
        <f t="shared" si="578"/>
        <v>0.26112704470538761</v>
      </c>
      <c r="P801" s="29">
        <f t="shared" si="578"/>
        <v>8.2705141683866459E-2</v>
      </c>
      <c r="Q801" s="29">
        <f t="shared" si="578"/>
        <v>6.728039433540281E-2</v>
      </c>
      <c r="R801" s="29">
        <f t="shared" si="578"/>
        <v>4.8687973127708685E-3</v>
      </c>
      <c r="S801" s="29">
        <f t="shared" si="578"/>
        <v>1.0555950035692787E-2</v>
      </c>
      <c r="T801" s="29">
        <f t="shared" si="578"/>
        <v>0</v>
      </c>
      <c r="U801" s="29">
        <f t="shared" si="578"/>
        <v>1.9127206959993235E-2</v>
      </c>
      <c r="V801" s="29">
        <f t="shared" si="578"/>
        <v>3.0711335594418975E-3</v>
      </c>
      <c r="W801" s="27" t="str">
        <f t="shared" ref="W801:W807" si="579">IF((+K801+L801+M801+P801+T801+U801+V801)-H801=0,"OK",(+K801+L801+M801+P801+T801+U801+V801)-H801)</f>
        <v>OK</v>
      </c>
    </row>
    <row r="802" spans="1:23" x14ac:dyDescent="0.2">
      <c r="A802" s="3">
        <f t="shared" si="512"/>
        <v>62</v>
      </c>
      <c r="B802" s="3" t="str">
        <f t="shared" si="532"/>
        <v>Accounts 902 through 903 Labor</v>
      </c>
      <c r="C802" s="3"/>
      <c r="D802" s="3"/>
      <c r="E802" s="3" t="str">
        <f t="shared" si="571"/>
        <v>LAB902_903</v>
      </c>
      <c r="F802" s="3"/>
      <c r="G802" s="3"/>
      <c r="H802" s="29">
        <f t="shared" si="550"/>
        <v>0</v>
      </c>
      <c r="I802" s="29">
        <v>0</v>
      </c>
      <c r="J802" s="29">
        <f t="shared" si="510"/>
        <v>0</v>
      </c>
      <c r="K802" s="29">
        <f t="shared" ref="K802:V802" si="580">IF($H730&lt;&gt;0,K730/$H730,0)</f>
        <v>0</v>
      </c>
      <c r="L802" s="29">
        <f t="shared" si="580"/>
        <v>0</v>
      </c>
      <c r="M802" s="29">
        <f t="shared" si="580"/>
        <v>0</v>
      </c>
      <c r="N802" s="29">
        <f t="shared" si="580"/>
        <v>0</v>
      </c>
      <c r="O802" s="29">
        <f t="shared" si="580"/>
        <v>0</v>
      </c>
      <c r="P802" s="29">
        <f t="shared" si="580"/>
        <v>0</v>
      </c>
      <c r="Q802" s="29">
        <f t="shared" si="580"/>
        <v>0</v>
      </c>
      <c r="R802" s="29">
        <f t="shared" si="580"/>
        <v>0</v>
      </c>
      <c r="S802" s="29">
        <f t="shared" si="580"/>
        <v>0</v>
      </c>
      <c r="T802" s="29">
        <f t="shared" si="580"/>
        <v>0</v>
      </c>
      <c r="U802" s="29">
        <f t="shared" si="580"/>
        <v>0</v>
      </c>
      <c r="V802" s="29">
        <f t="shared" si="580"/>
        <v>0</v>
      </c>
      <c r="W802" s="27" t="str">
        <f t="shared" si="579"/>
        <v>OK</v>
      </c>
    </row>
    <row r="803" spans="1:23" x14ac:dyDescent="0.2">
      <c r="A803" s="3">
        <f t="shared" si="512"/>
        <v>63</v>
      </c>
      <c r="B803" s="3" t="str">
        <f t="shared" si="532"/>
        <v>Accounts 908 through 910 Labor</v>
      </c>
      <c r="C803" s="3"/>
      <c r="D803" s="3"/>
      <c r="E803" s="3" t="str">
        <f t="shared" si="571"/>
        <v>LAB908_910</v>
      </c>
      <c r="F803" s="3"/>
      <c r="G803" s="3"/>
      <c r="H803" s="29">
        <f t="shared" si="550"/>
        <v>0</v>
      </c>
      <c r="I803" s="29">
        <v>0</v>
      </c>
      <c r="J803" s="29">
        <f t="shared" si="510"/>
        <v>0</v>
      </c>
      <c r="K803" s="29">
        <f t="shared" ref="K803:V803" si="581">IF($H731&lt;&gt;0,K731/$H731,0)</f>
        <v>0</v>
      </c>
      <c r="L803" s="29">
        <f t="shared" si="581"/>
        <v>0</v>
      </c>
      <c r="M803" s="29">
        <f t="shared" si="581"/>
        <v>0</v>
      </c>
      <c r="N803" s="29">
        <f t="shared" si="581"/>
        <v>0</v>
      </c>
      <c r="O803" s="29">
        <f t="shared" si="581"/>
        <v>0</v>
      </c>
      <c r="P803" s="29">
        <f t="shared" si="581"/>
        <v>0</v>
      </c>
      <c r="Q803" s="29">
        <f t="shared" si="581"/>
        <v>0</v>
      </c>
      <c r="R803" s="29">
        <f t="shared" si="581"/>
        <v>0</v>
      </c>
      <c r="S803" s="29">
        <f t="shared" si="581"/>
        <v>0</v>
      </c>
      <c r="T803" s="29">
        <f t="shared" si="581"/>
        <v>0</v>
      </c>
      <c r="U803" s="29">
        <f t="shared" si="581"/>
        <v>0</v>
      </c>
      <c r="V803" s="29">
        <f t="shared" si="581"/>
        <v>0</v>
      </c>
      <c r="W803" s="27" t="str">
        <f t="shared" si="579"/>
        <v>OK</v>
      </c>
    </row>
    <row r="804" spans="1:23" x14ac:dyDescent="0.2">
      <c r="A804" s="3">
        <f t="shared" si="512"/>
        <v>64</v>
      </c>
      <c r="B804" s="3" t="str">
        <f t="shared" si="532"/>
        <v>Accounts 912 through 916 Labor</v>
      </c>
      <c r="C804" s="3"/>
      <c r="D804" s="3"/>
      <c r="E804" s="3" t="str">
        <f t="shared" si="571"/>
        <v>LAB912_916</v>
      </c>
      <c r="F804" s="3"/>
      <c r="G804" s="3"/>
      <c r="H804" s="29">
        <f t="shared" si="550"/>
        <v>0</v>
      </c>
      <c r="I804" s="29">
        <v>0</v>
      </c>
      <c r="J804" s="29">
        <f t="shared" si="510"/>
        <v>0</v>
      </c>
      <c r="K804" s="29">
        <f t="shared" ref="K804:V804" si="582">IF($H732&lt;&gt;0,K732/$H732,0)</f>
        <v>0</v>
      </c>
      <c r="L804" s="29">
        <f t="shared" si="582"/>
        <v>0</v>
      </c>
      <c r="M804" s="29">
        <f t="shared" si="582"/>
        <v>0</v>
      </c>
      <c r="N804" s="29">
        <f t="shared" si="582"/>
        <v>0</v>
      </c>
      <c r="O804" s="29">
        <f t="shared" si="582"/>
        <v>0</v>
      </c>
      <c r="P804" s="29">
        <f t="shared" si="582"/>
        <v>0</v>
      </c>
      <c r="Q804" s="29">
        <f t="shared" si="582"/>
        <v>0</v>
      </c>
      <c r="R804" s="29">
        <f t="shared" si="582"/>
        <v>0</v>
      </c>
      <c r="S804" s="29">
        <f t="shared" si="582"/>
        <v>0</v>
      </c>
      <c r="T804" s="29">
        <f t="shared" si="582"/>
        <v>0</v>
      </c>
      <c r="U804" s="29">
        <f t="shared" si="582"/>
        <v>0</v>
      </c>
      <c r="V804" s="29">
        <f t="shared" si="582"/>
        <v>0</v>
      </c>
      <c r="W804" s="27" t="str">
        <f t="shared" si="579"/>
        <v>OK</v>
      </c>
    </row>
    <row r="805" spans="1:23" x14ac:dyDescent="0.2">
      <c r="A805" s="3">
        <f t="shared" si="512"/>
        <v>65</v>
      </c>
      <c r="B805" s="3" t="str">
        <f t="shared" si="532"/>
        <v>Texas Retail Customers</v>
      </c>
      <c r="C805" s="3"/>
      <c r="D805" s="3"/>
      <c r="E805" s="3" t="str">
        <f t="shared" si="571"/>
        <v>TCUSTOMERS</v>
      </c>
      <c r="F805" s="3"/>
      <c r="G805" s="3"/>
      <c r="H805" s="29">
        <f t="shared" si="550"/>
        <v>1</v>
      </c>
      <c r="I805" s="29">
        <v>0</v>
      </c>
      <c r="J805" s="29">
        <f t="shared" si="510"/>
        <v>1</v>
      </c>
      <c r="K805" s="29">
        <f t="shared" ref="K805:V805" si="583">IF($H733&lt;&gt;0,K733/$H733,0)</f>
        <v>0.70338161489917128</v>
      </c>
      <c r="L805" s="29">
        <f t="shared" si="583"/>
        <v>7.4732012114639326E-2</v>
      </c>
      <c r="M805" s="29">
        <f t="shared" si="583"/>
        <v>5.4457966157527918E-2</v>
      </c>
      <c r="N805" s="29">
        <f t="shared" si="583"/>
        <v>4.3320289614186193E-4</v>
      </c>
      <c r="O805" s="29">
        <f t="shared" si="583"/>
        <v>5.4024763261386055E-2</v>
      </c>
      <c r="P805" s="29">
        <f t="shared" si="583"/>
        <v>8.1676796043413547E-4</v>
      </c>
      <c r="Q805" s="29">
        <f t="shared" si="583"/>
        <v>3.5272944147662021E-4</v>
      </c>
      <c r="R805" s="29">
        <f t="shared" si="583"/>
        <v>4.1364859874656954E-4</v>
      </c>
      <c r="S805" s="29">
        <f t="shared" si="583"/>
        <v>5.0389920210945741E-5</v>
      </c>
      <c r="T805" s="29">
        <f t="shared" si="583"/>
        <v>9.2506868446960095E-5</v>
      </c>
      <c r="U805" s="29">
        <f t="shared" si="583"/>
        <v>0.16650484232091459</v>
      </c>
      <c r="V805" s="29">
        <f t="shared" si="583"/>
        <v>1.4289678865790585E-5</v>
      </c>
      <c r="W805" s="27" t="str">
        <f t="shared" si="579"/>
        <v>OK</v>
      </c>
    </row>
    <row r="806" spans="1:23" x14ac:dyDescent="0.2">
      <c r="A806" s="3">
        <f t="shared" si="512"/>
        <v>66</v>
      </c>
      <c r="B806" s="3" t="str">
        <f t="shared" si="532"/>
        <v>Texas Retail Generation Demand</v>
      </c>
      <c r="C806" s="3"/>
      <c r="D806" s="3"/>
      <c r="E806" s="3" t="str">
        <f t="shared" si="571"/>
        <v>TDEMANDG</v>
      </c>
      <c r="F806" s="3"/>
      <c r="G806" s="3"/>
      <c r="H806" s="29">
        <f t="shared" si="550"/>
        <v>0.99999999999999989</v>
      </c>
      <c r="I806" s="29">
        <v>0</v>
      </c>
      <c r="J806" s="29">
        <f t="shared" ref="J806:J812" si="584">SUM(K806:M806,P806,T806:V806)</f>
        <v>0.99999999999999989</v>
      </c>
      <c r="K806" s="29">
        <f t="shared" ref="K806:V806" si="585">IF($H734&lt;&gt;0,K734/$H734,0)</f>
        <v>0.48476544186418086</v>
      </c>
      <c r="L806" s="29">
        <f t="shared" si="585"/>
        <v>1.9173937159048283E-2</v>
      </c>
      <c r="M806" s="29">
        <f t="shared" si="585"/>
        <v>0.28551291531899664</v>
      </c>
      <c r="N806" s="29">
        <f t="shared" si="585"/>
        <v>2.8718751510505878E-2</v>
      </c>
      <c r="O806" s="29">
        <f t="shared" si="585"/>
        <v>0.25679416380849074</v>
      </c>
      <c r="P806" s="29">
        <f t="shared" si="585"/>
        <v>8.0892016757904861E-2</v>
      </c>
      <c r="Q806" s="29">
        <f t="shared" si="585"/>
        <v>6.3330866876052411E-2</v>
      </c>
      <c r="R806" s="29">
        <f t="shared" si="585"/>
        <v>5.1825476369504958E-3</v>
      </c>
      <c r="S806" s="29">
        <f t="shared" si="585"/>
        <v>1.2378602244901962E-2</v>
      </c>
      <c r="T806" s="29">
        <f t="shared" si="585"/>
        <v>0.12965568889986934</v>
      </c>
      <c r="U806" s="29">
        <f t="shared" si="585"/>
        <v>0</v>
      </c>
      <c r="V806" s="29">
        <f t="shared" si="585"/>
        <v>0</v>
      </c>
      <c r="W806" s="27" t="str">
        <f t="shared" si="579"/>
        <v>OK</v>
      </c>
    </row>
    <row r="807" spans="1:23" x14ac:dyDescent="0.2">
      <c r="A807" s="3">
        <f t="shared" si="512"/>
        <v>67</v>
      </c>
      <c r="B807" s="3" t="s">
        <v>575</v>
      </c>
      <c r="C807" s="3"/>
      <c r="D807" s="3"/>
      <c r="E807" s="3" t="s">
        <v>576</v>
      </c>
      <c r="F807" s="3"/>
      <c r="G807" s="3"/>
      <c r="H807" s="29">
        <f t="shared" ref="H807:H812" si="586">SUM(I807:J807)</f>
        <v>1</v>
      </c>
      <c r="I807" s="29">
        <v>0</v>
      </c>
      <c r="J807" s="29">
        <f t="shared" si="584"/>
        <v>1</v>
      </c>
      <c r="K807" s="29">
        <f t="shared" ref="K807:V807" si="587">IF($H735&lt;&gt;0,K735/$H735,0)</f>
        <v>0.47672758051311936</v>
      </c>
      <c r="L807" s="29">
        <f t="shared" si="587"/>
        <v>1.7692674150235652E-2</v>
      </c>
      <c r="M807" s="29">
        <f t="shared" si="587"/>
        <v>0.28831850957647071</v>
      </c>
      <c r="N807" s="29">
        <f t="shared" si="587"/>
        <v>3.1528858917611362E-2</v>
      </c>
      <c r="O807" s="29">
        <f t="shared" si="587"/>
        <v>0.25678965065885934</v>
      </c>
      <c r="P807" s="29">
        <f t="shared" si="587"/>
        <v>0.10697821994662522</v>
      </c>
      <c r="Q807" s="29">
        <f t="shared" si="587"/>
        <v>9.9062842553663849E-2</v>
      </c>
      <c r="R807" s="29">
        <f t="shared" si="587"/>
        <v>7.9153773929613747E-3</v>
      </c>
      <c r="S807" s="29">
        <f t="shared" si="587"/>
        <v>0</v>
      </c>
      <c r="T807" s="29">
        <f t="shared" si="587"/>
        <v>0.11028301581354905</v>
      </c>
      <c r="U807" s="29">
        <f t="shared" si="587"/>
        <v>0</v>
      </c>
      <c r="V807" s="29">
        <f t="shared" si="587"/>
        <v>0</v>
      </c>
      <c r="W807" s="27" t="str">
        <f t="shared" si="579"/>
        <v>OK</v>
      </c>
    </row>
    <row r="808" spans="1:23" x14ac:dyDescent="0.2">
      <c r="A808" s="3">
        <f t="shared" ref="A808:A812" si="588">+A807+1</f>
        <v>68</v>
      </c>
      <c r="B808" s="3" t="str">
        <f>B736</f>
        <v>Account 365 (Veg Mgmt)</v>
      </c>
      <c r="C808" s="3"/>
      <c r="D808" s="3"/>
      <c r="E808" s="3" t="str">
        <f>E736</f>
        <v>PLT365</v>
      </c>
      <c r="F808" s="3"/>
      <c r="G808" s="3"/>
      <c r="H808" s="29">
        <f t="shared" si="586"/>
        <v>0.99999999999999978</v>
      </c>
      <c r="I808" s="29">
        <v>0</v>
      </c>
      <c r="J808" s="29">
        <f t="shared" si="584"/>
        <v>0.99999999999999978</v>
      </c>
      <c r="K808" s="29">
        <f t="shared" ref="K808:V808" si="589">IF($H736&lt;&gt;0,K736/$H736,0)</f>
        <v>0.5767470365037296</v>
      </c>
      <c r="L808" s="29">
        <f t="shared" si="589"/>
        <v>2.0119109712884407E-2</v>
      </c>
      <c r="M808" s="29">
        <f t="shared" si="589"/>
        <v>0.30342685608122189</v>
      </c>
      <c r="N808" s="29">
        <f t="shared" si="589"/>
        <v>4.0743809070748795E-2</v>
      </c>
      <c r="O808" s="29">
        <f t="shared" si="589"/>
        <v>0.26268304701047307</v>
      </c>
      <c r="P808" s="29">
        <f t="shared" si="589"/>
        <v>8.5250391790617747E-2</v>
      </c>
      <c r="Q808" s="29">
        <f t="shared" si="589"/>
        <v>6.9350947959735176E-2</v>
      </c>
      <c r="R808" s="29">
        <f t="shared" si="589"/>
        <v>5.0186345130679069E-3</v>
      </c>
      <c r="S808" s="29">
        <f t="shared" si="589"/>
        <v>1.0880809317814655E-2</v>
      </c>
      <c r="T808" s="29">
        <f t="shared" si="589"/>
        <v>0</v>
      </c>
      <c r="U808" s="29">
        <f t="shared" si="589"/>
        <v>1.1290958240153397E-2</v>
      </c>
      <c r="V808" s="29">
        <f t="shared" si="589"/>
        <v>3.165647671392712E-3</v>
      </c>
      <c r="W808" s="27" t="str">
        <f>IF((+K808+L808+M808+P808+T808+U808+V808)-H808=0,"OK",(+K808+L808+M808+P808+T808+U808+V808)-H808)</f>
        <v>OK</v>
      </c>
    </row>
    <row r="809" spans="1:23" x14ac:dyDescent="0.2">
      <c r="A809" s="3">
        <f t="shared" si="588"/>
        <v>69</v>
      </c>
      <c r="B809" s="3" t="str">
        <f>B737</f>
        <v>Total Retail O&amp;M</v>
      </c>
      <c r="C809" s="3"/>
      <c r="D809" s="3"/>
      <c r="E809" s="3" t="str">
        <f>E737</f>
        <v>O&amp;M</v>
      </c>
      <c r="F809" s="3"/>
      <c r="G809" s="3"/>
      <c r="H809" s="29">
        <f t="shared" si="586"/>
        <v>0.99999999999999989</v>
      </c>
      <c r="I809" s="29">
        <v>0</v>
      </c>
      <c r="J809" s="29">
        <f t="shared" si="584"/>
        <v>0.99999999999999989</v>
      </c>
      <c r="K809" s="29">
        <f t="shared" ref="K809:V809" si="590">IF($H737&lt;&gt;0,K737/$H737,0)</f>
        <v>0.57559981799643267</v>
      </c>
      <c r="L809" s="29">
        <f t="shared" si="590"/>
        <v>2.1469787742413756E-2</v>
      </c>
      <c r="M809" s="29">
        <f t="shared" si="590"/>
        <v>0.29501159169729785</v>
      </c>
      <c r="N809" s="29">
        <f t="shared" si="590"/>
        <v>3.9226170884905501E-2</v>
      </c>
      <c r="O809" s="29">
        <f t="shared" si="590"/>
        <v>0.25578542081239231</v>
      </c>
      <c r="P809" s="29">
        <f t="shared" si="590"/>
        <v>7.558873638440114E-2</v>
      </c>
      <c r="Q809" s="29">
        <f t="shared" si="590"/>
        <v>6.1461245665370617E-2</v>
      </c>
      <c r="R809" s="29">
        <f t="shared" si="590"/>
        <v>4.4533124584920248E-3</v>
      </c>
      <c r="S809" s="29">
        <f t="shared" si="590"/>
        <v>9.6741782605385095E-3</v>
      </c>
      <c r="T809" s="29">
        <f t="shared" si="590"/>
        <v>9.7535028074055349E-5</v>
      </c>
      <c r="U809" s="29">
        <f t="shared" si="590"/>
        <v>2.9440570899937235E-2</v>
      </c>
      <c r="V809" s="29">
        <f t="shared" si="590"/>
        <v>2.7919602514432764E-3</v>
      </c>
      <c r="W809" s="27" t="str">
        <f>IF((+K809+L809+M809+P809+T809+U809+V809)-H809=0,"OK",(+K809+L809+M809+P809+T809+U809+V809)-H809)</f>
        <v>OK</v>
      </c>
    </row>
    <row r="810" spans="1:23" x14ac:dyDescent="0.2">
      <c r="A810" s="3">
        <f t="shared" si="588"/>
        <v>70</v>
      </c>
      <c r="B810" s="3" t="str">
        <f>B738</f>
        <v>Muni Franch Fee (MFF Total Inside City Limits KWH)</v>
      </c>
      <c r="C810" s="3"/>
      <c r="D810" s="3"/>
      <c r="E810" s="3" t="str">
        <f>E738</f>
        <v>MFF</v>
      </c>
      <c r="F810" s="3"/>
      <c r="G810" s="3"/>
      <c r="H810" s="29">
        <f t="shared" si="586"/>
        <v>1</v>
      </c>
      <c r="I810" s="29">
        <v>0</v>
      </c>
      <c r="J810" s="29">
        <f t="shared" si="584"/>
        <v>1</v>
      </c>
      <c r="K810" s="29">
        <f t="shared" ref="K810:V810" si="591">IF($H738&lt;&gt;0,K738/$H738,0)</f>
        <v>0.45055255221890889</v>
      </c>
      <c r="L810" s="29">
        <f t="shared" si="591"/>
        <v>1.9034181199202461E-2</v>
      </c>
      <c r="M810" s="29">
        <f t="shared" si="591"/>
        <v>0.33912251036372282</v>
      </c>
      <c r="N810" s="29">
        <f t="shared" si="591"/>
        <v>4.6333368470017913E-2</v>
      </c>
      <c r="O810" s="29">
        <f t="shared" si="591"/>
        <v>0.29278914189370486</v>
      </c>
      <c r="P810" s="29">
        <f t="shared" si="591"/>
        <v>8.8063337802073066E-2</v>
      </c>
      <c r="Q810" s="29">
        <f t="shared" si="591"/>
        <v>8.1521732277867062E-2</v>
      </c>
      <c r="R810" s="29">
        <f t="shared" si="591"/>
        <v>4.1855649732400625E-3</v>
      </c>
      <c r="S810" s="29">
        <f t="shared" si="591"/>
        <v>2.356040550965935E-3</v>
      </c>
      <c r="T810" s="29">
        <f t="shared" si="591"/>
        <v>9.4088966737790075E-2</v>
      </c>
      <c r="U810" s="29">
        <f t="shared" si="591"/>
        <v>9.1384516783027253E-3</v>
      </c>
      <c r="V810" s="29">
        <f t="shared" si="591"/>
        <v>0</v>
      </c>
      <c r="W810" s="27" t="str">
        <f>IF((+K810+L810+M810+P810+T810+U810+V810)-H810=0,"OK",(+K810+L810+M810+P810+T810+U810+V810)-H810)</f>
        <v>OK</v>
      </c>
    </row>
    <row r="811" spans="1:23" x14ac:dyDescent="0.2">
      <c r="A811" s="3">
        <f t="shared" si="588"/>
        <v>71</v>
      </c>
      <c r="B811" s="3" t="str">
        <f>B739</f>
        <v>Excess Mitigation Credit</v>
      </c>
      <c r="C811" s="3"/>
      <c r="D811" s="3"/>
      <c r="E811" s="3" t="str">
        <f>E739</f>
        <v>EMC</v>
      </c>
      <c r="F811" s="3"/>
      <c r="G811" s="3"/>
      <c r="H811" s="29">
        <f t="shared" si="586"/>
        <v>0</v>
      </c>
      <c r="I811" s="29">
        <v>0</v>
      </c>
      <c r="J811" s="29">
        <f t="shared" si="584"/>
        <v>0</v>
      </c>
      <c r="K811" s="29">
        <f t="shared" ref="K811:V811" si="592">IF($H739&lt;&gt;0,K739/$H739,0)</f>
        <v>0</v>
      </c>
      <c r="L811" s="29">
        <f t="shared" si="592"/>
        <v>0</v>
      </c>
      <c r="M811" s="29">
        <f t="shared" si="592"/>
        <v>0</v>
      </c>
      <c r="N811" s="29">
        <f t="shared" si="592"/>
        <v>0</v>
      </c>
      <c r="O811" s="29">
        <f t="shared" si="592"/>
        <v>0</v>
      </c>
      <c r="P811" s="29">
        <f t="shared" si="592"/>
        <v>0</v>
      </c>
      <c r="Q811" s="29">
        <f t="shared" si="592"/>
        <v>0</v>
      </c>
      <c r="R811" s="29">
        <f t="shared" si="592"/>
        <v>0</v>
      </c>
      <c r="S811" s="29">
        <f t="shared" si="592"/>
        <v>0</v>
      </c>
      <c r="T811" s="29">
        <f t="shared" si="592"/>
        <v>0</v>
      </c>
      <c r="U811" s="29">
        <f t="shared" si="592"/>
        <v>0</v>
      </c>
      <c r="V811" s="29">
        <f t="shared" si="592"/>
        <v>0</v>
      </c>
      <c r="W811" s="27" t="str">
        <f>IF((+K811+L811+M811+P811+T811+U811+V811)-H811=0,"OK",(+K811+L811+M811+P811+T811+U811+V811)-H811)</f>
        <v>OK</v>
      </c>
    </row>
    <row r="812" spans="1:23" x14ac:dyDescent="0.2">
      <c r="A812" s="3">
        <f t="shared" si="588"/>
        <v>72</v>
      </c>
      <c r="B812" s="3" t="s">
        <v>642</v>
      </c>
      <c r="C812" s="3"/>
      <c r="D812" s="3"/>
      <c r="E812" s="3" t="s">
        <v>643</v>
      </c>
      <c r="F812" s="3"/>
      <c r="G812" s="3"/>
      <c r="H812" s="29">
        <f t="shared" si="586"/>
        <v>0.99339614240202156</v>
      </c>
      <c r="I812" s="29">
        <v>0</v>
      </c>
      <c r="J812" s="29">
        <f t="shared" si="584"/>
        <v>0.99339614240202156</v>
      </c>
      <c r="K812" s="29">
        <f>+(K761+K807)/2</f>
        <v>0.40274060887971358</v>
      </c>
      <c r="L812" s="29">
        <f>+(L761+L807)/2</f>
        <v>1.7621452867669932E-2</v>
      </c>
      <c r="M812" s="29">
        <f>SUM(N812:O812)</f>
        <v>0.26434290323051346</v>
      </c>
      <c r="N812" s="29">
        <f t="shared" ref="N812:V812" si="593">+(N761+N807)/2</f>
        <v>3.2862477876649254E-2</v>
      </c>
      <c r="O812" s="29">
        <f t="shared" si="593"/>
        <v>0.23148042535386421</v>
      </c>
      <c r="P812" s="29">
        <f>SUM(Q812:R812)</f>
        <v>0.10596577822020554</v>
      </c>
      <c r="Q812" s="29">
        <f t="shared" si="593"/>
        <v>9.8598346530493153E-2</v>
      </c>
      <c r="R812" s="29">
        <f t="shared" si="593"/>
        <v>7.3674316897123972E-3</v>
      </c>
      <c r="S812" s="29">
        <f>+(S761+S807)/2</f>
        <v>6.6038575979785238E-3</v>
      </c>
      <c r="T812" s="29">
        <f t="shared" si="593"/>
        <v>0.19922646786621928</v>
      </c>
      <c r="U812" s="29">
        <f t="shared" si="593"/>
        <v>3.1124159342440371E-3</v>
      </c>
      <c r="V812" s="29">
        <f t="shared" si="593"/>
        <v>3.8651540345567521E-4</v>
      </c>
      <c r="W812" s="27" t="str">
        <f>IF((+K812+L812+M812+P812+T812+U812+V812)-H812=0,"OK",(+K812+L812+M812+P812+T812+U812+V812)-H812)</f>
        <v>OK</v>
      </c>
    </row>
  </sheetData>
  <phoneticPr fontId="0" type="noConversion"/>
  <pageMargins left="0.7" right="0.7" top="0.75" bottom="0.75" header="0.3" footer="0.3"/>
  <pageSetup scale="64" orientation="landscape" r:id="rId1"/>
  <headerFooter>
    <oddHeader>&amp;RDocket No. 56165
&amp;F
&amp;A
Page &amp;P of &amp;N</oddHeader>
    <oddFooter>&amp;LSponsored by: Earlyne Reynolds</oddFooter>
  </headerFooter>
  <rowBreaks count="15" manualBreakCount="15">
    <brk id="53" max="16383" man="1"/>
    <brk id="87" max="16383" man="1"/>
    <brk id="132" max="22" man="1"/>
    <brk id="177" max="22" man="1"/>
    <brk id="227" max="22" man="1"/>
    <brk id="313" max="16383" man="1"/>
    <brk id="363" max="22" man="1"/>
    <brk id="410" max="22" man="1"/>
    <brk id="455" max="22" man="1"/>
    <brk id="495" max="16383" man="1"/>
    <brk id="527" max="16383" man="1"/>
    <brk id="577" max="22" man="1"/>
    <brk id="616" max="16383" man="1"/>
    <brk id="666" max="16383" man="1"/>
    <brk id="719" max="22" man="1"/>
  </rowBreaks>
  <colBreaks count="1" manualBreakCount="1">
    <brk id="13" max="811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4"/>
  <dimension ref="A1:AC812"/>
  <sheetViews>
    <sheetView showGridLines="0" zoomScale="110" zoomScaleNormal="110" workbookViewId="0">
      <pane xSplit="7" ySplit="13" topLeftCell="J25" activePane="bottomRight" state="frozen"/>
      <selection activeCell="K25" sqref="K25"/>
      <selection pane="topRight" activeCell="K25" sqref="K25"/>
      <selection pane="bottomLeft" activeCell="K25" sqref="K25"/>
      <selection pane="bottomRight" activeCell="K25" sqref="K25"/>
    </sheetView>
  </sheetViews>
  <sheetFormatPr defaultColWidth="3.5703125" defaultRowHeight="12.75" customHeight="1" x14ac:dyDescent="0.2"/>
  <cols>
    <col min="1" max="1" width="2.5703125" style="172" bestFit="1" customWidth="1"/>
    <col min="2" max="2" width="4.85546875" style="172" customWidth="1"/>
    <col min="3" max="3" width="26.85546875" style="172" customWidth="1"/>
    <col min="4" max="4" width="10.42578125" style="172" bestFit="1" customWidth="1"/>
    <col min="5" max="7" width="10.28515625" style="172" customWidth="1"/>
    <col min="8" max="8" width="12.42578125" style="172" bestFit="1" customWidth="1"/>
    <col min="9" max="9" width="10.42578125" style="172" customWidth="1"/>
    <col min="10" max="10" width="12.7109375" style="172" bestFit="1" customWidth="1"/>
    <col min="11" max="11" width="11.140625" style="172" bestFit="1" customWidth="1"/>
    <col min="12" max="12" width="10.42578125" style="172" customWidth="1"/>
    <col min="13" max="13" width="11.140625" style="172" bestFit="1" customWidth="1"/>
    <col min="14" max="14" width="10.42578125" style="172" customWidth="1"/>
    <col min="15" max="15" width="14.140625" style="172" bestFit="1" customWidth="1"/>
    <col min="16" max="19" width="10.42578125" style="172" customWidth="1"/>
    <col min="20" max="20" width="10.85546875" style="172" bestFit="1" customWidth="1"/>
    <col min="21" max="22" width="10.42578125" style="172" customWidth="1"/>
    <col min="23" max="23" width="10.28515625" style="172" bestFit="1" customWidth="1"/>
    <col min="24" max="24" width="3.5703125" style="172" customWidth="1"/>
    <col min="25" max="26" width="7.85546875" style="172" bestFit="1" customWidth="1"/>
    <col min="27" max="27" width="7.140625" style="172" bestFit="1" customWidth="1"/>
    <col min="28" max="29" width="7.85546875" style="172" bestFit="1" customWidth="1"/>
    <col min="30" max="16384" width="3.5703125" style="172"/>
  </cols>
  <sheetData>
    <row r="1" spans="1:29" ht="8.25" customHeight="1" x14ac:dyDescent="0.2">
      <c r="A1" s="3"/>
      <c r="B1" s="3"/>
      <c r="C1" s="3"/>
      <c r="D1" s="130">
        <v>1</v>
      </c>
      <c r="E1" s="130">
        <v>2</v>
      </c>
      <c r="F1" s="130"/>
      <c r="G1" s="130"/>
      <c r="H1" s="130">
        <v>7</v>
      </c>
      <c r="I1" s="130">
        <v>13</v>
      </c>
      <c r="J1" s="130">
        <v>6</v>
      </c>
      <c r="K1" s="130">
        <f t="shared" ref="K1:R1" si="0">J1+1</f>
        <v>7</v>
      </c>
      <c r="L1" s="130">
        <f t="shared" si="0"/>
        <v>8</v>
      </c>
      <c r="M1" s="130">
        <f t="shared" si="0"/>
        <v>9</v>
      </c>
      <c r="N1" s="130">
        <f t="shared" si="0"/>
        <v>10</v>
      </c>
      <c r="O1" s="130">
        <f>N1+1</f>
        <v>11</v>
      </c>
      <c r="P1" s="130">
        <f t="shared" si="0"/>
        <v>12</v>
      </c>
      <c r="Q1" s="130">
        <f t="shared" si="0"/>
        <v>13</v>
      </c>
      <c r="R1" s="130">
        <f t="shared" si="0"/>
        <v>14</v>
      </c>
      <c r="S1" s="130">
        <f>R1+1</f>
        <v>15</v>
      </c>
      <c r="T1" s="130">
        <f>S1+1</f>
        <v>16</v>
      </c>
      <c r="U1" s="130">
        <f>T1+1</f>
        <v>17</v>
      </c>
      <c r="V1" s="130">
        <f>U1+1</f>
        <v>18</v>
      </c>
      <c r="W1" s="4"/>
      <c r="X1" s="3"/>
      <c r="Y1" s="3"/>
      <c r="Z1" s="3"/>
      <c r="AA1" s="3"/>
      <c r="AB1" s="3"/>
      <c r="AC1" s="3"/>
    </row>
    <row r="2" spans="1:29" x14ac:dyDescent="0.2">
      <c r="A2" s="3"/>
      <c r="B2" s="3"/>
      <c r="C2" s="3"/>
      <c r="D2" s="3"/>
      <c r="E2" s="3"/>
      <c r="F2" s="3"/>
      <c r="G2" s="3"/>
      <c r="H2" s="5"/>
      <c r="I2" s="5"/>
      <c r="J2" s="5"/>
      <c r="K2" s="5"/>
      <c r="L2" s="2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3"/>
      <c r="Y2" s="3"/>
      <c r="Z2" s="3"/>
      <c r="AA2" s="3"/>
      <c r="AB2" s="3"/>
      <c r="AC2" s="3"/>
    </row>
    <row r="3" spans="1:29" x14ac:dyDescent="0.2">
      <c r="A3" s="3"/>
      <c r="B3" s="3" t="str">
        <f>'II-I TOTAL COMPANY'!B4</f>
        <v>PUBLIC UTILITY COMMISION OF TEXAS</v>
      </c>
      <c r="C3" s="5"/>
      <c r="D3" s="5"/>
      <c r="E3" s="3"/>
      <c r="F3" s="3"/>
      <c r="G3" s="3"/>
      <c r="H3" s="5"/>
      <c r="I3" s="5"/>
      <c r="J3" s="5"/>
      <c r="K3" s="5"/>
      <c r="L3" s="2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3"/>
      <c r="Y3" s="3"/>
      <c r="Z3" s="3"/>
      <c r="AA3" s="3"/>
      <c r="AB3" s="3"/>
      <c r="AC3" s="3"/>
    </row>
    <row r="4" spans="1:29" x14ac:dyDescent="0.2">
      <c r="A4" s="3"/>
      <c r="B4" s="3" t="str">
        <f>'II-I TOTAL COMPANY'!B5</f>
        <v>AEP TEXAS INC</v>
      </c>
      <c r="C4" s="3"/>
      <c r="D4" s="3"/>
      <c r="E4" s="3"/>
      <c r="F4" s="3"/>
      <c r="G4" s="3"/>
      <c r="H4" s="5"/>
      <c r="I4" s="5"/>
      <c r="J4" s="5"/>
      <c r="K4" s="5"/>
      <c r="L4" s="23"/>
      <c r="M4" s="3"/>
      <c r="N4" s="3"/>
      <c r="O4" s="3"/>
      <c r="P4" s="3"/>
      <c r="Q4" s="3"/>
      <c r="R4" s="3"/>
      <c r="S4" s="3"/>
      <c r="T4" s="3"/>
      <c r="U4" s="3"/>
      <c r="V4" s="3"/>
      <c r="W4" s="4"/>
      <c r="X4" s="3"/>
      <c r="Y4" s="3"/>
      <c r="Z4" s="3"/>
      <c r="AA4" s="3"/>
      <c r="AB4" s="3"/>
      <c r="AC4" s="3"/>
    </row>
    <row r="5" spans="1:29" x14ac:dyDescent="0.2">
      <c r="A5" s="3"/>
      <c r="B5" s="3" t="str">
        <f>'II-I TOTAL COMPANY'!B6</f>
        <v>II-I COST OF SERVICE</v>
      </c>
      <c r="C5" s="3"/>
      <c r="D5" s="3"/>
      <c r="E5" s="3"/>
      <c r="F5" s="3"/>
      <c r="G5" s="3"/>
      <c r="H5" s="3"/>
      <c r="I5" s="5"/>
      <c r="J5" s="5"/>
      <c r="K5" s="5"/>
      <c r="L5" s="2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3"/>
      <c r="Y5" s="3"/>
      <c r="Z5" s="3"/>
      <c r="AA5" s="3"/>
      <c r="AB5" s="3"/>
      <c r="AC5" s="3"/>
    </row>
    <row r="6" spans="1:29" x14ac:dyDescent="0.2">
      <c r="A6" s="3"/>
      <c r="B6" s="3" t="str">
        <f>'II-I TOTAL COMPANY'!B7</f>
        <v>TEST YEAR ENDING 09/30/2023</v>
      </c>
      <c r="C6" s="3"/>
      <c r="D6" s="3"/>
      <c r="E6" s="3"/>
      <c r="F6" s="3"/>
      <c r="G6" s="3"/>
      <c r="H6" s="5"/>
      <c r="I6" s="5"/>
      <c r="J6" s="5"/>
      <c r="K6" s="5"/>
      <c r="L6" s="23"/>
      <c r="M6" s="3"/>
      <c r="N6" s="3"/>
      <c r="O6" s="3"/>
      <c r="P6" s="3"/>
      <c r="Q6" s="3"/>
      <c r="R6" s="3"/>
      <c r="S6" s="3"/>
      <c r="T6" s="3"/>
      <c r="U6" s="3"/>
      <c r="V6" s="3"/>
      <c r="W6" s="4"/>
      <c r="X6" s="3"/>
      <c r="Y6" s="3"/>
      <c r="Z6" s="3"/>
      <c r="AA6" s="3"/>
      <c r="AB6" s="3"/>
      <c r="AC6" s="3"/>
    </row>
    <row r="7" spans="1:29" x14ac:dyDescent="0.2">
      <c r="A7" s="3"/>
      <c r="B7" s="3" t="s">
        <v>858</v>
      </c>
      <c r="C7" s="3"/>
      <c r="D7" s="3"/>
      <c r="E7" s="3" t="s">
        <v>430</v>
      </c>
      <c r="F7" s="3"/>
      <c r="G7" s="3"/>
      <c r="H7" s="5"/>
      <c r="I7" s="5"/>
      <c r="J7" s="5"/>
      <c r="K7" s="5"/>
      <c r="L7" s="23"/>
      <c r="M7" s="3"/>
      <c r="N7" s="3"/>
      <c r="O7" s="3"/>
      <c r="P7" s="3"/>
      <c r="Q7" s="3"/>
      <c r="R7" s="3"/>
      <c r="S7" s="3"/>
      <c r="T7" s="3"/>
      <c r="U7" s="3"/>
      <c r="V7" s="3"/>
      <c r="W7" s="4"/>
      <c r="X7" s="3"/>
      <c r="Y7" s="3"/>
      <c r="Z7" s="3"/>
      <c r="AA7" s="3"/>
      <c r="AB7" s="3"/>
      <c r="AC7" s="3"/>
    </row>
    <row r="8" spans="1:2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13"/>
      <c r="M8" s="4" t="s">
        <v>466</v>
      </c>
      <c r="N8" s="4"/>
      <c r="O8" s="42"/>
      <c r="P8" s="4" t="s">
        <v>466</v>
      </c>
      <c r="Q8" s="4"/>
      <c r="R8" s="42"/>
      <c r="S8" s="42"/>
      <c r="T8" s="4"/>
      <c r="U8" s="4"/>
      <c r="V8" s="42"/>
      <c r="W8" s="4"/>
      <c r="X8" s="3"/>
      <c r="Y8" s="3"/>
      <c r="Z8" s="3"/>
      <c r="AA8" s="3"/>
      <c r="AB8" s="3"/>
      <c r="AC8" s="3"/>
    </row>
    <row r="9" spans="1:29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13" t="s">
        <v>317</v>
      </c>
      <c r="M9" s="13" t="s">
        <v>317</v>
      </c>
      <c r="N9" s="13" t="s">
        <v>317</v>
      </c>
      <c r="O9" s="13" t="s">
        <v>317</v>
      </c>
      <c r="P9" s="4" t="s">
        <v>320</v>
      </c>
      <c r="Q9" s="4" t="s">
        <v>320</v>
      </c>
      <c r="R9" s="4" t="s">
        <v>320</v>
      </c>
      <c r="S9" s="4" t="s">
        <v>800</v>
      </c>
      <c r="T9" s="4" t="s">
        <v>321</v>
      </c>
      <c r="U9" s="4" t="s">
        <v>318</v>
      </c>
      <c r="V9" s="4" t="s">
        <v>857</v>
      </c>
      <c r="W9" s="4"/>
      <c r="X9" s="4"/>
      <c r="Y9" s="4"/>
      <c r="Z9" s="4"/>
      <c r="AA9" s="4"/>
      <c r="AB9" s="4"/>
      <c r="AC9" s="4"/>
    </row>
    <row r="10" spans="1:29" x14ac:dyDescent="0.2">
      <c r="A10" s="4" t="s">
        <v>0</v>
      </c>
      <c r="B10" s="4" t="s">
        <v>1</v>
      </c>
      <c r="C10" s="4" t="s">
        <v>2</v>
      </c>
      <c r="D10" s="4"/>
      <c r="E10" s="4" t="s">
        <v>3</v>
      </c>
      <c r="F10" s="4" t="s">
        <v>674</v>
      </c>
      <c r="G10" s="4" t="s">
        <v>646</v>
      </c>
      <c r="H10" s="4" t="s">
        <v>5</v>
      </c>
      <c r="I10" s="4" t="s">
        <v>315</v>
      </c>
      <c r="J10" s="4" t="s">
        <v>314</v>
      </c>
      <c r="K10" s="4" t="s">
        <v>316</v>
      </c>
      <c r="L10" s="13" t="s">
        <v>490</v>
      </c>
      <c r="M10" s="13" t="s">
        <v>491</v>
      </c>
      <c r="N10" s="13" t="s">
        <v>491</v>
      </c>
      <c r="O10" s="13" t="s">
        <v>491</v>
      </c>
      <c r="P10" s="4"/>
      <c r="Q10" s="4" t="s">
        <v>690</v>
      </c>
      <c r="R10" s="4" t="s">
        <v>364</v>
      </c>
      <c r="S10" s="4" t="s">
        <v>801</v>
      </c>
      <c r="T10" s="4"/>
      <c r="U10" s="4"/>
      <c r="V10" s="4"/>
      <c r="W10" s="4" t="s">
        <v>350</v>
      </c>
      <c r="X10" s="4"/>
      <c r="Y10" s="4"/>
      <c r="Z10" s="4"/>
      <c r="AA10" s="4"/>
      <c r="AB10" s="4"/>
      <c r="AC10" s="4"/>
    </row>
    <row r="11" spans="1:29" x14ac:dyDescent="0.2">
      <c r="A11" s="4" t="s">
        <v>7</v>
      </c>
      <c r="B11" s="4" t="s">
        <v>7</v>
      </c>
      <c r="C11" s="4"/>
      <c r="D11" s="4" t="s">
        <v>8</v>
      </c>
      <c r="E11" s="4" t="s">
        <v>9</v>
      </c>
      <c r="F11" s="4" t="s">
        <v>645</v>
      </c>
      <c r="G11" s="4"/>
      <c r="H11" s="4"/>
      <c r="I11" s="4"/>
      <c r="J11" s="4"/>
      <c r="K11" s="4"/>
      <c r="L11" s="4"/>
      <c r="M11" s="4"/>
      <c r="N11" s="4" t="s">
        <v>690</v>
      </c>
      <c r="O11" s="4" t="s">
        <v>364</v>
      </c>
      <c r="P11" s="4"/>
      <c r="Q11" s="4"/>
      <c r="R11" s="4"/>
      <c r="S11" s="4"/>
      <c r="T11" s="4"/>
      <c r="U11" s="4"/>
      <c r="V11" s="4"/>
      <c r="W11" s="4" t="s">
        <v>4</v>
      </c>
      <c r="X11" s="4"/>
      <c r="Y11" s="4"/>
      <c r="Z11" s="4"/>
      <c r="AA11" s="4"/>
      <c r="AB11" s="4"/>
      <c r="AC11" s="4"/>
    </row>
    <row r="12" spans="1:29" x14ac:dyDescent="0.2">
      <c r="A12" s="33">
        <v>-1</v>
      </c>
      <c r="B12" s="33">
        <f t="shared" ref="B12:N12" si="1">+A12-1</f>
        <v>-2</v>
      </c>
      <c r="C12" s="33">
        <f t="shared" si="1"/>
        <v>-3</v>
      </c>
      <c r="D12" s="33">
        <f t="shared" si="1"/>
        <v>-4</v>
      </c>
      <c r="E12" s="33">
        <f t="shared" si="1"/>
        <v>-5</v>
      </c>
      <c r="F12" s="33"/>
      <c r="G12" s="33"/>
      <c r="H12" s="33">
        <f>+E12-1</f>
        <v>-6</v>
      </c>
      <c r="I12" s="33">
        <f t="shared" si="1"/>
        <v>-7</v>
      </c>
      <c r="J12" s="33">
        <f t="shared" si="1"/>
        <v>-8</v>
      </c>
      <c r="K12" s="33">
        <f t="shared" si="1"/>
        <v>-9</v>
      </c>
      <c r="L12" s="33">
        <f t="shared" si="1"/>
        <v>-10</v>
      </c>
      <c r="M12" s="33">
        <f t="shared" si="1"/>
        <v>-11</v>
      </c>
      <c r="N12" s="33">
        <f t="shared" si="1"/>
        <v>-12</v>
      </c>
      <c r="O12" s="33">
        <f>+N12-1</f>
        <v>-13</v>
      </c>
      <c r="P12" s="33">
        <f t="shared" ref="P12:V12" si="2">+O12-1</f>
        <v>-14</v>
      </c>
      <c r="Q12" s="33">
        <f t="shared" si="2"/>
        <v>-15</v>
      </c>
      <c r="R12" s="33">
        <f t="shared" si="2"/>
        <v>-16</v>
      </c>
      <c r="S12" s="33">
        <f t="shared" si="2"/>
        <v>-17</v>
      </c>
      <c r="T12" s="33">
        <f t="shared" si="2"/>
        <v>-18</v>
      </c>
      <c r="U12" s="33">
        <f t="shared" si="2"/>
        <v>-19</v>
      </c>
      <c r="V12" s="33">
        <f t="shared" si="2"/>
        <v>-20</v>
      </c>
      <c r="W12" s="33"/>
      <c r="X12" s="33"/>
      <c r="Y12" s="33"/>
      <c r="Z12" s="33"/>
      <c r="AA12" s="33"/>
      <c r="AB12" s="33"/>
      <c r="AC12" s="33"/>
    </row>
    <row r="13" spans="1:29" x14ac:dyDescent="0.2">
      <c r="A13" s="3"/>
      <c r="B13" s="7" t="s">
        <v>465</v>
      </c>
      <c r="C13" s="3"/>
      <c r="D13" s="3"/>
      <c r="E13" s="3"/>
      <c r="F13" s="3"/>
      <c r="G13" s="3"/>
      <c r="H13" s="8"/>
      <c r="I13" s="9"/>
      <c r="J13" s="8"/>
      <c r="K13" s="27"/>
      <c r="L13" s="1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  <c r="Y13" s="3"/>
      <c r="Z13" s="3"/>
      <c r="AA13" s="3"/>
      <c r="AB13" s="3"/>
      <c r="AC13" s="3"/>
    </row>
    <row r="14" spans="1:29" x14ac:dyDescent="0.2">
      <c r="A14" s="3"/>
      <c r="B14" s="3"/>
      <c r="C14" s="3"/>
      <c r="D14" s="3"/>
      <c r="E14" s="11"/>
      <c r="F14" s="11"/>
      <c r="G14" s="11"/>
      <c r="H14" s="8"/>
      <c r="I14" s="9"/>
      <c r="J14" s="8"/>
      <c r="K14" s="10"/>
      <c r="L14" s="2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  <c r="X14" s="3"/>
      <c r="Y14" s="3"/>
      <c r="Z14" s="3"/>
      <c r="AA14" s="3"/>
      <c r="AB14" s="3"/>
      <c r="AC14" s="3"/>
    </row>
    <row r="15" spans="1:29" x14ac:dyDescent="0.2">
      <c r="A15" s="3"/>
      <c r="B15" s="7" t="s">
        <v>492</v>
      </c>
      <c r="C15" s="3"/>
      <c r="D15" s="3"/>
      <c r="E15" s="3"/>
      <c r="F15" s="3"/>
      <c r="G15" s="3"/>
      <c r="H15" s="9"/>
      <c r="I15" s="12"/>
      <c r="J15" s="12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27"/>
      <c r="X15" s="3"/>
      <c r="Y15" s="3"/>
      <c r="Z15" s="3"/>
      <c r="AA15" s="3"/>
      <c r="AB15" s="3"/>
      <c r="AC15" s="3"/>
    </row>
    <row r="16" spans="1:29" x14ac:dyDescent="0.2">
      <c r="A16" s="3"/>
      <c r="B16" s="3"/>
      <c r="C16" s="3"/>
      <c r="D16" s="3"/>
      <c r="E16" s="11"/>
      <c r="F16" s="11"/>
      <c r="G16" s="11"/>
      <c r="H16" s="9"/>
      <c r="I16" s="12"/>
      <c r="J16" s="12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27"/>
      <c r="X16" s="3"/>
      <c r="Y16" s="3"/>
      <c r="Z16" s="3"/>
      <c r="AA16" s="3"/>
      <c r="AB16" s="3"/>
      <c r="AC16" s="3"/>
    </row>
    <row r="17" spans="1:29" x14ac:dyDescent="0.2">
      <c r="A17" s="3">
        <f t="shared" ref="A17:A53" si="3">+A16+1</f>
        <v>1</v>
      </c>
      <c r="B17" s="48" t="s">
        <v>487</v>
      </c>
      <c r="C17" s="3"/>
      <c r="D17" s="3"/>
      <c r="E17" s="11"/>
      <c r="F17" s="11"/>
      <c r="G17" s="11"/>
      <c r="H17" s="9"/>
      <c r="I17" s="12"/>
      <c r="J17" s="1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27"/>
      <c r="X17" s="3"/>
      <c r="Y17" s="3"/>
      <c r="Z17" s="3"/>
      <c r="AA17" s="3"/>
      <c r="AB17" s="3"/>
      <c r="AC17" s="3"/>
    </row>
    <row r="18" spans="1:29" x14ac:dyDescent="0.2">
      <c r="A18" s="3">
        <f t="shared" si="3"/>
        <v>2</v>
      </c>
      <c r="B18" s="3" t="s">
        <v>478</v>
      </c>
      <c r="C18" s="3"/>
      <c r="D18" s="3"/>
      <c r="E18" s="11"/>
      <c r="F18" s="11"/>
      <c r="G18" s="11"/>
      <c r="H18" s="9"/>
      <c r="I18" s="12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27"/>
      <c r="X18" s="3"/>
      <c r="Y18" s="3"/>
      <c r="Z18" s="3"/>
      <c r="AA18" s="3"/>
      <c r="AB18" s="3"/>
      <c r="AC18" s="3"/>
    </row>
    <row r="19" spans="1:29" x14ac:dyDescent="0.2">
      <c r="A19" s="3">
        <f t="shared" si="3"/>
        <v>3</v>
      </c>
      <c r="B19" s="3"/>
      <c r="C19" s="3" t="s">
        <v>467</v>
      </c>
      <c r="D19" s="3"/>
      <c r="E19" s="11"/>
      <c r="F19" s="11"/>
      <c r="G19" s="11"/>
      <c r="H19" s="9">
        <f ca="1">+I19+J19</f>
        <v>3698361.6595619218</v>
      </c>
      <c r="I19" s="66">
        <v>0</v>
      </c>
      <c r="J19" s="66">
        <f ca="1">+K19+L19+M19+P19+T19+U19+V19</f>
        <v>3698361.6595619218</v>
      </c>
      <c r="K19" s="9">
        <f t="shared" ref="K19:V19" ca="1" si="4">+K96</f>
        <v>1733816.9967545411</v>
      </c>
      <c r="L19" s="9">
        <f t="shared" ca="1" si="4"/>
        <v>329443.80595809262</v>
      </c>
      <c r="M19" s="9">
        <f ca="1">SUM(N19:O19)</f>
        <v>1307869.7359279292</v>
      </c>
      <c r="N19" s="9">
        <f t="shared" ca="1" si="4"/>
        <v>25515.572526183292</v>
      </c>
      <c r="O19" s="9">
        <f t="shared" ca="1" si="4"/>
        <v>1282354.163401746</v>
      </c>
      <c r="P19" s="9">
        <f ca="1">SUM(Q19:S19)</f>
        <v>175888.30426287113</v>
      </c>
      <c r="Q19" s="9">
        <f t="shared" ca="1" si="4"/>
        <v>75959.129557354114</v>
      </c>
      <c r="R19" s="9">
        <f t="shared" ca="1" si="4"/>
        <v>89077.870483037856</v>
      </c>
      <c r="S19" s="9">
        <f ca="1">+S96</f>
        <v>10851.304222479155</v>
      </c>
      <c r="T19" s="9">
        <f t="shared" ca="1" si="4"/>
        <v>148265.58113271036</v>
      </c>
      <c r="U19" s="9">
        <f t="shared" ca="1" si="4"/>
        <v>0</v>
      </c>
      <c r="V19" s="9">
        <f t="shared" ca="1" si="4"/>
        <v>3077.2355257776721</v>
      </c>
      <c r="W19" s="27" t="str">
        <f t="shared" ref="W19:W82" ca="1" si="5">IF((+K19+L19+M19+P19+T19+U19+V19)-H19=0,"OK",(+K19+L19+M19+P19+T19+U19+V19)-H19)</f>
        <v>OK</v>
      </c>
      <c r="X19" s="3"/>
      <c r="Y19" s="11">
        <f ca="1">+'II-I TOTAL COMPANY'!L19-Meter!H19</f>
        <v>0</v>
      </c>
      <c r="Z19" s="3"/>
      <c r="AA19" s="3"/>
      <c r="AB19" s="3"/>
      <c r="AC19" s="3"/>
    </row>
    <row r="20" spans="1:29" x14ac:dyDescent="0.2">
      <c r="A20" s="3">
        <f t="shared" si="3"/>
        <v>4</v>
      </c>
      <c r="B20" s="3"/>
      <c r="C20" s="3" t="s">
        <v>321</v>
      </c>
      <c r="D20" s="3"/>
      <c r="E20" s="11"/>
      <c r="F20" s="11"/>
      <c r="G20" s="11"/>
      <c r="H20" s="9">
        <f>+I20+J20</f>
        <v>0</v>
      </c>
      <c r="I20" s="66">
        <v>0</v>
      </c>
      <c r="J20" s="66">
        <f t="shared" ref="J20:J36" si="6">+K20+L20+M20+P20+T20+U20+V20</f>
        <v>0</v>
      </c>
      <c r="K20" s="9">
        <f t="shared" ref="K20:V20" si="7">+K111</f>
        <v>0</v>
      </c>
      <c r="L20" s="9">
        <f t="shared" si="7"/>
        <v>0</v>
      </c>
      <c r="M20" s="9">
        <f>SUM(N20:O20)</f>
        <v>0</v>
      </c>
      <c r="N20" s="9">
        <f t="shared" si="7"/>
        <v>0</v>
      </c>
      <c r="O20" s="9">
        <f t="shared" si="7"/>
        <v>0</v>
      </c>
      <c r="P20" s="9">
        <f t="shared" ref="P20:P83" si="8">SUM(Q20:S20)</f>
        <v>0</v>
      </c>
      <c r="Q20" s="9">
        <f t="shared" si="7"/>
        <v>0</v>
      </c>
      <c r="R20" s="9">
        <f t="shared" si="7"/>
        <v>0</v>
      </c>
      <c r="S20" s="9">
        <f>+S111</f>
        <v>0</v>
      </c>
      <c r="T20" s="9">
        <f t="shared" si="7"/>
        <v>0</v>
      </c>
      <c r="U20" s="9">
        <f t="shared" si="7"/>
        <v>0</v>
      </c>
      <c r="V20" s="9">
        <f t="shared" si="7"/>
        <v>0</v>
      </c>
      <c r="W20" s="27" t="str">
        <f t="shared" si="5"/>
        <v>OK</v>
      </c>
      <c r="X20" s="3"/>
      <c r="Y20" s="11">
        <f>+'II-I TOTAL COMPANY'!L20-Meter!H20</f>
        <v>0</v>
      </c>
      <c r="Z20" s="3"/>
      <c r="AA20" s="3"/>
      <c r="AB20" s="3"/>
      <c r="AC20" s="3"/>
    </row>
    <row r="21" spans="1:29" x14ac:dyDescent="0.2">
      <c r="A21" s="3">
        <f t="shared" si="3"/>
        <v>5</v>
      </c>
      <c r="B21" s="3"/>
      <c r="C21" s="3" t="s">
        <v>176</v>
      </c>
      <c r="D21" s="3"/>
      <c r="E21" s="11"/>
      <c r="F21" s="11"/>
      <c r="G21" s="11"/>
      <c r="H21" s="9">
        <f>+I21+J21</f>
        <v>211521861.99108088</v>
      </c>
      <c r="I21" s="66">
        <v>0</v>
      </c>
      <c r="J21" s="66">
        <f t="shared" si="6"/>
        <v>211521861.99108088</v>
      </c>
      <c r="K21" s="9">
        <f t="shared" ref="K21:V21" si="9">+K147</f>
        <v>99162881.638986453</v>
      </c>
      <c r="L21" s="9">
        <f t="shared" si="9"/>
        <v>18842009.968797471</v>
      </c>
      <c r="M21" s="9">
        <f>SUM(N21:O21)</f>
        <v>74801511.385457024</v>
      </c>
      <c r="N21" s="9">
        <f t="shared" si="9"/>
        <v>1459322.2370648449</v>
      </c>
      <c r="O21" s="9">
        <f t="shared" si="9"/>
        <v>73342189.148392186</v>
      </c>
      <c r="P21" s="9">
        <f t="shared" si="8"/>
        <v>10059649.392034627</v>
      </c>
      <c r="Q21" s="9">
        <f t="shared" si="9"/>
        <v>4344360.556965231</v>
      </c>
      <c r="R21" s="9">
        <f t="shared" si="9"/>
        <v>5094665.8983600782</v>
      </c>
      <c r="S21" s="9">
        <f>+S147</f>
        <v>620622.93670931866</v>
      </c>
      <c r="T21" s="9">
        <f t="shared" si="9"/>
        <v>8479812.0565892365</v>
      </c>
      <c r="U21" s="9">
        <f t="shared" si="9"/>
        <v>0</v>
      </c>
      <c r="V21" s="9">
        <f t="shared" si="9"/>
        <v>175997.54921607548</v>
      </c>
      <c r="W21" s="27" t="str">
        <f t="shared" si="5"/>
        <v>OK</v>
      </c>
      <c r="X21" s="3"/>
      <c r="Y21" s="11">
        <f>+'II-I TOTAL COMPANY'!L21-Meter!H21</f>
        <v>0</v>
      </c>
      <c r="Z21" s="3"/>
      <c r="AA21" s="3"/>
      <c r="AB21" s="3"/>
      <c r="AC21" s="3"/>
    </row>
    <row r="22" spans="1:29" x14ac:dyDescent="0.2">
      <c r="A22" s="3">
        <f t="shared" si="3"/>
        <v>6</v>
      </c>
      <c r="B22" s="3"/>
      <c r="C22" s="3" t="s">
        <v>468</v>
      </c>
      <c r="D22" s="3"/>
      <c r="E22" s="11"/>
      <c r="F22" s="11"/>
      <c r="G22" s="11"/>
      <c r="H22" s="9">
        <f ca="1">+I22+J22</f>
        <v>9067590.5497018248</v>
      </c>
      <c r="I22" s="66">
        <v>0</v>
      </c>
      <c r="J22" s="66">
        <f t="shared" ca="1" si="6"/>
        <v>9067590.5497018248</v>
      </c>
      <c r="K22" s="9">
        <f t="shared" ref="K22:V22" ca="1" si="10">+K162+K168</f>
        <v>4250947.8687776905</v>
      </c>
      <c r="L22" s="9">
        <f t="shared" ca="1" si="10"/>
        <v>807725.64084964304</v>
      </c>
      <c r="M22" s="9">
        <f ca="1">SUM(N22:O22)</f>
        <v>3206616.4289475847</v>
      </c>
      <c r="N22" s="9">
        <f t="shared" ca="1" si="10"/>
        <v>62558.718050320895</v>
      </c>
      <c r="O22" s="9">
        <f t="shared" ca="1" si="10"/>
        <v>3144057.7108972636</v>
      </c>
      <c r="P22" s="9">
        <f t="shared" ca="1" si="8"/>
        <v>431240.44437720196</v>
      </c>
      <c r="Q22" s="9">
        <f t="shared" ca="1" si="10"/>
        <v>186235.51419236438</v>
      </c>
      <c r="R22" s="9">
        <f t="shared" ca="1" si="10"/>
        <v>218399.85672878553</v>
      </c>
      <c r="S22" s="9">
        <f ca="1">+S162+S168</f>
        <v>26605.07345605205</v>
      </c>
      <c r="T22" s="9">
        <f t="shared" ca="1" si="10"/>
        <v>363515.4444263468</v>
      </c>
      <c r="U22" s="9">
        <f t="shared" ca="1" si="10"/>
        <v>0</v>
      </c>
      <c r="V22" s="9">
        <f t="shared" ca="1" si="10"/>
        <v>7544.722323358048</v>
      </c>
      <c r="W22" s="27" t="str">
        <f t="shared" ca="1" si="5"/>
        <v>OK</v>
      </c>
      <c r="X22" s="3"/>
      <c r="Y22" s="11">
        <f ca="1">+'II-I TOTAL COMPANY'!L22-Meter!H22</f>
        <v>0</v>
      </c>
      <c r="Z22" s="3"/>
      <c r="AA22" s="3"/>
      <c r="AB22" s="3"/>
      <c r="AC22" s="3"/>
    </row>
    <row r="23" spans="1:29" x14ac:dyDescent="0.2">
      <c r="A23" s="3">
        <f t="shared" si="3"/>
        <v>7</v>
      </c>
      <c r="B23" s="3"/>
      <c r="C23" s="3"/>
      <c r="D23" s="3"/>
      <c r="E23" s="11"/>
      <c r="F23" s="11"/>
      <c r="G23" s="11"/>
      <c r="H23" s="9"/>
      <c r="I23" s="9"/>
      <c r="J23" s="9"/>
      <c r="K23" s="9"/>
      <c r="L23" s="9"/>
      <c r="M23" s="9"/>
      <c r="N23" s="9"/>
      <c r="O23" s="9"/>
      <c r="P23" s="9">
        <f t="shared" si="8"/>
        <v>0</v>
      </c>
      <c r="Q23" s="9"/>
      <c r="R23" s="9"/>
      <c r="S23" s="9"/>
      <c r="T23" s="9"/>
      <c r="U23" s="9"/>
      <c r="V23" s="9"/>
      <c r="W23" s="27" t="str">
        <f t="shared" si="5"/>
        <v>OK</v>
      </c>
      <c r="X23" s="3"/>
      <c r="Y23" s="11">
        <f>+'II-I TOTAL COMPANY'!L23-Meter!H23</f>
        <v>0</v>
      </c>
      <c r="Z23" s="3"/>
      <c r="AA23" s="3"/>
      <c r="AB23" s="3"/>
      <c r="AC23" s="3"/>
    </row>
    <row r="24" spans="1:29" x14ac:dyDescent="0.2">
      <c r="A24" s="3">
        <f t="shared" si="3"/>
        <v>8</v>
      </c>
      <c r="B24" s="3" t="s">
        <v>479</v>
      </c>
      <c r="C24" s="3"/>
      <c r="D24" s="3"/>
      <c r="E24" s="11"/>
      <c r="F24" s="8"/>
      <c r="G24" s="8"/>
      <c r="H24" s="9">
        <f ca="1">+I24+J24</f>
        <v>224287814.20034465</v>
      </c>
      <c r="I24" s="66">
        <v>0</v>
      </c>
      <c r="J24" s="66">
        <f t="shared" ca="1" si="6"/>
        <v>224287814.20034465</v>
      </c>
      <c r="K24" s="8">
        <f t="shared" ref="K24:V24" ca="1" si="11">SUM(K19:K23)</f>
        <v>105147646.50451869</v>
      </c>
      <c r="L24" s="8">
        <f t="shared" ca="1" si="11"/>
        <v>19979179.415605206</v>
      </c>
      <c r="M24" s="9">
        <f ca="1">SUM(N24:O24)</f>
        <v>79315997.550332561</v>
      </c>
      <c r="N24" s="8">
        <f t="shared" ca="1" si="11"/>
        <v>1547396.527641349</v>
      </c>
      <c r="O24" s="8">
        <f t="shared" ca="1" si="11"/>
        <v>77768601.022691205</v>
      </c>
      <c r="P24" s="9">
        <f t="shared" ca="1" si="8"/>
        <v>10666778.140674703</v>
      </c>
      <c r="Q24" s="8">
        <f t="shared" ca="1" si="11"/>
        <v>4606555.2007149495</v>
      </c>
      <c r="R24" s="8">
        <f t="shared" ca="1" si="11"/>
        <v>5402143.6255719019</v>
      </c>
      <c r="S24" s="8">
        <f ca="1">SUM(S19:S23)</f>
        <v>658079.31438784976</v>
      </c>
      <c r="T24" s="8">
        <f t="shared" ca="1" si="11"/>
        <v>8991593.082148293</v>
      </c>
      <c r="U24" s="8">
        <f t="shared" ca="1" si="11"/>
        <v>0</v>
      </c>
      <c r="V24" s="8">
        <f t="shared" ca="1" si="11"/>
        <v>186619.50706521122</v>
      </c>
      <c r="W24" s="27" t="str">
        <f t="shared" ca="1" si="5"/>
        <v>OK</v>
      </c>
      <c r="X24" s="3"/>
      <c r="Y24" s="11">
        <f ca="1">+'II-I TOTAL COMPANY'!L24-Meter!H24</f>
        <v>0</v>
      </c>
      <c r="Z24" s="3"/>
      <c r="AA24" s="3"/>
      <c r="AB24" s="3"/>
      <c r="AC24" s="3"/>
    </row>
    <row r="25" spans="1:29" x14ac:dyDescent="0.2">
      <c r="A25" s="3">
        <f t="shared" si="3"/>
        <v>9</v>
      </c>
      <c r="B25" s="3"/>
      <c r="C25" s="3"/>
      <c r="D25" s="3"/>
      <c r="E25" s="11"/>
      <c r="F25" s="11"/>
      <c r="G25" s="11"/>
      <c r="H25" s="9"/>
      <c r="I25" s="9"/>
      <c r="J25" s="9"/>
      <c r="K25" s="9"/>
      <c r="L25" s="9"/>
      <c r="M25" s="9"/>
      <c r="N25" s="9"/>
      <c r="O25" s="9"/>
      <c r="P25" s="9">
        <f t="shared" si="8"/>
        <v>0</v>
      </c>
      <c r="Q25" s="9"/>
      <c r="R25" s="9"/>
      <c r="S25" s="9"/>
      <c r="T25" s="9"/>
      <c r="U25" s="9"/>
      <c r="V25" s="9"/>
      <c r="W25" s="27" t="str">
        <f t="shared" si="5"/>
        <v>OK</v>
      </c>
      <c r="X25" s="3"/>
      <c r="Y25" s="11">
        <f>+'II-I TOTAL COMPANY'!L25-Meter!H25</f>
        <v>0</v>
      </c>
      <c r="Z25" s="3"/>
      <c r="AA25" s="3"/>
      <c r="AB25" s="3"/>
      <c r="AC25" s="3"/>
    </row>
    <row r="26" spans="1:29" x14ac:dyDescent="0.2">
      <c r="A26" s="3">
        <f t="shared" si="3"/>
        <v>10</v>
      </c>
      <c r="B26" s="3"/>
      <c r="C26" s="3" t="s">
        <v>480</v>
      </c>
      <c r="D26" s="3"/>
      <c r="E26" s="11"/>
      <c r="F26" s="11"/>
      <c r="G26" s="11"/>
      <c r="H26" s="9">
        <f ca="1">+I26+J26</f>
        <v>-113811864.56270513</v>
      </c>
      <c r="I26" s="66">
        <v>0</v>
      </c>
      <c r="J26" s="66">
        <f t="shared" ca="1" si="6"/>
        <v>-113811864.56270513</v>
      </c>
      <c r="K26" s="9">
        <f t="shared" ref="K26:V26" ca="1" si="12">-K247</f>
        <v>-53355773.00855913</v>
      </c>
      <c r="L26" s="9">
        <f t="shared" ca="1" si="12"/>
        <v>-10138168.539516455</v>
      </c>
      <c r="M26" s="9">
        <f ca="1">SUM(N26:O26)</f>
        <v>-40247846.736741833</v>
      </c>
      <c r="N26" s="9">
        <f t="shared" ca="1" si="12"/>
        <v>-785205.76187614747</v>
      </c>
      <c r="O26" s="9">
        <f t="shared" ca="1" si="12"/>
        <v>-39462640.974865682</v>
      </c>
      <c r="P26" s="9">
        <f t="shared" ca="1" si="8"/>
        <v>-5412714.5221651876</v>
      </c>
      <c r="Q26" s="9">
        <f t="shared" ca="1" si="12"/>
        <v>-2337535.0929055922</v>
      </c>
      <c r="R26" s="9">
        <f t="shared" ca="1" si="12"/>
        <v>-2741245.8445587968</v>
      </c>
      <c r="S26" s="9">
        <f ca="1">-S247</f>
        <v>-333933.58470079879</v>
      </c>
      <c r="T26" s="9">
        <f t="shared" ca="1" si="12"/>
        <v>-4562664.1720013944</v>
      </c>
      <c r="U26" s="9">
        <f t="shared" ca="1" si="12"/>
        <v>0</v>
      </c>
      <c r="V26" s="9">
        <f t="shared" ca="1" si="12"/>
        <v>-94697.583721122064</v>
      </c>
      <c r="W26" s="27" t="str">
        <f t="shared" ca="1" si="5"/>
        <v>OK</v>
      </c>
      <c r="X26" s="3"/>
      <c r="Y26" s="11">
        <f ca="1">+'II-I TOTAL COMPANY'!L26-Meter!H26</f>
        <v>0</v>
      </c>
      <c r="Z26" s="3"/>
      <c r="AA26" s="3"/>
      <c r="AB26" s="3"/>
      <c r="AC26" s="3"/>
    </row>
    <row r="27" spans="1:29" x14ac:dyDescent="0.2">
      <c r="A27" s="3">
        <f t="shared" si="3"/>
        <v>11</v>
      </c>
      <c r="B27" s="3"/>
      <c r="C27" s="3"/>
      <c r="D27" s="3"/>
      <c r="E27" s="3"/>
      <c r="F27" s="3"/>
      <c r="G27" s="3"/>
      <c r="H27" s="9"/>
      <c r="I27" s="9"/>
      <c r="J27" s="9"/>
      <c r="K27" s="9"/>
      <c r="L27" s="9"/>
      <c r="M27" s="9"/>
      <c r="N27" s="9"/>
      <c r="O27" s="9"/>
      <c r="P27" s="9">
        <f t="shared" si="8"/>
        <v>0</v>
      </c>
      <c r="Q27" s="9"/>
      <c r="R27" s="9"/>
      <c r="S27" s="9"/>
      <c r="T27" s="9"/>
      <c r="U27" s="9"/>
      <c r="V27" s="9"/>
      <c r="W27" s="27" t="str">
        <f t="shared" si="5"/>
        <v>OK</v>
      </c>
      <c r="X27" s="3"/>
      <c r="Y27" s="11">
        <f>+'II-I TOTAL COMPANY'!L27-Meter!H27</f>
        <v>0</v>
      </c>
      <c r="Z27" s="3"/>
      <c r="AA27" s="3"/>
      <c r="AB27" s="3"/>
      <c r="AC27" s="3"/>
    </row>
    <row r="28" spans="1:29" x14ac:dyDescent="0.2">
      <c r="A28" s="3">
        <f t="shared" si="3"/>
        <v>12</v>
      </c>
      <c r="B28" s="3" t="s">
        <v>481</v>
      </c>
      <c r="C28" s="3"/>
      <c r="D28" s="3"/>
      <c r="E28" s="3"/>
      <c r="F28" s="9"/>
      <c r="G28" s="9"/>
      <c r="H28" s="9">
        <f ca="1">+I28+J28</f>
        <v>110475949.63763954</v>
      </c>
      <c r="I28" s="66">
        <v>0</v>
      </c>
      <c r="J28" s="66">
        <f t="shared" ca="1" si="6"/>
        <v>110475949.63763954</v>
      </c>
      <c r="K28" s="9">
        <f t="shared" ref="K28:V28" ca="1" si="13">+K24+K26</f>
        <v>51791873.495959558</v>
      </c>
      <c r="L28" s="9">
        <f t="shared" ca="1" si="13"/>
        <v>9841010.8760887515</v>
      </c>
      <c r="M28" s="9">
        <f ca="1">SUM(N28:O28)</f>
        <v>39068150.813590728</v>
      </c>
      <c r="N28" s="9">
        <f t="shared" ca="1" si="13"/>
        <v>762190.76576520153</v>
      </c>
      <c r="O28" s="9">
        <f t="shared" ca="1" si="13"/>
        <v>38305960.047825523</v>
      </c>
      <c r="P28" s="9">
        <f t="shared" ca="1" si="8"/>
        <v>5254063.6185095133</v>
      </c>
      <c r="Q28" s="9">
        <f t="shared" ca="1" si="13"/>
        <v>2269020.1078093573</v>
      </c>
      <c r="R28" s="9">
        <f t="shared" ca="1" si="13"/>
        <v>2660897.7810131051</v>
      </c>
      <c r="S28" s="9">
        <f ca="1">+S24+S26</f>
        <v>324145.72968705097</v>
      </c>
      <c r="T28" s="9">
        <f t="shared" ca="1" si="13"/>
        <v>4428928.9101468986</v>
      </c>
      <c r="U28" s="9">
        <f t="shared" ca="1" si="13"/>
        <v>0</v>
      </c>
      <c r="V28" s="9">
        <f t="shared" ca="1" si="13"/>
        <v>91921.923344089155</v>
      </c>
      <c r="W28" s="27" t="str">
        <f t="shared" ca="1" si="5"/>
        <v>OK</v>
      </c>
      <c r="X28" s="3"/>
      <c r="Y28" s="11">
        <f ca="1">+'II-I TOTAL COMPANY'!L28-Meter!H28</f>
        <v>0</v>
      </c>
      <c r="Z28" s="3"/>
      <c r="AA28" s="3"/>
      <c r="AB28" s="3"/>
      <c r="AC28" s="3"/>
    </row>
    <row r="29" spans="1:29" x14ac:dyDescent="0.2">
      <c r="A29" s="3">
        <f t="shared" si="3"/>
        <v>13</v>
      </c>
      <c r="B29" s="3"/>
      <c r="C29" s="3"/>
      <c r="D29" s="3"/>
      <c r="E29" s="3"/>
      <c r="F29" s="3"/>
      <c r="G29" s="3"/>
      <c r="H29" s="9"/>
      <c r="I29" s="66"/>
      <c r="J29" s="66"/>
      <c r="K29" s="9"/>
      <c r="L29" s="9"/>
      <c r="M29" s="9"/>
      <c r="N29" s="9"/>
      <c r="O29" s="9"/>
      <c r="P29" s="9">
        <f t="shared" si="8"/>
        <v>0</v>
      </c>
      <c r="Q29" s="9"/>
      <c r="R29" s="9"/>
      <c r="S29" s="9"/>
      <c r="T29" s="9"/>
      <c r="U29" s="9"/>
      <c r="V29" s="9"/>
      <c r="W29" s="27" t="str">
        <f t="shared" si="5"/>
        <v>OK</v>
      </c>
      <c r="X29" s="3"/>
      <c r="Y29" s="11">
        <f>+'II-I TOTAL COMPANY'!L29-Meter!H29</f>
        <v>0</v>
      </c>
      <c r="Z29" s="3"/>
      <c r="AA29" s="3"/>
      <c r="AB29" s="3"/>
      <c r="AC29" s="3"/>
    </row>
    <row r="30" spans="1:29" x14ac:dyDescent="0.2">
      <c r="A30" s="3">
        <f t="shared" si="3"/>
        <v>14</v>
      </c>
      <c r="B30" s="3" t="s">
        <v>482</v>
      </c>
      <c r="C30" s="3"/>
      <c r="D30" s="3"/>
      <c r="E30" s="3"/>
      <c r="F30" s="11"/>
      <c r="G30" s="11"/>
      <c r="H30" s="9">
        <f t="shared" ref="H30:H36" ca="1" si="14">+I30+J30</f>
        <v>2797003.5603498789</v>
      </c>
      <c r="I30" s="66">
        <v>0</v>
      </c>
      <c r="J30" s="66">
        <f t="shared" ca="1" si="6"/>
        <v>2797003.5603498789</v>
      </c>
      <c r="K30" s="9">
        <f t="shared" ref="K30:V30" ca="1" si="15">+K266</f>
        <v>1311254.2145194144</v>
      </c>
      <c r="L30" s="9">
        <f t="shared" ca="1" si="15"/>
        <v>249152.34988379903</v>
      </c>
      <c r="M30" s="9">
        <f ca="1">SUM(N30:O30)</f>
        <v>989118.05945381371</v>
      </c>
      <c r="N30" s="9">
        <f t="shared" ca="1" si="15"/>
        <v>19296.962755274122</v>
      </c>
      <c r="O30" s="9">
        <f t="shared" ca="1" si="15"/>
        <v>969821.09669853956</v>
      </c>
      <c r="P30" s="9">
        <f t="shared" ca="1" si="8"/>
        <v>133021.12084555486</v>
      </c>
      <c r="Q30" s="9">
        <f t="shared" ca="1" si="15"/>
        <v>57446.506147850123</v>
      </c>
      <c r="R30" s="9">
        <f t="shared" ca="1" si="15"/>
        <v>67367.970962297579</v>
      </c>
      <c r="S30" s="9">
        <f ca="1">+S266</f>
        <v>8206.6437354071586</v>
      </c>
      <c r="T30" s="9">
        <f t="shared" ca="1" si="15"/>
        <v>112130.55846859947</v>
      </c>
      <c r="U30" s="9">
        <f t="shared" ca="1" si="15"/>
        <v>0</v>
      </c>
      <c r="V30" s="9">
        <f t="shared" ca="1" si="15"/>
        <v>2327.2571786975536</v>
      </c>
      <c r="W30" s="27" t="str">
        <f t="shared" ca="1" si="5"/>
        <v>OK</v>
      </c>
      <c r="X30" s="3"/>
      <c r="Y30" s="11">
        <f ca="1">+'II-I TOTAL COMPANY'!L30-Meter!H30</f>
        <v>0</v>
      </c>
      <c r="Z30" s="3"/>
      <c r="AA30" s="3"/>
      <c r="AB30" s="3"/>
      <c r="AC30" s="3"/>
    </row>
    <row r="31" spans="1:29" x14ac:dyDescent="0.2">
      <c r="A31" s="3">
        <f t="shared" si="3"/>
        <v>15</v>
      </c>
      <c r="B31" s="3" t="s">
        <v>483</v>
      </c>
      <c r="C31" s="3"/>
      <c r="D31" s="3"/>
      <c r="E31" s="3"/>
      <c r="F31" s="11"/>
      <c r="G31" s="11"/>
      <c r="H31" s="9">
        <f t="shared" ca="1" si="14"/>
        <v>-467377.9763793071</v>
      </c>
      <c r="I31" s="66">
        <v>0</v>
      </c>
      <c r="J31" s="66">
        <f t="shared" ca="1" si="6"/>
        <v>-467377.9763793071</v>
      </c>
      <c r="K31" s="9">
        <f t="shared" ref="K31:V31" ca="1" si="16">+K270</f>
        <v>-219109.96109860501</v>
      </c>
      <c r="L31" s="9">
        <f t="shared" ca="1" si="16"/>
        <v>-41633.240210917887</v>
      </c>
      <c r="M31" s="9">
        <f ca="1">SUM(N31:O31)</f>
        <v>-165281.16144761795</v>
      </c>
      <c r="N31" s="9">
        <f t="shared" ca="1" si="16"/>
        <v>-3224.5133794891167</v>
      </c>
      <c r="O31" s="9">
        <f t="shared" ca="1" si="16"/>
        <v>-162056.64806812882</v>
      </c>
      <c r="P31" s="9">
        <f t="shared" ca="1" si="8"/>
        <v>-22227.766584868299</v>
      </c>
      <c r="Q31" s="9">
        <f t="shared" ca="1" si="16"/>
        <v>-9599.2840960434914</v>
      </c>
      <c r="R31" s="9">
        <f t="shared" ca="1" si="16"/>
        <v>-11257.156189390022</v>
      </c>
      <c r="S31" s="9">
        <f ca="1">+S270</f>
        <v>-1371.3262994347845</v>
      </c>
      <c r="T31" s="9">
        <f t="shared" ca="1" si="16"/>
        <v>-18736.963459846262</v>
      </c>
      <c r="U31" s="9">
        <f t="shared" ca="1" si="16"/>
        <v>0</v>
      </c>
      <c r="V31" s="9">
        <f t="shared" ca="1" si="16"/>
        <v>-388.8835774516553</v>
      </c>
      <c r="W31" s="27" t="str">
        <f t="shared" ca="1" si="5"/>
        <v>OK</v>
      </c>
      <c r="X31" s="3"/>
      <c r="Y31" s="11">
        <f ca="1">+'II-I TOTAL COMPANY'!L31-Meter!H31</f>
        <v>0</v>
      </c>
      <c r="Z31" s="3"/>
      <c r="AA31" s="3"/>
      <c r="AB31" s="3"/>
      <c r="AC31" s="3"/>
    </row>
    <row r="32" spans="1:29" x14ac:dyDescent="0.2">
      <c r="A32" s="3">
        <f t="shared" si="3"/>
        <v>16</v>
      </c>
      <c r="B32" s="3" t="s">
        <v>484</v>
      </c>
      <c r="C32" s="3"/>
      <c r="D32" s="3"/>
      <c r="E32" s="3"/>
      <c r="F32" s="11"/>
      <c r="G32" s="11"/>
      <c r="H32" s="9">
        <f t="shared" ca="1" si="14"/>
        <v>12780986.103487628</v>
      </c>
      <c r="I32" s="66">
        <v>0</v>
      </c>
      <c r="J32" s="66">
        <f t="shared" ca="1" si="6"/>
        <v>12780986.103487628</v>
      </c>
      <c r="K32" s="9">
        <f t="shared" ref="K32:V32" ca="1" si="17">+K276</f>
        <v>5991812.8569760602</v>
      </c>
      <c r="L32" s="9">
        <f t="shared" ca="1" si="17"/>
        <v>1138508.6406961107</v>
      </c>
      <c r="M32" s="9">
        <f ca="1">SUM(N32:O32)</f>
        <v>4519802.6744758449</v>
      </c>
      <c r="N32" s="9">
        <f t="shared" ca="1" si="17"/>
        <v>88178.011751913975</v>
      </c>
      <c r="O32" s="9">
        <f t="shared" ca="1" si="17"/>
        <v>4431624.6627239306</v>
      </c>
      <c r="P32" s="9">
        <f t="shared" ca="1" si="8"/>
        <v>607843.7371687555</v>
      </c>
      <c r="Q32" s="9">
        <f t="shared" ca="1" si="17"/>
        <v>262503.41872205003</v>
      </c>
      <c r="R32" s="9">
        <f t="shared" ca="1" si="17"/>
        <v>307839.83005784114</v>
      </c>
      <c r="S32" s="9">
        <f ca="1">+S276</f>
        <v>37500.48838886428</v>
      </c>
      <c r="T32" s="9">
        <f t="shared" ca="1" si="17"/>
        <v>512383.72731431358</v>
      </c>
      <c r="U32" s="9">
        <f t="shared" ca="1" si="17"/>
        <v>0</v>
      </c>
      <c r="V32" s="9">
        <f t="shared" ca="1" si="17"/>
        <v>10634.466856543608</v>
      </c>
      <c r="W32" s="27" t="str">
        <f t="shared" ca="1" si="5"/>
        <v>OK</v>
      </c>
      <c r="X32" s="3"/>
      <c r="Y32" s="11">
        <f ca="1">+'II-I TOTAL COMPANY'!L32-Meter!H32</f>
        <v>0</v>
      </c>
      <c r="Z32" s="3"/>
      <c r="AA32" s="3"/>
      <c r="AB32" s="3"/>
      <c r="AC32" s="3"/>
    </row>
    <row r="33" spans="1:29" x14ac:dyDescent="0.2">
      <c r="A33" s="3">
        <f t="shared" si="3"/>
        <v>17</v>
      </c>
      <c r="B33" s="3" t="s">
        <v>485</v>
      </c>
      <c r="C33" s="3"/>
      <c r="D33" s="3"/>
      <c r="E33" s="3"/>
      <c r="F33" s="11"/>
      <c r="G33" s="11"/>
      <c r="H33" s="9">
        <f t="shared" si="14"/>
        <v>7523261.7550705532</v>
      </c>
      <c r="I33" s="66">
        <v>0</v>
      </c>
      <c r="J33" s="66">
        <f t="shared" si="6"/>
        <v>7523261.7550705532</v>
      </c>
      <c r="K33" s="9">
        <f t="shared" ref="K33:V33" si="18">+K253+K259+K292</f>
        <v>3527689.7852439699</v>
      </c>
      <c r="L33" s="9">
        <f t="shared" si="18"/>
        <v>669633.93131842138</v>
      </c>
      <c r="M33" s="9">
        <f>SUM(N33:O33)</f>
        <v>2660063.0769778709</v>
      </c>
      <c r="N33" s="9">
        <f t="shared" si="18"/>
        <v>52154.675548463398</v>
      </c>
      <c r="O33" s="9">
        <f t="shared" si="18"/>
        <v>2607908.4014294073</v>
      </c>
      <c r="P33" s="9">
        <f t="shared" si="8"/>
        <v>358208.6075981707</v>
      </c>
      <c r="Q33" s="9">
        <f t="shared" si="18"/>
        <v>154991.53201398317</v>
      </c>
      <c r="R33" s="9">
        <f t="shared" si="18"/>
        <v>181066.58447104707</v>
      </c>
      <c r="S33" s="9">
        <f>+S253+S259+S292</f>
        <v>22150.491113140419</v>
      </c>
      <c r="T33" s="9">
        <f t="shared" si="18"/>
        <v>301300.23099460115</v>
      </c>
      <c r="U33" s="9">
        <f t="shared" si="18"/>
        <v>83.913243592985353</v>
      </c>
      <c r="V33" s="9">
        <f t="shared" si="18"/>
        <v>6282.2096939274998</v>
      </c>
      <c r="W33" s="27" t="str">
        <f t="shared" si="5"/>
        <v>OK</v>
      </c>
      <c r="X33" s="3"/>
      <c r="Y33" s="11">
        <f>+'II-I TOTAL COMPANY'!L33-Meter!H33</f>
        <v>0</v>
      </c>
      <c r="Z33" s="3"/>
      <c r="AA33" s="3"/>
      <c r="AB33" s="3"/>
      <c r="AC33" s="3"/>
    </row>
    <row r="34" spans="1:29" x14ac:dyDescent="0.2">
      <c r="A34" s="3">
        <f t="shared" si="3"/>
        <v>18</v>
      </c>
      <c r="B34" s="3" t="s">
        <v>486</v>
      </c>
      <c r="C34" s="3"/>
      <c r="D34" s="3"/>
      <c r="E34" s="3"/>
      <c r="F34" s="11"/>
      <c r="G34" s="11"/>
      <c r="H34" s="9">
        <f t="shared" ca="1" si="14"/>
        <v>-15875664.841461698</v>
      </c>
      <c r="I34" s="66">
        <v>0</v>
      </c>
      <c r="J34" s="66">
        <f t="shared" ca="1" si="6"/>
        <v>-15875664.841461698</v>
      </c>
      <c r="K34" s="9">
        <f ca="1">+K306</f>
        <v>-7442619.2110603983</v>
      </c>
      <c r="L34" s="9">
        <f ca="1">+L306</f>
        <v>-1414177.3922958472</v>
      </c>
      <c r="M34" s="9">
        <f ca="1">+M306</f>
        <v>-5614189.0640144357</v>
      </c>
      <c r="N34" s="9">
        <f t="shared" ref="N34:V34" ca="1" si="19">+N306+N271</f>
        <v>-109528.68187360458</v>
      </c>
      <c r="O34" s="9">
        <f t="shared" ca="1" si="19"/>
        <v>-5504660.3821408311</v>
      </c>
      <c r="P34" s="9">
        <f t="shared" ca="1" si="8"/>
        <v>-755021.82453977177</v>
      </c>
      <c r="Q34" s="9">
        <f t="shared" ca="1" si="19"/>
        <v>-326063.7529550211</v>
      </c>
      <c r="R34" s="9">
        <f t="shared" ca="1" si="19"/>
        <v>-382377.53544831899</v>
      </c>
      <c r="S34" s="9">
        <f ca="1">+S306+S271</f>
        <v>-46580.53613643159</v>
      </c>
      <c r="T34" s="9">
        <f t="shared" ca="1" si="19"/>
        <v>-636447.94378121197</v>
      </c>
      <c r="U34" s="9">
        <f t="shared" ca="1" si="19"/>
        <v>0</v>
      </c>
      <c r="V34" s="9">
        <f t="shared" ca="1" si="19"/>
        <v>-13209.405770032841</v>
      </c>
      <c r="W34" s="27" t="str">
        <f t="shared" ca="1" si="5"/>
        <v>OK</v>
      </c>
      <c r="X34" s="3"/>
      <c r="Y34" s="11">
        <f ca="1">+'II-I TOTAL COMPANY'!L34-Meter!H34</f>
        <v>0</v>
      </c>
      <c r="Z34" s="3"/>
      <c r="AA34" s="3"/>
      <c r="AB34" s="3"/>
      <c r="AC34" s="3"/>
    </row>
    <row r="35" spans="1:29" x14ac:dyDescent="0.2">
      <c r="A35" s="3">
        <f t="shared" si="3"/>
        <v>19</v>
      </c>
      <c r="B35" s="3" t="s">
        <v>134</v>
      </c>
      <c r="C35" s="3"/>
      <c r="D35" s="3"/>
      <c r="E35" s="3"/>
      <c r="F35" s="11"/>
      <c r="G35" s="11"/>
      <c r="H35" s="9">
        <f t="shared" si="14"/>
        <v>0</v>
      </c>
      <c r="I35" s="66"/>
      <c r="J35" s="66"/>
      <c r="K35" s="9">
        <f>K271</f>
        <v>0</v>
      </c>
      <c r="L35" s="9">
        <f>L271</f>
        <v>0</v>
      </c>
      <c r="M35" s="9">
        <f>M271</f>
        <v>0</v>
      </c>
      <c r="N35" s="9"/>
      <c r="O35" s="9"/>
      <c r="P35" s="9">
        <f t="shared" si="8"/>
        <v>0</v>
      </c>
      <c r="Q35" s="9"/>
      <c r="R35" s="9"/>
      <c r="S35" s="9"/>
      <c r="T35" s="9"/>
      <c r="U35" s="9"/>
      <c r="V35" s="9"/>
      <c r="W35" s="27" t="str">
        <f t="shared" si="5"/>
        <v>OK</v>
      </c>
      <c r="X35" s="3"/>
      <c r="Y35" s="11">
        <f>+'II-I TOTAL COMPANY'!L35-Meter!H35</f>
        <v>0</v>
      </c>
      <c r="Z35" s="3"/>
      <c r="AA35" s="3"/>
      <c r="AB35" s="3"/>
      <c r="AC35" s="3"/>
    </row>
    <row r="36" spans="1:29" x14ac:dyDescent="0.2">
      <c r="A36" s="3">
        <f t="shared" si="3"/>
        <v>20</v>
      </c>
      <c r="B36" s="3" t="s">
        <v>138</v>
      </c>
      <c r="C36" s="78"/>
      <c r="D36" s="3"/>
      <c r="E36" s="3"/>
      <c r="F36" s="9"/>
      <c r="G36" s="9"/>
      <c r="H36" s="9">
        <f t="shared" ca="1" si="14"/>
        <v>117234158.23870659</v>
      </c>
      <c r="I36" s="66">
        <v>0</v>
      </c>
      <c r="J36" s="66">
        <f t="shared" ca="1" si="6"/>
        <v>117234158.23870659</v>
      </c>
      <c r="K36" s="9">
        <f t="shared" ref="K36:V36" ca="1" si="20">SUM(K28:K35)</f>
        <v>54960901.180540003</v>
      </c>
      <c r="L36" s="9">
        <f t="shared" ca="1" si="20"/>
        <v>10442495.165480316</v>
      </c>
      <c r="M36" s="9">
        <f ca="1">SUM(N36:O36)</f>
        <v>41457664.399036199</v>
      </c>
      <c r="N36" s="9">
        <f t="shared" ca="1" si="20"/>
        <v>809067.22056775936</v>
      </c>
      <c r="O36" s="9">
        <f t="shared" ca="1" si="20"/>
        <v>40648597.178468436</v>
      </c>
      <c r="P36" s="9">
        <f t="shared" ca="1" si="8"/>
        <v>5575887.4929973548</v>
      </c>
      <c r="Q36" s="9">
        <f t="shared" ca="1" si="20"/>
        <v>2408298.5276421765</v>
      </c>
      <c r="R36" s="9">
        <f t="shared" ca="1" si="20"/>
        <v>2823537.4748665821</v>
      </c>
      <c r="S36" s="9">
        <f ca="1">SUM(S28:S35)</f>
        <v>344051.49048859649</v>
      </c>
      <c r="T36" s="9">
        <f t="shared" ca="1" si="20"/>
        <v>4699558.5196833545</v>
      </c>
      <c r="U36" s="9">
        <f t="shared" ca="1" si="20"/>
        <v>83.913243592985353</v>
      </c>
      <c r="V36" s="9">
        <f t="shared" ca="1" si="20"/>
        <v>97567.567725773319</v>
      </c>
      <c r="W36" s="27" t="str">
        <f t="shared" ca="1" si="5"/>
        <v>OK</v>
      </c>
      <c r="X36" s="3"/>
      <c r="Y36" s="11">
        <f ca="1">+'II-I TOTAL COMPANY'!L36-Meter!H36</f>
        <v>0</v>
      </c>
      <c r="Z36" s="3"/>
      <c r="AA36" s="3"/>
      <c r="AB36" s="3"/>
      <c r="AC36" s="3"/>
    </row>
    <row r="37" spans="1:29" x14ac:dyDescent="0.2">
      <c r="A37" s="3">
        <f t="shared" si="3"/>
        <v>21</v>
      </c>
      <c r="B37" s="3"/>
      <c r="C37" s="78"/>
      <c r="D37" s="3"/>
      <c r="E37" s="3"/>
      <c r="F37" s="3"/>
      <c r="G37" s="3"/>
      <c r="H37" s="9"/>
      <c r="I37" s="9"/>
      <c r="J37" s="9"/>
      <c r="K37" s="9"/>
      <c r="L37" s="9"/>
      <c r="M37" s="9"/>
      <c r="N37" s="9"/>
      <c r="O37" s="9"/>
      <c r="P37" s="9">
        <f t="shared" si="8"/>
        <v>0</v>
      </c>
      <c r="Q37" s="9"/>
      <c r="R37" s="9"/>
      <c r="S37" s="9"/>
      <c r="T37" s="9"/>
      <c r="U37" s="9"/>
      <c r="V37" s="9"/>
      <c r="W37" s="27" t="str">
        <f t="shared" si="5"/>
        <v>OK</v>
      </c>
      <c r="X37" s="3"/>
      <c r="Y37" s="11">
        <f>+'II-I TOTAL COMPANY'!L37-Meter!H37</f>
        <v>0</v>
      </c>
      <c r="Z37" s="3"/>
      <c r="AA37" s="3"/>
      <c r="AB37" s="3"/>
      <c r="AC37" s="3"/>
    </row>
    <row r="38" spans="1:29" x14ac:dyDescent="0.2">
      <c r="A38" s="3">
        <f t="shared" si="3"/>
        <v>22</v>
      </c>
      <c r="B38" s="3"/>
      <c r="C38" s="78"/>
      <c r="D38" s="3"/>
      <c r="E38" s="3"/>
      <c r="F38" s="3"/>
      <c r="G38" s="3"/>
      <c r="H38" s="8"/>
      <c r="I38" s="8"/>
      <c r="J38" s="66"/>
      <c r="K38" s="8"/>
      <c r="L38" s="8"/>
      <c r="M38" s="8"/>
      <c r="N38" s="8"/>
      <c r="O38" s="8"/>
      <c r="P38" s="9">
        <f t="shared" si="8"/>
        <v>0</v>
      </c>
      <c r="Q38" s="8"/>
      <c r="R38" s="8"/>
      <c r="S38" s="8"/>
      <c r="T38" s="8"/>
      <c r="U38" s="8"/>
      <c r="V38" s="8"/>
      <c r="W38" s="27" t="str">
        <f t="shared" si="5"/>
        <v>OK</v>
      </c>
      <c r="X38" s="3"/>
      <c r="Y38" s="11">
        <f>+'II-I TOTAL COMPANY'!L38-Meter!H38</f>
        <v>0</v>
      </c>
      <c r="Z38" s="11"/>
      <c r="AA38" s="11"/>
      <c r="AB38" s="11"/>
      <c r="AC38" s="11">
        <f>SUM(Y38:AB38)</f>
        <v>0</v>
      </c>
    </row>
    <row r="39" spans="1:29" s="173" customFormat="1" x14ac:dyDescent="0.2">
      <c r="A39" s="3">
        <f t="shared" si="3"/>
        <v>23</v>
      </c>
      <c r="B39" s="3" t="s">
        <v>493</v>
      </c>
      <c r="C39" s="78"/>
      <c r="D39" s="3"/>
      <c r="E39" s="3"/>
      <c r="F39" s="11"/>
      <c r="G39" s="11"/>
      <c r="H39" s="9">
        <f>+I39+J39</f>
        <v>56905340.492062181</v>
      </c>
      <c r="I39" s="66">
        <v>0</v>
      </c>
      <c r="J39" s="66">
        <f t="shared" ref="J39:J43" si="21">+K39+L39+M39+P39+T39+U39+V39</f>
        <v>56905340.492062181</v>
      </c>
      <c r="K39" s="8">
        <f>+'[2]II-H-4.1 Functions'!$E$189</f>
        <v>38036476.375195511</v>
      </c>
      <c r="L39" s="8">
        <f>+'[2]II-H-4.1 Functions'!$E$191</f>
        <v>5099900.9656802686</v>
      </c>
      <c r="M39" s="9">
        <f>SUM(N39:O39)</f>
        <v>10956922.521470765</v>
      </c>
      <c r="N39" s="8">
        <f>+'[2]II-H-4.1 Functions'!$E$194</f>
        <v>87790.730090504308</v>
      </c>
      <c r="O39" s="8">
        <f>+'[2]II-H-4.1 Functions'!$E$193</f>
        <v>10869131.79138026</v>
      </c>
      <c r="P39" s="9">
        <f t="shared" si="8"/>
        <v>1645621.6706345179</v>
      </c>
      <c r="Q39" s="8">
        <f>+'[2]II-H-4.1 Functions'!$E$198</f>
        <v>713143.33128456166</v>
      </c>
      <c r="R39" s="8">
        <f>+'[2]II-H-4.1 Functions'!$E$197</f>
        <v>830965.62931467756</v>
      </c>
      <c r="S39" s="8">
        <f>+'[2]II-H-4.1 Functions'!$E$199+'[2]II-H-4.1 Functions'!$E$200</f>
        <v>101512.71003527872</v>
      </c>
      <c r="T39" s="8">
        <f>+'[2]II-H-4.1 Functions'!$E$203</f>
        <v>1166417.9590811178</v>
      </c>
      <c r="U39" s="8">
        <f>+'[2]II-H-4.1 Functions'!$E$205</f>
        <v>0</v>
      </c>
      <c r="V39" s="8">
        <v>1</v>
      </c>
      <c r="W39" s="27" t="str">
        <f t="shared" si="5"/>
        <v>OK</v>
      </c>
      <c r="X39" s="3"/>
      <c r="Y39" s="11">
        <f>+'II-I TOTAL COMPANY'!L39-Meter!H39</f>
        <v>-1</v>
      </c>
      <c r="Z39" s="3"/>
      <c r="AA39" s="3"/>
      <c r="AB39" s="3"/>
      <c r="AC39" s="3"/>
    </row>
    <row r="40" spans="1:29" x14ac:dyDescent="0.2">
      <c r="A40" s="3">
        <f t="shared" si="3"/>
        <v>24</v>
      </c>
      <c r="B40" s="3" t="s">
        <v>494</v>
      </c>
      <c r="C40" s="78"/>
      <c r="D40" s="3"/>
      <c r="E40" s="3"/>
      <c r="F40" s="11"/>
      <c r="G40" s="11"/>
      <c r="H40" s="9">
        <f>+I40+J40</f>
        <v>856637.4800000001</v>
      </c>
      <c r="I40" s="66">
        <v>0</v>
      </c>
      <c r="J40" s="66">
        <f t="shared" si="21"/>
        <v>856637.4800000001</v>
      </c>
      <c r="K40" s="13">
        <f t="shared" ref="K40:V40" si="22">+K664</f>
        <v>401597.45303462545</v>
      </c>
      <c r="L40" s="13">
        <f t="shared" si="22"/>
        <v>76307.818898105877</v>
      </c>
      <c r="M40" s="9">
        <f>SUM(N40:O40)</f>
        <v>302936.90500952164</v>
      </c>
      <c r="N40" s="13">
        <f t="shared" si="22"/>
        <v>5910.0752607780287</v>
      </c>
      <c r="O40" s="13">
        <f t="shared" si="22"/>
        <v>297026.82974874362</v>
      </c>
      <c r="P40" s="9">
        <f t="shared" si="8"/>
        <v>40740.34061424555</v>
      </c>
      <c r="Q40" s="13">
        <f t="shared" si="22"/>
        <v>17594.124998233117</v>
      </c>
      <c r="R40" s="13">
        <f t="shared" si="22"/>
        <v>20632.769187693419</v>
      </c>
      <c r="S40" s="13">
        <f>+S664</f>
        <v>2513.4464283190168</v>
      </c>
      <c r="T40" s="13">
        <f t="shared" si="22"/>
        <v>34342.194053381216</v>
      </c>
      <c r="U40" s="13">
        <f t="shared" si="22"/>
        <v>0</v>
      </c>
      <c r="V40" s="13">
        <f t="shared" si="22"/>
        <v>712.76839012031837</v>
      </c>
      <c r="W40" s="27" t="str">
        <f t="shared" si="5"/>
        <v>OK</v>
      </c>
      <c r="X40" s="3"/>
      <c r="Y40" s="11">
        <f>+'II-I TOTAL COMPANY'!L40-Meter!H40</f>
        <v>0</v>
      </c>
      <c r="Z40" s="3"/>
      <c r="AA40" s="3"/>
      <c r="AB40" s="3"/>
      <c r="AC40" s="3"/>
    </row>
    <row r="41" spans="1:29" x14ac:dyDescent="0.2">
      <c r="A41" s="3">
        <f t="shared" si="3"/>
        <v>25</v>
      </c>
      <c r="B41" s="3" t="s">
        <v>495</v>
      </c>
      <c r="C41" s="78"/>
      <c r="D41" s="3"/>
      <c r="E41" s="3"/>
      <c r="F41" s="11"/>
      <c r="G41" s="11"/>
      <c r="H41" s="9">
        <f>+I41+J41</f>
        <v>0</v>
      </c>
      <c r="I41" s="66">
        <v>0</v>
      </c>
      <c r="J41" s="66">
        <f t="shared" si="21"/>
        <v>0</v>
      </c>
      <c r="K41" s="13">
        <f>K666</f>
        <v>0</v>
      </c>
      <c r="L41" s="13">
        <f>L666</f>
        <v>0</v>
      </c>
      <c r="M41" s="9">
        <f>SUM(N41:O41)</f>
        <v>0</v>
      </c>
      <c r="N41" s="13">
        <f>N666</f>
        <v>0</v>
      </c>
      <c r="O41" s="13">
        <f>O666</f>
        <v>0</v>
      </c>
      <c r="P41" s="9">
        <f t="shared" si="8"/>
        <v>0</v>
      </c>
      <c r="Q41" s="13">
        <f t="shared" ref="Q41:V41" si="23">Q666</f>
        <v>0</v>
      </c>
      <c r="R41" s="13">
        <f t="shared" si="23"/>
        <v>0</v>
      </c>
      <c r="S41" s="13">
        <f t="shared" si="23"/>
        <v>0</v>
      </c>
      <c r="T41" s="13">
        <f t="shared" si="23"/>
        <v>0</v>
      </c>
      <c r="U41" s="13">
        <f t="shared" si="23"/>
        <v>0</v>
      </c>
      <c r="V41" s="13">
        <f t="shared" si="23"/>
        <v>0</v>
      </c>
      <c r="W41" s="27" t="str">
        <f t="shared" si="5"/>
        <v>OK</v>
      </c>
      <c r="X41" s="3"/>
      <c r="Y41" s="11">
        <f>+'II-I TOTAL COMPANY'!L41-Meter!H41</f>
        <v>0</v>
      </c>
      <c r="Z41" s="3"/>
      <c r="AA41" s="3"/>
      <c r="AB41" s="3"/>
      <c r="AC41" s="3"/>
    </row>
    <row r="42" spans="1:29" x14ac:dyDescent="0.2">
      <c r="A42" s="3">
        <f t="shared" si="3"/>
        <v>26</v>
      </c>
      <c r="B42" s="3" t="s">
        <v>517</v>
      </c>
      <c r="C42" s="78"/>
      <c r="D42" s="3"/>
      <c r="E42" s="3"/>
      <c r="F42" s="11"/>
      <c r="G42" s="11"/>
      <c r="H42" s="9">
        <f>+I42+J42</f>
        <v>0</v>
      </c>
      <c r="I42" s="66">
        <v>0</v>
      </c>
      <c r="J42" s="66">
        <f t="shared" si="21"/>
        <v>0</v>
      </c>
      <c r="K42" s="13">
        <v>0</v>
      </c>
      <c r="L42" s="13">
        <v>0</v>
      </c>
      <c r="M42" s="9">
        <f>SUM(N42:O42)</f>
        <v>0</v>
      </c>
      <c r="N42" s="13">
        <v>0</v>
      </c>
      <c r="O42" s="13">
        <v>0</v>
      </c>
      <c r="P42" s="9">
        <f t="shared" si="8"/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27" t="str">
        <f t="shared" si="5"/>
        <v>OK</v>
      </c>
      <c r="X42" s="3"/>
      <c r="Y42" s="11">
        <f>+'II-I TOTAL COMPANY'!L42-Meter!H42</f>
        <v>0</v>
      </c>
      <c r="Z42" s="3"/>
      <c r="AA42" s="3"/>
      <c r="AB42" s="3"/>
      <c r="AC42" s="3"/>
    </row>
    <row r="43" spans="1:29" x14ac:dyDescent="0.2">
      <c r="A43" s="3">
        <f t="shared" si="3"/>
        <v>27</v>
      </c>
      <c r="B43" s="3" t="s">
        <v>496</v>
      </c>
      <c r="C43" s="78"/>
      <c r="D43" s="3"/>
      <c r="E43" s="3"/>
      <c r="F43" s="13"/>
      <c r="G43" s="13"/>
      <c r="H43" s="9">
        <f>+I43+J43</f>
        <v>57761977.972062178</v>
      </c>
      <c r="I43" s="66">
        <v>0</v>
      </c>
      <c r="J43" s="66">
        <f t="shared" si="21"/>
        <v>57761977.972062178</v>
      </c>
      <c r="K43" s="13">
        <f t="shared" ref="K43:V43" si="24">SUM(K39:K42)</f>
        <v>38438073.828230135</v>
      </c>
      <c r="L43" s="13">
        <f t="shared" si="24"/>
        <v>5176208.7845783746</v>
      </c>
      <c r="M43" s="9">
        <f>SUM(N43:O43)</f>
        <v>11259859.426480286</v>
      </c>
      <c r="N43" s="13">
        <f t="shared" si="24"/>
        <v>93700.805351282339</v>
      </c>
      <c r="O43" s="13">
        <f t="shared" si="24"/>
        <v>11166158.621129004</v>
      </c>
      <c r="P43" s="9">
        <f t="shared" si="8"/>
        <v>1686362.0112487634</v>
      </c>
      <c r="Q43" s="13">
        <f t="shared" si="24"/>
        <v>730737.45628279482</v>
      </c>
      <c r="R43" s="13">
        <f t="shared" si="24"/>
        <v>851598.39850237092</v>
      </c>
      <c r="S43" s="13">
        <f>SUM(S39:S42)</f>
        <v>104026.15646359774</v>
      </c>
      <c r="T43" s="13">
        <f t="shared" si="24"/>
        <v>1200760.153134499</v>
      </c>
      <c r="U43" s="13">
        <f t="shared" si="24"/>
        <v>0</v>
      </c>
      <c r="V43" s="13">
        <f t="shared" si="24"/>
        <v>713.76839012031837</v>
      </c>
      <c r="W43" s="27" t="str">
        <f t="shared" si="5"/>
        <v>OK</v>
      </c>
      <c r="X43" s="3"/>
      <c r="Y43" s="11">
        <f>+'II-I TOTAL COMPANY'!L43-Meter!H43</f>
        <v>-1</v>
      </c>
      <c r="Z43" s="3"/>
      <c r="AA43" s="3"/>
      <c r="AB43" s="3"/>
      <c r="AC43" s="3"/>
    </row>
    <row r="44" spans="1:29" x14ac:dyDescent="0.2">
      <c r="A44" s="3">
        <f t="shared" si="3"/>
        <v>28</v>
      </c>
      <c r="B44" s="3"/>
      <c r="C44" s="78"/>
      <c r="D44" s="3"/>
      <c r="E44" s="3"/>
      <c r="F44" s="3"/>
      <c r="G44" s="3"/>
      <c r="H44" s="6"/>
      <c r="I44" s="6"/>
      <c r="J44" s="6"/>
      <c r="K44" s="13"/>
      <c r="L44" s="13"/>
      <c r="M44" s="13"/>
      <c r="N44" s="13"/>
      <c r="O44" s="13"/>
      <c r="P44" s="9">
        <f t="shared" si="8"/>
        <v>0</v>
      </c>
      <c r="Q44" s="13"/>
      <c r="R44" s="13"/>
      <c r="S44" s="13"/>
      <c r="T44" s="13"/>
      <c r="U44" s="13"/>
      <c r="V44" s="13"/>
      <c r="W44" s="27" t="str">
        <f t="shared" si="5"/>
        <v>OK</v>
      </c>
      <c r="X44" s="3"/>
      <c r="Y44" s="11">
        <f>+'II-I TOTAL COMPANY'!L44-Meter!H44</f>
        <v>0</v>
      </c>
      <c r="Z44" s="3"/>
      <c r="AA44" s="3"/>
      <c r="AB44" s="3"/>
      <c r="AC44" s="3"/>
    </row>
    <row r="45" spans="1:29" x14ac:dyDescent="0.2">
      <c r="A45" s="3">
        <f t="shared" si="3"/>
        <v>29</v>
      </c>
      <c r="B45" s="3" t="s">
        <v>16</v>
      </c>
      <c r="C45" s="78"/>
      <c r="D45" s="3"/>
      <c r="E45" s="3"/>
      <c r="F45" s="11"/>
      <c r="G45" s="11"/>
      <c r="H45" s="9">
        <f t="shared" ref="H45:H50" ca="1" si="25">+I45+J45</f>
        <v>24275502.986472655</v>
      </c>
      <c r="I45" s="66">
        <v>0</v>
      </c>
      <c r="J45" s="66">
        <f ca="1">+K45+L45+M45+P45+T45+U45+V45</f>
        <v>24275502.986472655</v>
      </c>
      <c r="K45" s="13">
        <f t="shared" ref="K45:V45" ca="1" si="26">+K429</f>
        <v>11380520.229516298</v>
      </c>
      <c r="L45" s="13">
        <f t="shared" ca="1" si="26"/>
        <v>2162420.777517444</v>
      </c>
      <c r="M45" s="9">
        <f t="shared" ref="M45:M50" ca="1" si="27">SUM(N45:O45)</f>
        <v>8584664.9416640345</v>
      </c>
      <c r="N45" s="13">
        <f t="shared" ca="1" si="26"/>
        <v>167480.47218678222</v>
      </c>
      <c r="O45" s="13">
        <f t="shared" ca="1" si="26"/>
        <v>8417184.469477253</v>
      </c>
      <c r="P45" s="9">
        <f t="shared" ca="1" si="8"/>
        <v>1154505.0074753107</v>
      </c>
      <c r="Q45" s="13">
        <f t="shared" ca="1" si="26"/>
        <v>498584.57505149243</v>
      </c>
      <c r="R45" s="13">
        <f t="shared" ca="1" si="26"/>
        <v>584694.06455931941</v>
      </c>
      <c r="S45" s="13">
        <f ca="1">+S429</f>
        <v>71226.367864498912</v>
      </c>
      <c r="T45" s="13">
        <f t="shared" ca="1" si="26"/>
        <v>973193.50806934014</v>
      </c>
      <c r="U45" s="13">
        <f t="shared" ca="1" si="26"/>
        <v>0</v>
      </c>
      <c r="V45" s="13">
        <f t="shared" ca="1" si="26"/>
        <v>20198.522230231036</v>
      </c>
      <c r="W45" s="27" t="str">
        <f t="shared" ca="1" si="5"/>
        <v>OK</v>
      </c>
      <c r="X45" s="3"/>
      <c r="Y45" s="11">
        <f ca="1">+'II-I TOTAL COMPANY'!L45-Meter!H45</f>
        <v>0</v>
      </c>
      <c r="Z45" s="3"/>
      <c r="AA45" s="3"/>
      <c r="AB45" s="3"/>
      <c r="AC45" s="3"/>
    </row>
    <row r="46" spans="1:29" x14ac:dyDescent="0.2">
      <c r="A46" s="3">
        <f t="shared" si="3"/>
        <v>30</v>
      </c>
      <c r="B46" s="3" t="s">
        <v>18</v>
      </c>
      <c r="C46" s="78"/>
      <c r="D46" s="3"/>
      <c r="E46" s="3"/>
      <c r="F46" s="11"/>
      <c r="G46" s="11"/>
      <c r="H46" s="9">
        <f t="shared" ca="1" si="25"/>
        <v>14340683.430836225</v>
      </c>
      <c r="I46" s="66">
        <v>0</v>
      </c>
      <c r="J46" s="66">
        <f t="shared" ref="J46:J52" ca="1" si="28">+K46+L46+M46+P46+T46+U46+V46</f>
        <v>14340683.430836225</v>
      </c>
      <c r="K46" s="13">
        <f t="shared" ref="K46:V46" ca="1" si="29">+K597</f>
        <v>6723009.5286044227</v>
      </c>
      <c r="L46" s="13">
        <f t="shared" ca="1" si="29"/>
        <v>1277443.842540392</v>
      </c>
      <c r="M46" s="9">
        <f t="shared" ca="1" si="27"/>
        <v>5071366.074548658</v>
      </c>
      <c r="N46" s="13">
        <f t="shared" ca="1" si="29"/>
        <v>98938.606290299736</v>
      </c>
      <c r="O46" s="13">
        <f t="shared" ca="1" si="29"/>
        <v>4972427.4682583585</v>
      </c>
      <c r="P46" s="9">
        <f t="shared" ca="1" si="8"/>
        <v>682020.50605272991</v>
      </c>
      <c r="Q46" s="13">
        <f t="shared" ca="1" si="29"/>
        <v>294537.40086439258</v>
      </c>
      <c r="R46" s="13">
        <f t="shared" ca="1" si="29"/>
        <v>345406.3336362812</v>
      </c>
      <c r="S46" s="13">
        <f ca="1">+S597</f>
        <v>42076.771552056081</v>
      </c>
      <c r="T46" s="13">
        <f t="shared" ca="1" si="29"/>
        <v>574911.26029167708</v>
      </c>
      <c r="U46" s="13">
        <f t="shared" ca="1" si="29"/>
        <v>0</v>
      </c>
      <c r="V46" s="13">
        <f t="shared" ca="1" si="29"/>
        <v>11932.218798344264</v>
      </c>
      <c r="W46" s="27" t="str">
        <f t="shared" ca="1" si="5"/>
        <v>OK</v>
      </c>
      <c r="X46" s="3"/>
      <c r="Y46" s="11">
        <f ca="1">+'II-I TOTAL COMPANY'!L46-Meter!H46</f>
        <v>0</v>
      </c>
      <c r="Z46" s="3"/>
      <c r="AA46" s="3"/>
      <c r="AB46" s="3"/>
      <c r="AC46" s="3"/>
    </row>
    <row r="47" spans="1:29" x14ac:dyDescent="0.2">
      <c r="A47" s="3">
        <f t="shared" si="3"/>
        <v>31</v>
      </c>
      <c r="B47" s="3" t="s">
        <v>19</v>
      </c>
      <c r="C47" s="78"/>
      <c r="D47" s="3"/>
      <c r="E47" s="3"/>
      <c r="F47" s="11"/>
      <c r="G47" s="11"/>
      <c r="H47" s="9">
        <f t="shared" ca="1" si="25"/>
        <v>2595480.6798721598</v>
      </c>
      <c r="I47" s="66">
        <v>0</v>
      </c>
      <c r="J47" s="66">
        <f t="shared" ca="1" si="28"/>
        <v>2595480.6798721598</v>
      </c>
      <c r="K47" s="13">
        <f t="shared" ref="K47:V47" ca="1" si="30">+K611</f>
        <v>1216783.0217988759</v>
      </c>
      <c r="L47" s="13">
        <f t="shared" ca="1" si="30"/>
        <v>231198.09670026921</v>
      </c>
      <c r="M47" s="9">
        <f t="shared" ca="1" si="27"/>
        <v>917850.16383262642</v>
      </c>
      <c r="N47" s="13">
        <f t="shared" ca="1" si="30"/>
        <v>17908.024505198078</v>
      </c>
      <c r="O47" s="13">
        <f t="shared" ca="1" si="30"/>
        <v>899942.1393274283</v>
      </c>
      <c r="P47" s="9">
        <f t="shared" ca="1" si="8"/>
        <v>123439.3202296393</v>
      </c>
      <c r="Q47" s="13">
        <f t="shared" ca="1" si="30"/>
        <v>53310.16036917342</v>
      </c>
      <c r="R47" s="13">
        <f t="shared" ca="1" si="30"/>
        <v>62513.373262607973</v>
      </c>
      <c r="S47" s="13">
        <f ca="1">+S611</f>
        <v>7615.7865978579011</v>
      </c>
      <c r="T47" s="13">
        <f t="shared" ca="1" si="30"/>
        <v>104049.9038186789</v>
      </c>
      <c r="U47" s="13">
        <f t="shared" ca="1" si="30"/>
        <v>0.46875314513506122</v>
      </c>
      <c r="V47" s="13">
        <f t="shared" ca="1" si="30"/>
        <v>2159.7047389247664</v>
      </c>
      <c r="W47" s="27" t="str">
        <f t="shared" ca="1" si="5"/>
        <v>OK</v>
      </c>
      <c r="X47" s="3"/>
      <c r="Y47" s="11">
        <f ca="1">+'II-I TOTAL COMPANY'!L47-Meter!H47</f>
        <v>0</v>
      </c>
      <c r="Z47" s="3"/>
      <c r="AA47" s="3"/>
      <c r="AB47" s="3"/>
      <c r="AC47" s="3"/>
    </row>
    <row r="48" spans="1:29" s="173" customFormat="1" x14ac:dyDescent="0.2">
      <c r="A48" s="3">
        <f t="shared" si="3"/>
        <v>32</v>
      </c>
      <c r="B48" s="3" t="s">
        <v>488</v>
      </c>
      <c r="C48" s="78"/>
      <c r="D48" s="3"/>
      <c r="E48" s="3"/>
      <c r="F48" s="11"/>
      <c r="G48" s="11"/>
      <c r="H48" s="9">
        <f t="shared" ca="1" si="25"/>
        <v>2829548.1708007865</v>
      </c>
      <c r="I48" s="66">
        <v>0</v>
      </c>
      <c r="J48" s="66">
        <f t="shared" ca="1" si="28"/>
        <v>2829548.170800786</v>
      </c>
      <c r="K48" s="13">
        <f ca="1">(((+K52+SUM(K626:K634))*K638)+SUM(K643:K646))</f>
        <v>3711868.9154246701</v>
      </c>
      <c r="L48" s="13">
        <f ca="1">(((+L52+SUM(L626:L634))*L638)+SUM(L643:L646))</f>
        <v>258537.21631263033</v>
      </c>
      <c r="M48" s="9">
        <f t="shared" ref="M48" ca="1" si="31">SUM(N48:O48)</f>
        <v>-924396.61602691247</v>
      </c>
      <c r="N48" s="13">
        <f t="shared" ref="N48:V48" ca="1" si="32">(((+N52+SUM(N626:N634))*N638)+SUM(N643:N646))</f>
        <v>-44489.760605015967</v>
      </c>
      <c r="O48" s="13">
        <f t="shared" ca="1" si="32"/>
        <v>-879906.85542189656</v>
      </c>
      <c r="P48" s="9">
        <f t="shared" ref="P48" ca="1" si="33">SUM(Q48:S48)</f>
        <v>-88182.249125901639</v>
      </c>
      <c r="Q48" s="13">
        <f t="shared" ca="1" si="32"/>
        <v>-37566.558887953848</v>
      </c>
      <c r="R48" s="13">
        <f t="shared" ca="1" si="32"/>
        <v>-45172.353088332122</v>
      </c>
      <c r="S48" s="13">
        <f t="shared" ca="1" si="32"/>
        <v>-5443.3371496156624</v>
      </c>
      <c r="T48" s="13">
        <f t="shared" ca="1" si="32"/>
        <v>-120689.83685452155</v>
      </c>
      <c r="U48" s="13">
        <f t="shared" ca="1" si="32"/>
        <v>-0.52233010615050801</v>
      </c>
      <c r="V48" s="13">
        <f t="shared" ca="1" si="32"/>
        <v>-7588.7365990720309</v>
      </c>
      <c r="W48" s="27" t="str">
        <f t="shared" ca="1" si="5"/>
        <v>OK</v>
      </c>
      <c r="X48" s="3"/>
      <c r="Y48" s="11">
        <f ca="1">+'II-I TOTAL COMPANY'!L48-Meter!H48</f>
        <v>-0.21000000042840838</v>
      </c>
      <c r="Z48" s="3"/>
      <c r="AA48" s="3"/>
      <c r="AB48" s="3"/>
      <c r="AC48" s="3"/>
    </row>
    <row r="49" spans="1:29" x14ac:dyDescent="0.2">
      <c r="A49" s="3">
        <f t="shared" si="3"/>
        <v>33</v>
      </c>
      <c r="B49" s="3" t="s">
        <v>518</v>
      </c>
      <c r="C49" s="78"/>
      <c r="D49" s="3"/>
      <c r="E49" s="3"/>
      <c r="F49" s="11"/>
      <c r="G49" s="11"/>
      <c r="H49" s="9">
        <f t="shared" si="25"/>
        <v>0</v>
      </c>
      <c r="I49" s="66">
        <v>0</v>
      </c>
      <c r="J49" s="66">
        <f t="shared" si="28"/>
        <v>0</v>
      </c>
      <c r="K49" s="13">
        <f t="shared" ref="K49:V49" si="34">+K654</f>
        <v>0</v>
      </c>
      <c r="L49" s="13">
        <f t="shared" si="34"/>
        <v>0</v>
      </c>
      <c r="M49" s="9">
        <f t="shared" si="27"/>
        <v>0</v>
      </c>
      <c r="N49" s="13">
        <f t="shared" si="34"/>
        <v>0</v>
      </c>
      <c r="O49" s="13">
        <f t="shared" si="34"/>
        <v>0</v>
      </c>
      <c r="P49" s="9">
        <f t="shared" si="8"/>
        <v>0</v>
      </c>
      <c r="Q49" s="13">
        <f t="shared" si="34"/>
        <v>0</v>
      </c>
      <c r="R49" s="13">
        <f t="shared" si="34"/>
        <v>0</v>
      </c>
      <c r="S49" s="13">
        <f>+S654</f>
        <v>0</v>
      </c>
      <c r="T49" s="13">
        <f t="shared" si="34"/>
        <v>0</v>
      </c>
      <c r="U49" s="13">
        <f t="shared" si="34"/>
        <v>0</v>
      </c>
      <c r="V49" s="13">
        <f t="shared" si="34"/>
        <v>0</v>
      </c>
      <c r="W49" s="27" t="str">
        <f t="shared" si="5"/>
        <v>OK</v>
      </c>
      <c r="X49" s="3"/>
      <c r="Y49" s="11">
        <f>+'II-I TOTAL COMPANY'!L49-Meter!H49</f>
        <v>0</v>
      </c>
      <c r="Z49" s="3"/>
      <c r="AA49" s="3"/>
      <c r="AB49" s="3"/>
      <c r="AC49" s="3"/>
    </row>
    <row r="50" spans="1:29" x14ac:dyDescent="0.2">
      <c r="A50" s="3">
        <f t="shared" si="3"/>
        <v>34</v>
      </c>
      <c r="B50" s="3" t="s">
        <v>497</v>
      </c>
      <c r="C50" s="78"/>
      <c r="D50" s="3"/>
      <c r="E50" s="3"/>
      <c r="F50" s="13"/>
      <c r="G50" s="13"/>
      <c r="H50" s="9">
        <f t="shared" ca="1" si="25"/>
        <v>44041215.267981827</v>
      </c>
      <c r="I50" s="66">
        <v>0</v>
      </c>
      <c r="J50" s="66">
        <f t="shared" ca="1" si="28"/>
        <v>44041215.267981827</v>
      </c>
      <c r="K50" s="13">
        <f t="shared" ref="K50:V50" ca="1" si="35">SUM(K45:K49)</f>
        <v>23032181.695344266</v>
      </c>
      <c r="L50" s="13">
        <f t="shared" ca="1" si="35"/>
        <v>3929599.933070736</v>
      </c>
      <c r="M50" s="9">
        <f t="shared" ca="1" si="27"/>
        <v>13649484.564018406</v>
      </c>
      <c r="N50" s="13">
        <f t="shared" ca="1" si="35"/>
        <v>239837.34237726405</v>
      </c>
      <c r="O50" s="13">
        <f t="shared" ca="1" si="35"/>
        <v>13409647.221641142</v>
      </c>
      <c r="P50" s="9">
        <f t="shared" ca="1" si="8"/>
        <v>1871782.5846317783</v>
      </c>
      <c r="Q50" s="13">
        <f t="shared" ca="1" si="35"/>
        <v>808865.57739710459</v>
      </c>
      <c r="R50" s="13">
        <f t="shared" ca="1" si="35"/>
        <v>947441.41836987645</v>
      </c>
      <c r="S50" s="13">
        <f ca="1">SUM(S45:S49)</f>
        <v>115475.58886479725</v>
      </c>
      <c r="T50" s="13">
        <f t="shared" ca="1" si="35"/>
        <v>1531464.8353251743</v>
      </c>
      <c r="U50" s="13">
        <f t="shared" ca="1" si="35"/>
        <v>-5.3576961015446789E-2</v>
      </c>
      <c r="V50" s="13">
        <f t="shared" ca="1" si="35"/>
        <v>26701.709168428035</v>
      </c>
      <c r="W50" s="27" t="str">
        <f t="shared" ca="1" si="5"/>
        <v>OK</v>
      </c>
      <c r="X50" s="3"/>
      <c r="Y50" s="11">
        <f ca="1">+'II-I TOTAL COMPANY'!L50-Meter!H50</f>
        <v>-0.20999999344348907</v>
      </c>
      <c r="Z50" s="3"/>
      <c r="AA50" s="3"/>
      <c r="AB50" s="3"/>
      <c r="AC50" s="3"/>
    </row>
    <row r="51" spans="1:29" x14ac:dyDescent="0.2">
      <c r="A51" s="3">
        <f t="shared" si="3"/>
        <v>35</v>
      </c>
      <c r="B51" s="3"/>
      <c r="C51" s="78"/>
      <c r="D51" s="3"/>
      <c r="E51" s="3"/>
      <c r="F51" s="3"/>
      <c r="G51" s="3"/>
      <c r="H51" s="9"/>
      <c r="I51" s="66"/>
      <c r="J51" s="66"/>
      <c r="K51" s="13"/>
      <c r="L51" s="13"/>
      <c r="M51" s="9"/>
      <c r="N51" s="13"/>
      <c r="O51" s="13"/>
      <c r="P51" s="9">
        <f t="shared" si="8"/>
        <v>0</v>
      </c>
      <c r="Q51" s="13"/>
      <c r="R51" s="13"/>
      <c r="S51" s="13"/>
      <c r="T51" s="13"/>
      <c r="U51" s="13"/>
      <c r="V51" s="13"/>
      <c r="W51" s="27" t="str">
        <f t="shared" si="5"/>
        <v>OK</v>
      </c>
      <c r="X51" s="3"/>
      <c r="Y51" s="11">
        <f>+'II-I TOTAL COMPANY'!L51-Meter!H51</f>
        <v>0</v>
      </c>
      <c r="Z51" s="3"/>
      <c r="AA51" s="3"/>
      <c r="AB51" s="3"/>
      <c r="AC51" s="3"/>
    </row>
    <row r="52" spans="1:29" x14ac:dyDescent="0.2">
      <c r="A52" s="3">
        <f t="shared" si="3"/>
        <v>36</v>
      </c>
      <c r="B52" s="3" t="s">
        <v>498</v>
      </c>
      <c r="C52" s="78"/>
      <c r="D52" s="3"/>
      <c r="E52" s="3"/>
      <c r="F52" s="11"/>
      <c r="G52" s="11"/>
      <c r="H52" s="9">
        <f ca="1">+I52+J52</f>
        <v>13720762.704080351</v>
      </c>
      <c r="I52" s="66">
        <v>0</v>
      </c>
      <c r="J52" s="66">
        <f t="shared" ca="1" si="28"/>
        <v>13720762.704080351</v>
      </c>
      <c r="K52" s="13">
        <f ca="1">+K43-K50</f>
        <v>15405892.13288587</v>
      </c>
      <c r="L52" s="13">
        <f ca="1">+L43-L50</f>
        <v>1246608.8515076386</v>
      </c>
      <c r="M52" s="9">
        <f ca="1">SUM(N52:O52)</f>
        <v>-2389625.1375381192</v>
      </c>
      <c r="N52" s="13">
        <f ca="1">+N43-N50</f>
        <v>-146136.5370259817</v>
      </c>
      <c r="O52" s="13">
        <f ca="1">+O43-O50</f>
        <v>-2243488.6005121376</v>
      </c>
      <c r="P52" s="9">
        <f t="shared" ca="1" si="8"/>
        <v>-185420.57338301479</v>
      </c>
      <c r="Q52" s="13">
        <f t="shared" ref="Q52:V52" ca="1" si="36">+Q43-Q50</f>
        <v>-78128.121114309761</v>
      </c>
      <c r="R52" s="13">
        <f t="shared" ca="1" si="36"/>
        <v>-95843.019867505529</v>
      </c>
      <c r="S52" s="13">
        <f t="shared" ca="1" si="36"/>
        <v>-11449.432401199505</v>
      </c>
      <c r="T52" s="13">
        <f t="shared" ca="1" si="36"/>
        <v>-330704.68219067529</v>
      </c>
      <c r="U52" s="13">
        <f t="shared" ca="1" si="36"/>
        <v>5.3576961015446789E-2</v>
      </c>
      <c r="V52" s="13">
        <f t="shared" ca="1" si="36"/>
        <v>-25987.940778307715</v>
      </c>
      <c r="W52" s="27" t="str">
        <f t="shared" ca="1" si="5"/>
        <v>OK</v>
      </c>
      <c r="X52" s="3"/>
      <c r="Y52" s="11">
        <f ca="1">+'II-I TOTAL COMPANY'!L52-Meter!H52</f>
        <v>-0.79000000655651093</v>
      </c>
      <c r="Z52" s="3"/>
      <c r="AA52" s="3"/>
      <c r="AB52" s="3"/>
      <c r="AC52" s="3"/>
    </row>
    <row r="53" spans="1:29" x14ac:dyDescent="0.2">
      <c r="A53" s="3">
        <f t="shared" si="3"/>
        <v>37</v>
      </c>
      <c r="B53" s="3" t="s">
        <v>499</v>
      </c>
      <c r="C53" s="78"/>
      <c r="D53" s="3"/>
      <c r="E53" s="3"/>
      <c r="F53" s="88"/>
      <c r="G53" s="88"/>
      <c r="H53" s="88">
        <f ca="1">+H52/H36</f>
        <v>0.11703724332751884</v>
      </c>
      <c r="I53" s="88"/>
      <c r="J53" s="88">
        <f t="shared" ref="J53:T53" ca="1" si="37">+J52/J36</f>
        <v>0.11703724332751884</v>
      </c>
      <c r="K53" s="88">
        <f t="shared" ca="1" si="37"/>
        <v>0.28030639603741853</v>
      </c>
      <c r="L53" s="88">
        <f t="shared" ca="1" si="37"/>
        <v>0.11937844660235467</v>
      </c>
      <c r="M53" s="88">
        <f t="shared" ca="1" si="37"/>
        <v>-5.7640129326573274E-2</v>
      </c>
      <c r="N53" s="88">
        <f t="shared" ca="1" si="37"/>
        <v>-0.18062348011507751</v>
      </c>
      <c r="O53" s="88">
        <f t="shared" ca="1" si="37"/>
        <v>-5.5192276148228643E-2</v>
      </c>
      <c r="P53" s="9">
        <f t="shared" ca="1" si="8"/>
        <v>-9.9663769693918658E-2</v>
      </c>
      <c r="Q53" s="88">
        <f t="shared" ca="1" si="37"/>
        <v>-3.244121117775229E-2</v>
      </c>
      <c r="R53" s="88">
        <f t="shared" ca="1" si="37"/>
        <v>-3.394430593560098E-2</v>
      </c>
      <c r="S53" s="88">
        <f ca="1">+S52/S36</f>
        <v>-3.3278252580565389E-2</v>
      </c>
      <c r="T53" s="88">
        <f t="shared" ca="1" si="37"/>
        <v>-7.0369308267057687E-2</v>
      </c>
      <c r="U53" s="88"/>
      <c r="V53" s="88"/>
      <c r="W53" s="27">
        <f t="shared" ca="1" si="5"/>
        <v>5.4974392024704791E-2</v>
      </c>
      <c r="X53" s="3"/>
      <c r="Y53" s="11">
        <f ca="1">+'II-I TOTAL COMPANY'!L53-Meter!H53</f>
        <v>-6.7386504293276417E-9</v>
      </c>
      <c r="Z53" s="3"/>
      <c r="AA53" s="3"/>
      <c r="AB53" s="3"/>
      <c r="AC53" s="3"/>
    </row>
    <row r="54" spans="1:29" s="173" customFormat="1" x14ac:dyDescent="0.2">
      <c r="A54" s="3"/>
      <c r="B54" s="3"/>
      <c r="C54" s="78"/>
      <c r="D54" s="3"/>
      <c r="E54" s="3"/>
      <c r="F54" s="3"/>
      <c r="G54" s="3"/>
      <c r="H54" s="6"/>
      <c r="I54" s="6"/>
      <c r="J54" s="6"/>
      <c r="K54" s="13"/>
      <c r="L54" s="13"/>
      <c r="M54" s="9"/>
      <c r="N54" s="13"/>
      <c r="O54" s="13"/>
      <c r="P54" s="9"/>
      <c r="Q54" s="13"/>
      <c r="R54" s="13"/>
      <c r="S54" s="13"/>
      <c r="T54" s="13"/>
      <c r="U54" s="13"/>
      <c r="V54" s="13"/>
      <c r="W54" s="27" t="str">
        <f t="shared" ref="W54" si="38">IF((+K54+L54+M54+P54+T54+U54+V54)-H54=0,"OK",(+K54+L54+M54+P54+T54+U54+V54)-H54)</f>
        <v>OK</v>
      </c>
      <c r="X54" s="3"/>
      <c r="Y54" s="11">
        <f>+'II-I TOTAL COMPANY'!L54-Meter!H54</f>
        <v>0</v>
      </c>
      <c r="Z54" s="3"/>
      <c r="AA54" s="3"/>
      <c r="AB54" s="3"/>
      <c r="AC54" s="3"/>
    </row>
    <row r="55" spans="1:29" x14ac:dyDescent="0.2">
      <c r="A55" s="3"/>
      <c r="B55" s="64" t="s">
        <v>500</v>
      </c>
      <c r="C55" s="78"/>
      <c r="D55" s="3"/>
      <c r="E55" s="3"/>
      <c r="F55" s="3"/>
      <c r="G55" s="3"/>
      <c r="H55" s="6"/>
      <c r="I55" s="6"/>
      <c r="J55" s="6"/>
      <c r="K55" s="13"/>
      <c r="L55" s="13"/>
      <c r="M55" s="9"/>
      <c r="N55" s="13"/>
      <c r="O55" s="13"/>
      <c r="P55" s="9">
        <f t="shared" si="8"/>
        <v>0</v>
      </c>
      <c r="Q55" s="13"/>
      <c r="R55" s="13"/>
      <c r="S55" s="13"/>
      <c r="T55" s="13"/>
      <c r="U55" s="13"/>
      <c r="V55" s="13"/>
      <c r="W55" s="27" t="str">
        <f t="shared" si="5"/>
        <v>OK</v>
      </c>
      <c r="X55" s="3"/>
      <c r="Y55" s="11">
        <f>+'II-I TOTAL COMPANY'!L55-Meter!H55</f>
        <v>0</v>
      </c>
      <c r="Z55" s="3"/>
      <c r="AA55" s="3"/>
      <c r="AB55" s="3"/>
      <c r="AC55" s="3"/>
    </row>
    <row r="56" spans="1:29" x14ac:dyDescent="0.2">
      <c r="A56" s="3"/>
      <c r="B56" s="3"/>
      <c r="C56" s="78"/>
      <c r="D56" s="3"/>
      <c r="E56" s="3"/>
      <c r="F56" s="3"/>
      <c r="G56" s="3"/>
      <c r="H56" s="6"/>
      <c r="I56" s="6"/>
      <c r="J56" s="6"/>
      <c r="K56" s="13"/>
      <c r="L56" s="13"/>
      <c r="M56" s="13"/>
      <c r="N56" s="13"/>
      <c r="O56" s="13"/>
      <c r="P56" s="9">
        <f t="shared" si="8"/>
        <v>0</v>
      </c>
      <c r="Q56" s="13"/>
      <c r="R56" s="13"/>
      <c r="S56" s="13"/>
      <c r="T56" s="13"/>
      <c r="U56" s="13"/>
      <c r="V56" s="13"/>
      <c r="W56" s="27" t="str">
        <f t="shared" si="5"/>
        <v>OK</v>
      </c>
      <c r="X56" s="3"/>
      <c r="Y56" s="11">
        <f>+'II-I TOTAL COMPANY'!L56-Meter!H56</f>
        <v>0</v>
      </c>
      <c r="Z56" s="3"/>
      <c r="AA56" s="3"/>
      <c r="AB56" s="3"/>
      <c r="AC56" s="3"/>
    </row>
    <row r="57" spans="1:29" x14ac:dyDescent="0.2">
      <c r="A57" s="3">
        <v>1</v>
      </c>
      <c r="B57" s="3" t="s">
        <v>501</v>
      </c>
      <c r="C57" s="78"/>
      <c r="D57" s="3"/>
      <c r="E57" s="3"/>
      <c r="F57" s="11"/>
      <c r="G57" s="11"/>
      <c r="H57" s="9">
        <f ca="1">+I57+J57</f>
        <v>117234158.23870659</v>
      </c>
      <c r="I57" s="66">
        <v>0</v>
      </c>
      <c r="J57" s="66">
        <f ca="1">+K57+L57+M57+P57+T57+U57+V57</f>
        <v>117234158.23870659</v>
      </c>
      <c r="K57" s="13">
        <f t="shared" ref="K57:V57" ca="1" si="39">+K36</f>
        <v>54960901.180540003</v>
      </c>
      <c r="L57" s="13">
        <f t="shared" ca="1" si="39"/>
        <v>10442495.165480316</v>
      </c>
      <c r="M57" s="9">
        <f ca="1">SUM(N57:O57)</f>
        <v>41457664.399036199</v>
      </c>
      <c r="N57" s="13">
        <f t="shared" ca="1" si="39"/>
        <v>809067.22056775936</v>
      </c>
      <c r="O57" s="13">
        <f t="shared" ca="1" si="39"/>
        <v>40648597.178468436</v>
      </c>
      <c r="P57" s="9">
        <f t="shared" ca="1" si="8"/>
        <v>5575887.4929973548</v>
      </c>
      <c r="Q57" s="13">
        <f t="shared" ca="1" si="39"/>
        <v>2408298.5276421765</v>
      </c>
      <c r="R57" s="13">
        <f t="shared" ca="1" si="39"/>
        <v>2823537.4748665821</v>
      </c>
      <c r="S57" s="13">
        <f ca="1">+S36</f>
        <v>344051.49048859649</v>
      </c>
      <c r="T57" s="13">
        <f t="shared" ca="1" si="39"/>
        <v>4699558.5196833545</v>
      </c>
      <c r="U57" s="13">
        <f t="shared" ca="1" si="39"/>
        <v>83.913243592985353</v>
      </c>
      <c r="V57" s="13">
        <f t="shared" ca="1" si="39"/>
        <v>97567.567725773319</v>
      </c>
      <c r="W57" s="27" t="str">
        <f t="shared" ca="1" si="5"/>
        <v>OK</v>
      </c>
      <c r="X57" s="3"/>
      <c r="Y57" s="11">
        <f ca="1">+'II-I TOTAL COMPANY'!L57-Meter!H57</f>
        <v>0</v>
      </c>
      <c r="Z57" s="3"/>
      <c r="AA57" s="3"/>
      <c r="AB57" s="3"/>
      <c r="AC57" s="3"/>
    </row>
    <row r="58" spans="1:29" x14ac:dyDescent="0.2">
      <c r="A58" s="3">
        <f>1+A57</f>
        <v>2</v>
      </c>
      <c r="B58" s="3" t="s">
        <v>502</v>
      </c>
      <c r="C58" s="78"/>
      <c r="D58" s="3"/>
      <c r="E58" s="3"/>
      <c r="F58" s="11"/>
      <c r="G58" s="11"/>
      <c r="H58" s="65">
        <f>'II-I TOTAL COMPANY'!$L$58</f>
        <v>7.1754999999999999E-2</v>
      </c>
      <c r="I58" s="65">
        <f>'II-I TOTAL COMPANY'!$L$58</f>
        <v>7.1754999999999999E-2</v>
      </c>
      <c r="J58" s="65">
        <f>'II-I TOTAL COMPANY'!$L$58</f>
        <v>7.1754999999999999E-2</v>
      </c>
      <c r="K58" s="65">
        <f>'II-I TOTAL COMPANY'!$L$58</f>
        <v>7.1754999999999999E-2</v>
      </c>
      <c r="L58" s="65">
        <f>'II-I TOTAL COMPANY'!$L$58</f>
        <v>7.1754999999999999E-2</v>
      </c>
      <c r="M58" s="65">
        <f>'II-I TOTAL COMPANY'!$L$58</f>
        <v>7.1754999999999999E-2</v>
      </c>
      <c r="N58" s="65">
        <f>'II-I TOTAL COMPANY'!$L$58</f>
        <v>7.1754999999999999E-2</v>
      </c>
      <c r="O58" s="65">
        <f>'II-I TOTAL COMPANY'!$L$58</f>
        <v>7.1754999999999999E-2</v>
      </c>
      <c r="P58" s="65">
        <f>'II-I TOTAL COMPANY'!$L$58</f>
        <v>7.1754999999999999E-2</v>
      </c>
      <c r="Q58" s="65">
        <f>'II-I TOTAL COMPANY'!$L$58</f>
        <v>7.1754999999999999E-2</v>
      </c>
      <c r="R58" s="65">
        <f>'II-I TOTAL COMPANY'!$L$58</f>
        <v>7.1754999999999999E-2</v>
      </c>
      <c r="S58" s="65">
        <f>'II-I TOTAL COMPANY'!$L$58</f>
        <v>7.1754999999999999E-2</v>
      </c>
      <c r="T58" s="65">
        <f>'II-I TOTAL COMPANY'!$L$58</f>
        <v>7.1754999999999999E-2</v>
      </c>
      <c r="U58" s="65">
        <f>'II-I TOTAL COMPANY'!$L$58</f>
        <v>7.1754999999999999E-2</v>
      </c>
      <c r="V58" s="65">
        <f>'II-I TOTAL COMPANY'!$L$58</f>
        <v>7.1754999999999999E-2</v>
      </c>
      <c r="W58" s="27">
        <f t="shared" si="5"/>
        <v>0.43052999999999997</v>
      </c>
      <c r="X58" s="3"/>
      <c r="Y58" s="11">
        <f>+'II-I TOTAL COMPANY'!L58-Meter!H58</f>
        <v>0</v>
      </c>
      <c r="Z58" s="3"/>
      <c r="AA58" s="3"/>
      <c r="AB58" s="3"/>
      <c r="AC58" s="3"/>
    </row>
    <row r="59" spans="1:29" x14ac:dyDescent="0.2">
      <c r="A59" s="3">
        <f t="shared" ref="A59:A87" si="40">1+A58</f>
        <v>3</v>
      </c>
      <c r="B59" s="3" t="s">
        <v>503</v>
      </c>
      <c r="C59" s="78"/>
      <c r="D59" s="3"/>
      <c r="E59" s="3"/>
      <c r="F59" s="11"/>
      <c r="G59" s="11"/>
      <c r="H59" s="9">
        <f ca="1">+I59+J59</f>
        <v>8412137.0244183913</v>
      </c>
      <c r="I59" s="66">
        <v>0</v>
      </c>
      <c r="J59" s="66">
        <f ca="1">+K59+L59+M59+P59+T59+U59+V59</f>
        <v>8412137.0244183913</v>
      </c>
      <c r="K59" s="13">
        <f t="shared" ref="K59:V59" ca="1" si="41">+K57*K58</f>
        <v>3943719.4642096478</v>
      </c>
      <c r="L59" s="13">
        <f t="shared" ca="1" si="41"/>
        <v>749301.24059904006</v>
      </c>
      <c r="M59" s="9">
        <f ca="1">SUM(N59:O59)</f>
        <v>2974794.7089528423</v>
      </c>
      <c r="N59" s="13">
        <f t="shared" ca="1" si="41"/>
        <v>58054.618411839576</v>
      </c>
      <c r="O59" s="13">
        <f t="shared" ca="1" si="41"/>
        <v>2916740.0905410028</v>
      </c>
      <c r="P59" s="9">
        <f t="shared" ca="1" si="8"/>
        <v>400097.80706002517</v>
      </c>
      <c r="Q59" s="13">
        <f t="shared" ca="1" si="41"/>
        <v>172807.46085096436</v>
      </c>
      <c r="R59" s="13">
        <f t="shared" ca="1" si="41"/>
        <v>202602.93150905159</v>
      </c>
      <c r="S59" s="13">
        <f ca="1">+S57*S58</f>
        <v>24687.414700009242</v>
      </c>
      <c r="T59" s="13">
        <f t="shared" ca="1" si="41"/>
        <v>337216.82157987909</v>
      </c>
      <c r="U59" s="13">
        <f t="shared" ca="1" si="41"/>
        <v>6.0211947940146642</v>
      </c>
      <c r="V59" s="13">
        <f t="shared" ca="1" si="41"/>
        <v>7000.9608221628641</v>
      </c>
      <c r="W59" s="27" t="str">
        <f t="shared" ca="1" si="5"/>
        <v>OK</v>
      </c>
      <c r="X59" s="3"/>
      <c r="Y59" s="11">
        <f ca="1">+'II-I TOTAL COMPANY'!L59-Meter!H59</f>
        <v>0</v>
      </c>
      <c r="Z59" s="3"/>
      <c r="AA59" s="3"/>
      <c r="AB59" s="3"/>
      <c r="AC59" s="3"/>
    </row>
    <row r="60" spans="1:29" x14ac:dyDescent="0.2">
      <c r="A60" s="3">
        <f t="shared" si="40"/>
        <v>4</v>
      </c>
      <c r="B60" s="3"/>
      <c r="C60" s="78"/>
      <c r="D60" s="3"/>
      <c r="E60" s="3"/>
      <c r="F60" s="3"/>
      <c r="G60" s="3"/>
      <c r="H60" s="6"/>
      <c r="I60" s="6"/>
      <c r="J60" s="6"/>
      <c r="K60" s="13"/>
      <c r="L60" s="13"/>
      <c r="M60" s="13"/>
      <c r="N60" s="13"/>
      <c r="O60" s="13"/>
      <c r="P60" s="9">
        <f t="shared" si="8"/>
        <v>0</v>
      </c>
      <c r="Q60" s="13"/>
      <c r="R60" s="13"/>
      <c r="S60" s="13"/>
      <c r="T60" s="13"/>
      <c r="U60" s="13"/>
      <c r="V60" s="13"/>
      <c r="W60" s="27" t="str">
        <f t="shared" si="5"/>
        <v>OK</v>
      </c>
      <c r="X60" s="3"/>
      <c r="Y60" s="11">
        <f>+'II-I TOTAL COMPANY'!L60-Meter!H60</f>
        <v>0</v>
      </c>
      <c r="Z60" s="3"/>
      <c r="AA60" s="3"/>
      <c r="AB60" s="3"/>
      <c r="AC60" s="3"/>
    </row>
    <row r="61" spans="1:29" x14ac:dyDescent="0.2">
      <c r="A61" s="3">
        <f t="shared" si="40"/>
        <v>5</v>
      </c>
      <c r="B61" s="3" t="s">
        <v>504</v>
      </c>
      <c r="C61" s="78"/>
      <c r="D61" s="3"/>
      <c r="E61" s="3"/>
      <c r="F61" s="11"/>
      <c r="G61" s="11"/>
      <c r="H61" s="9">
        <f t="shared" ref="H61:H66" ca="1" si="42">+I61+J61</f>
        <v>24275502.986472655</v>
      </c>
      <c r="I61" s="66">
        <v>0</v>
      </c>
      <c r="J61" s="66">
        <f t="shared" ref="J61:J66" ca="1" si="43">+K61+L61+M61+P61+T61+U61+V61</f>
        <v>24275502.986472655</v>
      </c>
      <c r="K61" s="13">
        <f ca="1">+K429-K70</f>
        <v>11380520.229516298</v>
      </c>
      <c r="L61" s="13">
        <f t="shared" ref="L61:V61" ca="1" si="44">+L429</f>
        <v>2162420.777517444</v>
      </c>
      <c r="M61" s="9">
        <f t="shared" ref="M61:M66" ca="1" si="45">SUM(N61:O61)</f>
        <v>8584664.9416640345</v>
      </c>
      <c r="N61" s="13">
        <f t="shared" ca="1" si="44"/>
        <v>167480.47218678222</v>
      </c>
      <c r="O61" s="13">
        <f t="shared" ca="1" si="44"/>
        <v>8417184.469477253</v>
      </c>
      <c r="P61" s="9">
        <f t="shared" ca="1" si="8"/>
        <v>1154505.0074753107</v>
      </c>
      <c r="Q61" s="13">
        <f t="shared" ca="1" si="44"/>
        <v>498584.57505149243</v>
      </c>
      <c r="R61" s="13">
        <f t="shared" ca="1" si="44"/>
        <v>584694.06455931941</v>
      </c>
      <c r="S61" s="13">
        <f ca="1">+S429</f>
        <v>71226.367864498912</v>
      </c>
      <c r="T61" s="13">
        <f t="shared" ca="1" si="44"/>
        <v>973193.50806934014</v>
      </c>
      <c r="U61" s="13">
        <f t="shared" ca="1" si="44"/>
        <v>0</v>
      </c>
      <c r="V61" s="13">
        <f t="shared" ca="1" si="44"/>
        <v>20198.522230231036</v>
      </c>
      <c r="W61" s="27" t="str">
        <f t="shared" ca="1" si="5"/>
        <v>OK</v>
      </c>
      <c r="X61" s="3"/>
      <c r="Y61" s="11">
        <f ca="1">+'II-I TOTAL COMPANY'!L61-Meter!H61</f>
        <v>0</v>
      </c>
      <c r="Z61" s="3"/>
      <c r="AA61" s="3"/>
      <c r="AB61" s="3"/>
      <c r="AC61" s="3"/>
    </row>
    <row r="62" spans="1:29" x14ac:dyDescent="0.2">
      <c r="A62" s="3">
        <f t="shared" si="40"/>
        <v>6</v>
      </c>
      <c r="B62" s="3" t="s">
        <v>18</v>
      </c>
      <c r="C62" s="78"/>
      <c r="D62" s="3"/>
      <c r="E62" s="3"/>
      <c r="F62" s="11"/>
      <c r="G62" s="11"/>
      <c r="H62" s="9">
        <f t="shared" ca="1" si="42"/>
        <v>14340683.430836225</v>
      </c>
      <c r="I62" s="66">
        <v>0</v>
      </c>
      <c r="J62" s="66">
        <f t="shared" ca="1" si="43"/>
        <v>14340683.430836225</v>
      </c>
      <c r="K62" s="13">
        <f ca="1">+K597-K71</f>
        <v>6723009.5286044227</v>
      </c>
      <c r="L62" s="13">
        <f ca="1">+L597-L71</f>
        <v>1277443.842540392</v>
      </c>
      <c r="M62" s="9">
        <f t="shared" ca="1" si="45"/>
        <v>5071366.074548658</v>
      </c>
      <c r="N62" s="13">
        <f ca="1">+N597-N71</f>
        <v>98938.606290299736</v>
      </c>
      <c r="O62" s="13">
        <f ca="1">+O597-O71</f>
        <v>4972427.4682583585</v>
      </c>
      <c r="P62" s="9">
        <f t="shared" ca="1" si="8"/>
        <v>682020.50605272991</v>
      </c>
      <c r="Q62" s="13">
        <f t="shared" ref="Q62:V62" ca="1" si="46">+Q597-Q71</f>
        <v>294537.40086439258</v>
      </c>
      <c r="R62" s="13">
        <f t="shared" ca="1" si="46"/>
        <v>345406.3336362812</v>
      </c>
      <c r="S62" s="13">
        <f t="shared" ca="1" si="46"/>
        <v>42076.771552056081</v>
      </c>
      <c r="T62" s="13">
        <f t="shared" ca="1" si="46"/>
        <v>574911.26029167708</v>
      </c>
      <c r="U62" s="13">
        <f t="shared" ca="1" si="46"/>
        <v>0</v>
      </c>
      <c r="V62" s="13">
        <f t="shared" ca="1" si="46"/>
        <v>11932.218798344264</v>
      </c>
      <c r="W62" s="27" t="str">
        <f t="shared" ca="1" si="5"/>
        <v>OK</v>
      </c>
      <c r="X62" s="3"/>
      <c r="Y62" s="11">
        <f ca="1">+'II-I TOTAL COMPANY'!L62-Meter!H62</f>
        <v>0</v>
      </c>
      <c r="Z62" s="3"/>
      <c r="AA62" s="3"/>
      <c r="AB62" s="3"/>
      <c r="AC62" s="3"/>
    </row>
    <row r="63" spans="1:29" x14ac:dyDescent="0.2">
      <c r="A63" s="3">
        <f t="shared" si="40"/>
        <v>7</v>
      </c>
      <c r="B63" s="3" t="s">
        <v>293</v>
      </c>
      <c r="C63" s="78"/>
      <c r="D63" s="3"/>
      <c r="E63" s="3"/>
      <c r="F63" s="11"/>
      <c r="G63" s="11"/>
      <c r="H63" s="9">
        <f t="shared" ca="1" si="42"/>
        <v>2595480.6798721598</v>
      </c>
      <c r="I63" s="66">
        <v>0</v>
      </c>
      <c r="J63" s="66">
        <f t="shared" ca="1" si="43"/>
        <v>2595480.6798721598</v>
      </c>
      <c r="K63" s="13">
        <f ca="1">+K611-K68</f>
        <v>1216783.0217988759</v>
      </c>
      <c r="L63" s="13">
        <f ca="1">+L611-L68</f>
        <v>231198.09670026921</v>
      </c>
      <c r="M63" s="9">
        <f t="shared" ca="1" si="45"/>
        <v>917850.16383262642</v>
      </c>
      <c r="N63" s="13">
        <f ca="1">+N611-N68</f>
        <v>17908.024505198078</v>
      </c>
      <c r="O63" s="13">
        <f ca="1">+O611-O68</f>
        <v>899942.1393274283</v>
      </c>
      <c r="P63" s="9">
        <f t="shared" ca="1" si="8"/>
        <v>123439.3202296393</v>
      </c>
      <c r="Q63" s="13">
        <f t="shared" ref="Q63:V63" ca="1" si="47">+Q611-Q68</f>
        <v>53310.16036917342</v>
      </c>
      <c r="R63" s="13">
        <f t="shared" ca="1" si="47"/>
        <v>62513.373262607973</v>
      </c>
      <c r="S63" s="13">
        <f t="shared" ca="1" si="47"/>
        <v>7615.7865978579011</v>
      </c>
      <c r="T63" s="13">
        <f t="shared" ca="1" si="47"/>
        <v>104049.9038186789</v>
      </c>
      <c r="U63" s="13">
        <f t="shared" ca="1" si="47"/>
        <v>0.46875314513506122</v>
      </c>
      <c r="V63" s="13">
        <f t="shared" ca="1" si="47"/>
        <v>2159.7047389247664</v>
      </c>
      <c r="W63" s="27" t="str">
        <f t="shared" ca="1" si="5"/>
        <v>OK</v>
      </c>
      <c r="X63" s="3"/>
      <c r="Y63" s="11">
        <f ca="1">+'II-I TOTAL COMPANY'!L63-Meter!H63</f>
        <v>0</v>
      </c>
      <c r="Z63" s="3"/>
      <c r="AA63" s="3"/>
      <c r="AB63" s="3"/>
      <c r="AC63" s="3"/>
    </row>
    <row r="64" spans="1:29" x14ac:dyDescent="0.2">
      <c r="A64" s="3">
        <f t="shared" si="40"/>
        <v>8</v>
      </c>
      <c r="B64" s="3" t="s">
        <v>304</v>
      </c>
      <c r="C64" s="78"/>
      <c r="D64" s="3"/>
      <c r="E64" s="3"/>
      <c r="F64" s="11"/>
      <c r="G64" s="11"/>
      <c r="H64" s="9">
        <f t="shared" ca="1" si="42"/>
        <v>1418394.5091184934</v>
      </c>
      <c r="I64" s="66">
        <v>0</v>
      </c>
      <c r="J64" s="66">
        <f t="shared" ca="1" si="43"/>
        <v>1418394.5091184934</v>
      </c>
      <c r="K64" s="13">
        <f ca="1">(((+K59+SUM(K626:K634))*K638)+SUM(K642:K645))</f>
        <v>664962.25666263653</v>
      </c>
      <c r="L64" s="13">
        <f ca="1">(((+L59+SUM(L626:L634))*L638)+SUM(L642:L645))</f>
        <v>126341.52227363581</v>
      </c>
      <c r="M64" s="9">
        <f t="shared" ca="1" si="45"/>
        <v>501588.40645802655</v>
      </c>
      <c r="N64" s="13">
        <f t="shared" ref="N64:V64" ca="1" si="48">(((+N59+SUM(N626:N634))*N638)+SUM(N642:N645))</f>
        <v>9788.900967063124</v>
      </c>
      <c r="O64" s="13">
        <f t="shared" ca="1" si="48"/>
        <v>491799.50549096341</v>
      </c>
      <c r="P64" s="9">
        <f t="shared" ca="1" si="8"/>
        <v>67461.877320982399</v>
      </c>
      <c r="Q64" s="13">
        <f t="shared" ca="1" si="48"/>
        <v>29137.836318005087</v>
      </c>
      <c r="R64" s="13">
        <f t="shared" ca="1" si="48"/>
        <v>34161.380821891915</v>
      </c>
      <c r="S64" s="13">
        <f ca="1">(((+S59+SUM(S626:S634))*S638)+SUM(S642:S645))</f>
        <v>4162.6601810853963</v>
      </c>
      <c r="T64" s="13">
        <f t="shared" ca="1" si="48"/>
        <v>56858.917312334728</v>
      </c>
      <c r="U64" s="13">
        <f t="shared" ca="1" si="48"/>
        <v>1.0639986848999166</v>
      </c>
      <c r="V64" s="13">
        <f t="shared" ca="1" si="48"/>
        <v>1180.4650921922998</v>
      </c>
      <c r="W64" s="27" t="str">
        <f t="shared" ca="1" si="5"/>
        <v>OK</v>
      </c>
      <c r="X64" s="3"/>
      <c r="Y64" s="11">
        <f ca="1">+'II-I TOTAL COMPANY'!L64-Meter!H64</f>
        <v>0</v>
      </c>
      <c r="Z64" s="3"/>
      <c r="AA64" s="3"/>
      <c r="AB64" s="3"/>
      <c r="AC64" s="3"/>
    </row>
    <row r="65" spans="1:29" x14ac:dyDescent="0.2">
      <c r="A65" s="3">
        <f t="shared" si="40"/>
        <v>9</v>
      </c>
      <c r="B65" s="3" t="s">
        <v>518</v>
      </c>
      <c r="C65" s="78"/>
      <c r="D65" s="3"/>
      <c r="E65" s="3"/>
      <c r="F65" s="11"/>
      <c r="G65" s="11"/>
      <c r="H65" s="9">
        <f t="shared" si="42"/>
        <v>0</v>
      </c>
      <c r="I65" s="66">
        <v>0</v>
      </c>
      <c r="J65" s="66">
        <f t="shared" si="43"/>
        <v>0</v>
      </c>
      <c r="K65" s="13">
        <f>+K654-K68-K69</f>
        <v>0</v>
      </c>
      <c r="L65" s="13">
        <f>+L654-L68-L69</f>
        <v>0</v>
      </c>
      <c r="M65" s="9">
        <f t="shared" si="45"/>
        <v>0</v>
      </c>
      <c r="N65" s="13">
        <f>+N654-N68-N69</f>
        <v>0</v>
      </c>
      <c r="O65" s="13">
        <f>+O654-O68-O69</f>
        <v>0</v>
      </c>
      <c r="P65" s="9">
        <f t="shared" si="8"/>
        <v>0</v>
      </c>
      <c r="Q65" s="13">
        <f t="shared" ref="Q65:V65" si="49">+Q654-Q68-Q69</f>
        <v>0</v>
      </c>
      <c r="R65" s="13">
        <f t="shared" si="49"/>
        <v>0</v>
      </c>
      <c r="S65" s="13">
        <f t="shared" si="49"/>
        <v>0</v>
      </c>
      <c r="T65" s="13">
        <f t="shared" si="49"/>
        <v>0</v>
      </c>
      <c r="U65" s="13">
        <f t="shared" si="49"/>
        <v>0</v>
      </c>
      <c r="V65" s="13">
        <f t="shared" si="49"/>
        <v>0</v>
      </c>
      <c r="W65" s="27" t="str">
        <f t="shared" si="5"/>
        <v>OK</v>
      </c>
      <c r="X65" s="3"/>
      <c r="Y65" s="11">
        <f>+'II-I TOTAL COMPANY'!L65-Meter!H65</f>
        <v>0</v>
      </c>
      <c r="Z65" s="3"/>
      <c r="AA65" s="3"/>
      <c r="AB65" s="3"/>
      <c r="AC65" s="3"/>
    </row>
    <row r="66" spans="1:29" x14ac:dyDescent="0.2">
      <c r="A66" s="3">
        <f t="shared" si="40"/>
        <v>10</v>
      </c>
      <c r="B66" s="3" t="s">
        <v>505</v>
      </c>
      <c r="C66" s="78"/>
      <c r="D66" s="3"/>
      <c r="E66" s="3"/>
      <c r="F66" s="13"/>
      <c r="G66" s="13"/>
      <c r="H66" s="9">
        <f t="shared" ca="1" si="42"/>
        <v>42630061.606299527</v>
      </c>
      <c r="I66" s="66">
        <v>0</v>
      </c>
      <c r="J66" s="66">
        <f t="shared" ca="1" si="43"/>
        <v>42630061.606299527</v>
      </c>
      <c r="K66" s="13">
        <f t="shared" ref="K66:V66" ca="1" si="50">SUM(K61:K65)</f>
        <v>19985275.036582232</v>
      </c>
      <c r="L66" s="13">
        <f t="shared" ca="1" si="50"/>
        <v>3797404.2390317414</v>
      </c>
      <c r="M66" s="9">
        <f t="shared" ca="1" si="45"/>
        <v>15075469.586503346</v>
      </c>
      <c r="N66" s="13">
        <f t="shared" ca="1" si="50"/>
        <v>294116.00394934317</v>
      </c>
      <c r="O66" s="13">
        <f t="shared" ca="1" si="50"/>
        <v>14781353.582554003</v>
      </c>
      <c r="P66" s="9">
        <f t="shared" ca="1" si="8"/>
        <v>2027426.7110786624</v>
      </c>
      <c r="Q66" s="13">
        <f t="shared" ca="1" si="50"/>
        <v>875569.97260306356</v>
      </c>
      <c r="R66" s="13">
        <f t="shared" ca="1" si="50"/>
        <v>1026775.1522801005</v>
      </c>
      <c r="S66" s="13">
        <f ca="1">SUM(S61:S65)</f>
        <v>125081.5861954983</v>
      </c>
      <c r="T66" s="13">
        <f t="shared" ca="1" si="50"/>
        <v>1709013.5894920307</v>
      </c>
      <c r="U66" s="13">
        <f t="shared" ca="1" si="50"/>
        <v>1.5327518300349778</v>
      </c>
      <c r="V66" s="13">
        <f t="shared" ca="1" si="50"/>
        <v>35470.910859692369</v>
      </c>
      <c r="W66" s="27" t="str">
        <f t="shared" ca="1" si="5"/>
        <v>OK</v>
      </c>
      <c r="X66" s="3"/>
      <c r="Y66" s="11">
        <f ca="1">+'II-I TOTAL COMPANY'!L66-Meter!H66</f>
        <v>0</v>
      </c>
      <c r="Z66" s="3"/>
      <c r="AA66" s="3"/>
      <c r="AB66" s="3"/>
      <c r="AC66" s="3"/>
    </row>
    <row r="67" spans="1:29" x14ac:dyDescent="0.2">
      <c r="A67" s="3">
        <f t="shared" si="40"/>
        <v>11</v>
      </c>
      <c r="B67" s="3"/>
      <c r="C67" s="78"/>
      <c r="D67" s="3"/>
      <c r="E67" s="3"/>
      <c r="F67" s="3"/>
      <c r="G67" s="3"/>
      <c r="H67" s="6"/>
      <c r="I67" s="6"/>
      <c r="J67" s="6"/>
      <c r="K67" s="13"/>
      <c r="L67" s="13"/>
      <c r="M67" s="13"/>
      <c r="N67" s="13"/>
      <c r="O67" s="13"/>
      <c r="P67" s="9">
        <f t="shared" si="8"/>
        <v>0</v>
      </c>
      <c r="Q67" s="13"/>
      <c r="R67" s="13"/>
      <c r="S67" s="13"/>
      <c r="T67" s="13"/>
      <c r="U67" s="13"/>
      <c r="V67" s="13"/>
      <c r="W67" s="27" t="str">
        <f t="shared" si="5"/>
        <v>OK</v>
      </c>
      <c r="X67" s="3"/>
      <c r="Y67" s="11">
        <f>+'II-I TOTAL COMPANY'!L67-Meter!H67</f>
        <v>0</v>
      </c>
      <c r="Z67" s="3"/>
      <c r="AA67" s="3"/>
      <c r="AB67" s="3"/>
      <c r="AC67" s="3"/>
    </row>
    <row r="68" spans="1:29" x14ac:dyDescent="0.2">
      <c r="A68" s="3">
        <f t="shared" si="40"/>
        <v>12</v>
      </c>
      <c r="B68" s="3" t="s">
        <v>510</v>
      </c>
      <c r="C68" s="78"/>
      <c r="D68" s="3"/>
      <c r="E68" s="3"/>
      <c r="F68" s="11"/>
      <c r="G68" s="11"/>
      <c r="H68" s="9">
        <f>+I68+J68</f>
        <v>0</v>
      </c>
      <c r="I68" s="66">
        <v>0</v>
      </c>
      <c r="J68" s="66">
        <f>+K68+L68+M68+P68+T68+U68+V68</f>
        <v>0</v>
      </c>
      <c r="K68" s="13">
        <f>K607</f>
        <v>0</v>
      </c>
      <c r="L68" s="13">
        <f t="shared" ref="L68:V68" si="51">L607</f>
        <v>0</v>
      </c>
      <c r="M68" s="13">
        <f t="shared" si="51"/>
        <v>0</v>
      </c>
      <c r="N68" s="13">
        <f t="shared" si="51"/>
        <v>0</v>
      </c>
      <c r="O68" s="13">
        <f t="shared" si="51"/>
        <v>0</v>
      </c>
      <c r="P68" s="9">
        <f t="shared" si="8"/>
        <v>0</v>
      </c>
      <c r="Q68" s="13">
        <f t="shared" si="51"/>
        <v>0</v>
      </c>
      <c r="R68" s="13">
        <f t="shared" si="51"/>
        <v>0</v>
      </c>
      <c r="S68" s="13">
        <f>S607</f>
        <v>0</v>
      </c>
      <c r="T68" s="13">
        <f t="shared" si="51"/>
        <v>0</v>
      </c>
      <c r="U68" s="13">
        <f t="shared" si="51"/>
        <v>0</v>
      </c>
      <c r="V68" s="13">
        <f t="shared" si="51"/>
        <v>0</v>
      </c>
      <c r="W68" s="27" t="str">
        <f t="shared" si="5"/>
        <v>OK</v>
      </c>
      <c r="X68" s="3"/>
      <c r="Y68" s="11">
        <f>+'II-I TOTAL COMPANY'!L68-Meter!H68</f>
        <v>0</v>
      </c>
      <c r="Z68" s="3"/>
      <c r="AA68" s="3"/>
      <c r="AB68" s="3"/>
      <c r="AC68" s="3"/>
    </row>
    <row r="69" spans="1:29" x14ac:dyDescent="0.2">
      <c r="A69" s="3">
        <f t="shared" si="40"/>
        <v>13</v>
      </c>
      <c r="B69" s="3" t="s">
        <v>449</v>
      </c>
      <c r="C69" s="78"/>
      <c r="D69" s="3"/>
      <c r="E69" s="3"/>
      <c r="F69" s="11"/>
      <c r="G69" s="11"/>
      <c r="H69" s="9">
        <f>+I69+J69</f>
        <v>0</v>
      </c>
      <c r="I69" s="66">
        <v>0</v>
      </c>
      <c r="J69" s="66">
        <f t="shared" ref="J69:J71" si="52">+K69+L69+M69+P69+T69+U69+V69</f>
        <v>0</v>
      </c>
      <c r="K69" s="13">
        <f>K652</f>
        <v>0</v>
      </c>
      <c r="L69" s="13">
        <f>L652</f>
        <v>0</v>
      </c>
      <c r="M69" s="9">
        <f>SUM(N69:O69)</f>
        <v>0</v>
      </c>
      <c r="N69" s="13">
        <f>N652</f>
        <v>0</v>
      </c>
      <c r="O69" s="13">
        <f>O652</f>
        <v>0</v>
      </c>
      <c r="P69" s="9">
        <f t="shared" si="8"/>
        <v>0</v>
      </c>
      <c r="Q69" s="13">
        <f t="shared" ref="Q69:V69" si="53">Q652</f>
        <v>0</v>
      </c>
      <c r="R69" s="13">
        <f t="shared" si="53"/>
        <v>0</v>
      </c>
      <c r="S69" s="13">
        <f t="shared" si="53"/>
        <v>0</v>
      </c>
      <c r="T69" s="13">
        <f t="shared" si="53"/>
        <v>0</v>
      </c>
      <c r="U69" s="13">
        <f t="shared" si="53"/>
        <v>0</v>
      </c>
      <c r="V69" s="13">
        <f t="shared" si="53"/>
        <v>0</v>
      </c>
      <c r="W69" s="27" t="str">
        <f t="shared" si="5"/>
        <v>OK</v>
      </c>
      <c r="X69" s="3"/>
      <c r="Y69" s="11">
        <f>+'II-I TOTAL COMPANY'!L69-Meter!H69</f>
        <v>0</v>
      </c>
      <c r="Z69" s="3"/>
      <c r="AA69" s="3"/>
      <c r="AB69" s="3"/>
      <c r="AC69" s="3"/>
    </row>
    <row r="70" spans="1:29" x14ac:dyDescent="0.2">
      <c r="A70" s="3">
        <f t="shared" si="40"/>
        <v>14</v>
      </c>
      <c r="B70" s="3" t="s">
        <v>541</v>
      </c>
      <c r="C70" s="78"/>
      <c r="D70" s="3"/>
      <c r="E70" s="3"/>
      <c r="F70" s="11"/>
      <c r="G70" s="11"/>
      <c r="H70" s="9">
        <f>+I70+J70</f>
        <v>0</v>
      </c>
      <c r="I70" s="66">
        <v>0</v>
      </c>
      <c r="J70" s="66">
        <f t="shared" si="52"/>
        <v>0</v>
      </c>
      <c r="K70" s="13">
        <f>K393</f>
        <v>0</v>
      </c>
      <c r="L70" s="13">
        <f t="shared" ref="L70:V70" si="54">L393</f>
        <v>0</v>
      </c>
      <c r="M70" s="13">
        <f t="shared" si="54"/>
        <v>0</v>
      </c>
      <c r="N70" s="13">
        <f t="shared" si="54"/>
        <v>0</v>
      </c>
      <c r="O70" s="13">
        <f t="shared" si="54"/>
        <v>0</v>
      </c>
      <c r="P70" s="9">
        <f t="shared" si="8"/>
        <v>0</v>
      </c>
      <c r="Q70" s="13">
        <f t="shared" si="54"/>
        <v>0</v>
      </c>
      <c r="R70" s="13">
        <f t="shared" si="54"/>
        <v>0</v>
      </c>
      <c r="S70" s="13">
        <f>S393</f>
        <v>0</v>
      </c>
      <c r="T70" s="13">
        <f t="shared" si="54"/>
        <v>0</v>
      </c>
      <c r="U70" s="13">
        <f t="shared" si="54"/>
        <v>0</v>
      </c>
      <c r="V70" s="13">
        <f t="shared" si="54"/>
        <v>0</v>
      </c>
      <c r="W70" s="27" t="str">
        <f t="shared" si="5"/>
        <v>OK</v>
      </c>
      <c r="X70" s="3"/>
      <c r="Y70" s="11">
        <f>+'II-I TOTAL COMPANY'!L70-Meter!H70</f>
        <v>0</v>
      </c>
      <c r="Z70" s="3"/>
      <c r="AA70" s="3"/>
      <c r="AB70" s="3"/>
      <c r="AC70" s="3"/>
    </row>
    <row r="71" spans="1:29" x14ac:dyDescent="0.2">
      <c r="A71" s="3">
        <f t="shared" si="40"/>
        <v>15</v>
      </c>
      <c r="B71" s="3" t="s">
        <v>557</v>
      </c>
      <c r="C71" s="78"/>
      <c r="D71" s="3"/>
      <c r="E71" s="3"/>
      <c r="F71" s="11"/>
      <c r="G71" s="11"/>
      <c r="H71" s="9">
        <f>+I71+J71</f>
        <v>0</v>
      </c>
      <c r="I71" s="66">
        <v>0</v>
      </c>
      <c r="J71" s="66">
        <f t="shared" si="52"/>
        <v>0</v>
      </c>
      <c r="K71" s="13">
        <f>K590</f>
        <v>0</v>
      </c>
      <c r="L71" s="13">
        <f t="shared" ref="L71:V71" si="55">L590</f>
        <v>0</v>
      </c>
      <c r="M71" s="13">
        <f t="shared" si="55"/>
        <v>0</v>
      </c>
      <c r="N71" s="13">
        <f t="shared" si="55"/>
        <v>0</v>
      </c>
      <c r="O71" s="13">
        <f t="shared" si="55"/>
        <v>0</v>
      </c>
      <c r="P71" s="9">
        <f t="shared" si="8"/>
        <v>0</v>
      </c>
      <c r="Q71" s="13">
        <f t="shared" si="55"/>
        <v>0</v>
      </c>
      <c r="R71" s="13">
        <f t="shared" si="55"/>
        <v>0</v>
      </c>
      <c r="S71" s="13">
        <f>S590</f>
        <v>0</v>
      </c>
      <c r="T71" s="13">
        <f t="shared" si="55"/>
        <v>0</v>
      </c>
      <c r="U71" s="13">
        <f t="shared" si="55"/>
        <v>0</v>
      </c>
      <c r="V71" s="13">
        <f t="shared" si="55"/>
        <v>0</v>
      </c>
      <c r="W71" s="27" t="str">
        <f t="shared" si="5"/>
        <v>OK</v>
      </c>
      <c r="X71" s="3"/>
      <c r="Y71" s="11">
        <f>+'II-I TOTAL COMPANY'!L71-Meter!H71</f>
        <v>0</v>
      </c>
      <c r="Z71" s="3"/>
      <c r="AA71" s="3"/>
      <c r="AB71" s="3"/>
      <c r="AC71" s="3"/>
    </row>
    <row r="72" spans="1:29" x14ac:dyDescent="0.2">
      <c r="A72" s="3">
        <f t="shared" si="40"/>
        <v>16</v>
      </c>
      <c r="B72" s="3"/>
      <c r="C72" s="78"/>
      <c r="D72" s="3"/>
      <c r="E72" s="3"/>
      <c r="F72" s="3"/>
      <c r="G72" s="3"/>
      <c r="H72" s="9"/>
      <c r="I72" s="66"/>
      <c r="J72" s="66"/>
      <c r="K72" s="13"/>
      <c r="L72" s="13"/>
      <c r="M72" s="9"/>
      <c r="N72" s="13"/>
      <c r="O72" s="13"/>
      <c r="P72" s="9">
        <f t="shared" si="8"/>
        <v>0</v>
      </c>
      <c r="Q72" s="13"/>
      <c r="R72" s="13"/>
      <c r="S72" s="13"/>
      <c r="T72" s="13"/>
      <c r="U72" s="13"/>
      <c r="V72" s="13"/>
      <c r="W72" s="27" t="str">
        <f t="shared" si="5"/>
        <v>OK</v>
      </c>
      <c r="X72" s="3"/>
      <c r="Y72" s="11">
        <f>+'II-I TOTAL COMPANY'!L72-Meter!H72</f>
        <v>0</v>
      </c>
      <c r="Z72" s="3"/>
      <c r="AA72" s="3"/>
      <c r="AB72" s="3"/>
      <c r="AC72" s="3"/>
    </row>
    <row r="73" spans="1:29" x14ac:dyDescent="0.2">
      <c r="A73" s="3">
        <f t="shared" si="40"/>
        <v>17</v>
      </c>
      <c r="B73" s="3"/>
      <c r="C73" s="78"/>
      <c r="D73" s="3"/>
      <c r="E73" s="3"/>
      <c r="F73" s="3"/>
      <c r="G73" s="3"/>
      <c r="H73" s="6"/>
      <c r="I73" s="6"/>
      <c r="J73" s="6"/>
      <c r="K73" s="13"/>
      <c r="L73" s="13"/>
      <c r="M73" s="9"/>
      <c r="N73" s="13"/>
      <c r="O73" s="13"/>
      <c r="P73" s="9">
        <f t="shared" si="8"/>
        <v>0</v>
      </c>
      <c r="Q73" s="13"/>
      <c r="R73" s="13"/>
      <c r="S73" s="13"/>
      <c r="T73" s="13"/>
      <c r="U73" s="13"/>
      <c r="V73" s="13"/>
      <c r="W73" s="27" t="str">
        <f t="shared" si="5"/>
        <v>OK</v>
      </c>
      <c r="X73" s="3"/>
      <c r="Y73" s="11">
        <f>+'II-I TOTAL COMPANY'!L73-Meter!H73</f>
        <v>0</v>
      </c>
      <c r="Z73" s="3"/>
      <c r="AA73" s="3"/>
      <c r="AB73" s="3"/>
      <c r="AC73" s="3"/>
    </row>
    <row r="74" spans="1:29" x14ac:dyDescent="0.2">
      <c r="A74" s="3">
        <f t="shared" si="40"/>
        <v>18</v>
      </c>
      <c r="B74" s="3" t="s">
        <v>606</v>
      </c>
      <c r="C74" s="78"/>
      <c r="D74" s="3"/>
      <c r="E74" s="3"/>
      <c r="F74" s="13"/>
      <c r="G74" s="13"/>
      <c r="H74" s="9">
        <f ca="1">+I74+J74</f>
        <v>51042198.630717918</v>
      </c>
      <c r="I74" s="66">
        <v>0</v>
      </c>
      <c r="J74" s="66">
        <f ca="1">+K74+L74+M74+P74+T74+U74+V74</f>
        <v>51042198.630717918</v>
      </c>
      <c r="K74" s="13">
        <f ca="1">+K59+K66+K68+K69+K70+K71+K72</f>
        <v>23928994.500791878</v>
      </c>
      <c r="L74" s="13">
        <f t="shared" ref="L74:V74" ca="1" si="56">+L59+L66+L68+L69+L70+L71+L72</f>
        <v>4546705.4796307813</v>
      </c>
      <c r="M74" s="9">
        <f ca="1">SUM(N74:O74)</f>
        <v>18050264.29545619</v>
      </c>
      <c r="N74" s="13">
        <f t="shared" ca="1" si="56"/>
        <v>352170.62236118276</v>
      </c>
      <c r="O74" s="13">
        <f t="shared" ca="1" si="56"/>
        <v>17698093.673095006</v>
      </c>
      <c r="P74" s="9">
        <f t="shared" ca="1" si="8"/>
        <v>2427524.5181386876</v>
      </c>
      <c r="Q74" s="13">
        <f t="shared" ca="1" si="56"/>
        <v>1048377.4334540279</v>
      </c>
      <c r="R74" s="13">
        <f t="shared" ca="1" si="56"/>
        <v>1229378.0837891521</v>
      </c>
      <c r="S74" s="13">
        <f ca="1">+S59+S66+S68+S69+S70+S71+S72</f>
        <v>149769.00089550755</v>
      </c>
      <c r="T74" s="13">
        <f t="shared" ca="1" si="56"/>
        <v>2046230.4110719098</v>
      </c>
      <c r="U74" s="13">
        <f t="shared" ca="1" si="56"/>
        <v>7.553946624049642</v>
      </c>
      <c r="V74" s="13">
        <f t="shared" ca="1" si="56"/>
        <v>42471.871681855235</v>
      </c>
      <c r="W74" s="27" t="str">
        <f t="shared" ca="1" si="5"/>
        <v>OK</v>
      </c>
      <c r="X74" s="3"/>
      <c r="Y74" s="11">
        <f ca="1">+'II-I TOTAL COMPANY'!L74-Meter!H74</f>
        <v>0</v>
      </c>
      <c r="Z74" s="3"/>
      <c r="AA74" s="3"/>
      <c r="AB74" s="3"/>
      <c r="AC74" s="3"/>
    </row>
    <row r="75" spans="1:29" x14ac:dyDescent="0.2">
      <c r="A75" s="3">
        <f t="shared" si="40"/>
        <v>19</v>
      </c>
      <c r="B75" s="3" t="s">
        <v>607</v>
      </c>
      <c r="C75" s="78"/>
      <c r="D75" s="3"/>
      <c r="E75" s="3"/>
      <c r="F75" s="13"/>
      <c r="G75" s="13"/>
      <c r="H75" s="9">
        <f ca="1">+I75+J75</f>
        <v>50185561.150717929</v>
      </c>
      <c r="I75" s="66">
        <v>0</v>
      </c>
      <c r="J75" s="66">
        <f ca="1">+K75+L75+M75+P75+T75+U75+V75</f>
        <v>50185561.150717929</v>
      </c>
      <c r="K75" s="13">
        <f ca="1">+K74-K78</f>
        <v>23527397.047757253</v>
      </c>
      <c r="L75" s="13">
        <f t="shared" ref="L75:T75" ca="1" si="57">+L74-L78</f>
        <v>4470397.6607326753</v>
      </c>
      <c r="M75" s="9">
        <f ca="1">SUM(N75:O75)</f>
        <v>17747327.39044667</v>
      </c>
      <c r="N75" s="13">
        <f t="shared" ca="1" si="57"/>
        <v>346260.54710040474</v>
      </c>
      <c r="O75" s="13">
        <f t="shared" ca="1" si="57"/>
        <v>17401066.843346264</v>
      </c>
      <c r="P75" s="9">
        <f t="shared" ca="1" si="8"/>
        <v>2386784.1775244419</v>
      </c>
      <c r="Q75" s="13">
        <f t="shared" ca="1" si="57"/>
        <v>1030783.3084557947</v>
      </c>
      <c r="R75" s="13">
        <f t="shared" ca="1" si="57"/>
        <v>1208745.3146014586</v>
      </c>
      <c r="S75" s="13">
        <f ca="1">+S74-S78</f>
        <v>147255.55446718854</v>
      </c>
      <c r="T75" s="13">
        <f t="shared" ca="1" si="57"/>
        <v>2011888.2170185286</v>
      </c>
      <c r="U75" s="13">
        <f ca="1">+U74-U78</f>
        <v>7.553946624049642</v>
      </c>
      <c r="V75" s="13">
        <f ca="1">+V74-V78</f>
        <v>41759.103291734915</v>
      </c>
      <c r="W75" s="27" t="str">
        <f t="shared" ca="1" si="5"/>
        <v>OK</v>
      </c>
      <c r="X75" s="3"/>
      <c r="Y75" s="11">
        <f ca="1">+'II-I TOTAL COMPANY'!L75-Meter!H75</f>
        <v>0</v>
      </c>
      <c r="Z75" s="3"/>
      <c r="AA75" s="3"/>
      <c r="AB75" s="3"/>
      <c r="AC75" s="3"/>
    </row>
    <row r="76" spans="1:29" x14ac:dyDescent="0.2">
      <c r="A76" s="3">
        <f t="shared" si="40"/>
        <v>20</v>
      </c>
      <c r="B76" s="3"/>
      <c r="C76" s="78"/>
      <c r="D76" s="3"/>
      <c r="E76" s="3"/>
      <c r="F76" s="3"/>
      <c r="G76" s="3"/>
      <c r="H76" s="6"/>
      <c r="I76" s="6"/>
      <c r="J76" s="6"/>
      <c r="K76" s="13"/>
      <c r="L76" s="13"/>
      <c r="M76" s="13"/>
      <c r="N76" s="13"/>
      <c r="O76" s="13"/>
      <c r="P76" s="9">
        <f t="shared" si="8"/>
        <v>0</v>
      </c>
      <c r="Q76" s="13"/>
      <c r="R76" s="13"/>
      <c r="S76" s="13"/>
      <c r="T76" s="13"/>
      <c r="U76" s="13"/>
      <c r="V76" s="13"/>
      <c r="W76" s="27" t="str">
        <f t="shared" si="5"/>
        <v>OK</v>
      </c>
      <c r="X76" s="3"/>
      <c r="Y76" s="11">
        <f>+'II-I TOTAL COMPANY'!L76-Meter!H76</f>
        <v>0</v>
      </c>
      <c r="Z76" s="3"/>
      <c r="AA76" s="3"/>
      <c r="AB76" s="3"/>
      <c r="AC76" s="3"/>
    </row>
    <row r="77" spans="1:29" s="173" customFormat="1" x14ac:dyDescent="0.2">
      <c r="A77" s="3">
        <f t="shared" si="40"/>
        <v>21</v>
      </c>
      <c r="B77" s="3" t="s">
        <v>506</v>
      </c>
      <c r="C77" s="78"/>
      <c r="D77" s="3"/>
      <c r="E77" s="3"/>
      <c r="F77" s="11"/>
      <c r="G77" s="11"/>
      <c r="H77" s="9">
        <f ca="1">+I77+J77</f>
        <v>50185561.150717929</v>
      </c>
      <c r="I77" s="66">
        <v>0</v>
      </c>
      <c r="J77" s="66">
        <f t="shared" ref="J77:J81" ca="1" si="58">+K77+L77+M77+P77+T77+U77+V77</f>
        <v>50185561.150717929</v>
      </c>
      <c r="K77" s="13">
        <f ca="1">+K74-K80-K78</f>
        <v>23527397.047757253</v>
      </c>
      <c r="L77" s="13">
        <f ca="1">+L74-L80-L78</f>
        <v>4470397.6607326753</v>
      </c>
      <c r="M77" s="9">
        <f ca="1">SUM(N77:O77)</f>
        <v>17747327.39044667</v>
      </c>
      <c r="N77" s="13">
        <f ca="1">+N74-N80-N78</f>
        <v>346260.54710040474</v>
      </c>
      <c r="O77" s="13">
        <f ca="1">+O74-O80-O78</f>
        <v>17401066.843346264</v>
      </c>
      <c r="P77" s="9">
        <f t="shared" ca="1" si="8"/>
        <v>2386784.1775244419</v>
      </c>
      <c r="Q77" s="13">
        <f t="shared" ref="Q77:V77" ca="1" si="59">+Q74-Q80-Q78</f>
        <v>1030783.3084557947</v>
      </c>
      <c r="R77" s="13">
        <f t="shared" ca="1" si="59"/>
        <v>1208745.3146014586</v>
      </c>
      <c r="S77" s="13">
        <f t="shared" ca="1" si="59"/>
        <v>147255.55446718854</v>
      </c>
      <c r="T77" s="13">
        <f t="shared" ca="1" si="59"/>
        <v>2011888.2170185286</v>
      </c>
      <c r="U77" s="13">
        <f t="shared" ca="1" si="59"/>
        <v>7.553946624049642</v>
      </c>
      <c r="V77" s="13">
        <f t="shared" ca="1" si="59"/>
        <v>41759.103291734915</v>
      </c>
      <c r="W77" s="27" t="str">
        <f t="shared" ca="1" si="5"/>
        <v>OK</v>
      </c>
      <c r="X77" s="3"/>
      <c r="Y77" s="11">
        <f ca="1">+'II-I TOTAL COMPANY'!L77-Meter!H77</f>
        <v>0</v>
      </c>
      <c r="Z77" s="3"/>
      <c r="AA77" s="3"/>
      <c r="AB77" s="3"/>
      <c r="AC77" s="3"/>
    </row>
    <row r="78" spans="1:29" x14ac:dyDescent="0.2">
      <c r="A78" s="3">
        <f t="shared" si="40"/>
        <v>22</v>
      </c>
      <c r="B78" s="3" t="s">
        <v>507</v>
      </c>
      <c r="C78" s="78"/>
      <c r="D78" s="3"/>
      <c r="E78" s="3"/>
      <c r="F78" s="11"/>
      <c r="G78" s="11"/>
      <c r="H78" s="9">
        <f>+I78+J78</f>
        <v>856637.4800000001</v>
      </c>
      <c r="I78" s="66">
        <v>0</v>
      </c>
      <c r="J78" s="66">
        <f t="shared" si="58"/>
        <v>856637.4800000001</v>
      </c>
      <c r="K78" s="13">
        <f t="shared" ref="K78:V78" si="60">K40</f>
        <v>401597.45303462545</v>
      </c>
      <c r="L78" s="13">
        <f t="shared" si="60"/>
        <v>76307.818898105877</v>
      </c>
      <c r="M78" s="9">
        <f>SUM(N78:O78)</f>
        <v>302936.90500952164</v>
      </c>
      <c r="N78" s="13">
        <f t="shared" si="60"/>
        <v>5910.0752607780287</v>
      </c>
      <c r="O78" s="13">
        <f t="shared" si="60"/>
        <v>297026.82974874362</v>
      </c>
      <c r="P78" s="9">
        <f t="shared" si="8"/>
        <v>40740.34061424555</v>
      </c>
      <c r="Q78" s="13">
        <f t="shared" si="60"/>
        <v>17594.124998233117</v>
      </c>
      <c r="R78" s="13">
        <f t="shared" si="60"/>
        <v>20632.769187693419</v>
      </c>
      <c r="S78" s="13">
        <f>S40</f>
        <v>2513.4464283190168</v>
      </c>
      <c r="T78" s="13">
        <f t="shared" si="60"/>
        <v>34342.194053381216</v>
      </c>
      <c r="U78" s="13">
        <f t="shared" si="60"/>
        <v>0</v>
      </c>
      <c r="V78" s="13">
        <f t="shared" si="60"/>
        <v>712.76839012031837</v>
      </c>
      <c r="W78" s="27" t="str">
        <f t="shared" si="5"/>
        <v>OK</v>
      </c>
      <c r="X78" s="3"/>
      <c r="Y78" s="11">
        <f>+'II-I TOTAL COMPANY'!L78-Meter!H78</f>
        <v>0</v>
      </c>
      <c r="Z78" s="3"/>
      <c r="AA78" s="3"/>
      <c r="AB78" s="3"/>
      <c r="AC78" s="3"/>
    </row>
    <row r="79" spans="1:29" x14ac:dyDescent="0.2">
      <c r="A79" s="3">
        <f t="shared" si="40"/>
        <v>23</v>
      </c>
      <c r="B79" s="3" t="s">
        <v>508</v>
      </c>
      <c r="C79" s="78"/>
      <c r="D79" s="3"/>
      <c r="E79" s="3"/>
      <c r="F79" s="11"/>
      <c r="G79" s="11"/>
      <c r="H79" s="9">
        <f>+I79+J79</f>
        <v>0</v>
      </c>
      <c r="I79" s="66">
        <v>0</v>
      </c>
      <c r="J79" s="66">
        <f t="shared" si="58"/>
        <v>0</v>
      </c>
      <c r="K79" s="13">
        <v>0</v>
      </c>
      <c r="L79" s="13">
        <v>0</v>
      </c>
      <c r="M79" s="9">
        <f>SUM(N79:O79)</f>
        <v>0</v>
      </c>
      <c r="N79" s="13">
        <v>0</v>
      </c>
      <c r="O79" s="13">
        <v>0</v>
      </c>
      <c r="P79" s="9">
        <f t="shared" si="8"/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27" t="str">
        <f t="shared" si="5"/>
        <v>OK</v>
      </c>
      <c r="X79" s="3"/>
      <c r="Y79" s="11">
        <f>+'II-I TOTAL COMPANY'!L79-Meter!H79</f>
        <v>0</v>
      </c>
      <c r="Z79" s="3"/>
      <c r="AA79" s="3"/>
      <c r="AB79" s="3"/>
      <c r="AC79" s="3"/>
    </row>
    <row r="80" spans="1:29" x14ac:dyDescent="0.2">
      <c r="A80" s="3">
        <f t="shared" si="40"/>
        <v>24</v>
      </c>
      <c r="B80" s="3" t="s">
        <v>511</v>
      </c>
      <c r="C80" s="78"/>
      <c r="D80" s="3"/>
      <c r="E80" s="3"/>
      <c r="F80" s="11"/>
      <c r="G80" s="11"/>
      <c r="H80" s="9">
        <f>+I80+J80</f>
        <v>0</v>
      </c>
      <c r="I80" s="66">
        <v>0</v>
      </c>
      <c r="J80" s="66">
        <f t="shared" si="58"/>
        <v>0</v>
      </c>
      <c r="K80" s="13">
        <f>+K69+K68+K70+K71</f>
        <v>0</v>
      </c>
      <c r="L80" s="13">
        <f t="shared" ref="L80:V80" si="61">+L69+L68+L70+L71</f>
        <v>0</v>
      </c>
      <c r="M80" s="9">
        <f>SUM(N80:O80)</f>
        <v>0</v>
      </c>
      <c r="N80" s="13">
        <f t="shared" si="61"/>
        <v>0</v>
      </c>
      <c r="O80" s="13">
        <f t="shared" si="61"/>
        <v>0</v>
      </c>
      <c r="P80" s="9">
        <f t="shared" si="8"/>
        <v>0</v>
      </c>
      <c r="Q80" s="13">
        <f t="shared" si="61"/>
        <v>0</v>
      </c>
      <c r="R80" s="13">
        <f t="shared" si="61"/>
        <v>0</v>
      </c>
      <c r="S80" s="13">
        <f>+S69+S68+S70+S71</f>
        <v>0</v>
      </c>
      <c r="T80" s="13">
        <f t="shared" si="61"/>
        <v>0</v>
      </c>
      <c r="U80" s="13">
        <f t="shared" si="61"/>
        <v>0</v>
      </c>
      <c r="V80" s="13">
        <f t="shared" si="61"/>
        <v>0</v>
      </c>
      <c r="W80" s="27" t="str">
        <f t="shared" si="5"/>
        <v>OK</v>
      </c>
      <c r="X80" s="3"/>
      <c r="Y80" s="11">
        <f>+'II-I TOTAL COMPANY'!L80-Meter!H80</f>
        <v>0</v>
      </c>
      <c r="Z80" s="3"/>
      <c r="AA80" s="3"/>
      <c r="AB80" s="3"/>
      <c r="AC80" s="3"/>
    </row>
    <row r="81" spans="1:29" x14ac:dyDescent="0.2">
      <c r="A81" s="3">
        <f t="shared" si="40"/>
        <v>25</v>
      </c>
      <c r="B81" s="3" t="s">
        <v>509</v>
      </c>
      <c r="C81" s="3"/>
      <c r="D81" s="3"/>
      <c r="E81" s="3"/>
      <c r="F81" s="13"/>
      <c r="G81" s="13"/>
      <c r="H81" s="9">
        <f ca="1">+I81+J81</f>
        <v>51042198.630717918</v>
      </c>
      <c r="I81" s="66">
        <v>0</v>
      </c>
      <c r="J81" s="66">
        <f t="shared" ca="1" si="58"/>
        <v>51042198.630717918</v>
      </c>
      <c r="K81" s="13">
        <f ca="1">SUM(K77:K80)</f>
        <v>23928994.500791878</v>
      </c>
      <c r="L81" s="13">
        <f t="shared" ref="L81:V81" ca="1" si="62">SUM(L77:L80)</f>
        <v>4546705.4796307813</v>
      </c>
      <c r="M81" s="9">
        <f ca="1">SUM(N81:O81)</f>
        <v>18050264.29545619</v>
      </c>
      <c r="N81" s="13">
        <f t="shared" ca="1" si="62"/>
        <v>352170.62236118276</v>
      </c>
      <c r="O81" s="13">
        <f t="shared" ca="1" si="62"/>
        <v>17698093.673095006</v>
      </c>
      <c r="P81" s="9">
        <f t="shared" ca="1" si="8"/>
        <v>2427524.5181386876</v>
      </c>
      <c r="Q81" s="13">
        <f t="shared" ca="1" si="62"/>
        <v>1048377.4334540279</v>
      </c>
      <c r="R81" s="13">
        <f t="shared" ca="1" si="62"/>
        <v>1229378.0837891521</v>
      </c>
      <c r="S81" s="13">
        <f ca="1">SUM(S77:S80)</f>
        <v>149769.00089550755</v>
      </c>
      <c r="T81" s="13">
        <f t="shared" ca="1" si="62"/>
        <v>2046230.4110719098</v>
      </c>
      <c r="U81" s="13">
        <f t="shared" ca="1" si="62"/>
        <v>7.553946624049642</v>
      </c>
      <c r="V81" s="13">
        <f t="shared" ca="1" si="62"/>
        <v>42471.871681855235</v>
      </c>
      <c r="W81" s="27" t="str">
        <f t="shared" ca="1" si="5"/>
        <v>OK</v>
      </c>
      <c r="X81" s="3"/>
      <c r="Y81" s="11">
        <f ca="1">+'II-I TOTAL COMPANY'!L81-Meter!H81</f>
        <v>0</v>
      </c>
      <c r="Z81" s="3"/>
      <c r="AA81" s="3"/>
      <c r="AB81" s="3"/>
      <c r="AC81" s="3"/>
    </row>
    <row r="82" spans="1:29" x14ac:dyDescent="0.2">
      <c r="A82" s="3">
        <f t="shared" si="40"/>
        <v>26</v>
      </c>
      <c r="B82" s="3"/>
      <c r="C82" s="3"/>
      <c r="D82" s="3"/>
      <c r="E82" s="3"/>
      <c r="F82" s="3"/>
      <c r="G82" s="3"/>
      <c r="H82" s="6"/>
      <c r="I82" s="6"/>
      <c r="J82" s="6"/>
      <c r="K82" s="13"/>
      <c r="L82" s="13"/>
      <c r="M82" s="13"/>
      <c r="N82" s="13"/>
      <c r="O82" s="13"/>
      <c r="P82" s="9">
        <f t="shared" si="8"/>
        <v>0</v>
      </c>
      <c r="Q82" s="13"/>
      <c r="R82" s="13"/>
      <c r="S82" s="13"/>
      <c r="T82" s="13"/>
      <c r="U82" s="13"/>
      <c r="V82" s="13"/>
      <c r="W82" s="27" t="str">
        <f t="shared" si="5"/>
        <v>OK</v>
      </c>
      <c r="X82" s="3"/>
      <c r="Y82" s="11">
        <f>+'II-I TOTAL COMPANY'!L82-Meter!H82</f>
        <v>0</v>
      </c>
      <c r="Z82" s="3"/>
      <c r="AA82" s="3"/>
      <c r="AB82" s="3"/>
      <c r="AC82" s="3"/>
    </row>
    <row r="83" spans="1:29" x14ac:dyDescent="0.2">
      <c r="A83" s="3">
        <f t="shared" si="40"/>
        <v>27</v>
      </c>
      <c r="B83" s="3" t="s">
        <v>512</v>
      </c>
      <c r="C83" s="3"/>
      <c r="D83" s="3"/>
      <c r="E83" s="3"/>
      <c r="F83" s="11"/>
      <c r="G83" s="11"/>
      <c r="H83" s="9">
        <f ca="1">+I83+J83</f>
        <v>-6719779.3413442513</v>
      </c>
      <c r="I83" s="66">
        <v>0</v>
      </c>
      <c r="J83" s="66">
        <f ca="1">+K83+L83+M83+P83+T83+U83+V83</f>
        <v>-6719779.3413442513</v>
      </c>
      <c r="K83" s="13">
        <f t="shared" ref="K83:L86" ca="1" si="63">+K77-K39</f>
        <v>-14509079.327438258</v>
      </c>
      <c r="L83" s="13">
        <f t="shared" ca="1" si="63"/>
        <v>-629503.30494759325</v>
      </c>
      <c r="M83" s="9">
        <f ca="1">SUM(N83:O83)</f>
        <v>6790404.8689759048</v>
      </c>
      <c r="N83" s="13">
        <f t="shared" ref="N83:O86" ca="1" si="64">+N77-N39</f>
        <v>258469.81700990043</v>
      </c>
      <c r="O83" s="13">
        <f t="shared" ca="1" si="64"/>
        <v>6531935.0519660041</v>
      </c>
      <c r="P83" s="9">
        <f t="shared" ca="1" si="8"/>
        <v>741162.50688992394</v>
      </c>
      <c r="Q83" s="13">
        <f t="shared" ref="Q83:V86" ca="1" si="65">+Q77-Q39</f>
        <v>317639.97717123304</v>
      </c>
      <c r="R83" s="13">
        <f t="shared" ca="1" si="65"/>
        <v>377779.68528678105</v>
      </c>
      <c r="S83" s="13">
        <f ca="1">+S77-S39</f>
        <v>45742.84443190982</v>
      </c>
      <c r="T83" s="13">
        <f t="shared" ca="1" si="65"/>
        <v>845470.25793741085</v>
      </c>
      <c r="U83" s="13">
        <f t="shared" ca="1" si="65"/>
        <v>7.553946624049642</v>
      </c>
      <c r="V83" s="13">
        <f t="shared" ca="1" si="65"/>
        <v>41758.103291734915</v>
      </c>
      <c r="W83" s="27" t="str">
        <f ca="1">IF((+K83+L83+M83+P83+T83+U83+V83)-H83=0,"OK",(+K83+L83+M83+P83+T83+U83+V83)-H83)</f>
        <v>OK</v>
      </c>
      <c r="X83" s="3"/>
      <c r="Y83" s="11">
        <f ca="1">+'II-I TOTAL COMPANY'!L83-Meter!H83</f>
        <v>0.99999999906867743</v>
      </c>
      <c r="Z83" s="3"/>
      <c r="AA83" s="3"/>
      <c r="AB83" s="3"/>
      <c r="AC83" s="3"/>
    </row>
    <row r="84" spans="1:29" x14ac:dyDescent="0.2">
      <c r="A84" s="3">
        <f t="shared" si="40"/>
        <v>28</v>
      </c>
      <c r="B84" s="3" t="s">
        <v>513</v>
      </c>
      <c r="C84" s="3"/>
      <c r="D84" s="3"/>
      <c r="E84" s="3"/>
      <c r="F84" s="11"/>
      <c r="G84" s="11"/>
      <c r="H84" s="9">
        <f>+I84+J84</f>
        <v>0</v>
      </c>
      <c r="I84" s="66">
        <v>0</v>
      </c>
      <c r="J84" s="66">
        <f t="shared" ref="J84:J87" si="66">+K84+L84+M84+P84+T84+U84+V84</f>
        <v>0</v>
      </c>
      <c r="K84" s="13">
        <f t="shared" si="63"/>
        <v>0</v>
      </c>
      <c r="L84" s="13">
        <f t="shared" si="63"/>
        <v>0</v>
      </c>
      <c r="M84" s="9">
        <f>SUM(N84:O84)</f>
        <v>0</v>
      </c>
      <c r="N84" s="13">
        <f t="shared" si="64"/>
        <v>0</v>
      </c>
      <c r="O84" s="13">
        <f t="shared" si="64"/>
        <v>0</v>
      </c>
      <c r="P84" s="9">
        <f t="shared" ref="P84:P145" si="67">SUM(Q84:S84)</f>
        <v>0</v>
      </c>
      <c r="Q84" s="13">
        <f t="shared" si="65"/>
        <v>0</v>
      </c>
      <c r="R84" s="13">
        <f t="shared" si="65"/>
        <v>0</v>
      </c>
      <c r="S84" s="13">
        <f>+S78-S40</f>
        <v>0</v>
      </c>
      <c r="T84" s="13">
        <f t="shared" si="65"/>
        <v>0</v>
      </c>
      <c r="U84" s="13">
        <f t="shared" si="65"/>
        <v>0</v>
      </c>
      <c r="V84" s="13">
        <f t="shared" si="65"/>
        <v>0</v>
      </c>
      <c r="W84" s="27" t="str">
        <f>IF((+K84+L84+M84+P84+T84+U84+V84)-H84=0,"OK",(+K84+L84+M84+P84+T84+U84+V84)-H84)</f>
        <v>OK</v>
      </c>
      <c r="X84" s="3"/>
      <c r="Y84" s="11">
        <f>+'II-I TOTAL COMPANY'!L84-Meter!H84</f>
        <v>0</v>
      </c>
      <c r="Z84" s="3"/>
      <c r="AA84" s="3"/>
      <c r="AB84" s="3"/>
      <c r="AC84" s="3"/>
    </row>
    <row r="85" spans="1:29" x14ac:dyDescent="0.2">
      <c r="A85" s="3">
        <f t="shared" si="40"/>
        <v>29</v>
      </c>
      <c r="B85" s="3" t="s">
        <v>514</v>
      </c>
      <c r="C85" s="3"/>
      <c r="D85" s="3"/>
      <c r="E85" s="3"/>
      <c r="F85" s="11"/>
      <c r="G85" s="11"/>
      <c r="H85" s="9">
        <f>+I85+J85</f>
        <v>0</v>
      </c>
      <c r="I85" s="66">
        <v>0</v>
      </c>
      <c r="J85" s="66">
        <f t="shared" si="66"/>
        <v>0</v>
      </c>
      <c r="K85" s="13">
        <f t="shared" si="63"/>
        <v>0</v>
      </c>
      <c r="L85" s="13">
        <f t="shared" si="63"/>
        <v>0</v>
      </c>
      <c r="M85" s="9">
        <f>SUM(N85:O85)</f>
        <v>0</v>
      </c>
      <c r="N85" s="13">
        <f t="shared" si="64"/>
        <v>0</v>
      </c>
      <c r="O85" s="13">
        <f t="shared" si="64"/>
        <v>0</v>
      </c>
      <c r="P85" s="9">
        <f t="shared" si="67"/>
        <v>0</v>
      </c>
      <c r="Q85" s="13">
        <f t="shared" si="65"/>
        <v>0</v>
      </c>
      <c r="R85" s="13">
        <f t="shared" si="65"/>
        <v>0</v>
      </c>
      <c r="S85" s="13">
        <f>+S79-S41</f>
        <v>0</v>
      </c>
      <c r="T85" s="13">
        <f t="shared" si="65"/>
        <v>0</v>
      </c>
      <c r="U85" s="13">
        <f t="shared" si="65"/>
        <v>0</v>
      </c>
      <c r="V85" s="13">
        <f t="shared" si="65"/>
        <v>0</v>
      </c>
      <c r="W85" s="27" t="str">
        <f>IF((+K85+L85+M85+P85+T85+U85+V85)-H85=0,"OK",(+K85+L85+M85+P85+T85+U85+V85)-H85)</f>
        <v>OK</v>
      </c>
      <c r="X85" s="3"/>
      <c r="Y85" s="11">
        <f>+'II-I TOTAL COMPANY'!L85-Meter!H85</f>
        <v>0</v>
      </c>
      <c r="Z85" s="3"/>
      <c r="AA85" s="3"/>
      <c r="AB85" s="3"/>
      <c r="AC85" s="3"/>
    </row>
    <row r="86" spans="1:29" x14ac:dyDescent="0.2">
      <c r="A86" s="3">
        <f t="shared" si="40"/>
        <v>30</v>
      </c>
      <c r="B86" s="3" t="s">
        <v>515</v>
      </c>
      <c r="C86" s="3"/>
      <c r="D86" s="3"/>
      <c r="E86" s="3"/>
      <c r="F86" s="11"/>
      <c r="G86" s="11"/>
      <c r="H86" s="9">
        <f>+I86+J86</f>
        <v>0</v>
      </c>
      <c r="I86" s="66">
        <v>0</v>
      </c>
      <c r="J86" s="66">
        <f t="shared" si="66"/>
        <v>0</v>
      </c>
      <c r="K86" s="13">
        <f t="shared" si="63"/>
        <v>0</v>
      </c>
      <c r="L86" s="13">
        <f t="shared" si="63"/>
        <v>0</v>
      </c>
      <c r="M86" s="9">
        <f>SUM(N86:O86)</f>
        <v>0</v>
      </c>
      <c r="N86" s="13">
        <f t="shared" si="64"/>
        <v>0</v>
      </c>
      <c r="O86" s="13">
        <f t="shared" si="64"/>
        <v>0</v>
      </c>
      <c r="P86" s="9">
        <f t="shared" si="67"/>
        <v>0</v>
      </c>
      <c r="Q86" s="13">
        <f t="shared" si="65"/>
        <v>0</v>
      </c>
      <c r="R86" s="13">
        <f t="shared" si="65"/>
        <v>0</v>
      </c>
      <c r="S86" s="13">
        <f>+S80-S42</f>
        <v>0</v>
      </c>
      <c r="T86" s="13">
        <f t="shared" si="65"/>
        <v>0</v>
      </c>
      <c r="U86" s="13">
        <f t="shared" si="65"/>
        <v>0</v>
      </c>
      <c r="V86" s="13">
        <f t="shared" si="65"/>
        <v>0</v>
      </c>
      <c r="W86" s="27" t="str">
        <f>IF((+K86+L86+M86+P86+T86+U86+V86)-H86=0,"OK",(+K86+L86+M86+P86+T86+U86+V86)-H86)</f>
        <v>OK</v>
      </c>
      <c r="X86" s="3"/>
      <c r="Y86" s="11">
        <f>+'II-I TOTAL COMPANY'!L86-Meter!H86</f>
        <v>0</v>
      </c>
      <c r="Z86" s="3"/>
      <c r="AA86" s="3"/>
      <c r="AB86" s="3"/>
      <c r="AC86" s="3"/>
    </row>
    <row r="87" spans="1:29" x14ac:dyDescent="0.2">
      <c r="A87" s="3">
        <f t="shared" si="40"/>
        <v>31</v>
      </c>
      <c r="B87" s="3" t="s">
        <v>516</v>
      </c>
      <c r="C87" s="3"/>
      <c r="D87" s="3"/>
      <c r="E87" s="3"/>
      <c r="F87" s="13"/>
      <c r="G87" s="13"/>
      <c r="H87" s="9">
        <f ca="1">+I87+J87</f>
        <v>-6719779.3413442513</v>
      </c>
      <c r="I87" s="66">
        <v>0</v>
      </c>
      <c r="J87" s="66">
        <f t="shared" ca="1" si="66"/>
        <v>-6719779.3413442513</v>
      </c>
      <c r="K87" s="13">
        <f ca="1">SUM(K83:K86)</f>
        <v>-14509079.327438258</v>
      </c>
      <c r="L87" s="13">
        <f t="shared" ref="L87:V87" ca="1" si="68">SUM(L83:L86)</f>
        <v>-629503.30494759325</v>
      </c>
      <c r="M87" s="9">
        <f ca="1">SUM(N87:O87)</f>
        <v>6790404.8689759048</v>
      </c>
      <c r="N87" s="13">
        <f t="shared" ca="1" si="68"/>
        <v>258469.81700990043</v>
      </c>
      <c r="O87" s="13">
        <f t="shared" ca="1" si="68"/>
        <v>6531935.0519660041</v>
      </c>
      <c r="P87" s="9">
        <f t="shared" ca="1" si="67"/>
        <v>741162.50688992394</v>
      </c>
      <c r="Q87" s="13">
        <f t="shared" ca="1" si="68"/>
        <v>317639.97717123304</v>
      </c>
      <c r="R87" s="13">
        <f t="shared" ca="1" si="68"/>
        <v>377779.68528678105</v>
      </c>
      <c r="S87" s="13">
        <f ca="1">SUM(S83:S86)</f>
        <v>45742.84443190982</v>
      </c>
      <c r="T87" s="13">
        <f t="shared" ca="1" si="68"/>
        <v>845470.25793741085</v>
      </c>
      <c r="U87" s="13">
        <f t="shared" ca="1" si="68"/>
        <v>7.553946624049642</v>
      </c>
      <c r="V87" s="13">
        <f t="shared" ca="1" si="68"/>
        <v>41758.103291734915</v>
      </c>
      <c r="W87" s="27" t="str">
        <f ca="1">IF((+K87+L87+M87+P87+T87+U87+V87)-H87=0,"OK",(+K87+L87+M87+P87+T87+U87+V87)-H87)</f>
        <v>OK</v>
      </c>
      <c r="X87" s="3"/>
      <c r="Y87" s="11">
        <f ca="1">+'II-I TOTAL COMPANY'!L87-Meter!H87</f>
        <v>0.99999999906867743</v>
      </c>
      <c r="Z87" s="3"/>
      <c r="AA87" s="3"/>
      <c r="AB87" s="3"/>
      <c r="AC87" s="3"/>
    </row>
    <row r="88" spans="1:29" x14ac:dyDescent="0.2">
      <c r="A88" s="3"/>
      <c r="B88" s="69"/>
      <c r="C88" s="4"/>
      <c r="D88" s="3"/>
      <c r="E88" s="3"/>
      <c r="F88" s="3"/>
      <c r="G88" s="3"/>
      <c r="H88" s="6"/>
      <c r="I88" s="6"/>
      <c r="J88" s="6"/>
      <c r="K88" s="13"/>
      <c r="L88" s="13"/>
      <c r="M88" s="3"/>
      <c r="N88" s="3"/>
      <c r="O88" s="3"/>
      <c r="P88" s="9">
        <f t="shared" si="67"/>
        <v>0</v>
      </c>
      <c r="Q88" s="3"/>
      <c r="R88" s="3"/>
      <c r="S88" s="3"/>
      <c r="T88" s="3"/>
      <c r="U88" s="3"/>
      <c r="V88" s="3"/>
      <c r="W88" s="4"/>
      <c r="X88" s="3"/>
      <c r="Y88" s="3"/>
      <c r="Z88" s="3"/>
      <c r="AA88" s="3"/>
      <c r="AB88" s="3"/>
      <c r="AC88" s="3"/>
    </row>
    <row r="89" spans="1:29" x14ac:dyDescent="0.2">
      <c r="A89" s="3"/>
      <c r="B89" s="4"/>
      <c r="C89" s="4"/>
      <c r="D89" s="3"/>
      <c r="E89" s="3"/>
      <c r="F89" s="3"/>
      <c r="G89" s="3"/>
      <c r="H89" s="6"/>
      <c r="I89" s="6"/>
      <c r="J89" s="6"/>
      <c r="K89" s="13"/>
      <c r="L89" s="13"/>
      <c r="M89" s="3"/>
      <c r="N89" s="3"/>
      <c r="O89" s="3"/>
      <c r="P89" s="9">
        <f t="shared" si="67"/>
        <v>0</v>
      </c>
      <c r="Q89" s="3"/>
      <c r="R89" s="3"/>
      <c r="S89" s="3"/>
      <c r="T89" s="3"/>
      <c r="U89" s="3"/>
      <c r="V89" s="3"/>
      <c r="W89" s="4"/>
      <c r="X89" s="3"/>
      <c r="Y89" s="3"/>
      <c r="Z89" s="3"/>
      <c r="AA89" s="3"/>
      <c r="AB89" s="3"/>
      <c r="AC89" s="3"/>
    </row>
    <row r="90" spans="1:29" x14ac:dyDescent="0.2">
      <c r="A90" s="3"/>
      <c r="B90" s="7" t="s">
        <v>22</v>
      </c>
      <c r="C90" s="3"/>
      <c r="D90" s="3"/>
      <c r="E90" s="78"/>
      <c r="F90" s="3"/>
      <c r="G90" s="3"/>
      <c r="H90" s="5"/>
      <c r="I90" s="8"/>
      <c r="J90" s="8"/>
      <c r="K90" s="8"/>
      <c r="L90" s="8"/>
      <c r="M90" s="3"/>
      <c r="N90" s="3"/>
      <c r="O90" s="3"/>
      <c r="P90" s="9">
        <f t="shared" si="67"/>
        <v>0</v>
      </c>
      <c r="Q90" s="3"/>
      <c r="R90" s="3"/>
      <c r="S90" s="3"/>
      <c r="T90" s="3"/>
      <c r="U90" s="3"/>
      <c r="V90" s="3"/>
      <c r="W90" s="4"/>
      <c r="X90" s="3"/>
      <c r="Y90" s="3"/>
      <c r="Z90" s="3"/>
      <c r="AA90" s="3"/>
      <c r="AB90" s="3"/>
      <c r="AC90" s="3"/>
    </row>
    <row r="91" spans="1:29" x14ac:dyDescent="0.2">
      <c r="A91" s="3"/>
      <c r="B91" s="3"/>
      <c r="C91" s="3"/>
      <c r="D91" s="3"/>
      <c r="E91" s="78"/>
      <c r="F91" s="3"/>
      <c r="G91" s="3"/>
      <c r="H91" s="5"/>
      <c r="I91" s="5"/>
      <c r="J91" s="5"/>
      <c r="K91" s="5"/>
      <c r="L91" s="5"/>
      <c r="M91" s="3"/>
      <c r="N91" s="3"/>
      <c r="O91" s="3"/>
      <c r="P91" s="9">
        <f t="shared" si="67"/>
        <v>0</v>
      </c>
      <c r="Q91" s="3"/>
      <c r="R91" s="3"/>
      <c r="S91" s="3"/>
      <c r="T91" s="3"/>
      <c r="U91" s="3"/>
      <c r="V91" s="3"/>
      <c r="W91" s="4"/>
      <c r="X91" s="3"/>
      <c r="Y91" s="3"/>
      <c r="Z91" s="3"/>
      <c r="AA91" s="3"/>
      <c r="AB91" s="3"/>
      <c r="AC91" s="3"/>
    </row>
    <row r="92" spans="1:29" x14ac:dyDescent="0.2">
      <c r="A92" s="3">
        <v>1</v>
      </c>
      <c r="B92" s="3" t="s">
        <v>23</v>
      </c>
      <c r="C92" s="3"/>
      <c r="D92" s="3"/>
      <c r="E92" s="78"/>
      <c r="F92" s="3"/>
      <c r="G92" s="3"/>
      <c r="H92" s="5"/>
      <c r="I92" s="5"/>
      <c r="J92" s="5"/>
      <c r="K92" s="5"/>
      <c r="L92" s="5"/>
      <c r="M92" s="3"/>
      <c r="N92" s="3"/>
      <c r="O92" s="3"/>
      <c r="P92" s="9">
        <f t="shared" si="67"/>
        <v>0</v>
      </c>
      <c r="Q92" s="3"/>
      <c r="R92" s="3"/>
      <c r="S92" s="3"/>
      <c r="T92" s="3"/>
      <c r="U92" s="3"/>
      <c r="V92" s="3"/>
      <c r="W92" s="27"/>
      <c r="X92" s="3"/>
      <c r="Y92" s="3"/>
      <c r="Z92" s="3"/>
      <c r="AA92" s="3"/>
      <c r="AB92" s="3"/>
      <c r="AC92" s="3"/>
    </row>
    <row r="93" spans="1:29" x14ac:dyDescent="0.2">
      <c r="A93" s="3">
        <f>+A92+1</f>
        <v>2</v>
      </c>
      <c r="B93" s="3" t="s">
        <v>24</v>
      </c>
      <c r="C93" s="3" t="s">
        <v>25</v>
      </c>
      <c r="D93" s="78" t="s">
        <v>323</v>
      </c>
      <c r="E93" s="4" t="s">
        <v>591</v>
      </c>
      <c r="F93" s="11"/>
      <c r="G93" s="78"/>
      <c r="H93" s="2">
        <f>'II-I TOTAL COMPANY'!L93</f>
        <v>566.25383647603655</v>
      </c>
      <c r="I93" s="66">
        <v>0</v>
      </c>
      <c r="J93" s="66">
        <f ca="1">SUM(K93:V93)-M93-P93</f>
        <v>566.25383647603667</v>
      </c>
      <c r="K93" s="12">
        <f t="shared" ref="K93:L95" ca="1" si="69">VLOOKUP($D93,$E$741:$V$815,K$1,FALSE)*$H93</f>
        <v>265.46363404489557</v>
      </c>
      <c r="L93" s="12">
        <f t="shared" ca="1" si="69"/>
        <v>50.440934716247838</v>
      </c>
      <c r="M93" s="9">
        <f ca="1">SUM(N93:O93)</f>
        <v>200.24711581825522</v>
      </c>
      <c r="N93" s="12">
        <f t="shared" ref="N93:O95" ca="1" si="70">VLOOKUP($D93,$E$741:$V$815,N$1,FALSE)*$H93</f>
        <v>3.9066733226261259</v>
      </c>
      <c r="O93" s="12">
        <f t="shared" ca="1" si="70"/>
        <v>196.34044249562911</v>
      </c>
      <c r="P93" s="9">
        <f t="shared" ca="1" si="67"/>
        <v>26.930148062348422</v>
      </c>
      <c r="Q93" s="12">
        <f t="shared" ref="Q93:V95" ca="1" si="71">VLOOKUP($D93,$E$741:$V$815,Q$1,FALSE)*$H93</f>
        <v>11.630054734108114</v>
      </c>
      <c r="R93" s="12">
        <f t="shared" ca="1" si="71"/>
        <v>13.638656937653437</v>
      </c>
      <c r="S93" s="12">
        <f t="shared" ca="1" si="71"/>
        <v>1.6614363905868732</v>
      </c>
      <c r="T93" s="12">
        <f t="shared" ca="1" si="71"/>
        <v>22.700850230988781</v>
      </c>
      <c r="U93" s="12">
        <f t="shared" ca="1" si="71"/>
        <v>0</v>
      </c>
      <c r="V93" s="12">
        <f t="shared" ca="1" si="71"/>
        <v>0.47115360330075529</v>
      </c>
      <c r="W93" s="27" t="str">
        <f t="shared" ref="W93:W124" ca="1" si="72">IF((+K93+L93+M93+P93+T93+U93+V93)-H93=0,"OK",(+K93+L93+M93+P93+T93+U93+V93)-H93)</f>
        <v>OK</v>
      </c>
      <c r="X93" s="3"/>
      <c r="Y93" s="3"/>
      <c r="Z93" s="3"/>
      <c r="AA93" s="3"/>
      <c r="AB93" s="3"/>
      <c r="AC93" s="3"/>
    </row>
    <row r="94" spans="1:29" x14ac:dyDescent="0.2">
      <c r="A94" s="3">
        <f>+A93+1</f>
        <v>3</v>
      </c>
      <c r="B94" s="3" t="s">
        <v>469</v>
      </c>
      <c r="C94" s="3" t="s">
        <v>29</v>
      </c>
      <c r="D94" s="78" t="s">
        <v>323</v>
      </c>
      <c r="E94" s="4" t="s">
        <v>591</v>
      </c>
      <c r="F94" s="11"/>
      <c r="G94" s="78"/>
      <c r="H94" s="2">
        <f>'II-I TOTAL COMPANY'!L94</f>
        <v>0</v>
      </c>
      <c r="I94" s="66">
        <v>0</v>
      </c>
      <c r="J94" s="66">
        <f t="shared" ref="J94:J96" ca="1" si="73">SUM(K94:V94)-M94-P94</f>
        <v>0</v>
      </c>
      <c r="K94" s="12">
        <f t="shared" ca="1" si="69"/>
        <v>0</v>
      </c>
      <c r="L94" s="12">
        <f t="shared" ca="1" si="69"/>
        <v>0</v>
      </c>
      <c r="M94" s="9">
        <f ca="1">SUM(N94:O94)</f>
        <v>0</v>
      </c>
      <c r="N94" s="12">
        <f t="shared" ca="1" si="70"/>
        <v>0</v>
      </c>
      <c r="O94" s="12">
        <f t="shared" ca="1" si="70"/>
        <v>0</v>
      </c>
      <c r="P94" s="9">
        <f t="shared" ca="1" si="67"/>
        <v>0</v>
      </c>
      <c r="Q94" s="12">
        <f t="shared" ca="1" si="71"/>
        <v>0</v>
      </c>
      <c r="R94" s="12">
        <f t="shared" ca="1" si="71"/>
        <v>0</v>
      </c>
      <c r="S94" s="12">
        <f t="shared" ca="1" si="71"/>
        <v>0</v>
      </c>
      <c r="T94" s="12">
        <f t="shared" ca="1" si="71"/>
        <v>0</v>
      </c>
      <c r="U94" s="12">
        <f t="shared" ca="1" si="71"/>
        <v>0</v>
      </c>
      <c r="V94" s="12">
        <f t="shared" ca="1" si="71"/>
        <v>0</v>
      </c>
      <c r="W94" s="27" t="str">
        <f t="shared" ca="1" si="72"/>
        <v>OK</v>
      </c>
      <c r="X94" s="3"/>
      <c r="Y94" s="3"/>
      <c r="Z94" s="3"/>
      <c r="AA94" s="3"/>
      <c r="AB94" s="3"/>
      <c r="AC94" s="3"/>
    </row>
    <row r="95" spans="1:29" x14ac:dyDescent="0.2">
      <c r="A95" s="3">
        <f>+A94+1</f>
        <v>4</v>
      </c>
      <c r="B95" s="3" t="s">
        <v>28</v>
      </c>
      <c r="C95" s="3" t="s">
        <v>29</v>
      </c>
      <c r="D95" s="78" t="s">
        <v>323</v>
      </c>
      <c r="E95" s="4" t="s">
        <v>591</v>
      </c>
      <c r="F95" s="11"/>
      <c r="G95" s="78"/>
      <c r="H95" s="2">
        <f>'II-I TOTAL COMPANY'!L95</f>
        <v>3697795.4057254456</v>
      </c>
      <c r="I95" s="66">
        <v>0</v>
      </c>
      <c r="J95" s="66">
        <f t="shared" ca="1" si="73"/>
        <v>3697795.4057254465</v>
      </c>
      <c r="K95" s="12">
        <f t="shared" ca="1" si="69"/>
        <v>1733551.5331204962</v>
      </c>
      <c r="L95" s="12">
        <f t="shared" ca="1" si="69"/>
        <v>329393.36502337636</v>
      </c>
      <c r="M95" s="9">
        <f ca="1">SUM(N95:O95)</f>
        <v>1307669.4888121111</v>
      </c>
      <c r="N95" s="12">
        <f t="shared" ca="1" si="70"/>
        <v>25511.665852860668</v>
      </c>
      <c r="O95" s="12">
        <f t="shared" ca="1" si="70"/>
        <v>1282157.8229592503</v>
      </c>
      <c r="P95" s="9">
        <f t="shared" ca="1" si="67"/>
        <v>175861.3741148088</v>
      </c>
      <c r="Q95" s="12">
        <f t="shared" ca="1" si="71"/>
        <v>75947.499502620005</v>
      </c>
      <c r="R95" s="12">
        <f t="shared" ca="1" si="71"/>
        <v>89064.231826100207</v>
      </c>
      <c r="S95" s="12">
        <f t="shared" ca="1" si="71"/>
        <v>10849.642786088569</v>
      </c>
      <c r="T95" s="12">
        <f t="shared" ca="1" si="71"/>
        <v>148242.88028247937</v>
      </c>
      <c r="U95" s="12">
        <f t="shared" ca="1" si="71"/>
        <v>0</v>
      </c>
      <c r="V95" s="12">
        <f t="shared" ca="1" si="71"/>
        <v>3076.7643721743716</v>
      </c>
      <c r="W95" s="27">
        <f t="shared" ca="1" si="72"/>
        <v>4.6566128730773926E-10</v>
      </c>
      <c r="X95" s="3"/>
      <c r="Y95" s="3"/>
      <c r="Z95" s="3"/>
      <c r="AA95" s="3"/>
      <c r="AB95" s="3"/>
      <c r="AC95" s="3"/>
    </row>
    <row r="96" spans="1:29" x14ac:dyDescent="0.2">
      <c r="A96" s="3">
        <f>+A95+1</f>
        <v>5</v>
      </c>
      <c r="B96" s="3"/>
      <c r="C96" s="3" t="s">
        <v>30</v>
      </c>
      <c r="D96" s="3"/>
      <c r="E96" s="27"/>
      <c r="F96" s="8"/>
      <c r="G96" s="8"/>
      <c r="H96" s="8">
        <f t="shared" ref="H96:V96" si="74">SUM(H93:H95)</f>
        <v>3698361.6595619218</v>
      </c>
      <c r="I96" s="8">
        <f t="shared" si="74"/>
        <v>0</v>
      </c>
      <c r="J96" s="66">
        <f t="shared" ca="1" si="73"/>
        <v>3698361.6595619228</v>
      </c>
      <c r="K96" s="8">
        <f t="shared" ca="1" si="74"/>
        <v>1733816.9967545411</v>
      </c>
      <c r="L96" s="8">
        <f t="shared" ca="1" si="74"/>
        <v>329443.80595809262</v>
      </c>
      <c r="M96" s="9">
        <f ca="1">SUM(N96:O96)</f>
        <v>1307869.7359279292</v>
      </c>
      <c r="N96" s="8">
        <f t="shared" ca="1" si="74"/>
        <v>25515.572526183292</v>
      </c>
      <c r="O96" s="8">
        <f t="shared" ca="1" si="74"/>
        <v>1282354.163401746</v>
      </c>
      <c r="P96" s="9">
        <f t="shared" ca="1" si="67"/>
        <v>175888.30426287113</v>
      </c>
      <c r="Q96" s="8">
        <f t="shared" ca="1" si="74"/>
        <v>75959.129557354114</v>
      </c>
      <c r="R96" s="8">
        <f t="shared" ca="1" si="74"/>
        <v>89077.870483037856</v>
      </c>
      <c r="S96" s="8">
        <f ca="1">SUM(S93:S95)</f>
        <v>10851.304222479155</v>
      </c>
      <c r="T96" s="8">
        <f t="shared" ca="1" si="74"/>
        <v>148265.58113271036</v>
      </c>
      <c r="U96" s="8">
        <f t="shared" ca="1" si="74"/>
        <v>0</v>
      </c>
      <c r="V96" s="8">
        <f t="shared" ca="1" si="74"/>
        <v>3077.2355257776721</v>
      </c>
      <c r="W96" s="27" t="str">
        <f t="shared" ca="1" si="72"/>
        <v>OK</v>
      </c>
      <c r="X96" s="3"/>
      <c r="Y96" s="3"/>
      <c r="Z96" s="3"/>
      <c r="AA96" s="3"/>
      <c r="AB96" s="3"/>
      <c r="AC96" s="3"/>
    </row>
    <row r="97" spans="1:29" x14ac:dyDescent="0.2">
      <c r="A97" s="3">
        <f>+A96+1</f>
        <v>6</v>
      </c>
      <c r="B97" s="3"/>
      <c r="C97" s="3"/>
      <c r="D97" s="3"/>
      <c r="E97" s="4"/>
      <c r="F97" s="4"/>
      <c r="G97" s="4"/>
      <c r="H97" s="8"/>
      <c r="I97" s="8"/>
      <c r="J97" s="8"/>
      <c r="K97" s="8"/>
      <c r="L97" s="8"/>
      <c r="M97" s="3"/>
      <c r="N97" s="3"/>
      <c r="O97" s="3"/>
      <c r="P97" s="9">
        <f t="shared" si="67"/>
        <v>0</v>
      </c>
      <c r="Q97" s="3"/>
      <c r="R97" s="3"/>
      <c r="S97" s="3"/>
      <c r="T97" s="3"/>
      <c r="U97" s="3"/>
      <c r="V97" s="3"/>
      <c r="W97" s="27" t="str">
        <f t="shared" si="72"/>
        <v>OK</v>
      </c>
      <c r="X97" s="3"/>
      <c r="Y97" s="3"/>
      <c r="Z97" s="3"/>
      <c r="AA97" s="3"/>
      <c r="AB97" s="3"/>
      <c r="AC97" s="3"/>
    </row>
    <row r="98" spans="1:29" x14ac:dyDescent="0.2">
      <c r="A98" s="3">
        <f>1+A97</f>
        <v>7</v>
      </c>
      <c r="B98" s="7" t="s">
        <v>32</v>
      </c>
      <c r="C98" s="3"/>
      <c r="D98" s="3"/>
      <c r="E98" s="4"/>
      <c r="F98" s="4"/>
      <c r="G98" s="4"/>
      <c r="H98" s="8"/>
      <c r="I98" s="8"/>
      <c r="J98" s="8"/>
      <c r="K98" s="8"/>
      <c r="L98" s="8"/>
      <c r="M98" s="3"/>
      <c r="N98" s="3"/>
      <c r="O98" s="3"/>
      <c r="P98" s="9">
        <f t="shared" si="67"/>
        <v>0</v>
      </c>
      <c r="Q98" s="3"/>
      <c r="R98" s="3"/>
      <c r="S98" s="3"/>
      <c r="T98" s="3"/>
      <c r="U98" s="3"/>
      <c r="V98" s="3"/>
      <c r="W98" s="27" t="str">
        <f t="shared" si="72"/>
        <v>OK</v>
      </c>
      <c r="X98" s="3"/>
      <c r="Y98" s="3"/>
      <c r="Z98" s="3"/>
      <c r="AA98" s="3"/>
      <c r="AB98" s="3"/>
      <c r="AC98" s="3"/>
    </row>
    <row r="99" spans="1:29" x14ac:dyDescent="0.2">
      <c r="A99" s="3">
        <f>1+A98</f>
        <v>8</v>
      </c>
      <c r="B99" s="3"/>
      <c r="C99" s="3"/>
      <c r="D99" s="3"/>
      <c r="E99" s="4"/>
      <c r="F99" s="4"/>
      <c r="G99" s="4"/>
      <c r="H99" s="8"/>
      <c r="I99" s="8"/>
      <c r="J99" s="8"/>
      <c r="K99" s="8"/>
      <c r="L99" s="8"/>
      <c r="M99" s="3"/>
      <c r="N99" s="3"/>
      <c r="O99" s="3"/>
      <c r="P99" s="9">
        <f t="shared" si="67"/>
        <v>0</v>
      </c>
      <c r="Q99" s="3"/>
      <c r="R99" s="3"/>
      <c r="S99" s="3"/>
      <c r="T99" s="3"/>
      <c r="U99" s="3"/>
      <c r="V99" s="3"/>
      <c r="W99" s="27" t="str">
        <f t="shared" si="72"/>
        <v>OK</v>
      </c>
      <c r="X99" s="3"/>
      <c r="Y99" s="3"/>
      <c r="Z99" s="3"/>
      <c r="AA99" s="3"/>
      <c r="AB99" s="3"/>
      <c r="AC99" s="3"/>
    </row>
    <row r="100" spans="1:29" x14ac:dyDescent="0.2">
      <c r="A100" s="3">
        <f>1+A99</f>
        <v>9</v>
      </c>
      <c r="B100" s="3" t="s">
        <v>33</v>
      </c>
      <c r="C100" s="3"/>
      <c r="D100" s="3"/>
      <c r="E100" s="4"/>
      <c r="F100" s="4"/>
      <c r="G100" s="4"/>
      <c r="H100" s="8"/>
      <c r="I100" s="8"/>
      <c r="J100" s="8"/>
      <c r="K100" s="8"/>
      <c r="L100" s="8"/>
      <c r="M100" s="3"/>
      <c r="N100" s="3"/>
      <c r="O100" s="3"/>
      <c r="P100" s="9">
        <f t="shared" si="67"/>
        <v>0</v>
      </c>
      <c r="Q100" s="3"/>
      <c r="R100" s="3"/>
      <c r="S100" s="3"/>
      <c r="T100" s="3"/>
      <c r="U100" s="3"/>
      <c r="V100" s="3"/>
      <c r="W100" s="27" t="str">
        <f t="shared" si="72"/>
        <v>OK</v>
      </c>
      <c r="X100" s="3"/>
      <c r="Y100" s="3"/>
      <c r="Z100" s="3"/>
      <c r="AA100" s="3"/>
      <c r="AB100" s="3"/>
      <c r="AC100" s="3"/>
    </row>
    <row r="101" spans="1:29" x14ac:dyDescent="0.2">
      <c r="A101" s="3">
        <f t="shared" ref="A101:A147" si="75">+A100+1</f>
        <v>10</v>
      </c>
      <c r="B101" s="3" t="s">
        <v>34</v>
      </c>
      <c r="C101" s="3" t="s">
        <v>35</v>
      </c>
      <c r="D101" s="78" t="s">
        <v>368</v>
      </c>
      <c r="E101" s="4" t="s">
        <v>591</v>
      </c>
      <c r="F101" s="11"/>
      <c r="G101" s="11"/>
      <c r="H101" s="2">
        <f>'II-I TOTAL COMPANY'!L101</f>
        <v>0</v>
      </c>
      <c r="I101" s="66">
        <v>0</v>
      </c>
      <c r="J101" s="66">
        <f>SUM(K101:V101)-M101-P101</f>
        <v>0</v>
      </c>
      <c r="K101" s="12">
        <f t="shared" ref="K101:L109" si="76">VLOOKUP($D101,$E$741:$V$815,K$1,FALSE)*$H101</f>
        <v>0</v>
      </c>
      <c r="L101" s="12">
        <f t="shared" si="76"/>
        <v>0</v>
      </c>
      <c r="M101" s="9">
        <f t="shared" ref="M101:M109" si="77">SUM(N101:O101)</f>
        <v>0</v>
      </c>
      <c r="N101" s="12">
        <f t="shared" ref="N101:O109" si="78">VLOOKUP($D101,$E$741:$V$815,N$1,FALSE)*$H101</f>
        <v>0</v>
      </c>
      <c r="O101" s="12">
        <f t="shared" si="78"/>
        <v>0</v>
      </c>
      <c r="P101" s="9">
        <f t="shared" si="67"/>
        <v>0</v>
      </c>
      <c r="Q101" s="12">
        <f t="shared" ref="Q101:V109" si="79">VLOOKUP($D101,$E$741:$V$815,Q$1,FALSE)*$H101</f>
        <v>0</v>
      </c>
      <c r="R101" s="12">
        <f t="shared" si="79"/>
        <v>0</v>
      </c>
      <c r="S101" s="12">
        <f t="shared" si="79"/>
        <v>0</v>
      </c>
      <c r="T101" s="12">
        <f t="shared" si="79"/>
        <v>0</v>
      </c>
      <c r="U101" s="12">
        <f t="shared" si="79"/>
        <v>0</v>
      </c>
      <c r="V101" s="12">
        <f t="shared" si="79"/>
        <v>0</v>
      </c>
      <c r="W101" s="27" t="str">
        <f t="shared" si="72"/>
        <v>OK</v>
      </c>
      <c r="X101" s="3"/>
      <c r="Y101" s="3"/>
      <c r="Z101" s="3"/>
      <c r="AA101" s="3"/>
      <c r="AB101" s="3"/>
      <c r="AC101" s="3"/>
    </row>
    <row r="102" spans="1:29" x14ac:dyDescent="0.2">
      <c r="A102" s="3">
        <f t="shared" si="75"/>
        <v>11</v>
      </c>
      <c r="B102" s="3" t="s">
        <v>36</v>
      </c>
      <c r="C102" s="3" t="s">
        <v>31</v>
      </c>
      <c r="D102" s="78" t="s">
        <v>368</v>
      </c>
      <c r="E102" s="4" t="s">
        <v>591</v>
      </c>
      <c r="F102" s="11"/>
      <c r="G102" s="11"/>
      <c r="H102" s="2">
        <f>'II-I TOTAL COMPANY'!L102</f>
        <v>0</v>
      </c>
      <c r="I102" s="66">
        <v>0</v>
      </c>
      <c r="J102" s="66">
        <f t="shared" ref="J102:J109" si="80">SUM(K102:V102)-M102-P102</f>
        <v>0</v>
      </c>
      <c r="K102" s="12">
        <f t="shared" si="76"/>
        <v>0</v>
      </c>
      <c r="L102" s="12">
        <f t="shared" si="76"/>
        <v>0</v>
      </c>
      <c r="M102" s="9">
        <f t="shared" si="77"/>
        <v>0</v>
      </c>
      <c r="N102" s="12">
        <f t="shared" si="78"/>
        <v>0</v>
      </c>
      <c r="O102" s="12">
        <f t="shared" si="78"/>
        <v>0</v>
      </c>
      <c r="P102" s="9">
        <f t="shared" si="67"/>
        <v>0</v>
      </c>
      <c r="Q102" s="12">
        <f t="shared" si="79"/>
        <v>0</v>
      </c>
      <c r="R102" s="12">
        <f t="shared" si="79"/>
        <v>0</v>
      </c>
      <c r="S102" s="12">
        <f t="shared" si="79"/>
        <v>0</v>
      </c>
      <c r="T102" s="12">
        <f t="shared" si="79"/>
        <v>0</v>
      </c>
      <c r="U102" s="12">
        <f t="shared" si="79"/>
        <v>0</v>
      </c>
      <c r="V102" s="12">
        <f t="shared" si="79"/>
        <v>0</v>
      </c>
      <c r="W102" s="27" t="str">
        <f t="shared" si="72"/>
        <v>OK</v>
      </c>
      <c r="X102" s="3"/>
      <c r="Y102" s="3"/>
      <c r="Z102" s="3"/>
      <c r="AA102" s="3"/>
      <c r="AB102" s="3"/>
      <c r="AC102" s="3"/>
    </row>
    <row r="103" spans="1:29" x14ac:dyDescent="0.2">
      <c r="A103" s="3">
        <f t="shared" si="75"/>
        <v>12</v>
      </c>
      <c r="B103" s="3" t="s">
        <v>37</v>
      </c>
      <c r="C103" s="3" t="s">
        <v>38</v>
      </c>
      <c r="D103" s="78" t="s">
        <v>368</v>
      </c>
      <c r="E103" s="4" t="s">
        <v>591</v>
      </c>
      <c r="F103" s="11"/>
      <c r="G103" s="11"/>
      <c r="H103" s="2">
        <f>'II-I TOTAL COMPANY'!L103</f>
        <v>0</v>
      </c>
      <c r="I103" s="66">
        <v>0</v>
      </c>
      <c r="J103" s="66">
        <f t="shared" si="80"/>
        <v>0</v>
      </c>
      <c r="K103" s="12">
        <f t="shared" si="76"/>
        <v>0</v>
      </c>
      <c r="L103" s="12">
        <f t="shared" si="76"/>
        <v>0</v>
      </c>
      <c r="M103" s="9">
        <f t="shared" si="77"/>
        <v>0</v>
      </c>
      <c r="N103" s="12">
        <f t="shared" si="78"/>
        <v>0</v>
      </c>
      <c r="O103" s="12">
        <f t="shared" si="78"/>
        <v>0</v>
      </c>
      <c r="P103" s="9">
        <f t="shared" si="67"/>
        <v>0</v>
      </c>
      <c r="Q103" s="12">
        <f t="shared" si="79"/>
        <v>0</v>
      </c>
      <c r="R103" s="12">
        <f t="shared" si="79"/>
        <v>0</v>
      </c>
      <c r="S103" s="12">
        <f t="shared" si="79"/>
        <v>0</v>
      </c>
      <c r="T103" s="12">
        <f t="shared" si="79"/>
        <v>0</v>
      </c>
      <c r="U103" s="12">
        <f t="shared" si="79"/>
        <v>0</v>
      </c>
      <c r="V103" s="12">
        <f t="shared" si="79"/>
        <v>0</v>
      </c>
      <c r="W103" s="27" t="str">
        <f t="shared" si="72"/>
        <v>OK</v>
      </c>
      <c r="X103" s="3"/>
      <c r="Y103" s="3"/>
      <c r="Z103" s="3"/>
      <c r="AA103" s="3"/>
      <c r="AB103" s="3"/>
      <c r="AC103" s="3"/>
    </row>
    <row r="104" spans="1:29" x14ac:dyDescent="0.2">
      <c r="A104" s="3">
        <f t="shared" si="75"/>
        <v>13</v>
      </c>
      <c r="B104" s="3" t="s">
        <v>39</v>
      </c>
      <c r="C104" s="3" t="s">
        <v>40</v>
      </c>
      <c r="D104" s="78" t="s">
        <v>368</v>
      </c>
      <c r="E104" s="4" t="s">
        <v>591</v>
      </c>
      <c r="F104" s="11"/>
      <c r="G104" s="11"/>
      <c r="H104" s="2">
        <f>'II-I TOTAL COMPANY'!L104</f>
        <v>0</v>
      </c>
      <c r="I104" s="66">
        <v>0</v>
      </c>
      <c r="J104" s="66">
        <f t="shared" si="80"/>
        <v>0</v>
      </c>
      <c r="K104" s="12">
        <f t="shared" si="76"/>
        <v>0</v>
      </c>
      <c r="L104" s="12">
        <f t="shared" si="76"/>
        <v>0</v>
      </c>
      <c r="M104" s="9">
        <f t="shared" si="77"/>
        <v>0</v>
      </c>
      <c r="N104" s="12">
        <f t="shared" si="78"/>
        <v>0</v>
      </c>
      <c r="O104" s="12">
        <f t="shared" si="78"/>
        <v>0</v>
      </c>
      <c r="P104" s="9">
        <f t="shared" si="67"/>
        <v>0</v>
      </c>
      <c r="Q104" s="12">
        <f t="shared" si="79"/>
        <v>0</v>
      </c>
      <c r="R104" s="12">
        <f t="shared" si="79"/>
        <v>0</v>
      </c>
      <c r="S104" s="12">
        <f t="shared" si="79"/>
        <v>0</v>
      </c>
      <c r="T104" s="12">
        <f t="shared" si="79"/>
        <v>0</v>
      </c>
      <c r="U104" s="12">
        <f t="shared" si="79"/>
        <v>0</v>
      </c>
      <c r="V104" s="12">
        <f t="shared" si="79"/>
        <v>0</v>
      </c>
      <c r="W104" s="27" t="str">
        <f t="shared" si="72"/>
        <v>OK</v>
      </c>
      <c r="X104" s="3"/>
      <c r="Y104" s="3"/>
      <c r="Z104" s="3"/>
      <c r="AA104" s="3"/>
      <c r="AB104" s="3"/>
      <c r="AC104" s="3"/>
    </row>
    <row r="105" spans="1:29" x14ac:dyDescent="0.2">
      <c r="A105" s="3">
        <f t="shared" si="75"/>
        <v>14</v>
      </c>
      <c r="B105" s="3" t="s">
        <v>41</v>
      </c>
      <c r="C105" s="3" t="s">
        <v>42</v>
      </c>
      <c r="D105" s="78" t="s">
        <v>368</v>
      </c>
      <c r="E105" s="4" t="s">
        <v>591</v>
      </c>
      <c r="F105" s="11"/>
      <c r="G105" s="11"/>
      <c r="H105" s="2">
        <f>'II-I TOTAL COMPANY'!L105</f>
        <v>0</v>
      </c>
      <c r="I105" s="66">
        <v>0</v>
      </c>
      <c r="J105" s="66">
        <f t="shared" si="80"/>
        <v>0</v>
      </c>
      <c r="K105" s="12">
        <f t="shared" si="76"/>
        <v>0</v>
      </c>
      <c r="L105" s="12">
        <f t="shared" si="76"/>
        <v>0</v>
      </c>
      <c r="M105" s="9">
        <f t="shared" si="77"/>
        <v>0</v>
      </c>
      <c r="N105" s="12">
        <f t="shared" si="78"/>
        <v>0</v>
      </c>
      <c r="O105" s="12">
        <f t="shared" si="78"/>
        <v>0</v>
      </c>
      <c r="P105" s="9">
        <f t="shared" si="67"/>
        <v>0</v>
      </c>
      <c r="Q105" s="12">
        <f t="shared" si="79"/>
        <v>0</v>
      </c>
      <c r="R105" s="12">
        <f t="shared" si="79"/>
        <v>0</v>
      </c>
      <c r="S105" s="12">
        <f t="shared" si="79"/>
        <v>0</v>
      </c>
      <c r="T105" s="12">
        <f t="shared" si="79"/>
        <v>0</v>
      </c>
      <c r="U105" s="12">
        <f t="shared" si="79"/>
        <v>0</v>
      </c>
      <c r="V105" s="12">
        <f t="shared" si="79"/>
        <v>0</v>
      </c>
      <c r="W105" s="27" t="str">
        <f t="shared" si="72"/>
        <v>OK</v>
      </c>
      <c r="X105" s="3"/>
      <c r="Y105" s="3"/>
      <c r="Z105" s="3"/>
      <c r="AA105" s="3"/>
      <c r="AB105" s="3"/>
      <c r="AC105" s="3"/>
    </row>
    <row r="106" spans="1:29" x14ac:dyDescent="0.2">
      <c r="A106" s="3">
        <f t="shared" si="75"/>
        <v>15</v>
      </c>
      <c r="B106" s="3" t="s">
        <v>43</v>
      </c>
      <c r="C106" s="3" t="s">
        <v>44</v>
      </c>
      <c r="D106" s="78" t="s">
        <v>368</v>
      </c>
      <c r="E106" s="4" t="s">
        <v>591</v>
      </c>
      <c r="F106" s="11"/>
      <c r="G106" s="11"/>
      <c r="H106" s="2">
        <f>'II-I TOTAL COMPANY'!L106</f>
        <v>0</v>
      </c>
      <c r="I106" s="66">
        <v>0</v>
      </c>
      <c r="J106" s="66">
        <f t="shared" si="80"/>
        <v>0</v>
      </c>
      <c r="K106" s="12">
        <f t="shared" si="76"/>
        <v>0</v>
      </c>
      <c r="L106" s="12">
        <f t="shared" si="76"/>
        <v>0</v>
      </c>
      <c r="M106" s="9">
        <f t="shared" si="77"/>
        <v>0</v>
      </c>
      <c r="N106" s="12">
        <f t="shared" si="78"/>
        <v>0</v>
      </c>
      <c r="O106" s="12">
        <f t="shared" si="78"/>
        <v>0</v>
      </c>
      <c r="P106" s="9">
        <f t="shared" si="67"/>
        <v>0</v>
      </c>
      <c r="Q106" s="12">
        <f t="shared" si="79"/>
        <v>0</v>
      </c>
      <c r="R106" s="12">
        <f t="shared" si="79"/>
        <v>0</v>
      </c>
      <c r="S106" s="12">
        <f t="shared" si="79"/>
        <v>0</v>
      </c>
      <c r="T106" s="12">
        <f t="shared" si="79"/>
        <v>0</v>
      </c>
      <c r="U106" s="12">
        <f t="shared" si="79"/>
        <v>0</v>
      </c>
      <c r="V106" s="12">
        <f t="shared" si="79"/>
        <v>0</v>
      </c>
      <c r="W106" s="27" t="str">
        <f t="shared" si="72"/>
        <v>OK</v>
      </c>
      <c r="X106" s="3"/>
      <c r="Y106" s="3"/>
      <c r="Z106" s="3"/>
      <c r="AA106" s="3"/>
      <c r="AB106" s="3"/>
      <c r="AC106" s="3"/>
    </row>
    <row r="107" spans="1:29" x14ac:dyDescent="0.2">
      <c r="A107" s="3">
        <f t="shared" si="75"/>
        <v>16</v>
      </c>
      <c r="B107" s="3" t="s">
        <v>45</v>
      </c>
      <c r="C107" s="3" t="s">
        <v>46</v>
      </c>
      <c r="D107" s="78" t="s">
        <v>368</v>
      </c>
      <c r="E107" s="4" t="s">
        <v>591</v>
      </c>
      <c r="F107" s="11"/>
      <c r="G107" s="11"/>
      <c r="H107" s="2">
        <f>'II-I TOTAL COMPANY'!L107</f>
        <v>0</v>
      </c>
      <c r="I107" s="66">
        <v>0</v>
      </c>
      <c r="J107" s="66">
        <f t="shared" si="80"/>
        <v>0</v>
      </c>
      <c r="K107" s="12">
        <f t="shared" si="76"/>
        <v>0</v>
      </c>
      <c r="L107" s="12">
        <f t="shared" si="76"/>
        <v>0</v>
      </c>
      <c r="M107" s="9">
        <f t="shared" si="77"/>
        <v>0</v>
      </c>
      <c r="N107" s="12">
        <f t="shared" si="78"/>
        <v>0</v>
      </c>
      <c r="O107" s="12">
        <f t="shared" si="78"/>
        <v>0</v>
      </c>
      <c r="P107" s="9">
        <f t="shared" si="67"/>
        <v>0</v>
      </c>
      <c r="Q107" s="12">
        <f t="shared" si="79"/>
        <v>0</v>
      </c>
      <c r="R107" s="12">
        <f t="shared" si="79"/>
        <v>0</v>
      </c>
      <c r="S107" s="12">
        <f t="shared" si="79"/>
        <v>0</v>
      </c>
      <c r="T107" s="12">
        <f t="shared" si="79"/>
        <v>0</v>
      </c>
      <c r="U107" s="12">
        <f t="shared" si="79"/>
        <v>0</v>
      </c>
      <c r="V107" s="12">
        <f t="shared" si="79"/>
        <v>0</v>
      </c>
      <c r="W107" s="27" t="str">
        <f t="shared" si="72"/>
        <v>OK</v>
      </c>
      <c r="X107" s="3"/>
      <c r="Y107" s="3"/>
      <c r="Z107" s="3"/>
      <c r="AA107" s="3"/>
      <c r="AB107" s="3"/>
      <c r="AC107" s="3"/>
    </row>
    <row r="108" spans="1:29" x14ac:dyDescent="0.2">
      <c r="A108" s="3">
        <f t="shared" si="75"/>
        <v>17</v>
      </c>
      <c r="B108" s="3" t="s">
        <v>47</v>
      </c>
      <c r="C108" s="3" t="s">
        <v>48</v>
      </c>
      <c r="D108" s="78" t="s">
        <v>368</v>
      </c>
      <c r="E108" s="4" t="s">
        <v>591</v>
      </c>
      <c r="F108" s="11"/>
      <c r="G108" s="11"/>
      <c r="H108" s="2">
        <f>'II-I TOTAL COMPANY'!L108</f>
        <v>0</v>
      </c>
      <c r="I108" s="66">
        <v>0</v>
      </c>
      <c r="J108" s="66">
        <f t="shared" si="80"/>
        <v>0</v>
      </c>
      <c r="K108" s="12">
        <f t="shared" si="76"/>
        <v>0</v>
      </c>
      <c r="L108" s="12">
        <f t="shared" si="76"/>
        <v>0</v>
      </c>
      <c r="M108" s="9">
        <f t="shared" si="77"/>
        <v>0</v>
      </c>
      <c r="N108" s="12">
        <f t="shared" si="78"/>
        <v>0</v>
      </c>
      <c r="O108" s="12">
        <f t="shared" si="78"/>
        <v>0</v>
      </c>
      <c r="P108" s="9">
        <f t="shared" si="67"/>
        <v>0</v>
      </c>
      <c r="Q108" s="12">
        <f t="shared" si="79"/>
        <v>0</v>
      </c>
      <c r="R108" s="12">
        <f t="shared" si="79"/>
        <v>0</v>
      </c>
      <c r="S108" s="12">
        <f t="shared" si="79"/>
        <v>0</v>
      </c>
      <c r="T108" s="12">
        <f t="shared" si="79"/>
        <v>0</v>
      </c>
      <c r="U108" s="12">
        <f t="shared" si="79"/>
        <v>0</v>
      </c>
      <c r="V108" s="12">
        <f t="shared" si="79"/>
        <v>0</v>
      </c>
      <c r="W108" s="27" t="str">
        <f t="shared" si="72"/>
        <v>OK</v>
      </c>
      <c r="X108" s="3"/>
      <c r="Y108" s="3"/>
      <c r="Z108" s="3"/>
      <c r="AA108" s="3"/>
      <c r="AB108" s="3"/>
      <c r="AC108" s="3"/>
    </row>
    <row r="109" spans="1:29" x14ac:dyDescent="0.2">
      <c r="A109" s="3">
        <f t="shared" si="75"/>
        <v>18</v>
      </c>
      <c r="B109" s="3" t="s">
        <v>49</v>
      </c>
      <c r="C109" s="3" t="s">
        <v>50</v>
      </c>
      <c r="D109" s="78" t="s">
        <v>368</v>
      </c>
      <c r="E109" s="4" t="s">
        <v>591</v>
      </c>
      <c r="F109" s="11"/>
      <c r="G109" s="11"/>
      <c r="H109" s="2">
        <f>'II-I TOTAL COMPANY'!L109</f>
        <v>0</v>
      </c>
      <c r="I109" s="66">
        <v>0</v>
      </c>
      <c r="J109" s="66">
        <f t="shared" si="80"/>
        <v>0</v>
      </c>
      <c r="K109" s="12">
        <f t="shared" si="76"/>
        <v>0</v>
      </c>
      <c r="L109" s="12">
        <f t="shared" si="76"/>
        <v>0</v>
      </c>
      <c r="M109" s="9">
        <f t="shared" si="77"/>
        <v>0</v>
      </c>
      <c r="N109" s="12">
        <f t="shared" si="78"/>
        <v>0</v>
      </c>
      <c r="O109" s="12">
        <f t="shared" si="78"/>
        <v>0</v>
      </c>
      <c r="P109" s="9">
        <f t="shared" si="67"/>
        <v>0</v>
      </c>
      <c r="Q109" s="12">
        <f t="shared" si="79"/>
        <v>0</v>
      </c>
      <c r="R109" s="12">
        <f t="shared" si="79"/>
        <v>0</v>
      </c>
      <c r="S109" s="12">
        <f t="shared" si="79"/>
        <v>0</v>
      </c>
      <c r="T109" s="12">
        <f t="shared" si="79"/>
        <v>0</v>
      </c>
      <c r="U109" s="12">
        <f t="shared" si="79"/>
        <v>0</v>
      </c>
      <c r="V109" s="12">
        <f t="shared" si="79"/>
        <v>0</v>
      </c>
      <c r="W109" s="27" t="str">
        <f t="shared" si="72"/>
        <v>OK</v>
      </c>
      <c r="X109" s="3"/>
      <c r="Y109" s="3"/>
      <c r="Z109" s="3"/>
      <c r="AA109" s="3"/>
      <c r="AB109" s="3"/>
      <c r="AC109" s="3"/>
    </row>
    <row r="110" spans="1:29" x14ac:dyDescent="0.2">
      <c r="A110" s="3">
        <f t="shared" si="75"/>
        <v>19</v>
      </c>
      <c r="B110" s="3"/>
      <c r="C110" s="3"/>
      <c r="D110" s="78"/>
      <c r="E110" s="4"/>
      <c r="F110" s="4"/>
      <c r="G110" s="4"/>
      <c r="H110" s="2"/>
      <c r="I110" s="66"/>
      <c r="J110" s="66"/>
      <c r="K110" s="12"/>
      <c r="L110" s="12"/>
      <c r="M110" s="12"/>
      <c r="N110" s="12"/>
      <c r="O110" s="12"/>
      <c r="P110" s="9">
        <f t="shared" si="67"/>
        <v>0</v>
      </c>
      <c r="Q110" s="12"/>
      <c r="R110" s="12"/>
      <c r="S110" s="12"/>
      <c r="T110" s="12"/>
      <c r="U110" s="12"/>
      <c r="V110" s="12"/>
      <c r="W110" s="27" t="str">
        <f t="shared" si="72"/>
        <v>OK</v>
      </c>
      <c r="X110" s="3"/>
      <c r="Y110" s="3"/>
      <c r="Z110" s="3"/>
      <c r="AA110" s="3"/>
      <c r="AB110" s="3"/>
      <c r="AC110" s="3"/>
    </row>
    <row r="111" spans="1:29" x14ac:dyDescent="0.2">
      <c r="A111" s="3">
        <f t="shared" si="75"/>
        <v>20</v>
      </c>
      <c r="B111" s="3"/>
      <c r="C111" s="3" t="s">
        <v>51</v>
      </c>
      <c r="D111" s="3"/>
      <c r="E111" s="4"/>
      <c r="F111" s="8"/>
      <c r="G111" s="8"/>
      <c r="H111" s="8">
        <f>SUM(H101:H109)</f>
        <v>0</v>
      </c>
      <c r="I111" s="8">
        <f>SUM(I101:I109)</f>
        <v>0</v>
      </c>
      <c r="J111" s="66">
        <f>SUM(K111:V111)-M111-P111</f>
        <v>0</v>
      </c>
      <c r="K111" s="8">
        <f>SUM(K101:K109)</f>
        <v>0</v>
      </c>
      <c r="L111" s="8">
        <f>SUM(L101:L109)</f>
        <v>0</v>
      </c>
      <c r="M111" s="9">
        <f>SUM(N111:O111)</f>
        <v>0</v>
      </c>
      <c r="N111" s="8">
        <f>SUM(N101:N109)</f>
        <v>0</v>
      </c>
      <c r="O111" s="8">
        <f>SUM(O101:O109)</f>
        <v>0</v>
      </c>
      <c r="P111" s="9">
        <f t="shared" si="67"/>
        <v>0</v>
      </c>
      <c r="Q111" s="8">
        <f t="shared" ref="Q111:V111" si="81">SUM(Q101:Q109)</f>
        <v>0</v>
      </c>
      <c r="R111" s="8">
        <f t="shared" si="81"/>
        <v>0</v>
      </c>
      <c r="S111" s="8">
        <f t="shared" si="81"/>
        <v>0</v>
      </c>
      <c r="T111" s="8">
        <f t="shared" si="81"/>
        <v>0</v>
      </c>
      <c r="U111" s="8">
        <f t="shared" si="81"/>
        <v>0</v>
      </c>
      <c r="V111" s="8">
        <f t="shared" si="81"/>
        <v>0</v>
      </c>
      <c r="W111" s="27" t="str">
        <f t="shared" si="72"/>
        <v>OK</v>
      </c>
      <c r="X111" s="3"/>
      <c r="Y111" s="3"/>
      <c r="Z111" s="3"/>
      <c r="AA111" s="3"/>
      <c r="AB111" s="3"/>
      <c r="AC111" s="3"/>
    </row>
    <row r="112" spans="1:29" x14ac:dyDescent="0.2">
      <c r="A112" s="3">
        <f t="shared" si="75"/>
        <v>21</v>
      </c>
      <c r="B112" s="3"/>
      <c r="C112" s="3"/>
      <c r="D112" s="3"/>
      <c r="E112" s="4"/>
      <c r="F112" s="4"/>
      <c r="G112" s="4"/>
      <c r="H112" s="8"/>
      <c r="I112" s="8"/>
      <c r="J112" s="8"/>
      <c r="K112" s="8"/>
      <c r="L112" s="8"/>
      <c r="M112" s="3"/>
      <c r="N112" s="3"/>
      <c r="O112" s="3"/>
      <c r="P112" s="9">
        <f t="shared" si="67"/>
        <v>0</v>
      </c>
      <c r="Q112" s="3"/>
      <c r="R112" s="3"/>
      <c r="S112" s="3"/>
      <c r="T112" s="3"/>
      <c r="U112" s="3"/>
      <c r="V112" s="3"/>
      <c r="W112" s="27" t="str">
        <f t="shared" si="72"/>
        <v>OK</v>
      </c>
      <c r="X112" s="3"/>
      <c r="Y112" s="3"/>
      <c r="Z112" s="3"/>
      <c r="AA112" s="3"/>
      <c r="AB112" s="3"/>
      <c r="AC112" s="3"/>
    </row>
    <row r="113" spans="1:29" x14ac:dyDescent="0.2">
      <c r="A113" s="3">
        <f t="shared" si="75"/>
        <v>22</v>
      </c>
      <c r="B113" s="3" t="s">
        <v>52</v>
      </c>
      <c r="C113" s="3"/>
      <c r="D113" s="3"/>
      <c r="E113" s="4"/>
      <c r="F113" s="4"/>
      <c r="G113" s="4"/>
      <c r="H113" s="8"/>
      <c r="I113" s="8"/>
      <c r="J113" s="8"/>
      <c r="K113" s="8"/>
      <c r="L113" s="8"/>
      <c r="M113" s="3"/>
      <c r="N113" s="3"/>
      <c r="O113" s="3"/>
      <c r="P113" s="9">
        <f t="shared" si="67"/>
        <v>0</v>
      </c>
      <c r="Q113" s="3"/>
      <c r="R113" s="3"/>
      <c r="S113" s="3"/>
      <c r="T113" s="3"/>
      <c r="U113" s="3"/>
      <c r="V113" s="3"/>
      <c r="W113" s="27" t="str">
        <f t="shared" si="72"/>
        <v>OK</v>
      </c>
      <c r="X113" s="3"/>
      <c r="Y113" s="3"/>
      <c r="Z113" s="3"/>
      <c r="AA113" s="3"/>
      <c r="AB113" s="3"/>
      <c r="AC113" s="3"/>
    </row>
    <row r="114" spans="1:29" x14ac:dyDescent="0.2">
      <c r="A114" s="3">
        <f t="shared" si="75"/>
        <v>23</v>
      </c>
      <c r="B114" s="3" t="s">
        <v>53</v>
      </c>
      <c r="C114" s="3" t="s">
        <v>35</v>
      </c>
      <c r="D114" s="78" t="s">
        <v>368</v>
      </c>
      <c r="E114" s="4" t="s">
        <v>591</v>
      </c>
      <c r="F114" s="11"/>
      <c r="G114" s="11"/>
      <c r="H114" s="2">
        <f>'II-I TOTAL COMPANY'!L114</f>
        <v>0</v>
      </c>
      <c r="I114" s="66">
        <v>0</v>
      </c>
      <c r="J114" s="66">
        <f>SUM(K114:V114)-M114-P114</f>
        <v>0</v>
      </c>
      <c r="K114" s="12">
        <f t="shared" ref="K114:L117" si="82">VLOOKUP($D114,$E$741:$V$815,K$1,FALSE)*$H114</f>
        <v>0</v>
      </c>
      <c r="L114" s="12">
        <f t="shared" si="82"/>
        <v>0</v>
      </c>
      <c r="M114" s="9">
        <f>SUM(N114:O114)</f>
        <v>0</v>
      </c>
      <c r="N114" s="12">
        <f t="shared" ref="N114:O117" si="83">VLOOKUP($D114,$E$741:$V$815,N$1,FALSE)*$H114</f>
        <v>0</v>
      </c>
      <c r="O114" s="12">
        <f t="shared" si="83"/>
        <v>0</v>
      </c>
      <c r="P114" s="9">
        <f t="shared" si="67"/>
        <v>0</v>
      </c>
      <c r="Q114" s="12">
        <f t="shared" ref="Q114:V117" si="84">VLOOKUP($D114,$E$741:$V$815,Q$1,FALSE)*$H114</f>
        <v>0</v>
      </c>
      <c r="R114" s="12">
        <f t="shared" si="84"/>
        <v>0</v>
      </c>
      <c r="S114" s="12">
        <f t="shared" si="84"/>
        <v>0</v>
      </c>
      <c r="T114" s="12">
        <f t="shared" si="84"/>
        <v>0</v>
      </c>
      <c r="U114" s="12">
        <f t="shared" si="84"/>
        <v>0</v>
      </c>
      <c r="V114" s="12">
        <f t="shared" si="84"/>
        <v>0</v>
      </c>
      <c r="W114" s="27" t="str">
        <f t="shared" si="72"/>
        <v>OK</v>
      </c>
      <c r="X114" s="3"/>
      <c r="Y114" s="3"/>
      <c r="Z114" s="3"/>
      <c r="AA114" s="3"/>
      <c r="AB114" s="3"/>
      <c r="AC114" s="3"/>
    </row>
    <row r="115" spans="1:29" x14ac:dyDescent="0.2">
      <c r="A115" s="3">
        <f t="shared" si="75"/>
        <v>24</v>
      </c>
      <c r="B115" s="3" t="s">
        <v>54</v>
      </c>
      <c r="C115" s="3" t="s">
        <v>31</v>
      </c>
      <c r="D115" s="78" t="s">
        <v>368</v>
      </c>
      <c r="E115" s="4" t="s">
        <v>591</v>
      </c>
      <c r="F115" s="11"/>
      <c r="G115" s="11"/>
      <c r="H115" s="2">
        <f>'II-I TOTAL COMPANY'!L115</f>
        <v>0</v>
      </c>
      <c r="I115" s="66">
        <v>0</v>
      </c>
      <c r="J115" s="66">
        <f t="shared" ref="J115:J117" si="85">SUM(K115:V115)-M115-P115</f>
        <v>0</v>
      </c>
      <c r="K115" s="12">
        <f t="shared" si="82"/>
        <v>0</v>
      </c>
      <c r="L115" s="12">
        <f t="shared" si="82"/>
        <v>0</v>
      </c>
      <c r="M115" s="9">
        <f>SUM(N115:O115)</f>
        <v>0</v>
      </c>
      <c r="N115" s="12">
        <f t="shared" si="83"/>
        <v>0</v>
      </c>
      <c r="O115" s="12">
        <f t="shared" si="83"/>
        <v>0</v>
      </c>
      <c r="P115" s="9">
        <f t="shared" si="67"/>
        <v>0</v>
      </c>
      <c r="Q115" s="12">
        <f t="shared" si="84"/>
        <v>0</v>
      </c>
      <c r="R115" s="12">
        <f t="shared" si="84"/>
        <v>0</v>
      </c>
      <c r="S115" s="12">
        <f t="shared" si="84"/>
        <v>0</v>
      </c>
      <c r="T115" s="12">
        <f t="shared" si="84"/>
        <v>0</v>
      </c>
      <c r="U115" s="12">
        <f t="shared" si="84"/>
        <v>0</v>
      </c>
      <c r="V115" s="12">
        <f t="shared" si="84"/>
        <v>0</v>
      </c>
      <c r="W115" s="27" t="str">
        <f t="shared" si="72"/>
        <v>OK</v>
      </c>
      <c r="X115" s="3"/>
      <c r="Y115" s="3"/>
      <c r="Z115" s="3"/>
      <c r="AA115" s="3"/>
      <c r="AB115" s="3"/>
      <c r="AC115" s="3"/>
    </row>
    <row r="116" spans="1:29" x14ac:dyDescent="0.2">
      <c r="A116" s="3">
        <f t="shared" si="75"/>
        <v>25</v>
      </c>
      <c r="B116" s="3" t="s">
        <v>55</v>
      </c>
      <c r="C116" s="3" t="s">
        <v>38</v>
      </c>
      <c r="D116" s="78" t="s">
        <v>368</v>
      </c>
      <c r="E116" s="4" t="s">
        <v>591</v>
      </c>
      <c r="F116" s="11"/>
      <c r="G116" s="11"/>
      <c r="H116" s="2">
        <f>'II-I TOTAL COMPANY'!L116</f>
        <v>0</v>
      </c>
      <c r="I116" s="66">
        <v>0</v>
      </c>
      <c r="J116" s="66">
        <f t="shared" si="85"/>
        <v>0</v>
      </c>
      <c r="K116" s="12">
        <f t="shared" si="82"/>
        <v>0</v>
      </c>
      <c r="L116" s="12">
        <f t="shared" si="82"/>
        <v>0</v>
      </c>
      <c r="M116" s="9">
        <f>SUM(N116:O116)</f>
        <v>0</v>
      </c>
      <c r="N116" s="12">
        <f t="shared" si="83"/>
        <v>0</v>
      </c>
      <c r="O116" s="12">
        <f t="shared" si="83"/>
        <v>0</v>
      </c>
      <c r="P116" s="9">
        <f t="shared" si="67"/>
        <v>0</v>
      </c>
      <c r="Q116" s="12">
        <f t="shared" si="84"/>
        <v>0</v>
      </c>
      <c r="R116" s="12">
        <f t="shared" si="84"/>
        <v>0</v>
      </c>
      <c r="S116" s="12">
        <f t="shared" si="84"/>
        <v>0</v>
      </c>
      <c r="T116" s="12">
        <f t="shared" si="84"/>
        <v>0</v>
      </c>
      <c r="U116" s="12">
        <f t="shared" si="84"/>
        <v>0</v>
      </c>
      <c r="V116" s="12">
        <f t="shared" si="84"/>
        <v>0</v>
      </c>
      <c r="W116" s="27" t="str">
        <f t="shared" si="72"/>
        <v>OK</v>
      </c>
      <c r="X116" s="3"/>
      <c r="Y116" s="3"/>
      <c r="Z116" s="3"/>
      <c r="AA116" s="3"/>
      <c r="AB116" s="3"/>
      <c r="AC116" s="3"/>
    </row>
    <row r="117" spans="1:29" x14ac:dyDescent="0.2">
      <c r="A117" s="3">
        <f t="shared" si="75"/>
        <v>26</v>
      </c>
      <c r="B117" s="3" t="s">
        <v>56</v>
      </c>
      <c r="C117" s="3" t="s">
        <v>57</v>
      </c>
      <c r="D117" s="78" t="s">
        <v>368</v>
      </c>
      <c r="E117" s="4" t="s">
        <v>591</v>
      </c>
      <c r="F117" s="11"/>
      <c r="G117" s="11"/>
      <c r="H117" s="2">
        <f>'II-I TOTAL COMPANY'!L117</f>
        <v>0</v>
      </c>
      <c r="I117" s="66">
        <v>0</v>
      </c>
      <c r="J117" s="66">
        <f t="shared" si="85"/>
        <v>0</v>
      </c>
      <c r="K117" s="12">
        <f t="shared" si="82"/>
        <v>0</v>
      </c>
      <c r="L117" s="12">
        <f t="shared" si="82"/>
        <v>0</v>
      </c>
      <c r="M117" s="9">
        <f>SUM(N117:O117)</f>
        <v>0</v>
      </c>
      <c r="N117" s="12">
        <f t="shared" si="83"/>
        <v>0</v>
      </c>
      <c r="O117" s="12">
        <f t="shared" si="83"/>
        <v>0</v>
      </c>
      <c r="P117" s="9">
        <f t="shared" si="67"/>
        <v>0</v>
      </c>
      <c r="Q117" s="12">
        <f t="shared" si="84"/>
        <v>0</v>
      </c>
      <c r="R117" s="12">
        <f t="shared" si="84"/>
        <v>0</v>
      </c>
      <c r="S117" s="12">
        <f t="shared" si="84"/>
        <v>0</v>
      </c>
      <c r="T117" s="12">
        <f t="shared" si="84"/>
        <v>0</v>
      </c>
      <c r="U117" s="12">
        <f t="shared" si="84"/>
        <v>0</v>
      </c>
      <c r="V117" s="12">
        <f t="shared" si="84"/>
        <v>0</v>
      </c>
      <c r="W117" s="27" t="str">
        <f t="shared" si="72"/>
        <v>OK</v>
      </c>
      <c r="X117" s="3"/>
      <c r="Y117" s="3"/>
      <c r="Z117" s="3"/>
      <c r="AA117" s="3"/>
      <c r="AB117" s="3"/>
      <c r="AC117" s="3"/>
    </row>
    <row r="118" spans="1:29" x14ac:dyDescent="0.2">
      <c r="A118" s="3">
        <f t="shared" si="75"/>
        <v>27</v>
      </c>
      <c r="B118" s="3" t="s">
        <v>58</v>
      </c>
      <c r="C118" s="3" t="s">
        <v>59</v>
      </c>
      <c r="D118" s="3"/>
      <c r="E118" s="4"/>
      <c r="F118" s="4"/>
      <c r="G118" s="4"/>
      <c r="H118" s="10"/>
      <c r="I118" s="10"/>
      <c r="J118" s="10"/>
      <c r="K118" s="10"/>
      <c r="L118" s="10"/>
      <c r="M118" s="3"/>
      <c r="N118" s="3"/>
      <c r="O118" s="3"/>
      <c r="P118" s="9">
        <f t="shared" si="67"/>
        <v>0</v>
      </c>
      <c r="Q118" s="3"/>
      <c r="R118" s="3"/>
      <c r="S118" s="3"/>
      <c r="T118" s="3"/>
      <c r="U118" s="3"/>
      <c r="V118" s="3"/>
      <c r="W118" s="27" t="str">
        <f t="shared" si="72"/>
        <v>OK</v>
      </c>
      <c r="X118" s="3"/>
      <c r="Y118" s="3"/>
      <c r="Z118" s="3"/>
      <c r="AA118" s="3"/>
      <c r="AB118" s="3"/>
      <c r="AC118" s="3"/>
    </row>
    <row r="119" spans="1:29" x14ac:dyDescent="0.2">
      <c r="A119" s="3">
        <f t="shared" si="75"/>
        <v>28</v>
      </c>
      <c r="B119" s="3"/>
      <c r="C119" s="3" t="s">
        <v>60</v>
      </c>
      <c r="D119" s="78" t="s">
        <v>368</v>
      </c>
      <c r="E119" s="4" t="s">
        <v>591</v>
      </c>
      <c r="F119" s="11"/>
      <c r="G119" s="11"/>
      <c r="H119" s="2">
        <f>'II-I TOTAL COMPANY'!L119</f>
        <v>0</v>
      </c>
      <c r="I119" s="66">
        <v>0</v>
      </c>
      <c r="J119" s="66">
        <f>SUM(K119:V119)-M119-P119</f>
        <v>0</v>
      </c>
      <c r="K119" s="12">
        <f>VLOOKUP($D119,$E$741:$V$815,K$1,FALSE)*$H119</f>
        <v>0</v>
      </c>
      <c r="L119" s="12">
        <f>VLOOKUP($D119,$E$741:$V$815,L$1,FALSE)*$H119</f>
        <v>0</v>
      </c>
      <c r="M119" s="9">
        <f>SUM(N119:O119)</f>
        <v>0</v>
      </c>
      <c r="N119" s="12">
        <f>VLOOKUP($D119,$E$741:$V$815,N$1,FALSE)*$H119</f>
        <v>0</v>
      </c>
      <c r="O119" s="12">
        <f>VLOOKUP($D119,$E$741:$V$815,O$1,FALSE)*$H119</f>
        <v>0</v>
      </c>
      <c r="P119" s="9">
        <f t="shared" si="67"/>
        <v>0</v>
      </c>
      <c r="Q119" s="12">
        <f t="shared" ref="Q119:V120" si="86">VLOOKUP($D119,$E$741:$V$815,Q$1,FALSE)*$H119</f>
        <v>0</v>
      </c>
      <c r="R119" s="12">
        <f t="shared" si="86"/>
        <v>0</v>
      </c>
      <c r="S119" s="12">
        <f t="shared" si="86"/>
        <v>0</v>
      </c>
      <c r="T119" s="12">
        <f t="shared" si="86"/>
        <v>0</v>
      </c>
      <c r="U119" s="12">
        <f t="shared" si="86"/>
        <v>0</v>
      </c>
      <c r="V119" s="12">
        <f t="shared" si="86"/>
        <v>0</v>
      </c>
      <c r="W119" s="27" t="str">
        <f t="shared" si="72"/>
        <v>OK</v>
      </c>
      <c r="X119" s="3"/>
      <c r="Y119" s="3"/>
      <c r="Z119" s="3"/>
      <c r="AA119" s="3"/>
      <c r="AB119" s="3"/>
      <c r="AC119" s="3"/>
    </row>
    <row r="120" spans="1:29" x14ac:dyDescent="0.2">
      <c r="A120" s="3">
        <f t="shared" si="75"/>
        <v>29</v>
      </c>
      <c r="B120" s="3"/>
      <c r="C120" s="3" t="s">
        <v>61</v>
      </c>
      <c r="D120" s="78" t="s">
        <v>369</v>
      </c>
      <c r="E120" s="4" t="s">
        <v>591</v>
      </c>
      <c r="F120" s="11"/>
      <c r="G120" s="11"/>
      <c r="H120" s="2">
        <f>'II-I TOTAL COMPANY'!L120</f>
        <v>0</v>
      </c>
      <c r="I120" s="66">
        <v>0</v>
      </c>
      <c r="J120" s="66">
        <f>SUM(K120:V120)-M120-P120</f>
        <v>0</v>
      </c>
      <c r="K120" s="12">
        <f>VLOOKUP($D120,$E$741:$V$815,K$1,FALSE)*$H120</f>
        <v>0</v>
      </c>
      <c r="L120" s="12">
        <f>VLOOKUP($D120,$E$741:$V$815,L$1,FALSE)*$H120</f>
        <v>0</v>
      </c>
      <c r="M120" s="9">
        <f>SUM(N120:O120)</f>
        <v>0</v>
      </c>
      <c r="N120" s="12">
        <f>VLOOKUP($D120,$E$741:$V$815,N$1,FALSE)*$H120</f>
        <v>0</v>
      </c>
      <c r="O120" s="12">
        <f>VLOOKUP($D120,$E$741:$V$815,O$1,FALSE)*$H120</f>
        <v>0</v>
      </c>
      <c r="P120" s="9">
        <f t="shared" si="67"/>
        <v>0</v>
      </c>
      <c r="Q120" s="12">
        <f t="shared" si="86"/>
        <v>0</v>
      </c>
      <c r="R120" s="12">
        <f t="shared" si="86"/>
        <v>0</v>
      </c>
      <c r="S120" s="12">
        <f t="shared" si="86"/>
        <v>0</v>
      </c>
      <c r="T120" s="12">
        <f t="shared" si="86"/>
        <v>0</v>
      </c>
      <c r="U120" s="12">
        <f t="shared" si="86"/>
        <v>0</v>
      </c>
      <c r="V120" s="12">
        <f t="shared" si="86"/>
        <v>0</v>
      </c>
      <c r="W120" s="27" t="str">
        <f t="shared" si="72"/>
        <v>OK</v>
      </c>
      <c r="X120" s="3"/>
      <c r="Y120" s="3"/>
      <c r="Z120" s="3"/>
      <c r="AA120" s="3"/>
      <c r="AB120" s="3"/>
      <c r="AC120" s="3"/>
    </row>
    <row r="121" spans="1:29" x14ac:dyDescent="0.2">
      <c r="A121" s="3">
        <f t="shared" si="75"/>
        <v>30</v>
      </c>
      <c r="B121" s="3"/>
      <c r="C121" s="3" t="s">
        <v>62</v>
      </c>
      <c r="D121" s="3"/>
      <c r="E121" s="4"/>
      <c r="F121" s="8"/>
      <c r="G121" s="8"/>
      <c r="H121" s="8">
        <f>SUM(H119:H120)</f>
        <v>0</v>
      </c>
      <c r="I121" s="66">
        <v>0</v>
      </c>
      <c r="J121" s="66">
        <f>SUM(K121:V121)-M121-P121</f>
        <v>0</v>
      </c>
      <c r="K121" s="8">
        <f t="shared" ref="K121:V121" si="87">SUM(K119:K120)</f>
        <v>0</v>
      </c>
      <c r="L121" s="8">
        <f t="shared" si="87"/>
        <v>0</v>
      </c>
      <c r="M121" s="9">
        <f>SUM(N121:O121)</f>
        <v>0</v>
      </c>
      <c r="N121" s="8">
        <f t="shared" si="87"/>
        <v>0</v>
      </c>
      <c r="O121" s="8">
        <f t="shared" si="87"/>
        <v>0</v>
      </c>
      <c r="P121" s="9">
        <f t="shared" si="67"/>
        <v>0</v>
      </c>
      <c r="Q121" s="8">
        <f t="shared" si="87"/>
        <v>0</v>
      </c>
      <c r="R121" s="8">
        <f t="shared" si="87"/>
        <v>0</v>
      </c>
      <c r="S121" s="8">
        <f>SUM(S119:S120)</f>
        <v>0</v>
      </c>
      <c r="T121" s="8">
        <f t="shared" si="87"/>
        <v>0</v>
      </c>
      <c r="U121" s="8">
        <f t="shared" si="87"/>
        <v>0</v>
      </c>
      <c r="V121" s="8">
        <f t="shared" si="87"/>
        <v>0</v>
      </c>
      <c r="W121" s="27" t="str">
        <f t="shared" si="72"/>
        <v>OK</v>
      </c>
      <c r="X121" s="3"/>
      <c r="Y121" s="3"/>
      <c r="Z121" s="3"/>
      <c r="AA121" s="3"/>
      <c r="AB121" s="3"/>
      <c r="AC121" s="3"/>
    </row>
    <row r="122" spans="1:29" x14ac:dyDescent="0.2">
      <c r="A122" s="3">
        <f t="shared" si="75"/>
        <v>31</v>
      </c>
      <c r="B122" s="3" t="s">
        <v>63</v>
      </c>
      <c r="C122" s="3" t="s">
        <v>44</v>
      </c>
      <c r="D122" s="3"/>
      <c r="E122" s="4"/>
      <c r="F122" s="4"/>
      <c r="G122" s="4"/>
      <c r="H122" s="10"/>
      <c r="I122" s="10"/>
      <c r="J122" s="10"/>
      <c r="K122" s="10"/>
      <c r="L122" s="10"/>
      <c r="M122" s="3"/>
      <c r="N122" s="3"/>
      <c r="O122" s="3"/>
      <c r="P122" s="9">
        <f t="shared" si="67"/>
        <v>0</v>
      </c>
      <c r="Q122" s="3"/>
      <c r="R122" s="3"/>
      <c r="S122" s="3"/>
      <c r="T122" s="3"/>
      <c r="U122" s="3"/>
      <c r="V122" s="3"/>
      <c r="W122" s="27" t="str">
        <f t="shared" si="72"/>
        <v>OK</v>
      </c>
      <c r="X122" s="3"/>
      <c r="Y122" s="3"/>
      <c r="Z122" s="3"/>
      <c r="AA122" s="3"/>
      <c r="AB122" s="3"/>
      <c r="AC122" s="3"/>
    </row>
    <row r="123" spans="1:29" x14ac:dyDescent="0.2">
      <c r="A123" s="3">
        <f t="shared" si="75"/>
        <v>32</v>
      </c>
      <c r="B123" s="3"/>
      <c r="C123" s="3" t="s">
        <v>60</v>
      </c>
      <c r="D123" s="78" t="s">
        <v>368</v>
      </c>
      <c r="E123" s="4" t="s">
        <v>591</v>
      </c>
      <c r="F123" s="11"/>
      <c r="G123" s="11"/>
      <c r="H123" s="2">
        <f>'II-I TOTAL COMPANY'!L123</f>
        <v>0</v>
      </c>
      <c r="I123" s="66">
        <v>0</v>
      </c>
      <c r="J123" s="66">
        <f t="shared" ref="J123:J125" si="88">SUM(K123:V123)-M123-P123</f>
        <v>0</v>
      </c>
      <c r="K123" s="12">
        <f>VLOOKUP($D123,$E$741:$V$815,K$1,FALSE)*$H123</f>
        <v>0</v>
      </c>
      <c r="L123" s="12">
        <f>VLOOKUP($D123,$E$741:$V$815,L$1,FALSE)*$H123</f>
        <v>0</v>
      </c>
      <c r="M123" s="9">
        <f>SUM(N123:O123)</f>
        <v>0</v>
      </c>
      <c r="N123" s="12">
        <f>VLOOKUP($D123,$E$741:$V$815,N$1,FALSE)*$H123</f>
        <v>0</v>
      </c>
      <c r="O123" s="12">
        <f>VLOOKUP($D123,$E$741:$V$815,O$1,FALSE)*$H123</f>
        <v>0</v>
      </c>
      <c r="P123" s="9">
        <f t="shared" si="67"/>
        <v>0</v>
      </c>
      <c r="Q123" s="12">
        <f t="shared" ref="Q123:V124" si="89">VLOOKUP($D123,$E$741:$V$815,Q$1,FALSE)*$H123</f>
        <v>0</v>
      </c>
      <c r="R123" s="12">
        <f t="shared" si="89"/>
        <v>0</v>
      </c>
      <c r="S123" s="12">
        <f t="shared" si="89"/>
        <v>0</v>
      </c>
      <c r="T123" s="12">
        <f t="shared" si="89"/>
        <v>0</v>
      </c>
      <c r="U123" s="12">
        <f t="shared" si="89"/>
        <v>0</v>
      </c>
      <c r="V123" s="12">
        <f t="shared" si="89"/>
        <v>0</v>
      </c>
      <c r="W123" s="27" t="str">
        <f t="shared" si="72"/>
        <v>OK</v>
      </c>
      <c r="X123" s="3"/>
      <c r="Y123" s="3"/>
      <c r="Z123" s="3"/>
      <c r="AA123" s="3"/>
      <c r="AB123" s="3"/>
      <c r="AC123" s="3"/>
    </row>
    <row r="124" spans="1:29" x14ac:dyDescent="0.2">
      <c r="A124" s="3">
        <f t="shared" si="75"/>
        <v>33</v>
      </c>
      <c r="B124" s="3"/>
      <c r="C124" s="3" t="s">
        <v>61</v>
      </c>
      <c r="D124" s="78" t="s">
        <v>369</v>
      </c>
      <c r="E124" s="4" t="s">
        <v>591</v>
      </c>
      <c r="F124" s="11"/>
      <c r="G124" s="11"/>
      <c r="H124" s="2">
        <f>'II-I TOTAL COMPANY'!L124</f>
        <v>0</v>
      </c>
      <c r="I124" s="66">
        <f>V124</f>
        <v>0</v>
      </c>
      <c r="J124" s="66">
        <f t="shared" si="88"/>
        <v>0</v>
      </c>
      <c r="K124" s="12">
        <f>VLOOKUP($D124,$E$741:$V$815,K$1,FALSE)*$H124</f>
        <v>0</v>
      </c>
      <c r="L124" s="12">
        <f>VLOOKUP($D124,$E$741:$V$815,L$1,FALSE)*$H124</f>
        <v>0</v>
      </c>
      <c r="M124" s="9">
        <f>SUM(N124:O124)</f>
        <v>0</v>
      </c>
      <c r="N124" s="12">
        <f>VLOOKUP($D124,$E$741:$V$815,N$1,FALSE)*$H124</f>
        <v>0</v>
      </c>
      <c r="O124" s="12">
        <f>VLOOKUP($D124,$E$741:$V$815,O$1,FALSE)*$H124</f>
        <v>0</v>
      </c>
      <c r="P124" s="9">
        <f t="shared" si="67"/>
        <v>0</v>
      </c>
      <c r="Q124" s="12">
        <f t="shared" si="89"/>
        <v>0</v>
      </c>
      <c r="R124" s="12">
        <f t="shared" si="89"/>
        <v>0</v>
      </c>
      <c r="S124" s="12">
        <f t="shared" si="89"/>
        <v>0</v>
      </c>
      <c r="T124" s="12">
        <f t="shared" si="89"/>
        <v>0</v>
      </c>
      <c r="U124" s="12">
        <f t="shared" si="89"/>
        <v>0</v>
      </c>
      <c r="V124" s="12">
        <f t="shared" si="89"/>
        <v>0</v>
      </c>
      <c r="W124" s="27" t="str">
        <f t="shared" si="72"/>
        <v>OK</v>
      </c>
      <c r="X124" s="3"/>
      <c r="Y124" s="3"/>
      <c r="Z124" s="3"/>
      <c r="AA124" s="3"/>
      <c r="AB124" s="3"/>
      <c r="AC124" s="3"/>
    </row>
    <row r="125" spans="1:29" x14ac:dyDescent="0.2">
      <c r="A125" s="3">
        <f t="shared" si="75"/>
        <v>34</v>
      </c>
      <c r="B125" s="3"/>
      <c r="C125" s="3" t="s">
        <v>432</v>
      </c>
      <c r="D125" s="3"/>
      <c r="E125" s="4"/>
      <c r="F125" s="8"/>
      <c r="G125" s="8"/>
      <c r="H125" s="8">
        <f t="shared" ref="H125:V125" si="90">SUM(H123:H124)</f>
        <v>0</v>
      </c>
      <c r="I125" s="8">
        <v>0</v>
      </c>
      <c r="J125" s="66">
        <f t="shared" si="88"/>
        <v>0</v>
      </c>
      <c r="K125" s="8">
        <f t="shared" si="90"/>
        <v>0</v>
      </c>
      <c r="L125" s="8">
        <f t="shared" si="90"/>
        <v>0</v>
      </c>
      <c r="M125" s="9">
        <f>SUM(N125:O125)</f>
        <v>0</v>
      </c>
      <c r="N125" s="8">
        <f t="shared" si="90"/>
        <v>0</v>
      </c>
      <c r="O125" s="8">
        <f t="shared" si="90"/>
        <v>0</v>
      </c>
      <c r="P125" s="9">
        <f t="shared" si="67"/>
        <v>0</v>
      </c>
      <c r="Q125" s="8">
        <f t="shared" si="90"/>
        <v>0</v>
      </c>
      <c r="R125" s="8">
        <f t="shared" si="90"/>
        <v>0</v>
      </c>
      <c r="S125" s="8">
        <f>SUM(S123:S124)</f>
        <v>0</v>
      </c>
      <c r="T125" s="8">
        <f t="shared" si="90"/>
        <v>0</v>
      </c>
      <c r="U125" s="8">
        <f t="shared" si="90"/>
        <v>0</v>
      </c>
      <c r="V125" s="8">
        <f t="shared" si="90"/>
        <v>0</v>
      </c>
      <c r="W125" s="27" t="str">
        <f t="shared" ref="W125:W156" si="91">IF((+K125+L125+M125+P125+T125+U125+V125)-H125=0,"OK",(+K125+L125+M125+P125+T125+U125+V125)-H125)</f>
        <v>OK</v>
      </c>
      <c r="X125" s="3"/>
      <c r="Y125" s="3"/>
      <c r="Z125" s="3"/>
      <c r="AA125" s="3"/>
      <c r="AB125" s="3"/>
      <c r="AC125" s="3"/>
    </row>
    <row r="126" spans="1:29" x14ac:dyDescent="0.2">
      <c r="A126" s="3">
        <f t="shared" si="75"/>
        <v>35</v>
      </c>
      <c r="B126" s="3"/>
      <c r="C126" s="3"/>
      <c r="D126" s="3"/>
      <c r="E126" s="4"/>
      <c r="F126" s="4"/>
      <c r="G126" s="4"/>
      <c r="H126" s="8"/>
      <c r="I126" s="8"/>
      <c r="J126" s="8"/>
      <c r="K126" s="8"/>
      <c r="L126" s="8"/>
      <c r="M126" s="3"/>
      <c r="N126" s="3"/>
      <c r="O126" s="3"/>
      <c r="P126" s="9">
        <f t="shared" si="67"/>
        <v>0</v>
      </c>
      <c r="Q126" s="3"/>
      <c r="R126" s="3"/>
      <c r="S126" s="3"/>
      <c r="T126" s="3"/>
      <c r="U126" s="3"/>
      <c r="V126" s="3"/>
      <c r="W126" s="27" t="str">
        <f t="shared" si="91"/>
        <v>OK</v>
      </c>
      <c r="X126" s="3"/>
      <c r="Y126" s="3"/>
      <c r="Z126" s="3"/>
      <c r="AA126" s="3"/>
      <c r="AB126" s="3"/>
      <c r="AC126" s="3"/>
    </row>
    <row r="127" spans="1:29" x14ac:dyDescent="0.2">
      <c r="A127" s="3">
        <f t="shared" si="75"/>
        <v>36</v>
      </c>
      <c r="B127" s="3" t="s">
        <v>64</v>
      </c>
      <c r="C127" s="3" t="s">
        <v>65</v>
      </c>
      <c r="D127" s="3"/>
      <c r="E127" s="4"/>
      <c r="F127" s="4"/>
      <c r="G127" s="4"/>
      <c r="H127" s="2">
        <f>'II-I TOTAL COMPANY'!L127</f>
        <v>0</v>
      </c>
      <c r="I127" s="66">
        <f>V127</f>
        <v>0</v>
      </c>
      <c r="J127" s="66">
        <f>SUM(K127:U127)-M127-P127</f>
        <v>0</v>
      </c>
      <c r="K127" s="12"/>
      <c r="L127" s="12"/>
      <c r="M127" s="12"/>
      <c r="N127" s="12"/>
      <c r="O127" s="12"/>
      <c r="P127" s="9">
        <f t="shared" si="67"/>
        <v>0</v>
      </c>
      <c r="Q127" s="12"/>
      <c r="R127" s="12"/>
      <c r="S127" s="12"/>
      <c r="T127" s="12"/>
      <c r="U127" s="12"/>
      <c r="V127" s="12"/>
      <c r="W127" s="27" t="str">
        <f t="shared" si="91"/>
        <v>OK</v>
      </c>
      <c r="X127" s="3"/>
      <c r="Y127" s="3"/>
      <c r="Z127" s="3"/>
      <c r="AA127" s="3"/>
      <c r="AB127" s="3"/>
      <c r="AC127" s="3"/>
    </row>
    <row r="128" spans="1:29" x14ac:dyDescent="0.2">
      <c r="A128" s="3">
        <f t="shared" si="75"/>
        <v>37</v>
      </c>
      <c r="B128" s="3"/>
      <c r="C128" s="3" t="s">
        <v>60</v>
      </c>
      <c r="D128" s="78" t="s">
        <v>368</v>
      </c>
      <c r="E128" s="4" t="s">
        <v>591</v>
      </c>
      <c r="F128" s="11"/>
      <c r="G128" s="11"/>
      <c r="H128" s="2">
        <f>'II-I TOTAL COMPANY'!L128</f>
        <v>0</v>
      </c>
      <c r="I128" s="66">
        <v>0</v>
      </c>
      <c r="J128" s="66">
        <f t="shared" ref="J128:J130" si="92">SUM(K128:V128)-M128-P128</f>
        <v>0</v>
      </c>
      <c r="K128" s="12">
        <f>VLOOKUP($D128,$E$741:$V$815,K$1,FALSE)*$H128</f>
        <v>0</v>
      </c>
      <c r="L128" s="12">
        <f>VLOOKUP($D128,$E$741:$V$815,L$1,FALSE)*$H128</f>
        <v>0</v>
      </c>
      <c r="M128" s="9">
        <f>SUM(N128:O128)</f>
        <v>0</v>
      </c>
      <c r="N128" s="12">
        <f>VLOOKUP($D128,$E$741:$V$815,N$1,FALSE)*$H128</f>
        <v>0</v>
      </c>
      <c r="O128" s="12">
        <f>VLOOKUP($D128,$E$741:$V$815,O$1,FALSE)*$H128</f>
        <v>0</v>
      </c>
      <c r="P128" s="9">
        <f t="shared" si="67"/>
        <v>0</v>
      </c>
      <c r="Q128" s="12">
        <f t="shared" ref="Q128:V129" si="93">VLOOKUP($D128,$E$741:$V$815,Q$1,FALSE)*$H128</f>
        <v>0</v>
      </c>
      <c r="R128" s="12">
        <f t="shared" si="93"/>
        <v>0</v>
      </c>
      <c r="S128" s="12">
        <f t="shared" si="93"/>
        <v>0</v>
      </c>
      <c r="T128" s="12">
        <f t="shared" si="93"/>
        <v>0</v>
      </c>
      <c r="U128" s="12">
        <f t="shared" si="93"/>
        <v>0</v>
      </c>
      <c r="V128" s="12">
        <f t="shared" si="93"/>
        <v>0</v>
      </c>
      <c r="W128" s="27" t="str">
        <f t="shared" si="91"/>
        <v>OK</v>
      </c>
      <c r="X128" s="3"/>
      <c r="Y128" s="3"/>
      <c r="Z128" s="3"/>
      <c r="AA128" s="3"/>
      <c r="AB128" s="3"/>
      <c r="AC128" s="3"/>
    </row>
    <row r="129" spans="1:29" x14ac:dyDescent="0.2">
      <c r="A129" s="3">
        <f t="shared" si="75"/>
        <v>38</v>
      </c>
      <c r="B129" s="3"/>
      <c r="C129" s="3" t="s">
        <v>61</v>
      </c>
      <c r="D129" s="78" t="s">
        <v>369</v>
      </c>
      <c r="E129" s="4" t="s">
        <v>591</v>
      </c>
      <c r="F129" s="11"/>
      <c r="G129" s="11"/>
      <c r="H129" s="2">
        <f>'II-I TOTAL COMPANY'!L129</f>
        <v>0</v>
      </c>
      <c r="I129" s="66">
        <v>0</v>
      </c>
      <c r="J129" s="66">
        <f t="shared" si="92"/>
        <v>0</v>
      </c>
      <c r="K129" s="12">
        <f>VLOOKUP($D129,$E$741:$V$815,K$1,FALSE)*$H129</f>
        <v>0</v>
      </c>
      <c r="L129" s="12">
        <f>VLOOKUP($D129,$E$741:$V$815,L$1,FALSE)*$H129</f>
        <v>0</v>
      </c>
      <c r="M129" s="9">
        <f>SUM(N129:O129)</f>
        <v>0</v>
      </c>
      <c r="N129" s="12">
        <f>VLOOKUP($D129,$E$741:$V$815,N$1,FALSE)*$H129</f>
        <v>0</v>
      </c>
      <c r="O129" s="12">
        <f>VLOOKUP($D129,$E$741:$V$815,O$1,FALSE)*$H129</f>
        <v>0</v>
      </c>
      <c r="P129" s="9">
        <f t="shared" si="67"/>
        <v>0</v>
      </c>
      <c r="Q129" s="12">
        <f t="shared" si="93"/>
        <v>0</v>
      </c>
      <c r="R129" s="12">
        <f t="shared" si="93"/>
        <v>0</v>
      </c>
      <c r="S129" s="12">
        <f t="shared" si="93"/>
        <v>0</v>
      </c>
      <c r="T129" s="12">
        <f t="shared" si="93"/>
        <v>0</v>
      </c>
      <c r="U129" s="12">
        <f t="shared" si="93"/>
        <v>0</v>
      </c>
      <c r="V129" s="12">
        <f t="shared" si="93"/>
        <v>0</v>
      </c>
      <c r="W129" s="27" t="str">
        <f t="shared" si="91"/>
        <v>OK</v>
      </c>
      <c r="X129" s="3"/>
      <c r="Y129" s="3"/>
      <c r="Z129" s="3"/>
      <c r="AA129" s="3"/>
      <c r="AB129" s="3"/>
      <c r="AC129" s="3"/>
    </row>
    <row r="130" spans="1:29" x14ac:dyDescent="0.2">
      <c r="A130" s="3">
        <f t="shared" si="75"/>
        <v>39</v>
      </c>
      <c r="B130" s="3"/>
      <c r="C130" s="3" t="s">
        <v>359</v>
      </c>
      <c r="D130" s="3"/>
      <c r="E130" s="4"/>
      <c r="F130" s="66"/>
      <c r="G130" s="66"/>
      <c r="H130" s="2">
        <f>'II-I TOTAL COMPANY'!L130</f>
        <v>0</v>
      </c>
      <c r="I130" s="66">
        <v>0</v>
      </c>
      <c r="J130" s="66">
        <f t="shared" si="92"/>
        <v>0</v>
      </c>
      <c r="K130" s="12">
        <f t="shared" ref="K130:V130" si="94">+K129+K128</f>
        <v>0</v>
      </c>
      <c r="L130" s="12">
        <f t="shared" si="94"/>
        <v>0</v>
      </c>
      <c r="M130" s="9">
        <f>SUM(N130:O130)</f>
        <v>0</v>
      </c>
      <c r="N130" s="3">
        <f t="shared" si="94"/>
        <v>0</v>
      </c>
      <c r="O130" s="3">
        <f t="shared" si="94"/>
        <v>0</v>
      </c>
      <c r="P130" s="9">
        <f t="shared" si="67"/>
        <v>0</v>
      </c>
      <c r="Q130" s="3">
        <f t="shared" si="94"/>
        <v>0</v>
      </c>
      <c r="R130" s="3">
        <f t="shared" si="94"/>
        <v>0</v>
      </c>
      <c r="S130" s="3">
        <f>+S129+S128</f>
        <v>0</v>
      </c>
      <c r="T130" s="3">
        <f t="shared" si="94"/>
        <v>0</v>
      </c>
      <c r="U130" s="3">
        <f t="shared" si="94"/>
        <v>0</v>
      </c>
      <c r="V130" s="3">
        <f t="shared" si="94"/>
        <v>0</v>
      </c>
      <c r="W130" s="27" t="str">
        <f t="shared" si="91"/>
        <v>OK</v>
      </c>
      <c r="X130" s="3"/>
      <c r="Y130" s="3"/>
      <c r="Z130" s="3"/>
      <c r="AA130" s="3"/>
      <c r="AB130" s="3"/>
      <c r="AC130" s="3"/>
    </row>
    <row r="131" spans="1:29" x14ac:dyDescent="0.2">
      <c r="A131" s="3">
        <f t="shared" si="75"/>
        <v>40</v>
      </c>
      <c r="B131" s="3"/>
      <c r="C131" s="3"/>
      <c r="D131" s="3"/>
      <c r="E131" s="4"/>
      <c r="F131" s="66"/>
      <c r="G131" s="66"/>
      <c r="H131" s="8"/>
      <c r="I131" s="8"/>
      <c r="J131" s="8"/>
      <c r="K131" s="8"/>
      <c r="L131" s="8"/>
      <c r="M131" s="3"/>
      <c r="N131" s="3"/>
      <c r="O131" s="3"/>
      <c r="P131" s="9">
        <f t="shared" si="67"/>
        <v>0</v>
      </c>
      <c r="Q131" s="3"/>
      <c r="R131" s="3"/>
      <c r="S131" s="3"/>
      <c r="T131" s="3"/>
      <c r="U131" s="3"/>
      <c r="V131" s="3"/>
      <c r="W131" s="27" t="str">
        <f t="shared" si="91"/>
        <v>OK</v>
      </c>
      <c r="X131" s="3"/>
      <c r="Y131" s="3"/>
      <c r="Z131" s="3"/>
      <c r="AA131" s="3"/>
      <c r="AB131" s="3"/>
      <c r="AC131" s="3"/>
    </row>
    <row r="132" spans="1:29" x14ac:dyDescent="0.2">
      <c r="A132" s="3">
        <f t="shared" si="75"/>
        <v>41</v>
      </c>
      <c r="B132" s="3" t="s">
        <v>66</v>
      </c>
      <c r="C132" s="3" t="s">
        <v>67</v>
      </c>
      <c r="D132" s="3"/>
      <c r="E132" s="4"/>
      <c r="F132" s="4"/>
      <c r="G132" s="4"/>
      <c r="H132" s="10"/>
      <c r="I132" s="10"/>
      <c r="J132" s="10"/>
      <c r="K132" s="10"/>
      <c r="L132" s="10"/>
      <c r="M132" s="3"/>
      <c r="N132" s="3"/>
      <c r="O132" s="3"/>
      <c r="P132" s="9">
        <f t="shared" si="67"/>
        <v>0</v>
      </c>
      <c r="Q132" s="3"/>
      <c r="R132" s="3"/>
      <c r="S132" s="3"/>
      <c r="T132" s="3"/>
      <c r="U132" s="3"/>
      <c r="V132" s="3"/>
      <c r="W132" s="27" t="str">
        <f t="shared" si="91"/>
        <v>OK</v>
      </c>
      <c r="X132" s="3"/>
      <c r="Y132" s="3"/>
      <c r="Z132" s="3"/>
      <c r="AA132" s="3"/>
      <c r="AB132" s="3"/>
      <c r="AC132" s="3"/>
    </row>
    <row r="133" spans="1:29" x14ac:dyDescent="0.2">
      <c r="A133" s="3">
        <f t="shared" si="75"/>
        <v>42</v>
      </c>
      <c r="B133" s="3"/>
      <c r="C133" s="3" t="s">
        <v>60</v>
      </c>
      <c r="D133" s="78" t="s">
        <v>368</v>
      </c>
      <c r="E133" s="4" t="s">
        <v>591</v>
      </c>
      <c r="F133" s="11"/>
      <c r="G133" s="11"/>
      <c r="H133" s="2">
        <f>'II-I TOTAL COMPANY'!L133</f>
        <v>0</v>
      </c>
      <c r="I133" s="66">
        <v>0</v>
      </c>
      <c r="J133" s="66">
        <f t="shared" ref="J133:J135" si="95">SUM(K133:V133)-M133-P133</f>
        <v>0</v>
      </c>
      <c r="K133" s="12">
        <f>VLOOKUP($D133,$E$741:$V$815,K$1,FALSE)*$H133</f>
        <v>0</v>
      </c>
      <c r="L133" s="12">
        <f>VLOOKUP($D133,$E$741:$V$815,L$1,FALSE)*$H133</f>
        <v>0</v>
      </c>
      <c r="M133" s="9">
        <f>SUM(N133:O133)</f>
        <v>0</v>
      </c>
      <c r="N133" s="12">
        <f>VLOOKUP($D133,$E$741:$V$815,N$1,FALSE)*$H133</f>
        <v>0</v>
      </c>
      <c r="O133" s="12">
        <f>VLOOKUP($D133,$E$741:$V$815,O$1,FALSE)*$H133</f>
        <v>0</v>
      </c>
      <c r="P133" s="9">
        <f t="shared" si="67"/>
        <v>0</v>
      </c>
      <c r="Q133" s="12">
        <f t="shared" ref="Q133:V134" si="96">VLOOKUP($D133,$E$741:$V$815,Q$1,FALSE)*$H133</f>
        <v>0</v>
      </c>
      <c r="R133" s="12">
        <f t="shared" si="96"/>
        <v>0</v>
      </c>
      <c r="S133" s="12">
        <f t="shared" si="96"/>
        <v>0</v>
      </c>
      <c r="T133" s="12">
        <f t="shared" si="96"/>
        <v>0</v>
      </c>
      <c r="U133" s="12">
        <f t="shared" si="96"/>
        <v>0</v>
      </c>
      <c r="V133" s="12">
        <f t="shared" si="96"/>
        <v>0</v>
      </c>
      <c r="W133" s="27" t="str">
        <f t="shared" si="91"/>
        <v>OK</v>
      </c>
      <c r="X133" s="3"/>
      <c r="Y133" s="3"/>
      <c r="Z133" s="3"/>
      <c r="AA133" s="3"/>
      <c r="AB133" s="3"/>
      <c r="AC133" s="3"/>
    </row>
    <row r="134" spans="1:29" x14ac:dyDescent="0.2">
      <c r="A134" s="3">
        <f t="shared" si="75"/>
        <v>43</v>
      </c>
      <c r="B134" s="3"/>
      <c r="C134" s="3" t="s">
        <v>61</v>
      </c>
      <c r="D134" s="78" t="s">
        <v>369</v>
      </c>
      <c r="E134" s="4" t="s">
        <v>591</v>
      </c>
      <c r="F134" s="11"/>
      <c r="G134" s="11"/>
      <c r="H134" s="2">
        <f>'II-I TOTAL COMPANY'!L134</f>
        <v>0</v>
      </c>
      <c r="I134" s="66">
        <v>0</v>
      </c>
      <c r="J134" s="66">
        <f t="shared" si="95"/>
        <v>0</v>
      </c>
      <c r="K134" s="12">
        <f>VLOOKUP($D134,$E$741:$V$815,K$1,FALSE)*$H134</f>
        <v>0</v>
      </c>
      <c r="L134" s="12">
        <f>VLOOKUP($D134,$E$741:$V$815,L$1,FALSE)*$H134</f>
        <v>0</v>
      </c>
      <c r="M134" s="9">
        <f>SUM(N134:O134)</f>
        <v>0</v>
      </c>
      <c r="N134" s="12">
        <f>VLOOKUP($D134,$E$741:$V$815,N$1,FALSE)*$H134</f>
        <v>0</v>
      </c>
      <c r="O134" s="12">
        <f>VLOOKUP($D134,$E$741:$V$815,O$1,FALSE)*$H134</f>
        <v>0</v>
      </c>
      <c r="P134" s="9">
        <f t="shared" si="67"/>
        <v>0</v>
      </c>
      <c r="Q134" s="12">
        <f t="shared" si="96"/>
        <v>0</v>
      </c>
      <c r="R134" s="12">
        <f t="shared" si="96"/>
        <v>0</v>
      </c>
      <c r="S134" s="12">
        <f t="shared" si="96"/>
        <v>0</v>
      </c>
      <c r="T134" s="12">
        <f t="shared" si="96"/>
        <v>0</v>
      </c>
      <c r="U134" s="12">
        <f t="shared" si="96"/>
        <v>0</v>
      </c>
      <c r="V134" s="12">
        <f t="shared" si="96"/>
        <v>0</v>
      </c>
      <c r="W134" s="27" t="str">
        <f t="shared" si="91"/>
        <v>OK</v>
      </c>
      <c r="X134" s="3"/>
      <c r="Y134" s="3"/>
      <c r="Z134" s="3"/>
      <c r="AA134" s="3"/>
      <c r="AB134" s="3"/>
      <c r="AC134" s="3"/>
    </row>
    <row r="135" spans="1:29" x14ac:dyDescent="0.2">
      <c r="A135" s="3">
        <f t="shared" si="75"/>
        <v>44</v>
      </c>
      <c r="B135" s="3"/>
      <c r="C135" s="3" t="s">
        <v>68</v>
      </c>
      <c r="D135" s="3"/>
      <c r="E135" s="4"/>
      <c r="F135" s="8"/>
      <c r="G135" s="8"/>
      <c r="H135" s="8">
        <f t="shared" ref="H135:V135" si="97">SUM(H133:H134)</f>
        <v>0</v>
      </c>
      <c r="I135" s="8">
        <f t="shared" si="97"/>
        <v>0</v>
      </c>
      <c r="J135" s="66">
        <f t="shared" si="95"/>
        <v>0</v>
      </c>
      <c r="K135" s="8">
        <f t="shared" si="97"/>
        <v>0</v>
      </c>
      <c r="L135" s="8">
        <f t="shared" si="97"/>
        <v>0</v>
      </c>
      <c r="M135" s="9">
        <f>SUM(N135:O135)</f>
        <v>0</v>
      </c>
      <c r="N135" s="8">
        <f t="shared" si="97"/>
        <v>0</v>
      </c>
      <c r="O135" s="8">
        <f t="shared" si="97"/>
        <v>0</v>
      </c>
      <c r="P135" s="9">
        <f t="shared" si="67"/>
        <v>0</v>
      </c>
      <c r="Q135" s="8">
        <f t="shared" si="97"/>
        <v>0</v>
      </c>
      <c r="R135" s="8">
        <f t="shared" si="97"/>
        <v>0</v>
      </c>
      <c r="S135" s="8">
        <f>SUM(S133:S134)</f>
        <v>0</v>
      </c>
      <c r="T135" s="8">
        <f t="shared" si="97"/>
        <v>0</v>
      </c>
      <c r="U135" s="8">
        <f t="shared" si="97"/>
        <v>0</v>
      </c>
      <c r="V135" s="8">
        <f t="shared" si="97"/>
        <v>0</v>
      </c>
      <c r="W135" s="27" t="str">
        <f t="shared" si="91"/>
        <v>OK</v>
      </c>
      <c r="X135" s="3"/>
      <c r="Y135" s="3"/>
      <c r="Z135" s="3"/>
      <c r="AA135" s="3"/>
      <c r="AB135" s="3"/>
      <c r="AC135" s="3"/>
    </row>
    <row r="136" spans="1:29" x14ac:dyDescent="0.2">
      <c r="A136" s="3">
        <f t="shared" si="75"/>
        <v>45</v>
      </c>
      <c r="B136" s="3" t="s">
        <v>69</v>
      </c>
      <c r="C136" s="3" t="s">
        <v>70</v>
      </c>
      <c r="D136" s="78"/>
      <c r="E136" s="4"/>
      <c r="F136" s="4"/>
      <c r="G136" s="4"/>
      <c r="H136" s="2"/>
      <c r="I136" s="66"/>
      <c r="J136" s="66"/>
      <c r="K136" s="12"/>
      <c r="L136" s="12"/>
      <c r="M136" s="3"/>
      <c r="N136" s="3"/>
      <c r="O136" s="3"/>
      <c r="P136" s="9">
        <f t="shared" si="67"/>
        <v>0</v>
      </c>
      <c r="Q136" s="3"/>
      <c r="R136" s="3"/>
      <c r="S136" s="3"/>
      <c r="T136" s="3"/>
      <c r="U136" s="3"/>
      <c r="V136" s="3"/>
      <c r="W136" s="27" t="str">
        <f t="shared" si="91"/>
        <v>OK</v>
      </c>
      <c r="X136" s="3"/>
      <c r="Y136" s="3"/>
      <c r="Z136" s="3"/>
      <c r="AA136" s="3"/>
      <c r="AB136" s="3"/>
      <c r="AC136" s="3"/>
    </row>
    <row r="137" spans="1:29" x14ac:dyDescent="0.2">
      <c r="A137" s="3">
        <f t="shared" si="75"/>
        <v>46</v>
      </c>
      <c r="B137" s="3"/>
      <c r="C137" s="3" t="s">
        <v>60</v>
      </c>
      <c r="D137" s="78" t="s">
        <v>368</v>
      </c>
      <c r="E137" s="4" t="s">
        <v>591</v>
      </c>
      <c r="F137" s="11"/>
      <c r="G137" s="11"/>
      <c r="H137" s="2">
        <f>'II-I TOTAL COMPANY'!L137</f>
        <v>0</v>
      </c>
      <c r="I137" s="66">
        <v>0</v>
      </c>
      <c r="J137" s="66">
        <f t="shared" ref="J137:J147" si="98">SUM(K137:V137)-M137-P137</f>
        <v>0</v>
      </c>
      <c r="K137" s="12">
        <f>VLOOKUP($D137,$E$741:$V$815,K$1,FALSE)*$H137</f>
        <v>0</v>
      </c>
      <c r="L137" s="12">
        <f>VLOOKUP($D137,$E$741:$V$815,L$1,FALSE)*$H137</f>
        <v>0</v>
      </c>
      <c r="M137" s="9">
        <f>SUM(N137:O137)</f>
        <v>0</v>
      </c>
      <c r="N137" s="12">
        <f>VLOOKUP($D137,$E$741:$V$815,N$1,FALSE)*$H137</f>
        <v>0</v>
      </c>
      <c r="O137" s="12">
        <f>VLOOKUP($D137,$E$741:$V$815,O$1,FALSE)*$H137</f>
        <v>0</v>
      </c>
      <c r="P137" s="9">
        <f t="shared" si="67"/>
        <v>0</v>
      </c>
      <c r="Q137" s="12">
        <f t="shared" ref="Q137:V138" si="99">VLOOKUP($D137,$E$741:$V$815,Q$1,FALSE)*$H137</f>
        <v>0</v>
      </c>
      <c r="R137" s="12">
        <f t="shared" si="99"/>
        <v>0</v>
      </c>
      <c r="S137" s="12">
        <f t="shared" si="99"/>
        <v>0</v>
      </c>
      <c r="T137" s="12">
        <f t="shared" si="99"/>
        <v>0</v>
      </c>
      <c r="U137" s="12">
        <f t="shared" si="99"/>
        <v>0</v>
      </c>
      <c r="V137" s="12">
        <f t="shared" si="99"/>
        <v>0</v>
      </c>
      <c r="W137" s="27" t="str">
        <f t="shared" si="91"/>
        <v>OK</v>
      </c>
      <c r="X137" s="3"/>
      <c r="Y137" s="3"/>
      <c r="Z137" s="3"/>
      <c r="AA137" s="3"/>
      <c r="AB137" s="3"/>
      <c r="AC137" s="3"/>
    </row>
    <row r="138" spans="1:29" x14ac:dyDescent="0.2">
      <c r="A138" s="3">
        <f t="shared" si="75"/>
        <v>47</v>
      </c>
      <c r="B138" s="3"/>
      <c r="C138" s="3" t="s">
        <v>61</v>
      </c>
      <c r="D138" s="78" t="s">
        <v>369</v>
      </c>
      <c r="E138" s="4" t="s">
        <v>591</v>
      </c>
      <c r="F138" s="11"/>
      <c r="G138" s="11"/>
      <c r="H138" s="2">
        <f>'II-I TOTAL COMPANY'!L138</f>
        <v>0</v>
      </c>
      <c r="I138" s="66">
        <v>0</v>
      </c>
      <c r="J138" s="66">
        <f t="shared" si="98"/>
        <v>0</v>
      </c>
      <c r="K138" s="12">
        <f>VLOOKUP($D138,$E$741:$V$815,K$1,FALSE)*$H138</f>
        <v>0</v>
      </c>
      <c r="L138" s="12">
        <f>VLOOKUP($D138,$E$741:$V$815,L$1,FALSE)*$H138</f>
        <v>0</v>
      </c>
      <c r="M138" s="9">
        <f>SUM(N138:O138)</f>
        <v>0</v>
      </c>
      <c r="N138" s="12">
        <f>VLOOKUP($D138,$E$741:$V$815,N$1,FALSE)*$H138</f>
        <v>0</v>
      </c>
      <c r="O138" s="12">
        <f>VLOOKUP($D138,$E$741:$V$815,O$1,FALSE)*$H138</f>
        <v>0</v>
      </c>
      <c r="P138" s="9">
        <f t="shared" si="67"/>
        <v>0</v>
      </c>
      <c r="Q138" s="12">
        <f t="shared" si="99"/>
        <v>0</v>
      </c>
      <c r="R138" s="12">
        <f t="shared" si="99"/>
        <v>0</v>
      </c>
      <c r="S138" s="12">
        <f t="shared" si="99"/>
        <v>0</v>
      </c>
      <c r="T138" s="12">
        <f t="shared" si="99"/>
        <v>0</v>
      </c>
      <c r="U138" s="12">
        <f t="shared" si="99"/>
        <v>0</v>
      </c>
      <c r="V138" s="12">
        <f t="shared" si="99"/>
        <v>0</v>
      </c>
      <c r="W138" s="27" t="str">
        <f t="shared" si="91"/>
        <v>OK</v>
      </c>
      <c r="X138" s="3"/>
      <c r="Y138" s="3"/>
      <c r="Z138" s="3"/>
      <c r="AA138" s="3"/>
      <c r="AB138" s="3"/>
      <c r="AC138" s="3"/>
    </row>
    <row r="139" spans="1:29" x14ac:dyDescent="0.2">
      <c r="A139" s="3">
        <f t="shared" si="75"/>
        <v>48</v>
      </c>
      <c r="B139" s="3"/>
      <c r="C139" s="3" t="s">
        <v>71</v>
      </c>
      <c r="D139" s="3"/>
      <c r="E139" s="4"/>
      <c r="F139" s="8"/>
      <c r="G139" s="8"/>
      <c r="H139" s="8">
        <f t="shared" ref="H139:V139" si="100">SUM(H137:H138)</f>
        <v>0</v>
      </c>
      <c r="I139" s="8">
        <f t="shared" si="100"/>
        <v>0</v>
      </c>
      <c r="J139" s="66">
        <f t="shared" si="98"/>
        <v>0</v>
      </c>
      <c r="K139" s="8">
        <f t="shared" si="100"/>
        <v>0</v>
      </c>
      <c r="L139" s="8">
        <f t="shared" si="100"/>
        <v>0</v>
      </c>
      <c r="M139" s="9">
        <f>SUM(N139:O139)</f>
        <v>0</v>
      </c>
      <c r="N139" s="8">
        <f t="shared" si="100"/>
        <v>0</v>
      </c>
      <c r="O139" s="8">
        <f t="shared" si="100"/>
        <v>0</v>
      </c>
      <c r="P139" s="9">
        <f t="shared" si="67"/>
        <v>0</v>
      </c>
      <c r="Q139" s="8">
        <f t="shared" si="100"/>
        <v>0</v>
      </c>
      <c r="R139" s="8">
        <f t="shared" si="100"/>
        <v>0</v>
      </c>
      <c r="S139" s="8">
        <f>SUM(S137:S138)</f>
        <v>0</v>
      </c>
      <c r="T139" s="8">
        <f t="shared" si="100"/>
        <v>0</v>
      </c>
      <c r="U139" s="8">
        <f t="shared" si="100"/>
        <v>0</v>
      </c>
      <c r="V139" s="8">
        <f t="shared" si="100"/>
        <v>0</v>
      </c>
      <c r="W139" s="27" t="str">
        <f t="shared" si="91"/>
        <v>OK</v>
      </c>
      <c r="X139" s="3"/>
      <c r="Y139" s="3"/>
      <c r="Z139" s="3"/>
      <c r="AA139" s="3"/>
      <c r="AB139" s="3"/>
      <c r="AC139" s="3"/>
    </row>
    <row r="140" spans="1:29" x14ac:dyDescent="0.2">
      <c r="A140" s="3">
        <f t="shared" si="75"/>
        <v>49</v>
      </c>
      <c r="B140" s="3"/>
      <c r="C140" s="3"/>
      <c r="D140" s="3"/>
      <c r="E140" s="4"/>
      <c r="F140" s="4"/>
      <c r="G140" s="4"/>
      <c r="H140" s="8"/>
      <c r="I140" s="8"/>
      <c r="J140" s="8"/>
      <c r="K140" s="8"/>
      <c r="L140" s="8"/>
      <c r="M140" s="3"/>
      <c r="N140" s="3"/>
      <c r="O140" s="3"/>
      <c r="P140" s="9">
        <f t="shared" si="67"/>
        <v>0</v>
      </c>
      <c r="Q140" s="3"/>
      <c r="R140" s="3"/>
      <c r="S140" s="3"/>
      <c r="T140" s="3"/>
      <c r="U140" s="3"/>
      <c r="V140" s="3"/>
      <c r="W140" s="27" t="str">
        <f t="shared" si="91"/>
        <v>OK</v>
      </c>
      <c r="X140" s="3"/>
      <c r="Y140" s="3"/>
      <c r="Z140" s="3"/>
      <c r="AA140" s="3"/>
      <c r="AB140" s="3"/>
      <c r="AC140" s="3"/>
    </row>
    <row r="141" spans="1:29" x14ac:dyDescent="0.2">
      <c r="A141" s="3">
        <f t="shared" si="75"/>
        <v>50</v>
      </c>
      <c r="B141" s="3" t="s">
        <v>72</v>
      </c>
      <c r="C141" s="3" t="s">
        <v>73</v>
      </c>
      <c r="D141" s="78" t="s">
        <v>343</v>
      </c>
      <c r="E141" s="4" t="s">
        <v>591</v>
      </c>
      <c r="F141" s="11"/>
      <c r="G141" s="11"/>
      <c r="H141" s="2">
        <f>'II-I TOTAL COMPANY'!L141</f>
        <v>0</v>
      </c>
      <c r="I141" s="66">
        <v>0</v>
      </c>
      <c r="J141" s="66">
        <f t="shared" si="98"/>
        <v>0</v>
      </c>
      <c r="K141" s="12">
        <f t="shared" ref="K141:L146" si="101">VLOOKUP($D141,$E$741:$V$815,K$1,FALSE)*$H141</f>
        <v>0</v>
      </c>
      <c r="L141" s="12">
        <f t="shared" si="101"/>
        <v>0</v>
      </c>
      <c r="M141" s="9">
        <f t="shared" ref="M141:M146" si="102">SUM(N141:O141)</f>
        <v>0</v>
      </c>
      <c r="N141" s="12">
        <f t="shared" ref="N141:O146" si="103">VLOOKUP($D141,$E$741:$V$815,N$1,FALSE)*$H141</f>
        <v>0</v>
      </c>
      <c r="O141" s="12">
        <f t="shared" si="103"/>
        <v>0</v>
      </c>
      <c r="P141" s="9">
        <f t="shared" si="67"/>
        <v>0</v>
      </c>
      <c r="Q141" s="12">
        <f t="shared" ref="Q141:V146" si="104">VLOOKUP($D141,$E$741:$V$815,Q$1,FALSE)*$H141</f>
        <v>0</v>
      </c>
      <c r="R141" s="12">
        <f t="shared" si="104"/>
        <v>0</v>
      </c>
      <c r="S141" s="12">
        <f t="shared" si="104"/>
        <v>0</v>
      </c>
      <c r="T141" s="12">
        <f t="shared" si="104"/>
        <v>0</v>
      </c>
      <c r="U141" s="12">
        <f t="shared" si="104"/>
        <v>0</v>
      </c>
      <c r="V141" s="12">
        <f t="shared" si="104"/>
        <v>0</v>
      </c>
      <c r="W141" s="27" t="str">
        <f t="shared" si="91"/>
        <v>OK</v>
      </c>
      <c r="X141" s="3"/>
      <c r="Y141" s="3"/>
      <c r="Z141" s="3"/>
      <c r="AA141" s="3"/>
      <c r="AB141" s="3"/>
      <c r="AC141" s="3"/>
    </row>
    <row r="142" spans="1:29" x14ac:dyDescent="0.2">
      <c r="A142" s="3">
        <f t="shared" si="75"/>
        <v>51</v>
      </c>
      <c r="B142" s="3" t="s">
        <v>74</v>
      </c>
      <c r="C142" s="3" t="s">
        <v>75</v>
      </c>
      <c r="D142" s="78" t="s">
        <v>344</v>
      </c>
      <c r="E142" s="4" t="s">
        <v>591</v>
      </c>
      <c r="F142" s="11"/>
      <c r="G142" s="11"/>
      <c r="H142" s="2">
        <f>'II-I TOTAL COMPANY'!L142</f>
        <v>48515731.413830578</v>
      </c>
      <c r="I142" s="66">
        <v>0</v>
      </c>
      <c r="J142" s="66">
        <f t="shared" si="98"/>
        <v>48515731.413830586</v>
      </c>
      <c r="K142" s="12">
        <f t="shared" si="101"/>
        <v>22744503.506788339</v>
      </c>
      <c r="L142" s="12">
        <f t="shared" si="101"/>
        <v>4321699.3569271909</v>
      </c>
      <c r="M142" s="9">
        <f t="shared" si="102"/>
        <v>17156855.568331026</v>
      </c>
      <c r="N142" s="12">
        <f t="shared" si="103"/>
        <v>334717.57970177941</v>
      </c>
      <c r="O142" s="12">
        <f t="shared" si="103"/>
        <v>16822137.988629248</v>
      </c>
      <c r="P142" s="9">
        <f t="shared" si="67"/>
        <v>2307332.4120125012</v>
      </c>
      <c r="Q142" s="12">
        <f t="shared" si="104"/>
        <v>996444.66043633805</v>
      </c>
      <c r="R142" s="12">
        <f t="shared" si="104"/>
        <v>1168538.5143709721</v>
      </c>
      <c r="S142" s="12">
        <f t="shared" si="104"/>
        <v>142349.23720519114</v>
      </c>
      <c r="T142" s="12">
        <f t="shared" si="104"/>
        <v>1944972.875638704</v>
      </c>
      <c r="U142" s="12">
        <f t="shared" si="104"/>
        <v>0</v>
      </c>
      <c r="V142" s="12">
        <f t="shared" si="104"/>
        <v>40367.694132815399</v>
      </c>
      <c r="W142" s="27">
        <f t="shared" si="91"/>
        <v>-7.4505805969238281E-9</v>
      </c>
      <c r="X142" s="3"/>
      <c r="Y142" s="3"/>
      <c r="Z142" s="3"/>
      <c r="AA142" s="3"/>
      <c r="AB142" s="3"/>
      <c r="AC142" s="3"/>
    </row>
    <row r="143" spans="1:29" x14ac:dyDescent="0.2">
      <c r="A143" s="3">
        <f t="shared" si="75"/>
        <v>52</v>
      </c>
      <c r="B143" s="3" t="s">
        <v>76</v>
      </c>
      <c r="C143" s="3" t="s">
        <v>77</v>
      </c>
      <c r="D143" s="78" t="s">
        <v>371</v>
      </c>
      <c r="E143" s="4" t="s">
        <v>591</v>
      </c>
      <c r="F143" s="11"/>
      <c r="G143" s="11"/>
      <c r="H143" s="2">
        <f>'II-I TOTAL COMPANY'!L143</f>
        <v>0</v>
      </c>
      <c r="I143" s="66">
        <v>0</v>
      </c>
      <c r="J143" s="66">
        <f t="shared" si="98"/>
        <v>0</v>
      </c>
      <c r="K143" s="12">
        <f t="shared" si="101"/>
        <v>0</v>
      </c>
      <c r="L143" s="12">
        <f t="shared" si="101"/>
        <v>0</v>
      </c>
      <c r="M143" s="9">
        <f t="shared" si="102"/>
        <v>0</v>
      </c>
      <c r="N143" s="12">
        <f t="shared" si="103"/>
        <v>0</v>
      </c>
      <c r="O143" s="12">
        <f t="shared" si="103"/>
        <v>0</v>
      </c>
      <c r="P143" s="9">
        <f t="shared" si="67"/>
        <v>0</v>
      </c>
      <c r="Q143" s="12">
        <f t="shared" si="104"/>
        <v>0</v>
      </c>
      <c r="R143" s="12">
        <f t="shared" si="104"/>
        <v>0</v>
      </c>
      <c r="S143" s="12">
        <f t="shared" si="104"/>
        <v>0</v>
      </c>
      <c r="T143" s="12">
        <f t="shared" si="104"/>
        <v>0</v>
      </c>
      <c r="U143" s="12">
        <f t="shared" si="104"/>
        <v>0</v>
      </c>
      <c r="V143" s="12">
        <f t="shared" si="104"/>
        <v>0</v>
      </c>
      <c r="W143" s="27" t="str">
        <f t="shared" si="91"/>
        <v>OK</v>
      </c>
      <c r="X143" s="3"/>
      <c r="Y143" s="3"/>
      <c r="Z143" s="3"/>
      <c r="AA143" s="3"/>
      <c r="AB143" s="3"/>
      <c r="AC143" s="3"/>
    </row>
    <row r="144" spans="1:29" x14ac:dyDescent="0.2">
      <c r="A144" s="3">
        <f t="shared" si="75"/>
        <v>53</v>
      </c>
      <c r="B144" s="3" t="s">
        <v>78</v>
      </c>
      <c r="C144" s="3" t="s">
        <v>79</v>
      </c>
      <c r="D144" s="78" t="s">
        <v>368</v>
      </c>
      <c r="E144" s="4" t="s">
        <v>591</v>
      </c>
      <c r="F144" s="11"/>
      <c r="G144" s="11"/>
      <c r="H144" s="2">
        <f>'II-I TOTAL COMPANY'!L144</f>
        <v>0</v>
      </c>
      <c r="I144" s="66">
        <v>0</v>
      </c>
      <c r="J144" s="66">
        <f t="shared" si="98"/>
        <v>0</v>
      </c>
      <c r="K144" s="12">
        <f t="shared" si="101"/>
        <v>0</v>
      </c>
      <c r="L144" s="12">
        <f t="shared" si="101"/>
        <v>0</v>
      </c>
      <c r="M144" s="9">
        <f t="shared" si="102"/>
        <v>0</v>
      </c>
      <c r="N144" s="12">
        <f t="shared" si="103"/>
        <v>0</v>
      </c>
      <c r="O144" s="12">
        <f t="shared" si="103"/>
        <v>0</v>
      </c>
      <c r="P144" s="9">
        <f t="shared" si="67"/>
        <v>0</v>
      </c>
      <c r="Q144" s="12">
        <f t="shared" si="104"/>
        <v>0</v>
      </c>
      <c r="R144" s="12">
        <f t="shared" si="104"/>
        <v>0</v>
      </c>
      <c r="S144" s="12">
        <f t="shared" si="104"/>
        <v>0</v>
      </c>
      <c r="T144" s="12">
        <f t="shared" si="104"/>
        <v>0</v>
      </c>
      <c r="U144" s="12">
        <f t="shared" si="104"/>
        <v>0</v>
      </c>
      <c r="V144" s="12">
        <f t="shared" si="104"/>
        <v>0</v>
      </c>
      <c r="W144" s="27" t="str">
        <f t="shared" si="91"/>
        <v>OK</v>
      </c>
      <c r="X144" s="3"/>
      <c r="Y144" s="3"/>
      <c r="Z144" s="3"/>
      <c r="AA144" s="3"/>
      <c r="AB144" s="3"/>
      <c r="AC144" s="3"/>
    </row>
    <row r="145" spans="1:29" x14ac:dyDescent="0.2">
      <c r="A145" s="3">
        <f t="shared" si="75"/>
        <v>54</v>
      </c>
      <c r="B145" s="3" t="s">
        <v>80</v>
      </c>
      <c r="C145" s="3" t="s">
        <v>81</v>
      </c>
      <c r="D145" s="78" t="s">
        <v>372</v>
      </c>
      <c r="E145" s="4" t="s">
        <v>591</v>
      </c>
      <c r="F145" s="11"/>
      <c r="G145" s="11"/>
      <c r="H145" s="2">
        <f>'II-I TOTAL COMPANY'!L145</f>
        <v>0</v>
      </c>
      <c r="I145" s="66">
        <v>0</v>
      </c>
      <c r="J145" s="66">
        <f t="shared" si="98"/>
        <v>0</v>
      </c>
      <c r="K145" s="12">
        <f t="shared" si="101"/>
        <v>0</v>
      </c>
      <c r="L145" s="12">
        <f t="shared" si="101"/>
        <v>0</v>
      </c>
      <c r="M145" s="9">
        <f t="shared" si="102"/>
        <v>0</v>
      </c>
      <c r="N145" s="12">
        <f t="shared" si="103"/>
        <v>0</v>
      </c>
      <c r="O145" s="12">
        <f t="shared" si="103"/>
        <v>0</v>
      </c>
      <c r="P145" s="9">
        <f t="shared" si="67"/>
        <v>0</v>
      </c>
      <c r="Q145" s="12">
        <f t="shared" si="104"/>
        <v>0</v>
      </c>
      <c r="R145" s="12">
        <f t="shared" si="104"/>
        <v>0</v>
      </c>
      <c r="S145" s="12">
        <f t="shared" si="104"/>
        <v>0</v>
      </c>
      <c r="T145" s="12">
        <f t="shared" si="104"/>
        <v>0</v>
      </c>
      <c r="U145" s="12">
        <f t="shared" si="104"/>
        <v>0</v>
      </c>
      <c r="V145" s="12">
        <f t="shared" si="104"/>
        <v>0</v>
      </c>
      <c r="W145" s="27" t="str">
        <f t="shared" si="91"/>
        <v>OK</v>
      </c>
      <c r="X145" s="3"/>
      <c r="Y145" s="3"/>
      <c r="Z145" s="3"/>
      <c r="AA145" s="3"/>
      <c r="AB145" s="3"/>
      <c r="AC145" s="3"/>
    </row>
    <row r="146" spans="1:29" x14ac:dyDescent="0.2">
      <c r="A146" s="3">
        <f t="shared" si="75"/>
        <v>55</v>
      </c>
      <c r="B146" s="3" t="s">
        <v>74</v>
      </c>
      <c r="C146" s="3" t="s">
        <v>817</v>
      </c>
      <c r="D146" s="78" t="s">
        <v>344</v>
      </c>
      <c r="E146" s="4" t="s">
        <v>591</v>
      </c>
      <c r="F146" s="11"/>
      <c r="G146" s="4"/>
      <c r="H146" s="2">
        <f>'II-I TOTAL COMPANY'!L146</f>
        <v>163006130.57725033</v>
      </c>
      <c r="I146" s="66">
        <v>0</v>
      </c>
      <c r="J146" s="66">
        <f t="shared" si="98"/>
        <v>163006130.5772503</v>
      </c>
      <c r="K146" s="12">
        <f t="shared" si="101"/>
        <v>76418378.13219811</v>
      </c>
      <c r="L146" s="12">
        <f t="shared" si="101"/>
        <v>14520310.61187028</v>
      </c>
      <c r="M146" s="9">
        <f t="shared" si="102"/>
        <v>57644655.817126006</v>
      </c>
      <c r="N146" s="12">
        <f t="shared" si="103"/>
        <v>1124604.6573630655</v>
      </c>
      <c r="O146" s="12">
        <f t="shared" si="103"/>
        <v>56520051.159762941</v>
      </c>
      <c r="P146" s="9">
        <f>SUM(Q146:S146)</f>
        <v>7752316.9800221268</v>
      </c>
      <c r="Q146" s="12">
        <f t="shared" si="104"/>
        <v>3347915.8965288932</v>
      </c>
      <c r="R146" s="12">
        <f t="shared" si="104"/>
        <v>3926127.3839891064</v>
      </c>
      <c r="S146" s="12">
        <f t="shared" si="104"/>
        <v>478273.69950412755</v>
      </c>
      <c r="T146" s="12">
        <f t="shared" si="104"/>
        <v>6534839.1809505327</v>
      </c>
      <c r="U146" s="12">
        <f t="shared" si="104"/>
        <v>0</v>
      </c>
      <c r="V146" s="12">
        <f t="shared" si="104"/>
        <v>135629.85508326007</v>
      </c>
      <c r="W146" s="27">
        <f t="shared" si="91"/>
        <v>-2.9802322387695313E-8</v>
      </c>
      <c r="X146" s="3"/>
      <c r="Y146" s="3"/>
      <c r="Z146" s="3"/>
      <c r="AA146" s="3"/>
      <c r="AB146" s="3"/>
      <c r="AC146" s="3"/>
    </row>
    <row r="147" spans="1:29" x14ac:dyDescent="0.2">
      <c r="A147" s="3">
        <f t="shared" si="75"/>
        <v>56</v>
      </c>
      <c r="B147" s="3"/>
      <c r="C147" s="3" t="s">
        <v>82</v>
      </c>
      <c r="D147" s="3"/>
      <c r="E147" s="4"/>
      <c r="F147" s="8"/>
      <c r="G147" s="8"/>
      <c r="H147" s="8">
        <f>SUM(H140:H146,H139,H135,H130,H125,H121,H114:H117)</f>
        <v>211521861.99108091</v>
      </c>
      <c r="I147" s="8">
        <f t="shared" ref="I147:V147" si="105">SUM(I140:I146,I139,I135,I130,I125,I121,I114:I117)</f>
        <v>0</v>
      </c>
      <c r="J147" s="66">
        <f t="shared" si="98"/>
        <v>211521861.99108097</v>
      </c>
      <c r="K147" s="8">
        <f t="shared" si="105"/>
        <v>99162881.638986453</v>
      </c>
      <c r="L147" s="8">
        <f t="shared" si="105"/>
        <v>18842009.968797471</v>
      </c>
      <c r="M147" s="8">
        <f t="shared" si="105"/>
        <v>74801511.385457039</v>
      </c>
      <c r="N147" s="8">
        <f t="shared" si="105"/>
        <v>1459322.2370648449</v>
      </c>
      <c r="O147" s="8">
        <f t="shared" si="105"/>
        <v>73342189.148392186</v>
      </c>
      <c r="P147" s="8">
        <f t="shared" si="105"/>
        <v>10059649.392034627</v>
      </c>
      <c r="Q147" s="8">
        <f t="shared" si="105"/>
        <v>4344360.556965231</v>
      </c>
      <c r="R147" s="8">
        <f t="shared" si="105"/>
        <v>5094665.8983600782</v>
      </c>
      <c r="S147" s="8">
        <f t="shared" si="105"/>
        <v>620622.93670931866</v>
      </c>
      <c r="T147" s="8">
        <f t="shared" si="105"/>
        <v>8479812.0565892365</v>
      </c>
      <c r="U147" s="8">
        <f t="shared" si="105"/>
        <v>0</v>
      </c>
      <c r="V147" s="8">
        <f t="shared" si="105"/>
        <v>175997.54921607548</v>
      </c>
      <c r="W147" s="27">
        <f t="shared" si="91"/>
        <v>-2.9802322387695313E-8</v>
      </c>
      <c r="X147" s="3"/>
      <c r="Y147" s="3"/>
      <c r="Z147" s="3"/>
      <c r="AA147" s="3"/>
      <c r="AB147" s="3"/>
      <c r="AC147" s="3"/>
    </row>
    <row r="148" spans="1:29" x14ac:dyDescent="0.2">
      <c r="A148" s="3"/>
      <c r="B148" s="7" t="s">
        <v>83</v>
      </c>
      <c r="C148" s="3"/>
      <c r="D148" s="3"/>
      <c r="E148" s="4"/>
      <c r="F148" s="4"/>
      <c r="G148" s="4"/>
      <c r="H148" s="8"/>
      <c r="I148" s="8"/>
      <c r="J148" s="8"/>
      <c r="K148" s="8"/>
      <c r="L148" s="8"/>
      <c r="M148" s="3"/>
      <c r="N148" s="3"/>
      <c r="O148" s="3"/>
      <c r="P148" s="9">
        <f t="shared" ref="P148:P211" si="106">SUM(Q148:S148)</f>
        <v>0</v>
      </c>
      <c r="Q148" s="3"/>
      <c r="R148" s="3"/>
      <c r="S148" s="3"/>
      <c r="T148" s="3"/>
      <c r="U148" s="3"/>
      <c r="V148" s="3"/>
      <c r="W148" s="27" t="str">
        <f t="shared" si="91"/>
        <v>OK</v>
      </c>
      <c r="X148" s="3"/>
      <c r="Y148" s="3"/>
      <c r="Z148" s="3"/>
      <c r="AA148" s="3"/>
      <c r="AB148" s="3"/>
      <c r="AC148" s="3"/>
    </row>
    <row r="149" spans="1:29" x14ac:dyDescent="0.2">
      <c r="A149" s="3"/>
      <c r="B149" s="3"/>
      <c r="C149" s="3"/>
      <c r="D149" s="3"/>
      <c r="E149" s="4"/>
      <c r="F149" s="4"/>
      <c r="G149" s="4"/>
      <c r="H149" s="8"/>
      <c r="I149" s="8"/>
      <c r="J149" s="8"/>
      <c r="K149" s="8"/>
      <c r="L149" s="8"/>
      <c r="M149" s="3"/>
      <c r="N149" s="3"/>
      <c r="O149" s="3"/>
      <c r="P149" s="9">
        <f t="shared" si="106"/>
        <v>0</v>
      </c>
      <c r="Q149" s="3"/>
      <c r="R149" s="3"/>
      <c r="S149" s="3"/>
      <c r="T149" s="3"/>
      <c r="U149" s="3"/>
      <c r="V149" s="3"/>
      <c r="W149" s="27" t="str">
        <f t="shared" si="91"/>
        <v>OK</v>
      </c>
      <c r="X149" s="3"/>
      <c r="Y149" s="3"/>
      <c r="Z149" s="3"/>
      <c r="AA149" s="3"/>
      <c r="AB149" s="3"/>
      <c r="AC149" s="3"/>
    </row>
    <row r="150" spans="1:29" x14ac:dyDescent="0.2">
      <c r="A150" s="3">
        <v>1</v>
      </c>
      <c r="B150" s="3" t="s">
        <v>84</v>
      </c>
      <c r="C150" s="3"/>
      <c r="D150" s="78"/>
      <c r="E150" s="4"/>
      <c r="F150" s="4"/>
      <c r="G150" s="4"/>
      <c r="H150" s="8"/>
      <c r="I150" s="8"/>
      <c r="J150" s="8"/>
      <c r="K150" s="8"/>
      <c r="L150" s="8"/>
      <c r="M150" s="3"/>
      <c r="N150" s="3"/>
      <c r="O150" s="3"/>
      <c r="P150" s="9">
        <f t="shared" si="106"/>
        <v>0</v>
      </c>
      <c r="Q150" s="3"/>
      <c r="R150" s="3"/>
      <c r="S150" s="3"/>
      <c r="T150" s="3"/>
      <c r="U150" s="3"/>
      <c r="V150" s="3"/>
      <c r="W150" s="27" t="str">
        <f t="shared" si="91"/>
        <v>OK</v>
      </c>
      <c r="X150" s="3"/>
      <c r="Y150" s="3"/>
      <c r="Z150" s="3"/>
      <c r="AA150" s="3"/>
      <c r="AB150" s="3"/>
      <c r="AC150" s="3"/>
    </row>
    <row r="151" spans="1:29" x14ac:dyDescent="0.2">
      <c r="A151" s="3">
        <f t="shared" ref="A151:A191" si="107">+A150+1</f>
        <v>2</v>
      </c>
      <c r="B151" s="3" t="s">
        <v>85</v>
      </c>
      <c r="C151" s="3" t="s">
        <v>35</v>
      </c>
      <c r="D151" s="78" t="s">
        <v>323</v>
      </c>
      <c r="E151" s="4" t="s">
        <v>591</v>
      </c>
      <c r="F151" s="11"/>
      <c r="G151" s="78"/>
      <c r="H151" s="2">
        <f>'II-I TOTAL COMPANY'!L151</f>
        <v>170309.80331436262</v>
      </c>
      <c r="I151" s="66">
        <v>0</v>
      </c>
      <c r="J151" s="66">
        <f t="shared" ref="J151:J160" ca="1" si="108">SUM(K151:V151)-M151-P151</f>
        <v>170309.80331436262</v>
      </c>
      <c r="K151" s="12">
        <f t="shared" ref="K151:L160" ca="1" si="109">VLOOKUP($D151,$E$741:$V$815,K$1,FALSE)*$H151</f>
        <v>79842.389382584617</v>
      </c>
      <c r="L151" s="12">
        <f t="shared" ca="1" si="109"/>
        <v>15170.909435207548</v>
      </c>
      <c r="M151" s="9">
        <f t="shared" ref="M151:M160" ca="1" si="110">SUM(N151:O151)</f>
        <v>60227.489356213307</v>
      </c>
      <c r="N151" s="12">
        <f t="shared" ref="N151:O160" ca="1" si="111">VLOOKUP($D151,$E$741:$V$815,N$1,FALSE)*$H151</f>
        <v>1174.9938319721741</v>
      </c>
      <c r="O151" s="12">
        <f t="shared" ca="1" si="111"/>
        <v>59052.495524241131</v>
      </c>
      <c r="P151" s="9">
        <f t="shared" ca="1" si="106"/>
        <v>8099.6682481979442</v>
      </c>
      <c r="Q151" s="12">
        <f t="shared" ref="Q151:V160" ca="1" si="112">VLOOKUP($D151,$E$741:$V$815,Q$1,FALSE)*$H151</f>
        <v>3497.9230279970861</v>
      </c>
      <c r="R151" s="12">
        <f t="shared" ca="1" si="112"/>
        <v>4102.0419304869883</v>
      </c>
      <c r="S151" s="12">
        <f t="shared" ca="1" si="112"/>
        <v>499.70328971386942</v>
      </c>
      <c r="T151" s="12">
        <f t="shared" ca="1" si="112"/>
        <v>6827.6399891060455</v>
      </c>
      <c r="U151" s="12">
        <f t="shared" ca="1" si="112"/>
        <v>0</v>
      </c>
      <c r="V151" s="12">
        <f t="shared" ca="1" si="112"/>
        <v>141.70690305318692</v>
      </c>
      <c r="W151" s="27" t="str">
        <f t="shared" ca="1" si="91"/>
        <v>OK</v>
      </c>
      <c r="X151" s="3"/>
      <c r="Y151" s="3"/>
      <c r="Z151" s="3"/>
      <c r="AA151" s="3"/>
      <c r="AB151" s="3"/>
      <c r="AC151" s="3"/>
    </row>
    <row r="152" spans="1:29" x14ac:dyDescent="0.2">
      <c r="A152" s="3">
        <f t="shared" si="107"/>
        <v>3</v>
      </c>
      <c r="B152" s="3" t="s">
        <v>86</v>
      </c>
      <c r="C152" s="3" t="s">
        <v>31</v>
      </c>
      <c r="D152" s="78" t="s">
        <v>323</v>
      </c>
      <c r="E152" s="4" t="s">
        <v>591</v>
      </c>
      <c r="F152" s="11"/>
      <c r="G152" s="78"/>
      <c r="H152" s="2">
        <f>'II-I TOTAL COMPANY'!L152</f>
        <v>1700124.9917982647</v>
      </c>
      <c r="I152" s="66">
        <v>0</v>
      </c>
      <c r="J152" s="66">
        <f t="shared" ca="1" si="108"/>
        <v>1700124.991798264</v>
      </c>
      <c r="K152" s="12">
        <f t="shared" ca="1" si="109"/>
        <v>797030.11190532614</v>
      </c>
      <c r="L152" s="12">
        <f t="shared" ca="1" si="109"/>
        <v>151444.26085382784</v>
      </c>
      <c r="M152" s="9">
        <f t="shared" ca="1" si="110"/>
        <v>601223.52239911887</v>
      </c>
      <c r="N152" s="12">
        <f t="shared" ca="1" si="111"/>
        <v>11729.426844897534</v>
      </c>
      <c r="O152" s="12">
        <f t="shared" ca="1" si="111"/>
        <v>589494.09555422131</v>
      </c>
      <c r="P152" s="9">
        <f t="shared" ca="1" si="106"/>
        <v>80855.28927902237</v>
      </c>
      <c r="Q152" s="12">
        <f t="shared" ca="1" si="112"/>
        <v>34918.168206133974</v>
      </c>
      <c r="R152" s="12">
        <f t="shared" ca="1" si="112"/>
        <v>40948.811329154974</v>
      </c>
      <c r="S152" s="12">
        <f t="shared" ca="1" si="112"/>
        <v>4988.3097437334245</v>
      </c>
      <c r="T152" s="12">
        <f t="shared" ca="1" si="112"/>
        <v>68157.212060507984</v>
      </c>
      <c r="U152" s="12">
        <f t="shared" ca="1" si="112"/>
        <v>0</v>
      </c>
      <c r="V152" s="12">
        <f t="shared" ca="1" si="112"/>
        <v>1414.5953004617179</v>
      </c>
      <c r="W152" s="27" t="str">
        <f t="shared" ca="1" si="91"/>
        <v>OK</v>
      </c>
      <c r="X152" s="3"/>
      <c r="Y152" s="3"/>
      <c r="Z152" s="3"/>
      <c r="AA152" s="3"/>
      <c r="AB152" s="3"/>
      <c r="AC152" s="3"/>
    </row>
    <row r="153" spans="1:29" x14ac:dyDescent="0.2">
      <c r="A153" s="3">
        <f t="shared" si="107"/>
        <v>4</v>
      </c>
      <c r="B153" s="3" t="s">
        <v>87</v>
      </c>
      <c r="C153" s="3" t="s">
        <v>88</v>
      </c>
      <c r="D153" s="78" t="s">
        <v>323</v>
      </c>
      <c r="E153" s="4" t="s">
        <v>591</v>
      </c>
      <c r="F153" s="11"/>
      <c r="G153" s="78"/>
      <c r="H153" s="2">
        <f>'II-I TOTAL COMPANY'!L153</f>
        <v>40477.696669725352</v>
      </c>
      <c r="I153" s="66">
        <v>0</v>
      </c>
      <c r="J153" s="66">
        <f t="shared" ca="1" si="108"/>
        <v>40477.696669725359</v>
      </c>
      <c r="K153" s="12">
        <f t="shared" ca="1" si="109"/>
        <v>18976.218373342526</v>
      </c>
      <c r="L153" s="12">
        <f t="shared" ca="1" si="109"/>
        <v>3605.6848071670479</v>
      </c>
      <c r="M153" s="9">
        <f t="shared" ca="1" si="110"/>
        <v>14314.325998251699</v>
      </c>
      <c r="N153" s="12">
        <f t="shared" ca="1" si="111"/>
        <v>279.26192734530019</v>
      </c>
      <c r="O153" s="12">
        <f t="shared" ca="1" si="111"/>
        <v>14035.064070906399</v>
      </c>
      <c r="P153" s="9">
        <f t="shared" ca="1" si="106"/>
        <v>1925.0560337433801</v>
      </c>
      <c r="Q153" s="12">
        <f t="shared" ca="1" si="112"/>
        <v>831.35476963687415</v>
      </c>
      <c r="R153" s="12">
        <f t="shared" ca="1" si="112"/>
        <v>974.93629701552402</v>
      </c>
      <c r="S153" s="12">
        <f t="shared" ca="1" si="112"/>
        <v>118.764967090982</v>
      </c>
      <c r="T153" s="12">
        <f t="shared" ca="1" si="112"/>
        <v>1622.7318396874382</v>
      </c>
      <c r="U153" s="12">
        <f t="shared" ca="1" si="112"/>
        <v>0</v>
      </c>
      <c r="V153" s="12">
        <f t="shared" ca="1" si="112"/>
        <v>33.679617533263567</v>
      </c>
      <c r="W153" s="27" t="str">
        <f t="shared" ca="1" si="91"/>
        <v>OK</v>
      </c>
      <c r="X153" s="3"/>
      <c r="Y153" s="3"/>
      <c r="Z153" s="3"/>
      <c r="AA153" s="3"/>
      <c r="AB153" s="3"/>
      <c r="AC153" s="3"/>
    </row>
    <row r="154" spans="1:29" x14ac:dyDescent="0.2">
      <c r="A154" s="3">
        <f t="shared" si="107"/>
        <v>5</v>
      </c>
      <c r="B154" s="3" t="s">
        <v>89</v>
      </c>
      <c r="C154" s="3" t="s">
        <v>90</v>
      </c>
      <c r="D154" s="78" t="s">
        <v>323</v>
      </c>
      <c r="E154" s="4" t="s">
        <v>591</v>
      </c>
      <c r="F154" s="11"/>
      <c r="G154" s="78"/>
      <c r="H154" s="2">
        <f>'II-I TOTAL COMPANY'!L154</f>
        <v>4405.1277825915577</v>
      </c>
      <c r="I154" s="66">
        <v>0</v>
      </c>
      <c r="J154" s="66">
        <f t="shared" ca="1" si="108"/>
        <v>4405.1277825915577</v>
      </c>
      <c r="K154" s="12">
        <f t="shared" ca="1" si="109"/>
        <v>2065.1537424919079</v>
      </c>
      <c r="L154" s="12">
        <f t="shared" ca="1" si="109"/>
        <v>392.4013376778837</v>
      </c>
      <c r="M154" s="9">
        <f t="shared" ca="1" si="110"/>
        <v>1557.8068994013004</v>
      </c>
      <c r="N154" s="12">
        <f t="shared" ca="1" si="111"/>
        <v>30.391661976382757</v>
      </c>
      <c r="O154" s="12">
        <f t="shared" ca="1" si="111"/>
        <v>1527.4152374249177</v>
      </c>
      <c r="P154" s="9">
        <f t="shared" ca="1" si="106"/>
        <v>209.50099721536387</v>
      </c>
      <c r="Q154" s="12">
        <f t="shared" ca="1" si="112"/>
        <v>90.475108373854198</v>
      </c>
      <c r="R154" s="12">
        <f t="shared" ca="1" si="112"/>
        <v>106.10087335953051</v>
      </c>
      <c r="S154" s="12">
        <f t="shared" ca="1" si="112"/>
        <v>12.92501548197917</v>
      </c>
      <c r="T154" s="12">
        <f t="shared" ca="1" si="112"/>
        <v>176.5995029072277</v>
      </c>
      <c r="U154" s="12">
        <f t="shared" ca="1" si="112"/>
        <v>0</v>
      </c>
      <c r="V154" s="12">
        <f t="shared" ca="1" si="112"/>
        <v>3.6653028978746915</v>
      </c>
      <c r="W154" s="27" t="str">
        <f t="shared" ca="1" si="91"/>
        <v>OK</v>
      </c>
      <c r="X154" s="3"/>
      <c r="Y154" s="3"/>
      <c r="Z154" s="3"/>
      <c r="AA154" s="3"/>
      <c r="AB154" s="3"/>
      <c r="AC154" s="3"/>
    </row>
    <row r="155" spans="1:29" x14ac:dyDescent="0.2">
      <c r="A155" s="3">
        <f t="shared" si="107"/>
        <v>6</v>
      </c>
      <c r="B155" s="3" t="s">
        <v>91</v>
      </c>
      <c r="C155" s="3" t="s">
        <v>92</v>
      </c>
      <c r="D155" s="78" t="s">
        <v>323</v>
      </c>
      <c r="E155" s="4" t="s">
        <v>591</v>
      </c>
      <c r="F155" s="11"/>
      <c r="G155" s="78"/>
      <c r="H155" s="2">
        <f>'II-I TOTAL COMPANY'!L155</f>
        <v>57822.241094270219</v>
      </c>
      <c r="I155" s="66">
        <v>0</v>
      </c>
      <c r="J155" s="66">
        <f t="shared" ca="1" si="108"/>
        <v>57822.241094270234</v>
      </c>
      <c r="K155" s="12">
        <f t="shared" ca="1" si="109"/>
        <v>27107.458282368141</v>
      </c>
      <c r="L155" s="12">
        <f t="shared" ca="1" si="109"/>
        <v>5150.7075101409146</v>
      </c>
      <c r="M155" s="9">
        <f t="shared" ca="1" si="110"/>
        <v>20447.962138911545</v>
      </c>
      <c r="N155" s="12">
        <f t="shared" ca="1" si="111"/>
        <v>398.92463800905506</v>
      </c>
      <c r="O155" s="12">
        <f t="shared" ca="1" si="111"/>
        <v>20049.03750090249</v>
      </c>
      <c r="P155" s="9">
        <f t="shared" ca="1" si="106"/>
        <v>2749.935477093059</v>
      </c>
      <c r="Q155" s="12">
        <f t="shared" ca="1" si="112"/>
        <v>1187.5872364241663</v>
      </c>
      <c r="R155" s="12">
        <f t="shared" ca="1" si="112"/>
        <v>1392.692921179726</v>
      </c>
      <c r="S155" s="12">
        <f t="shared" ca="1" si="112"/>
        <v>169.6553194891666</v>
      </c>
      <c r="T155" s="12">
        <f t="shared" ca="1" si="112"/>
        <v>2318.0664757521727</v>
      </c>
      <c r="U155" s="12">
        <f t="shared" ca="1" si="112"/>
        <v>0</v>
      </c>
      <c r="V155" s="12">
        <f t="shared" ca="1" si="112"/>
        <v>48.11121000439055</v>
      </c>
      <c r="W155" s="27">
        <f t="shared" ca="1" si="91"/>
        <v>7.2759576141834259E-12</v>
      </c>
      <c r="X155" s="3"/>
      <c r="Y155" s="3"/>
      <c r="Z155" s="3"/>
      <c r="AA155" s="3"/>
      <c r="AB155" s="3"/>
      <c r="AC155" s="3"/>
    </row>
    <row r="156" spans="1:29" x14ac:dyDescent="0.2">
      <c r="A156" s="3">
        <f t="shared" si="107"/>
        <v>7</v>
      </c>
      <c r="B156" s="3" t="s">
        <v>93</v>
      </c>
      <c r="C156" s="3" t="s">
        <v>94</v>
      </c>
      <c r="D156" s="78" t="s">
        <v>323</v>
      </c>
      <c r="E156" s="4" t="s">
        <v>591</v>
      </c>
      <c r="F156" s="11"/>
      <c r="G156" s="78"/>
      <c r="H156" s="2">
        <f>'II-I TOTAL COMPANY'!L156</f>
        <v>934660.97580367827</v>
      </c>
      <c r="I156" s="66">
        <v>0</v>
      </c>
      <c r="J156" s="66">
        <f t="shared" ca="1" si="108"/>
        <v>934660.97580367804</v>
      </c>
      <c r="K156" s="12">
        <f t="shared" ca="1" si="109"/>
        <v>438175.39635741233</v>
      </c>
      <c r="L156" s="12">
        <f t="shared" ca="1" si="109"/>
        <v>83258.020035212568</v>
      </c>
      <c r="M156" s="9">
        <f t="shared" ca="1" si="110"/>
        <v>330528.73572978121</v>
      </c>
      <c r="N156" s="12">
        <f t="shared" ca="1" si="111"/>
        <v>6448.3714981884423</v>
      </c>
      <c r="O156" s="12">
        <f t="shared" ca="1" si="111"/>
        <v>324080.36423159274</v>
      </c>
      <c r="P156" s="9">
        <f t="shared" ca="1" si="106"/>
        <v>44451.016214099087</v>
      </c>
      <c r="Q156" s="12">
        <f t="shared" ca="1" si="112"/>
        <v>19196.617499459</v>
      </c>
      <c r="R156" s="12">
        <f t="shared" ca="1" si="112"/>
        <v>22512.024786145947</v>
      </c>
      <c r="S156" s="12">
        <f t="shared" ca="1" si="112"/>
        <v>2742.3739284941421</v>
      </c>
      <c r="T156" s="12">
        <f t="shared" ca="1" si="112"/>
        <v>37470.119338197263</v>
      </c>
      <c r="U156" s="12">
        <f t="shared" ca="1" si="112"/>
        <v>0</v>
      </c>
      <c r="V156" s="12">
        <f t="shared" ca="1" si="112"/>
        <v>777.68812897595114</v>
      </c>
      <c r="W156" s="27">
        <f t="shared" ca="1" si="91"/>
        <v>1.1641532182693481E-10</v>
      </c>
      <c r="X156" s="3"/>
      <c r="Y156" s="3"/>
      <c r="Z156" s="3"/>
      <c r="AA156" s="3"/>
      <c r="AB156" s="3"/>
      <c r="AC156" s="3"/>
    </row>
    <row r="157" spans="1:29" x14ac:dyDescent="0.2">
      <c r="A157" s="3">
        <f t="shared" si="107"/>
        <v>8</v>
      </c>
      <c r="B157" s="3" t="s">
        <v>95</v>
      </c>
      <c r="C157" s="3" t="s">
        <v>96</v>
      </c>
      <c r="D157" s="78" t="s">
        <v>323</v>
      </c>
      <c r="E157" s="4" t="s">
        <v>591</v>
      </c>
      <c r="F157" s="11"/>
      <c r="G157" s="78"/>
      <c r="H157" s="2">
        <f>'II-I TOTAL COMPANY'!L157</f>
        <v>8665.2061176068655</v>
      </c>
      <c r="I157" s="66">
        <v>0</v>
      </c>
      <c r="J157" s="66">
        <f t="shared" ca="1" si="108"/>
        <v>8665.2061176068673</v>
      </c>
      <c r="K157" s="12">
        <f t="shared" ca="1" si="109"/>
        <v>4062.3073214715891</v>
      </c>
      <c r="L157" s="12">
        <f t="shared" ca="1" si="109"/>
        <v>771.88191571667392</v>
      </c>
      <c r="M157" s="9">
        <f t="shared" ca="1" si="110"/>
        <v>3064.3192526871426</v>
      </c>
      <c r="N157" s="12">
        <f t="shared" ca="1" si="111"/>
        <v>59.782605245349259</v>
      </c>
      <c r="O157" s="12">
        <f t="shared" ca="1" si="111"/>
        <v>3004.5366474417933</v>
      </c>
      <c r="P157" s="9">
        <f t="shared" ca="1" si="106"/>
        <v>412.10366924868629</v>
      </c>
      <c r="Q157" s="12">
        <f t="shared" ca="1" si="112"/>
        <v>177.97110578051002</v>
      </c>
      <c r="R157" s="12">
        <f t="shared" ca="1" si="112"/>
        <v>208.70811978524625</v>
      </c>
      <c r="S157" s="12">
        <f t="shared" ca="1" si="112"/>
        <v>25.424443682929997</v>
      </c>
      <c r="T157" s="12">
        <f t="shared" ca="1" si="112"/>
        <v>347.38404161746587</v>
      </c>
      <c r="U157" s="12">
        <f t="shared" ca="1" si="112"/>
        <v>0</v>
      </c>
      <c r="V157" s="12">
        <f t="shared" ca="1" si="112"/>
        <v>7.2099168653085099</v>
      </c>
      <c r="W157" s="27" t="str">
        <f t="shared" ref="W157:W188" ca="1" si="113">IF((+K157+L157+M157+P157+T157+U157+V157)-H157=0,"OK",(+K157+L157+M157+P157+T157+U157+V157)-H157)</f>
        <v>OK</v>
      </c>
      <c r="X157" s="3"/>
      <c r="Y157" s="3"/>
      <c r="Z157" s="3"/>
      <c r="AA157" s="3"/>
      <c r="AB157" s="3"/>
      <c r="AC157" s="3"/>
    </row>
    <row r="158" spans="1:29" x14ac:dyDescent="0.2">
      <c r="A158" s="3">
        <f t="shared" si="107"/>
        <v>9</v>
      </c>
      <c r="B158" s="3" t="s">
        <v>97</v>
      </c>
      <c r="C158" s="3" t="s">
        <v>98</v>
      </c>
      <c r="D158" s="78" t="s">
        <v>323</v>
      </c>
      <c r="E158" s="4" t="s">
        <v>591</v>
      </c>
      <c r="F158" s="11"/>
      <c r="G158" s="78"/>
      <c r="H158" s="2">
        <f>'II-I TOTAL COMPANY'!L158</f>
        <v>517.45911177768392</v>
      </c>
      <c r="I158" s="66">
        <v>0</v>
      </c>
      <c r="J158" s="66">
        <f t="shared" ca="1" si="108"/>
        <v>517.45911177768403</v>
      </c>
      <c r="K158" s="12">
        <f t="shared" ca="1" si="109"/>
        <v>242.58833659656989</v>
      </c>
      <c r="L158" s="12">
        <f t="shared" ca="1" si="109"/>
        <v>46.0943831090676</v>
      </c>
      <c r="M158" s="9">
        <f t="shared" ca="1" si="110"/>
        <v>182.99159848913882</v>
      </c>
      <c r="N158" s="12">
        <f t="shared" ca="1" si="111"/>
        <v>3.5700309248452013</v>
      </c>
      <c r="O158" s="12">
        <f t="shared" ca="1" si="111"/>
        <v>179.42156756429361</v>
      </c>
      <c r="P158" s="9">
        <f t="shared" ca="1" si="106"/>
        <v>24.609547165468186</v>
      </c>
      <c r="Q158" s="12">
        <f t="shared" ca="1" si="112"/>
        <v>10.627879945308084</v>
      </c>
      <c r="R158" s="12">
        <f t="shared" ca="1" si="112"/>
        <v>12.463398656544662</v>
      </c>
      <c r="S158" s="12">
        <f t="shared" ca="1" si="112"/>
        <v>1.5182685636154405</v>
      </c>
      <c r="T158" s="12">
        <f t="shared" ca="1" si="112"/>
        <v>20.744692645667929</v>
      </c>
      <c r="U158" s="12">
        <f t="shared" ca="1" si="112"/>
        <v>0</v>
      </c>
      <c r="V158" s="12">
        <f t="shared" ca="1" si="112"/>
        <v>0.43055377177154297</v>
      </c>
      <c r="W158" s="27">
        <f t="shared" ca="1" si="113"/>
        <v>1.1368683772161603E-13</v>
      </c>
      <c r="X158" s="3"/>
      <c r="Y158" s="3"/>
      <c r="Z158" s="3"/>
      <c r="AA158" s="3"/>
      <c r="AB158" s="3"/>
      <c r="AC158" s="3"/>
    </row>
    <row r="159" spans="1:29" x14ac:dyDescent="0.2">
      <c r="A159" s="3">
        <f t="shared" si="107"/>
        <v>10</v>
      </c>
      <c r="B159" s="3" t="s">
        <v>99</v>
      </c>
      <c r="C159" s="3" t="s">
        <v>100</v>
      </c>
      <c r="D159" s="78" t="s">
        <v>323</v>
      </c>
      <c r="E159" s="4" t="s">
        <v>591</v>
      </c>
      <c r="F159" s="11"/>
      <c r="G159" s="78"/>
      <c r="H159" s="2">
        <f>'II-I TOTAL COMPANY'!L159</f>
        <v>175620.82227833138</v>
      </c>
      <c r="I159" s="66">
        <v>0</v>
      </c>
      <c r="J159" s="66">
        <f t="shared" ca="1" si="108"/>
        <v>175620.82227833141</v>
      </c>
      <c r="K159" s="12">
        <f t="shared" ca="1" si="109"/>
        <v>82332.231046935383</v>
      </c>
      <c r="L159" s="12">
        <f t="shared" ca="1" si="109"/>
        <v>15644.006028257543</v>
      </c>
      <c r="M159" s="9">
        <f t="shared" ca="1" si="110"/>
        <v>62105.650988122725</v>
      </c>
      <c r="N159" s="12">
        <f t="shared" ca="1" si="111"/>
        <v>1211.6353781586363</v>
      </c>
      <c r="O159" s="12">
        <f t="shared" ca="1" si="111"/>
        <v>60894.015609964088</v>
      </c>
      <c r="P159" s="9">
        <f t="shared" ca="1" si="106"/>
        <v>8352.2520151384288</v>
      </c>
      <c r="Q159" s="12">
        <f t="shared" ca="1" si="112"/>
        <v>3607.0038628912739</v>
      </c>
      <c r="R159" s="12">
        <f t="shared" ca="1" si="112"/>
        <v>4229.9618861198305</v>
      </c>
      <c r="S159" s="12">
        <f t="shared" ca="1" si="112"/>
        <v>515.28626612732478</v>
      </c>
      <c r="T159" s="12">
        <f t="shared" ca="1" si="112"/>
        <v>7040.5562438113648</v>
      </c>
      <c r="U159" s="12">
        <f t="shared" ca="1" si="112"/>
        <v>0</v>
      </c>
      <c r="V159" s="12">
        <f t="shared" ca="1" si="112"/>
        <v>146.12595606595784</v>
      </c>
      <c r="W159" s="27" t="str">
        <f t="shared" ca="1" si="113"/>
        <v>OK</v>
      </c>
      <c r="X159" s="3"/>
      <c r="Y159" s="3"/>
      <c r="Z159" s="3"/>
      <c r="AA159" s="3"/>
      <c r="AB159" s="3"/>
      <c r="AC159" s="3"/>
    </row>
    <row r="160" spans="1:29" x14ac:dyDescent="0.2">
      <c r="A160" s="3">
        <f t="shared" si="107"/>
        <v>11</v>
      </c>
      <c r="B160" s="3" t="s">
        <v>101</v>
      </c>
      <c r="C160" s="3" t="s">
        <v>807</v>
      </c>
      <c r="D160" s="78" t="s">
        <v>323</v>
      </c>
      <c r="E160" s="4" t="s">
        <v>591</v>
      </c>
      <c r="F160" s="11"/>
      <c r="G160" s="78"/>
      <c r="H160" s="2">
        <f>'II-I TOTAL COMPANY'!L160</f>
        <v>30502.569272339919</v>
      </c>
      <c r="I160" s="66">
        <v>0</v>
      </c>
      <c r="J160" s="66">
        <f t="shared" ca="1" si="108"/>
        <v>30502.56927233993</v>
      </c>
      <c r="K160" s="12">
        <f t="shared" ca="1" si="109"/>
        <v>14299.811083194654</v>
      </c>
      <c r="L160" s="12">
        <f t="shared" ca="1" si="109"/>
        <v>2717.1173177720921</v>
      </c>
      <c r="M160" s="9">
        <f t="shared" ca="1" si="110"/>
        <v>10786.77287176507</v>
      </c>
      <c r="N160" s="12">
        <f t="shared" ca="1" si="111"/>
        <v>210.44197137699865</v>
      </c>
      <c r="O160" s="12">
        <f t="shared" ca="1" si="111"/>
        <v>10576.330900388071</v>
      </c>
      <c r="P160" s="9">
        <f t="shared" ca="1" si="106"/>
        <v>1450.6545543217985</v>
      </c>
      <c r="Q160" s="12">
        <f t="shared" ca="1" si="112"/>
        <v>626.47972926051898</v>
      </c>
      <c r="R160" s="12">
        <f t="shared" ca="1" si="112"/>
        <v>734.67772088120557</v>
      </c>
      <c r="S160" s="12">
        <f t="shared" ca="1" si="112"/>
        <v>89.497104180074118</v>
      </c>
      <c r="T160" s="12">
        <f t="shared" ca="1" si="112"/>
        <v>1222.8336694740474</v>
      </c>
      <c r="U160" s="12">
        <f t="shared" ca="1" si="112"/>
        <v>0</v>
      </c>
      <c r="V160" s="12">
        <f t="shared" ca="1" si="112"/>
        <v>25.379775812259837</v>
      </c>
      <c r="W160" s="27" t="str">
        <f t="shared" ca="1" si="113"/>
        <v>OK</v>
      </c>
      <c r="X160" s="3"/>
      <c r="Y160" s="3"/>
      <c r="Z160" s="3"/>
      <c r="AA160" s="3"/>
      <c r="AB160" s="3"/>
      <c r="AC160" s="3"/>
    </row>
    <row r="161" spans="1:29" x14ac:dyDescent="0.2">
      <c r="A161" s="3">
        <f t="shared" si="107"/>
        <v>12</v>
      </c>
      <c r="B161" s="3"/>
      <c r="C161" s="3"/>
      <c r="D161" s="78"/>
      <c r="E161" s="4"/>
      <c r="F161" s="4"/>
      <c r="G161" s="4"/>
      <c r="H161" s="2"/>
      <c r="I161" s="66"/>
      <c r="J161" s="66"/>
      <c r="K161" s="12"/>
      <c r="L161" s="12"/>
      <c r="M161" s="12"/>
      <c r="N161" s="12"/>
      <c r="O161" s="12"/>
      <c r="P161" s="9">
        <f t="shared" si="106"/>
        <v>0</v>
      </c>
      <c r="Q161" s="12"/>
      <c r="R161" s="12"/>
      <c r="S161" s="12"/>
      <c r="T161" s="12"/>
      <c r="U161" s="12"/>
      <c r="V161" s="12"/>
      <c r="W161" s="27" t="str">
        <f t="shared" si="113"/>
        <v>OK</v>
      </c>
      <c r="X161" s="3"/>
      <c r="Y161" s="3"/>
      <c r="Z161" s="3"/>
      <c r="AA161" s="3"/>
      <c r="AB161" s="3"/>
      <c r="AC161" s="3"/>
    </row>
    <row r="162" spans="1:29" x14ac:dyDescent="0.2">
      <c r="A162" s="3">
        <f t="shared" si="107"/>
        <v>13</v>
      </c>
      <c r="B162" s="3"/>
      <c r="C162" s="3" t="s">
        <v>103</v>
      </c>
      <c r="D162" s="3"/>
      <c r="E162" s="4"/>
      <c r="F162" s="8"/>
      <c r="G162" s="8"/>
      <c r="H162" s="8">
        <f>SUM(H151:H160)</f>
        <v>3123106.8932429487</v>
      </c>
      <c r="I162" s="8">
        <f>SUM(I151:I160)</f>
        <v>0</v>
      </c>
      <c r="J162" s="66">
        <f ca="1">SUM(K162:U162)-M162-P162</f>
        <v>3120508.3005775078</v>
      </c>
      <c r="K162" s="8">
        <f ca="1">SUM(K151:K160)</f>
        <v>1464133.6658317237</v>
      </c>
      <c r="L162" s="8">
        <f ca="1">SUM(L151:L160)</f>
        <v>278201.08362408925</v>
      </c>
      <c r="M162" s="9">
        <f ca="1">SUM(N162:O162)</f>
        <v>1104439.577232742</v>
      </c>
      <c r="N162" s="8">
        <f ca="1">SUM(N151:N160)</f>
        <v>21546.800388094718</v>
      </c>
      <c r="O162" s="8">
        <f ca="1">SUM(O151:O160)</f>
        <v>1082892.7768446472</v>
      </c>
      <c r="P162" s="9">
        <f t="shared" ca="1" si="106"/>
        <v>148530.08603524559</v>
      </c>
      <c r="Q162" s="8">
        <f t="shared" ref="Q162:V162" ca="1" si="114">SUM(Q151:Q160)</f>
        <v>64144.208425902565</v>
      </c>
      <c r="R162" s="8">
        <f t="shared" ca="1" si="114"/>
        <v>75222.419262785523</v>
      </c>
      <c r="S162" s="8">
        <f t="shared" ca="1" si="114"/>
        <v>9163.4583465575088</v>
      </c>
      <c r="T162" s="8">
        <f t="shared" ca="1" si="114"/>
        <v>125203.88785370666</v>
      </c>
      <c r="U162" s="8">
        <f t="shared" ca="1" si="114"/>
        <v>0</v>
      </c>
      <c r="V162" s="8">
        <f t="shared" ca="1" si="114"/>
        <v>2598.5926654416826</v>
      </c>
      <c r="W162" s="27">
        <f t="shared" ca="1" si="113"/>
        <v>4.6566128730773926E-10</v>
      </c>
      <c r="X162" s="3"/>
      <c r="Y162" s="3"/>
      <c r="Z162" s="3"/>
      <c r="AA162" s="3"/>
      <c r="AB162" s="3"/>
      <c r="AC162" s="3"/>
    </row>
    <row r="163" spans="1:29" x14ac:dyDescent="0.2">
      <c r="A163" s="3">
        <f t="shared" si="107"/>
        <v>14</v>
      </c>
      <c r="B163" s="3"/>
      <c r="C163" s="3"/>
      <c r="D163" s="3"/>
      <c r="E163" s="4"/>
      <c r="F163" s="4"/>
      <c r="G163" s="4"/>
      <c r="H163" s="8"/>
      <c r="I163" s="8"/>
      <c r="J163" s="8"/>
      <c r="K163" s="8"/>
      <c r="L163" s="8"/>
      <c r="M163" s="3"/>
      <c r="N163" s="3"/>
      <c r="O163" s="3"/>
      <c r="P163" s="9">
        <f t="shared" si="106"/>
        <v>0</v>
      </c>
      <c r="Q163" s="3"/>
      <c r="R163" s="3"/>
      <c r="S163" s="3"/>
      <c r="T163" s="3"/>
      <c r="U163" s="3"/>
      <c r="V163" s="3"/>
      <c r="W163" s="27" t="str">
        <f t="shared" si="113"/>
        <v>OK</v>
      </c>
      <c r="X163" s="3"/>
      <c r="Y163" s="3"/>
      <c r="Z163" s="3"/>
      <c r="AA163" s="3"/>
      <c r="AB163" s="3"/>
      <c r="AC163" s="3"/>
    </row>
    <row r="164" spans="1:29" x14ac:dyDescent="0.2">
      <c r="A164" s="3">
        <f t="shared" si="107"/>
        <v>15</v>
      </c>
      <c r="B164" s="3"/>
      <c r="C164" s="3"/>
      <c r="D164" s="3"/>
      <c r="E164" s="4"/>
      <c r="F164" s="4"/>
      <c r="G164" s="4"/>
      <c r="H164" s="5"/>
      <c r="I164" s="5"/>
      <c r="J164" s="5"/>
      <c r="K164" s="5"/>
      <c r="L164" s="5"/>
      <c r="M164" s="3"/>
      <c r="N164" s="3"/>
      <c r="O164" s="3"/>
      <c r="P164" s="9">
        <f t="shared" si="106"/>
        <v>0</v>
      </c>
      <c r="Q164" s="3"/>
      <c r="R164" s="3"/>
      <c r="S164" s="3"/>
      <c r="T164" s="3"/>
      <c r="U164" s="3"/>
      <c r="V164" s="3"/>
      <c r="W164" s="27" t="str">
        <f t="shared" si="113"/>
        <v>OK</v>
      </c>
      <c r="X164" s="3"/>
      <c r="Y164" s="3"/>
      <c r="Z164" s="3"/>
      <c r="AA164" s="3"/>
      <c r="AB164" s="3"/>
      <c r="AC164" s="3"/>
    </row>
    <row r="165" spans="1:29" x14ac:dyDescent="0.2">
      <c r="A165" s="3">
        <f t="shared" si="107"/>
        <v>16</v>
      </c>
      <c r="B165" s="3"/>
      <c r="C165" s="3"/>
      <c r="D165" s="3"/>
      <c r="E165" s="4"/>
      <c r="F165" s="4"/>
      <c r="G165" s="4"/>
      <c r="H165" s="8"/>
      <c r="I165" s="8"/>
      <c r="J165" s="8"/>
      <c r="K165" s="8"/>
      <c r="L165" s="8"/>
      <c r="M165" s="3"/>
      <c r="N165" s="3"/>
      <c r="O165" s="3"/>
      <c r="P165" s="9">
        <f t="shared" si="106"/>
        <v>0</v>
      </c>
      <c r="Q165" s="3"/>
      <c r="R165" s="3"/>
      <c r="S165" s="3"/>
      <c r="T165" s="3"/>
      <c r="U165" s="3"/>
      <c r="V165" s="3"/>
      <c r="W165" s="27" t="str">
        <f t="shared" si="113"/>
        <v>OK</v>
      </c>
      <c r="X165" s="3"/>
      <c r="Y165" s="3"/>
      <c r="Z165" s="3"/>
      <c r="AA165" s="3"/>
      <c r="AB165" s="3"/>
      <c r="AC165" s="3"/>
    </row>
    <row r="166" spans="1:29" x14ac:dyDescent="0.2">
      <c r="A166" s="3">
        <f t="shared" si="107"/>
        <v>17</v>
      </c>
      <c r="B166" s="7" t="s">
        <v>104</v>
      </c>
      <c r="C166" s="3"/>
      <c r="D166" s="3"/>
      <c r="E166" s="4"/>
      <c r="F166" s="4"/>
      <c r="G166" s="4"/>
      <c r="H166" s="8"/>
      <c r="I166" s="8"/>
      <c r="J166" s="8"/>
      <c r="K166" s="8"/>
      <c r="L166" s="8"/>
      <c r="M166" s="3"/>
      <c r="N166" s="3"/>
      <c r="O166" s="3"/>
      <c r="P166" s="9">
        <f t="shared" si="106"/>
        <v>0</v>
      </c>
      <c r="Q166" s="3"/>
      <c r="R166" s="3"/>
      <c r="S166" s="3"/>
      <c r="T166" s="3"/>
      <c r="U166" s="3"/>
      <c r="V166" s="3"/>
      <c r="W166" s="27" t="str">
        <f t="shared" si="113"/>
        <v>OK</v>
      </c>
      <c r="X166" s="3"/>
      <c r="Y166" s="3"/>
      <c r="Z166" s="3"/>
      <c r="AA166" s="3"/>
      <c r="AB166" s="3"/>
      <c r="AC166" s="3"/>
    </row>
    <row r="167" spans="1:29" x14ac:dyDescent="0.2">
      <c r="A167" s="3">
        <f t="shared" si="107"/>
        <v>18</v>
      </c>
      <c r="B167" s="3"/>
      <c r="C167" s="3"/>
      <c r="D167" s="3"/>
      <c r="E167" s="4"/>
      <c r="F167" s="4"/>
      <c r="G167" s="4"/>
      <c r="H167" s="8"/>
      <c r="I167" s="8"/>
      <c r="J167" s="8"/>
      <c r="K167" s="8"/>
      <c r="L167" s="8"/>
      <c r="M167" s="3"/>
      <c r="N167" s="3"/>
      <c r="O167" s="3"/>
      <c r="P167" s="9">
        <f t="shared" si="106"/>
        <v>0</v>
      </c>
      <c r="Q167" s="3"/>
      <c r="R167" s="3"/>
      <c r="S167" s="3"/>
      <c r="T167" s="3"/>
      <c r="U167" s="3"/>
      <c r="V167" s="3"/>
      <c r="W167" s="27" t="str">
        <f t="shared" si="113"/>
        <v>OK</v>
      </c>
      <c r="X167" s="3"/>
      <c r="Y167" s="3"/>
      <c r="Z167" s="3"/>
      <c r="AA167" s="3"/>
      <c r="AB167" s="3"/>
      <c r="AC167" s="3"/>
    </row>
    <row r="168" spans="1:29" x14ac:dyDescent="0.2">
      <c r="A168" s="3">
        <f t="shared" si="107"/>
        <v>19</v>
      </c>
      <c r="B168" s="3" t="s">
        <v>105</v>
      </c>
      <c r="C168" s="3" t="s">
        <v>106</v>
      </c>
      <c r="D168" s="78" t="s">
        <v>323</v>
      </c>
      <c r="E168" s="4" t="s">
        <v>591</v>
      </c>
      <c r="F168" s="11"/>
      <c r="G168" s="78"/>
      <c r="H168" s="2">
        <f>'II-I TOTAL COMPANY'!L168</f>
        <v>5944483.6564588752</v>
      </c>
      <c r="I168" s="66">
        <v>0</v>
      </c>
      <c r="J168" s="66">
        <f ca="1">SUM(K168:V168)-M168-P168</f>
        <v>5944483.656458877</v>
      </c>
      <c r="K168" s="66">
        <f ca="1">VLOOKUP($D168,$E$741:$V$815,K$1,FALSE)*$H168</f>
        <v>2786814.2029459667</v>
      </c>
      <c r="L168" s="66">
        <f ca="1">VLOOKUP($D168,$E$741:$V$815,L$1,FALSE)*$H168</f>
        <v>529524.55722555378</v>
      </c>
      <c r="M168" s="9">
        <f ca="1">SUM(N168:O168)</f>
        <v>2102176.8517148425</v>
      </c>
      <c r="N168" s="12">
        <f ca="1">VLOOKUP($D168,$E$741:$V$815,N$1,FALSE)*$H168</f>
        <v>41011.917662226173</v>
      </c>
      <c r="O168" s="12">
        <f ca="1">VLOOKUP($D168,$E$741:$V$815,O$1,FALSE)*$H168</f>
        <v>2061164.9340526164</v>
      </c>
      <c r="P168" s="9">
        <f t="shared" ca="1" si="106"/>
        <v>282710.35834195639</v>
      </c>
      <c r="Q168" s="12">
        <f t="shared" ref="Q168:V168" ca="1" si="115">VLOOKUP($D168,$E$741:$V$815,Q$1,FALSE)*$H168</f>
        <v>122091.30576646182</v>
      </c>
      <c r="R168" s="12">
        <f t="shared" ca="1" si="115"/>
        <v>143177.437466</v>
      </c>
      <c r="S168" s="12">
        <f t="shared" ca="1" si="115"/>
        <v>17441.615109494542</v>
      </c>
      <c r="T168" s="12">
        <f t="shared" ca="1" si="115"/>
        <v>238311.55657264011</v>
      </c>
      <c r="U168" s="12">
        <f t="shared" ca="1" si="115"/>
        <v>0</v>
      </c>
      <c r="V168" s="12">
        <f t="shared" ca="1" si="115"/>
        <v>4946.1296579163654</v>
      </c>
      <c r="W168" s="27">
        <f t="shared" ca="1" si="113"/>
        <v>1.862645149230957E-9</v>
      </c>
      <c r="X168" s="3"/>
      <c r="Y168" s="3"/>
      <c r="Z168" s="3"/>
      <c r="AA168" s="3"/>
      <c r="AB168" s="3"/>
      <c r="AC168" s="3"/>
    </row>
    <row r="169" spans="1:29" x14ac:dyDescent="0.2">
      <c r="A169" s="3">
        <f t="shared" si="107"/>
        <v>20</v>
      </c>
      <c r="B169" s="3"/>
      <c r="C169" s="3"/>
      <c r="D169" s="78"/>
      <c r="E169" s="4"/>
      <c r="F169" s="4"/>
      <c r="G169" s="4"/>
      <c r="H169" s="8"/>
      <c r="I169" s="8"/>
      <c r="J169" s="8"/>
      <c r="K169" s="8"/>
      <c r="L169" s="8"/>
      <c r="M169" s="3"/>
      <c r="N169" s="3"/>
      <c r="O169" s="3"/>
      <c r="P169" s="9">
        <f t="shared" si="106"/>
        <v>0</v>
      </c>
      <c r="Q169" s="3"/>
      <c r="R169" s="3"/>
      <c r="S169" s="3"/>
      <c r="T169" s="3"/>
      <c r="U169" s="3"/>
      <c r="V169" s="3"/>
      <c r="W169" s="27" t="str">
        <f t="shared" si="113"/>
        <v>OK</v>
      </c>
      <c r="X169" s="3"/>
      <c r="Y169" s="3"/>
      <c r="Z169" s="3"/>
      <c r="AA169" s="3"/>
      <c r="AB169" s="3"/>
      <c r="AC169" s="3"/>
    </row>
    <row r="170" spans="1:29" x14ac:dyDescent="0.2">
      <c r="A170" s="3">
        <f t="shared" si="107"/>
        <v>21</v>
      </c>
      <c r="B170" s="3"/>
      <c r="C170" s="3"/>
      <c r="D170" s="3"/>
      <c r="E170" s="4"/>
      <c r="F170" s="4"/>
      <c r="G170" s="4"/>
      <c r="H170" s="8"/>
      <c r="I170" s="8"/>
      <c r="J170" s="8"/>
      <c r="K170" s="8"/>
      <c r="L170" s="8"/>
      <c r="M170" s="3"/>
      <c r="N170" s="3"/>
      <c r="O170" s="3"/>
      <c r="P170" s="9">
        <f t="shared" si="106"/>
        <v>0</v>
      </c>
      <c r="Q170" s="3"/>
      <c r="R170" s="3"/>
      <c r="S170" s="3"/>
      <c r="T170" s="3"/>
      <c r="U170" s="3"/>
      <c r="V170" s="3"/>
      <c r="W170" s="27" t="str">
        <f t="shared" si="113"/>
        <v>OK</v>
      </c>
      <c r="X170" s="3"/>
      <c r="Y170" s="3"/>
      <c r="Z170" s="3"/>
      <c r="AA170" s="3"/>
      <c r="AB170" s="3"/>
      <c r="AC170" s="3"/>
    </row>
    <row r="171" spans="1:29" x14ac:dyDescent="0.2">
      <c r="A171" s="3">
        <f t="shared" si="107"/>
        <v>22</v>
      </c>
      <c r="B171" s="3" t="s">
        <v>107</v>
      </c>
      <c r="C171" s="3"/>
      <c r="D171" s="3"/>
      <c r="E171" s="4"/>
      <c r="F171" s="8"/>
      <c r="G171" s="8"/>
      <c r="H171" s="8">
        <f>H96+H111+H147+H162+H168</f>
        <v>224287814.20034468</v>
      </c>
      <c r="I171" s="66">
        <v>0</v>
      </c>
      <c r="J171" s="66">
        <f ca="1">SUM(K171:V171)-M171-P171</f>
        <v>224287814.20034474</v>
      </c>
      <c r="K171" s="8">
        <f ca="1">K96+K111+K147+K162+K168</f>
        <v>105147646.50451869</v>
      </c>
      <c r="L171" s="8">
        <f ca="1">L96+L111+L147+L162+L168</f>
        <v>19979179.41560521</v>
      </c>
      <c r="M171" s="9">
        <f ca="1">SUM(N171:O171)</f>
        <v>79315997.550332561</v>
      </c>
      <c r="N171" s="8">
        <f ca="1">N96+N111+N147+N162+N168</f>
        <v>1547396.527641349</v>
      </c>
      <c r="O171" s="8">
        <f ca="1">O96+O111+O147+O162+O168</f>
        <v>77768601.022691205</v>
      </c>
      <c r="P171" s="9">
        <f t="shared" ca="1" si="106"/>
        <v>10666778.140674703</v>
      </c>
      <c r="Q171" s="8">
        <f t="shared" ref="Q171:V171" ca="1" si="116">Q96+Q111+Q147+Q162+Q168</f>
        <v>4606555.2007149495</v>
      </c>
      <c r="R171" s="8">
        <f t="shared" ca="1" si="116"/>
        <v>5402143.6255719019</v>
      </c>
      <c r="S171" s="8">
        <f t="shared" ca="1" si="116"/>
        <v>658079.31438784976</v>
      </c>
      <c r="T171" s="8">
        <f t="shared" ca="1" si="116"/>
        <v>8991593.082148293</v>
      </c>
      <c r="U171" s="8">
        <f t="shared" ca="1" si="116"/>
        <v>0</v>
      </c>
      <c r="V171" s="8">
        <f t="shared" ca="1" si="116"/>
        <v>186619.50706521122</v>
      </c>
      <c r="W171" s="27" t="str">
        <f t="shared" ca="1" si="113"/>
        <v>OK</v>
      </c>
      <c r="X171" s="3"/>
      <c r="Y171" s="3"/>
      <c r="Z171" s="3"/>
      <c r="AA171" s="3"/>
      <c r="AB171" s="3"/>
      <c r="AC171" s="3"/>
    </row>
    <row r="172" spans="1:29" x14ac:dyDescent="0.2">
      <c r="A172" s="3">
        <f t="shared" si="107"/>
        <v>23</v>
      </c>
      <c r="B172" s="3"/>
      <c r="C172" s="3"/>
      <c r="D172" s="3"/>
      <c r="E172" s="4"/>
      <c r="F172" s="4"/>
      <c r="G172" s="4"/>
      <c r="H172" s="8"/>
      <c r="I172" s="8"/>
      <c r="J172" s="8"/>
      <c r="K172" s="8"/>
      <c r="L172" s="8"/>
      <c r="M172" s="3"/>
      <c r="N172" s="3"/>
      <c r="O172" s="3"/>
      <c r="P172" s="9">
        <f t="shared" si="106"/>
        <v>0</v>
      </c>
      <c r="Q172" s="3"/>
      <c r="R172" s="3"/>
      <c r="S172" s="3"/>
      <c r="T172" s="3"/>
      <c r="U172" s="3"/>
      <c r="V172" s="3"/>
      <c r="W172" s="27" t="str">
        <f t="shared" si="113"/>
        <v>OK</v>
      </c>
      <c r="X172" s="3"/>
      <c r="Y172" s="3"/>
      <c r="Z172" s="3"/>
      <c r="AA172" s="3"/>
      <c r="AB172" s="3"/>
      <c r="AC172" s="3"/>
    </row>
    <row r="173" spans="1:29" x14ac:dyDescent="0.2">
      <c r="A173" s="3">
        <f t="shared" si="107"/>
        <v>24</v>
      </c>
      <c r="B173" s="3"/>
      <c r="C173" s="3"/>
      <c r="D173" s="3"/>
      <c r="E173" s="4"/>
      <c r="F173" s="4"/>
      <c r="G173" s="4"/>
      <c r="H173" s="8"/>
      <c r="I173" s="8"/>
      <c r="J173" s="8"/>
      <c r="K173" s="8"/>
      <c r="L173" s="8"/>
      <c r="M173" s="3"/>
      <c r="N173" s="3"/>
      <c r="O173" s="3"/>
      <c r="P173" s="9">
        <f t="shared" si="106"/>
        <v>0</v>
      </c>
      <c r="Q173" s="3"/>
      <c r="R173" s="3"/>
      <c r="S173" s="3"/>
      <c r="T173" s="3"/>
      <c r="U173" s="3"/>
      <c r="V173" s="3"/>
      <c r="W173" s="27" t="str">
        <f t="shared" si="113"/>
        <v>OK</v>
      </c>
      <c r="X173" s="3"/>
      <c r="Y173" s="3"/>
      <c r="Z173" s="3"/>
      <c r="AA173" s="3"/>
      <c r="AB173" s="3"/>
      <c r="AC173" s="3"/>
    </row>
    <row r="174" spans="1:29" x14ac:dyDescent="0.2">
      <c r="A174" s="3">
        <f t="shared" si="107"/>
        <v>25</v>
      </c>
      <c r="B174" s="7" t="s">
        <v>108</v>
      </c>
      <c r="C174" s="3"/>
      <c r="D174" s="3"/>
      <c r="E174" s="4"/>
      <c r="F174" s="4"/>
      <c r="G174" s="4"/>
      <c r="H174" s="8"/>
      <c r="I174" s="8"/>
      <c r="J174" s="8"/>
      <c r="K174" s="8"/>
      <c r="L174" s="8"/>
      <c r="M174" s="3"/>
      <c r="N174" s="3"/>
      <c r="O174" s="3"/>
      <c r="P174" s="9">
        <f t="shared" si="106"/>
        <v>0</v>
      </c>
      <c r="Q174" s="3"/>
      <c r="R174" s="3"/>
      <c r="S174" s="3"/>
      <c r="T174" s="3"/>
      <c r="U174" s="3"/>
      <c r="V174" s="3"/>
      <c r="W174" s="27" t="str">
        <f t="shared" si="113"/>
        <v>OK</v>
      </c>
      <c r="X174" s="3"/>
      <c r="Y174" s="3"/>
      <c r="Z174" s="3"/>
      <c r="AA174" s="3"/>
      <c r="AB174" s="3"/>
      <c r="AC174" s="3"/>
    </row>
    <row r="175" spans="1:29" x14ac:dyDescent="0.2">
      <c r="A175" s="3">
        <f t="shared" si="107"/>
        <v>26</v>
      </c>
      <c r="B175" s="3"/>
      <c r="C175" s="3"/>
      <c r="D175" s="3"/>
      <c r="E175" s="4"/>
      <c r="F175" s="4"/>
      <c r="G175" s="4"/>
      <c r="H175" s="8"/>
      <c r="I175" s="8"/>
      <c r="J175" s="8"/>
      <c r="K175" s="8"/>
      <c r="L175" s="8"/>
      <c r="M175" s="3"/>
      <c r="N175" s="3"/>
      <c r="O175" s="3"/>
      <c r="P175" s="9">
        <f t="shared" si="106"/>
        <v>0</v>
      </c>
      <c r="Q175" s="3"/>
      <c r="R175" s="3"/>
      <c r="S175" s="3"/>
      <c r="T175" s="3"/>
      <c r="U175" s="3"/>
      <c r="V175" s="3"/>
      <c r="W175" s="27" t="str">
        <f t="shared" si="113"/>
        <v>OK</v>
      </c>
      <c r="X175" s="3"/>
      <c r="Y175" s="3"/>
      <c r="Z175" s="3"/>
      <c r="AA175" s="3"/>
      <c r="AB175" s="3"/>
      <c r="AC175" s="3"/>
    </row>
    <row r="176" spans="1:29" x14ac:dyDescent="0.2">
      <c r="A176" s="3">
        <f t="shared" si="107"/>
        <v>27</v>
      </c>
      <c r="B176" s="3" t="s">
        <v>109</v>
      </c>
      <c r="C176" s="3"/>
      <c r="D176" s="3"/>
      <c r="E176" s="4"/>
      <c r="F176" s="4"/>
      <c r="G176" s="4"/>
      <c r="H176" s="8"/>
      <c r="I176" s="8"/>
      <c r="J176" s="8"/>
      <c r="K176" s="8"/>
      <c r="L176" s="8"/>
      <c r="M176" s="3"/>
      <c r="N176" s="3"/>
      <c r="O176" s="3"/>
      <c r="P176" s="9">
        <f t="shared" si="106"/>
        <v>0</v>
      </c>
      <c r="Q176" s="3"/>
      <c r="R176" s="3"/>
      <c r="S176" s="3"/>
      <c r="T176" s="3"/>
      <c r="U176" s="3"/>
      <c r="V176" s="3"/>
      <c r="W176" s="27" t="str">
        <f t="shared" si="113"/>
        <v>OK</v>
      </c>
      <c r="X176" s="3"/>
      <c r="Y176" s="3"/>
      <c r="Z176" s="3"/>
      <c r="AA176" s="3"/>
      <c r="AB176" s="3"/>
      <c r="AC176" s="3"/>
    </row>
    <row r="177" spans="1:29" x14ac:dyDescent="0.2">
      <c r="A177" s="3">
        <f t="shared" si="107"/>
        <v>28</v>
      </c>
      <c r="B177" s="3" t="s">
        <v>110</v>
      </c>
      <c r="C177" s="3"/>
      <c r="D177" s="78" t="s">
        <v>367</v>
      </c>
      <c r="E177" s="4" t="s">
        <v>591</v>
      </c>
      <c r="F177" s="11"/>
      <c r="G177" s="11"/>
      <c r="H177" s="2">
        <f>'II-I TOTAL COMPANY'!L177</f>
        <v>0</v>
      </c>
      <c r="I177" s="66">
        <v>0</v>
      </c>
      <c r="J177" s="66">
        <f>SUM(K177:V177)-M177-P177</f>
        <v>0</v>
      </c>
      <c r="K177" s="12">
        <f>VLOOKUP($D177,$E$741:$V$815,K$1,FALSE)*$H177</f>
        <v>0</v>
      </c>
      <c r="L177" s="12">
        <f>VLOOKUP($D177,$E$741:$V$815,L$1,FALSE)*$H177</f>
        <v>0</v>
      </c>
      <c r="M177" s="9">
        <f>SUM(N177:O177)</f>
        <v>0</v>
      </c>
      <c r="N177" s="12">
        <f>VLOOKUP($D177,$E$741:$V$815,N$1,FALSE)*$H177</f>
        <v>0</v>
      </c>
      <c r="O177" s="12">
        <f>VLOOKUP($D177,$E$741:$V$815,O$1,FALSE)*$H177</f>
        <v>0</v>
      </c>
      <c r="P177" s="9">
        <f t="shared" si="106"/>
        <v>0</v>
      </c>
      <c r="Q177" s="12">
        <f t="shared" ref="Q177:V177" si="117">VLOOKUP($D177,$E$741:$V$815,Q$1,FALSE)*$H177</f>
        <v>0</v>
      </c>
      <c r="R177" s="12">
        <f t="shared" si="117"/>
        <v>0</v>
      </c>
      <c r="S177" s="12">
        <f t="shared" si="117"/>
        <v>0</v>
      </c>
      <c r="T177" s="12">
        <f t="shared" si="117"/>
        <v>0</v>
      </c>
      <c r="U177" s="12">
        <f t="shared" si="117"/>
        <v>0</v>
      </c>
      <c r="V177" s="12">
        <f t="shared" si="117"/>
        <v>0</v>
      </c>
      <c r="W177" s="27" t="str">
        <f t="shared" si="113"/>
        <v>OK</v>
      </c>
      <c r="X177" s="3"/>
      <c r="Y177" s="3"/>
      <c r="Z177" s="3"/>
      <c r="AA177" s="3"/>
      <c r="AB177" s="3"/>
      <c r="AC177" s="3"/>
    </row>
    <row r="178" spans="1:29" x14ac:dyDescent="0.2">
      <c r="A178" s="3">
        <f t="shared" si="107"/>
        <v>29</v>
      </c>
      <c r="B178" s="3"/>
      <c r="C178" s="3"/>
      <c r="D178" s="3"/>
      <c r="E178" s="4"/>
      <c r="F178" s="4"/>
      <c r="G178" s="4"/>
      <c r="H178" s="8"/>
      <c r="I178" s="8"/>
      <c r="J178" s="8"/>
      <c r="K178" s="8"/>
      <c r="L178" s="8"/>
      <c r="M178" s="3"/>
      <c r="N178" s="3"/>
      <c r="O178" s="3"/>
      <c r="P178" s="9">
        <f t="shared" si="106"/>
        <v>0</v>
      </c>
      <c r="Q178" s="3"/>
      <c r="R178" s="3"/>
      <c r="S178" s="3"/>
      <c r="T178" s="3"/>
      <c r="U178" s="3"/>
      <c r="V178" s="3"/>
      <c r="W178" s="27" t="str">
        <f t="shared" si="113"/>
        <v>OK</v>
      </c>
      <c r="X178" s="3"/>
      <c r="Y178" s="3"/>
      <c r="Z178" s="3"/>
      <c r="AA178" s="3"/>
      <c r="AB178" s="3"/>
      <c r="AC178" s="3"/>
    </row>
    <row r="179" spans="1:29" x14ac:dyDescent="0.2">
      <c r="A179" s="3">
        <f t="shared" si="107"/>
        <v>30</v>
      </c>
      <c r="B179" s="3"/>
      <c r="C179" s="3"/>
      <c r="D179" s="3"/>
      <c r="E179" s="4"/>
      <c r="F179" s="4"/>
      <c r="G179" s="4"/>
      <c r="H179" s="8"/>
      <c r="I179" s="8"/>
      <c r="J179" s="8"/>
      <c r="K179" s="8"/>
      <c r="L179" s="8"/>
      <c r="M179" s="3"/>
      <c r="N179" s="3"/>
      <c r="O179" s="3"/>
      <c r="P179" s="9">
        <f t="shared" si="106"/>
        <v>0</v>
      </c>
      <c r="Q179" s="3"/>
      <c r="R179" s="3"/>
      <c r="S179" s="3"/>
      <c r="T179" s="3"/>
      <c r="U179" s="3"/>
      <c r="V179" s="3"/>
      <c r="W179" s="27" t="str">
        <f t="shared" si="113"/>
        <v>OK</v>
      </c>
      <c r="X179" s="3"/>
      <c r="Y179" s="3"/>
      <c r="Z179" s="3"/>
      <c r="AA179" s="3"/>
      <c r="AB179" s="3"/>
      <c r="AC179" s="3"/>
    </row>
    <row r="180" spans="1:29" x14ac:dyDescent="0.2">
      <c r="A180" s="3">
        <f t="shared" si="107"/>
        <v>31</v>
      </c>
      <c r="B180" s="3"/>
      <c r="C180" s="3"/>
      <c r="D180" s="3"/>
      <c r="E180" s="4"/>
      <c r="F180" s="4"/>
      <c r="G180" s="4"/>
      <c r="H180" s="8"/>
      <c r="I180" s="8"/>
      <c r="J180" s="8"/>
      <c r="K180" s="8"/>
      <c r="L180" s="8"/>
      <c r="M180" s="3"/>
      <c r="N180" s="3"/>
      <c r="O180" s="3"/>
      <c r="P180" s="9">
        <f t="shared" si="106"/>
        <v>0</v>
      </c>
      <c r="Q180" s="3"/>
      <c r="R180" s="3"/>
      <c r="S180" s="3"/>
      <c r="T180" s="3"/>
      <c r="U180" s="3"/>
      <c r="V180" s="3"/>
      <c r="W180" s="27" t="str">
        <f t="shared" si="113"/>
        <v>OK</v>
      </c>
      <c r="X180" s="3"/>
      <c r="Y180" s="3"/>
      <c r="Z180" s="3"/>
      <c r="AA180" s="3"/>
      <c r="AB180" s="3"/>
      <c r="AC180" s="3"/>
    </row>
    <row r="181" spans="1:29" x14ac:dyDescent="0.2">
      <c r="A181" s="3">
        <f t="shared" si="107"/>
        <v>32</v>
      </c>
      <c r="B181" s="3"/>
      <c r="C181" s="3"/>
      <c r="D181" s="3"/>
      <c r="E181" s="4"/>
      <c r="F181" s="4"/>
      <c r="G181" s="4"/>
      <c r="H181" s="8"/>
      <c r="I181" s="8"/>
      <c r="J181" s="8"/>
      <c r="K181" s="8"/>
      <c r="L181" s="8"/>
      <c r="M181" s="3"/>
      <c r="N181" s="3"/>
      <c r="O181" s="3"/>
      <c r="P181" s="9">
        <f t="shared" si="106"/>
        <v>0</v>
      </c>
      <c r="Q181" s="3"/>
      <c r="R181" s="3"/>
      <c r="S181" s="3"/>
      <c r="T181" s="3"/>
      <c r="U181" s="3"/>
      <c r="V181" s="3"/>
      <c r="W181" s="27" t="str">
        <f t="shared" si="113"/>
        <v>OK</v>
      </c>
      <c r="X181" s="3"/>
      <c r="Y181" s="3"/>
      <c r="Z181" s="3"/>
      <c r="AA181" s="3"/>
      <c r="AB181" s="3"/>
      <c r="AC181" s="3"/>
    </row>
    <row r="182" spans="1:29" x14ac:dyDescent="0.2">
      <c r="A182" s="3">
        <f t="shared" si="107"/>
        <v>33</v>
      </c>
      <c r="B182" s="3"/>
      <c r="C182" s="3"/>
      <c r="D182" s="3"/>
      <c r="E182" s="4"/>
      <c r="F182" s="4"/>
      <c r="G182" s="4"/>
      <c r="H182" s="8"/>
      <c r="I182" s="8"/>
      <c r="J182" s="8"/>
      <c r="K182" s="8"/>
      <c r="L182" s="8"/>
      <c r="M182" s="3"/>
      <c r="N182" s="3"/>
      <c r="O182" s="3"/>
      <c r="P182" s="9">
        <f t="shared" si="106"/>
        <v>0</v>
      </c>
      <c r="Q182" s="3"/>
      <c r="R182" s="3"/>
      <c r="S182" s="3"/>
      <c r="T182" s="3"/>
      <c r="U182" s="3"/>
      <c r="V182" s="3"/>
      <c r="W182" s="27" t="str">
        <f t="shared" si="113"/>
        <v>OK</v>
      </c>
      <c r="X182" s="3"/>
      <c r="Y182" s="3"/>
      <c r="Z182" s="3"/>
      <c r="AA182" s="3"/>
      <c r="AB182" s="3"/>
      <c r="AC182" s="3"/>
    </row>
    <row r="183" spans="1:29" x14ac:dyDescent="0.2">
      <c r="A183" s="3">
        <f t="shared" si="107"/>
        <v>34</v>
      </c>
      <c r="B183" s="7" t="s">
        <v>111</v>
      </c>
      <c r="C183" s="3"/>
      <c r="D183" s="3"/>
      <c r="E183" s="4"/>
      <c r="F183" s="4"/>
      <c r="G183" s="4"/>
      <c r="H183" s="8"/>
      <c r="I183" s="8"/>
      <c r="J183" s="8"/>
      <c r="K183" s="8"/>
      <c r="L183" s="8"/>
      <c r="M183" s="3"/>
      <c r="N183" s="3"/>
      <c r="O183" s="3"/>
      <c r="P183" s="9">
        <f t="shared" si="106"/>
        <v>0</v>
      </c>
      <c r="Q183" s="3"/>
      <c r="R183" s="3"/>
      <c r="S183" s="3"/>
      <c r="T183" s="3"/>
      <c r="U183" s="3"/>
      <c r="V183" s="3"/>
      <c r="W183" s="27" t="str">
        <f t="shared" si="113"/>
        <v>OK</v>
      </c>
      <c r="X183" s="3"/>
      <c r="Y183" s="3"/>
      <c r="Z183" s="3"/>
      <c r="AA183" s="3"/>
      <c r="AB183" s="3"/>
      <c r="AC183" s="3"/>
    </row>
    <row r="184" spans="1:29" x14ac:dyDescent="0.2">
      <c r="A184" s="3">
        <f t="shared" si="107"/>
        <v>35</v>
      </c>
      <c r="B184" s="3"/>
      <c r="C184" s="3"/>
      <c r="D184" s="3"/>
      <c r="E184" s="4"/>
      <c r="F184" s="4"/>
      <c r="G184" s="4"/>
      <c r="H184" s="8"/>
      <c r="I184" s="8"/>
      <c r="J184" s="8"/>
      <c r="K184" s="8"/>
      <c r="L184" s="8"/>
      <c r="M184" s="3"/>
      <c r="N184" s="3"/>
      <c r="O184" s="3"/>
      <c r="P184" s="9">
        <f t="shared" si="106"/>
        <v>0</v>
      </c>
      <c r="Q184" s="3"/>
      <c r="R184" s="3"/>
      <c r="S184" s="3"/>
      <c r="T184" s="3"/>
      <c r="U184" s="3"/>
      <c r="V184" s="3"/>
      <c r="W184" s="27" t="str">
        <f t="shared" si="113"/>
        <v>OK</v>
      </c>
      <c r="X184" s="3"/>
      <c r="Y184" s="3"/>
      <c r="Z184" s="3"/>
      <c r="AA184" s="3"/>
      <c r="AB184" s="3"/>
      <c r="AC184" s="3"/>
    </row>
    <row r="185" spans="1:29" x14ac:dyDescent="0.2">
      <c r="A185" s="3">
        <f t="shared" si="107"/>
        <v>36</v>
      </c>
      <c r="B185" s="3" t="s">
        <v>112</v>
      </c>
      <c r="C185" s="3"/>
      <c r="D185" s="3"/>
      <c r="E185" s="4"/>
      <c r="F185" s="4"/>
      <c r="G185" s="4"/>
      <c r="H185" s="8"/>
      <c r="I185" s="8"/>
      <c r="J185" s="8"/>
      <c r="K185" s="8"/>
      <c r="L185" s="8"/>
      <c r="M185" s="3"/>
      <c r="N185" s="3"/>
      <c r="O185" s="3"/>
      <c r="P185" s="9">
        <f t="shared" si="106"/>
        <v>0</v>
      </c>
      <c r="Q185" s="3"/>
      <c r="R185" s="3"/>
      <c r="S185" s="3"/>
      <c r="T185" s="3"/>
      <c r="U185" s="3"/>
      <c r="V185" s="3"/>
      <c r="W185" s="27" t="str">
        <f t="shared" si="113"/>
        <v>OK</v>
      </c>
      <c r="X185" s="3"/>
      <c r="Y185" s="3"/>
      <c r="Z185" s="3"/>
      <c r="AA185" s="3"/>
      <c r="AB185" s="3"/>
      <c r="AC185" s="3"/>
    </row>
    <row r="186" spans="1:29" x14ac:dyDescent="0.2">
      <c r="A186" s="3">
        <f t="shared" si="107"/>
        <v>37</v>
      </c>
      <c r="B186" s="3"/>
      <c r="C186" s="3"/>
      <c r="D186" s="3"/>
      <c r="E186" s="4"/>
      <c r="F186" s="4"/>
      <c r="G186" s="4"/>
      <c r="H186" s="8"/>
      <c r="I186" s="8"/>
      <c r="J186" s="8"/>
      <c r="K186" s="8"/>
      <c r="L186" s="8"/>
      <c r="M186" s="3"/>
      <c r="N186" s="3"/>
      <c r="O186" s="3"/>
      <c r="P186" s="9">
        <f t="shared" si="106"/>
        <v>0</v>
      </c>
      <c r="Q186" s="3"/>
      <c r="R186" s="3"/>
      <c r="S186" s="3"/>
      <c r="T186" s="3"/>
      <c r="U186" s="3"/>
      <c r="V186" s="3"/>
      <c r="W186" s="27" t="str">
        <f t="shared" si="113"/>
        <v>OK</v>
      </c>
      <c r="X186" s="3"/>
      <c r="Y186" s="3"/>
      <c r="Z186" s="3"/>
      <c r="AA186" s="3"/>
      <c r="AB186" s="3"/>
      <c r="AC186" s="3"/>
    </row>
    <row r="187" spans="1:29" x14ac:dyDescent="0.2">
      <c r="A187" s="3">
        <f t="shared" si="107"/>
        <v>38</v>
      </c>
      <c r="B187" s="3" t="s">
        <v>23</v>
      </c>
      <c r="C187" s="3"/>
      <c r="D187" s="78"/>
      <c r="E187" s="4"/>
      <c r="F187" s="4"/>
      <c r="G187" s="4"/>
      <c r="H187" s="8"/>
      <c r="I187" s="8"/>
      <c r="J187" s="8"/>
      <c r="K187" s="8"/>
      <c r="L187" s="8"/>
      <c r="M187" s="3"/>
      <c r="N187" s="3"/>
      <c r="O187" s="3"/>
      <c r="P187" s="9">
        <f t="shared" si="106"/>
        <v>0</v>
      </c>
      <c r="Q187" s="3"/>
      <c r="R187" s="3"/>
      <c r="S187" s="3"/>
      <c r="T187" s="3"/>
      <c r="U187" s="3"/>
      <c r="V187" s="3"/>
      <c r="W187" s="27" t="str">
        <f t="shared" si="113"/>
        <v>OK</v>
      </c>
      <c r="X187" s="3"/>
      <c r="Y187" s="3"/>
      <c r="Z187" s="3"/>
      <c r="AA187" s="3"/>
      <c r="AB187" s="3"/>
      <c r="AC187" s="3"/>
    </row>
    <row r="188" spans="1:29" x14ac:dyDescent="0.2">
      <c r="A188" s="3">
        <f t="shared" si="107"/>
        <v>39</v>
      </c>
      <c r="B188" s="3" t="s">
        <v>24</v>
      </c>
      <c r="C188" s="3" t="s">
        <v>25</v>
      </c>
      <c r="D188" s="78" t="s">
        <v>323</v>
      </c>
      <c r="E188" s="4" t="s">
        <v>591</v>
      </c>
      <c r="F188" s="11"/>
      <c r="G188" s="78"/>
      <c r="H188" s="2">
        <f>'II-I TOTAL COMPANY'!L188</f>
        <v>0</v>
      </c>
      <c r="I188" s="66">
        <v>0</v>
      </c>
      <c r="J188" s="66">
        <f ca="1">SUM(K188:V188)-M188-P188</f>
        <v>0</v>
      </c>
      <c r="K188" s="12">
        <f t="shared" ref="K188:L190" ca="1" si="118">VLOOKUP($D188,$E$741:$V$815,K$1,FALSE)*$H188</f>
        <v>0</v>
      </c>
      <c r="L188" s="12">
        <f t="shared" ca="1" si="118"/>
        <v>0</v>
      </c>
      <c r="M188" s="9">
        <f ca="1">SUM(N188:O188)</f>
        <v>0</v>
      </c>
      <c r="N188" s="12">
        <f t="shared" ref="N188:O190" ca="1" si="119">VLOOKUP($D188,$E$741:$V$815,N$1,FALSE)*$H188</f>
        <v>0</v>
      </c>
      <c r="O188" s="12">
        <f t="shared" ca="1" si="119"/>
        <v>0</v>
      </c>
      <c r="P188" s="9">
        <f t="shared" ca="1" si="106"/>
        <v>0</v>
      </c>
      <c r="Q188" s="12">
        <f t="shared" ref="Q188:V190" ca="1" si="120">VLOOKUP($D188,$E$741:$V$815,Q$1,FALSE)*$H188</f>
        <v>0</v>
      </c>
      <c r="R188" s="12">
        <f t="shared" ca="1" si="120"/>
        <v>0</v>
      </c>
      <c r="S188" s="12">
        <f t="shared" ca="1" si="120"/>
        <v>0</v>
      </c>
      <c r="T188" s="12">
        <f t="shared" ca="1" si="120"/>
        <v>0</v>
      </c>
      <c r="U188" s="12">
        <f t="shared" ca="1" si="120"/>
        <v>0</v>
      </c>
      <c r="V188" s="12">
        <f t="shared" ca="1" si="120"/>
        <v>0</v>
      </c>
      <c r="W188" s="27" t="str">
        <f t="shared" ca="1" si="113"/>
        <v>OK</v>
      </c>
      <c r="X188" s="3"/>
      <c r="Y188" s="3"/>
      <c r="Z188" s="3"/>
      <c r="AA188" s="3"/>
      <c r="AB188" s="3"/>
      <c r="AC188" s="3"/>
    </row>
    <row r="189" spans="1:29" x14ac:dyDescent="0.2">
      <c r="A189" s="3">
        <f t="shared" si="107"/>
        <v>40</v>
      </c>
      <c r="B189" s="3" t="s">
        <v>26</v>
      </c>
      <c r="C189" s="3" t="s">
        <v>27</v>
      </c>
      <c r="D189" s="78" t="s">
        <v>323</v>
      </c>
      <c r="E189" s="4" t="s">
        <v>591</v>
      </c>
      <c r="F189" s="11"/>
      <c r="G189" s="78"/>
      <c r="H189" s="2">
        <f>'II-I TOTAL COMPANY'!L189</f>
        <v>0</v>
      </c>
      <c r="I189" s="66">
        <v>0</v>
      </c>
      <c r="J189" s="66">
        <f t="shared" ref="J189:J191" ca="1" si="121">SUM(K189:V189)-M189-P189</f>
        <v>0</v>
      </c>
      <c r="K189" s="12">
        <f t="shared" ca="1" si="118"/>
        <v>0</v>
      </c>
      <c r="L189" s="12">
        <f t="shared" ca="1" si="118"/>
        <v>0</v>
      </c>
      <c r="M189" s="9">
        <f ca="1">SUM(N189:O189)</f>
        <v>0</v>
      </c>
      <c r="N189" s="12">
        <f t="shared" ca="1" si="119"/>
        <v>0</v>
      </c>
      <c r="O189" s="12">
        <f t="shared" ca="1" si="119"/>
        <v>0</v>
      </c>
      <c r="P189" s="9">
        <f t="shared" ca="1" si="106"/>
        <v>0</v>
      </c>
      <c r="Q189" s="12">
        <f t="shared" ca="1" si="120"/>
        <v>0</v>
      </c>
      <c r="R189" s="12">
        <f t="shared" ca="1" si="120"/>
        <v>0</v>
      </c>
      <c r="S189" s="12">
        <f t="shared" ca="1" si="120"/>
        <v>0</v>
      </c>
      <c r="T189" s="12">
        <f t="shared" ca="1" si="120"/>
        <v>0</v>
      </c>
      <c r="U189" s="12">
        <f t="shared" ca="1" si="120"/>
        <v>0</v>
      </c>
      <c r="V189" s="12">
        <f t="shared" ca="1" si="120"/>
        <v>0</v>
      </c>
      <c r="W189" s="27" t="str">
        <f t="shared" ref="W189:W220" ca="1" si="122">IF((+K189+L189+M189+P189+T189+U189+V189)-H189=0,"OK",(+K189+L189+M189+P189+T189+U189+V189)-H189)</f>
        <v>OK</v>
      </c>
      <c r="X189" s="3"/>
      <c r="Y189" s="3"/>
      <c r="Z189" s="3"/>
      <c r="AA189" s="3"/>
      <c r="AB189" s="3"/>
      <c r="AC189" s="3"/>
    </row>
    <row r="190" spans="1:29" x14ac:dyDescent="0.2">
      <c r="A190" s="3">
        <f t="shared" si="107"/>
        <v>41</v>
      </c>
      <c r="B190" s="3" t="s">
        <v>28</v>
      </c>
      <c r="C190" s="3" t="s">
        <v>29</v>
      </c>
      <c r="D190" s="78" t="s">
        <v>323</v>
      </c>
      <c r="E190" s="4" t="s">
        <v>591</v>
      </c>
      <c r="F190" s="11"/>
      <c r="G190" s="78"/>
      <c r="H190" s="2">
        <f>'II-I TOTAL COMPANY'!L190</f>
        <v>1833030.1775475952</v>
      </c>
      <c r="I190" s="66">
        <v>0</v>
      </c>
      <c r="J190" s="66">
        <f t="shared" ca="1" si="121"/>
        <v>1833030.1775475957</v>
      </c>
      <c r="K190" s="12">
        <f t="shared" ca="1" si="118"/>
        <v>859336.963214266</v>
      </c>
      <c r="L190" s="12">
        <f t="shared" ca="1" si="118"/>
        <v>163283.23017464142</v>
      </c>
      <c r="M190" s="9">
        <f ca="1">SUM(N190:O190)</f>
        <v>648223.43376257888</v>
      </c>
      <c r="N190" s="12">
        <f t="shared" ca="1" si="119"/>
        <v>12646.360400415357</v>
      </c>
      <c r="O190" s="12">
        <f t="shared" ca="1" si="119"/>
        <v>635577.0733621635</v>
      </c>
      <c r="P190" s="9">
        <f t="shared" ca="1" si="106"/>
        <v>87176.052336024382</v>
      </c>
      <c r="Q190" s="12">
        <f t="shared" ca="1" si="120"/>
        <v>37647.853172739815</v>
      </c>
      <c r="R190" s="12">
        <f t="shared" ca="1" si="120"/>
        <v>44149.934424321742</v>
      </c>
      <c r="S190" s="12">
        <f t="shared" ca="1" si="120"/>
        <v>5378.2647389628301</v>
      </c>
      <c r="T190" s="12">
        <f t="shared" ca="1" si="120"/>
        <v>73485.318507244578</v>
      </c>
      <c r="U190" s="12">
        <f t="shared" ca="1" si="120"/>
        <v>0</v>
      </c>
      <c r="V190" s="12">
        <f t="shared" ca="1" si="120"/>
        <v>1525.1795528402063</v>
      </c>
      <c r="W190" s="27">
        <f t="shared" ca="1" si="122"/>
        <v>4.6566128730773926E-10</v>
      </c>
      <c r="X190" s="3"/>
      <c r="Y190" s="3"/>
      <c r="Z190" s="3"/>
      <c r="AA190" s="3"/>
      <c r="AB190" s="3"/>
      <c r="AC190" s="3"/>
    </row>
    <row r="191" spans="1:29" x14ac:dyDescent="0.2">
      <c r="A191" s="3">
        <f t="shared" si="107"/>
        <v>42</v>
      </c>
      <c r="B191" s="3"/>
      <c r="C191" s="3" t="s">
        <v>30</v>
      </c>
      <c r="D191" s="3"/>
      <c r="E191" s="4"/>
      <c r="F191" s="8"/>
      <c r="G191" s="8"/>
      <c r="H191" s="8">
        <f t="shared" ref="H191:V191" si="123">SUM(H188:H190)</f>
        <v>1833030.1775475952</v>
      </c>
      <c r="I191" s="8">
        <f t="shared" si="123"/>
        <v>0</v>
      </c>
      <c r="J191" s="66">
        <f t="shared" ca="1" si="121"/>
        <v>1833030.1775475957</v>
      </c>
      <c r="K191" s="8">
        <f t="shared" ca="1" si="123"/>
        <v>859336.963214266</v>
      </c>
      <c r="L191" s="8">
        <f t="shared" ca="1" si="123"/>
        <v>163283.23017464142</v>
      </c>
      <c r="M191" s="9">
        <f ca="1">SUM(N191:O191)</f>
        <v>648223.43376257888</v>
      </c>
      <c r="N191" s="8">
        <f t="shared" ca="1" si="123"/>
        <v>12646.360400415357</v>
      </c>
      <c r="O191" s="8">
        <f t="shared" ca="1" si="123"/>
        <v>635577.0733621635</v>
      </c>
      <c r="P191" s="9">
        <f t="shared" ca="1" si="106"/>
        <v>87176.052336024382</v>
      </c>
      <c r="Q191" s="8">
        <f t="shared" ca="1" si="123"/>
        <v>37647.853172739815</v>
      </c>
      <c r="R191" s="8">
        <f t="shared" ca="1" si="123"/>
        <v>44149.934424321742</v>
      </c>
      <c r="S191" s="8">
        <f ca="1">SUM(S188:S190)</f>
        <v>5378.2647389628301</v>
      </c>
      <c r="T191" s="8">
        <f t="shared" ca="1" si="123"/>
        <v>73485.318507244578</v>
      </c>
      <c r="U191" s="8">
        <f t="shared" ca="1" si="123"/>
        <v>0</v>
      </c>
      <c r="V191" s="8">
        <f t="shared" ca="1" si="123"/>
        <v>1525.1795528402063</v>
      </c>
      <c r="W191" s="27">
        <f t="shared" ca="1" si="122"/>
        <v>4.6566128730773926E-10</v>
      </c>
      <c r="X191" s="3"/>
      <c r="Y191" s="3"/>
      <c r="Z191" s="3"/>
      <c r="AA191" s="3"/>
      <c r="AB191" s="3"/>
      <c r="AC191" s="3"/>
    </row>
    <row r="192" spans="1:29" x14ac:dyDescent="0.2">
      <c r="A192" s="3"/>
      <c r="B192" s="3"/>
      <c r="C192" s="3"/>
      <c r="D192" s="3"/>
      <c r="E192" s="4"/>
      <c r="F192" s="4"/>
      <c r="G192" s="4"/>
      <c r="H192" s="8"/>
      <c r="I192" s="8"/>
      <c r="J192" s="8"/>
      <c r="K192" s="8"/>
      <c r="L192" s="8"/>
      <c r="M192" s="3"/>
      <c r="N192" s="3"/>
      <c r="O192" s="3"/>
      <c r="P192" s="9">
        <f t="shared" si="106"/>
        <v>0</v>
      </c>
      <c r="Q192" s="3"/>
      <c r="R192" s="3"/>
      <c r="S192" s="3"/>
      <c r="T192" s="3"/>
      <c r="U192" s="3"/>
      <c r="V192" s="3"/>
      <c r="W192" s="27" t="str">
        <f t="shared" si="122"/>
        <v>OK</v>
      </c>
      <c r="X192" s="3"/>
      <c r="Y192" s="3"/>
      <c r="Z192" s="3"/>
      <c r="AA192" s="3"/>
      <c r="AB192" s="3"/>
      <c r="AC192" s="3"/>
    </row>
    <row r="193" spans="1:29" x14ac:dyDescent="0.2">
      <c r="A193" s="3"/>
      <c r="B193" s="7" t="s">
        <v>113</v>
      </c>
      <c r="C193" s="3"/>
      <c r="D193" s="3"/>
      <c r="E193" s="4"/>
      <c r="F193" s="4"/>
      <c r="G193" s="4"/>
      <c r="H193" s="8"/>
      <c r="I193" s="8"/>
      <c r="J193" s="8"/>
      <c r="K193" s="8"/>
      <c r="L193" s="8"/>
      <c r="M193" s="8"/>
      <c r="N193" s="8"/>
      <c r="O193" s="8"/>
      <c r="P193" s="9">
        <f t="shared" si="106"/>
        <v>0</v>
      </c>
      <c r="Q193" s="8"/>
      <c r="R193" s="8"/>
      <c r="S193" s="8"/>
      <c r="T193" s="8"/>
      <c r="U193" s="8"/>
      <c r="V193" s="8"/>
      <c r="W193" s="27" t="str">
        <f t="shared" si="122"/>
        <v>OK</v>
      </c>
      <c r="X193" s="3"/>
      <c r="Y193" s="3"/>
      <c r="Z193" s="3"/>
      <c r="AA193" s="3"/>
      <c r="AB193" s="3"/>
      <c r="AC193" s="3"/>
    </row>
    <row r="194" spans="1:29" x14ac:dyDescent="0.2">
      <c r="A194" s="3"/>
      <c r="B194" s="3"/>
      <c r="C194" s="3"/>
      <c r="D194" s="3"/>
      <c r="E194" s="4"/>
      <c r="F194" s="4"/>
      <c r="G194" s="4"/>
      <c r="H194" s="8"/>
      <c r="I194" s="8"/>
      <c r="J194" s="8"/>
      <c r="K194" s="8"/>
      <c r="L194" s="8"/>
      <c r="M194" s="8"/>
      <c r="N194" s="8"/>
      <c r="O194" s="8"/>
      <c r="P194" s="9">
        <f t="shared" si="106"/>
        <v>0</v>
      </c>
      <c r="Q194" s="8"/>
      <c r="R194" s="8"/>
      <c r="S194" s="8"/>
      <c r="T194" s="8"/>
      <c r="U194" s="8"/>
      <c r="V194" s="8"/>
      <c r="W194" s="27" t="str">
        <f t="shared" si="122"/>
        <v>OK</v>
      </c>
      <c r="X194" s="3"/>
      <c r="Y194" s="3"/>
      <c r="Z194" s="3"/>
      <c r="AA194" s="3"/>
      <c r="AB194" s="3"/>
      <c r="AC194" s="3"/>
    </row>
    <row r="195" spans="1:29" x14ac:dyDescent="0.2">
      <c r="A195" s="3">
        <v>1</v>
      </c>
      <c r="B195" s="3" t="s">
        <v>112</v>
      </c>
      <c r="C195" s="3"/>
      <c r="D195" s="3"/>
      <c r="E195" s="4"/>
      <c r="F195" s="4"/>
      <c r="G195" s="4"/>
      <c r="H195" s="8"/>
      <c r="I195" s="8"/>
      <c r="J195" s="8"/>
      <c r="K195" s="8"/>
      <c r="L195" s="8"/>
      <c r="M195" s="8"/>
      <c r="N195" s="8"/>
      <c r="O195" s="8"/>
      <c r="P195" s="9">
        <f t="shared" si="106"/>
        <v>0</v>
      </c>
      <c r="Q195" s="8"/>
      <c r="R195" s="8"/>
      <c r="S195" s="8"/>
      <c r="T195" s="8"/>
      <c r="U195" s="8"/>
      <c r="V195" s="8"/>
      <c r="W195" s="27" t="str">
        <f t="shared" si="122"/>
        <v>OK</v>
      </c>
      <c r="X195" s="3"/>
      <c r="Y195" s="3"/>
      <c r="Z195" s="3"/>
      <c r="AA195" s="3"/>
      <c r="AB195" s="3"/>
      <c r="AC195" s="3"/>
    </row>
    <row r="196" spans="1:29" x14ac:dyDescent="0.2">
      <c r="A196" s="3">
        <f t="shared" ref="A196:A249" si="124">+A195+1</f>
        <v>2</v>
      </c>
      <c r="B196" s="3"/>
      <c r="C196" s="3"/>
      <c r="D196" s="3"/>
      <c r="E196" s="4"/>
      <c r="F196" s="4"/>
      <c r="G196" s="4"/>
      <c r="H196" s="8"/>
      <c r="I196" s="8"/>
      <c r="J196" s="8"/>
      <c r="K196" s="8"/>
      <c r="L196" s="8"/>
      <c r="M196" s="8"/>
      <c r="N196" s="8"/>
      <c r="O196" s="8"/>
      <c r="P196" s="9">
        <f t="shared" si="106"/>
        <v>0</v>
      </c>
      <c r="Q196" s="8"/>
      <c r="R196" s="8"/>
      <c r="S196" s="8"/>
      <c r="T196" s="8"/>
      <c r="U196" s="8"/>
      <c r="V196" s="8"/>
      <c r="W196" s="27" t="str">
        <f t="shared" si="122"/>
        <v>OK</v>
      </c>
      <c r="X196" s="3"/>
      <c r="Y196" s="3"/>
      <c r="Z196" s="3"/>
      <c r="AA196" s="3"/>
      <c r="AB196" s="3"/>
      <c r="AC196" s="3"/>
    </row>
    <row r="197" spans="1:29" x14ac:dyDescent="0.2">
      <c r="A197" s="3">
        <f t="shared" si="124"/>
        <v>3</v>
      </c>
      <c r="B197" s="3" t="s">
        <v>33</v>
      </c>
      <c r="C197" s="3"/>
      <c r="D197" s="3"/>
      <c r="E197" s="4"/>
      <c r="F197" s="4"/>
      <c r="G197" s="4"/>
      <c r="H197" s="8"/>
      <c r="I197" s="8"/>
      <c r="J197" s="8"/>
      <c r="K197" s="8"/>
      <c r="L197" s="8"/>
      <c r="M197" s="8"/>
      <c r="N197" s="8"/>
      <c r="O197" s="8"/>
      <c r="P197" s="9">
        <f t="shared" si="106"/>
        <v>0</v>
      </c>
      <c r="Q197" s="8"/>
      <c r="R197" s="8"/>
      <c r="S197" s="8"/>
      <c r="T197" s="8"/>
      <c r="U197" s="8"/>
      <c r="V197" s="8"/>
      <c r="W197" s="27" t="str">
        <f t="shared" si="122"/>
        <v>OK</v>
      </c>
      <c r="X197" s="3"/>
      <c r="Y197" s="3"/>
      <c r="Z197" s="3"/>
      <c r="AA197" s="3"/>
      <c r="AB197" s="3"/>
      <c r="AC197" s="3"/>
    </row>
    <row r="198" spans="1:29" x14ac:dyDescent="0.2">
      <c r="A198" s="3">
        <f t="shared" si="124"/>
        <v>4</v>
      </c>
      <c r="B198" s="3" t="s">
        <v>34</v>
      </c>
      <c r="C198" s="3" t="s">
        <v>35</v>
      </c>
      <c r="D198" s="3" t="str">
        <f t="shared" ref="D198:D206" si="125">B198</f>
        <v>A350</v>
      </c>
      <c r="E198" s="4" t="s">
        <v>591</v>
      </c>
      <c r="F198" s="11"/>
      <c r="G198" s="11"/>
      <c r="H198" s="2">
        <f>'II-I TOTAL COMPANY'!L198</f>
        <v>0</v>
      </c>
      <c r="I198" s="66">
        <v>0</v>
      </c>
      <c r="J198" s="66">
        <f t="shared" ref="J198:J208" si="126">SUM(K198:V198)-M198-P198</f>
        <v>0</v>
      </c>
      <c r="K198" s="12">
        <f t="shared" ref="K198:L206" si="127">IF($H101&lt;&gt;0,(K101/$H101)*$H198,0)</f>
        <v>0</v>
      </c>
      <c r="L198" s="12">
        <f t="shared" si="127"/>
        <v>0</v>
      </c>
      <c r="M198" s="9">
        <f t="shared" ref="M198:M206" si="128">SUM(N198:O198)</f>
        <v>0</v>
      </c>
      <c r="N198" s="12">
        <f t="shared" ref="N198:O206" si="129">IF($H101&lt;&gt;0,(N101/$H101)*$H198,0)</f>
        <v>0</v>
      </c>
      <c r="O198" s="12">
        <f t="shared" si="129"/>
        <v>0</v>
      </c>
      <c r="P198" s="9">
        <f t="shared" si="106"/>
        <v>0</v>
      </c>
      <c r="Q198" s="12">
        <f t="shared" ref="Q198:V206" si="130">IF($H101&lt;&gt;0,(Q101/$H101)*$H198,0)</f>
        <v>0</v>
      </c>
      <c r="R198" s="12">
        <f t="shared" si="130"/>
        <v>0</v>
      </c>
      <c r="S198" s="12">
        <f t="shared" ref="S198:S206" si="131">IF($H101&lt;&gt;0,(S101/$H101)*$H198,0)</f>
        <v>0</v>
      </c>
      <c r="T198" s="12">
        <f t="shared" si="130"/>
        <v>0</v>
      </c>
      <c r="U198" s="12">
        <f t="shared" si="130"/>
        <v>0</v>
      </c>
      <c r="V198" s="12">
        <f t="shared" si="130"/>
        <v>0</v>
      </c>
      <c r="W198" s="27" t="str">
        <f t="shared" si="122"/>
        <v>OK</v>
      </c>
      <c r="X198" s="3"/>
      <c r="Y198" s="3"/>
      <c r="Z198" s="3"/>
      <c r="AA198" s="3"/>
      <c r="AB198" s="3"/>
      <c r="AC198" s="3"/>
    </row>
    <row r="199" spans="1:29" x14ac:dyDescent="0.2">
      <c r="A199" s="3">
        <f t="shared" si="124"/>
        <v>5</v>
      </c>
      <c r="B199" s="3" t="s">
        <v>36</v>
      </c>
      <c r="C199" s="3" t="s">
        <v>31</v>
      </c>
      <c r="D199" s="3" t="str">
        <f t="shared" si="125"/>
        <v>A352</v>
      </c>
      <c r="E199" s="4" t="s">
        <v>591</v>
      </c>
      <c r="F199" s="11"/>
      <c r="G199" s="11"/>
      <c r="H199" s="2">
        <f>'II-I TOTAL COMPANY'!L199</f>
        <v>0</v>
      </c>
      <c r="I199" s="66">
        <v>0</v>
      </c>
      <c r="J199" s="66">
        <f t="shared" si="126"/>
        <v>0</v>
      </c>
      <c r="K199" s="12">
        <f t="shared" si="127"/>
        <v>0</v>
      </c>
      <c r="L199" s="12">
        <f t="shared" si="127"/>
        <v>0</v>
      </c>
      <c r="M199" s="9">
        <f t="shared" si="128"/>
        <v>0</v>
      </c>
      <c r="N199" s="12">
        <f t="shared" si="129"/>
        <v>0</v>
      </c>
      <c r="O199" s="12">
        <f t="shared" si="129"/>
        <v>0</v>
      </c>
      <c r="P199" s="9">
        <f t="shared" si="106"/>
        <v>0</v>
      </c>
      <c r="Q199" s="12">
        <f t="shared" si="130"/>
        <v>0</v>
      </c>
      <c r="R199" s="12">
        <f t="shared" si="130"/>
        <v>0</v>
      </c>
      <c r="S199" s="12">
        <f t="shared" si="131"/>
        <v>0</v>
      </c>
      <c r="T199" s="12">
        <f t="shared" si="130"/>
        <v>0</v>
      </c>
      <c r="U199" s="12">
        <f t="shared" si="130"/>
        <v>0</v>
      </c>
      <c r="V199" s="12">
        <f t="shared" si="130"/>
        <v>0</v>
      </c>
      <c r="W199" s="27" t="str">
        <f t="shared" si="122"/>
        <v>OK</v>
      </c>
      <c r="X199" s="3"/>
      <c r="Y199" s="3"/>
      <c r="Z199" s="3"/>
      <c r="AA199" s="3"/>
      <c r="AB199" s="3"/>
      <c r="AC199" s="3"/>
    </row>
    <row r="200" spans="1:29" x14ac:dyDescent="0.2">
      <c r="A200" s="3">
        <f t="shared" si="124"/>
        <v>6</v>
      </c>
      <c r="B200" s="3" t="s">
        <v>37</v>
      </c>
      <c r="C200" s="3" t="s">
        <v>38</v>
      </c>
      <c r="D200" s="3" t="str">
        <f t="shared" si="125"/>
        <v>A353</v>
      </c>
      <c r="E200" s="4" t="s">
        <v>591</v>
      </c>
      <c r="F200" s="11"/>
      <c r="G200" s="11"/>
      <c r="H200" s="2">
        <f>'II-I TOTAL COMPANY'!L200</f>
        <v>0</v>
      </c>
      <c r="I200" s="66">
        <v>0</v>
      </c>
      <c r="J200" s="66">
        <f t="shared" si="126"/>
        <v>0</v>
      </c>
      <c r="K200" s="12">
        <f t="shared" si="127"/>
        <v>0</v>
      </c>
      <c r="L200" s="12">
        <f t="shared" si="127"/>
        <v>0</v>
      </c>
      <c r="M200" s="9">
        <f t="shared" si="128"/>
        <v>0</v>
      </c>
      <c r="N200" s="12">
        <f t="shared" si="129"/>
        <v>0</v>
      </c>
      <c r="O200" s="12">
        <f t="shared" si="129"/>
        <v>0</v>
      </c>
      <c r="P200" s="9">
        <f t="shared" si="106"/>
        <v>0</v>
      </c>
      <c r="Q200" s="12">
        <f t="shared" si="130"/>
        <v>0</v>
      </c>
      <c r="R200" s="12">
        <f t="shared" si="130"/>
        <v>0</v>
      </c>
      <c r="S200" s="12">
        <f t="shared" si="131"/>
        <v>0</v>
      </c>
      <c r="T200" s="12">
        <f t="shared" si="130"/>
        <v>0</v>
      </c>
      <c r="U200" s="12">
        <f t="shared" si="130"/>
        <v>0</v>
      </c>
      <c r="V200" s="12">
        <f t="shared" si="130"/>
        <v>0</v>
      </c>
      <c r="W200" s="27" t="str">
        <f t="shared" si="122"/>
        <v>OK</v>
      </c>
      <c r="X200" s="3"/>
      <c r="Y200" s="3"/>
      <c r="Z200" s="3"/>
      <c r="AA200" s="3"/>
      <c r="AB200" s="3"/>
      <c r="AC200" s="3"/>
    </row>
    <row r="201" spans="1:29" x14ac:dyDescent="0.2">
      <c r="A201" s="3">
        <f t="shared" si="124"/>
        <v>7</v>
      </c>
      <c r="B201" s="3" t="s">
        <v>39</v>
      </c>
      <c r="C201" s="3" t="s">
        <v>40</v>
      </c>
      <c r="D201" s="3" t="str">
        <f t="shared" si="125"/>
        <v>A354</v>
      </c>
      <c r="E201" s="4" t="s">
        <v>591</v>
      </c>
      <c r="F201" s="11"/>
      <c r="G201" s="11"/>
      <c r="H201" s="2">
        <f>'II-I TOTAL COMPANY'!L201</f>
        <v>0</v>
      </c>
      <c r="I201" s="66">
        <v>0</v>
      </c>
      <c r="J201" s="66">
        <f t="shared" si="126"/>
        <v>0</v>
      </c>
      <c r="K201" s="12">
        <f t="shared" si="127"/>
        <v>0</v>
      </c>
      <c r="L201" s="12">
        <f t="shared" si="127"/>
        <v>0</v>
      </c>
      <c r="M201" s="9">
        <f t="shared" si="128"/>
        <v>0</v>
      </c>
      <c r="N201" s="12">
        <f t="shared" si="129"/>
        <v>0</v>
      </c>
      <c r="O201" s="12">
        <f t="shared" si="129"/>
        <v>0</v>
      </c>
      <c r="P201" s="9">
        <f t="shared" si="106"/>
        <v>0</v>
      </c>
      <c r="Q201" s="12">
        <f t="shared" si="130"/>
        <v>0</v>
      </c>
      <c r="R201" s="12">
        <f t="shared" si="130"/>
        <v>0</v>
      </c>
      <c r="S201" s="12">
        <f t="shared" si="131"/>
        <v>0</v>
      </c>
      <c r="T201" s="12">
        <f t="shared" si="130"/>
        <v>0</v>
      </c>
      <c r="U201" s="12">
        <f t="shared" si="130"/>
        <v>0</v>
      </c>
      <c r="V201" s="12">
        <f t="shared" si="130"/>
        <v>0</v>
      </c>
      <c r="W201" s="27" t="str">
        <f t="shared" si="122"/>
        <v>OK</v>
      </c>
      <c r="X201" s="3"/>
      <c r="Y201" s="3"/>
      <c r="Z201" s="3"/>
      <c r="AA201" s="3"/>
      <c r="AB201" s="3"/>
      <c r="AC201" s="3"/>
    </row>
    <row r="202" spans="1:29" x14ac:dyDescent="0.2">
      <c r="A202" s="3">
        <f t="shared" si="124"/>
        <v>8</v>
      </c>
      <c r="B202" s="3" t="s">
        <v>41</v>
      </c>
      <c r="C202" s="3" t="s">
        <v>42</v>
      </c>
      <c r="D202" s="3" t="str">
        <f t="shared" si="125"/>
        <v>A355</v>
      </c>
      <c r="E202" s="4" t="s">
        <v>591</v>
      </c>
      <c r="F202" s="11"/>
      <c r="G202" s="11"/>
      <c r="H202" s="2">
        <f>'II-I TOTAL COMPANY'!L202</f>
        <v>0</v>
      </c>
      <c r="I202" s="66">
        <v>0</v>
      </c>
      <c r="J202" s="66">
        <f t="shared" si="126"/>
        <v>0</v>
      </c>
      <c r="K202" s="12">
        <f t="shared" si="127"/>
        <v>0</v>
      </c>
      <c r="L202" s="12">
        <f t="shared" si="127"/>
        <v>0</v>
      </c>
      <c r="M202" s="9">
        <f t="shared" si="128"/>
        <v>0</v>
      </c>
      <c r="N202" s="12">
        <f t="shared" si="129"/>
        <v>0</v>
      </c>
      <c r="O202" s="12">
        <f t="shared" si="129"/>
        <v>0</v>
      </c>
      <c r="P202" s="9">
        <f t="shared" si="106"/>
        <v>0</v>
      </c>
      <c r="Q202" s="12">
        <f t="shared" si="130"/>
        <v>0</v>
      </c>
      <c r="R202" s="12">
        <f t="shared" si="130"/>
        <v>0</v>
      </c>
      <c r="S202" s="12">
        <f t="shared" si="131"/>
        <v>0</v>
      </c>
      <c r="T202" s="12">
        <f t="shared" si="130"/>
        <v>0</v>
      </c>
      <c r="U202" s="12">
        <f t="shared" si="130"/>
        <v>0</v>
      </c>
      <c r="V202" s="12">
        <f t="shared" si="130"/>
        <v>0</v>
      </c>
      <c r="W202" s="27" t="str">
        <f t="shared" si="122"/>
        <v>OK</v>
      </c>
      <c r="X202" s="3"/>
      <c r="Y202" s="3"/>
      <c r="Z202" s="3"/>
      <c r="AA202" s="3"/>
      <c r="AB202" s="3"/>
      <c r="AC202" s="3"/>
    </row>
    <row r="203" spans="1:29" x14ac:dyDescent="0.2">
      <c r="A203" s="3">
        <f t="shared" si="124"/>
        <v>9</v>
      </c>
      <c r="B203" s="3" t="s">
        <v>43</v>
      </c>
      <c r="C203" s="3" t="s">
        <v>44</v>
      </c>
      <c r="D203" s="3" t="str">
        <f t="shared" si="125"/>
        <v>A356</v>
      </c>
      <c r="E203" s="4" t="s">
        <v>591</v>
      </c>
      <c r="F203" s="11"/>
      <c r="G203" s="11"/>
      <c r="H203" s="2">
        <f>'II-I TOTAL COMPANY'!L203</f>
        <v>0</v>
      </c>
      <c r="I203" s="66">
        <v>0</v>
      </c>
      <c r="J203" s="66">
        <f t="shared" si="126"/>
        <v>0</v>
      </c>
      <c r="K203" s="12">
        <f t="shared" si="127"/>
        <v>0</v>
      </c>
      <c r="L203" s="12">
        <f t="shared" si="127"/>
        <v>0</v>
      </c>
      <c r="M203" s="9">
        <f t="shared" si="128"/>
        <v>0</v>
      </c>
      <c r="N203" s="12">
        <f t="shared" si="129"/>
        <v>0</v>
      </c>
      <c r="O203" s="12">
        <f t="shared" si="129"/>
        <v>0</v>
      </c>
      <c r="P203" s="9">
        <f t="shared" si="106"/>
        <v>0</v>
      </c>
      <c r="Q203" s="12">
        <f t="shared" si="130"/>
        <v>0</v>
      </c>
      <c r="R203" s="12">
        <f t="shared" si="130"/>
        <v>0</v>
      </c>
      <c r="S203" s="12">
        <f t="shared" si="131"/>
        <v>0</v>
      </c>
      <c r="T203" s="12">
        <f t="shared" si="130"/>
        <v>0</v>
      </c>
      <c r="U203" s="12">
        <f t="shared" si="130"/>
        <v>0</v>
      </c>
      <c r="V203" s="12">
        <f t="shared" si="130"/>
        <v>0</v>
      </c>
      <c r="W203" s="27" t="str">
        <f t="shared" si="122"/>
        <v>OK</v>
      </c>
      <c r="X203" s="3"/>
      <c r="Y203" s="3"/>
      <c r="Z203" s="3"/>
      <c r="AA203" s="3"/>
      <c r="AB203" s="3"/>
      <c r="AC203" s="3"/>
    </row>
    <row r="204" spans="1:29" x14ac:dyDescent="0.2">
      <c r="A204" s="3">
        <f t="shared" si="124"/>
        <v>10</v>
      </c>
      <c r="B204" s="3" t="s">
        <v>45</v>
      </c>
      <c r="C204" s="3" t="s">
        <v>46</v>
      </c>
      <c r="D204" s="3" t="str">
        <f t="shared" si="125"/>
        <v>A357</v>
      </c>
      <c r="E204" s="4" t="s">
        <v>591</v>
      </c>
      <c r="F204" s="11"/>
      <c r="G204" s="11"/>
      <c r="H204" s="2">
        <f>'II-I TOTAL COMPANY'!L204</f>
        <v>0</v>
      </c>
      <c r="I204" s="66">
        <v>0</v>
      </c>
      <c r="J204" s="66">
        <f t="shared" si="126"/>
        <v>0</v>
      </c>
      <c r="K204" s="12">
        <f t="shared" si="127"/>
        <v>0</v>
      </c>
      <c r="L204" s="12">
        <f t="shared" si="127"/>
        <v>0</v>
      </c>
      <c r="M204" s="9">
        <f t="shared" si="128"/>
        <v>0</v>
      </c>
      <c r="N204" s="12">
        <f t="shared" si="129"/>
        <v>0</v>
      </c>
      <c r="O204" s="12">
        <f t="shared" si="129"/>
        <v>0</v>
      </c>
      <c r="P204" s="9">
        <f t="shared" si="106"/>
        <v>0</v>
      </c>
      <c r="Q204" s="12">
        <f t="shared" si="130"/>
        <v>0</v>
      </c>
      <c r="R204" s="12">
        <f t="shared" si="130"/>
        <v>0</v>
      </c>
      <c r="S204" s="12">
        <f t="shared" si="131"/>
        <v>0</v>
      </c>
      <c r="T204" s="12">
        <f t="shared" si="130"/>
        <v>0</v>
      </c>
      <c r="U204" s="12">
        <f t="shared" si="130"/>
        <v>0</v>
      </c>
      <c r="V204" s="12">
        <f t="shared" si="130"/>
        <v>0</v>
      </c>
      <c r="W204" s="27" t="str">
        <f t="shared" si="122"/>
        <v>OK</v>
      </c>
      <c r="X204" s="3"/>
      <c r="Y204" s="3"/>
      <c r="Z204" s="3"/>
      <c r="AA204" s="3"/>
      <c r="AB204" s="3"/>
      <c r="AC204" s="3"/>
    </row>
    <row r="205" spans="1:29" x14ac:dyDescent="0.2">
      <c r="A205" s="3">
        <f t="shared" si="124"/>
        <v>11</v>
      </c>
      <c r="B205" s="3" t="s">
        <v>47</v>
      </c>
      <c r="C205" s="3" t="s">
        <v>48</v>
      </c>
      <c r="D205" s="3" t="str">
        <f t="shared" si="125"/>
        <v>A358</v>
      </c>
      <c r="E205" s="4" t="s">
        <v>591</v>
      </c>
      <c r="F205" s="11"/>
      <c r="G205" s="11"/>
      <c r="H205" s="2">
        <f>'II-I TOTAL COMPANY'!L205</f>
        <v>0</v>
      </c>
      <c r="I205" s="66">
        <v>0</v>
      </c>
      <c r="J205" s="66">
        <f t="shared" si="126"/>
        <v>0</v>
      </c>
      <c r="K205" s="12">
        <f t="shared" si="127"/>
        <v>0</v>
      </c>
      <c r="L205" s="12">
        <f t="shared" si="127"/>
        <v>0</v>
      </c>
      <c r="M205" s="9">
        <f t="shared" si="128"/>
        <v>0</v>
      </c>
      <c r="N205" s="12">
        <f t="shared" si="129"/>
        <v>0</v>
      </c>
      <c r="O205" s="12">
        <f t="shared" si="129"/>
        <v>0</v>
      </c>
      <c r="P205" s="9">
        <f t="shared" si="106"/>
        <v>0</v>
      </c>
      <c r="Q205" s="12">
        <f t="shared" si="130"/>
        <v>0</v>
      </c>
      <c r="R205" s="12">
        <f t="shared" si="130"/>
        <v>0</v>
      </c>
      <c r="S205" s="12">
        <f t="shared" si="131"/>
        <v>0</v>
      </c>
      <c r="T205" s="12">
        <f t="shared" si="130"/>
        <v>0</v>
      </c>
      <c r="U205" s="12">
        <f t="shared" si="130"/>
        <v>0</v>
      </c>
      <c r="V205" s="12">
        <f t="shared" si="130"/>
        <v>0</v>
      </c>
      <c r="W205" s="27" t="str">
        <f t="shared" si="122"/>
        <v>OK</v>
      </c>
      <c r="X205" s="3"/>
      <c r="Y205" s="3"/>
      <c r="Z205" s="3"/>
      <c r="AA205" s="3"/>
      <c r="AB205" s="3"/>
      <c r="AC205" s="3"/>
    </row>
    <row r="206" spans="1:29" x14ac:dyDescent="0.2">
      <c r="A206" s="3">
        <f t="shared" si="124"/>
        <v>12</v>
      </c>
      <c r="B206" s="3" t="s">
        <v>49</v>
      </c>
      <c r="C206" s="3" t="s">
        <v>50</v>
      </c>
      <c r="D206" s="3" t="str">
        <f t="shared" si="125"/>
        <v>A359</v>
      </c>
      <c r="E206" s="4" t="s">
        <v>591</v>
      </c>
      <c r="F206" s="11"/>
      <c r="G206" s="11"/>
      <c r="H206" s="2">
        <f>'II-I TOTAL COMPANY'!L206</f>
        <v>0</v>
      </c>
      <c r="I206" s="66">
        <v>0</v>
      </c>
      <c r="J206" s="66">
        <f t="shared" si="126"/>
        <v>0</v>
      </c>
      <c r="K206" s="12">
        <f t="shared" si="127"/>
        <v>0</v>
      </c>
      <c r="L206" s="12">
        <f t="shared" si="127"/>
        <v>0</v>
      </c>
      <c r="M206" s="9">
        <f t="shared" si="128"/>
        <v>0</v>
      </c>
      <c r="N206" s="12">
        <f t="shared" si="129"/>
        <v>0</v>
      </c>
      <c r="O206" s="12">
        <f t="shared" si="129"/>
        <v>0</v>
      </c>
      <c r="P206" s="9">
        <f t="shared" si="106"/>
        <v>0</v>
      </c>
      <c r="Q206" s="12">
        <f t="shared" si="130"/>
        <v>0</v>
      </c>
      <c r="R206" s="12">
        <f t="shared" si="130"/>
        <v>0</v>
      </c>
      <c r="S206" s="12">
        <f t="shared" si="131"/>
        <v>0</v>
      </c>
      <c r="T206" s="12">
        <f t="shared" si="130"/>
        <v>0</v>
      </c>
      <c r="U206" s="12">
        <f t="shared" si="130"/>
        <v>0</v>
      </c>
      <c r="V206" s="12">
        <f t="shared" si="130"/>
        <v>0</v>
      </c>
      <c r="W206" s="27" t="str">
        <f t="shared" si="122"/>
        <v>OK</v>
      </c>
      <c r="X206" s="3"/>
      <c r="Y206" s="3"/>
      <c r="Z206" s="3"/>
      <c r="AA206" s="3"/>
      <c r="AB206" s="3"/>
      <c r="AC206" s="3"/>
    </row>
    <row r="207" spans="1:29" x14ac:dyDescent="0.2">
      <c r="A207" s="3">
        <f t="shared" si="124"/>
        <v>13</v>
      </c>
      <c r="B207" s="3"/>
      <c r="C207" s="3"/>
      <c r="D207" s="3"/>
      <c r="E207" s="4"/>
      <c r="F207" s="4"/>
      <c r="G207" s="4"/>
      <c r="H207" s="2"/>
      <c r="I207" s="66"/>
      <c r="J207" s="66"/>
      <c r="K207" s="12"/>
      <c r="L207" s="12"/>
      <c r="M207" s="12"/>
      <c r="N207" s="12"/>
      <c r="O207" s="12"/>
      <c r="P207" s="9">
        <f t="shared" si="106"/>
        <v>0</v>
      </c>
      <c r="Q207" s="12"/>
      <c r="R207" s="12"/>
      <c r="S207" s="12"/>
      <c r="T207" s="12"/>
      <c r="U207" s="12"/>
      <c r="V207" s="12"/>
      <c r="W207" s="27" t="str">
        <f t="shared" si="122"/>
        <v>OK</v>
      </c>
      <c r="X207" s="3"/>
      <c r="Y207" s="3"/>
      <c r="Z207" s="3"/>
      <c r="AA207" s="3"/>
      <c r="AB207" s="3"/>
      <c r="AC207" s="3"/>
    </row>
    <row r="208" spans="1:29" x14ac:dyDescent="0.2">
      <c r="A208" s="3">
        <f t="shared" si="124"/>
        <v>14</v>
      </c>
      <c r="B208" s="3"/>
      <c r="C208" s="3" t="s">
        <v>51</v>
      </c>
      <c r="D208" s="3"/>
      <c r="E208" s="4"/>
      <c r="F208" s="8"/>
      <c r="G208" s="8"/>
      <c r="H208" s="8">
        <f>SUM(H198:H206)</f>
        <v>0</v>
      </c>
      <c r="I208" s="8">
        <f>SUM(I198:I206)</f>
        <v>0</v>
      </c>
      <c r="J208" s="66">
        <f t="shared" si="126"/>
        <v>0</v>
      </c>
      <c r="K208" s="8">
        <f>SUM(K198:K206)</f>
        <v>0</v>
      </c>
      <c r="L208" s="8">
        <f>SUM(L198:L206)</f>
        <v>0</v>
      </c>
      <c r="M208" s="9">
        <f>SUM(N208:O208)</f>
        <v>0</v>
      </c>
      <c r="N208" s="8">
        <f>SUM(N198:N206)</f>
        <v>0</v>
      </c>
      <c r="O208" s="8">
        <f>SUM(O198:O206)</f>
        <v>0</v>
      </c>
      <c r="P208" s="9">
        <f t="shared" si="106"/>
        <v>0</v>
      </c>
      <c r="Q208" s="8">
        <f t="shared" ref="Q208:V208" si="132">SUM(Q198:Q206)</f>
        <v>0</v>
      </c>
      <c r="R208" s="8">
        <f t="shared" si="132"/>
        <v>0</v>
      </c>
      <c r="S208" s="8">
        <f t="shared" si="132"/>
        <v>0</v>
      </c>
      <c r="T208" s="8">
        <f t="shared" si="132"/>
        <v>0</v>
      </c>
      <c r="U208" s="8">
        <f t="shared" si="132"/>
        <v>0</v>
      </c>
      <c r="V208" s="8">
        <f t="shared" si="132"/>
        <v>0</v>
      </c>
      <c r="W208" s="27" t="str">
        <f t="shared" si="122"/>
        <v>OK</v>
      </c>
      <c r="X208" s="3"/>
      <c r="Y208" s="3"/>
      <c r="Z208" s="3"/>
      <c r="AA208" s="3"/>
      <c r="AB208" s="3"/>
      <c r="AC208" s="3"/>
    </row>
    <row r="209" spans="1:29" x14ac:dyDescent="0.2">
      <c r="A209" s="3">
        <f t="shared" si="124"/>
        <v>15</v>
      </c>
      <c r="B209" s="3"/>
      <c r="C209" s="3"/>
      <c r="D209" s="3"/>
      <c r="E209" s="4"/>
      <c r="F209" s="4"/>
      <c r="G209" s="4"/>
      <c r="H209" s="8"/>
      <c r="I209" s="8"/>
      <c r="J209" s="8"/>
      <c r="K209" s="8"/>
      <c r="L209" s="8"/>
      <c r="M209" s="8"/>
      <c r="N209" s="8"/>
      <c r="O209" s="8"/>
      <c r="P209" s="9">
        <f t="shared" si="106"/>
        <v>0</v>
      </c>
      <c r="Q209" s="8"/>
      <c r="R209" s="8"/>
      <c r="S209" s="8"/>
      <c r="T209" s="8"/>
      <c r="U209" s="8"/>
      <c r="V209" s="8"/>
      <c r="W209" s="27" t="str">
        <f t="shared" si="122"/>
        <v>OK</v>
      </c>
      <c r="X209" s="3"/>
      <c r="Y209" s="3"/>
      <c r="Z209" s="3"/>
      <c r="AA209" s="3"/>
      <c r="AB209" s="3"/>
      <c r="AC209" s="3"/>
    </row>
    <row r="210" spans="1:29" x14ac:dyDescent="0.2">
      <c r="A210" s="3">
        <f t="shared" si="124"/>
        <v>16</v>
      </c>
      <c r="B210" s="3" t="s">
        <v>52</v>
      </c>
      <c r="C210" s="3"/>
      <c r="D210" s="3"/>
      <c r="E210" s="4"/>
      <c r="F210" s="4"/>
      <c r="G210" s="4"/>
      <c r="H210" s="8"/>
      <c r="I210" s="8"/>
      <c r="J210" s="8"/>
      <c r="K210" s="8"/>
      <c r="L210" s="8"/>
      <c r="M210" s="8"/>
      <c r="N210" s="8"/>
      <c r="O210" s="8"/>
      <c r="P210" s="9">
        <f t="shared" si="106"/>
        <v>0</v>
      </c>
      <c r="Q210" s="8"/>
      <c r="R210" s="8"/>
      <c r="S210" s="8"/>
      <c r="T210" s="8"/>
      <c r="U210" s="8"/>
      <c r="V210" s="8"/>
      <c r="W210" s="27" t="str">
        <f t="shared" si="122"/>
        <v>OK</v>
      </c>
      <c r="X210" s="3"/>
      <c r="Y210" s="3"/>
      <c r="Z210" s="3"/>
      <c r="AA210" s="3"/>
      <c r="AB210" s="3"/>
      <c r="AC210" s="3"/>
    </row>
    <row r="211" spans="1:29" x14ac:dyDescent="0.2">
      <c r="A211" s="3">
        <f t="shared" si="124"/>
        <v>17</v>
      </c>
      <c r="B211" s="3" t="s">
        <v>53</v>
      </c>
      <c r="C211" s="3" t="s">
        <v>35</v>
      </c>
      <c r="D211" s="3" t="str">
        <f t="shared" ref="D211:D224" si="133">B211</f>
        <v>A360</v>
      </c>
      <c r="E211" s="4" t="s">
        <v>591</v>
      </c>
      <c r="F211" s="11"/>
      <c r="G211" s="11"/>
      <c r="H211" s="2">
        <f>'II-I TOTAL COMPANY'!L211</f>
        <v>0</v>
      </c>
      <c r="I211" s="66">
        <v>0</v>
      </c>
      <c r="J211" s="66">
        <f t="shared" ref="J211:J225" si="134">SUM(K211:V211)-M211-P211</f>
        <v>0</v>
      </c>
      <c r="K211" s="12">
        <f t="shared" ref="K211:L214" si="135">IF($H114&lt;&gt;0,(K114/$H114)*$H211,0)</f>
        <v>0</v>
      </c>
      <c r="L211" s="12">
        <f t="shared" si="135"/>
        <v>0</v>
      </c>
      <c r="M211" s="9">
        <f t="shared" ref="M211:M224" si="136">SUM(N211:O211)</f>
        <v>0</v>
      </c>
      <c r="N211" s="12">
        <f t="shared" ref="N211:O214" si="137">IF($H114&lt;&gt;0,(N114/$H114)*$H211,0)</f>
        <v>0</v>
      </c>
      <c r="O211" s="12">
        <f t="shared" si="137"/>
        <v>0</v>
      </c>
      <c r="P211" s="9">
        <f t="shared" si="106"/>
        <v>0</v>
      </c>
      <c r="Q211" s="12">
        <f t="shared" ref="Q211:V214" si="138">IF($H114&lt;&gt;0,(Q114/$H114)*$H211,0)</f>
        <v>0</v>
      </c>
      <c r="R211" s="12">
        <f t="shared" si="138"/>
        <v>0</v>
      </c>
      <c r="S211" s="12">
        <f>IF($H114&lt;&gt;0,(S114/$H114)*$H211,0)</f>
        <v>0</v>
      </c>
      <c r="T211" s="12">
        <f t="shared" si="138"/>
        <v>0</v>
      </c>
      <c r="U211" s="12">
        <f t="shared" si="138"/>
        <v>0</v>
      </c>
      <c r="V211" s="12">
        <f t="shared" si="138"/>
        <v>0</v>
      </c>
      <c r="W211" s="27" t="str">
        <f t="shared" si="122"/>
        <v>OK</v>
      </c>
      <c r="X211" s="3"/>
      <c r="Y211" s="3"/>
      <c r="Z211" s="3"/>
      <c r="AA211" s="3"/>
      <c r="AB211" s="3"/>
      <c r="AC211" s="3"/>
    </row>
    <row r="212" spans="1:29" x14ac:dyDescent="0.2">
      <c r="A212" s="3">
        <f t="shared" si="124"/>
        <v>18</v>
      </c>
      <c r="B212" s="3" t="s">
        <v>54</v>
      </c>
      <c r="C212" s="3" t="s">
        <v>31</v>
      </c>
      <c r="D212" s="3" t="str">
        <f t="shared" si="133"/>
        <v>A361</v>
      </c>
      <c r="E212" s="4" t="s">
        <v>591</v>
      </c>
      <c r="F212" s="11"/>
      <c r="G212" s="11"/>
      <c r="H212" s="2">
        <f>'II-I TOTAL COMPANY'!L212</f>
        <v>0</v>
      </c>
      <c r="I212" s="66">
        <v>0</v>
      </c>
      <c r="J212" s="66">
        <f t="shared" si="134"/>
        <v>0</v>
      </c>
      <c r="K212" s="12">
        <f t="shared" si="135"/>
        <v>0</v>
      </c>
      <c r="L212" s="12">
        <f t="shared" si="135"/>
        <v>0</v>
      </c>
      <c r="M212" s="9">
        <f t="shared" si="136"/>
        <v>0</v>
      </c>
      <c r="N212" s="12">
        <f t="shared" si="137"/>
        <v>0</v>
      </c>
      <c r="O212" s="12">
        <f t="shared" si="137"/>
        <v>0</v>
      </c>
      <c r="P212" s="9">
        <f t="shared" ref="P212:P275" si="139">SUM(Q212:S212)</f>
        <v>0</v>
      </c>
      <c r="Q212" s="12">
        <f t="shared" si="138"/>
        <v>0</v>
      </c>
      <c r="R212" s="12">
        <f t="shared" si="138"/>
        <v>0</v>
      </c>
      <c r="S212" s="12">
        <f>IF($H115&lt;&gt;0,(S115/$H115)*$H212,0)</f>
        <v>0</v>
      </c>
      <c r="T212" s="12">
        <f t="shared" si="138"/>
        <v>0</v>
      </c>
      <c r="U212" s="12">
        <f t="shared" si="138"/>
        <v>0</v>
      </c>
      <c r="V212" s="12">
        <f t="shared" si="138"/>
        <v>0</v>
      </c>
      <c r="W212" s="27" t="str">
        <f t="shared" si="122"/>
        <v>OK</v>
      </c>
      <c r="X212" s="3"/>
      <c r="Y212" s="3"/>
      <c r="Z212" s="3"/>
      <c r="AA212" s="3"/>
      <c r="AB212" s="3"/>
      <c r="AC212" s="3"/>
    </row>
    <row r="213" spans="1:29" x14ac:dyDescent="0.2">
      <c r="A213" s="3">
        <f t="shared" si="124"/>
        <v>19</v>
      </c>
      <c r="B213" s="3" t="s">
        <v>55</v>
      </c>
      <c r="C213" s="3" t="s">
        <v>38</v>
      </c>
      <c r="D213" s="3" t="str">
        <f t="shared" si="133"/>
        <v>A362</v>
      </c>
      <c r="E213" s="4" t="s">
        <v>591</v>
      </c>
      <c r="F213" s="11"/>
      <c r="G213" s="11"/>
      <c r="H213" s="2">
        <f>'II-I TOTAL COMPANY'!L213</f>
        <v>0</v>
      </c>
      <c r="I213" s="66">
        <v>0</v>
      </c>
      <c r="J213" s="66">
        <f t="shared" si="134"/>
        <v>0</v>
      </c>
      <c r="K213" s="12">
        <f t="shared" si="135"/>
        <v>0</v>
      </c>
      <c r="L213" s="12">
        <f t="shared" si="135"/>
        <v>0</v>
      </c>
      <c r="M213" s="9">
        <f t="shared" si="136"/>
        <v>0</v>
      </c>
      <c r="N213" s="12">
        <f t="shared" si="137"/>
        <v>0</v>
      </c>
      <c r="O213" s="12">
        <f t="shared" si="137"/>
        <v>0</v>
      </c>
      <c r="P213" s="9">
        <f t="shared" si="139"/>
        <v>0</v>
      </c>
      <c r="Q213" s="12">
        <f t="shared" si="138"/>
        <v>0</v>
      </c>
      <c r="R213" s="12">
        <f t="shared" si="138"/>
        <v>0</v>
      </c>
      <c r="S213" s="12">
        <f>IF($H116&lt;&gt;0,(S116/$H116)*$H213,0)</f>
        <v>0</v>
      </c>
      <c r="T213" s="12">
        <f t="shared" si="138"/>
        <v>0</v>
      </c>
      <c r="U213" s="12">
        <f t="shared" si="138"/>
        <v>0</v>
      </c>
      <c r="V213" s="12">
        <f t="shared" si="138"/>
        <v>0</v>
      </c>
      <c r="W213" s="27" t="str">
        <f t="shared" si="122"/>
        <v>OK</v>
      </c>
      <c r="X213" s="3"/>
      <c r="Y213" s="3"/>
      <c r="Z213" s="3"/>
      <c r="AA213" s="3"/>
      <c r="AB213" s="3"/>
      <c r="AC213" s="3"/>
    </row>
    <row r="214" spans="1:29" x14ac:dyDescent="0.2">
      <c r="A214" s="3">
        <f t="shared" si="124"/>
        <v>20</v>
      </c>
      <c r="B214" s="3" t="s">
        <v>56</v>
      </c>
      <c r="C214" s="3" t="s">
        <v>57</v>
      </c>
      <c r="D214" s="3" t="str">
        <f t="shared" si="133"/>
        <v>A363</v>
      </c>
      <c r="E214" s="4" t="s">
        <v>591</v>
      </c>
      <c r="F214" s="11"/>
      <c r="G214" s="11"/>
      <c r="H214" s="2">
        <f>'II-I TOTAL COMPANY'!L214</f>
        <v>0</v>
      </c>
      <c r="I214" s="66">
        <v>0</v>
      </c>
      <c r="J214" s="66">
        <f t="shared" si="134"/>
        <v>0</v>
      </c>
      <c r="K214" s="12">
        <f t="shared" si="135"/>
        <v>0</v>
      </c>
      <c r="L214" s="12">
        <f t="shared" si="135"/>
        <v>0</v>
      </c>
      <c r="M214" s="9">
        <f t="shared" si="136"/>
        <v>0</v>
      </c>
      <c r="N214" s="12">
        <f t="shared" si="137"/>
        <v>0</v>
      </c>
      <c r="O214" s="12">
        <f t="shared" si="137"/>
        <v>0</v>
      </c>
      <c r="P214" s="9">
        <f t="shared" si="139"/>
        <v>0</v>
      </c>
      <c r="Q214" s="12">
        <f t="shared" si="138"/>
        <v>0</v>
      </c>
      <c r="R214" s="12">
        <f t="shared" si="138"/>
        <v>0</v>
      </c>
      <c r="S214" s="12">
        <f>IF($H117&lt;&gt;0,(S117/$H117)*$H214,0)</f>
        <v>0</v>
      </c>
      <c r="T214" s="12">
        <f t="shared" si="138"/>
        <v>0</v>
      </c>
      <c r="U214" s="12">
        <f t="shared" si="138"/>
        <v>0</v>
      </c>
      <c r="V214" s="12">
        <f t="shared" si="138"/>
        <v>0</v>
      </c>
      <c r="W214" s="27" t="str">
        <f t="shared" si="122"/>
        <v>OK</v>
      </c>
      <c r="X214" s="3"/>
      <c r="Y214" s="3"/>
      <c r="Z214" s="3"/>
      <c r="AA214" s="3"/>
      <c r="AB214" s="3"/>
      <c r="AC214" s="3"/>
    </row>
    <row r="215" spans="1:29" x14ac:dyDescent="0.2">
      <c r="A215" s="3">
        <f t="shared" si="124"/>
        <v>21</v>
      </c>
      <c r="B215" s="3" t="s">
        <v>58</v>
      </c>
      <c r="C215" s="3" t="s">
        <v>59</v>
      </c>
      <c r="D215" s="3" t="str">
        <f t="shared" si="133"/>
        <v>A364</v>
      </c>
      <c r="E215" s="4" t="s">
        <v>591</v>
      </c>
      <c r="F215" s="11"/>
      <c r="G215" s="11"/>
      <c r="H215" s="2">
        <f>'II-I TOTAL COMPANY'!L215</f>
        <v>0</v>
      </c>
      <c r="I215" s="66">
        <v>0</v>
      </c>
      <c r="J215" s="66">
        <f t="shared" si="134"/>
        <v>0</v>
      </c>
      <c r="K215" s="12">
        <f>IF($H121&lt;&gt;0,(K121/$H121)*$H215,0)</f>
        <v>0</v>
      </c>
      <c r="L215" s="12">
        <f>IF($H121&lt;&gt;0,(L121/$H121)*$H215,0)</f>
        <v>0</v>
      </c>
      <c r="M215" s="9">
        <f t="shared" si="136"/>
        <v>0</v>
      </c>
      <c r="N215" s="12">
        <f>IF($H121&lt;&gt;0,(N121/$H121)*$H215,0)</f>
        <v>0</v>
      </c>
      <c r="O215" s="12">
        <f>IF($H121&lt;&gt;0,(O121/$H121)*$H215,0)</f>
        <v>0</v>
      </c>
      <c r="P215" s="9">
        <f t="shared" si="139"/>
        <v>0</v>
      </c>
      <c r="Q215" s="12">
        <f t="shared" ref="Q215:V215" si="140">IF($H121&lt;&gt;0,(Q121/$H121)*$H215,0)</f>
        <v>0</v>
      </c>
      <c r="R215" s="12">
        <f t="shared" si="140"/>
        <v>0</v>
      </c>
      <c r="S215" s="12">
        <f t="shared" si="140"/>
        <v>0</v>
      </c>
      <c r="T215" s="12">
        <f t="shared" si="140"/>
        <v>0</v>
      </c>
      <c r="U215" s="12">
        <f t="shared" si="140"/>
        <v>0</v>
      </c>
      <c r="V215" s="12">
        <f t="shared" si="140"/>
        <v>0</v>
      </c>
      <c r="W215" s="27" t="str">
        <f t="shared" si="122"/>
        <v>OK</v>
      </c>
      <c r="X215" s="3"/>
      <c r="Y215" s="3"/>
      <c r="Z215" s="3"/>
      <c r="AA215" s="3"/>
      <c r="AB215" s="3"/>
      <c r="AC215" s="3"/>
    </row>
    <row r="216" spans="1:29" x14ac:dyDescent="0.2">
      <c r="A216" s="3">
        <f t="shared" si="124"/>
        <v>22</v>
      </c>
      <c r="B216" s="3" t="s">
        <v>63</v>
      </c>
      <c r="C216" s="3" t="s">
        <v>44</v>
      </c>
      <c r="D216" s="3" t="str">
        <f t="shared" si="133"/>
        <v>A365</v>
      </c>
      <c r="E216" s="4" t="s">
        <v>591</v>
      </c>
      <c r="F216" s="11"/>
      <c r="G216" s="11"/>
      <c r="H216" s="2">
        <f>'II-I TOTAL COMPANY'!L216</f>
        <v>0</v>
      </c>
      <c r="I216" s="66">
        <v>0</v>
      </c>
      <c r="J216" s="66">
        <f t="shared" si="134"/>
        <v>0</v>
      </c>
      <c r="K216" s="12">
        <f>IF($H125&lt;&gt;0,(K125/$H125)*$H216,0)</f>
        <v>0</v>
      </c>
      <c r="L216" s="12">
        <f>IF($H125&lt;&gt;0,(L125/$H125)*$H216,0)</f>
        <v>0</v>
      </c>
      <c r="M216" s="9">
        <f t="shared" si="136"/>
        <v>0</v>
      </c>
      <c r="N216" s="12">
        <f>IF($H125&lt;&gt;0,(N125/$H125)*$H216,0)</f>
        <v>0</v>
      </c>
      <c r="O216" s="12">
        <f>IF($H125&lt;&gt;0,(O125/$H125)*$H216,0)</f>
        <v>0</v>
      </c>
      <c r="P216" s="9">
        <f t="shared" si="139"/>
        <v>0</v>
      </c>
      <c r="Q216" s="12">
        <f t="shared" ref="Q216:V216" si="141">IF($H125&lt;&gt;0,(Q125/$H125)*$H216,0)</f>
        <v>0</v>
      </c>
      <c r="R216" s="12">
        <f t="shared" si="141"/>
        <v>0</v>
      </c>
      <c r="S216" s="12">
        <f t="shared" si="141"/>
        <v>0</v>
      </c>
      <c r="T216" s="12">
        <f t="shared" si="141"/>
        <v>0</v>
      </c>
      <c r="U216" s="12">
        <f t="shared" si="141"/>
        <v>0</v>
      </c>
      <c r="V216" s="12">
        <f t="shared" si="141"/>
        <v>0</v>
      </c>
      <c r="W216" s="27" t="str">
        <f t="shared" si="122"/>
        <v>OK</v>
      </c>
      <c r="X216" s="3"/>
      <c r="Y216" s="3"/>
      <c r="Z216" s="3"/>
      <c r="AA216" s="3"/>
      <c r="AB216" s="3"/>
      <c r="AC216" s="3"/>
    </row>
    <row r="217" spans="1:29" x14ac:dyDescent="0.2">
      <c r="A217" s="3">
        <f t="shared" si="124"/>
        <v>23</v>
      </c>
      <c r="B217" s="3" t="s">
        <v>64</v>
      </c>
      <c r="C217" s="3" t="s">
        <v>65</v>
      </c>
      <c r="D217" s="3" t="str">
        <f t="shared" si="133"/>
        <v>A366</v>
      </c>
      <c r="E217" s="4" t="s">
        <v>591</v>
      </c>
      <c r="F217" s="11"/>
      <c r="G217" s="11"/>
      <c r="H217" s="2">
        <f>'II-I TOTAL COMPANY'!L217</f>
        <v>0</v>
      </c>
      <c r="I217" s="66">
        <v>0</v>
      </c>
      <c r="J217" s="66">
        <f t="shared" si="134"/>
        <v>0</v>
      </c>
      <c r="K217" s="12">
        <f>IF($H127&lt;&gt;0,(K130/$H130)*$H217,0)</f>
        <v>0</v>
      </c>
      <c r="L217" s="12">
        <f>IF($H127&lt;&gt;0,(L130/$H130)*$H217,0)</f>
        <v>0</v>
      </c>
      <c r="M217" s="9">
        <f t="shared" si="136"/>
        <v>0</v>
      </c>
      <c r="N217" s="12">
        <f>IF($H127&lt;&gt;0,(N130/$H130)*$H217,0)</f>
        <v>0</v>
      </c>
      <c r="O217" s="12">
        <f>IF($H127&lt;&gt;0,(O130/$H130)*$H217,0)</f>
        <v>0</v>
      </c>
      <c r="P217" s="9">
        <f t="shared" si="139"/>
        <v>0</v>
      </c>
      <c r="Q217" s="12">
        <f t="shared" ref="Q217:V217" si="142">IF($H127&lt;&gt;0,(Q130/$H130)*$H217,0)</f>
        <v>0</v>
      </c>
      <c r="R217" s="12">
        <f t="shared" si="142"/>
        <v>0</v>
      </c>
      <c r="S217" s="12">
        <f t="shared" si="142"/>
        <v>0</v>
      </c>
      <c r="T217" s="12">
        <f t="shared" si="142"/>
        <v>0</v>
      </c>
      <c r="U217" s="12">
        <f t="shared" si="142"/>
        <v>0</v>
      </c>
      <c r="V217" s="12">
        <f t="shared" si="142"/>
        <v>0</v>
      </c>
      <c r="W217" s="27" t="str">
        <f t="shared" si="122"/>
        <v>OK</v>
      </c>
      <c r="X217" s="3"/>
      <c r="Y217" s="3"/>
      <c r="Z217" s="3"/>
      <c r="AA217" s="3"/>
      <c r="AB217" s="3"/>
      <c r="AC217" s="3"/>
    </row>
    <row r="218" spans="1:29" x14ac:dyDescent="0.2">
      <c r="A218" s="3">
        <f t="shared" si="124"/>
        <v>24</v>
      </c>
      <c r="B218" s="3" t="s">
        <v>66</v>
      </c>
      <c r="C218" s="3" t="s">
        <v>67</v>
      </c>
      <c r="D218" s="3" t="str">
        <f t="shared" si="133"/>
        <v>A367</v>
      </c>
      <c r="E218" s="4" t="s">
        <v>591</v>
      </c>
      <c r="F218" s="11"/>
      <c r="G218" s="11"/>
      <c r="H218" s="2">
        <f>'II-I TOTAL COMPANY'!L218</f>
        <v>0</v>
      </c>
      <c r="I218" s="66">
        <v>0</v>
      </c>
      <c r="J218" s="66">
        <f t="shared" si="134"/>
        <v>0</v>
      </c>
      <c r="K218" s="12">
        <f>IF($H135&lt;&gt;0,(K135/$H135)*$H218,0)</f>
        <v>0</v>
      </c>
      <c r="L218" s="12">
        <f>IF($H135&lt;&gt;0,(L135/$H135)*$H218,0)</f>
        <v>0</v>
      </c>
      <c r="M218" s="9">
        <f t="shared" si="136"/>
        <v>0</v>
      </c>
      <c r="N218" s="12">
        <f>IF($H135&lt;&gt;0,(N135/$H135)*$H218,0)</f>
        <v>0</v>
      </c>
      <c r="O218" s="12">
        <f>IF($H135&lt;&gt;0,(O135/$H135)*$H218,0)</f>
        <v>0</v>
      </c>
      <c r="P218" s="9">
        <f t="shared" si="139"/>
        <v>0</v>
      </c>
      <c r="Q218" s="12">
        <f t="shared" ref="Q218:V218" si="143">IF($H135&lt;&gt;0,(Q135/$H135)*$H218,0)</f>
        <v>0</v>
      </c>
      <c r="R218" s="12">
        <f t="shared" si="143"/>
        <v>0</v>
      </c>
      <c r="S218" s="12">
        <f t="shared" si="143"/>
        <v>0</v>
      </c>
      <c r="T218" s="12">
        <f t="shared" si="143"/>
        <v>0</v>
      </c>
      <c r="U218" s="12">
        <f t="shared" si="143"/>
        <v>0</v>
      </c>
      <c r="V218" s="12">
        <f t="shared" si="143"/>
        <v>0</v>
      </c>
      <c r="W218" s="27" t="str">
        <f t="shared" si="122"/>
        <v>OK</v>
      </c>
      <c r="X218" s="3"/>
      <c r="Y218" s="3"/>
      <c r="Z218" s="3"/>
      <c r="AA218" s="3"/>
      <c r="AB218" s="3"/>
      <c r="AC218" s="3"/>
    </row>
    <row r="219" spans="1:29" x14ac:dyDescent="0.2">
      <c r="A219" s="3">
        <f t="shared" si="124"/>
        <v>25</v>
      </c>
      <c r="B219" s="3" t="s">
        <v>69</v>
      </c>
      <c r="C219" s="3" t="s">
        <v>70</v>
      </c>
      <c r="D219" s="3" t="str">
        <f t="shared" si="133"/>
        <v>A368</v>
      </c>
      <c r="E219" s="4" t="s">
        <v>591</v>
      </c>
      <c r="F219" s="11"/>
      <c r="G219" s="11"/>
      <c r="H219" s="2">
        <f>'II-I TOTAL COMPANY'!L219</f>
        <v>0</v>
      </c>
      <c r="I219" s="66">
        <v>0</v>
      </c>
      <c r="J219" s="66">
        <f t="shared" si="134"/>
        <v>0</v>
      </c>
      <c r="K219" s="12">
        <f>IF($H139&lt;&gt;0,(K139/$H139)*$H219,0)</f>
        <v>0</v>
      </c>
      <c r="L219" s="12">
        <f>IF($H139&lt;&gt;0,(L139/$H139)*$H219,0)</f>
        <v>0</v>
      </c>
      <c r="M219" s="9">
        <f t="shared" si="136"/>
        <v>0</v>
      </c>
      <c r="N219" s="12">
        <f>IF($H139&lt;&gt;0,(N139/$H139)*$H219,0)</f>
        <v>0</v>
      </c>
      <c r="O219" s="12">
        <f>IF($H139&lt;&gt;0,(O139/$H139)*$H219,0)</f>
        <v>0</v>
      </c>
      <c r="P219" s="9">
        <f t="shared" si="139"/>
        <v>0</v>
      </c>
      <c r="Q219" s="12">
        <f t="shared" ref="Q219:V219" si="144">IF($H139&lt;&gt;0,(Q139/$H139)*$H219,0)</f>
        <v>0</v>
      </c>
      <c r="R219" s="12">
        <f t="shared" si="144"/>
        <v>0</v>
      </c>
      <c r="S219" s="12">
        <f t="shared" si="144"/>
        <v>0</v>
      </c>
      <c r="T219" s="12">
        <f t="shared" si="144"/>
        <v>0</v>
      </c>
      <c r="U219" s="12">
        <f t="shared" si="144"/>
        <v>0</v>
      </c>
      <c r="V219" s="12">
        <f t="shared" si="144"/>
        <v>0</v>
      </c>
      <c r="W219" s="27" t="str">
        <f t="shared" si="122"/>
        <v>OK</v>
      </c>
      <c r="X219" s="3"/>
      <c r="Y219" s="3"/>
      <c r="Z219" s="3"/>
      <c r="AA219" s="3"/>
      <c r="AB219" s="3"/>
      <c r="AC219" s="3"/>
    </row>
    <row r="220" spans="1:29" x14ac:dyDescent="0.2">
      <c r="A220" s="3">
        <f t="shared" si="124"/>
        <v>26</v>
      </c>
      <c r="B220" s="3" t="s">
        <v>72</v>
      </c>
      <c r="C220" s="3" t="s">
        <v>73</v>
      </c>
      <c r="D220" s="3" t="str">
        <f t="shared" si="133"/>
        <v>A369</v>
      </c>
      <c r="E220" s="4" t="s">
        <v>591</v>
      </c>
      <c r="F220" s="11"/>
      <c r="G220" s="11"/>
      <c r="H220" s="2">
        <f>'II-I TOTAL COMPANY'!L220</f>
        <v>0</v>
      </c>
      <c r="I220" s="66">
        <v>0</v>
      </c>
      <c r="J220" s="66">
        <f t="shared" si="134"/>
        <v>0</v>
      </c>
      <c r="K220" s="12">
        <f t="shared" ref="K220:L225" si="145">IF($H141&lt;&gt;0,(K141/$H141)*$H220,0)</f>
        <v>0</v>
      </c>
      <c r="L220" s="12">
        <f t="shared" si="145"/>
        <v>0</v>
      </c>
      <c r="M220" s="9">
        <f t="shared" si="136"/>
        <v>0</v>
      </c>
      <c r="N220" s="12">
        <f t="shared" ref="N220:O225" si="146">IF($H141&lt;&gt;0,(N141/$H141)*$H220,0)</f>
        <v>0</v>
      </c>
      <c r="O220" s="12">
        <f t="shared" si="146"/>
        <v>0</v>
      </c>
      <c r="P220" s="9">
        <f t="shared" si="139"/>
        <v>0</v>
      </c>
      <c r="Q220" s="12">
        <f t="shared" ref="Q220:V225" si="147">IF($H141&lt;&gt;0,(Q141/$H141)*$H220,0)</f>
        <v>0</v>
      </c>
      <c r="R220" s="12">
        <f t="shared" si="147"/>
        <v>0</v>
      </c>
      <c r="S220" s="12">
        <f t="shared" ref="S220:S225" si="148">IF($H141&lt;&gt;0,(S141/$H141)*$H220,0)</f>
        <v>0</v>
      </c>
      <c r="T220" s="12">
        <f t="shared" si="147"/>
        <v>0</v>
      </c>
      <c r="U220" s="12">
        <f t="shared" si="147"/>
        <v>0</v>
      </c>
      <c r="V220" s="12">
        <f t="shared" si="147"/>
        <v>0</v>
      </c>
      <c r="W220" s="27" t="str">
        <f t="shared" si="122"/>
        <v>OK</v>
      </c>
      <c r="X220" s="3"/>
      <c r="Y220" s="3"/>
      <c r="Z220" s="3"/>
      <c r="AA220" s="3"/>
      <c r="AB220" s="3"/>
      <c r="AC220" s="3"/>
    </row>
    <row r="221" spans="1:29" x14ac:dyDescent="0.2">
      <c r="A221" s="3">
        <f t="shared" si="124"/>
        <v>27</v>
      </c>
      <c r="B221" s="3" t="s">
        <v>74</v>
      </c>
      <c r="C221" s="3" t="s">
        <v>75</v>
      </c>
      <c r="D221" s="3" t="str">
        <f t="shared" si="133"/>
        <v>A370</v>
      </c>
      <c r="E221" s="4" t="s">
        <v>591</v>
      </c>
      <c r="F221" s="11"/>
      <c r="G221" s="11"/>
      <c r="H221" s="2">
        <f>'II-I TOTAL COMPANY'!L221</f>
        <v>8477322.4175511915</v>
      </c>
      <c r="I221" s="66">
        <v>0</v>
      </c>
      <c r="J221" s="66">
        <f t="shared" si="134"/>
        <v>8477322.4175511934</v>
      </c>
      <c r="K221" s="12">
        <f t="shared" si="145"/>
        <v>3974226.170260367</v>
      </c>
      <c r="L221" s="12">
        <f t="shared" si="145"/>
        <v>755145.5532617477</v>
      </c>
      <c r="M221" s="9">
        <f t="shared" si="136"/>
        <v>2997877.0202078875</v>
      </c>
      <c r="N221" s="12">
        <f t="shared" si="146"/>
        <v>58486.36636539446</v>
      </c>
      <c r="O221" s="12">
        <f t="shared" si="146"/>
        <v>2939390.653842493</v>
      </c>
      <c r="P221" s="9">
        <f t="shared" si="139"/>
        <v>403168.21391916584</v>
      </c>
      <c r="Q221" s="12">
        <f t="shared" si="147"/>
        <v>174112.23971278893</v>
      </c>
      <c r="R221" s="12">
        <f t="shared" si="147"/>
        <v>204182.79710454991</v>
      </c>
      <c r="S221" s="12">
        <f t="shared" si="148"/>
        <v>24873.177101826986</v>
      </c>
      <c r="T221" s="12">
        <f t="shared" si="147"/>
        <v>339851.87236568477</v>
      </c>
      <c r="U221" s="12">
        <f t="shared" si="147"/>
        <v>0</v>
      </c>
      <c r="V221" s="12">
        <f t="shared" si="147"/>
        <v>7053.5875363389969</v>
      </c>
      <c r="W221" s="27" t="str">
        <f t="shared" ref="W221:W252" si="149">IF((+K221+L221+M221+P221+T221+U221+V221)-H221=0,"OK",(+K221+L221+M221+P221+T221+U221+V221)-H221)</f>
        <v>OK</v>
      </c>
      <c r="X221" s="3"/>
      <c r="Y221" s="3"/>
      <c r="Z221" s="3"/>
      <c r="AA221" s="3"/>
      <c r="AB221" s="3"/>
      <c r="AC221" s="3"/>
    </row>
    <row r="222" spans="1:29" x14ac:dyDescent="0.2">
      <c r="A222" s="3">
        <f t="shared" si="124"/>
        <v>28</v>
      </c>
      <c r="B222" s="3" t="s">
        <v>76</v>
      </c>
      <c r="C222" s="3" t="s">
        <v>77</v>
      </c>
      <c r="D222" s="3" t="str">
        <f t="shared" si="133"/>
        <v>A371</v>
      </c>
      <c r="E222" s="4" t="s">
        <v>591</v>
      </c>
      <c r="F222" s="11"/>
      <c r="G222" s="11"/>
      <c r="H222" s="2">
        <f>'II-I TOTAL COMPANY'!L222</f>
        <v>0</v>
      </c>
      <c r="I222" s="66">
        <v>0</v>
      </c>
      <c r="J222" s="66">
        <f t="shared" si="134"/>
        <v>0</v>
      </c>
      <c r="K222" s="12">
        <f t="shared" si="145"/>
        <v>0</v>
      </c>
      <c r="L222" s="12">
        <f t="shared" si="145"/>
        <v>0</v>
      </c>
      <c r="M222" s="9">
        <f t="shared" si="136"/>
        <v>0</v>
      </c>
      <c r="N222" s="12">
        <f t="shared" si="146"/>
        <v>0</v>
      </c>
      <c r="O222" s="12">
        <f t="shared" si="146"/>
        <v>0</v>
      </c>
      <c r="P222" s="9">
        <f t="shared" si="139"/>
        <v>0</v>
      </c>
      <c r="Q222" s="12">
        <f t="shared" si="147"/>
        <v>0</v>
      </c>
      <c r="R222" s="12">
        <f t="shared" si="147"/>
        <v>0</v>
      </c>
      <c r="S222" s="12">
        <f t="shared" si="148"/>
        <v>0</v>
      </c>
      <c r="T222" s="12">
        <f t="shared" si="147"/>
        <v>0</v>
      </c>
      <c r="U222" s="12">
        <f t="shared" si="147"/>
        <v>0</v>
      </c>
      <c r="V222" s="12">
        <f t="shared" si="147"/>
        <v>0</v>
      </c>
      <c r="W222" s="27" t="str">
        <f t="shared" si="149"/>
        <v>OK</v>
      </c>
      <c r="X222" s="3"/>
      <c r="Y222" s="3"/>
      <c r="Z222" s="3"/>
      <c r="AA222" s="3"/>
      <c r="AB222" s="3"/>
      <c r="AC222" s="3"/>
    </row>
    <row r="223" spans="1:29" x14ac:dyDescent="0.2">
      <c r="A223" s="3">
        <f t="shared" si="124"/>
        <v>29</v>
      </c>
      <c r="B223" s="3" t="s">
        <v>78</v>
      </c>
      <c r="C223" s="3" t="s">
        <v>79</v>
      </c>
      <c r="D223" s="3" t="str">
        <f t="shared" si="133"/>
        <v>A372</v>
      </c>
      <c r="E223" s="4" t="s">
        <v>591</v>
      </c>
      <c r="F223" s="11"/>
      <c r="G223" s="11"/>
      <c r="H223" s="2">
        <f>'II-I TOTAL COMPANY'!L223</f>
        <v>0</v>
      </c>
      <c r="I223" s="66">
        <v>0</v>
      </c>
      <c r="J223" s="66">
        <f t="shared" si="134"/>
        <v>0</v>
      </c>
      <c r="K223" s="12">
        <f t="shared" si="145"/>
        <v>0</v>
      </c>
      <c r="L223" s="12">
        <f t="shared" si="145"/>
        <v>0</v>
      </c>
      <c r="M223" s="9">
        <f t="shared" si="136"/>
        <v>0</v>
      </c>
      <c r="N223" s="12">
        <f t="shared" si="146"/>
        <v>0</v>
      </c>
      <c r="O223" s="12">
        <f t="shared" si="146"/>
        <v>0</v>
      </c>
      <c r="P223" s="9">
        <f t="shared" si="139"/>
        <v>0</v>
      </c>
      <c r="Q223" s="12">
        <f t="shared" si="147"/>
        <v>0</v>
      </c>
      <c r="R223" s="12">
        <f t="shared" si="147"/>
        <v>0</v>
      </c>
      <c r="S223" s="12">
        <f t="shared" si="148"/>
        <v>0</v>
      </c>
      <c r="T223" s="12">
        <f t="shared" si="147"/>
        <v>0</v>
      </c>
      <c r="U223" s="12">
        <f t="shared" si="147"/>
        <v>0</v>
      </c>
      <c r="V223" s="12">
        <f t="shared" si="147"/>
        <v>0</v>
      </c>
      <c r="W223" s="27" t="str">
        <f t="shared" si="149"/>
        <v>OK</v>
      </c>
      <c r="X223" s="3"/>
      <c r="Y223" s="3"/>
      <c r="Z223" s="3"/>
      <c r="AA223" s="3"/>
      <c r="AB223" s="3"/>
      <c r="AC223" s="3"/>
    </row>
    <row r="224" spans="1:29" x14ac:dyDescent="0.2">
      <c r="A224" s="3">
        <f t="shared" si="124"/>
        <v>30</v>
      </c>
      <c r="B224" s="3" t="s">
        <v>80</v>
      </c>
      <c r="C224" s="3" t="s">
        <v>81</v>
      </c>
      <c r="D224" s="3" t="str">
        <f t="shared" si="133"/>
        <v>A373</v>
      </c>
      <c r="E224" s="4" t="s">
        <v>591</v>
      </c>
      <c r="F224" s="11"/>
      <c r="G224" s="11"/>
      <c r="H224" s="2">
        <f>'II-I TOTAL COMPANY'!L224</f>
        <v>0</v>
      </c>
      <c r="I224" s="66">
        <v>0</v>
      </c>
      <c r="J224" s="66">
        <f t="shared" si="134"/>
        <v>0</v>
      </c>
      <c r="K224" s="12">
        <f t="shared" si="145"/>
        <v>0</v>
      </c>
      <c r="L224" s="12">
        <f t="shared" si="145"/>
        <v>0</v>
      </c>
      <c r="M224" s="9">
        <f t="shared" si="136"/>
        <v>0</v>
      </c>
      <c r="N224" s="12">
        <f t="shared" si="146"/>
        <v>0</v>
      </c>
      <c r="O224" s="12">
        <f t="shared" si="146"/>
        <v>0</v>
      </c>
      <c r="P224" s="9">
        <f t="shared" si="139"/>
        <v>0</v>
      </c>
      <c r="Q224" s="12">
        <f t="shared" si="147"/>
        <v>0</v>
      </c>
      <c r="R224" s="12">
        <f t="shared" si="147"/>
        <v>0</v>
      </c>
      <c r="S224" s="12">
        <f t="shared" si="148"/>
        <v>0</v>
      </c>
      <c r="T224" s="12">
        <f t="shared" si="147"/>
        <v>0</v>
      </c>
      <c r="U224" s="12">
        <f t="shared" si="147"/>
        <v>0</v>
      </c>
      <c r="V224" s="12">
        <f t="shared" si="147"/>
        <v>0</v>
      </c>
      <c r="W224" s="27" t="str">
        <f t="shared" si="149"/>
        <v>OK</v>
      </c>
      <c r="X224" s="3"/>
      <c r="Y224" s="3"/>
      <c r="Z224" s="3"/>
      <c r="AA224" s="3"/>
      <c r="AB224" s="3"/>
      <c r="AC224" s="3"/>
    </row>
    <row r="225" spans="1:29" x14ac:dyDescent="0.2">
      <c r="A225" s="3">
        <f t="shared" si="124"/>
        <v>31</v>
      </c>
      <c r="B225" s="3" t="s">
        <v>818</v>
      </c>
      <c r="C225" s="3" t="s">
        <v>817</v>
      </c>
      <c r="D225" s="3" t="str">
        <f>B225</f>
        <v>A370.16</v>
      </c>
      <c r="E225" s="4" t="s">
        <v>591</v>
      </c>
      <c r="F225" s="4"/>
      <c r="G225" s="4"/>
      <c r="H225" s="2">
        <f>'II-I TOTAL COMPANY'!L225</f>
        <v>101044179.4123016</v>
      </c>
      <c r="I225" s="66">
        <v>0</v>
      </c>
      <c r="J225" s="66">
        <f t="shared" si="134"/>
        <v>101044179.4123016</v>
      </c>
      <c r="K225" s="12">
        <f t="shared" si="145"/>
        <v>47370195.728482537</v>
      </c>
      <c r="L225" s="12">
        <f t="shared" si="145"/>
        <v>9000844.7252408657</v>
      </c>
      <c r="M225" s="9">
        <f>SUM(N225:O225)</f>
        <v>35732747.743408881</v>
      </c>
      <c r="N225" s="12">
        <f t="shared" si="146"/>
        <v>697119.51546908752</v>
      </c>
      <c r="O225" s="12">
        <f t="shared" si="146"/>
        <v>35035628.227939792</v>
      </c>
      <c r="P225" s="9">
        <f>SUM(Q225:S225)</f>
        <v>4805503.3575510904</v>
      </c>
      <c r="Q225" s="12">
        <f t="shared" si="147"/>
        <v>2075304.8569902962</v>
      </c>
      <c r="R225" s="12">
        <f t="shared" si="147"/>
        <v>2433726.3781336094</v>
      </c>
      <c r="S225" s="12">
        <f t="shared" si="148"/>
        <v>296472.12242718512</v>
      </c>
      <c r="T225" s="12">
        <f t="shared" si="147"/>
        <v>4050813.6736463234</v>
      </c>
      <c r="U225" s="12">
        <f t="shared" si="147"/>
        <v>0</v>
      </c>
      <c r="V225" s="12">
        <f t="shared" si="147"/>
        <v>84074.183971888342</v>
      </c>
      <c r="W225" s="27" t="str">
        <f t="shared" si="149"/>
        <v>OK</v>
      </c>
      <c r="X225" s="3"/>
      <c r="Y225" s="3"/>
      <c r="Z225" s="3"/>
      <c r="AA225" s="3"/>
      <c r="AB225" s="3"/>
      <c r="AC225" s="3"/>
    </row>
    <row r="226" spans="1:29" x14ac:dyDescent="0.2">
      <c r="A226" s="3">
        <f t="shared" si="124"/>
        <v>32</v>
      </c>
      <c r="B226" s="3"/>
      <c r="C226" s="3" t="s">
        <v>82</v>
      </c>
      <c r="D226" s="3"/>
      <c r="E226" s="4"/>
      <c r="F226" s="8"/>
      <c r="G226" s="8"/>
      <c r="H226" s="8">
        <f>SUM(H211:H225)</f>
        <v>109521501.82985279</v>
      </c>
      <c r="I226" s="8">
        <f>SUM(I211:I225)</f>
        <v>0</v>
      </c>
      <c r="J226" s="8">
        <f>SUM(J211:J225)</f>
        <v>109521501.82985279</v>
      </c>
      <c r="K226" s="8">
        <f>SUM(K211:K225)</f>
        <v>51344421.898742907</v>
      </c>
      <c r="L226" s="8">
        <f>SUM(L211:L225)</f>
        <v>9755990.2785026133</v>
      </c>
      <c r="M226" s="9">
        <f>SUM(N226:O226)</f>
        <v>38730624.763616771</v>
      </c>
      <c r="N226" s="8">
        <f>SUM(N211:N225)</f>
        <v>755605.88183448196</v>
      </c>
      <c r="O226" s="8">
        <f>SUM(O211:O225)</f>
        <v>37975018.881782286</v>
      </c>
      <c r="P226" s="9">
        <f t="shared" si="139"/>
        <v>5208671.5714702569</v>
      </c>
      <c r="Q226" s="8">
        <f t="shared" ref="Q226:V226" si="150">SUM(Q211:Q225)</f>
        <v>2249417.0967030851</v>
      </c>
      <c r="R226" s="8">
        <f t="shared" si="150"/>
        <v>2637909.1752381595</v>
      </c>
      <c r="S226" s="8">
        <f t="shared" si="150"/>
        <v>321345.29952901212</v>
      </c>
      <c r="T226" s="8">
        <f t="shared" si="150"/>
        <v>4390665.5460120086</v>
      </c>
      <c r="U226" s="8">
        <f t="shared" si="150"/>
        <v>0</v>
      </c>
      <c r="V226" s="8">
        <f t="shared" si="150"/>
        <v>91127.771508227335</v>
      </c>
      <c r="W226" s="27">
        <f t="shared" si="149"/>
        <v>1.4901161193847656E-8</v>
      </c>
      <c r="X226" s="3"/>
      <c r="Y226" s="3"/>
      <c r="Z226" s="3"/>
      <c r="AA226" s="3"/>
      <c r="AB226" s="3"/>
      <c r="AC226" s="3"/>
    </row>
    <row r="227" spans="1:29" x14ac:dyDescent="0.2">
      <c r="A227" s="3">
        <f t="shared" si="124"/>
        <v>33</v>
      </c>
      <c r="B227" s="3"/>
      <c r="C227" s="3"/>
      <c r="D227" s="3"/>
      <c r="E227" s="4"/>
      <c r="F227" s="4"/>
      <c r="G227" s="4"/>
      <c r="H227" s="8"/>
      <c r="I227" s="8"/>
      <c r="J227" s="8"/>
      <c r="K227" s="8"/>
      <c r="L227" s="8"/>
      <c r="M227" s="8"/>
      <c r="N227" s="8"/>
      <c r="O227" s="8"/>
      <c r="P227" s="9">
        <f t="shared" si="139"/>
        <v>0</v>
      </c>
      <c r="Q227" s="8"/>
      <c r="R227" s="8"/>
      <c r="S227" s="8"/>
      <c r="T227" s="8"/>
      <c r="U227" s="8"/>
      <c r="V227" s="8"/>
      <c r="W227" s="27" t="str">
        <f t="shared" si="149"/>
        <v>OK</v>
      </c>
      <c r="X227" s="3"/>
      <c r="Y227" s="3"/>
      <c r="Z227" s="3"/>
      <c r="AA227" s="3"/>
      <c r="AB227" s="3"/>
      <c r="AC227" s="3"/>
    </row>
    <row r="228" spans="1:29" x14ac:dyDescent="0.2">
      <c r="A228" s="3">
        <f t="shared" si="124"/>
        <v>34</v>
      </c>
      <c r="B228" s="7" t="s">
        <v>113</v>
      </c>
      <c r="C228" s="3"/>
      <c r="D228" s="3"/>
      <c r="E228" s="4"/>
      <c r="F228" s="4"/>
      <c r="G228" s="4"/>
      <c r="H228" s="8"/>
      <c r="I228" s="8"/>
      <c r="J228" s="8"/>
      <c r="K228" s="8"/>
      <c r="L228" s="8"/>
      <c r="M228" s="8"/>
      <c r="N228" s="8"/>
      <c r="O228" s="8"/>
      <c r="P228" s="9">
        <f t="shared" si="139"/>
        <v>0</v>
      </c>
      <c r="Q228" s="8"/>
      <c r="R228" s="8"/>
      <c r="S228" s="8"/>
      <c r="T228" s="8"/>
      <c r="U228" s="8"/>
      <c r="V228" s="8"/>
      <c r="W228" s="27" t="str">
        <f t="shared" si="149"/>
        <v>OK</v>
      </c>
      <c r="X228" s="3"/>
      <c r="Y228" s="3"/>
      <c r="Z228" s="3"/>
      <c r="AA228" s="3"/>
      <c r="AB228" s="3"/>
      <c r="AC228" s="3"/>
    </row>
    <row r="229" spans="1:29" x14ac:dyDescent="0.2">
      <c r="A229" s="3">
        <f t="shared" si="124"/>
        <v>35</v>
      </c>
      <c r="B229" s="3"/>
      <c r="C229" s="3"/>
      <c r="D229" s="3"/>
      <c r="E229" s="4"/>
      <c r="F229" s="4"/>
      <c r="G229" s="4"/>
      <c r="H229" s="8"/>
      <c r="I229" s="8"/>
      <c r="J229" s="8"/>
      <c r="K229" s="8"/>
      <c r="L229" s="8"/>
      <c r="M229" s="8"/>
      <c r="N229" s="8"/>
      <c r="O229" s="8"/>
      <c r="P229" s="9">
        <f t="shared" si="139"/>
        <v>0</v>
      </c>
      <c r="Q229" s="8"/>
      <c r="R229" s="8"/>
      <c r="S229" s="8"/>
      <c r="T229" s="8"/>
      <c r="U229" s="8"/>
      <c r="V229" s="8"/>
      <c r="W229" s="27" t="str">
        <f t="shared" si="149"/>
        <v>OK</v>
      </c>
      <c r="X229" s="3"/>
      <c r="Y229" s="3"/>
      <c r="Z229" s="3"/>
      <c r="AA229" s="3"/>
      <c r="AB229" s="3"/>
      <c r="AC229" s="3"/>
    </row>
    <row r="230" spans="1:29" x14ac:dyDescent="0.2">
      <c r="A230" s="3">
        <f t="shared" si="124"/>
        <v>36</v>
      </c>
      <c r="B230" s="3" t="s">
        <v>112</v>
      </c>
      <c r="C230" s="3"/>
      <c r="D230" s="3"/>
      <c r="E230" s="4"/>
      <c r="F230" s="4"/>
      <c r="G230" s="4"/>
      <c r="H230" s="8"/>
      <c r="I230" s="8"/>
      <c r="J230" s="8"/>
      <c r="K230" s="8"/>
      <c r="L230" s="8"/>
      <c r="M230" s="8"/>
      <c r="N230" s="8"/>
      <c r="O230" s="8"/>
      <c r="P230" s="9">
        <f t="shared" si="139"/>
        <v>0</v>
      </c>
      <c r="Q230" s="8"/>
      <c r="R230" s="8"/>
      <c r="S230" s="8"/>
      <c r="T230" s="8"/>
      <c r="U230" s="8"/>
      <c r="V230" s="8"/>
      <c r="W230" s="27" t="str">
        <f t="shared" si="149"/>
        <v>OK</v>
      </c>
      <c r="X230" s="3"/>
      <c r="Y230" s="3"/>
      <c r="Z230" s="3"/>
      <c r="AA230" s="3"/>
      <c r="AB230" s="3"/>
      <c r="AC230" s="3"/>
    </row>
    <row r="231" spans="1:29" x14ac:dyDescent="0.2">
      <c r="A231" s="3">
        <f t="shared" si="124"/>
        <v>37</v>
      </c>
      <c r="B231" s="3"/>
      <c r="C231" s="3"/>
      <c r="D231" s="3"/>
      <c r="E231" s="4"/>
      <c r="F231" s="4"/>
      <c r="G231" s="4"/>
      <c r="H231" s="8"/>
      <c r="I231" s="8"/>
      <c r="J231" s="8"/>
      <c r="K231" s="8"/>
      <c r="L231" s="8"/>
      <c r="M231" s="8"/>
      <c r="N231" s="8"/>
      <c r="O231" s="8"/>
      <c r="P231" s="9">
        <f t="shared" si="139"/>
        <v>0</v>
      </c>
      <c r="Q231" s="8"/>
      <c r="R231" s="8"/>
      <c r="S231" s="8"/>
      <c r="T231" s="8"/>
      <c r="U231" s="8"/>
      <c r="V231" s="8"/>
      <c r="W231" s="27" t="str">
        <f t="shared" si="149"/>
        <v>OK</v>
      </c>
      <c r="X231" s="3"/>
      <c r="Y231" s="3"/>
      <c r="Z231" s="3"/>
      <c r="AA231" s="3"/>
      <c r="AB231" s="3"/>
      <c r="AC231" s="3"/>
    </row>
    <row r="232" spans="1:29" x14ac:dyDescent="0.2">
      <c r="A232" s="3">
        <f t="shared" si="124"/>
        <v>38</v>
      </c>
      <c r="B232" s="3" t="s">
        <v>84</v>
      </c>
      <c r="C232" s="3"/>
      <c r="D232" s="3"/>
      <c r="E232" s="4"/>
      <c r="F232" s="4"/>
      <c r="G232" s="4"/>
      <c r="H232" s="8"/>
      <c r="I232" s="8"/>
      <c r="J232" s="8"/>
      <c r="K232" s="8"/>
      <c r="L232" s="8"/>
      <c r="M232" s="8"/>
      <c r="N232" s="8"/>
      <c r="O232" s="8"/>
      <c r="P232" s="9">
        <f t="shared" si="139"/>
        <v>0</v>
      </c>
      <c r="Q232" s="8"/>
      <c r="R232" s="8"/>
      <c r="S232" s="8"/>
      <c r="T232" s="8"/>
      <c r="U232" s="8"/>
      <c r="V232" s="8"/>
      <c r="W232" s="27" t="str">
        <f t="shared" si="149"/>
        <v>OK</v>
      </c>
      <c r="X232" s="3"/>
      <c r="Y232" s="3"/>
      <c r="Z232" s="3"/>
      <c r="AA232" s="3"/>
      <c r="AB232" s="3"/>
      <c r="AC232" s="3"/>
    </row>
    <row r="233" spans="1:29" x14ac:dyDescent="0.2">
      <c r="A233" s="3">
        <f t="shared" si="124"/>
        <v>39</v>
      </c>
      <c r="B233" s="3" t="s">
        <v>85</v>
      </c>
      <c r="C233" s="3" t="s">
        <v>35</v>
      </c>
      <c r="D233" s="3" t="str">
        <f t="shared" ref="D233:D243" si="151">B233</f>
        <v>A389</v>
      </c>
      <c r="E233" s="4" t="s">
        <v>591</v>
      </c>
      <c r="F233" s="11"/>
      <c r="G233" s="11"/>
      <c r="H233" s="2">
        <f>'II-I TOTAL COMPANY'!L233</f>
        <v>9438.6877000412314</v>
      </c>
      <c r="I233" s="66">
        <v>0</v>
      </c>
      <c r="J233" s="66">
        <f t="shared" ref="J233:J249" ca="1" si="152">SUM(K233:V233)-M233-P233</f>
        <v>9438.6877000412369</v>
      </c>
      <c r="K233" s="12">
        <f t="shared" ref="K233:L240" ca="1" si="153">IF($H151&lt;&gt;0,(K151/$H151)*$H233,0)</f>
        <v>4424.9207264732404</v>
      </c>
      <c r="L233" s="12">
        <f t="shared" ca="1" si="153"/>
        <v>840.7823478030939</v>
      </c>
      <c r="M233" s="9">
        <f t="shared" ref="M233:M242" ca="1" si="154">SUM(N233:O233)</f>
        <v>3337.8493306199152</v>
      </c>
      <c r="N233" s="12">
        <f t="shared" ref="N233:O240" ca="1" si="155">IF($H151&lt;&gt;0,(N151/$H151)*$H233,0)</f>
        <v>65.118975030398587</v>
      </c>
      <c r="O233" s="12">
        <f t="shared" ca="1" si="155"/>
        <v>3272.7303555895169</v>
      </c>
      <c r="P233" s="9">
        <f t="shared" ca="1" si="139"/>
        <v>448.88924525129329</v>
      </c>
      <c r="Q233" s="12">
        <f t="shared" ref="Q233:V240" ca="1" si="156">IF($H151&lt;&gt;0,(Q151/$H151)*$H233,0)</f>
        <v>193.85732598789735</v>
      </c>
      <c r="R233" s="12">
        <f t="shared" ca="1" si="156"/>
        <v>227.33801555083915</v>
      </c>
      <c r="S233" s="12">
        <f t="shared" ref="S233:S240" ca="1" si="157">IF($H151&lt;&gt;0,(S151/$H151)*$H233,0)</f>
        <v>27.693903712556764</v>
      </c>
      <c r="T233" s="12">
        <f t="shared" ca="1" si="156"/>
        <v>378.39255481102515</v>
      </c>
      <c r="U233" s="12">
        <f t="shared" ca="1" si="156"/>
        <v>0</v>
      </c>
      <c r="V233" s="12">
        <f t="shared" ca="1" si="156"/>
        <v>7.8534950826653551</v>
      </c>
      <c r="W233" s="27">
        <f t="shared" ca="1" si="149"/>
        <v>3.637978807091713E-12</v>
      </c>
      <c r="X233" s="3"/>
      <c r="Y233" s="3"/>
      <c r="Z233" s="3"/>
      <c r="AA233" s="3"/>
      <c r="AB233" s="3"/>
      <c r="AC233" s="3"/>
    </row>
    <row r="234" spans="1:29" x14ac:dyDescent="0.2">
      <c r="A234" s="3">
        <f t="shared" si="124"/>
        <v>40</v>
      </c>
      <c r="B234" s="3" t="s">
        <v>86</v>
      </c>
      <c r="C234" s="3" t="s">
        <v>31</v>
      </c>
      <c r="D234" s="3" t="str">
        <f t="shared" si="151"/>
        <v>A390</v>
      </c>
      <c r="E234" s="4" t="s">
        <v>591</v>
      </c>
      <c r="F234" s="11"/>
      <c r="G234" s="11"/>
      <c r="H234" s="2">
        <f>'II-I TOTAL COMPANY'!L234</f>
        <v>354364.2611696595</v>
      </c>
      <c r="I234" s="66">
        <v>0</v>
      </c>
      <c r="J234" s="66">
        <f t="shared" ca="1" si="152"/>
        <v>354364.26116965961</v>
      </c>
      <c r="K234" s="12">
        <f t="shared" ca="1" si="153"/>
        <v>166128.36591300217</v>
      </c>
      <c r="L234" s="12">
        <f t="shared" ca="1" si="153"/>
        <v>31566.169466803476</v>
      </c>
      <c r="M234" s="9">
        <f t="shared" ca="1" si="154"/>
        <v>125315.56817327497</v>
      </c>
      <c r="N234" s="12">
        <f t="shared" ca="1" si="155"/>
        <v>2444.8141741856648</v>
      </c>
      <c r="O234" s="12">
        <f t="shared" ca="1" si="155"/>
        <v>122870.7539990893</v>
      </c>
      <c r="P234" s="9">
        <f t="shared" ca="1" si="139"/>
        <v>16853.010799349333</v>
      </c>
      <c r="Q234" s="12">
        <f t="shared" ca="1" si="156"/>
        <v>7278.1418645440499</v>
      </c>
      <c r="R234" s="12">
        <f t="shared" ca="1" si="156"/>
        <v>8535.1343827275632</v>
      </c>
      <c r="S234" s="12">
        <f t="shared" ca="1" si="157"/>
        <v>1039.7345520777212</v>
      </c>
      <c r="T234" s="12">
        <f t="shared" ca="1" si="156"/>
        <v>14206.29672037174</v>
      </c>
      <c r="U234" s="12">
        <f t="shared" ca="1" si="156"/>
        <v>0</v>
      </c>
      <c r="V234" s="12">
        <f t="shared" ca="1" si="156"/>
        <v>294.85009685786139</v>
      </c>
      <c r="W234" s="27">
        <f t="shared" ca="1" si="149"/>
        <v>1.1641532182693481E-10</v>
      </c>
      <c r="X234" s="3"/>
      <c r="Y234" s="3"/>
      <c r="Z234" s="3"/>
      <c r="AA234" s="3"/>
      <c r="AB234" s="3"/>
      <c r="AC234" s="3"/>
    </row>
    <row r="235" spans="1:29" x14ac:dyDescent="0.2">
      <c r="A235" s="3">
        <f t="shared" si="124"/>
        <v>41</v>
      </c>
      <c r="B235" s="3" t="s">
        <v>87</v>
      </c>
      <c r="C235" s="3" t="s">
        <v>88</v>
      </c>
      <c r="D235" s="3" t="str">
        <f t="shared" si="151"/>
        <v>A391</v>
      </c>
      <c r="E235" s="4" t="s">
        <v>591</v>
      </c>
      <c r="F235" s="11"/>
      <c r="G235" s="11"/>
      <c r="H235" s="2">
        <f>'II-I TOTAL COMPANY'!L235</f>
        <v>-2592.9239158974888</v>
      </c>
      <c r="I235" s="66">
        <v>0</v>
      </c>
      <c r="J235" s="66">
        <f t="shared" ca="1" si="152"/>
        <v>-2592.9239158974892</v>
      </c>
      <c r="K235" s="12">
        <f t="shared" ca="1" si="153"/>
        <v>-1215.5802948722239</v>
      </c>
      <c r="L235" s="12">
        <f t="shared" ca="1" si="153"/>
        <v>-230.97328007510612</v>
      </c>
      <c r="M235" s="9">
        <f t="shared" ca="1" si="154"/>
        <v>-916.94837588375708</v>
      </c>
      <c r="N235" s="12">
        <f t="shared" ca="1" si="155"/>
        <v>-17.888985534960998</v>
      </c>
      <c r="O235" s="12">
        <f t="shared" ca="1" si="155"/>
        <v>-899.05939034879611</v>
      </c>
      <c r="P235" s="9">
        <f t="shared" ca="1" si="139"/>
        <v>-123.31541169607371</v>
      </c>
      <c r="Q235" s="12">
        <f t="shared" ca="1" si="156"/>
        <v>-53.25499823707051</v>
      </c>
      <c r="R235" s="12">
        <f t="shared" ca="1" si="156"/>
        <v>-62.452556567993128</v>
      </c>
      <c r="S235" s="12">
        <f t="shared" ca="1" si="157"/>
        <v>-7.607856891010071</v>
      </c>
      <c r="T235" s="12">
        <f t="shared" ca="1" si="156"/>
        <v>-103.94910141616113</v>
      </c>
      <c r="U235" s="12">
        <f t="shared" ca="1" si="156"/>
        <v>0</v>
      </c>
      <c r="V235" s="12">
        <f t="shared" ca="1" si="156"/>
        <v>-2.1574519541670361</v>
      </c>
      <c r="W235" s="27" t="str">
        <f t="shared" ca="1" si="149"/>
        <v>OK</v>
      </c>
      <c r="X235" s="3"/>
      <c r="Y235" s="3"/>
      <c r="Z235" s="3"/>
      <c r="AA235" s="3"/>
      <c r="AB235" s="3"/>
      <c r="AC235" s="3"/>
    </row>
    <row r="236" spans="1:29" x14ac:dyDescent="0.2">
      <c r="A236" s="3">
        <f t="shared" si="124"/>
        <v>42</v>
      </c>
      <c r="B236" s="3" t="s">
        <v>89</v>
      </c>
      <c r="C236" s="3" t="s">
        <v>90</v>
      </c>
      <c r="D236" s="3" t="str">
        <f t="shared" si="151"/>
        <v>A392</v>
      </c>
      <c r="E236" s="4" t="s">
        <v>591</v>
      </c>
      <c r="F236" s="11"/>
      <c r="G236" s="11"/>
      <c r="H236" s="2">
        <f>'II-I TOTAL COMPANY'!L236</f>
        <v>2830.1291155421777</v>
      </c>
      <c r="I236" s="66">
        <v>0</v>
      </c>
      <c r="J236" s="66">
        <f t="shared" ca="1" si="152"/>
        <v>2830.1291155421786</v>
      </c>
      <c r="K236" s="12">
        <f t="shared" ca="1" si="153"/>
        <v>1326.7836991686097</v>
      </c>
      <c r="L236" s="12">
        <f t="shared" ca="1" si="153"/>
        <v>252.10311835415968</v>
      </c>
      <c r="M236" s="9">
        <f t="shared" ca="1" si="154"/>
        <v>1000.8324116751023</v>
      </c>
      <c r="N236" s="12">
        <f t="shared" ca="1" si="155"/>
        <v>19.525501114629527</v>
      </c>
      <c r="O236" s="12">
        <f t="shared" ca="1" si="155"/>
        <v>981.30691056047283</v>
      </c>
      <c r="P236" s="9">
        <f t="shared" ca="1" si="139"/>
        <v>134.59652051353373</v>
      </c>
      <c r="Q236" s="12">
        <f t="shared" ca="1" si="156"/>
        <v>58.126858306489254</v>
      </c>
      <c r="R236" s="12">
        <f t="shared" ca="1" si="156"/>
        <v>68.165825306117455</v>
      </c>
      <c r="S236" s="12">
        <f t="shared" ca="1" si="157"/>
        <v>8.3038369009270347</v>
      </c>
      <c r="T236" s="12">
        <f t="shared" ca="1" si="156"/>
        <v>113.45854641110688</v>
      </c>
      <c r="U236" s="12">
        <f t="shared" ca="1" si="156"/>
        <v>0</v>
      </c>
      <c r="V236" s="12">
        <f t="shared" ca="1" si="156"/>
        <v>2.3548194196658767</v>
      </c>
      <c r="W236" s="27">
        <f t="shared" ca="1" si="149"/>
        <v>4.5474735088646412E-13</v>
      </c>
      <c r="X236" s="3"/>
      <c r="Y236" s="3"/>
      <c r="Z236" s="3"/>
      <c r="AA236" s="3"/>
      <c r="AB236" s="3"/>
      <c r="AC236" s="3"/>
    </row>
    <row r="237" spans="1:29" x14ac:dyDescent="0.2">
      <c r="A237" s="3">
        <f t="shared" si="124"/>
        <v>43</v>
      </c>
      <c r="B237" s="3" t="s">
        <v>91</v>
      </c>
      <c r="C237" s="3" t="s">
        <v>114</v>
      </c>
      <c r="D237" s="3" t="str">
        <f t="shared" si="151"/>
        <v>A393</v>
      </c>
      <c r="E237" s="4" t="s">
        <v>591</v>
      </c>
      <c r="F237" s="11"/>
      <c r="G237" s="11"/>
      <c r="H237" s="2">
        <f>'II-I TOTAL COMPANY'!L237</f>
        <v>20212.561765834864</v>
      </c>
      <c r="I237" s="66">
        <v>0</v>
      </c>
      <c r="J237" s="66">
        <f t="shared" ca="1" si="152"/>
        <v>20212.561765834867</v>
      </c>
      <c r="K237" s="12">
        <f t="shared" ca="1" si="153"/>
        <v>9475.7858650596663</v>
      </c>
      <c r="L237" s="12">
        <f t="shared" ca="1" si="153"/>
        <v>1800.5008404419871</v>
      </c>
      <c r="M237" s="9">
        <f t="shared" ca="1" si="154"/>
        <v>7147.8671510564827</v>
      </c>
      <c r="N237" s="12">
        <f t="shared" ca="1" si="155"/>
        <v>139.44960854293757</v>
      </c>
      <c r="O237" s="12">
        <f t="shared" ca="1" si="155"/>
        <v>7008.4175425135454</v>
      </c>
      <c r="P237" s="9">
        <f t="shared" ca="1" si="139"/>
        <v>961.27786870426121</v>
      </c>
      <c r="Q237" s="12">
        <f t="shared" ca="1" si="156"/>
        <v>415.13749578480525</v>
      </c>
      <c r="R237" s="12">
        <f t="shared" ca="1" si="156"/>
        <v>486.83501637876941</v>
      </c>
      <c r="S237" s="12">
        <f t="shared" ca="1" si="157"/>
        <v>59.305356540686454</v>
      </c>
      <c r="T237" s="12">
        <f t="shared" ca="1" si="156"/>
        <v>810.31210364301921</v>
      </c>
      <c r="U237" s="12">
        <f t="shared" ca="1" si="156"/>
        <v>0</v>
      </c>
      <c r="V237" s="12">
        <f t="shared" ca="1" si="156"/>
        <v>16.817936929448404</v>
      </c>
      <c r="W237" s="27">
        <f t="shared" ca="1" si="149"/>
        <v>3.637978807091713E-12</v>
      </c>
      <c r="X237" s="3"/>
      <c r="Y237" s="3"/>
      <c r="Z237" s="3"/>
      <c r="AA237" s="3"/>
      <c r="AB237" s="3"/>
      <c r="AC237" s="3"/>
    </row>
    <row r="238" spans="1:29" x14ac:dyDescent="0.2">
      <c r="A238" s="3">
        <f t="shared" si="124"/>
        <v>44</v>
      </c>
      <c r="B238" s="3" t="s">
        <v>93</v>
      </c>
      <c r="C238" s="3" t="s">
        <v>94</v>
      </c>
      <c r="D238" s="3" t="str">
        <f t="shared" si="151"/>
        <v>A394</v>
      </c>
      <c r="E238" s="4" t="s">
        <v>591</v>
      </c>
      <c r="F238" s="11"/>
      <c r="G238" s="11"/>
      <c r="H238" s="2">
        <f>'II-I TOTAL COMPANY'!L238</f>
        <v>445140.45836243202</v>
      </c>
      <c r="I238" s="66">
        <v>0</v>
      </c>
      <c r="J238" s="66">
        <f t="shared" ca="1" si="152"/>
        <v>445140.45836243196</v>
      </c>
      <c r="K238" s="12">
        <f t="shared" ca="1" si="153"/>
        <v>208684.86202707177</v>
      </c>
      <c r="L238" s="12">
        <f t="shared" ca="1" si="153"/>
        <v>39652.359690052675</v>
      </c>
      <c r="M238" s="9">
        <f t="shared" ca="1" si="154"/>
        <v>157417.19910601506</v>
      </c>
      <c r="N238" s="12">
        <f t="shared" ca="1" si="155"/>
        <v>3071.0932827025058</v>
      </c>
      <c r="O238" s="12">
        <f t="shared" ca="1" si="155"/>
        <v>154346.10582331257</v>
      </c>
      <c r="P238" s="9">
        <f t="shared" ca="1" si="139"/>
        <v>21170.184959531394</v>
      </c>
      <c r="Q238" s="12">
        <f t="shared" ca="1" si="156"/>
        <v>9142.5568563722136</v>
      </c>
      <c r="R238" s="12">
        <f t="shared" ca="1" si="156"/>
        <v>10721.548552248863</v>
      </c>
      <c r="S238" s="12">
        <f t="shared" ca="1" si="157"/>
        <v>1306.0795509103161</v>
      </c>
      <c r="T238" s="12">
        <f t="shared" ca="1" si="156"/>
        <v>17845.471811592583</v>
      </c>
      <c r="U238" s="12">
        <f t="shared" ca="1" si="156"/>
        <v>0</v>
      </c>
      <c r="V238" s="12">
        <f t="shared" ca="1" si="156"/>
        <v>370.38076816859723</v>
      </c>
      <c r="W238" s="27">
        <f t="shared" ca="1" si="149"/>
        <v>5.8207660913467407E-11</v>
      </c>
      <c r="X238" s="3"/>
      <c r="Y238" s="3"/>
      <c r="Z238" s="3"/>
      <c r="AA238" s="3"/>
      <c r="AB238" s="3"/>
      <c r="AC238" s="3"/>
    </row>
    <row r="239" spans="1:29" x14ac:dyDescent="0.2">
      <c r="A239" s="3">
        <f t="shared" si="124"/>
        <v>45</v>
      </c>
      <c r="B239" s="3" t="s">
        <v>95</v>
      </c>
      <c r="C239" s="3" t="s">
        <v>96</v>
      </c>
      <c r="D239" s="3" t="str">
        <f t="shared" si="151"/>
        <v>A395</v>
      </c>
      <c r="E239" s="4" t="s">
        <v>591</v>
      </c>
      <c r="F239" s="11"/>
      <c r="G239" s="11"/>
      <c r="H239" s="2">
        <f>'II-I TOTAL COMPANY'!L239</f>
        <v>1657.2515433073249</v>
      </c>
      <c r="I239" s="66">
        <v>0</v>
      </c>
      <c r="J239" s="66">
        <f t="shared" ca="1" si="152"/>
        <v>1657.2515433073252</v>
      </c>
      <c r="K239" s="12">
        <f t="shared" ca="1" si="153"/>
        <v>776.93074885063857</v>
      </c>
      <c r="L239" s="12">
        <f t="shared" ca="1" si="153"/>
        <v>147.62516652353554</v>
      </c>
      <c r="M239" s="9">
        <f t="shared" ca="1" si="154"/>
        <v>586.06197495791832</v>
      </c>
      <c r="N239" s="12">
        <f t="shared" ca="1" si="155"/>
        <v>11.433636252976966</v>
      </c>
      <c r="O239" s="12">
        <f t="shared" ca="1" si="155"/>
        <v>574.62833870494137</v>
      </c>
      <c r="P239" s="9">
        <f t="shared" ca="1" si="139"/>
        <v>78.816295030453901</v>
      </c>
      <c r="Q239" s="12">
        <f t="shared" ca="1" si="156"/>
        <v>34.037608074846112</v>
      </c>
      <c r="R239" s="12">
        <f t="shared" ca="1" si="156"/>
        <v>39.91617151634405</v>
      </c>
      <c r="S239" s="12">
        <f t="shared" ca="1" si="157"/>
        <v>4.8625154392637295</v>
      </c>
      <c r="T239" s="12">
        <f t="shared" ca="1" si="156"/>
        <v>66.438435656032311</v>
      </c>
      <c r="U239" s="12">
        <f t="shared" ca="1" si="156"/>
        <v>0</v>
      </c>
      <c r="V239" s="12">
        <f t="shared" ca="1" si="156"/>
        <v>1.3789222887464314</v>
      </c>
      <c r="W239" s="27">
        <f t="shared" ca="1" si="149"/>
        <v>2.2737367544323206E-13</v>
      </c>
      <c r="X239" s="3"/>
      <c r="Y239" s="3"/>
      <c r="Z239" s="3"/>
      <c r="AA239" s="3"/>
      <c r="AB239" s="3"/>
      <c r="AC239" s="3"/>
    </row>
    <row r="240" spans="1:29" x14ac:dyDescent="0.2">
      <c r="A240" s="3">
        <f t="shared" si="124"/>
        <v>46</v>
      </c>
      <c r="B240" s="3" t="s">
        <v>97</v>
      </c>
      <c r="C240" s="3" t="s">
        <v>98</v>
      </c>
      <c r="D240" s="3" t="str">
        <f t="shared" si="151"/>
        <v>A396</v>
      </c>
      <c r="E240" s="4" t="s">
        <v>591</v>
      </c>
      <c r="F240" s="11"/>
      <c r="G240" s="11"/>
      <c r="H240" s="2">
        <f>'II-I TOTAL COMPANY'!L240</f>
        <v>-9014.6897227498321</v>
      </c>
      <c r="I240" s="66">
        <v>0</v>
      </c>
      <c r="J240" s="66">
        <f t="shared" ca="1" si="152"/>
        <v>-9014.6897227498321</v>
      </c>
      <c r="K240" s="12">
        <f t="shared" ca="1" si="153"/>
        <v>-4226.1476027802873</v>
      </c>
      <c r="L240" s="12">
        <f t="shared" ca="1" si="153"/>
        <v>-803.01332459351477</v>
      </c>
      <c r="M240" s="9">
        <f t="shared" ca="1" si="154"/>
        <v>-3187.9088505805012</v>
      </c>
      <c r="N240" s="12">
        <f t="shared" ca="1" si="155"/>
        <v>-62.193747014213919</v>
      </c>
      <c r="O240" s="12">
        <f t="shared" ca="1" si="155"/>
        <v>-3125.7151035662873</v>
      </c>
      <c r="P240" s="9">
        <f t="shared" ca="1" si="139"/>
        <v>-428.72456367023193</v>
      </c>
      <c r="Q240" s="12">
        <f t="shared" ca="1" si="156"/>
        <v>-185.14900585758636</v>
      </c>
      <c r="R240" s="12">
        <f t="shared" ca="1" si="156"/>
        <v>-217.12569983299039</v>
      </c>
      <c r="S240" s="12">
        <f t="shared" ca="1" si="157"/>
        <v>-26.449857979655192</v>
      </c>
      <c r="T240" s="12">
        <f t="shared" ca="1" si="156"/>
        <v>-361.39467513106723</v>
      </c>
      <c r="U240" s="12">
        <f t="shared" ca="1" si="156"/>
        <v>0</v>
      </c>
      <c r="V240" s="12">
        <f t="shared" ca="1" si="156"/>
        <v>-7.5007059942305796</v>
      </c>
      <c r="W240" s="27">
        <f t="shared" ca="1" si="149"/>
        <v>-1.8189894035458565E-12</v>
      </c>
      <c r="X240" s="3"/>
      <c r="Y240" s="3"/>
      <c r="Z240" s="3"/>
      <c r="AA240" s="3"/>
      <c r="AB240" s="3"/>
      <c r="AC240" s="3"/>
    </row>
    <row r="241" spans="1:29" x14ac:dyDescent="0.2">
      <c r="A241" s="3">
        <f t="shared" si="124"/>
        <v>47</v>
      </c>
      <c r="B241" s="3" t="s">
        <v>105</v>
      </c>
      <c r="C241" s="3" t="s">
        <v>106</v>
      </c>
      <c r="D241" s="3" t="str">
        <f t="shared" si="151"/>
        <v>A397</v>
      </c>
      <c r="E241" s="4" t="s">
        <v>591</v>
      </c>
      <c r="F241" s="11"/>
      <c r="G241" s="11"/>
      <c r="H241" s="2">
        <f>'II-I TOTAL COMPANY'!L241</f>
        <v>1509730.4787476591</v>
      </c>
      <c r="I241" s="66">
        <v>0</v>
      </c>
      <c r="J241" s="66">
        <f t="shared" ca="1" si="152"/>
        <v>1509730.4787476591</v>
      </c>
      <c r="K241" s="12">
        <f ca="1">IF($H168&lt;&gt;0,(K168/$H168)*$H241,0)</f>
        <v>707771.8745551568</v>
      </c>
      <c r="L241" s="12">
        <f ca="1">IF($H168&lt;&gt;0,(L168/$H168)*$H241,0)</f>
        <v>134484.23942088909</v>
      </c>
      <c r="M241" s="9">
        <f t="shared" ca="1" si="154"/>
        <v>533893.378830867</v>
      </c>
      <c r="N241" s="12">
        <f ca="1">IF($H168&lt;&gt;0,(N168/$H168)*$H241,0)</f>
        <v>10415.865475427378</v>
      </c>
      <c r="O241" s="12">
        <f ca="1">IF($H168&lt;&gt;0,(O168/$H168)*$H241,0)</f>
        <v>523477.51335543965</v>
      </c>
      <c r="P241" s="9">
        <f t="shared" ca="1" si="139"/>
        <v>71800.423604962576</v>
      </c>
      <c r="Q241" s="12">
        <f t="shared" ref="Q241:V241" ca="1" si="158">IF($H168&lt;&gt;0,(Q168/$H168)*$H241,0)</f>
        <v>31007.733582621961</v>
      </c>
      <c r="R241" s="12">
        <f t="shared" ca="1" si="158"/>
        <v>36363.013796251762</v>
      </c>
      <c r="S241" s="12">
        <f t="shared" ca="1" si="158"/>
        <v>4429.6762260888499</v>
      </c>
      <c r="T241" s="12">
        <f t="shared" ca="1" si="158"/>
        <v>60524.385495549701</v>
      </c>
      <c r="U241" s="12">
        <f t="shared" ca="1" si="158"/>
        <v>0</v>
      </c>
      <c r="V241" s="12">
        <f t="shared" ca="1" si="158"/>
        <v>1256.1768402341522</v>
      </c>
      <c r="W241" s="27">
        <f t="shared" ca="1" si="149"/>
        <v>2.3283064365386963E-10</v>
      </c>
      <c r="X241" s="3"/>
      <c r="Y241" s="3"/>
      <c r="Z241" s="3"/>
      <c r="AA241" s="3"/>
      <c r="AB241" s="3"/>
      <c r="AC241" s="3"/>
    </row>
    <row r="242" spans="1:29" x14ac:dyDescent="0.2">
      <c r="A242" s="3">
        <f t="shared" si="124"/>
        <v>48</v>
      </c>
      <c r="B242" s="3" t="s">
        <v>99</v>
      </c>
      <c r="C242" s="3" t="s">
        <v>100</v>
      </c>
      <c r="D242" s="3" t="str">
        <f t="shared" si="151"/>
        <v>A398</v>
      </c>
      <c r="E242" s="4" t="s">
        <v>591</v>
      </c>
      <c r="F242" s="11"/>
      <c r="G242" s="11"/>
      <c r="H242" s="2">
        <f>'II-I TOTAL COMPANY'!L242</f>
        <v>99181.684485843318</v>
      </c>
      <c r="I242" s="66">
        <v>0</v>
      </c>
      <c r="J242" s="66">
        <f t="shared" ca="1" si="152"/>
        <v>99181.684485843318</v>
      </c>
      <c r="K242" s="12">
        <f ca="1">IF($H159&lt;&gt;0,(K159/$H159)*$H242,0)</f>
        <v>46497.045491400284</v>
      </c>
      <c r="L242" s="12">
        <f ca="1">IF($H159&lt;&gt;0,(L159/$H159)*$H242,0)</f>
        <v>8834.9368250322295</v>
      </c>
      <c r="M242" s="9">
        <f t="shared" ca="1" si="154"/>
        <v>35074.10454626882</v>
      </c>
      <c r="N242" s="12">
        <f ca="1">IF($H159&lt;&gt;0,(N159/$H159)*$H242,0)</f>
        <v>684.26987318144734</v>
      </c>
      <c r="O242" s="12">
        <f ca="1">IF($H159&lt;&gt;0,(O159/$H159)*$H242,0)</f>
        <v>34389.834673087375</v>
      </c>
      <c r="P242" s="9">
        <f t="shared" ca="1" si="139"/>
        <v>4716.9260077762319</v>
      </c>
      <c r="Q242" s="12">
        <f t="shared" ref="Q242:V243" ca="1" si="159">IF($H159&lt;&gt;0,(Q159/$H159)*$H242,0)</f>
        <v>2037.0518394540081</v>
      </c>
      <c r="R242" s="12">
        <f t="shared" ca="1" si="159"/>
        <v>2388.8667626859369</v>
      </c>
      <c r="S242" s="12">
        <f ca="1">IF($H159&lt;&gt;0,(S159/$H159)*$H242,0)</f>
        <v>291.00740563628682</v>
      </c>
      <c r="T242" s="12">
        <f t="shared" ca="1" si="159"/>
        <v>3976.1471272002495</v>
      </c>
      <c r="U242" s="12">
        <f t="shared" ca="1" si="159"/>
        <v>0</v>
      </c>
      <c r="V242" s="12">
        <f t="shared" ca="1" si="159"/>
        <v>82.524488165514214</v>
      </c>
      <c r="W242" s="27">
        <f t="shared" ca="1" si="149"/>
        <v>1.4551915228366852E-11</v>
      </c>
      <c r="X242" s="3"/>
      <c r="Y242" s="3"/>
      <c r="Z242" s="3"/>
      <c r="AA242" s="3"/>
      <c r="AB242" s="3"/>
      <c r="AC242" s="3"/>
    </row>
    <row r="243" spans="1:29" x14ac:dyDescent="0.2">
      <c r="A243" s="3">
        <f t="shared" si="124"/>
        <v>49</v>
      </c>
      <c r="B243" s="3" t="s">
        <v>101</v>
      </c>
      <c r="C243" s="3" t="s">
        <v>819</v>
      </c>
      <c r="D243" s="3" t="str">
        <f t="shared" si="151"/>
        <v>A399</v>
      </c>
      <c r="E243" s="4" t="s">
        <v>591</v>
      </c>
      <c r="F243" s="11"/>
      <c r="G243" s="11"/>
      <c r="H243" s="2">
        <f>'II-I TOTAL COMPANY'!L243</f>
        <v>26384.656053076775</v>
      </c>
      <c r="I243" s="66">
        <v>0</v>
      </c>
      <c r="J243" s="66">
        <f t="shared" ca="1" si="152"/>
        <v>26384.656053076771</v>
      </c>
      <c r="K243" s="12">
        <f ca="1">IF($H160&lt;&gt;0,(K160/$H160)*$H243,0)</f>
        <v>12369.305473431124</v>
      </c>
      <c r="L243" s="12">
        <f ca="1">IF($H160&lt;&gt;0,(L160/$H160)*$H243,0)</f>
        <v>2350.3005679683729</v>
      </c>
      <c r="M243" s="9">
        <f ca="1">SUM(N243:O243)</f>
        <v>9330.5350642138837</v>
      </c>
      <c r="N243" s="12">
        <f ca="1">IF($H160&lt;&gt;0,(N160/$H160)*$H243,0)</f>
        <v>182.03184736141401</v>
      </c>
      <c r="O243" s="12">
        <f ca="1">IF($H160&lt;&gt;0,(O160/$H160)*$H243,0)</f>
        <v>9148.5032168524704</v>
      </c>
      <c r="P243" s="9">
        <f ca="1">SUM(Q243:S243)</f>
        <v>1254.8130331538421</v>
      </c>
      <c r="Q243" s="12">
        <f t="shared" ca="1" si="159"/>
        <v>541.90360271560951</v>
      </c>
      <c r="R243" s="12">
        <f t="shared" ca="1" si="159"/>
        <v>635.49463005028838</v>
      </c>
      <c r="S243" s="12">
        <f ca="1">IF($H160&lt;&gt;0,(S160/$H160)*$H243,0)</f>
        <v>77.414800387944211</v>
      </c>
      <c r="T243" s="12">
        <f t="shared" ca="1" si="159"/>
        <v>1057.7484634532709</v>
      </c>
      <c r="U243" s="12">
        <f t="shared" ca="1" si="159"/>
        <v>0</v>
      </c>
      <c r="V243" s="12">
        <f t="shared" ca="1" si="159"/>
        <v>21.953450856282696</v>
      </c>
      <c r="W243" s="27" t="str">
        <f t="shared" ca="1" si="149"/>
        <v>OK</v>
      </c>
      <c r="X243" s="3"/>
      <c r="Y243" s="3"/>
      <c r="Z243" s="3"/>
      <c r="AA243" s="3"/>
      <c r="AB243" s="3"/>
      <c r="AC243" s="3"/>
    </row>
    <row r="244" spans="1:29" x14ac:dyDescent="0.2">
      <c r="A244" s="3">
        <f t="shared" si="124"/>
        <v>50</v>
      </c>
      <c r="B244" s="3"/>
      <c r="C244" s="3"/>
      <c r="D244" s="3"/>
      <c r="E244" s="4"/>
      <c r="F244" s="4"/>
      <c r="G244" s="4"/>
      <c r="H244" s="2"/>
      <c r="I244" s="66"/>
      <c r="J244" s="66"/>
      <c r="K244" s="12"/>
      <c r="L244" s="12"/>
      <c r="M244" s="12"/>
      <c r="N244" s="12"/>
      <c r="O244" s="12"/>
      <c r="P244" s="9">
        <f t="shared" si="139"/>
        <v>0</v>
      </c>
      <c r="Q244" s="12"/>
      <c r="R244" s="12"/>
      <c r="S244" s="12"/>
      <c r="T244" s="12"/>
      <c r="U244" s="12"/>
      <c r="V244" s="12"/>
      <c r="W244" s="27" t="str">
        <f t="shared" si="149"/>
        <v>OK</v>
      </c>
      <c r="X244" s="3"/>
      <c r="Y244" s="3"/>
      <c r="Z244" s="3"/>
      <c r="AA244" s="3"/>
      <c r="AB244" s="3"/>
      <c r="AC244" s="3"/>
    </row>
    <row r="245" spans="1:29" x14ac:dyDescent="0.2">
      <c r="A245" s="3">
        <f t="shared" si="124"/>
        <v>51</v>
      </c>
      <c r="B245" s="3"/>
      <c r="C245" s="3" t="s">
        <v>103</v>
      </c>
      <c r="D245" s="3"/>
      <c r="E245" s="4"/>
      <c r="F245" s="8"/>
      <c r="G245" s="8"/>
      <c r="H245" s="8">
        <f>SUM(H233:H243)</f>
        <v>2457332.5553047494</v>
      </c>
      <c r="I245" s="8">
        <f>SUM(I233:I243)</f>
        <v>0</v>
      </c>
      <c r="J245" s="66">
        <f t="shared" ca="1" si="152"/>
        <v>2457332.5553047489</v>
      </c>
      <c r="K245" s="8">
        <f ca="1">SUM(K233:K243)</f>
        <v>1152014.1466019615</v>
      </c>
      <c r="L245" s="8">
        <f ca="1">SUM(L233:L243)</f>
        <v>218895.03083919999</v>
      </c>
      <c r="M245" s="9">
        <f ca="1">SUM(N245:O245)</f>
        <v>868998.53936248482</v>
      </c>
      <c r="N245" s="8">
        <f ca="1">SUM(N233:N243)</f>
        <v>16953.519641250179</v>
      </c>
      <c r="O245" s="8">
        <f ca="1">SUM(O233:O243)</f>
        <v>852045.01972123468</v>
      </c>
      <c r="P245" s="9">
        <f t="shared" ca="1" si="139"/>
        <v>116866.89835890662</v>
      </c>
      <c r="Q245" s="8">
        <f t="shared" ref="Q245:V245" ca="1" si="160">SUM(Q233:Q243)</f>
        <v>50470.143029767227</v>
      </c>
      <c r="R245" s="8">
        <f t="shared" ca="1" si="160"/>
        <v>59186.734896315495</v>
      </c>
      <c r="S245" s="8">
        <f t="shared" ca="1" si="160"/>
        <v>7210.0204328238879</v>
      </c>
      <c r="T245" s="8">
        <f t="shared" ca="1" si="160"/>
        <v>98513.307482141507</v>
      </c>
      <c r="U245" s="8">
        <f t="shared" ca="1" si="160"/>
        <v>0</v>
      </c>
      <c r="V245" s="8">
        <f t="shared" ca="1" si="160"/>
        <v>2044.6326600545362</v>
      </c>
      <c r="W245" s="27">
        <f t="shared" ca="1" si="149"/>
        <v>-4.6566128730773926E-10</v>
      </c>
      <c r="X245" s="3"/>
      <c r="Y245" s="3"/>
      <c r="Z245" s="3"/>
      <c r="AA245" s="3"/>
      <c r="AB245" s="3"/>
      <c r="AC245" s="3"/>
    </row>
    <row r="246" spans="1:29" x14ac:dyDescent="0.2">
      <c r="A246" s="3">
        <f t="shared" si="124"/>
        <v>52</v>
      </c>
      <c r="B246" s="3"/>
      <c r="C246" s="3"/>
      <c r="D246" s="3"/>
      <c r="E246" s="4"/>
      <c r="F246" s="12"/>
      <c r="G246" s="12"/>
      <c r="H246" s="2"/>
      <c r="I246" s="2"/>
      <c r="J246" s="2"/>
      <c r="K246" s="12"/>
      <c r="L246" s="12"/>
      <c r="M246" s="12"/>
      <c r="N246" s="12"/>
      <c r="O246" s="12"/>
      <c r="P246" s="9">
        <f t="shared" si="139"/>
        <v>0</v>
      </c>
      <c r="Q246" s="12"/>
      <c r="R246" s="12"/>
      <c r="S246" s="12"/>
      <c r="T246" s="12"/>
      <c r="U246" s="12"/>
      <c r="V246" s="12"/>
      <c r="W246" s="27" t="str">
        <f t="shared" si="149"/>
        <v>OK</v>
      </c>
      <c r="X246" s="3"/>
      <c r="Y246" s="3"/>
      <c r="Z246" s="3"/>
      <c r="AA246" s="3"/>
      <c r="AB246" s="3"/>
      <c r="AC246" s="3"/>
    </row>
    <row r="247" spans="1:29" x14ac:dyDescent="0.2">
      <c r="A247" s="3">
        <f t="shared" si="124"/>
        <v>53</v>
      </c>
      <c r="B247" s="3" t="s">
        <v>116</v>
      </c>
      <c r="C247" s="3"/>
      <c r="D247" s="3"/>
      <c r="E247" s="4"/>
      <c r="F247" s="8"/>
      <c r="G247" s="8"/>
      <c r="H247" s="8">
        <f>H191+H208+H226+H245+H246</f>
        <v>113811864.56270513</v>
      </c>
      <c r="I247" s="8">
        <f>I191+I208+I226+I245+I246</f>
        <v>0</v>
      </c>
      <c r="J247" s="66">
        <f t="shared" ca="1" si="152"/>
        <v>113811864.56270511</v>
      </c>
      <c r="K247" s="8">
        <f ca="1">K191+K208+K226+K245+K246</f>
        <v>53355773.00855913</v>
      </c>
      <c r="L247" s="8">
        <f ca="1">L191+L208+L226+L245+L246</f>
        <v>10138168.539516455</v>
      </c>
      <c r="M247" s="9">
        <f ca="1">SUM(N247:O247)</f>
        <v>40247846.736741833</v>
      </c>
      <c r="N247" s="8">
        <f ca="1">N191+N208+N226+N245+N246</f>
        <v>785205.76187614747</v>
      </c>
      <c r="O247" s="8">
        <f ca="1">O191+O208+O226+O245+O246</f>
        <v>39462640.974865682</v>
      </c>
      <c r="P247" s="9">
        <f t="shared" ca="1" si="139"/>
        <v>5412714.5221651876</v>
      </c>
      <c r="Q247" s="8">
        <f t="shared" ref="Q247:V247" ca="1" si="161">Q191+Q208+Q226+Q245+Q246</f>
        <v>2337535.0929055922</v>
      </c>
      <c r="R247" s="8">
        <f t="shared" ca="1" si="161"/>
        <v>2741245.8445587968</v>
      </c>
      <c r="S247" s="8">
        <f t="shared" ca="1" si="161"/>
        <v>333933.58470079879</v>
      </c>
      <c r="T247" s="8">
        <f t="shared" ca="1" si="161"/>
        <v>4562664.1720013944</v>
      </c>
      <c r="U247" s="8">
        <f t="shared" ca="1" si="161"/>
        <v>0</v>
      </c>
      <c r="V247" s="8">
        <f t="shared" ca="1" si="161"/>
        <v>94697.583721122064</v>
      </c>
      <c r="W247" s="27" t="str">
        <f t="shared" ca="1" si="149"/>
        <v>OK</v>
      </c>
      <c r="X247" s="3"/>
      <c r="Y247" s="3"/>
      <c r="Z247" s="3"/>
      <c r="AA247" s="3"/>
      <c r="AB247" s="3"/>
      <c r="AC247" s="3"/>
    </row>
    <row r="248" spans="1:29" x14ac:dyDescent="0.2">
      <c r="A248" s="3">
        <f t="shared" si="124"/>
        <v>54</v>
      </c>
      <c r="B248" s="3"/>
      <c r="C248" s="3"/>
      <c r="D248" s="3"/>
      <c r="E248" s="4"/>
      <c r="F248" s="8"/>
      <c r="G248" s="8"/>
      <c r="H248" s="8"/>
      <c r="I248" s="8"/>
      <c r="J248" s="66"/>
      <c r="K248" s="8"/>
      <c r="L248" s="8"/>
      <c r="M248" s="8"/>
      <c r="N248" s="8"/>
      <c r="O248" s="8"/>
      <c r="P248" s="9">
        <f t="shared" si="139"/>
        <v>0</v>
      </c>
      <c r="Q248" s="8"/>
      <c r="R248" s="8"/>
      <c r="S248" s="8"/>
      <c r="T248" s="8"/>
      <c r="U248" s="8"/>
      <c r="V248" s="8"/>
      <c r="W248" s="27" t="str">
        <f t="shared" si="149"/>
        <v>OK</v>
      </c>
      <c r="X248" s="3"/>
      <c r="Y248" s="3"/>
      <c r="Z248" s="3"/>
      <c r="AA248" s="3"/>
      <c r="AB248" s="3"/>
      <c r="AC248" s="3"/>
    </row>
    <row r="249" spans="1:29" x14ac:dyDescent="0.2">
      <c r="A249" s="3">
        <f t="shared" si="124"/>
        <v>55</v>
      </c>
      <c r="B249" s="3" t="s">
        <v>117</v>
      </c>
      <c r="C249" s="3"/>
      <c r="D249" s="8"/>
      <c r="E249" s="4"/>
      <c r="F249" s="8"/>
      <c r="G249" s="8"/>
      <c r="H249" s="8">
        <f>H171-H247</f>
        <v>110475949.63763955</v>
      </c>
      <c r="I249" s="8">
        <f>I171-I247</f>
        <v>0</v>
      </c>
      <c r="J249" s="66">
        <f t="shared" ca="1" si="152"/>
        <v>110475949.63763951</v>
      </c>
      <c r="K249" s="8">
        <f ca="1">K171-K247</f>
        <v>51791873.495959558</v>
      </c>
      <c r="L249" s="8">
        <f ca="1">L171-L247</f>
        <v>9841010.8760887552</v>
      </c>
      <c r="M249" s="9">
        <f ca="1">SUM(N249:O249)</f>
        <v>39068150.813590728</v>
      </c>
      <c r="N249" s="8">
        <f ca="1">N171-N247</f>
        <v>762190.76576520153</v>
      </c>
      <c r="O249" s="8">
        <f ca="1">O171-O247</f>
        <v>38305960.047825523</v>
      </c>
      <c r="P249" s="9">
        <f t="shared" ca="1" si="139"/>
        <v>5254063.6185095133</v>
      </c>
      <c r="Q249" s="8">
        <f t="shared" ref="Q249:V249" ca="1" si="162">Q171-Q247</f>
        <v>2269020.1078093573</v>
      </c>
      <c r="R249" s="8">
        <f t="shared" ca="1" si="162"/>
        <v>2660897.7810131051</v>
      </c>
      <c r="S249" s="8">
        <f t="shared" ca="1" si="162"/>
        <v>324145.72968705097</v>
      </c>
      <c r="T249" s="8">
        <f t="shared" ca="1" si="162"/>
        <v>4428928.9101468986</v>
      </c>
      <c r="U249" s="8">
        <f t="shared" ca="1" si="162"/>
        <v>0</v>
      </c>
      <c r="V249" s="8">
        <f t="shared" ca="1" si="162"/>
        <v>91921.923344089155</v>
      </c>
      <c r="W249" s="27">
        <f t="shared" ca="1" si="149"/>
        <v>-1.4901161193847656E-8</v>
      </c>
      <c r="X249" s="3"/>
      <c r="Y249" s="3"/>
      <c r="Z249" s="3"/>
      <c r="AA249" s="3"/>
      <c r="AB249" s="3"/>
      <c r="AC249" s="3"/>
    </row>
    <row r="250" spans="1:29" x14ac:dyDescent="0.2">
      <c r="A250" s="3"/>
      <c r="B250" s="3"/>
      <c r="C250" s="3"/>
      <c r="D250" s="3"/>
      <c r="E250" s="4"/>
      <c r="F250" s="4"/>
      <c r="G250" s="4"/>
      <c r="H250" s="8"/>
      <c r="I250" s="8"/>
      <c r="J250" s="8"/>
      <c r="K250" s="8"/>
      <c r="L250" s="8"/>
      <c r="M250" s="3"/>
      <c r="N250" s="3"/>
      <c r="O250" s="3"/>
      <c r="P250" s="9">
        <f t="shared" si="139"/>
        <v>0</v>
      </c>
      <c r="Q250" s="3"/>
      <c r="R250" s="3"/>
      <c r="S250" s="3"/>
      <c r="T250" s="3"/>
      <c r="U250" s="3"/>
      <c r="V250" s="3"/>
      <c r="W250" s="27" t="str">
        <f t="shared" si="149"/>
        <v>OK</v>
      </c>
      <c r="X250" s="3"/>
      <c r="Y250" s="3"/>
      <c r="Z250" s="3"/>
      <c r="AA250" s="3"/>
      <c r="AB250" s="3"/>
      <c r="AC250" s="3"/>
    </row>
    <row r="251" spans="1:29" x14ac:dyDescent="0.2">
      <c r="A251" s="3"/>
      <c r="B251" s="7" t="s">
        <v>118</v>
      </c>
      <c r="C251" s="3"/>
      <c r="D251" s="3"/>
      <c r="E251" s="4"/>
      <c r="F251" s="4"/>
      <c r="G251" s="4"/>
      <c r="H251" s="8"/>
      <c r="I251" s="8"/>
      <c r="J251" s="8"/>
      <c r="K251" s="8"/>
      <c r="L251" s="8"/>
      <c r="M251" s="3"/>
      <c r="N251" s="3"/>
      <c r="O251" s="3"/>
      <c r="P251" s="9">
        <f t="shared" si="139"/>
        <v>0</v>
      </c>
      <c r="Q251" s="3"/>
      <c r="R251" s="3"/>
      <c r="S251" s="3"/>
      <c r="T251" s="3"/>
      <c r="U251" s="3"/>
      <c r="V251" s="3"/>
      <c r="W251" s="27" t="str">
        <f t="shared" si="149"/>
        <v>OK</v>
      </c>
      <c r="X251" s="3"/>
      <c r="Y251" s="3"/>
      <c r="Z251" s="3"/>
      <c r="AA251" s="3"/>
      <c r="AB251" s="3"/>
      <c r="AC251" s="3"/>
    </row>
    <row r="252" spans="1:29" x14ac:dyDescent="0.2">
      <c r="A252" s="3"/>
      <c r="B252" s="3"/>
      <c r="C252" s="3"/>
      <c r="D252" s="3"/>
      <c r="E252" s="4"/>
      <c r="F252" s="4"/>
      <c r="G252" s="4"/>
      <c r="H252" s="5"/>
      <c r="I252" s="8"/>
      <c r="J252" s="8"/>
      <c r="K252" s="8"/>
      <c r="L252" s="8"/>
      <c r="M252" s="3"/>
      <c r="N252" s="3"/>
      <c r="O252" s="3"/>
      <c r="P252" s="9">
        <f t="shared" si="139"/>
        <v>0</v>
      </c>
      <c r="Q252" s="3"/>
      <c r="R252" s="3"/>
      <c r="S252" s="3"/>
      <c r="T252" s="3"/>
      <c r="U252" s="3"/>
      <c r="V252" s="3"/>
      <c r="W252" s="27" t="str">
        <f t="shared" si="149"/>
        <v>OK</v>
      </c>
      <c r="X252" s="3"/>
      <c r="Y252" s="3"/>
      <c r="Z252" s="3"/>
      <c r="AA252" s="3"/>
      <c r="AB252" s="3"/>
      <c r="AC252" s="3"/>
    </row>
    <row r="253" spans="1:29" x14ac:dyDescent="0.2">
      <c r="A253" s="3">
        <f t="shared" ref="A253:A308" si="163">+A252+1</f>
        <v>1</v>
      </c>
      <c r="B253" s="3" t="s">
        <v>119</v>
      </c>
      <c r="C253" s="3" t="s">
        <v>120</v>
      </c>
      <c r="D253" s="78" t="s">
        <v>368</v>
      </c>
      <c r="E253" s="4" t="s">
        <v>591</v>
      </c>
      <c r="F253" s="11"/>
      <c r="G253" s="11"/>
      <c r="H253" s="2">
        <f>'II-I TOTAL COMPANY'!L253</f>
        <v>7577.9813012768091</v>
      </c>
      <c r="I253" s="66">
        <v>0</v>
      </c>
      <c r="J253" s="66">
        <f t="shared" ref="J253" si="164">SUM(K253:V253)-M253-P253</f>
        <v>7577.9813012768118</v>
      </c>
      <c r="K253" s="12">
        <f>VLOOKUP($D253,$E$741:$V$815,K$1,FALSE)*$H253</f>
        <v>4286.3248217108257</v>
      </c>
      <c r="L253" s="12">
        <f>VLOOKUP($D253,$E$741:$V$815,L$1,FALSE)*$H253</f>
        <v>149.5231598862357</v>
      </c>
      <c r="M253" s="9">
        <f>SUM(N253:O253)</f>
        <v>2255.0372736699951</v>
      </c>
      <c r="N253" s="12">
        <f>VLOOKUP($D253,$E$741:$V$815,N$1,FALSE)*$H253</f>
        <v>302.80381015857699</v>
      </c>
      <c r="O253" s="12">
        <f>VLOOKUP($D253,$E$741:$V$815,O$1,FALSE)*$H253</f>
        <v>1952.2334635114182</v>
      </c>
      <c r="P253" s="9">
        <f t="shared" si="139"/>
        <v>774.42564722587315</v>
      </c>
      <c r="Q253" s="12">
        <f t="shared" ref="Q253:V253" si="165">VLOOKUP($D253,$E$741:$V$815,Q$1,FALSE)*$H253</f>
        <v>629.993031484889</v>
      </c>
      <c r="R253" s="12">
        <f t="shared" si="165"/>
        <v>45.589928671746648</v>
      </c>
      <c r="S253" s="12">
        <f t="shared" si="165"/>
        <v>98.842687069237542</v>
      </c>
      <c r="T253" s="12">
        <f t="shared" si="165"/>
        <v>0</v>
      </c>
      <c r="U253" s="12">
        <f t="shared" si="165"/>
        <v>83.913243592985353</v>
      </c>
      <c r="V253" s="12">
        <f t="shared" si="165"/>
        <v>28.757155190894814</v>
      </c>
      <c r="W253" s="27" t="str">
        <f>IF((+K253+L253+M253+P253+T253+U253+V253)-H253=0,"OK",(+K253+L253+M253+P253+T253+U253+V253)-H253)</f>
        <v>OK</v>
      </c>
      <c r="X253" s="3"/>
      <c r="Y253" s="3"/>
      <c r="Z253" s="3"/>
      <c r="AA253" s="3"/>
      <c r="AB253" s="3"/>
      <c r="AC253" s="3"/>
    </row>
    <row r="254" spans="1:29" x14ac:dyDescent="0.2">
      <c r="A254" s="3">
        <f t="shared" si="163"/>
        <v>2</v>
      </c>
      <c r="B254" s="3"/>
      <c r="C254" s="3"/>
      <c r="D254" s="78"/>
      <c r="E254" s="4"/>
      <c r="F254" s="4"/>
      <c r="G254" s="4"/>
      <c r="H254" s="2"/>
      <c r="I254" s="66"/>
      <c r="J254" s="66"/>
      <c r="K254" s="12"/>
      <c r="L254" s="12"/>
      <c r="M254" s="3"/>
      <c r="N254" s="3"/>
      <c r="O254" s="3"/>
      <c r="P254" s="9">
        <f t="shared" si="139"/>
        <v>0</v>
      </c>
      <c r="Q254" s="3"/>
      <c r="R254" s="3"/>
      <c r="S254" s="3"/>
      <c r="T254" s="3"/>
      <c r="U254" s="3"/>
      <c r="V254" s="3"/>
      <c r="W254" s="27" t="str">
        <f>IF((+K254+L254+M254+P254+T254+U254+V254)-H254=0,"OK",(+K254+L254+M254+P254+T254+U254+V254)-H254)</f>
        <v>OK</v>
      </c>
      <c r="X254" s="3"/>
      <c r="Y254" s="3"/>
      <c r="Z254" s="3"/>
      <c r="AA254" s="3"/>
      <c r="AB254" s="3"/>
      <c r="AC254" s="3"/>
    </row>
    <row r="255" spans="1:29" x14ac:dyDescent="0.2">
      <c r="A255" s="3">
        <f t="shared" si="163"/>
        <v>3</v>
      </c>
      <c r="B255" s="7" t="s">
        <v>121</v>
      </c>
      <c r="C255" s="3"/>
      <c r="D255" s="78"/>
      <c r="E255" s="4"/>
      <c r="F255" s="4"/>
      <c r="G255" s="4"/>
      <c r="H255" s="2"/>
      <c r="I255" s="66"/>
      <c r="J255" s="66"/>
      <c r="K255" s="12"/>
      <c r="L255" s="12"/>
      <c r="M255" s="3"/>
      <c r="N255" s="3"/>
      <c r="O255" s="3"/>
      <c r="P255" s="9">
        <f t="shared" si="139"/>
        <v>0</v>
      </c>
      <c r="Q255" s="3"/>
      <c r="R255" s="3"/>
      <c r="S255" s="3"/>
      <c r="T255" s="3"/>
      <c r="U255" s="3"/>
      <c r="V255" s="3"/>
      <c r="W255" s="27" t="str">
        <f>IF((+K255+L255+M255+P255+T255+U255+V255)-H255=0,"OK",(+K255+L255+M255+P255+T255+U255+V255)-H255)</f>
        <v>OK</v>
      </c>
      <c r="X255" s="3"/>
      <c r="Y255" s="3"/>
      <c r="Z255" s="3"/>
      <c r="AA255" s="3"/>
      <c r="AB255" s="3"/>
      <c r="AC255" s="3"/>
    </row>
    <row r="256" spans="1:29" x14ac:dyDescent="0.2">
      <c r="A256" s="3">
        <f t="shared" si="163"/>
        <v>4</v>
      </c>
      <c r="B256" s="3" t="s">
        <v>122</v>
      </c>
      <c r="C256" s="3" t="s">
        <v>123</v>
      </c>
      <c r="D256" s="78" t="s">
        <v>331</v>
      </c>
      <c r="E256" s="4" t="s">
        <v>591</v>
      </c>
      <c r="F256" s="11"/>
      <c r="G256" s="11"/>
      <c r="H256" s="2">
        <f>'II-I TOTAL COMPANY'!L256</f>
        <v>0</v>
      </c>
      <c r="I256" s="66">
        <v>0</v>
      </c>
      <c r="J256" s="66">
        <f t="shared" ref="J256:J259" si="166">SUM(K256:V256)-M256-P256</f>
        <v>0</v>
      </c>
      <c r="K256" s="12">
        <f>VLOOKUP($D256,$E$741:$V$815,K$1,FALSE)*$H256</f>
        <v>0</v>
      </c>
      <c r="L256" s="12">
        <f>VLOOKUP($D256,$E$741:$V$815,L$1,FALSE)*$H256</f>
        <v>0</v>
      </c>
      <c r="M256" s="9">
        <f>SUM(N256:O256)</f>
        <v>0</v>
      </c>
      <c r="N256" s="12">
        <f>VLOOKUP($D256,$E$741:$V$815,N$1,FALSE)*$H256</f>
        <v>0</v>
      </c>
      <c r="O256" s="12">
        <f>VLOOKUP($D256,$E$741:$V$815,O$1,FALSE)*$H256</f>
        <v>0</v>
      </c>
      <c r="P256" s="9">
        <f t="shared" si="139"/>
        <v>0</v>
      </c>
      <c r="Q256" s="12">
        <f t="shared" ref="Q256:V257" si="167">VLOOKUP($D256,$E$741:$V$815,Q$1,FALSE)*$H256</f>
        <v>0</v>
      </c>
      <c r="R256" s="12">
        <f t="shared" si="167"/>
        <v>0</v>
      </c>
      <c r="S256" s="12">
        <f t="shared" si="167"/>
        <v>0</v>
      </c>
      <c r="T256" s="12">
        <f t="shared" si="167"/>
        <v>0</v>
      </c>
      <c r="U256" s="12">
        <f t="shared" si="167"/>
        <v>0</v>
      </c>
      <c r="V256" s="12">
        <f t="shared" si="167"/>
        <v>0</v>
      </c>
      <c r="W256" s="27" t="str">
        <f>IF((+K256+L256+M256+P256+T256+U256+V256)-H256=0,"OK",(+K256+L256+M256+P256+T256+U256+V256)-H256)</f>
        <v>OK</v>
      </c>
      <c r="X256" s="3"/>
      <c r="Y256" s="3"/>
      <c r="Z256" s="3"/>
      <c r="AA256" s="3"/>
      <c r="AB256" s="3"/>
      <c r="AC256" s="3"/>
    </row>
    <row r="257" spans="1:29" x14ac:dyDescent="0.2">
      <c r="A257" s="3">
        <f t="shared" si="163"/>
        <v>5</v>
      </c>
      <c r="B257" s="3" t="s">
        <v>528</v>
      </c>
      <c r="C257" s="3" t="s">
        <v>529</v>
      </c>
      <c r="D257" s="78" t="s">
        <v>331</v>
      </c>
      <c r="E257" s="4" t="s">
        <v>591</v>
      </c>
      <c r="F257" s="11"/>
      <c r="G257" s="11"/>
      <c r="H257" s="2">
        <f>'II-I TOTAL COMPANY'!L257</f>
        <v>0</v>
      </c>
      <c r="I257" s="66">
        <v>0</v>
      </c>
      <c r="J257" s="66">
        <f t="shared" si="166"/>
        <v>0</v>
      </c>
      <c r="K257" s="12">
        <f>VLOOKUP($D257,$E$741:$V$815,K$1,FALSE)*$H257</f>
        <v>0</v>
      </c>
      <c r="L257" s="12">
        <f>VLOOKUP($D257,$E$741:$V$815,L$1,FALSE)*$H257</f>
        <v>0</v>
      </c>
      <c r="M257" s="9">
        <f>SUM(N257:O257)</f>
        <v>0</v>
      </c>
      <c r="N257" s="12">
        <f>VLOOKUP($D257,$E$741:$V$815,N$1,FALSE)*$H257</f>
        <v>0</v>
      </c>
      <c r="O257" s="12">
        <f>VLOOKUP($D257,$E$741:$V$815,O$1,FALSE)*$H257</f>
        <v>0</v>
      </c>
      <c r="P257" s="9">
        <f t="shared" si="139"/>
        <v>0</v>
      </c>
      <c r="Q257" s="12">
        <f t="shared" si="167"/>
        <v>0</v>
      </c>
      <c r="R257" s="12">
        <f t="shared" si="167"/>
        <v>0</v>
      </c>
      <c r="S257" s="12">
        <f t="shared" si="167"/>
        <v>0</v>
      </c>
      <c r="T257" s="12">
        <f t="shared" si="167"/>
        <v>0</v>
      </c>
      <c r="U257" s="12">
        <f t="shared" si="167"/>
        <v>0</v>
      </c>
      <c r="V257" s="12">
        <f t="shared" si="167"/>
        <v>0</v>
      </c>
      <c r="W257" s="27" t="str">
        <f>IF((+K257+L257+M257+P257+T257+U257+V257)-H257=0,"OK",(+K257+L257+M257+P257+T257+U257+V257)-H257)</f>
        <v>OK</v>
      </c>
      <c r="X257" s="3"/>
      <c r="Y257" s="3"/>
      <c r="Z257" s="3"/>
      <c r="AA257" s="3"/>
      <c r="AB257" s="3"/>
      <c r="AC257" s="3"/>
    </row>
    <row r="258" spans="1:29" x14ac:dyDescent="0.2">
      <c r="A258" s="3">
        <f t="shared" si="163"/>
        <v>6</v>
      </c>
      <c r="B258" s="3"/>
      <c r="C258" s="3"/>
      <c r="D258" s="78"/>
      <c r="E258" s="4"/>
      <c r="F258" s="4"/>
      <c r="G258" s="4"/>
      <c r="H258" s="2"/>
      <c r="I258" s="66">
        <v>0</v>
      </c>
      <c r="J258" s="66">
        <f t="shared" si="166"/>
        <v>0</v>
      </c>
      <c r="K258" s="12"/>
      <c r="L258" s="12"/>
      <c r="M258" s="9"/>
      <c r="N258" s="12"/>
      <c r="O258" s="12"/>
      <c r="P258" s="9">
        <f t="shared" si="139"/>
        <v>0</v>
      </c>
      <c r="Q258" s="12"/>
      <c r="R258" s="12"/>
      <c r="S258" s="12"/>
      <c r="T258" s="12"/>
      <c r="U258" s="12"/>
      <c r="V258" s="12"/>
      <c r="W258" s="27"/>
      <c r="X258" s="3"/>
      <c r="Y258" s="3"/>
      <c r="Z258" s="3"/>
      <c r="AA258" s="3"/>
      <c r="AB258" s="3"/>
      <c r="AC258" s="3"/>
    </row>
    <row r="259" spans="1:29" x14ac:dyDescent="0.2">
      <c r="A259" s="3">
        <f t="shared" si="163"/>
        <v>7</v>
      </c>
      <c r="B259" s="3"/>
      <c r="C259" s="3" t="s">
        <v>124</v>
      </c>
      <c r="D259" s="78"/>
      <c r="E259" s="4"/>
      <c r="F259" s="179"/>
      <c r="G259" s="179"/>
      <c r="H259" s="179">
        <f>SUM(H256:H258)</f>
        <v>0</v>
      </c>
      <c r="I259" s="179">
        <f t="shared" ref="I259:V259" si="168">SUM(I256:I258)</f>
        <v>0</v>
      </c>
      <c r="J259" s="66">
        <f t="shared" si="166"/>
        <v>0</v>
      </c>
      <c r="K259" s="179">
        <f t="shared" si="168"/>
        <v>0</v>
      </c>
      <c r="L259" s="179">
        <f t="shared" si="168"/>
        <v>0</v>
      </c>
      <c r="M259" s="179">
        <f t="shared" si="168"/>
        <v>0</v>
      </c>
      <c r="N259" s="179">
        <f t="shared" si="168"/>
        <v>0</v>
      </c>
      <c r="O259" s="179">
        <f t="shared" si="168"/>
        <v>0</v>
      </c>
      <c r="P259" s="9">
        <f t="shared" si="139"/>
        <v>0</v>
      </c>
      <c r="Q259" s="179">
        <f t="shared" si="168"/>
        <v>0</v>
      </c>
      <c r="R259" s="179">
        <f t="shared" si="168"/>
        <v>0</v>
      </c>
      <c r="S259" s="179">
        <f>SUM(S256:S258)</f>
        <v>0</v>
      </c>
      <c r="T259" s="179">
        <f t="shared" si="168"/>
        <v>0</v>
      </c>
      <c r="U259" s="179">
        <f t="shared" si="168"/>
        <v>0</v>
      </c>
      <c r="V259" s="179">
        <f t="shared" si="168"/>
        <v>0</v>
      </c>
      <c r="W259" s="27" t="str">
        <f>IF((+K259+L259+M259+P259+T259+U259+V259)-H259=0,"OK",(+K259+L259+M259+P259+T259+U259+V259)-H259)</f>
        <v>OK</v>
      </c>
      <c r="X259" s="3"/>
      <c r="Y259" s="3"/>
      <c r="Z259" s="3"/>
      <c r="AA259" s="3"/>
      <c r="AB259" s="3"/>
      <c r="AC259" s="3"/>
    </row>
    <row r="260" spans="1:29" x14ac:dyDescent="0.2">
      <c r="A260" s="3">
        <f t="shared" si="163"/>
        <v>8</v>
      </c>
      <c r="B260" s="7" t="s">
        <v>125</v>
      </c>
      <c r="C260" s="3"/>
      <c r="D260" s="78"/>
      <c r="E260" s="4"/>
      <c r="F260" s="4"/>
      <c r="G260" s="4"/>
      <c r="H260" s="2"/>
      <c r="I260" s="66"/>
      <c r="J260" s="66"/>
      <c r="K260" s="12"/>
      <c r="L260" s="12"/>
      <c r="M260" s="3"/>
      <c r="N260" s="3"/>
      <c r="O260" s="3"/>
      <c r="P260" s="9">
        <f t="shared" si="139"/>
        <v>0</v>
      </c>
      <c r="Q260" s="3"/>
      <c r="R260" s="3"/>
      <c r="S260" s="3"/>
      <c r="T260" s="3"/>
      <c r="U260" s="3"/>
      <c r="V260" s="3"/>
      <c r="W260" s="27" t="str">
        <f>IF((+K260+L260+M260+P260+T260+U260+V260)-H260=0,"OK",(+K260+L260+M260+P260+T260+U260+V260)-H260)</f>
        <v>OK</v>
      </c>
      <c r="X260" s="3"/>
      <c r="Y260" s="3"/>
      <c r="Z260" s="3"/>
      <c r="AA260" s="3"/>
      <c r="AB260" s="3"/>
      <c r="AC260" s="3"/>
    </row>
    <row r="261" spans="1:29" x14ac:dyDescent="0.2">
      <c r="A261" s="3">
        <f t="shared" si="163"/>
        <v>9</v>
      </c>
      <c r="B261" s="3"/>
      <c r="C261" s="3"/>
      <c r="D261" s="78"/>
      <c r="E261" s="4"/>
      <c r="F261" s="4"/>
      <c r="G261" s="4"/>
      <c r="H261" s="2"/>
      <c r="I261" s="66"/>
      <c r="J261" s="66"/>
      <c r="K261" s="12"/>
      <c r="L261" s="12"/>
      <c r="M261" s="3"/>
      <c r="N261" s="3"/>
      <c r="O261" s="3"/>
      <c r="P261" s="9">
        <f t="shared" si="139"/>
        <v>0</v>
      </c>
      <c r="Q261" s="3"/>
      <c r="R261" s="3"/>
      <c r="S261" s="3"/>
      <c r="T261" s="3"/>
      <c r="U261" s="3"/>
      <c r="V261" s="3"/>
      <c r="W261" s="27" t="str">
        <f>IF((+K261+L261+M261+P261+T261+U261+V261)-H261=0,"OK",(+K261+L261+M261+P261+T261+U261+V261)-H261)</f>
        <v>OK</v>
      </c>
      <c r="X261" s="3"/>
      <c r="Y261" s="3"/>
      <c r="Z261" s="3"/>
      <c r="AA261" s="3"/>
      <c r="AB261" s="3"/>
      <c r="AC261" s="3"/>
    </row>
    <row r="262" spans="1:29" x14ac:dyDescent="0.2">
      <c r="A262" s="3">
        <f t="shared" si="163"/>
        <v>10</v>
      </c>
      <c r="B262" s="3"/>
      <c r="C262" s="3" t="s">
        <v>126</v>
      </c>
      <c r="D262" s="78"/>
      <c r="E262" s="4"/>
      <c r="F262" s="4"/>
      <c r="G262" s="4"/>
      <c r="H262" s="8"/>
      <c r="I262" s="8"/>
      <c r="J262" s="8"/>
      <c r="K262" s="8"/>
      <c r="L262" s="8"/>
      <c r="M262" s="3"/>
      <c r="N262" s="3"/>
      <c r="O262" s="3"/>
      <c r="P262" s="9">
        <f t="shared" si="139"/>
        <v>0</v>
      </c>
      <c r="Q262" s="3"/>
      <c r="R262" s="3"/>
      <c r="S262" s="3"/>
      <c r="T262" s="3"/>
      <c r="U262" s="3"/>
      <c r="V262" s="3"/>
      <c r="W262" s="27" t="str">
        <f>IF((+K262+L262+M262+P262+T262+U262+V262)-H262=0,"OK",(+K262+L262+M262+P262+T262+U262+V262)-H262)</f>
        <v>OK</v>
      </c>
      <c r="X262" s="3"/>
      <c r="Y262" s="3"/>
      <c r="Z262" s="3"/>
      <c r="AA262" s="3"/>
      <c r="AB262" s="3"/>
      <c r="AC262" s="3"/>
    </row>
    <row r="263" spans="1:29" x14ac:dyDescent="0.2">
      <c r="A263" s="3">
        <f t="shared" si="163"/>
        <v>11</v>
      </c>
      <c r="B263" s="3"/>
      <c r="C263" s="3"/>
      <c r="D263" s="78"/>
      <c r="E263" s="4"/>
      <c r="F263" s="4"/>
      <c r="G263" s="4"/>
      <c r="H263" s="2"/>
      <c r="I263" s="66"/>
      <c r="J263" s="66"/>
      <c r="K263" s="12"/>
      <c r="L263" s="12"/>
      <c r="M263" s="9"/>
      <c r="N263" s="12"/>
      <c r="O263" s="12"/>
      <c r="P263" s="9">
        <f t="shared" si="139"/>
        <v>0</v>
      </c>
      <c r="Q263" s="12"/>
      <c r="R263" s="12"/>
      <c r="S263" s="12"/>
      <c r="T263" s="12"/>
      <c r="U263" s="12"/>
      <c r="V263" s="12"/>
      <c r="W263" s="27"/>
      <c r="X263" s="3"/>
      <c r="Y263" s="3"/>
      <c r="Z263" s="3"/>
      <c r="AA263" s="3"/>
      <c r="AB263" s="3"/>
      <c r="AC263" s="3"/>
    </row>
    <row r="264" spans="1:29" x14ac:dyDescent="0.2">
      <c r="A264" s="3">
        <f t="shared" si="163"/>
        <v>12</v>
      </c>
      <c r="B264" s="3" t="s">
        <v>127</v>
      </c>
      <c r="C264" s="3" t="s">
        <v>558</v>
      </c>
      <c r="D264" s="78" t="s">
        <v>313</v>
      </c>
      <c r="E264" s="4" t="s">
        <v>591</v>
      </c>
      <c r="F264" s="11"/>
      <c r="G264" s="78"/>
      <c r="H264" s="2">
        <f>'II-I TOTAL COMPANY'!L264</f>
        <v>2797003.5603498793</v>
      </c>
      <c r="I264" s="66">
        <v>0</v>
      </c>
      <c r="J264" s="66">
        <f t="shared" ref="J264:J266" ca="1" si="169">SUM(K264:V264)-M264-P264</f>
        <v>2797003.5603498789</v>
      </c>
      <c r="K264" s="12">
        <f ca="1">VLOOKUP($D264,$E$741:$V$815,K$1,FALSE)*$H264</f>
        <v>1311254.2145194144</v>
      </c>
      <c r="L264" s="12">
        <f ca="1">VLOOKUP($D264,$E$741:$V$815,L$1,FALSE)*$H264</f>
        <v>249152.34988379903</v>
      </c>
      <c r="M264" s="9">
        <f ca="1">SUM(N264:O264)</f>
        <v>989118.05945381371</v>
      </c>
      <c r="N264" s="12">
        <f ca="1">VLOOKUP($D264,$E$741:$V$815,N$1,FALSE)*$H264</f>
        <v>19296.962755274122</v>
      </c>
      <c r="O264" s="12">
        <f ca="1">VLOOKUP($D264,$E$741:$V$815,O$1,FALSE)*$H264</f>
        <v>969821.09669853956</v>
      </c>
      <c r="P264" s="9">
        <f t="shared" ca="1" si="139"/>
        <v>133021.12084555486</v>
      </c>
      <c r="Q264" s="12">
        <f t="shared" ref="Q264:V265" ca="1" si="170">VLOOKUP($D264,$E$741:$V$815,Q$1,FALSE)*$H264</f>
        <v>57446.506147850123</v>
      </c>
      <c r="R264" s="12">
        <f t="shared" ca="1" si="170"/>
        <v>67367.970962297579</v>
      </c>
      <c r="S264" s="12">
        <f t="shared" ca="1" si="170"/>
        <v>8206.6437354071586</v>
      </c>
      <c r="T264" s="12">
        <f t="shared" ca="1" si="170"/>
        <v>112130.55846859947</v>
      </c>
      <c r="U264" s="12">
        <f t="shared" ca="1" si="170"/>
        <v>0</v>
      </c>
      <c r="V264" s="12">
        <f t="shared" ca="1" si="170"/>
        <v>2327.2571786975536</v>
      </c>
      <c r="W264" s="27">
        <f t="shared" ref="W264:W327" ca="1" si="171">IF((+K264+L264+M264+P264+T264+U264+V264)-H264=0,"OK",(+K264+L264+M264+P264+T264+U264+V264)-H264)</f>
        <v>-4.6566128730773926E-10</v>
      </c>
      <c r="X264" s="3"/>
      <c r="Y264" s="3"/>
      <c r="Z264" s="3"/>
      <c r="AA264" s="3"/>
      <c r="AB264" s="3"/>
      <c r="AC264" s="3"/>
    </row>
    <row r="265" spans="1:29" x14ac:dyDescent="0.2">
      <c r="A265" s="3">
        <f t="shared" si="163"/>
        <v>13</v>
      </c>
      <c r="B265" s="3" t="s">
        <v>128</v>
      </c>
      <c r="C265" s="3" t="s">
        <v>559</v>
      </c>
      <c r="D265" s="78" t="s">
        <v>313</v>
      </c>
      <c r="E265" s="4" t="s">
        <v>591</v>
      </c>
      <c r="F265" s="11"/>
      <c r="G265" s="78"/>
      <c r="H265" s="2">
        <f>'II-I TOTAL COMPANY'!L265</f>
        <v>0</v>
      </c>
      <c r="I265" s="66">
        <v>0</v>
      </c>
      <c r="J265" s="66">
        <f t="shared" ca="1" si="169"/>
        <v>0</v>
      </c>
      <c r="K265" s="12">
        <f ca="1">VLOOKUP($D265,$E$741:$V$815,K$1,FALSE)*$H265</f>
        <v>0</v>
      </c>
      <c r="L265" s="12">
        <f ca="1">VLOOKUP($D265,$E$741:$V$815,L$1,FALSE)*$H265</f>
        <v>0</v>
      </c>
      <c r="M265" s="9">
        <f ca="1">SUM(N265:O265)</f>
        <v>0</v>
      </c>
      <c r="N265" s="12">
        <f ca="1">VLOOKUP($D265,$E$741:$V$815,N$1,FALSE)*$H265</f>
        <v>0</v>
      </c>
      <c r="O265" s="12">
        <f ca="1">VLOOKUP($D265,$E$741:$V$815,O$1,FALSE)*$H265</f>
        <v>0</v>
      </c>
      <c r="P265" s="9">
        <f t="shared" ca="1" si="139"/>
        <v>0</v>
      </c>
      <c r="Q265" s="12">
        <f t="shared" ca="1" si="170"/>
        <v>0</v>
      </c>
      <c r="R265" s="12">
        <f t="shared" ca="1" si="170"/>
        <v>0</v>
      </c>
      <c r="S265" s="12">
        <f t="shared" ca="1" si="170"/>
        <v>0</v>
      </c>
      <c r="T265" s="12">
        <f t="shared" ca="1" si="170"/>
        <v>0</v>
      </c>
      <c r="U265" s="12">
        <f t="shared" ca="1" si="170"/>
        <v>0</v>
      </c>
      <c r="V265" s="12">
        <f t="shared" ca="1" si="170"/>
        <v>0</v>
      </c>
      <c r="W265" s="27" t="str">
        <f t="shared" ca="1" si="171"/>
        <v>OK</v>
      </c>
      <c r="X265" s="3"/>
      <c r="Y265" s="3"/>
      <c r="Z265" s="3"/>
      <c r="AA265" s="3"/>
      <c r="AB265" s="3"/>
      <c r="AC265" s="3"/>
    </row>
    <row r="266" spans="1:29" x14ac:dyDescent="0.2">
      <c r="A266" s="3">
        <f t="shared" si="163"/>
        <v>14</v>
      </c>
      <c r="B266" s="3"/>
      <c r="C266" s="3" t="s">
        <v>129</v>
      </c>
      <c r="D266" s="78"/>
      <c r="E266" s="4"/>
      <c r="F266" s="179"/>
      <c r="G266" s="179"/>
      <c r="H266" s="179">
        <f t="shared" ref="H266:V266" si="172">SUM(H263:H265)</f>
        <v>2797003.5603498793</v>
      </c>
      <c r="I266" s="179">
        <f t="shared" si="172"/>
        <v>0</v>
      </c>
      <c r="J266" s="66">
        <f t="shared" ca="1" si="169"/>
        <v>2797003.5603498789</v>
      </c>
      <c r="K266" s="179">
        <f t="shared" ca="1" si="172"/>
        <v>1311254.2145194144</v>
      </c>
      <c r="L266" s="179">
        <f t="shared" ca="1" si="172"/>
        <v>249152.34988379903</v>
      </c>
      <c r="M266" s="9">
        <f ca="1">SUM(N266:O266)</f>
        <v>989118.05945381371</v>
      </c>
      <c r="N266" s="179">
        <f t="shared" ca="1" si="172"/>
        <v>19296.962755274122</v>
      </c>
      <c r="O266" s="179">
        <f t="shared" ca="1" si="172"/>
        <v>969821.09669853956</v>
      </c>
      <c r="P266" s="9">
        <f t="shared" ca="1" si="139"/>
        <v>133021.12084555486</v>
      </c>
      <c r="Q266" s="179">
        <f t="shared" ca="1" si="172"/>
        <v>57446.506147850123</v>
      </c>
      <c r="R266" s="179">
        <f t="shared" ca="1" si="172"/>
        <v>67367.970962297579</v>
      </c>
      <c r="S266" s="179">
        <f ca="1">SUM(S263:S265)</f>
        <v>8206.6437354071586</v>
      </c>
      <c r="T266" s="179">
        <f t="shared" ca="1" si="172"/>
        <v>112130.55846859947</v>
      </c>
      <c r="U266" s="179">
        <f t="shared" ca="1" si="172"/>
        <v>0</v>
      </c>
      <c r="V266" s="179">
        <f t="shared" ca="1" si="172"/>
        <v>2327.2571786975536</v>
      </c>
      <c r="W266" s="27">
        <f t="shared" ca="1" si="171"/>
        <v>-4.6566128730773926E-10</v>
      </c>
      <c r="X266" s="3"/>
      <c r="Y266" s="3"/>
      <c r="Z266" s="3"/>
      <c r="AA266" s="3"/>
      <c r="AB266" s="3"/>
      <c r="AC266" s="3"/>
    </row>
    <row r="267" spans="1:29" x14ac:dyDescent="0.2">
      <c r="A267" s="3">
        <f t="shared" si="163"/>
        <v>15</v>
      </c>
      <c r="B267" s="3"/>
      <c r="C267" s="3"/>
      <c r="D267" s="78"/>
      <c r="E267" s="4"/>
      <c r="F267" s="4"/>
      <c r="G267" s="4"/>
      <c r="H267" s="2"/>
      <c r="I267" s="66"/>
      <c r="J267" s="66"/>
      <c r="K267" s="12"/>
      <c r="L267" s="12"/>
      <c r="M267" s="3"/>
      <c r="N267" s="3"/>
      <c r="O267" s="3"/>
      <c r="P267" s="9">
        <f t="shared" si="139"/>
        <v>0</v>
      </c>
      <c r="Q267" s="3"/>
      <c r="R267" s="3"/>
      <c r="S267" s="3"/>
      <c r="T267" s="3"/>
      <c r="U267" s="3"/>
      <c r="V267" s="3"/>
      <c r="W267" s="27" t="str">
        <f t="shared" si="171"/>
        <v>OK</v>
      </c>
      <c r="X267" s="3"/>
      <c r="Y267" s="3"/>
      <c r="Z267" s="3"/>
      <c r="AA267" s="3"/>
      <c r="AB267" s="3"/>
      <c r="AC267" s="3"/>
    </row>
    <row r="268" spans="1:29" x14ac:dyDescent="0.2">
      <c r="A268" s="3">
        <f t="shared" si="163"/>
        <v>16</v>
      </c>
      <c r="B268" s="7" t="s">
        <v>130</v>
      </c>
      <c r="C268" s="3"/>
      <c r="D268" s="78"/>
      <c r="E268" s="4"/>
      <c r="F268" s="4"/>
      <c r="G268" s="4"/>
      <c r="H268" s="2"/>
      <c r="I268" s="66"/>
      <c r="J268" s="66"/>
      <c r="K268" s="12"/>
      <c r="L268" s="12"/>
      <c r="M268" s="3"/>
      <c r="N268" s="3"/>
      <c r="O268" s="3"/>
      <c r="P268" s="9">
        <f t="shared" si="139"/>
        <v>0</v>
      </c>
      <c r="Q268" s="3"/>
      <c r="R268" s="3"/>
      <c r="S268" s="3"/>
      <c r="T268" s="3"/>
      <c r="U268" s="3"/>
      <c r="V268" s="3"/>
      <c r="W268" s="27" t="str">
        <f t="shared" si="171"/>
        <v>OK</v>
      </c>
      <c r="X268" s="3"/>
      <c r="Y268" s="3"/>
      <c r="Z268" s="3"/>
      <c r="AA268" s="3"/>
      <c r="AB268" s="3"/>
      <c r="AC268" s="3"/>
    </row>
    <row r="269" spans="1:29" x14ac:dyDescent="0.2">
      <c r="A269" s="3">
        <f t="shared" si="163"/>
        <v>17</v>
      </c>
      <c r="B269" s="3"/>
      <c r="C269" s="3"/>
      <c r="D269" s="78"/>
      <c r="E269" s="4"/>
      <c r="F269" s="4"/>
      <c r="G269" s="4"/>
      <c r="H269" s="2"/>
      <c r="I269" s="66"/>
      <c r="J269" s="66"/>
      <c r="K269" s="12"/>
      <c r="L269" s="12"/>
      <c r="M269" s="3"/>
      <c r="N269" s="3"/>
      <c r="O269" s="3"/>
      <c r="P269" s="9">
        <f t="shared" si="139"/>
        <v>0</v>
      </c>
      <c r="Q269" s="3"/>
      <c r="R269" s="3"/>
      <c r="S269" s="3"/>
      <c r="T269" s="3"/>
      <c r="U269" s="3"/>
      <c r="V269" s="3"/>
      <c r="W269" s="27" t="str">
        <f t="shared" si="171"/>
        <v>OK</v>
      </c>
      <c r="X269" s="3"/>
      <c r="Y269" s="3"/>
      <c r="Z269" s="3"/>
      <c r="AA269" s="3"/>
      <c r="AB269" s="3"/>
      <c r="AC269" s="3"/>
    </row>
    <row r="270" spans="1:29" x14ac:dyDescent="0.2">
      <c r="A270" s="3">
        <f t="shared" si="163"/>
        <v>18</v>
      </c>
      <c r="B270" s="3"/>
      <c r="C270" s="3" t="s">
        <v>560</v>
      </c>
      <c r="D270" s="78" t="s">
        <v>476</v>
      </c>
      <c r="E270" s="4" t="s">
        <v>591</v>
      </c>
      <c r="F270" s="11"/>
      <c r="G270" s="78"/>
      <c r="H270" s="2">
        <f>'II-I TOTAL COMPANY'!L270</f>
        <v>-467377.97637930699</v>
      </c>
      <c r="I270" s="66">
        <v>0</v>
      </c>
      <c r="J270" s="66">
        <f t="shared" ref="J270:J271" ca="1" si="173">SUM(K270:V270)-M270-P270</f>
        <v>-467377.97637930699</v>
      </c>
      <c r="K270" s="12">
        <f ca="1">VLOOKUP($D270,$E$741:$V$815,K$1,FALSE)*$H270</f>
        <v>-219109.96109860501</v>
      </c>
      <c r="L270" s="12">
        <f ca="1">VLOOKUP($D270,$E$741:$V$815,L$1,FALSE)*$H270</f>
        <v>-41633.240210917887</v>
      </c>
      <c r="M270" s="9">
        <f ca="1">SUM(N270:O270)</f>
        <v>-165281.16144761795</v>
      </c>
      <c r="N270" s="12">
        <f ca="1">VLOOKUP($D270,$E$741:$V$815,N$1,FALSE)*$H270</f>
        <v>-3224.5133794891167</v>
      </c>
      <c r="O270" s="12">
        <f ca="1">VLOOKUP($D270,$E$741:$V$815,O$1,FALSE)*$H270</f>
        <v>-162056.64806812882</v>
      </c>
      <c r="P270" s="9">
        <f t="shared" ca="1" si="139"/>
        <v>-22227.766584868299</v>
      </c>
      <c r="Q270" s="12">
        <f t="shared" ref="Q270:V270" ca="1" si="174">VLOOKUP($D270,$E$741:$V$815,Q$1,FALSE)*$H270</f>
        <v>-9599.2840960434914</v>
      </c>
      <c r="R270" s="12">
        <f t="shared" ca="1" si="174"/>
        <v>-11257.156189390022</v>
      </c>
      <c r="S270" s="12">
        <f t="shared" ca="1" si="174"/>
        <v>-1371.3262994347845</v>
      </c>
      <c r="T270" s="12">
        <f t="shared" ca="1" si="174"/>
        <v>-18736.963459846262</v>
      </c>
      <c r="U270" s="12">
        <f t="shared" ca="1" si="174"/>
        <v>0</v>
      </c>
      <c r="V270" s="12">
        <f t="shared" ca="1" si="174"/>
        <v>-388.8835774516553</v>
      </c>
      <c r="W270" s="27">
        <f t="shared" ca="1" si="171"/>
        <v>-1.1641532182693481E-10</v>
      </c>
      <c r="X270" s="3"/>
      <c r="Y270" s="3"/>
      <c r="Z270" s="3"/>
      <c r="AA270" s="3"/>
      <c r="AB270" s="3"/>
      <c r="AC270" s="3"/>
    </row>
    <row r="271" spans="1:29" x14ac:dyDescent="0.2">
      <c r="A271" s="3">
        <f t="shared" si="163"/>
        <v>19</v>
      </c>
      <c r="B271" s="3"/>
      <c r="C271" s="3"/>
      <c r="D271" s="78"/>
      <c r="E271" s="4"/>
      <c r="F271" s="4"/>
      <c r="G271" s="4"/>
      <c r="H271" s="2"/>
      <c r="I271" s="66">
        <v>0</v>
      </c>
      <c r="J271" s="66">
        <f t="shared" si="173"/>
        <v>0</v>
      </c>
      <c r="K271" s="12"/>
      <c r="L271" s="12"/>
      <c r="M271" s="3"/>
      <c r="N271" s="3"/>
      <c r="O271" s="3"/>
      <c r="P271" s="9">
        <f t="shared" si="139"/>
        <v>0</v>
      </c>
      <c r="Q271" s="3"/>
      <c r="R271" s="3"/>
      <c r="S271" s="3"/>
      <c r="T271" s="3"/>
      <c r="U271" s="3"/>
      <c r="V271" s="3"/>
      <c r="W271" s="27" t="str">
        <f t="shared" si="171"/>
        <v>OK</v>
      </c>
      <c r="X271" s="3"/>
      <c r="Y271" s="3"/>
      <c r="Z271" s="3"/>
      <c r="AA271" s="3"/>
      <c r="AB271" s="3"/>
      <c r="AC271" s="3"/>
    </row>
    <row r="272" spans="1:29" x14ac:dyDescent="0.2">
      <c r="A272" s="3">
        <f t="shared" si="163"/>
        <v>20</v>
      </c>
      <c r="B272" s="3"/>
      <c r="C272" s="3"/>
      <c r="D272" s="78"/>
      <c r="E272" s="4"/>
      <c r="F272" s="4"/>
      <c r="G272" s="4"/>
      <c r="H272" s="2"/>
      <c r="I272" s="66"/>
      <c r="J272" s="66"/>
      <c r="K272" s="12"/>
      <c r="L272" s="12"/>
      <c r="M272" s="3"/>
      <c r="N272" s="3"/>
      <c r="O272" s="3"/>
      <c r="P272" s="9">
        <f t="shared" si="139"/>
        <v>0</v>
      </c>
      <c r="Q272" s="3"/>
      <c r="R272" s="3"/>
      <c r="S272" s="3"/>
      <c r="T272" s="3"/>
      <c r="U272" s="3"/>
      <c r="V272" s="3"/>
      <c r="W272" s="27" t="str">
        <f t="shared" si="171"/>
        <v>OK</v>
      </c>
      <c r="X272" s="3"/>
      <c r="Y272" s="3"/>
      <c r="Z272" s="3"/>
      <c r="AA272" s="3"/>
      <c r="AB272" s="3"/>
      <c r="AC272" s="3"/>
    </row>
    <row r="273" spans="1:29" x14ac:dyDescent="0.2">
      <c r="A273" s="3">
        <f t="shared" si="163"/>
        <v>21</v>
      </c>
      <c r="B273" s="3"/>
      <c r="C273" s="3"/>
      <c r="D273" s="78"/>
      <c r="E273" s="4"/>
      <c r="F273" s="4"/>
      <c r="G273" s="4"/>
      <c r="H273" s="2"/>
      <c r="I273" s="66"/>
      <c r="J273" s="66"/>
      <c r="K273" s="12"/>
      <c r="L273" s="12"/>
      <c r="M273" s="3"/>
      <c r="N273" s="3"/>
      <c r="O273" s="3"/>
      <c r="P273" s="9">
        <f t="shared" si="139"/>
        <v>0</v>
      </c>
      <c r="Q273" s="3"/>
      <c r="R273" s="3"/>
      <c r="S273" s="3"/>
      <c r="T273" s="3"/>
      <c r="U273" s="3"/>
      <c r="V273" s="3"/>
      <c r="W273" s="27" t="str">
        <f t="shared" si="171"/>
        <v>OK</v>
      </c>
      <c r="X273" s="3"/>
      <c r="Y273" s="3"/>
      <c r="Z273" s="3"/>
      <c r="AA273" s="3"/>
      <c r="AB273" s="3"/>
      <c r="AC273" s="3"/>
    </row>
    <row r="274" spans="1:29" x14ac:dyDescent="0.2">
      <c r="A274" s="3">
        <f t="shared" si="163"/>
        <v>22</v>
      </c>
      <c r="B274" s="7" t="s">
        <v>131</v>
      </c>
      <c r="C274" s="3"/>
      <c r="D274" s="78"/>
      <c r="E274" s="4"/>
      <c r="F274" s="4"/>
      <c r="G274" s="4"/>
      <c r="H274" s="2"/>
      <c r="I274" s="66"/>
      <c r="J274" s="66"/>
      <c r="K274" s="12"/>
      <c r="L274" s="12"/>
      <c r="M274" s="3"/>
      <c r="N274" s="3"/>
      <c r="O274" s="3"/>
      <c r="P274" s="9">
        <f t="shared" si="139"/>
        <v>0</v>
      </c>
      <c r="Q274" s="3"/>
      <c r="R274" s="3"/>
      <c r="S274" s="3"/>
      <c r="T274" s="3"/>
      <c r="U274" s="3"/>
      <c r="V274" s="3"/>
      <c r="W274" s="27" t="str">
        <f t="shared" si="171"/>
        <v>OK</v>
      </c>
      <c r="X274" s="3"/>
      <c r="Y274" s="3"/>
      <c r="Z274" s="3"/>
      <c r="AA274" s="3"/>
      <c r="AB274" s="3"/>
      <c r="AC274" s="3"/>
    </row>
    <row r="275" spans="1:29" x14ac:dyDescent="0.2">
      <c r="A275" s="3">
        <f t="shared" si="163"/>
        <v>23</v>
      </c>
      <c r="B275" s="3"/>
      <c r="C275" s="3"/>
      <c r="D275" s="78"/>
      <c r="E275" s="4"/>
      <c r="F275" s="4"/>
      <c r="G275" s="4"/>
      <c r="H275" s="2"/>
      <c r="I275" s="66"/>
      <c r="J275" s="66"/>
      <c r="K275" s="12"/>
      <c r="L275" s="12"/>
      <c r="M275" s="3"/>
      <c r="N275" s="3"/>
      <c r="O275" s="3"/>
      <c r="P275" s="9">
        <f t="shared" si="139"/>
        <v>0</v>
      </c>
      <c r="Q275" s="3"/>
      <c r="R275" s="3"/>
      <c r="S275" s="3"/>
      <c r="T275" s="3"/>
      <c r="U275" s="3"/>
      <c r="V275" s="3"/>
      <c r="W275" s="27" t="str">
        <f t="shared" si="171"/>
        <v>OK</v>
      </c>
      <c r="X275" s="3"/>
      <c r="Y275" s="3"/>
      <c r="Z275" s="3"/>
      <c r="AA275" s="3"/>
      <c r="AB275" s="3"/>
      <c r="AC275" s="3"/>
    </row>
    <row r="276" spans="1:29" x14ac:dyDescent="0.2">
      <c r="A276" s="3">
        <f t="shared" si="163"/>
        <v>24</v>
      </c>
      <c r="B276" s="3" t="s">
        <v>132</v>
      </c>
      <c r="C276" s="3" t="s">
        <v>561</v>
      </c>
      <c r="D276" s="78" t="s">
        <v>313</v>
      </c>
      <c r="E276" s="4" t="s">
        <v>591</v>
      </c>
      <c r="F276" s="11"/>
      <c r="G276" s="78"/>
      <c r="H276" s="2">
        <f>'II-I TOTAL COMPANY'!L276</f>
        <v>12780986.103487629</v>
      </c>
      <c r="I276" s="66">
        <v>0</v>
      </c>
      <c r="J276" s="66">
        <f t="shared" ref="J276" ca="1" si="175">SUM(K276:V276)-M276-P276</f>
        <v>12780986.103487622</v>
      </c>
      <c r="K276" s="12">
        <f ca="1">VLOOKUP($D276,$E$741:$V$815,K$1,FALSE)*$H276</f>
        <v>5991812.8569760602</v>
      </c>
      <c r="L276" s="12">
        <f ca="1">VLOOKUP($D276,$E$741:$V$815,L$1,FALSE)*$H276</f>
        <v>1138508.6406961107</v>
      </c>
      <c r="M276" s="9">
        <f ca="1">SUM(N276:O276)</f>
        <v>4519802.6744758449</v>
      </c>
      <c r="N276" s="12">
        <f ca="1">VLOOKUP($D276,$E$741:$V$815,N$1,FALSE)*$H276</f>
        <v>88178.011751913975</v>
      </c>
      <c r="O276" s="12">
        <f ca="1">VLOOKUP($D276,$E$741:$V$815,O$1,FALSE)*$H276</f>
        <v>4431624.6627239306</v>
      </c>
      <c r="P276" s="9">
        <f t="shared" ref="P276:P339" ca="1" si="176">SUM(Q276:S276)</f>
        <v>607843.7371687555</v>
      </c>
      <c r="Q276" s="12">
        <f t="shared" ref="Q276:V276" ca="1" si="177">VLOOKUP($D276,$E$741:$V$815,Q$1,FALSE)*$H276</f>
        <v>262503.41872205003</v>
      </c>
      <c r="R276" s="12">
        <f t="shared" ca="1" si="177"/>
        <v>307839.83005784114</v>
      </c>
      <c r="S276" s="12">
        <f t="shared" ca="1" si="177"/>
        <v>37500.48838886428</v>
      </c>
      <c r="T276" s="12">
        <f t="shared" ca="1" si="177"/>
        <v>512383.72731431358</v>
      </c>
      <c r="U276" s="12">
        <f t="shared" ca="1" si="177"/>
        <v>0</v>
      </c>
      <c r="V276" s="12">
        <f t="shared" ca="1" si="177"/>
        <v>10634.466856543608</v>
      </c>
      <c r="W276" s="27">
        <f t="shared" ca="1" si="171"/>
        <v>-1.862645149230957E-9</v>
      </c>
      <c r="X276" s="3"/>
      <c r="Y276" s="3"/>
      <c r="Z276" s="3"/>
      <c r="AA276" s="3"/>
      <c r="AB276" s="3"/>
      <c r="AC276" s="3"/>
    </row>
    <row r="277" spans="1:29" x14ac:dyDescent="0.2">
      <c r="A277" s="3">
        <f t="shared" si="163"/>
        <v>25</v>
      </c>
      <c r="B277" s="3"/>
      <c r="C277" s="3"/>
      <c r="D277" s="78"/>
      <c r="E277" s="4"/>
      <c r="F277" s="4"/>
      <c r="G277" s="4"/>
      <c r="H277" s="2"/>
      <c r="I277" s="66"/>
      <c r="J277" s="66"/>
      <c r="K277" s="12"/>
      <c r="L277" s="12"/>
      <c r="M277" s="3"/>
      <c r="N277" s="3"/>
      <c r="O277" s="3"/>
      <c r="P277" s="9">
        <f t="shared" si="176"/>
        <v>0</v>
      </c>
      <c r="Q277" s="3"/>
      <c r="R277" s="3"/>
      <c r="S277" s="3"/>
      <c r="T277" s="3"/>
      <c r="U277" s="3"/>
      <c r="V277" s="3"/>
      <c r="W277" s="27" t="str">
        <f t="shared" si="171"/>
        <v>OK</v>
      </c>
      <c r="X277" s="3"/>
      <c r="Y277" s="3"/>
      <c r="Z277" s="3"/>
      <c r="AA277" s="3"/>
      <c r="AB277" s="3"/>
      <c r="AC277" s="3"/>
    </row>
    <row r="278" spans="1:29" x14ac:dyDescent="0.2">
      <c r="A278" s="3">
        <f t="shared" si="163"/>
        <v>26</v>
      </c>
      <c r="B278" s="3"/>
      <c r="C278" s="3"/>
      <c r="D278" s="78"/>
      <c r="E278" s="4"/>
      <c r="F278" s="4"/>
      <c r="G278" s="4"/>
      <c r="H278" s="2"/>
      <c r="I278" s="66"/>
      <c r="J278" s="66"/>
      <c r="K278" s="12"/>
      <c r="L278" s="12"/>
      <c r="M278" s="3"/>
      <c r="N278" s="3"/>
      <c r="O278" s="3"/>
      <c r="P278" s="9">
        <f t="shared" si="176"/>
        <v>0</v>
      </c>
      <c r="Q278" s="3"/>
      <c r="R278" s="3"/>
      <c r="S278" s="3"/>
      <c r="T278" s="3"/>
      <c r="U278" s="3"/>
      <c r="V278" s="3"/>
      <c r="W278" s="27" t="str">
        <f t="shared" si="171"/>
        <v>OK</v>
      </c>
      <c r="X278" s="3"/>
      <c r="Y278" s="3"/>
      <c r="Z278" s="3"/>
      <c r="AA278" s="3"/>
      <c r="AB278" s="3"/>
      <c r="AC278" s="3"/>
    </row>
    <row r="279" spans="1:29" x14ac:dyDescent="0.2">
      <c r="A279" s="3">
        <f t="shared" si="163"/>
        <v>27</v>
      </c>
      <c r="B279" s="3"/>
      <c r="C279" s="3"/>
      <c r="D279" s="78"/>
      <c r="E279" s="4"/>
      <c r="F279" s="4"/>
      <c r="G279" s="4"/>
      <c r="H279" s="2"/>
      <c r="I279" s="66"/>
      <c r="J279" s="66"/>
      <c r="K279" s="12"/>
      <c r="L279" s="12"/>
      <c r="M279" s="3"/>
      <c r="N279" s="3"/>
      <c r="O279" s="3"/>
      <c r="P279" s="9">
        <f t="shared" si="176"/>
        <v>0</v>
      </c>
      <c r="Q279" s="3"/>
      <c r="R279" s="3"/>
      <c r="S279" s="3"/>
      <c r="T279" s="3"/>
      <c r="U279" s="3"/>
      <c r="V279" s="3"/>
      <c r="W279" s="27" t="str">
        <f t="shared" si="171"/>
        <v>OK</v>
      </c>
      <c r="X279" s="3"/>
      <c r="Y279" s="3"/>
      <c r="Z279" s="3"/>
      <c r="AA279" s="3"/>
      <c r="AB279" s="3"/>
      <c r="AC279" s="3"/>
    </row>
    <row r="280" spans="1:29" x14ac:dyDescent="0.2">
      <c r="A280" s="3">
        <f t="shared" si="163"/>
        <v>28</v>
      </c>
      <c r="B280" s="7" t="s">
        <v>133</v>
      </c>
      <c r="C280" s="3"/>
      <c r="D280" s="78"/>
      <c r="E280" s="4"/>
      <c r="F280" s="4"/>
      <c r="G280" s="4"/>
      <c r="H280" s="2"/>
      <c r="I280" s="76"/>
      <c r="J280" s="76"/>
      <c r="K280" s="45"/>
      <c r="L280" s="45"/>
      <c r="M280" s="45"/>
      <c r="N280" s="45"/>
      <c r="O280" s="45"/>
      <c r="P280" s="9">
        <f t="shared" si="176"/>
        <v>0</v>
      </c>
      <c r="Q280" s="45"/>
      <c r="R280" s="45"/>
      <c r="S280" s="45"/>
      <c r="T280" s="45"/>
      <c r="U280" s="45"/>
      <c r="V280" s="45"/>
      <c r="W280" s="27" t="str">
        <f t="shared" si="171"/>
        <v>OK</v>
      </c>
      <c r="X280" s="3"/>
      <c r="Y280" s="3"/>
      <c r="Z280" s="3"/>
      <c r="AA280" s="3"/>
      <c r="AB280" s="3"/>
      <c r="AC280" s="3"/>
    </row>
    <row r="281" spans="1:29" x14ac:dyDescent="0.2">
      <c r="A281" s="3">
        <f t="shared" si="163"/>
        <v>29</v>
      </c>
      <c r="B281" s="7" t="s">
        <v>584</v>
      </c>
      <c r="C281" s="3"/>
      <c r="D281" s="78"/>
      <c r="E281" s="4"/>
      <c r="F281" s="4"/>
      <c r="G281" s="4"/>
      <c r="H281" s="180"/>
      <c r="I281" s="181"/>
      <c r="J281" s="181"/>
      <c r="K281" s="181"/>
      <c r="L281" s="181"/>
      <c r="M281" s="181"/>
      <c r="N281" s="181"/>
      <c r="O281" s="181"/>
      <c r="P281" s="9">
        <f t="shared" si="176"/>
        <v>0</v>
      </c>
      <c r="Q281" s="181"/>
      <c r="R281" s="181"/>
      <c r="S281" s="181"/>
      <c r="T281" s="181"/>
      <c r="U281" s="181"/>
      <c r="V281" s="181"/>
      <c r="W281" s="27" t="str">
        <f t="shared" si="171"/>
        <v>OK</v>
      </c>
      <c r="X281" s="3"/>
      <c r="Y281" s="3"/>
      <c r="Z281" s="3"/>
      <c r="AA281" s="3"/>
      <c r="AB281" s="3"/>
      <c r="AC281" s="3"/>
    </row>
    <row r="282" spans="1:29" x14ac:dyDescent="0.2">
      <c r="A282" s="3">
        <f t="shared" si="163"/>
        <v>30</v>
      </c>
      <c r="B282" s="140" t="s">
        <v>803</v>
      </c>
      <c r="C282" s="140" t="s">
        <v>804</v>
      </c>
      <c r="D282" s="78" t="s">
        <v>331</v>
      </c>
      <c r="E282" s="4" t="s">
        <v>591</v>
      </c>
      <c r="F282" s="4"/>
      <c r="G282" s="11"/>
      <c r="H282" s="2">
        <f>'II-I TOTAL COMPANY'!L282</f>
        <v>-384476.38556487835</v>
      </c>
      <c r="I282" s="66">
        <v>0</v>
      </c>
      <c r="J282" s="66">
        <f t="shared" ref="J282:J292" si="178">SUM(K282:V282)-M282-P282</f>
        <v>-384476.38556487835</v>
      </c>
      <c r="K282" s="12">
        <f t="shared" ref="K282:L291" si="179">VLOOKUP($D282,$E$741:$V$815,K$1,FALSE)*$H282</f>
        <v>-180245.13379313471</v>
      </c>
      <c r="L282" s="12">
        <f t="shared" si="179"/>
        <v>-34248.506614820384</v>
      </c>
      <c r="M282" s="9">
        <f t="shared" ref="M282:M291" si="180">SUM(N282:O282)</f>
        <v>-135964.26611204518</v>
      </c>
      <c r="N282" s="12">
        <f t="shared" ref="N282:O291" si="181">VLOOKUP($D282,$E$741:$V$815,N$1,FALSE)*$H282</f>
        <v>-2652.5624056051597</v>
      </c>
      <c r="O282" s="12">
        <f t="shared" si="181"/>
        <v>-133311.70370644002</v>
      </c>
      <c r="P282" s="9">
        <f t="shared" ref="P282:P291" si="182">SUM(Q282:S282)</f>
        <v>-18285.096405129443</v>
      </c>
      <c r="Q282" s="12">
        <f t="shared" ref="Q282:V291" si="183">VLOOKUP($D282,$E$741:$V$815,Q$1,FALSE)*$H282</f>
        <v>-7896.6024070034164</v>
      </c>
      <c r="R282" s="12">
        <f t="shared" si="183"/>
        <v>-9260.4079399826842</v>
      </c>
      <c r="S282" s="12">
        <f t="shared" si="183"/>
        <v>-1128.0860581433451</v>
      </c>
      <c r="T282" s="12">
        <f t="shared" si="183"/>
        <v>-15413.477638185606</v>
      </c>
      <c r="U282" s="12">
        <f t="shared" si="183"/>
        <v>0</v>
      </c>
      <c r="V282" s="12">
        <f t="shared" si="183"/>
        <v>-319.90500156303824</v>
      </c>
      <c r="W282" s="27" t="str">
        <f t="shared" si="171"/>
        <v>OK</v>
      </c>
      <c r="X282" s="3"/>
      <c r="Y282" s="3"/>
      <c r="Z282" s="3"/>
      <c r="AA282" s="3"/>
      <c r="AB282" s="3"/>
      <c r="AC282" s="3"/>
    </row>
    <row r="283" spans="1:29" x14ac:dyDescent="0.2">
      <c r="A283" s="3">
        <f t="shared" si="163"/>
        <v>31</v>
      </c>
      <c r="B283" s="140" t="s">
        <v>666</v>
      </c>
      <c r="C283" s="140" t="s">
        <v>667</v>
      </c>
      <c r="D283" s="78" t="s">
        <v>331</v>
      </c>
      <c r="E283" s="4" t="s">
        <v>591</v>
      </c>
      <c r="F283" s="11"/>
      <c r="G283" s="11"/>
      <c r="H283" s="2">
        <f>'II-I TOTAL COMPANY'!L283</f>
        <v>-16013.117528219296</v>
      </c>
      <c r="I283" s="66">
        <v>0</v>
      </c>
      <c r="J283" s="66">
        <f t="shared" si="178"/>
        <v>-16013.117528219298</v>
      </c>
      <c r="K283" s="12">
        <f t="shared" si="179"/>
        <v>-7507.0579616443893</v>
      </c>
      <c r="L283" s="12">
        <f t="shared" si="179"/>
        <v>-1426.4214453206541</v>
      </c>
      <c r="M283" s="9">
        <f t="shared" si="180"/>
        <v>-5662.7971304179637</v>
      </c>
      <c r="N283" s="12">
        <f t="shared" si="181"/>
        <v>-110.47698934613493</v>
      </c>
      <c r="O283" s="12">
        <f t="shared" si="181"/>
        <v>-5552.3201410718284</v>
      </c>
      <c r="P283" s="9">
        <f t="shared" si="182"/>
        <v>-761.55885964223751</v>
      </c>
      <c r="Q283" s="12">
        <f t="shared" si="183"/>
        <v>-328.88683717514675</v>
      </c>
      <c r="R283" s="12">
        <f t="shared" si="183"/>
        <v>-385.68818858492688</v>
      </c>
      <c r="S283" s="12">
        <f t="shared" si="183"/>
        <v>-46.983833882163822</v>
      </c>
      <c r="T283" s="12">
        <f t="shared" si="183"/>
        <v>-641.95835740657446</v>
      </c>
      <c r="U283" s="12">
        <f t="shared" si="183"/>
        <v>0</v>
      </c>
      <c r="V283" s="12">
        <f t="shared" si="183"/>
        <v>-13.323773787479295</v>
      </c>
      <c r="W283" s="27">
        <f t="shared" si="171"/>
        <v>-1.8189894035458565E-12</v>
      </c>
      <c r="X283" s="3"/>
      <c r="Y283" s="3"/>
      <c r="Z283" s="3"/>
      <c r="AA283" s="3"/>
      <c r="AB283" s="3"/>
      <c r="AC283" s="3"/>
    </row>
    <row r="284" spans="1:29" x14ac:dyDescent="0.2">
      <c r="A284" s="3">
        <f t="shared" si="163"/>
        <v>32</v>
      </c>
      <c r="B284" s="140" t="s">
        <v>662</v>
      </c>
      <c r="C284" s="140" t="s">
        <v>663</v>
      </c>
      <c r="D284" s="78" t="s">
        <v>331</v>
      </c>
      <c r="E284" s="4" t="s">
        <v>591</v>
      </c>
      <c r="F284" s="11"/>
      <c r="G284" s="11"/>
      <c r="H284" s="2">
        <f>'II-I TOTAL COMPANY'!L284</f>
        <v>-4943050.7074345099</v>
      </c>
      <c r="I284" s="66">
        <v>0</v>
      </c>
      <c r="J284" s="66">
        <f t="shared" si="178"/>
        <v>-4943050.7074345108</v>
      </c>
      <c r="K284" s="12">
        <f t="shared" si="179"/>
        <v>-2317335.6532645556</v>
      </c>
      <c r="L284" s="12">
        <f t="shared" si="179"/>
        <v>-440318.60266850184</v>
      </c>
      <c r="M284" s="9">
        <f t="shared" si="180"/>
        <v>-1748035.2162683064</v>
      </c>
      <c r="N284" s="12">
        <f t="shared" si="181"/>
        <v>-34102.875931578463</v>
      </c>
      <c r="O284" s="12">
        <f t="shared" si="181"/>
        <v>-1713932.3403367279</v>
      </c>
      <c r="P284" s="9">
        <f t="shared" si="182"/>
        <v>-235083.77136892185</v>
      </c>
      <c r="Q284" s="12">
        <f t="shared" si="183"/>
        <v>-101523.28616208505</v>
      </c>
      <c r="R284" s="12">
        <f t="shared" si="183"/>
        <v>-119057.15861225325</v>
      </c>
      <c r="S284" s="12">
        <f t="shared" si="183"/>
        <v>-14503.326594583579</v>
      </c>
      <c r="T284" s="12">
        <f t="shared" si="183"/>
        <v>-198164.58020307406</v>
      </c>
      <c r="U284" s="12">
        <f t="shared" si="183"/>
        <v>0</v>
      </c>
      <c r="V284" s="12">
        <f t="shared" si="183"/>
        <v>-4112.8836611505676</v>
      </c>
      <c r="W284" s="27">
        <f t="shared" si="171"/>
        <v>-9.3132257461547852E-10</v>
      </c>
      <c r="X284" s="3"/>
      <c r="Y284" s="3"/>
      <c r="Z284" s="3"/>
      <c r="AA284" s="3"/>
      <c r="AB284" s="3"/>
      <c r="AC284" s="3"/>
    </row>
    <row r="285" spans="1:29" x14ac:dyDescent="0.2">
      <c r="A285" s="3">
        <f t="shared" si="163"/>
        <v>33</v>
      </c>
      <c r="B285" s="140" t="s">
        <v>666</v>
      </c>
      <c r="C285" s="140" t="s">
        <v>650</v>
      </c>
      <c r="D285" s="78" t="s">
        <v>331</v>
      </c>
      <c r="E285" s="4" t="s">
        <v>591</v>
      </c>
      <c r="F285" s="11"/>
      <c r="G285" s="11"/>
      <c r="H285" s="2">
        <f>'II-I TOTAL COMPANY'!L285</f>
        <v>0</v>
      </c>
      <c r="I285" s="66">
        <v>0</v>
      </c>
      <c r="J285" s="66">
        <f t="shared" si="178"/>
        <v>0</v>
      </c>
      <c r="K285" s="12">
        <f t="shared" si="179"/>
        <v>0</v>
      </c>
      <c r="L285" s="12">
        <f t="shared" si="179"/>
        <v>0</v>
      </c>
      <c r="M285" s="9">
        <f t="shared" si="180"/>
        <v>0</v>
      </c>
      <c r="N285" s="12">
        <f t="shared" si="181"/>
        <v>0</v>
      </c>
      <c r="O285" s="12">
        <f t="shared" si="181"/>
        <v>0</v>
      </c>
      <c r="P285" s="9">
        <f t="shared" si="182"/>
        <v>0</v>
      </c>
      <c r="Q285" s="12">
        <f t="shared" si="183"/>
        <v>0</v>
      </c>
      <c r="R285" s="12">
        <f t="shared" si="183"/>
        <v>0</v>
      </c>
      <c r="S285" s="12">
        <f t="shared" si="183"/>
        <v>0</v>
      </c>
      <c r="T285" s="12">
        <f t="shared" si="183"/>
        <v>0</v>
      </c>
      <c r="U285" s="12">
        <f t="shared" si="183"/>
        <v>0</v>
      </c>
      <c r="V285" s="12">
        <f t="shared" si="183"/>
        <v>0</v>
      </c>
      <c r="W285" s="27" t="str">
        <f t="shared" si="171"/>
        <v>OK</v>
      </c>
      <c r="X285" s="3"/>
      <c r="Y285" s="3"/>
      <c r="Z285" s="3"/>
      <c r="AA285" s="3"/>
      <c r="AB285" s="3"/>
      <c r="AC285" s="3"/>
    </row>
    <row r="286" spans="1:29" x14ac:dyDescent="0.2">
      <c r="A286" s="3">
        <f t="shared" si="163"/>
        <v>34</v>
      </c>
      <c r="B286" s="140" t="s">
        <v>676</v>
      </c>
      <c r="C286" s="140" t="s">
        <v>651</v>
      </c>
      <c r="D286" s="78" t="s">
        <v>331</v>
      </c>
      <c r="E286" s="4" t="s">
        <v>591</v>
      </c>
      <c r="F286" s="11"/>
      <c r="G286" s="11"/>
      <c r="H286" s="2">
        <f>'II-I TOTAL COMPANY'!L286</f>
        <v>0</v>
      </c>
      <c r="I286" s="66">
        <v>0</v>
      </c>
      <c r="J286" s="66">
        <f t="shared" si="178"/>
        <v>0</v>
      </c>
      <c r="K286" s="12">
        <f t="shared" si="179"/>
        <v>0</v>
      </c>
      <c r="L286" s="12">
        <f t="shared" si="179"/>
        <v>0</v>
      </c>
      <c r="M286" s="9">
        <f t="shared" si="180"/>
        <v>0</v>
      </c>
      <c r="N286" s="12">
        <f t="shared" si="181"/>
        <v>0</v>
      </c>
      <c r="O286" s="12">
        <f t="shared" si="181"/>
        <v>0</v>
      </c>
      <c r="P286" s="9">
        <f t="shared" si="182"/>
        <v>0</v>
      </c>
      <c r="Q286" s="12">
        <f t="shared" si="183"/>
        <v>0</v>
      </c>
      <c r="R286" s="12">
        <f t="shared" si="183"/>
        <v>0</v>
      </c>
      <c r="S286" s="12">
        <f t="shared" si="183"/>
        <v>0</v>
      </c>
      <c r="T286" s="12">
        <f t="shared" si="183"/>
        <v>0</v>
      </c>
      <c r="U286" s="12">
        <f t="shared" si="183"/>
        <v>0</v>
      </c>
      <c r="V286" s="12">
        <f t="shared" si="183"/>
        <v>0</v>
      </c>
      <c r="W286" s="27" t="str">
        <f t="shared" si="171"/>
        <v>OK</v>
      </c>
      <c r="X286" s="3"/>
      <c r="Y286" s="3"/>
      <c r="Z286" s="3"/>
      <c r="AA286" s="3"/>
      <c r="AB286" s="3"/>
      <c r="AC286" s="3"/>
    </row>
    <row r="287" spans="1:29" x14ac:dyDescent="0.2">
      <c r="A287" s="3">
        <f t="shared" si="163"/>
        <v>35</v>
      </c>
      <c r="B287" s="140" t="s">
        <v>664</v>
      </c>
      <c r="C287" s="140" t="s">
        <v>665</v>
      </c>
      <c r="D287" s="78" t="s">
        <v>331</v>
      </c>
      <c r="E287" s="4" t="s">
        <v>591</v>
      </c>
      <c r="F287" s="11"/>
      <c r="G287" s="11"/>
      <c r="H287" s="2">
        <f>'II-I TOTAL COMPANY'!L287</f>
        <v>-1473772.962087573</v>
      </c>
      <c r="I287" s="66">
        <v>0</v>
      </c>
      <c r="J287" s="66">
        <f t="shared" si="178"/>
        <v>-1473772.9620875735</v>
      </c>
      <c r="K287" s="12">
        <f t="shared" si="179"/>
        <v>-690914.74718764925</v>
      </c>
      <c r="L287" s="12">
        <f t="shared" si="179"/>
        <v>-131281.20460933319</v>
      </c>
      <c r="M287" s="9">
        <f t="shared" si="180"/>
        <v>-521177.5462142101</v>
      </c>
      <c r="N287" s="12">
        <f t="shared" si="181"/>
        <v>-10167.78897327411</v>
      </c>
      <c r="O287" s="12">
        <f t="shared" si="181"/>
        <v>-511009.75724093599</v>
      </c>
      <c r="P287" s="9">
        <f t="shared" si="182"/>
        <v>-70090.340272659247</v>
      </c>
      <c r="Q287" s="12">
        <f t="shared" si="183"/>
        <v>-30269.216931746949</v>
      </c>
      <c r="R287" s="12">
        <f t="shared" si="183"/>
        <v>-35496.949493519875</v>
      </c>
      <c r="S287" s="12">
        <f t="shared" si="183"/>
        <v>-4324.1738473924215</v>
      </c>
      <c r="T287" s="12">
        <f t="shared" si="183"/>
        <v>-59082.865548490678</v>
      </c>
      <c r="U287" s="12">
        <f t="shared" si="183"/>
        <v>0</v>
      </c>
      <c r="V287" s="12">
        <f t="shared" si="183"/>
        <v>-1226.2582552306869</v>
      </c>
      <c r="W287" s="27">
        <f t="shared" si="171"/>
        <v>-2.3283064365386963E-10</v>
      </c>
      <c r="X287" s="3"/>
      <c r="Y287" s="3"/>
      <c r="Z287" s="3"/>
      <c r="AA287" s="3"/>
      <c r="AB287" s="3"/>
      <c r="AC287" s="3"/>
    </row>
    <row r="288" spans="1:29" s="173" customFormat="1" x14ac:dyDescent="0.2">
      <c r="A288" s="3">
        <f t="shared" si="163"/>
        <v>36</v>
      </c>
      <c r="B288" s="3" t="s">
        <v>675</v>
      </c>
      <c r="C288" s="3" t="s">
        <v>802</v>
      </c>
      <c r="D288" s="78" t="s">
        <v>331</v>
      </c>
      <c r="E288" s="4" t="s">
        <v>591</v>
      </c>
      <c r="F288" s="11"/>
      <c r="G288" s="11"/>
      <c r="H288" s="2">
        <f>'II-I TOTAL COMPANY'!L288</f>
        <v>526047.56374522764</v>
      </c>
      <c r="I288" s="66">
        <v>0</v>
      </c>
      <c r="J288" s="66">
        <f t="shared" si="178"/>
        <v>526047.56374522764</v>
      </c>
      <c r="K288" s="12">
        <f t="shared" si="179"/>
        <v>246614.66105259972</v>
      </c>
      <c r="L288" s="12">
        <f t="shared" si="179"/>
        <v>46859.427894820379</v>
      </c>
      <c r="M288" s="9">
        <f t="shared" si="180"/>
        <v>186028.77479605298</v>
      </c>
      <c r="N288" s="12">
        <f t="shared" si="181"/>
        <v>3629.2839912669037</v>
      </c>
      <c r="O288" s="12">
        <f t="shared" si="181"/>
        <v>182399.49080478607</v>
      </c>
      <c r="P288" s="9">
        <f t="shared" si="182"/>
        <v>25018.000527217915</v>
      </c>
      <c r="Q288" s="12">
        <f t="shared" si="183"/>
        <v>10804.274629157644</v>
      </c>
      <c r="R288" s="12">
        <f t="shared" si="183"/>
        <v>12670.258093894892</v>
      </c>
      <c r="S288" s="12">
        <f t="shared" si="183"/>
        <v>1543.4678041653779</v>
      </c>
      <c r="T288" s="12">
        <f t="shared" si="183"/>
        <v>21088.999649474867</v>
      </c>
      <c r="U288" s="12">
        <f t="shared" si="183"/>
        <v>0</v>
      </c>
      <c r="V288" s="12">
        <f t="shared" si="183"/>
        <v>437.69982506182367</v>
      </c>
      <c r="W288" s="27">
        <f t="shared" si="171"/>
        <v>1.1641532182693481E-10</v>
      </c>
      <c r="X288" s="3"/>
      <c r="Y288" s="3"/>
      <c r="Z288" s="3"/>
      <c r="AA288" s="3"/>
      <c r="AB288" s="3"/>
      <c r="AC288" s="3"/>
    </row>
    <row r="289" spans="1:29" x14ac:dyDescent="0.2">
      <c r="A289" s="3">
        <f t="shared" si="163"/>
        <v>37</v>
      </c>
      <c r="B289" s="140" t="s">
        <v>675</v>
      </c>
      <c r="C289" s="140" t="s">
        <v>661</v>
      </c>
      <c r="D289" s="78" t="s">
        <v>331</v>
      </c>
      <c r="E289" s="4" t="s">
        <v>591</v>
      </c>
      <c r="F289" s="11"/>
      <c r="G289" s="11"/>
      <c r="H289" s="2">
        <f>'II-I TOTAL COMPANY'!L289</f>
        <v>1759536.4852703537</v>
      </c>
      <c r="I289" s="66">
        <v>0</v>
      </c>
      <c r="J289" s="66">
        <f t="shared" si="178"/>
        <v>1759536.4852703544</v>
      </c>
      <c r="K289" s="12">
        <f t="shared" si="179"/>
        <v>824882.62246717338</v>
      </c>
      <c r="L289" s="12">
        <f t="shared" si="179"/>
        <v>156736.53627975733</v>
      </c>
      <c r="M289" s="9">
        <f t="shared" si="180"/>
        <v>622233.49963526323</v>
      </c>
      <c r="N289" s="12">
        <f t="shared" si="181"/>
        <v>12139.315982336706</v>
      </c>
      <c r="O289" s="12">
        <f t="shared" si="181"/>
        <v>610094.18365292647</v>
      </c>
      <c r="P289" s="9">
        <f t="shared" si="182"/>
        <v>83680.807117039367</v>
      </c>
      <c r="Q289" s="12">
        <f t="shared" si="183"/>
        <v>36138.396443730628</v>
      </c>
      <c r="R289" s="12">
        <f t="shared" si="183"/>
        <v>42379.78260991865</v>
      </c>
      <c r="S289" s="12">
        <f t="shared" si="183"/>
        <v>5162.6280633900906</v>
      </c>
      <c r="T289" s="12">
        <f t="shared" si="183"/>
        <v>70538.990917323434</v>
      </c>
      <c r="U289" s="12">
        <f t="shared" si="183"/>
        <v>0</v>
      </c>
      <c r="V289" s="12">
        <f t="shared" si="183"/>
        <v>1464.0288537971901</v>
      </c>
      <c r="W289" s="27">
        <f t="shared" si="171"/>
        <v>2.3283064365386963E-10</v>
      </c>
      <c r="X289" s="3"/>
      <c r="Y289" s="3"/>
      <c r="Z289" s="3"/>
      <c r="AA289" s="3"/>
      <c r="AB289" s="3"/>
      <c r="AC289" s="3"/>
    </row>
    <row r="290" spans="1:29" x14ac:dyDescent="0.2">
      <c r="A290" s="3">
        <f t="shared" si="163"/>
        <v>38</v>
      </c>
      <c r="B290" s="140" t="s">
        <v>675</v>
      </c>
      <c r="C290" s="140" t="s">
        <v>660</v>
      </c>
      <c r="D290" s="78" t="s">
        <v>331</v>
      </c>
      <c r="E290" s="4" t="s">
        <v>591</v>
      </c>
      <c r="F290" s="4"/>
      <c r="G290" s="11"/>
      <c r="H290" s="2">
        <f>'II-I TOTAL COMPANY'!L290</f>
        <v>982529.90736882284</v>
      </c>
      <c r="I290" s="66">
        <v>0</v>
      </c>
      <c r="J290" s="66">
        <f t="shared" si="178"/>
        <v>982529.90736882249</v>
      </c>
      <c r="K290" s="12">
        <f t="shared" si="179"/>
        <v>460616.67571405548</v>
      </c>
      <c r="L290" s="12">
        <f t="shared" si="179"/>
        <v>87522.103554788278</v>
      </c>
      <c r="M290" s="9">
        <f t="shared" si="180"/>
        <v>347456.86030175007</v>
      </c>
      <c r="N290" s="12">
        <f t="shared" si="181"/>
        <v>6778.6267050970118</v>
      </c>
      <c r="O290" s="12">
        <f t="shared" si="181"/>
        <v>340678.23359665304</v>
      </c>
      <c r="P290" s="9">
        <f t="shared" si="182"/>
        <v>46727.587835508872</v>
      </c>
      <c r="Q290" s="12">
        <f t="shared" si="183"/>
        <v>20179.777803732653</v>
      </c>
      <c r="R290" s="12">
        <f t="shared" si="183"/>
        <v>23664.984631242984</v>
      </c>
      <c r="S290" s="12">
        <f t="shared" si="183"/>
        <v>2882.8254005332365</v>
      </c>
      <c r="T290" s="12">
        <f t="shared" si="183"/>
        <v>39389.162311822714</v>
      </c>
      <c r="U290" s="12">
        <f t="shared" si="183"/>
        <v>0</v>
      </c>
      <c r="V290" s="12">
        <f t="shared" si="183"/>
        <v>817.51765089748505</v>
      </c>
      <c r="W290" s="27">
        <f t="shared" si="171"/>
        <v>1.1641532182693481E-10</v>
      </c>
      <c r="X290" s="3"/>
      <c r="Y290" s="3"/>
      <c r="Z290" s="3"/>
      <c r="AA290" s="3"/>
      <c r="AB290" s="3"/>
      <c r="AC290" s="3"/>
    </row>
    <row r="291" spans="1:29" x14ac:dyDescent="0.2">
      <c r="A291" s="3">
        <f t="shared" si="163"/>
        <v>39</v>
      </c>
      <c r="B291" s="140" t="s">
        <v>675</v>
      </c>
      <c r="C291" s="140" t="s">
        <v>659</v>
      </c>
      <c r="D291" s="78" t="s">
        <v>331</v>
      </c>
      <c r="E291" s="4" t="s">
        <v>591</v>
      </c>
      <c r="F291" s="4"/>
      <c r="G291" s="11"/>
      <c r="H291" s="2">
        <f>'II-I TOTAL COMPANY'!L291</f>
        <v>11064882.990000054</v>
      </c>
      <c r="I291" s="66">
        <v>0</v>
      </c>
      <c r="J291" s="66">
        <f t="shared" si="178"/>
        <v>11064882.990000058</v>
      </c>
      <c r="K291" s="12">
        <f t="shared" si="179"/>
        <v>5187292.0933954148</v>
      </c>
      <c r="L291" s="12">
        <f t="shared" si="179"/>
        <v>985641.07576714526</v>
      </c>
      <c r="M291" s="9">
        <f t="shared" si="180"/>
        <v>3912928.7306961147</v>
      </c>
      <c r="N291" s="12">
        <f t="shared" si="181"/>
        <v>76338.349359408065</v>
      </c>
      <c r="O291" s="12">
        <f t="shared" si="181"/>
        <v>3836590.3813367067</v>
      </c>
      <c r="P291" s="9">
        <f t="shared" si="182"/>
        <v>526228.55337753147</v>
      </c>
      <c r="Q291" s="12">
        <f t="shared" si="183"/>
        <v>227257.08244388789</v>
      </c>
      <c r="R291" s="12">
        <f t="shared" si="183"/>
        <v>266506.17344165954</v>
      </c>
      <c r="S291" s="12">
        <f t="shared" si="183"/>
        <v>32465.297491983983</v>
      </c>
      <c r="T291" s="12">
        <f t="shared" si="183"/>
        <v>443585.95986313705</v>
      </c>
      <c r="U291" s="12">
        <f t="shared" si="183"/>
        <v>0</v>
      </c>
      <c r="V291" s="12">
        <f t="shared" si="183"/>
        <v>9206.5769007118779</v>
      </c>
      <c r="W291" s="27">
        <f t="shared" si="171"/>
        <v>1.862645149230957E-9</v>
      </c>
      <c r="X291" s="3"/>
      <c r="Y291" s="3"/>
      <c r="Z291" s="3"/>
      <c r="AA291" s="3"/>
      <c r="AB291" s="3"/>
      <c r="AC291" s="3"/>
    </row>
    <row r="292" spans="1:29" x14ac:dyDescent="0.2">
      <c r="A292" s="3">
        <f t="shared" si="163"/>
        <v>40</v>
      </c>
      <c r="B292" s="3"/>
      <c r="C292" s="3" t="s">
        <v>135</v>
      </c>
      <c r="D292" s="3"/>
      <c r="E292" s="4"/>
      <c r="F292" s="8"/>
      <c r="G292" s="8"/>
      <c r="H292" s="8">
        <f t="shared" ref="H292:V292" si="184">SUM(H282:H291)</f>
        <v>7515683.773769279</v>
      </c>
      <c r="I292" s="8">
        <f t="shared" si="184"/>
        <v>0</v>
      </c>
      <c r="J292" s="66">
        <f t="shared" si="178"/>
        <v>7515683.7737692762</v>
      </c>
      <c r="K292" s="8">
        <f t="shared" si="184"/>
        <v>3523403.4604222588</v>
      </c>
      <c r="L292" s="8">
        <f t="shared" si="184"/>
        <v>669484.40815853514</v>
      </c>
      <c r="M292" s="9">
        <f>SUM(N292:O292)</f>
        <v>2657808.0397042008</v>
      </c>
      <c r="N292" s="8">
        <f t="shared" si="184"/>
        <v>51851.871738304821</v>
      </c>
      <c r="O292" s="8">
        <f t="shared" si="184"/>
        <v>2605956.167965896</v>
      </c>
      <c r="P292" s="9">
        <f t="shared" si="176"/>
        <v>357434.18195094477</v>
      </c>
      <c r="Q292" s="8">
        <f t="shared" si="184"/>
        <v>154361.53898249828</v>
      </c>
      <c r="R292" s="8">
        <f t="shared" si="184"/>
        <v>181020.99454237532</v>
      </c>
      <c r="S292" s="8">
        <f>SUM(S282:S291)</f>
        <v>22051.64842607118</v>
      </c>
      <c r="T292" s="8">
        <f t="shared" si="184"/>
        <v>301300.23099460115</v>
      </c>
      <c r="U292" s="8">
        <f t="shared" si="184"/>
        <v>0</v>
      </c>
      <c r="V292" s="8">
        <f t="shared" si="184"/>
        <v>6253.4525387366048</v>
      </c>
      <c r="W292" s="27">
        <f t="shared" si="171"/>
        <v>-2.7939677238464355E-9</v>
      </c>
      <c r="X292" s="3"/>
      <c r="Y292" s="3"/>
      <c r="Z292" s="3"/>
      <c r="AA292" s="3"/>
      <c r="AB292" s="3"/>
      <c r="AC292" s="3"/>
    </row>
    <row r="293" spans="1:29" x14ac:dyDescent="0.2">
      <c r="A293" s="3">
        <f t="shared" si="163"/>
        <v>41</v>
      </c>
      <c r="B293" s="3"/>
      <c r="C293" s="3"/>
      <c r="D293" s="3"/>
      <c r="E293" s="4"/>
      <c r="F293" s="4"/>
      <c r="G293" s="4"/>
      <c r="H293" s="8"/>
      <c r="I293" s="8"/>
      <c r="J293" s="8"/>
      <c r="K293" s="10"/>
      <c r="L293" s="10"/>
      <c r="M293" s="3"/>
      <c r="N293" s="3"/>
      <c r="O293" s="3"/>
      <c r="P293" s="9">
        <f t="shared" si="176"/>
        <v>0</v>
      </c>
      <c r="Q293" s="3"/>
      <c r="R293" s="3"/>
      <c r="S293" s="3"/>
      <c r="T293" s="3"/>
      <c r="U293" s="3"/>
      <c r="V293" s="3"/>
      <c r="W293" s="27" t="str">
        <f t="shared" si="171"/>
        <v>OK</v>
      </c>
      <c r="X293" s="3"/>
      <c r="Y293" s="3"/>
      <c r="Z293" s="3"/>
      <c r="AA293" s="3"/>
      <c r="AB293" s="3"/>
      <c r="AC293" s="3"/>
    </row>
    <row r="294" spans="1:29" x14ac:dyDescent="0.2">
      <c r="A294" s="3">
        <f t="shared" si="163"/>
        <v>42</v>
      </c>
      <c r="B294" s="3"/>
      <c r="C294" s="3"/>
      <c r="D294" s="3"/>
      <c r="E294" s="4"/>
      <c r="F294" s="4"/>
      <c r="G294" s="4"/>
      <c r="H294" s="8"/>
      <c r="I294" s="8"/>
      <c r="J294" s="8"/>
      <c r="K294" s="10"/>
      <c r="L294" s="10"/>
      <c r="M294" s="3"/>
      <c r="N294" s="3"/>
      <c r="O294" s="3"/>
      <c r="P294" s="9">
        <f t="shared" si="176"/>
        <v>0</v>
      </c>
      <c r="Q294" s="3"/>
      <c r="R294" s="3"/>
      <c r="S294" s="3"/>
      <c r="T294" s="3"/>
      <c r="U294" s="3"/>
      <c r="V294" s="3"/>
      <c r="W294" s="27" t="str">
        <f t="shared" si="171"/>
        <v>OK</v>
      </c>
      <c r="X294" s="3"/>
      <c r="Y294" s="3"/>
      <c r="Z294" s="3"/>
      <c r="AA294" s="3"/>
      <c r="AB294" s="3"/>
      <c r="AC294" s="3"/>
    </row>
    <row r="295" spans="1:29" x14ac:dyDescent="0.2">
      <c r="A295" s="3">
        <f t="shared" si="163"/>
        <v>43</v>
      </c>
      <c r="B295" s="3" t="s">
        <v>136</v>
      </c>
      <c r="C295" s="3"/>
      <c r="D295" s="78"/>
      <c r="E295" s="4"/>
      <c r="F295" s="4"/>
      <c r="G295" s="4"/>
      <c r="H295" s="8"/>
      <c r="I295" s="8"/>
      <c r="J295" s="8"/>
      <c r="K295" s="12"/>
      <c r="L295" s="12"/>
      <c r="M295" s="12"/>
      <c r="N295" s="12"/>
      <c r="O295" s="12"/>
      <c r="P295" s="9">
        <f t="shared" si="176"/>
        <v>0</v>
      </c>
      <c r="Q295" s="12"/>
      <c r="R295" s="12"/>
      <c r="S295" s="12"/>
      <c r="T295" s="12"/>
      <c r="U295" s="12"/>
      <c r="V295" s="12"/>
      <c r="W295" s="27" t="str">
        <f t="shared" si="171"/>
        <v>OK</v>
      </c>
      <c r="X295" s="3"/>
      <c r="Y295" s="3"/>
      <c r="Z295" s="3"/>
      <c r="AA295" s="3"/>
      <c r="AB295" s="3"/>
      <c r="AC295" s="3"/>
    </row>
    <row r="296" spans="1:29" x14ac:dyDescent="0.2">
      <c r="A296" s="3">
        <f t="shared" si="163"/>
        <v>44</v>
      </c>
      <c r="B296" s="3" t="s">
        <v>542</v>
      </c>
      <c r="C296" s="3" t="s">
        <v>562</v>
      </c>
      <c r="D296" s="78" t="s">
        <v>323</v>
      </c>
      <c r="E296" s="4" t="s">
        <v>605</v>
      </c>
      <c r="F296" s="11"/>
      <c r="G296" s="78"/>
      <c r="H296" s="2">
        <f>'II-I TOTAL COMPANY'!L296</f>
        <v>0</v>
      </c>
      <c r="I296" s="66">
        <v>0</v>
      </c>
      <c r="J296" s="66">
        <f t="shared" ref="J296:J308" ca="1" si="185">SUM(K296:V296)-M296-P296</f>
        <v>0</v>
      </c>
      <c r="K296" s="12">
        <f t="shared" ref="K296:L304" ca="1" si="186">VLOOKUP($D296,$E$741:$V$815,K$1,FALSE)*$H296</f>
        <v>0</v>
      </c>
      <c r="L296" s="12">
        <f t="shared" ca="1" si="186"/>
        <v>0</v>
      </c>
      <c r="M296" s="9">
        <f t="shared" ref="M296:M304" ca="1" si="187">SUM(N296:O296)</f>
        <v>0</v>
      </c>
      <c r="N296" s="12"/>
      <c r="O296" s="12">
        <f t="shared" ref="O296:O304" ca="1" si="188">VLOOKUP($D296,$E$741:$V$815,O$1,FALSE)*$H296</f>
        <v>0</v>
      </c>
      <c r="P296" s="9">
        <f t="shared" ca="1" si="176"/>
        <v>0</v>
      </c>
      <c r="Q296" s="12">
        <f t="shared" ref="Q296:V304" ca="1" si="189">VLOOKUP($D296,$E$741:$V$815,Q$1,FALSE)*$H296</f>
        <v>0</v>
      </c>
      <c r="R296" s="12">
        <f t="shared" ca="1" si="189"/>
        <v>0</v>
      </c>
      <c r="S296" s="12">
        <f t="shared" ca="1" si="189"/>
        <v>0</v>
      </c>
      <c r="T296" s="12">
        <f t="shared" ca="1" si="189"/>
        <v>0</v>
      </c>
      <c r="U296" s="12">
        <f t="shared" ca="1" si="189"/>
        <v>0</v>
      </c>
      <c r="V296" s="12">
        <f t="shared" ca="1" si="189"/>
        <v>0</v>
      </c>
      <c r="W296" s="27" t="str">
        <f t="shared" ca="1" si="171"/>
        <v>OK</v>
      </c>
      <c r="X296" s="3"/>
      <c r="Y296" s="3"/>
      <c r="Z296" s="3"/>
      <c r="AA296" s="3"/>
      <c r="AB296" s="3"/>
      <c r="AC296" s="3"/>
    </row>
    <row r="297" spans="1:29" x14ac:dyDescent="0.2">
      <c r="A297" s="3">
        <f t="shared" si="163"/>
        <v>45</v>
      </c>
      <c r="B297" s="3" t="s">
        <v>542</v>
      </c>
      <c r="C297" s="3" t="s">
        <v>563</v>
      </c>
      <c r="D297" s="78" t="s">
        <v>395</v>
      </c>
      <c r="E297" s="4" t="s">
        <v>605</v>
      </c>
      <c r="F297" s="11"/>
      <c r="G297" s="78"/>
      <c r="H297" s="2">
        <f>'II-I TOTAL COMPANY'!L297</f>
        <v>0</v>
      </c>
      <c r="I297" s="66">
        <v>0</v>
      </c>
      <c r="J297" s="66">
        <f t="shared" si="185"/>
        <v>0</v>
      </c>
      <c r="K297" s="12">
        <f t="shared" si="186"/>
        <v>0</v>
      </c>
      <c r="L297" s="12">
        <f t="shared" si="186"/>
        <v>0</v>
      </c>
      <c r="M297" s="9">
        <f t="shared" si="187"/>
        <v>0</v>
      </c>
      <c r="N297" s="12">
        <f t="shared" ref="N297:N304" si="190">VLOOKUP($D297,$E$741:$V$815,N$1,FALSE)*$H297</f>
        <v>0</v>
      </c>
      <c r="O297" s="12">
        <f t="shared" si="188"/>
        <v>0</v>
      </c>
      <c r="P297" s="9">
        <f t="shared" si="176"/>
        <v>0</v>
      </c>
      <c r="Q297" s="12">
        <f t="shared" si="189"/>
        <v>0</v>
      </c>
      <c r="R297" s="12">
        <f t="shared" si="189"/>
        <v>0</v>
      </c>
      <c r="S297" s="12">
        <f t="shared" si="189"/>
        <v>0</v>
      </c>
      <c r="T297" s="12">
        <f t="shared" si="189"/>
        <v>0</v>
      </c>
      <c r="U297" s="12">
        <f t="shared" si="189"/>
        <v>0</v>
      </c>
      <c r="V297" s="12">
        <f t="shared" si="189"/>
        <v>0</v>
      </c>
      <c r="W297" s="27" t="str">
        <f t="shared" si="171"/>
        <v>OK</v>
      </c>
      <c r="X297" s="3"/>
      <c r="Y297" s="3"/>
      <c r="Z297" s="3"/>
      <c r="AA297" s="3"/>
      <c r="AB297" s="3"/>
      <c r="AC297" s="3"/>
    </row>
    <row r="298" spans="1:29" x14ac:dyDescent="0.2">
      <c r="A298" s="3">
        <f t="shared" si="163"/>
        <v>46</v>
      </c>
      <c r="B298" s="3" t="s">
        <v>542</v>
      </c>
      <c r="C298" s="3" t="s">
        <v>564</v>
      </c>
      <c r="D298" s="78" t="s">
        <v>331</v>
      </c>
      <c r="E298" s="4" t="s">
        <v>605</v>
      </c>
      <c r="F298" s="11"/>
      <c r="G298" s="78"/>
      <c r="H298" s="2">
        <f>'II-I TOTAL COMPANY'!L298</f>
        <v>1302543.2304664068</v>
      </c>
      <c r="I298" s="66">
        <v>0</v>
      </c>
      <c r="J298" s="66">
        <f t="shared" si="185"/>
        <v>1302543.2304664068</v>
      </c>
      <c r="K298" s="12">
        <f t="shared" si="186"/>
        <v>610641.08918372577</v>
      </c>
      <c r="L298" s="12">
        <f t="shared" si="186"/>
        <v>116028.34951534499</v>
      </c>
      <c r="M298" s="9">
        <f t="shared" si="187"/>
        <v>460624.73810811708</v>
      </c>
      <c r="N298" s="12">
        <f t="shared" si="190"/>
        <v>8986.4484127794694</v>
      </c>
      <c r="O298" s="12">
        <f t="shared" si="188"/>
        <v>451638.28969533759</v>
      </c>
      <c r="P298" s="9">
        <f t="shared" si="176"/>
        <v>61946.921670974705</v>
      </c>
      <c r="Q298" s="12">
        <f t="shared" si="189"/>
        <v>26752.399874481711</v>
      </c>
      <c r="R298" s="12">
        <f t="shared" si="189"/>
        <v>31372.750385852753</v>
      </c>
      <c r="S298" s="12">
        <f t="shared" si="189"/>
        <v>3821.7714106402445</v>
      </c>
      <c r="T298" s="12">
        <f t="shared" si="189"/>
        <v>52218.346065824015</v>
      </c>
      <c r="U298" s="12">
        <f t="shared" si="189"/>
        <v>0</v>
      </c>
      <c r="V298" s="12">
        <f t="shared" si="189"/>
        <v>1083.785922420368</v>
      </c>
      <c r="W298" s="27" t="str">
        <f t="shared" si="171"/>
        <v>OK</v>
      </c>
      <c r="X298" s="3"/>
      <c r="Y298" s="3"/>
      <c r="Z298" s="3"/>
      <c r="AA298" s="3"/>
      <c r="AB298" s="3"/>
      <c r="AC298" s="3"/>
    </row>
    <row r="299" spans="1:29" x14ac:dyDescent="0.2">
      <c r="A299" s="3">
        <f t="shared" si="163"/>
        <v>47</v>
      </c>
      <c r="B299" s="3" t="s">
        <v>543</v>
      </c>
      <c r="C299" s="3" t="s">
        <v>565</v>
      </c>
      <c r="D299" s="78" t="s">
        <v>331</v>
      </c>
      <c r="E299" s="4" t="s">
        <v>605</v>
      </c>
      <c r="F299" s="11"/>
      <c r="G299" s="78"/>
      <c r="H299" s="2">
        <f>'II-I TOTAL COMPANY'!L299</f>
        <v>-13239116.761734929</v>
      </c>
      <c r="I299" s="66">
        <v>0</v>
      </c>
      <c r="J299" s="66">
        <f t="shared" si="185"/>
        <v>-13239116.761734933</v>
      </c>
      <c r="K299" s="12">
        <f t="shared" si="186"/>
        <v>-6206587.6126979236</v>
      </c>
      <c r="L299" s="12">
        <f t="shared" si="186"/>
        <v>-1179318.1454369086</v>
      </c>
      <c r="M299" s="9">
        <f t="shared" si="187"/>
        <v>-4681813.6615498783</v>
      </c>
      <c r="N299" s="12">
        <f t="shared" si="190"/>
        <v>-91338.726444798245</v>
      </c>
      <c r="O299" s="12">
        <f t="shared" si="188"/>
        <v>-4590474.9351050798</v>
      </c>
      <c r="P299" s="9">
        <f t="shared" si="176"/>
        <v>-629631.71574613871</v>
      </c>
      <c r="Q299" s="12">
        <f t="shared" si="189"/>
        <v>-271912.7759529826</v>
      </c>
      <c r="R299" s="12">
        <f t="shared" si="189"/>
        <v>-318874.25751415867</v>
      </c>
      <c r="S299" s="12">
        <f t="shared" si="189"/>
        <v>-38844.682278997512</v>
      </c>
      <c r="T299" s="12">
        <f t="shared" si="189"/>
        <v>-530749.97013540997</v>
      </c>
      <c r="U299" s="12">
        <f t="shared" si="189"/>
        <v>0</v>
      </c>
      <c r="V299" s="12">
        <f t="shared" si="189"/>
        <v>-11015.656168670939</v>
      </c>
      <c r="W299" s="27">
        <f t="shared" si="171"/>
        <v>-1.862645149230957E-9</v>
      </c>
      <c r="X299" s="3"/>
      <c r="Y299" s="3"/>
      <c r="Z299" s="3"/>
      <c r="AA299" s="3"/>
      <c r="AB299" s="3"/>
      <c r="AC299" s="3"/>
    </row>
    <row r="300" spans="1:29" x14ac:dyDescent="0.2">
      <c r="A300" s="3">
        <f t="shared" si="163"/>
        <v>48</v>
      </c>
      <c r="B300" s="3" t="s">
        <v>544</v>
      </c>
      <c r="C300" s="3" t="s">
        <v>566</v>
      </c>
      <c r="D300" s="78" t="s">
        <v>377</v>
      </c>
      <c r="E300" s="4" t="s">
        <v>605</v>
      </c>
      <c r="F300" s="11"/>
      <c r="G300" s="78"/>
      <c r="H300" s="2">
        <f>'II-I TOTAL COMPANY'!L300</f>
        <v>0</v>
      </c>
      <c r="I300" s="66">
        <v>0</v>
      </c>
      <c r="J300" s="66">
        <f t="shared" ca="1" si="185"/>
        <v>0</v>
      </c>
      <c r="K300" s="12">
        <f t="shared" ca="1" si="186"/>
        <v>0</v>
      </c>
      <c r="L300" s="12">
        <f t="shared" ca="1" si="186"/>
        <v>0</v>
      </c>
      <c r="M300" s="9">
        <f t="shared" ca="1" si="187"/>
        <v>0</v>
      </c>
      <c r="N300" s="12">
        <f t="shared" ca="1" si="190"/>
        <v>0</v>
      </c>
      <c r="O300" s="12">
        <f t="shared" ca="1" si="188"/>
        <v>0</v>
      </c>
      <c r="P300" s="9">
        <f t="shared" ca="1" si="176"/>
        <v>0</v>
      </c>
      <c r="Q300" s="12">
        <f t="shared" ca="1" si="189"/>
        <v>0</v>
      </c>
      <c r="R300" s="12">
        <f t="shared" ca="1" si="189"/>
        <v>0</v>
      </c>
      <c r="S300" s="12">
        <f t="shared" ca="1" si="189"/>
        <v>0</v>
      </c>
      <c r="T300" s="12">
        <f t="shared" ca="1" si="189"/>
        <v>0</v>
      </c>
      <c r="U300" s="12">
        <f t="shared" ca="1" si="189"/>
        <v>0</v>
      </c>
      <c r="V300" s="12">
        <f t="shared" ca="1" si="189"/>
        <v>0</v>
      </c>
      <c r="W300" s="27" t="str">
        <f t="shared" ca="1" si="171"/>
        <v>OK</v>
      </c>
      <c r="X300" s="3"/>
      <c r="Y300" s="3"/>
      <c r="Z300" s="3"/>
      <c r="AA300" s="3"/>
      <c r="AB300" s="3"/>
      <c r="AC300" s="3"/>
    </row>
    <row r="301" spans="1:29" x14ac:dyDescent="0.2">
      <c r="A301" s="3">
        <f t="shared" si="163"/>
        <v>49</v>
      </c>
      <c r="B301" s="3" t="s">
        <v>544</v>
      </c>
      <c r="C301" s="3" t="s">
        <v>568</v>
      </c>
      <c r="D301" s="3" t="s">
        <v>395</v>
      </c>
      <c r="E301" s="4" t="s">
        <v>605</v>
      </c>
      <c r="F301" s="11"/>
      <c r="G301" s="3"/>
      <c r="H301" s="2">
        <f>'II-I TOTAL COMPANY'!L301</f>
        <v>0</v>
      </c>
      <c r="I301" s="66">
        <v>0</v>
      </c>
      <c r="J301" s="66">
        <f t="shared" si="185"/>
        <v>0</v>
      </c>
      <c r="K301" s="12">
        <f t="shared" si="186"/>
        <v>0</v>
      </c>
      <c r="L301" s="12">
        <f t="shared" si="186"/>
        <v>0</v>
      </c>
      <c r="M301" s="9">
        <f t="shared" si="187"/>
        <v>0</v>
      </c>
      <c r="N301" s="12">
        <f t="shared" si="190"/>
        <v>0</v>
      </c>
      <c r="O301" s="12">
        <f t="shared" si="188"/>
        <v>0</v>
      </c>
      <c r="P301" s="9">
        <f t="shared" si="176"/>
        <v>0</v>
      </c>
      <c r="Q301" s="12">
        <f t="shared" si="189"/>
        <v>0</v>
      </c>
      <c r="R301" s="12">
        <f t="shared" si="189"/>
        <v>0</v>
      </c>
      <c r="S301" s="12">
        <f t="shared" si="189"/>
        <v>0</v>
      </c>
      <c r="T301" s="12">
        <f t="shared" si="189"/>
        <v>0</v>
      </c>
      <c r="U301" s="12">
        <f t="shared" si="189"/>
        <v>0</v>
      </c>
      <c r="V301" s="12">
        <f t="shared" si="189"/>
        <v>0</v>
      </c>
      <c r="W301" s="27" t="str">
        <f t="shared" si="171"/>
        <v>OK</v>
      </c>
      <c r="X301" s="3"/>
      <c r="Y301" s="3"/>
      <c r="Z301" s="3"/>
      <c r="AA301" s="3"/>
      <c r="AB301" s="3"/>
      <c r="AC301" s="3"/>
    </row>
    <row r="302" spans="1:29" x14ac:dyDescent="0.2">
      <c r="A302" s="3">
        <f t="shared" si="163"/>
        <v>50</v>
      </c>
      <c r="B302" s="3" t="s">
        <v>544</v>
      </c>
      <c r="C302" s="3" t="s">
        <v>567</v>
      </c>
      <c r="D302" s="78" t="s">
        <v>331</v>
      </c>
      <c r="E302" s="4" t="s">
        <v>605</v>
      </c>
      <c r="F302" s="11"/>
      <c r="G302" s="3"/>
      <c r="H302" s="2">
        <f>'II-I TOTAL COMPANY'!L302</f>
        <v>-3939091.3101931741</v>
      </c>
      <c r="I302" s="66">
        <v>0</v>
      </c>
      <c r="J302" s="66">
        <f t="shared" si="185"/>
        <v>-3939091.3101931731</v>
      </c>
      <c r="K302" s="12">
        <f t="shared" si="186"/>
        <v>-1846672.6875462001</v>
      </c>
      <c r="L302" s="12">
        <f t="shared" si="186"/>
        <v>-350887.59637428349</v>
      </c>
      <c r="M302" s="9">
        <f t="shared" si="187"/>
        <v>-1393000.1405726748</v>
      </c>
      <c r="N302" s="12">
        <f t="shared" si="190"/>
        <v>-27176.403841585809</v>
      </c>
      <c r="O302" s="12">
        <f t="shared" si="188"/>
        <v>-1365823.736731089</v>
      </c>
      <c r="P302" s="9">
        <f t="shared" si="176"/>
        <v>-187337.03046460764</v>
      </c>
      <c r="Q302" s="12">
        <f t="shared" si="189"/>
        <v>-80903.37687652024</v>
      </c>
      <c r="R302" s="12">
        <f t="shared" si="189"/>
        <v>-94876.028320013065</v>
      </c>
      <c r="S302" s="12">
        <f t="shared" si="189"/>
        <v>-11557.62526807432</v>
      </c>
      <c r="T302" s="12">
        <f t="shared" si="189"/>
        <v>-157916.31971162604</v>
      </c>
      <c r="U302" s="12">
        <f t="shared" si="189"/>
        <v>0</v>
      </c>
      <c r="V302" s="12">
        <f t="shared" si="189"/>
        <v>-3277.5355237822705</v>
      </c>
      <c r="W302" s="27">
        <f t="shared" si="171"/>
        <v>-4.6566128730773926E-10</v>
      </c>
      <c r="X302" s="3"/>
      <c r="Y302" s="3"/>
      <c r="Z302" s="3"/>
      <c r="AA302" s="3"/>
      <c r="AB302" s="3"/>
      <c r="AC302" s="3"/>
    </row>
    <row r="303" spans="1:29" x14ac:dyDescent="0.2">
      <c r="A303" s="3">
        <f t="shared" si="163"/>
        <v>51</v>
      </c>
      <c r="B303" s="3" t="s">
        <v>544</v>
      </c>
      <c r="C303" s="3" t="s">
        <v>546</v>
      </c>
      <c r="D303" s="78" t="s">
        <v>313</v>
      </c>
      <c r="E303" s="4" t="s">
        <v>605</v>
      </c>
      <c r="F303" s="11"/>
      <c r="G303" s="78"/>
      <c r="H303" s="2">
        <f>'II-I TOTAL COMPANY'!L303</f>
        <v>0</v>
      </c>
      <c r="I303" s="66">
        <v>0</v>
      </c>
      <c r="J303" s="66">
        <f t="shared" ca="1" si="185"/>
        <v>0</v>
      </c>
      <c r="K303" s="12">
        <f t="shared" ca="1" si="186"/>
        <v>0</v>
      </c>
      <c r="L303" s="12">
        <f t="shared" ca="1" si="186"/>
        <v>0</v>
      </c>
      <c r="M303" s="9">
        <f t="shared" ca="1" si="187"/>
        <v>0</v>
      </c>
      <c r="N303" s="12">
        <f t="shared" ca="1" si="190"/>
        <v>0</v>
      </c>
      <c r="O303" s="12">
        <f t="shared" ca="1" si="188"/>
        <v>0</v>
      </c>
      <c r="P303" s="9">
        <f t="shared" ca="1" si="176"/>
        <v>0</v>
      </c>
      <c r="Q303" s="12">
        <f t="shared" ca="1" si="189"/>
        <v>0</v>
      </c>
      <c r="R303" s="12">
        <f t="shared" ca="1" si="189"/>
        <v>0</v>
      </c>
      <c r="S303" s="12">
        <f t="shared" ca="1" si="189"/>
        <v>0</v>
      </c>
      <c r="T303" s="12">
        <f t="shared" ca="1" si="189"/>
        <v>0</v>
      </c>
      <c r="U303" s="12">
        <f t="shared" ca="1" si="189"/>
        <v>0</v>
      </c>
      <c r="V303" s="12">
        <f t="shared" ca="1" si="189"/>
        <v>0</v>
      </c>
      <c r="W303" s="27" t="str">
        <f t="shared" ca="1" si="171"/>
        <v>OK</v>
      </c>
      <c r="X303" s="3"/>
      <c r="Y303" s="3"/>
      <c r="Z303" s="3"/>
      <c r="AA303" s="3"/>
      <c r="AB303" s="3"/>
      <c r="AC303" s="3"/>
    </row>
    <row r="304" spans="1:29" x14ac:dyDescent="0.2">
      <c r="A304" s="3">
        <f t="shared" si="163"/>
        <v>52</v>
      </c>
      <c r="B304" s="3"/>
      <c r="C304" s="3" t="s">
        <v>545</v>
      </c>
      <c r="D304" s="78" t="s">
        <v>331</v>
      </c>
      <c r="E304" s="4" t="s">
        <v>591</v>
      </c>
      <c r="F304" s="11"/>
      <c r="G304" s="78"/>
      <c r="H304" s="2">
        <f>'II-I TOTAL COMPANY'!L304</f>
        <v>0</v>
      </c>
      <c r="I304" s="66">
        <v>0</v>
      </c>
      <c r="J304" s="66">
        <f t="shared" si="185"/>
        <v>0</v>
      </c>
      <c r="K304" s="12">
        <f t="shared" si="186"/>
        <v>0</v>
      </c>
      <c r="L304" s="12">
        <f t="shared" si="186"/>
        <v>0</v>
      </c>
      <c r="M304" s="9">
        <f t="shared" si="187"/>
        <v>0</v>
      </c>
      <c r="N304" s="12">
        <f t="shared" si="190"/>
        <v>0</v>
      </c>
      <c r="O304" s="12">
        <f t="shared" si="188"/>
        <v>0</v>
      </c>
      <c r="P304" s="9">
        <f t="shared" si="176"/>
        <v>0</v>
      </c>
      <c r="Q304" s="12">
        <f t="shared" si="189"/>
        <v>0</v>
      </c>
      <c r="R304" s="12">
        <f t="shared" si="189"/>
        <v>0</v>
      </c>
      <c r="S304" s="12">
        <f t="shared" si="189"/>
        <v>0</v>
      </c>
      <c r="T304" s="12">
        <f t="shared" si="189"/>
        <v>0</v>
      </c>
      <c r="U304" s="12">
        <f t="shared" si="189"/>
        <v>0</v>
      </c>
      <c r="V304" s="12">
        <f t="shared" si="189"/>
        <v>0</v>
      </c>
      <c r="W304" s="27" t="str">
        <f t="shared" si="171"/>
        <v>OK</v>
      </c>
      <c r="X304" s="3"/>
      <c r="Y304" s="3"/>
      <c r="Z304" s="3"/>
      <c r="AA304" s="3"/>
      <c r="AB304" s="3"/>
      <c r="AC304" s="3"/>
    </row>
    <row r="305" spans="1:29" x14ac:dyDescent="0.2">
      <c r="A305" s="3">
        <f t="shared" si="163"/>
        <v>53</v>
      </c>
      <c r="B305" s="3"/>
      <c r="C305" s="3"/>
      <c r="D305" s="78"/>
      <c r="E305" s="4"/>
      <c r="F305" s="4"/>
      <c r="G305" s="4"/>
      <c r="H305" s="2"/>
      <c r="I305" s="66"/>
      <c r="J305" s="66"/>
      <c r="K305" s="12"/>
      <c r="L305" s="12"/>
      <c r="M305" s="12"/>
      <c r="N305" s="12"/>
      <c r="O305" s="12"/>
      <c r="P305" s="9">
        <f t="shared" si="176"/>
        <v>0</v>
      </c>
      <c r="Q305" s="12"/>
      <c r="R305" s="12"/>
      <c r="S305" s="12"/>
      <c r="T305" s="12"/>
      <c r="U305" s="12"/>
      <c r="V305" s="12"/>
      <c r="W305" s="27" t="str">
        <f t="shared" si="171"/>
        <v>OK</v>
      </c>
      <c r="X305" s="3"/>
      <c r="Y305" s="3"/>
      <c r="Z305" s="3"/>
      <c r="AA305" s="3"/>
      <c r="AB305" s="3"/>
      <c r="AC305" s="3"/>
    </row>
    <row r="306" spans="1:29" x14ac:dyDescent="0.2">
      <c r="A306" s="3">
        <f t="shared" si="163"/>
        <v>54</v>
      </c>
      <c r="B306" s="3"/>
      <c r="C306" s="3" t="s">
        <v>137</v>
      </c>
      <c r="D306" s="3"/>
      <c r="E306" s="4"/>
      <c r="F306" s="8"/>
      <c r="G306" s="8"/>
      <c r="H306" s="8">
        <f>SUM(H296:H304)</f>
        <v>-15875664.841461696</v>
      </c>
      <c r="I306" s="8">
        <f>SUM(I296:I304)</f>
        <v>0</v>
      </c>
      <c r="J306" s="66">
        <f t="shared" ca="1" si="185"/>
        <v>-15875664.841461698</v>
      </c>
      <c r="K306" s="8">
        <f ca="1">SUM(K296:K304)</f>
        <v>-7442619.2110603983</v>
      </c>
      <c r="L306" s="8">
        <f ca="1">SUM(L296:L304)</f>
        <v>-1414177.3922958472</v>
      </c>
      <c r="M306" s="9">
        <f ca="1">SUM(N306:O306)</f>
        <v>-5614189.0640144357</v>
      </c>
      <c r="N306" s="8">
        <f ca="1">SUM(N296:N304)</f>
        <v>-109528.68187360458</v>
      </c>
      <c r="O306" s="8">
        <f ca="1">SUM(O296:O304)</f>
        <v>-5504660.3821408311</v>
      </c>
      <c r="P306" s="9">
        <f t="shared" ca="1" si="176"/>
        <v>-755021.82453977177</v>
      </c>
      <c r="Q306" s="8">
        <f t="shared" ref="Q306:V306" ca="1" si="191">SUM(Q296:Q304)</f>
        <v>-326063.7529550211</v>
      </c>
      <c r="R306" s="8">
        <f t="shared" ca="1" si="191"/>
        <v>-382377.53544831899</v>
      </c>
      <c r="S306" s="8">
        <f t="shared" ca="1" si="191"/>
        <v>-46580.53613643159</v>
      </c>
      <c r="T306" s="8">
        <f t="shared" ca="1" si="191"/>
        <v>-636447.94378121197</v>
      </c>
      <c r="U306" s="8">
        <f t="shared" ca="1" si="191"/>
        <v>0</v>
      </c>
      <c r="V306" s="8">
        <f t="shared" ca="1" si="191"/>
        <v>-13209.405770032841</v>
      </c>
      <c r="W306" s="27">
        <f t="shared" ca="1" si="171"/>
        <v>-1.862645149230957E-9</v>
      </c>
      <c r="X306" s="3"/>
      <c r="Y306" s="3"/>
      <c r="Z306" s="3"/>
      <c r="AA306" s="3"/>
      <c r="AB306" s="3"/>
      <c r="AC306" s="3"/>
    </row>
    <row r="307" spans="1:29" x14ac:dyDescent="0.2">
      <c r="A307" s="3">
        <f t="shared" si="163"/>
        <v>55</v>
      </c>
      <c r="B307" s="3"/>
      <c r="C307" s="3"/>
      <c r="D307" s="3"/>
      <c r="E307" s="4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9">
        <f t="shared" si="176"/>
        <v>0</v>
      </c>
      <c r="Q307" s="8"/>
      <c r="R307" s="8"/>
      <c r="S307" s="8"/>
      <c r="T307" s="8"/>
      <c r="U307" s="8"/>
      <c r="V307" s="8"/>
      <c r="W307" s="27" t="str">
        <f t="shared" si="171"/>
        <v>OK</v>
      </c>
      <c r="X307" s="3"/>
      <c r="Y307" s="3"/>
      <c r="Z307" s="3"/>
      <c r="AA307" s="3"/>
      <c r="AB307" s="3"/>
      <c r="AC307" s="3"/>
    </row>
    <row r="308" spans="1:29" x14ac:dyDescent="0.2">
      <c r="A308" s="3">
        <f t="shared" si="163"/>
        <v>56</v>
      </c>
      <c r="B308" s="3"/>
      <c r="C308" s="3" t="s">
        <v>138</v>
      </c>
      <c r="D308" s="3"/>
      <c r="E308" s="4"/>
      <c r="F308" s="8"/>
      <c r="G308" s="8"/>
      <c r="H308" s="8">
        <f>H249+H253+H259+H266+H270+H276+H292+H306</f>
        <v>117234158.23870662</v>
      </c>
      <c r="I308" s="8">
        <f>I249+I253+I259+I266+I270+I276+I292+I306</f>
        <v>0</v>
      </c>
      <c r="J308" s="66">
        <f t="shared" ca="1" si="185"/>
        <v>117234158.23870662</v>
      </c>
      <c r="K308" s="8">
        <f ca="1">K249+K253+K259+K266+K270+K276+K292+K306</f>
        <v>54960901.180540003</v>
      </c>
      <c r="L308" s="8">
        <f ca="1">L249+L253+L259+L266+L270+L276+L292+L306</f>
        <v>10442495.165480319</v>
      </c>
      <c r="M308" s="9">
        <f ca="1">SUM(N308:O308)</f>
        <v>41457664.399036199</v>
      </c>
      <c r="N308" s="8">
        <f ca="1">N249+N253+N259+N266+N270+N276+N292+N306</f>
        <v>809067.22056775948</v>
      </c>
      <c r="O308" s="8">
        <f ca="1">O249+O253+O259+O266+O270+O276+O292+O306</f>
        <v>40648597.178468436</v>
      </c>
      <c r="P308" s="9">
        <f t="shared" ca="1" si="176"/>
        <v>5575887.4929973548</v>
      </c>
      <c r="Q308" s="8">
        <f t="shared" ref="Q308:V308" ca="1" si="192">Q249+Q253+Q259+Q266+Q270+Q276+Q292+Q306</f>
        <v>2408298.5276421765</v>
      </c>
      <c r="R308" s="8">
        <f t="shared" ca="1" si="192"/>
        <v>2823537.4748665821</v>
      </c>
      <c r="S308" s="8">
        <f t="shared" ca="1" si="192"/>
        <v>344051.49048859649</v>
      </c>
      <c r="T308" s="8">
        <f t="shared" ca="1" si="192"/>
        <v>4699558.5196833545</v>
      </c>
      <c r="U308" s="8">
        <f t="shared" ca="1" si="192"/>
        <v>83.913243592985353</v>
      </c>
      <c r="V308" s="8">
        <f t="shared" ca="1" si="192"/>
        <v>97567.567725773319</v>
      </c>
      <c r="W308" s="27">
        <f t="shared" ca="1" si="171"/>
        <v>-1.4901161193847656E-8</v>
      </c>
      <c r="X308" s="3"/>
      <c r="Y308" s="3"/>
      <c r="Z308" s="3"/>
      <c r="AA308" s="3"/>
      <c r="AB308" s="3"/>
      <c r="AC308" s="3"/>
    </row>
    <row r="309" spans="1:29" x14ac:dyDescent="0.2">
      <c r="A309" s="3"/>
      <c r="B309" s="3"/>
      <c r="C309" s="3"/>
      <c r="D309" s="3"/>
      <c r="E309" s="4"/>
      <c r="F309" s="4"/>
      <c r="G309" s="4"/>
      <c r="H309" s="8"/>
      <c r="I309" s="8"/>
      <c r="J309" s="8"/>
      <c r="K309" s="8"/>
      <c r="L309" s="8"/>
      <c r="M309" s="8"/>
      <c r="N309" s="8"/>
      <c r="O309" s="8"/>
      <c r="P309" s="9">
        <f t="shared" si="176"/>
        <v>0</v>
      </c>
      <c r="Q309" s="8"/>
      <c r="R309" s="8"/>
      <c r="S309" s="8"/>
      <c r="T309" s="8"/>
      <c r="U309" s="8"/>
      <c r="V309" s="8"/>
      <c r="W309" s="27" t="str">
        <f t="shared" si="171"/>
        <v>OK</v>
      </c>
      <c r="X309" s="3"/>
      <c r="Y309" s="3"/>
      <c r="Z309" s="3"/>
      <c r="AA309" s="3"/>
      <c r="AB309" s="3"/>
      <c r="AC309" s="3"/>
    </row>
    <row r="310" spans="1:29" x14ac:dyDescent="0.2">
      <c r="A310" s="3"/>
      <c r="B310" s="3"/>
      <c r="C310" s="3"/>
      <c r="D310" s="3"/>
      <c r="E310" s="4"/>
      <c r="F310" s="4"/>
      <c r="G310" s="4"/>
      <c r="H310" s="8"/>
      <c r="I310" s="8"/>
      <c r="J310" s="8"/>
      <c r="K310" s="8"/>
      <c r="L310" s="8"/>
      <c r="M310" s="8"/>
      <c r="N310" s="8"/>
      <c r="O310" s="8"/>
      <c r="P310" s="9">
        <f t="shared" si="176"/>
        <v>0</v>
      </c>
      <c r="Q310" s="8"/>
      <c r="R310" s="8"/>
      <c r="S310" s="8"/>
      <c r="T310" s="8"/>
      <c r="U310" s="8"/>
      <c r="V310" s="8"/>
      <c r="W310" s="27" t="str">
        <f t="shared" si="171"/>
        <v>OK</v>
      </c>
      <c r="X310" s="3"/>
      <c r="Y310" s="3"/>
      <c r="Z310" s="3"/>
      <c r="AA310" s="3"/>
      <c r="AB310" s="3"/>
      <c r="AC310" s="3"/>
    </row>
    <row r="311" spans="1:29" x14ac:dyDescent="0.2">
      <c r="A311" s="3"/>
      <c r="B311" s="3"/>
      <c r="C311" s="18"/>
      <c r="D311" s="177"/>
      <c r="E311" s="4"/>
      <c r="F311" s="4"/>
      <c r="G311" s="4"/>
      <c r="H311" s="20"/>
      <c r="I311" s="20"/>
      <c r="J311" s="66"/>
      <c r="K311" s="20"/>
      <c r="L311" s="20"/>
      <c r="M311" s="9"/>
      <c r="N311" s="20"/>
      <c r="O311" s="20"/>
      <c r="P311" s="9">
        <f t="shared" si="176"/>
        <v>0</v>
      </c>
      <c r="Q311" s="20"/>
      <c r="R311" s="20"/>
      <c r="S311" s="20"/>
      <c r="T311" s="20"/>
      <c r="U311" s="20"/>
      <c r="V311" s="20"/>
      <c r="W311" s="27" t="str">
        <f t="shared" si="171"/>
        <v>OK</v>
      </c>
      <c r="X311" s="3"/>
      <c r="Y311" s="3"/>
      <c r="Z311" s="3"/>
      <c r="AA311" s="3"/>
      <c r="AB311" s="3"/>
      <c r="AC311" s="3"/>
    </row>
    <row r="312" spans="1:29" x14ac:dyDescent="0.2">
      <c r="A312" s="3"/>
      <c r="B312" s="3"/>
      <c r="C312" s="18"/>
      <c r="D312" s="21"/>
      <c r="E312" s="4"/>
      <c r="F312" s="4"/>
      <c r="G312" s="4"/>
      <c r="H312" s="8"/>
      <c r="I312" s="8"/>
      <c r="J312" s="8"/>
      <c r="K312" s="8"/>
      <c r="L312" s="8"/>
      <c r="M312" s="8"/>
      <c r="N312" s="8"/>
      <c r="O312" s="8"/>
      <c r="P312" s="9">
        <f t="shared" si="176"/>
        <v>0</v>
      </c>
      <c r="Q312" s="8"/>
      <c r="R312" s="8"/>
      <c r="S312" s="8"/>
      <c r="T312" s="8"/>
      <c r="U312" s="8"/>
      <c r="V312" s="8"/>
      <c r="W312" s="27" t="str">
        <f t="shared" si="171"/>
        <v>OK</v>
      </c>
      <c r="X312" s="3"/>
      <c r="Y312" s="3"/>
      <c r="Z312" s="3"/>
      <c r="AA312" s="3"/>
      <c r="AB312" s="3"/>
      <c r="AC312" s="3"/>
    </row>
    <row r="313" spans="1:29" x14ac:dyDescent="0.2">
      <c r="A313" s="3"/>
      <c r="B313" s="3"/>
      <c r="C313" s="18"/>
      <c r="D313" s="18"/>
      <c r="E313" s="4"/>
      <c r="F313" s="4"/>
      <c r="G313" s="4"/>
      <c r="H313" s="22"/>
      <c r="I313" s="22"/>
      <c r="J313" s="66"/>
      <c r="K313" s="22"/>
      <c r="L313" s="22"/>
      <c r="M313" s="9"/>
      <c r="N313" s="22"/>
      <c r="O313" s="22"/>
      <c r="P313" s="9">
        <f t="shared" si="176"/>
        <v>0</v>
      </c>
      <c r="Q313" s="22"/>
      <c r="R313" s="22"/>
      <c r="S313" s="22"/>
      <c r="T313" s="22"/>
      <c r="U313" s="22"/>
      <c r="V313" s="22"/>
      <c r="W313" s="27" t="str">
        <f t="shared" si="171"/>
        <v>OK</v>
      </c>
      <c r="X313" s="3"/>
      <c r="Y313" s="3"/>
      <c r="Z313" s="3"/>
      <c r="AA313" s="3"/>
      <c r="AB313" s="3"/>
      <c r="AC313" s="3"/>
    </row>
    <row r="314" spans="1:29" x14ac:dyDescent="0.2">
      <c r="A314" s="3"/>
      <c r="B314" s="3"/>
      <c r="C314" s="18"/>
      <c r="D314" s="18"/>
      <c r="E314" s="40"/>
      <c r="F314" s="40"/>
      <c r="G314" s="40"/>
      <c r="H314" s="22"/>
      <c r="I314" s="22"/>
      <c r="J314" s="22"/>
      <c r="K314" s="22"/>
      <c r="L314" s="22"/>
      <c r="M314" s="3"/>
      <c r="N314" s="3"/>
      <c r="O314" s="3"/>
      <c r="P314" s="9">
        <f t="shared" si="176"/>
        <v>0</v>
      </c>
      <c r="Q314" s="3"/>
      <c r="R314" s="3"/>
      <c r="S314" s="3"/>
      <c r="T314" s="3"/>
      <c r="U314" s="3"/>
      <c r="V314" s="3"/>
      <c r="W314" s="27" t="str">
        <f t="shared" si="171"/>
        <v>OK</v>
      </c>
      <c r="X314" s="3"/>
      <c r="Y314" s="3"/>
      <c r="Z314" s="3"/>
      <c r="AA314" s="3"/>
      <c r="AB314" s="3"/>
      <c r="AC314" s="3"/>
    </row>
    <row r="315" spans="1:29" x14ac:dyDescent="0.2">
      <c r="A315" s="3"/>
      <c r="B315" s="7" t="s">
        <v>139</v>
      </c>
      <c r="C315" s="18"/>
      <c r="D315" s="18"/>
      <c r="E315" s="40"/>
      <c r="F315" s="40"/>
      <c r="G315" s="40"/>
      <c r="H315" s="22"/>
      <c r="I315" s="22"/>
      <c r="J315" s="22"/>
      <c r="K315" s="22"/>
      <c r="L315" s="22"/>
      <c r="M315" s="3"/>
      <c r="N315" s="3"/>
      <c r="O315" s="3"/>
      <c r="P315" s="9">
        <f t="shared" si="176"/>
        <v>0</v>
      </c>
      <c r="Q315" s="3"/>
      <c r="R315" s="3"/>
      <c r="S315" s="3"/>
      <c r="T315" s="3"/>
      <c r="U315" s="3"/>
      <c r="V315" s="3"/>
      <c r="W315" s="27" t="str">
        <f t="shared" si="171"/>
        <v>OK</v>
      </c>
      <c r="X315" s="3"/>
      <c r="Y315" s="3"/>
      <c r="Z315" s="3"/>
      <c r="AA315" s="3"/>
      <c r="AB315" s="3"/>
      <c r="AC315" s="3"/>
    </row>
    <row r="316" spans="1:29" x14ac:dyDescent="0.2">
      <c r="A316" s="3">
        <v>1</v>
      </c>
      <c r="B316" s="3" t="s">
        <v>147</v>
      </c>
      <c r="C316" s="3" t="s">
        <v>148</v>
      </c>
      <c r="D316" s="78" t="s">
        <v>366</v>
      </c>
      <c r="E316" s="4" t="s">
        <v>591</v>
      </c>
      <c r="F316" s="11"/>
      <c r="G316" s="11"/>
      <c r="H316" s="2">
        <f>'II-I TOTAL COMPANY'!L316</f>
        <v>0</v>
      </c>
      <c r="I316" s="66">
        <v>0</v>
      </c>
      <c r="J316" s="66">
        <f t="shared" ref="J316:J318" si="193">SUM(K316:V316)-M316-P316</f>
        <v>0</v>
      </c>
      <c r="K316" s="12">
        <f>VLOOKUP($D316,$E$741:$V$815,K$1,FALSE)*$H316</f>
        <v>0</v>
      </c>
      <c r="L316" s="12">
        <f>VLOOKUP($D316,$E$741:$V$815,L$1,FALSE)*$H316</f>
        <v>0</v>
      </c>
      <c r="M316" s="9">
        <f>SUM(N316:O316)</f>
        <v>0</v>
      </c>
      <c r="N316" s="12">
        <f>VLOOKUP($D316,$E$741:$V$815,N$1,FALSE)*$H316</f>
        <v>0</v>
      </c>
      <c r="O316" s="12">
        <f>VLOOKUP($D316,$E$741:$V$815,O$1,FALSE)*$H316</f>
        <v>0</v>
      </c>
      <c r="P316" s="9">
        <f t="shared" si="176"/>
        <v>0</v>
      </c>
      <c r="Q316" s="12">
        <f t="shared" ref="Q316:V317" si="194">VLOOKUP($D316,$E$741:$V$815,Q$1,FALSE)*$H316</f>
        <v>0</v>
      </c>
      <c r="R316" s="12">
        <f t="shared" si="194"/>
        <v>0</v>
      </c>
      <c r="S316" s="12">
        <f t="shared" si="194"/>
        <v>0</v>
      </c>
      <c r="T316" s="12">
        <f t="shared" si="194"/>
        <v>0</v>
      </c>
      <c r="U316" s="12">
        <f t="shared" si="194"/>
        <v>0</v>
      </c>
      <c r="V316" s="12">
        <f t="shared" si="194"/>
        <v>0</v>
      </c>
      <c r="W316" s="27" t="str">
        <f t="shared" si="171"/>
        <v>OK</v>
      </c>
      <c r="X316" s="3"/>
      <c r="Y316" s="3"/>
      <c r="Z316" s="3"/>
      <c r="AA316" s="3"/>
      <c r="AB316" s="3"/>
      <c r="AC316" s="3"/>
    </row>
    <row r="317" spans="1:29" x14ac:dyDescent="0.2">
      <c r="A317" s="3">
        <f>+A316+1</f>
        <v>2</v>
      </c>
      <c r="B317" s="3" t="s">
        <v>149</v>
      </c>
      <c r="C317" s="3" t="s">
        <v>150</v>
      </c>
      <c r="D317" s="78" t="s">
        <v>366</v>
      </c>
      <c r="E317" s="4" t="s">
        <v>591</v>
      </c>
      <c r="F317" s="11"/>
      <c r="G317" s="11"/>
      <c r="H317" s="2">
        <f>'II-I TOTAL COMPANY'!L317</f>
        <v>0</v>
      </c>
      <c r="I317" s="66">
        <v>0</v>
      </c>
      <c r="J317" s="66">
        <f t="shared" si="193"/>
        <v>0</v>
      </c>
      <c r="K317" s="12">
        <f>VLOOKUP($D317,$E$741:$V$815,K$1,FALSE)*$H317</f>
        <v>0</v>
      </c>
      <c r="L317" s="12">
        <f>VLOOKUP($D317,$E$741:$V$815,L$1,FALSE)*$H317</f>
        <v>0</v>
      </c>
      <c r="M317" s="9">
        <f>SUM(N317:O317)</f>
        <v>0</v>
      </c>
      <c r="N317" s="12">
        <f>VLOOKUP($D317,$E$741:$V$815,N$1,FALSE)*$H317</f>
        <v>0</v>
      </c>
      <c r="O317" s="12">
        <f>VLOOKUP($D317,$E$741:$V$815,O$1,FALSE)*$H317</f>
        <v>0</v>
      </c>
      <c r="P317" s="9">
        <f t="shared" si="176"/>
        <v>0</v>
      </c>
      <c r="Q317" s="12">
        <f t="shared" si="194"/>
        <v>0</v>
      </c>
      <c r="R317" s="12">
        <f t="shared" si="194"/>
        <v>0</v>
      </c>
      <c r="S317" s="12">
        <f t="shared" si="194"/>
        <v>0</v>
      </c>
      <c r="T317" s="12">
        <f t="shared" si="194"/>
        <v>0</v>
      </c>
      <c r="U317" s="12">
        <f t="shared" si="194"/>
        <v>0</v>
      </c>
      <c r="V317" s="12">
        <f t="shared" si="194"/>
        <v>0</v>
      </c>
      <c r="W317" s="27" t="str">
        <f t="shared" si="171"/>
        <v>OK</v>
      </c>
      <c r="X317" s="3"/>
      <c r="Y317" s="3"/>
      <c r="Z317" s="3"/>
      <c r="AA317" s="3"/>
      <c r="AB317" s="3"/>
      <c r="AC317" s="3"/>
    </row>
    <row r="318" spans="1:29" x14ac:dyDescent="0.2">
      <c r="A318" s="3">
        <f>+A317+1</f>
        <v>3</v>
      </c>
      <c r="B318" s="3"/>
      <c r="C318" s="3" t="s">
        <v>135</v>
      </c>
      <c r="D318" s="3"/>
      <c r="E318" s="4"/>
      <c r="F318" s="4"/>
      <c r="G318" s="4"/>
      <c r="H318" s="8">
        <f t="shared" ref="H318:V318" si="195">SUM(H316:H317)</f>
        <v>0</v>
      </c>
      <c r="I318" s="8">
        <v>0</v>
      </c>
      <c r="J318" s="66">
        <f t="shared" si="193"/>
        <v>0</v>
      </c>
      <c r="K318" s="8">
        <f t="shared" si="195"/>
        <v>0</v>
      </c>
      <c r="L318" s="8">
        <f t="shared" si="195"/>
        <v>0</v>
      </c>
      <c r="M318" s="9">
        <f>SUM(N318:O318)</f>
        <v>0</v>
      </c>
      <c r="N318" s="8">
        <f t="shared" si="195"/>
        <v>0</v>
      </c>
      <c r="O318" s="8">
        <f t="shared" si="195"/>
        <v>0</v>
      </c>
      <c r="P318" s="9">
        <f t="shared" si="176"/>
        <v>0</v>
      </c>
      <c r="Q318" s="8">
        <f t="shared" si="195"/>
        <v>0</v>
      </c>
      <c r="R318" s="8">
        <f t="shared" si="195"/>
        <v>0</v>
      </c>
      <c r="S318" s="8">
        <f>SUM(S316:S317)</f>
        <v>0</v>
      </c>
      <c r="T318" s="8">
        <f t="shared" si="195"/>
        <v>0</v>
      </c>
      <c r="U318" s="8">
        <f t="shared" si="195"/>
        <v>0</v>
      </c>
      <c r="V318" s="8">
        <f t="shared" si="195"/>
        <v>0</v>
      </c>
      <c r="W318" s="27" t="str">
        <f t="shared" si="171"/>
        <v>OK</v>
      </c>
      <c r="X318" s="3"/>
      <c r="Y318" s="3"/>
      <c r="Z318" s="3"/>
      <c r="AA318" s="3"/>
      <c r="AB318" s="3"/>
      <c r="AC318" s="3"/>
    </row>
    <row r="319" spans="1:29" x14ac:dyDescent="0.2">
      <c r="A319" s="3">
        <f>+A318+1</f>
        <v>4</v>
      </c>
      <c r="B319" s="3"/>
      <c r="C319" s="3"/>
      <c r="D319" s="3"/>
      <c r="E319" s="4"/>
      <c r="F319" s="4"/>
      <c r="G319" s="4"/>
      <c r="H319" s="8"/>
      <c r="I319" s="8"/>
      <c r="J319" s="8"/>
      <c r="K319" s="8"/>
      <c r="L319" s="8"/>
      <c r="M319" s="8"/>
      <c r="N319" s="8"/>
      <c r="O319" s="8"/>
      <c r="P319" s="9">
        <f t="shared" si="176"/>
        <v>0</v>
      </c>
      <c r="Q319" s="8"/>
      <c r="R319" s="8"/>
      <c r="S319" s="8"/>
      <c r="T319" s="8"/>
      <c r="U319" s="8"/>
      <c r="V319" s="8"/>
      <c r="W319" s="27" t="str">
        <f t="shared" si="171"/>
        <v>OK</v>
      </c>
      <c r="X319" s="3"/>
      <c r="Y319" s="3"/>
      <c r="Z319" s="3"/>
      <c r="AA319" s="3"/>
      <c r="AB319" s="3"/>
      <c r="AC319" s="3"/>
    </row>
    <row r="320" spans="1:29" x14ac:dyDescent="0.2">
      <c r="A320" s="3">
        <f>+A319+1</f>
        <v>5</v>
      </c>
      <c r="B320" s="3"/>
      <c r="C320" s="3" t="s">
        <v>151</v>
      </c>
      <c r="D320" s="3"/>
      <c r="E320" s="4"/>
      <c r="F320" s="8"/>
      <c r="G320" s="8"/>
      <c r="H320" s="8">
        <f t="shared" ref="H320:V320" si="196">+H318</f>
        <v>0</v>
      </c>
      <c r="I320" s="8">
        <v>0</v>
      </c>
      <c r="J320" s="66">
        <f t="shared" ref="J320" si="197">SUM(K320:V320)-M320-P320</f>
        <v>0</v>
      </c>
      <c r="K320" s="8">
        <f t="shared" si="196"/>
        <v>0</v>
      </c>
      <c r="L320" s="8">
        <f>+L318</f>
        <v>0</v>
      </c>
      <c r="M320" s="9">
        <f>SUM(N320:O320)</f>
        <v>0</v>
      </c>
      <c r="N320" s="8">
        <f t="shared" si="196"/>
        <v>0</v>
      </c>
      <c r="O320" s="8">
        <f t="shared" si="196"/>
        <v>0</v>
      </c>
      <c r="P320" s="9">
        <f t="shared" si="176"/>
        <v>0</v>
      </c>
      <c r="Q320" s="8">
        <f t="shared" si="196"/>
        <v>0</v>
      </c>
      <c r="R320" s="8">
        <f t="shared" si="196"/>
        <v>0</v>
      </c>
      <c r="S320" s="8">
        <f>+S318</f>
        <v>0</v>
      </c>
      <c r="T320" s="8">
        <f t="shared" si="196"/>
        <v>0</v>
      </c>
      <c r="U320" s="8">
        <f t="shared" si="196"/>
        <v>0</v>
      </c>
      <c r="V320" s="8">
        <f t="shared" si="196"/>
        <v>0</v>
      </c>
      <c r="W320" s="27" t="str">
        <f t="shared" si="171"/>
        <v>OK</v>
      </c>
      <c r="X320" s="3"/>
      <c r="Y320" s="3"/>
      <c r="Z320" s="3"/>
      <c r="AA320" s="3"/>
      <c r="AB320" s="3"/>
      <c r="AC320" s="3"/>
    </row>
    <row r="321" spans="1:29" x14ac:dyDescent="0.2">
      <c r="A321" s="3">
        <f>+A320+1</f>
        <v>6</v>
      </c>
      <c r="B321" s="3"/>
      <c r="C321" s="3"/>
      <c r="D321" s="3"/>
      <c r="E321" s="4"/>
      <c r="F321" s="4"/>
      <c r="G321" s="4"/>
      <c r="H321" s="8"/>
      <c r="I321" s="8"/>
      <c r="J321" s="8"/>
      <c r="K321" s="8"/>
      <c r="L321" s="8"/>
      <c r="M321" s="3"/>
      <c r="N321" s="3"/>
      <c r="O321" s="3"/>
      <c r="P321" s="9">
        <f t="shared" si="176"/>
        <v>0</v>
      </c>
      <c r="Q321" s="3"/>
      <c r="R321" s="3"/>
      <c r="S321" s="3"/>
      <c r="T321" s="3"/>
      <c r="U321" s="3"/>
      <c r="V321" s="3"/>
      <c r="W321" s="27" t="str">
        <f t="shared" si="171"/>
        <v>OK</v>
      </c>
      <c r="X321" s="3"/>
      <c r="Y321" s="3"/>
      <c r="Z321" s="3"/>
      <c r="AA321" s="3"/>
      <c r="AB321" s="3"/>
      <c r="AC321" s="3"/>
    </row>
    <row r="322" spans="1:29" x14ac:dyDescent="0.2">
      <c r="A322" s="3">
        <f>1+A321</f>
        <v>7</v>
      </c>
      <c r="B322" s="7" t="s">
        <v>144</v>
      </c>
      <c r="C322" s="3"/>
      <c r="D322" s="3"/>
      <c r="E322" s="4"/>
      <c r="F322" s="4"/>
      <c r="G322" s="4"/>
      <c r="H322" s="8"/>
      <c r="I322" s="8"/>
      <c r="J322" s="8"/>
      <c r="K322" s="8"/>
      <c r="L322" s="8"/>
      <c r="M322" s="3"/>
      <c r="N322" s="3"/>
      <c r="O322" s="3"/>
      <c r="P322" s="9">
        <f t="shared" si="176"/>
        <v>0</v>
      </c>
      <c r="Q322" s="3"/>
      <c r="R322" s="3"/>
      <c r="S322" s="3"/>
      <c r="T322" s="3"/>
      <c r="U322" s="3"/>
      <c r="V322" s="3"/>
      <c r="W322" s="27" t="str">
        <f t="shared" si="171"/>
        <v>OK</v>
      </c>
      <c r="X322" s="3"/>
      <c r="Y322" s="3"/>
      <c r="Z322" s="3"/>
      <c r="AA322" s="3"/>
      <c r="AB322" s="3"/>
      <c r="AC322" s="3"/>
    </row>
    <row r="323" spans="1:29" x14ac:dyDescent="0.2">
      <c r="A323" s="3">
        <f>1+A322</f>
        <v>8</v>
      </c>
      <c r="B323" s="3"/>
      <c r="C323" s="3"/>
      <c r="D323" s="3"/>
      <c r="E323" s="4"/>
      <c r="F323" s="4"/>
      <c r="G323" s="4"/>
      <c r="H323" s="8"/>
      <c r="I323" s="8"/>
      <c r="J323" s="8"/>
      <c r="K323" s="8"/>
      <c r="L323" s="8"/>
      <c r="M323" s="3"/>
      <c r="N323" s="3"/>
      <c r="O323" s="3"/>
      <c r="P323" s="9">
        <f t="shared" si="176"/>
        <v>0</v>
      </c>
      <c r="Q323" s="3"/>
      <c r="R323" s="3"/>
      <c r="S323" s="3"/>
      <c r="T323" s="3"/>
      <c r="U323" s="3"/>
      <c r="V323" s="3"/>
      <c r="W323" s="27" t="str">
        <f t="shared" si="171"/>
        <v>OK</v>
      </c>
      <c r="X323" s="3"/>
      <c r="Y323" s="3"/>
      <c r="Z323" s="3"/>
      <c r="AA323" s="3"/>
      <c r="AB323" s="3"/>
      <c r="AC323" s="3"/>
    </row>
    <row r="324" spans="1:29" x14ac:dyDescent="0.2">
      <c r="A324" s="3">
        <f>1+A323</f>
        <v>9</v>
      </c>
      <c r="B324" s="3" t="s">
        <v>152</v>
      </c>
      <c r="C324" s="3"/>
      <c r="D324" s="3"/>
      <c r="E324" s="4"/>
      <c r="F324" s="4"/>
      <c r="G324" s="4"/>
      <c r="H324" s="8"/>
      <c r="I324" s="8"/>
      <c r="J324" s="8"/>
      <c r="K324" s="8"/>
      <c r="L324" s="8"/>
      <c r="M324" s="3"/>
      <c r="N324" s="3"/>
      <c r="O324" s="3"/>
      <c r="P324" s="9">
        <f t="shared" si="176"/>
        <v>0</v>
      </c>
      <c r="Q324" s="3"/>
      <c r="R324" s="3"/>
      <c r="S324" s="3"/>
      <c r="T324" s="3"/>
      <c r="U324" s="3"/>
      <c r="V324" s="3"/>
      <c r="W324" s="27" t="str">
        <f t="shared" si="171"/>
        <v>OK</v>
      </c>
      <c r="X324" s="3"/>
      <c r="Y324" s="3"/>
      <c r="Z324" s="3"/>
      <c r="AA324" s="3"/>
      <c r="AB324" s="3"/>
      <c r="AC324" s="3"/>
    </row>
    <row r="325" spans="1:29" x14ac:dyDescent="0.2">
      <c r="A325" s="3">
        <f t="shared" ref="A325:A358" si="198">+A324+1</f>
        <v>10</v>
      </c>
      <c r="B325" s="3"/>
      <c r="C325" s="3" t="s">
        <v>140</v>
      </c>
      <c r="D325" s="3"/>
      <c r="E325" s="4"/>
      <c r="F325" s="4"/>
      <c r="G325" s="4"/>
      <c r="H325" s="8"/>
      <c r="I325" s="8"/>
      <c r="J325" s="8"/>
      <c r="K325" s="8"/>
      <c r="L325" s="8"/>
      <c r="M325" s="3"/>
      <c r="N325" s="3"/>
      <c r="O325" s="3"/>
      <c r="P325" s="9">
        <f t="shared" si="176"/>
        <v>0</v>
      </c>
      <c r="Q325" s="3"/>
      <c r="R325" s="3"/>
      <c r="S325" s="3"/>
      <c r="T325" s="3"/>
      <c r="U325" s="3"/>
      <c r="V325" s="3"/>
      <c r="W325" s="27" t="str">
        <f t="shared" si="171"/>
        <v>OK</v>
      </c>
      <c r="X325" s="3"/>
      <c r="Y325" s="3"/>
      <c r="Z325" s="3"/>
      <c r="AA325" s="3"/>
      <c r="AB325" s="3"/>
      <c r="AC325" s="3"/>
    </row>
    <row r="326" spans="1:29" x14ac:dyDescent="0.2">
      <c r="A326" s="3">
        <f t="shared" si="198"/>
        <v>11</v>
      </c>
      <c r="B326" s="3" t="s">
        <v>153</v>
      </c>
      <c r="C326" s="3" t="s">
        <v>145</v>
      </c>
      <c r="D326" s="78" t="s">
        <v>422</v>
      </c>
      <c r="E326" s="4" t="s">
        <v>591</v>
      </c>
      <c r="F326" s="11"/>
      <c r="G326" s="11"/>
      <c r="H326" s="2">
        <f>'II-I TOTAL COMPANY'!L326</f>
        <v>0</v>
      </c>
      <c r="I326" s="66">
        <v>0</v>
      </c>
      <c r="J326" s="66">
        <f t="shared" ref="J326:J346" si="199">SUM(K326:V326)-M326-P326</f>
        <v>0</v>
      </c>
      <c r="K326" s="12">
        <f t="shared" ref="K326:L334" si="200">VLOOKUP($D326,$E$741:$V$815,K$1,FALSE)*$H326</f>
        <v>0</v>
      </c>
      <c r="L326" s="12">
        <f t="shared" si="200"/>
        <v>0</v>
      </c>
      <c r="M326" s="9">
        <f t="shared" ref="M326:M335" si="201">SUM(N326:O326)</f>
        <v>0</v>
      </c>
      <c r="N326" s="12">
        <f t="shared" ref="N326:O334" si="202">VLOOKUP($D326,$E$741:$V$815,N$1,FALSE)*$H326</f>
        <v>0</v>
      </c>
      <c r="O326" s="12">
        <f t="shared" si="202"/>
        <v>0</v>
      </c>
      <c r="P326" s="9">
        <f t="shared" si="176"/>
        <v>0</v>
      </c>
      <c r="Q326" s="12">
        <f t="shared" ref="Q326:V334" si="203">VLOOKUP($D326,$E$741:$V$815,Q$1,FALSE)*$H326</f>
        <v>0</v>
      </c>
      <c r="R326" s="12">
        <f t="shared" si="203"/>
        <v>0</v>
      </c>
      <c r="S326" s="12">
        <f t="shared" si="203"/>
        <v>0</v>
      </c>
      <c r="T326" s="12">
        <f t="shared" si="203"/>
        <v>0</v>
      </c>
      <c r="U326" s="12">
        <f t="shared" si="203"/>
        <v>0</v>
      </c>
      <c r="V326" s="12">
        <f t="shared" si="203"/>
        <v>0</v>
      </c>
      <c r="W326" s="27" t="str">
        <f t="shared" si="171"/>
        <v>OK</v>
      </c>
      <c r="X326" s="3"/>
      <c r="Y326" s="3"/>
      <c r="Z326" s="3"/>
      <c r="AA326" s="3"/>
      <c r="AB326" s="3"/>
      <c r="AC326" s="3"/>
    </row>
    <row r="327" spans="1:29" x14ac:dyDescent="0.2">
      <c r="A327" s="3">
        <f t="shared" si="198"/>
        <v>12</v>
      </c>
      <c r="B327" s="3" t="s">
        <v>154</v>
      </c>
      <c r="C327" s="3" t="s">
        <v>155</v>
      </c>
      <c r="D327" s="78" t="s">
        <v>325</v>
      </c>
      <c r="E327" s="4" t="s">
        <v>591</v>
      </c>
      <c r="F327" s="11"/>
      <c r="G327" s="11"/>
      <c r="H327" s="2">
        <f>'II-I TOTAL COMPANY'!L327</f>
        <v>0</v>
      </c>
      <c r="I327" s="66">
        <v>0</v>
      </c>
      <c r="J327" s="66">
        <f t="shared" si="199"/>
        <v>0</v>
      </c>
      <c r="K327" s="12">
        <f t="shared" si="200"/>
        <v>0</v>
      </c>
      <c r="L327" s="12">
        <f t="shared" si="200"/>
        <v>0</v>
      </c>
      <c r="M327" s="9">
        <f t="shared" si="201"/>
        <v>0</v>
      </c>
      <c r="N327" s="12">
        <f t="shared" si="202"/>
        <v>0</v>
      </c>
      <c r="O327" s="12">
        <f t="shared" si="202"/>
        <v>0</v>
      </c>
      <c r="P327" s="9">
        <f t="shared" si="176"/>
        <v>0</v>
      </c>
      <c r="Q327" s="12">
        <f t="shared" si="203"/>
        <v>0</v>
      </c>
      <c r="R327" s="12">
        <f t="shared" si="203"/>
        <v>0</v>
      </c>
      <c r="S327" s="12">
        <f t="shared" si="203"/>
        <v>0</v>
      </c>
      <c r="T327" s="12">
        <f t="shared" si="203"/>
        <v>0</v>
      </c>
      <c r="U327" s="12">
        <f t="shared" si="203"/>
        <v>0</v>
      </c>
      <c r="V327" s="12">
        <f t="shared" si="203"/>
        <v>0</v>
      </c>
      <c r="W327" s="27" t="str">
        <f t="shared" si="171"/>
        <v>OK</v>
      </c>
      <c r="X327" s="3"/>
      <c r="Y327" s="3"/>
      <c r="Z327" s="3"/>
      <c r="AA327" s="3"/>
      <c r="AB327" s="3"/>
      <c r="AC327" s="3"/>
    </row>
    <row r="328" spans="1:29" x14ac:dyDescent="0.2">
      <c r="A328" s="3">
        <f t="shared" si="198"/>
        <v>13</v>
      </c>
      <c r="B328" s="3" t="s">
        <v>156</v>
      </c>
      <c r="C328" s="3" t="s">
        <v>38</v>
      </c>
      <c r="D328" s="78" t="s">
        <v>326</v>
      </c>
      <c r="E328" s="4" t="s">
        <v>591</v>
      </c>
      <c r="F328" s="11"/>
      <c r="G328" s="11"/>
      <c r="H328" s="2">
        <f>'II-I TOTAL COMPANY'!L328</f>
        <v>0</v>
      </c>
      <c r="I328" s="66">
        <v>0</v>
      </c>
      <c r="J328" s="66">
        <f t="shared" si="199"/>
        <v>0</v>
      </c>
      <c r="K328" s="12">
        <f t="shared" si="200"/>
        <v>0</v>
      </c>
      <c r="L328" s="12">
        <f t="shared" si="200"/>
        <v>0</v>
      </c>
      <c r="M328" s="9">
        <f t="shared" si="201"/>
        <v>0</v>
      </c>
      <c r="N328" s="12">
        <f t="shared" si="202"/>
        <v>0</v>
      </c>
      <c r="O328" s="12">
        <f t="shared" si="202"/>
        <v>0</v>
      </c>
      <c r="P328" s="9">
        <f t="shared" si="176"/>
        <v>0</v>
      </c>
      <c r="Q328" s="12">
        <f t="shared" si="203"/>
        <v>0</v>
      </c>
      <c r="R328" s="12">
        <f t="shared" si="203"/>
        <v>0</v>
      </c>
      <c r="S328" s="12">
        <f t="shared" si="203"/>
        <v>0</v>
      </c>
      <c r="T328" s="12">
        <f t="shared" si="203"/>
        <v>0</v>
      </c>
      <c r="U328" s="12">
        <f t="shared" si="203"/>
        <v>0</v>
      </c>
      <c r="V328" s="12">
        <f t="shared" si="203"/>
        <v>0</v>
      </c>
      <c r="W328" s="27" t="str">
        <f t="shared" ref="W328:W391" si="204">IF((+K328+L328+M328+P328+T328+U328+V328)-H328=0,"OK",(+K328+L328+M328+P328+T328+U328+V328)-H328)</f>
        <v>OK</v>
      </c>
      <c r="X328" s="3"/>
      <c r="Y328" s="3"/>
      <c r="Z328" s="3"/>
      <c r="AA328" s="3"/>
      <c r="AB328" s="3"/>
      <c r="AC328" s="3"/>
    </row>
    <row r="329" spans="1:29" x14ac:dyDescent="0.2">
      <c r="A329" s="3">
        <f t="shared" si="198"/>
        <v>14</v>
      </c>
      <c r="B329" s="3" t="s">
        <v>157</v>
      </c>
      <c r="C329" s="3" t="s">
        <v>158</v>
      </c>
      <c r="D329" s="78" t="s">
        <v>325</v>
      </c>
      <c r="E329" s="4" t="s">
        <v>591</v>
      </c>
      <c r="F329" s="11"/>
      <c r="G329" s="11"/>
      <c r="H329" s="2">
        <f>'II-I TOTAL COMPANY'!L329</f>
        <v>0</v>
      </c>
      <c r="I329" s="66">
        <v>0</v>
      </c>
      <c r="J329" s="66">
        <f t="shared" si="199"/>
        <v>0</v>
      </c>
      <c r="K329" s="12">
        <f t="shared" si="200"/>
        <v>0</v>
      </c>
      <c r="L329" s="12">
        <f t="shared" si="200"/>
        <v>0</v>
      </c>
      <c r="M329" s="9">
        <f t="shared" si="201"/>
        <v>0</v>
      </c>
      <c r="N329" s="12">
        <f t="shared" si="202"/>
        <v>0</v>
      </c>
      <c r="O329" s="12">
        <f t="shared" si="202"/>
        <v>0</v>
      </c>
      <c r="P329" s="9">
        <f t="shared" si="176"/>
        <v>0</v>
      </c>
      <c r="Q329" s="12">
        <f t="shared" si="203"/>
        <v>0</v>
      </c>
      <c r="R329" s="12">
        <f t="shared" si="203"/>
        <v>0</v>
      </c>
      <c r="S329" s="12">
        <f t="shared" si="203"/>
        <v>0</v>
      </c>
      <c r="T329" s="12">
        <f t="shared" si="203"/>
        <v>0</v>
      </c>
      <c r="U329" s="12">
        <f t="shared" si="203"/>
        <v>0</v>
      </c>
      <c r="V329" s="12">
        <f t="shared" si="203"/>
        <v>0</v>
      </c>
      <c r="W329" s="27" t="str">
        <f t="shared" si="204"/>
        <v>OK</v>
      </c>
      <c r="X329" s="3"/>
      <c r="Y329" s="3"/>
      <c r="Z329" s="3"/>
      <c r="AA329" s="3"/>
      <c r="AB329" s="3"/>
      <c r="AC329" s="3"/>
    </row>
    <row r="330" spans="1:29" x14ac:dyDescent="0.2">
      <c r="A330" s="3">
        <f t="shared" si="198"/>
        <v>15</v>
      </c>
      <c r="B330" s="3" t="s">
        <v>159</v>
      </c>
      <c r="C330" s="3" t="s">
        <v>160</v>
      </c>
      <c r="D330" s="78" t="s">
        <v>325</v>
      </c>
      <c r="E330" s="4" t="s">
        <v>591</v>
      </c>
      <c r="F330" s="11"/>
      <c r="G330" s="11"/>
      <c r="H330" s="2">
        <f>'II-I TOTAL COMPANY'!L330</f>
        <v>0</v>
      </c>
      <c r="I330" s="66">
        <v>0</v>
      </c>
      <c r="J330" s="66">
        <f t="shared" si="199"/>
        <v>0</v>
      </c>
      <c r="K330" s="12">
        <f t="shared" si="200"/>
        <v>0</v>
      </c>
      <c r="L330" s="12">
        <f t="shared" si="200"/>
        <v>0</v>
      </c>
      <c r="M330" s="9">
        <f t="shared" si="201"/>
        <v>0</v>
      </c>
      <c r="N330" s="12">
        <f t="shared" si="202"/>
        <v>0</v>
      </c>
      <c r="O330" s="12">
        <f t="shared" si="202"/>
        <v>0</v>
      </c>
      <c r="P330" s="9">
        <f t="shared" si="176"/>
        <v>0</v>
      </c>
      <c r="Q330" s="12">
        <f t="shared" si="203"/>
        <v>0</v>
      </c>
      <c r="R330" s="12">
        <f t="shared" si="203"/>
        <v>0</v>
      </c>
      <c r="S330" s="12">
        <f t="shared" si="203"/>
        <v>0</v>
      </c>
      <c r="T330" s="12">
        <f t="shared" si="203"/>
        <v>0</v>
      </c>
      <c r="U330" s="12">
        <f t="shared" si="203"/>
        <v>0</v>
      </c>
      <c r="V330" s="12">
        <f t="shared" si="203"/>
        <v>0</v>
      </c>
      <c r="W330" s="27" t="str">
        <f t="shared" si="204"/>
        <v>OK</v>
      </c>
      <c r="X330" s="3"/>
      <c r="Y330" s="3"/>
      <c r="Z330" s="3"/>
      <c r="AA330" s="3"/>
      <c r="AB330" s="3"/>
      <c r="AC330" s="3"/>
    </row>
    <row r="331" spans="1:29" x14ac:dyDescent="0.2">
      <c r="A331" s="3">
        <f t="shared" si="198"/>
        <v>16</v>
      </c>
      <c r="B331" s="3" t="s">
        <v>161</v>
      </c>
      <c r="C331" s="3" t="s">
        <v>527</v>
      </c>
      <c r="D331" s="78" t="s">
        <v>325</v>
      </c>
      <c r="E331" s="4" t="s">
        <v>591</v>
      </c>
      <c r="F331" s="11"/>
      <c r="G331" s="11"/>
      <c r="H331" s="2">
        <f>'II-I TOTAL COMPANY'!L331</f>
        <v>0</v>
      </c>
      <c r="I331" s="66">
        <v>0</v>
      </c>
      <c r="J331" s="66">
        <f t="shared" si="199"/>
        <v>0</v>
      </c>
      <c r="K331" s="12">
        <f t="shared" si="200"/>
        <v>0</v>
      </c>
      <c r="L331" s="12">
        <f t="shared" si="200"/>
        <v>0</v>
      </c>
      <c r="M331" s="9">
        <f t="shared" si="201"/>
        <v>0</v>
      </c>
      <c r="N331" s="12">
        <f t="shared" si="202"/>
        <v>0</v>
      </c>
      <c r="O331" s="12">
        <f t="shared" si="202"/>
        <v>0</v>
      </c>
      <c r="P331" s="9">
        <f t="shared" si="176"/>
        <v>0</v>
      </c>
      <c r="Q331" s="12">
        <f t="shared" si="203"/>
        <v>0</v>
      </c>
      <c r="R331" s="12">
        <f t="shared" si="203"/>
        <v>0</v>
      </c>
      <c r="S331" s="12">
        <f t="shared" si="203"/>
        <v>0</v>
      </c>
      <c r="T331" s="12">
        <f t="shared" si="203"/>
        <v>0</v>
      </c>
      <c r="U331" s="12">
        <f t="shared" si="203"/>
        <v>0</v>
      </c>
      <c r="V331" s="12">
        <f t="shared" si="203"/>
        <v>0</v>
      </c>
      <c r="W331" s="27" t="str">
        <f t="shared" si="204"/>
        <v>OK</v>
      </c>
      <c r="X331" s="3"/>
      <c r="Y331" s="3"/>
      <c r="Z331" s="3"/>
      <c r="AA331" s="3"/>
      <c r="AB331" s="3"/>
      <c r="AC331" s="3"/>
    </row>
    <row r="332" spans="1:29" x14ac:dyDescent="0.2">
      <c r="A332" s="3">
        <f t="shared" si="198"/>
        <v>17</v>
      </c>
      <c r="B332" s="3" t="s">
        <v>161</v>
      </c>
      <c r="C332" s="3" t="s">
        <v>577</v>
      </c>
      <c r="D332" s="78" t="s">
        <v>325</v>
      </c>
      <c r="E332" s="4" t="s">
        <v>611</v>
      </c>
      <c r="F332" s="11"/>
      <c r="G332" s="11"/>
      <c r="H332" s="2">
        <f>'II-I TOTAL COMPANY'!L332</f>
        <v>0</v>
      </c>
      <c r="I332" s="66">
        <v>0</v>
      </c>
      <c r="J332" s="66">
        <f t="shared" si="199"/>
        <v>0</v>
      </c>
      <c r="K332" s="12">
        <f t="shared" si="200"/>
        <v>0</v>
      </c>
      <c r="L332" s="12">
        <f t="shared" si="200"/>
        <v>0</v>
      </c>
      <c r="M332" s="9">
        <f t="shared" si="201"/>
        <v>0</v>
      </c>
      <c r="N332" s="12">
        <f t="shared" si="202"/>
        <v>0</v>
      </c>
      <c r="O332" s="12">
        <f t="shared" si="202"/>
        <v>0</v>
      </c>
      <c r="P332" s="9">
        <f t="shared" si="176"/>
        <v>0</v>
      </c>
      <c r="Q332" s="12">
        <f t="shared" si="203"/>
        <v>0</v>
      </c>
      <c r="R332" s="12">
        <f t="shared" si="203"/>
        <v>0</v>
      </c>
      <c r="S332" s="12">
        <f t="shared" si="203"/>
        <v>0</v>
      </c>
      <c r="T332" s="12">
        <f t="shared" si="203"/>
        <v>0</v>
      </c>
      <c r="U332" s="12">
        <f t="shared" si="203"/>
        <v>0</v>
      </c>
      <c r="V332" s="12">
        <f t="shared" si="203"/>
        <v>0</v>
      </c>
      <c r="W332" s="27" t="str">
        <f t="shared" si="204"/>
        <v>OK</v>
      </c>
      <c r="X332" s="3"/>
      <c r="Y332" s="3"/>
      <c r="Z332" s="3"/>
      <c r="AA332" s="3"/>
      <c r="AB332" s="3"/>
      <c r="AC332" s="3"/>
    </row>
    <row r="333" spans="1:29" x14ac:dyDescent="0.2">
      <c r="A333" s="3">
        <f t="shared" si="198"/>
        <v>18</v>
      </c>
      <c r="B333" s="3" t="s">
        <v>162</v>
      </c>
      <c r="C333" s="3" t="s">
        <v>470</v>
      </c>
      <c r="D333" s="78" t="s">
        <v>325</v>
      </c>
      <c r="E333" s="4" t="s">
        <v>591</v>
      </c>
      <c r="F333" s="11"/>
      <c r="G333" s="11"/>
      <c r="H333" s="2">
        <f>'II-I TOTAL COMPANY'!L333</f>
        <v>0</v>
      </c>
      <c r="I333" s="66">
        <v>0</v>
      </c>
      <c r="J333" s="66">
        <f t="shared" si="199"/>
        <v>0</v>
      </c>
      <c r="K333" s="12">
        <f t="shared" si="200"/>
        <v>0</v>
      </c>
      <c r="L333" s="12">
        <f t="shared" si="200"/>
        <v>0</v>
      </c>
      <c r="M333" s="9">
        <f t="shared" si="201"/>
        <v>0</v>
      </c>
      <c r="N333" s="12">
        <f t="shared" si="202"/>
        <v>0</v>
      </c>
      <c r="O333" s="12">
        <f t="shared" si="202"/>
        <v>0</v>
      </c>
      <c r="P333" s="9">
        <f t="shared" si="176"/>
        <v>0</v>
      </c>
      <c r="Q333" s="12">
        <f t="shared" si="203"/>
        <v>0</v>
      </c>
      <c r="R333" s="12">
        <f t="shared" si="203"/>
        <v>0</v>
      </c>
      <c r="S333" s="12">
        <f t="shared" si="203"/>
        <v>0</v>
      </c>
      <c r="T333" s="12">
        <f t="shared" si="203"/>
        <v>0</v>
      </c>
      <c r="U333" s="12">
        <f t="shared" si="203"/>
        <v>0</v>
      </c>
      <c r="V333" s="12">
        <f t="shared" si="203"/>
        <v>0</v>
      </c>
      <c r="W333" s="27" t="str">
        <f t="shared" si="204"/>
        <v>OK</v>
      </c>
      <c r="X333" s="3"/>
      <c r="Y333" s="3"/>
      <c r="Z333" s="3"/>
      <c r="AA333" s="3"/>
      <c r="AB333" s="3"/>
      <c r="AC333" s="3"/>
    </row>
    <row r="334" spans="1:29" x14ac:dyDescent="0.2">
      <c r="A334" s="3">
        <f t="shared" si="198"/>
        <v>19</v>
      </c>
      <c r="B334" s="3" t="s">
        <v>164</v>
      </c>
      <c r="C334" s="3" t="s">
        <v>141</v>
      </c>
      <c r="D334" s="78" t="s">
        <v>325</v>
      </c>
      <c r="E334" s="4" t="s">
        <v>591</v>
      </c>
      <c r="F334" s="11"/>
      <c r="G334" s="11"/>
      <c r="H334" s="2">
        <f>'II-I TOTAL COMPANY'!L334</f>
        <v>0</v>
      </c>
      <c r="I334" s="66">
        <v>0</v>
      </c>
      <c r="J334" s="66">
        <f t="shared" si="199"/>
        <v>0</v>
      </c>
      <c r="K334" s="12">
        <f t="shared" si="200"/>
        <v>0</v>
      </c>
      <c r="L334" s="12">
        <f t="shared" si="200"/>
        <v>0</v>
      </c>
      <c r="M334" s="9">
        <f t="shared" si="201"/>
        <v>0</v>
      </c>
      <c r="N334" s="12">
        <f t="shared" si="202"/>
        <v>0</v>
      </c>
      <c r="O334" s="12">
        <f t="shared" si="202"/>
        <v>0</v>
      </c>
      <c r="P334" s="9">
        <f t="shared" si="176"/>
        <v>0</v>
      </c>
      <c r="Q334" s="12">
        <f t="shared" si="203"/>
        <v>0</v>
      </c>
      <c r="R334" s="12">
        <f t="shared" si="203"/>
        <v>0</v>
      </c>
      <c r="S334" s="12">
        <f t="shared" si="203"/>
        <v>0</v>
      </c>
      <c r="T334" s="12">
        <f t="shared" si="203"/>
        <v>0</v>
      </c>
      <c r="U334" s="12">
        <f t="shared" si="203"/>
        <v>0</v>
      </c>
      <c r="V334" s="12">
        <f t="shared" si="203"/>
        <v>0</v>
      </c>
      <c r="W334" s="27" t="str">
        <f t="shared" si="204"/>
        <v>OK</v>
      </c>
      <c r="X334" s="3"/>
      <c r="Y334" s="3"/>
      <c r="Z334" s="3"/>
      <c r="AA334" s="3"/>
      <c r="AB334" s="3"/>
      <c r="AC334" s="3"/>
    </row>
    <row r="335" spans="1:29" x14ac:dyDescent="0.2">
      <c r="A335" s="3">
        <f t="shared" si="198"/>
        <v>20</v>
      </c>
      <c r="B335" s="3"/>
      <c r="C335" s="3" t="s">
        <v>135</v>
      </c>
      <c r="D335" s="3"/>
      <c r="E335" s="4"/>
      <c r="F335" s="8"/>
      <c r="G335" s="8"/>
      <c r="H335" s="8">
        <f t="shared" ref="H335:V335" si="205">SUM(H326:H334)</f>
        <v>0</v>
      </c>
      <c r="I335" s="8">
        <f t="shared" si="205"/>
        <v>0</v>
      </c>
      <c r="J335" s="66">
        <f t="shared" si="199"/>
        <v>0</v>
      </c>
      <c r="K335" s="8">
        <f t="shared" si="205"/>
        <v>0</v>
      </c>
      <c r="L335" s="8">
        <f t="shared" si="205"/>
        <v>0</v>
      </c>
      <c r="M335" s="9">
        <f t="shared" si="201"/>
        <v>0</v>
      </c>
      <c r="N335" s="8">
        <f t="shared" si="205"/>
        <v>0</v>
      </c>
      <c r="O335" s="8">
        <f t="shared" si="205"/>
        <v>0</v>
      </c>
      <c r="P335" s="9">
        <f t="shared" si="176"/>
        <v>0</v>
      </c>
      <c r="Q335" s="8">
        <f t="shared" si="205"/>
        <v>0</v>
      </c>
      <c r="R335" s="8">
        <f t="shared" si="205"/>
        <v>0</v>
      </c>
      <c r="S335" s="8">
        <f>SUM(S326:S334)</f>
        <v>0</v>
      </c>
      <c r="T335" s="8">
        <f t="shared" si="205"/>
        <v>0</v>
      </c>
      <c r="U335" s="8">
        <f t="shared" si="205"/>
        <v>0</v>
      </c>
      <c r="V335" s="8">
        <f t="shared" si="205"/>
        <v>0</v>
      </c>
      <c r="W335" s="27" t="str">
        <f t="shared" si="204"/>
        <v>OK</v>
      </c>
      <c r="X335" s="3"/>
      <c r="Y335" s="3"/>
      <c r="Z335" s="3"/>
      <c r="AA335" s="3"/>
      <c r="AB335" s="3"/>
      <c r="AC335" s="3"/>
    </row>
    <row r="336" spans="1:29" x14ac:dyDescent="0.2">
      <c r="A336" s="3">
        <f t="shared" si="198"/>
        <v>21</v>
      </c>
      <c r="B336" s="3"/>
      <c r="C336" s="3"/>
      <c r="D336" s="3"/>
      <c r="E336" s="4"/>
      <c r="F336" s="4"/>
      <c r="G336" s="4"/>
      <c r="H336" s="8"/>
      <c r="I336" s="8"/>
      <c r="J336" s="66"/>
      <c r="K336" s="8"/>
      <c r="L336" s="8"/>
      <c r="M336" s="3"/>
      <c r="N336" s="3"/>
      <c r="O336" s="3"/>
      <c r="P336" s="9">
        <f t="shared" si="176"/>
        <v>0</v>
      </c>
      <c r="Q336" s="3"/>
      <c r="R336" s="3"/>
      <c r="S336" s="3"/>
      <c r="T336" s="3"/>
      <c r="U336" s="3"/>
      <c r="V336" s="3"/>
      <c r="W336" s="27" t="str">
        <f t="shared" si="204"/>
        <v>OK</v>
      </c>
      <c r="X336" s="3"/>
      <c r="Y336" s="3"/>
      <c r="Z336" s="3"/>
      <c r="AA336" s="3"/>
      <c r="AB336" s="3"/>
      <c r="AC336" s="3"/>
    </row>
    <row r="337" spans="1:29" x14ac:dyDescent="0.2">
      <c r="A337" s="3">
        <f t="shared" si="198"/>
        <v>22</v>
      </c>
      <c r="B337" s="3"/>
      <c r="C337" s="3" t="s">
        <v>142</v>
      </c>
      <c r="D337" s="3"/>
      <c r="E337" s="4"/>
      <c r="F337" s="4"/>
      <c r="G337" s="4"/>
      <c r="H337" s="8"/>
      <c r="I337" s="8"/>
      <c r="J337" s="8"/>
      <c r="K337" s="8"/>
      <c r="L337" s="8"/>
      <c r="M337" s="3"/>
      <c r="N337" s="3"/>
      <c r="O337" s="3"/>
      <c r="P337" s="9">
        <f t="shared" si="176"/>
        <v>0</v>
      </c>
      <c r="Q337" s="3"/>
      <c r="R337" s="3"/>
      <c r="S337" s="3"/>
      <c r="T337" s="3"/>
      <c r="U337" s="3"/>
      <c r="V337" s="3"/>
      <c r="W337" s="27" t="str">
        <f t="shared" si="204"/>
        <v>OK</v>
      </c>
      <c r="X337" s="3"/>
      <c r="Y337" s="3"/>
      <c r="Z337" s="3"/>
      <c r="AA337" s="3"/>
      <c r="AB337" s="3"/>
      <c r="AC337" s="3"/>
    </row>
    <row r="338" spans="1:29" x14ac:dyDescent="0.2">
      <c r="A338" s="3">
        <f t="shared" si="198"/>
        <v>23</v>
      </c>
      <c r="B338" s="3" t="s">
        <v>165</v>
      </c>
      <c r="C338" s="3" t="s">
        <v>146</v>
      </c>
      <c r="D338" s="78" t="s">
        <v>423</v>
      </c>
      <c r="E338" s="4" t="s">
        <v>591</v>
      </c>
      <c r="F338" s="11"/>
      <c r="G338" s="11"/>
      <c r="H338" s="2">
        <f>'II-I TOTAL COMPANY'!L338</f>
        <v>0</v>
      </c>
      <c r="I338" s="66">
        <v>0</v>
      </c>
      <c r="J338" s="66">
        <f t="shared" si="199"/>
        <v>0</v>
      </c>
      <c r="K338" s="12">
        <f t="shared" ref="K338:L343" si="206">VLOOKUP($D338,$E$741:$V$815,K$1,FALSE)*$H338</f>
        <v>0</v>
      </c>
      <c r="L338" s="12">
        <f t="shared" si="206"/>
        <v>0</v>
      </c>
      <c r="M338" s="9">
        <f t="shared" ref="M338:M344" si="207">SUM(N338:O338)</f>
        <v>0</v>
      </c>
      <c r="N338" s="12">
        <f t="shared" ref="N338:O343" si="208">VLOOKUP($D338,$E$741:$V$815,N$1,FALSE)*$H338</f>
        <v>0</v>
      </c>
      <c r="O338" s="12">
        <f t="shared" si="208"/>
        <v>0</v>
      </c>
      <c r="P338" s="9">
        <f t="shared" si="176"/>
        <v>0</v>
      </c>
      <c r="Q338" s="12">
        <f t="shared" ref="Q338:V343" si="209">VLOOKUP($D338,$E$741:$V$815,Q$1,FALSE)*$H338</f>
        <v>0</v>
      </c>
      <c r="R338" s="12">
        <f t="shared" si="209"/>
        <v>0</v>
      </c>
      <c r="S338" s="12">
        <f t="shared" si="209"/>
        <v>0</v>
      </c>
      <c r="T338" s="12">
        <f t="shared" si="209"/>
        <v>0</v>
      </c>
      <c r="U338" s="12">
        <f t="shared" si="209"/>
        <v>0</v>
      </c>
      <c r="V338" s="12">
        <f t="shared" si="209"/>
        <v>0</v>
      </c>
      <c r="W338" s="27" t="str">
        <f t="shared" si="204"/>
        <v>OK</v>
      </c>
      <c r="X338" s="3"/>
      <c r="Y338" s="3"/>
      <c r="Z338" s="3"/>
      <c r="AA338" s="3"/>
      <c r="AB338" s="3"/>
      <c r="AC338" s="3"/>
    </row>
    <row r="339" spans="1:29" x14ac:dyDescent="0.2">
      <c r="A339" s="3">
        <f t="shared" si="198"/>
        <v>24</v>
      </c>
      <c r="B339" s="3" t="s">
        <v>166</v>
      </c>
      <c r="C339" s="3" t="s">
        <v>143</v>
      </c>
      <c r="D339" s="78" t="s">
        <v>329</v>
      </c>
      <c r="E339" s="4" t="s">
        <v>591</v>
      </c>
      <c r="F339" s="11"/>
      <c r="G339" s="11"/>
      <c r="H339" s="2">
        <f>'II-I TOTAL COMPANY'!L339</f>
        <v>0</v>
      </c>
      <c r="I339" s="66">
        <v>0</v>
      </c>
      <c r="J339" s="66">
        <f t="shared" si="199"/>
        <v>0</v>
      </c>
      <c r="K339" s="12">
        <f t="shared" si="206"/>
        <v>0</v>
      </c>
      <c r="L339" s="12">
        <f t="shared" si="206"/>
        <v>0</v>
      </c>
      <c r="M339" s="9">
        <f t="shared" si="207"/>
        <v>0</v>
      </c>
      <c r="N339" s="12">
        <f t="shared" si="208"/>
        <v>0</v>
      </c>
      <c r="O339" s="12">
        <f t="shared" si="208"/>
        <v>0</v>
      </c>
      <c r="P339" s="9">
        <f t="shared" si="176"/>
        <v>0</v>
      </c>
      <c r="Q339" s="12">
        <f t="shared" si="209"/>
        <v>0</v>
      </c>
      <c r="R339" s="12">
        <f t="shared" si="209"/>
        <v>0</v>
      </c>
      <c r="S339" s="12">
        <f t="shared" si="209"/>
        <v>0</v>
      </c>
      <c r="T339" s="12">
        <f t="shared" si="209"/>
        <v>0</v>
      </c>
      <c r="U339" s="12">
        <f t="shared" si="209"/>
        <v>0</v>
      </c>
      <c r="V339" s="12">
        <f t="shared" si="209"/>
        <v>0</v>
      </c>
      <c r="W339" s="27" t="str">
        <f t="shared" si="204"/>
        <v>OK</v>
      </c>
      <c r="X339" s="3"/>
      <c r="Y339" s="3"/>
      <c r="Z339" s="3"/>
      <c r="AA339" s="3"/>
      <c r="AB339" s="3"/>
      <c r="AC339" s="3"/>
    </row>
    <row r="340" spans="1:29" x14ac:dyDescent="0.2">
      <c r="A340" s="3">
        <f t="shared" si="198"/>
        <v>25</v>
      </c>
      <c r="B340" s="3" t="s">
        <v>167</v>
      </c>
      <c r="C340" s="3" t="s">
        <v>168</v>
      </c>
      <c r="D340" s="78" t="s">
        <v>330</v>
      </c>
      <c r="E340" s="4" t="s">
        <v>591</v>
      </c>
      <c r="F340" s="11"/>
      <c r="G340" s="11"/>
      <c r="H340" s="2">
        <f>'II-I TOTAL COMPANY'!L340</f>
        <v>0</v>
      </c>
      <c r="I340" s="66">
        <v>0</v>
      </c>
      <c r="J340" s="66">
        <f t="shared" si="199"/>
        <v>0</v>
      </c>
      <c r="K340" s="12">
        <f t="shared" si="206"/>
        <v>0</v>
      </c>
      <c r="L340" s="12">
        <f t="shared" si="206"/>
        <v>0</v>
      </c>
      <c r="M340" s="9">
        <f t="shared" si="207"/>
        <v>0</v>
      </c>
      <c r="N340" s="12">
        <f t="shared" si="208"/>
        <v>0</v>
      </c>
      <c r="O340" s="12">
        <f t="shared" si="208"/>
        <v>0</v>
      </c>
      <c r="P340" s="9">
        <f t="shared" ref="P340:P403" si="210">SUM(Q340:S340)</f>
        <v>0</v>
      </c>
      <c r="Q340" s="12">
        <f t="shared" si="209"/>
        <v>0</v>
      </c>
      <c r="R340" s="12">
        <f t="shared" si="209"/>
        <v>0</v>
      </c>
      <c r="S340" s="12">
        <f t="shared" si="209"/>
        <v>0</v>
      </c>
      <c r="T340" s="12">
        <f t="shared" si="209"/>
        <v>0</v>
      </c>
      <c r="U340" s="12">
        <f t="shared" si="209"/>
        <v>0</v>
      </c>
      <c r="V340" s="12">
        <f t="shared" si="209"/>
        <v>0</v>
      </c>
      <c r="W340" s="27" t="str">
        <f t="shared" si="204"/>
        <v>OK</v>
      </c>
      <c r="X340" s="3"/>
      <c r="Y340" s="3"/>
      <c r="Z340" s="3"/>
      <c r="AA340" s="3"/>
      <c r="AB340" s="3"/>
      <c r="AC340" s="3"/>
    </row>
    <row r="341" spans="1:29" x14ac:dyDescent="0.2">
      <c r="A341" s="3">
        <f t="shared" si="198"/>
        <v>26</v>
      </c>
      <c r="B341" s="3" t="s">
        <v>169</v>
      </c>
      <c r="C341" s="3" t="s">
        <v>170</v>
      </c>
      <c r="D341" s="78" t="s">
        <v>325</v>
      </c>
      <c r="E341" s="4" t="s">
        <v>591</v>
      </c>
      <c r="F341" s="11"/>
      <c r="G341" s="11"/>
      <c r="H341" s="2">
        <f>'II-I TOTAL COMPANY'!L341</f>
        <v>0</v>
      </c>
      <c r="I341" s="66">
        <v>0</v>
      </c>
      <c r="J341" s="66">
        <f t="shared" si="199"/>
        <v>0</v>
      </c>
      <c r="K341" s="12">
        <f t="shared" si="206"/>
        <v>0</v>
      </c>
      <c r="L341" s="12">
        <f t="shared" si="206"/>
        <v>0</v>
      </c>
      <c r="M341" s="9">
        <f t="shared" si="207"/>
        <v>0</v>
      </c>
      <c r="N341" s="12">
        <f t="shared" si="208"/>
        <v>0</v>
      </c>
      <c r="O341" s="12">
        <f t="shared" si="208"/>
        <v>0</v>
      </c>
      <c r="P341" s="9">
        <f t="shared" si="210"/>
        <v>0</v>
      </c>
      <c r="Q341" s="12">
        <f t="shared" si="209"/>
        <v>0</v>
      </c>
      <c r="R341" s="12">
        <f t="shared" si="209"/>
        <v>0</v>
      </c>
      <c r="S341" s="12">
        <f t="shared" si="209"/>
        <v>0</v>
      </c>
      <c r="T341" s="12">
        <f t="shared" si="209"/>
        <v>0</v>
      </c>
      <c r="U341" s="12">
        <f t="shared" si="209"/>
        <v>0</v>
      </c>
      <c r="V341" s="12">
        <f t="shared" si="209"/>
        <v>0</v>
      </c>
      <c r="W341" s="27" t="str">
        <f t="shared" si="204"/>
        <v>OK</v>
      </c>
      <c r="X341" s="3"/>
      <c r="Y341" s="3"/>
      <c r="Z341" s="3"/>
      <c r="AA341" s="3"/>
      <c r="AB341" s="3"/>
      <c r="AC341" s="3"/>
    </row>
    <row r="342" spans="1:29" x14ac:dyDescent="0.2">
      <c r="A342" s="3">
        <f t="shared" si="198"/>
        <v>27</v>
      </c>
      <c r="B342" s="3" t="s">
        <v>171</v>
      </c>
      <c r="C342" s="3" t="s">
        <v>172</v>
      </c>
      <c r="D342" s="78" t="s">
        <v>325</v>
      </c>
      <c r="E342" s="4" t="s">
        <v>591</v>
      </c>
      <c r="F342" s="11"/>
      <c r="G342" s="11"/>
      <c r="H342" s="2">
        <f>'II-I TOTAL COMPANY'!L342</f>
        <v>0</v>
      </c>
      <c r="I342" s="66">
        <v>0</v>
      </c>
      <c r="J342" s="66">
        <f t="shared" si="199"/>
        <v>0</v>
      </c>
      <c r="K342" s="12">
        <f t="shared" si="206"/>
        <v>0</v>
      </c>
      <c r="L342" s="12">
        <f t="shared" si="206"/>
        <v>0</v>
      </c>
      <c r="M342" s="9">
        <f t="shared" si="207"/>
        <v>0</v>
      </c>
      <c r="N342" s="12">
        <f t="shared" si="208"/>
        <v>0</v>
      </c>
      <c r="O342" s="12">
        <f t="shared" si="208"/>
        <v>0</v>
      </c>
      <c r="P342" s="9">
        <f t="shared" si="210"/>
        <v>0</v>
      </c>
      <c r="Q342" s="12">
        <f t="shared" si="209"/>
        <v>0</v>
      </c>
      <c r="R342" s="12">
        <f t="shared" si="209"/>
        <v>0</v>
      </c>
      <c r="S342" s="12">
        <f t="shared" si="209"/>
        <v>0</v>
      </c>
      <c r="T342" s="12">
        <f t="shared" si="209"/>
        <v>0</v>
      </c>
      <c r="U342" s="12">
        <f t="shared" si="209"/>
        <v>0</v>
      </c>
      <c r="V342" s="12">
        <f t="shared" si="209"/>
        <v>0</v>
      </c>
      <c r="W342" s="27" t="str">
        <f t="shared" si="204"/>
        <v>OK</v>
      </c>
      <c r="X342" s="3"/>
      <c r="Y342" s="3"/>
      <c r="Z342" s="3"/>
      <c r="AA342" s="3"/>
      <c r="AB342" s="3"/>
      <c r="AC342" s="3"/>
    </row>
    <row r="343" spans="1:29" x14ac:dyDescent="0.2">
      <c r="A343" s="3">
        <f t="shared" si="198"/>
        <v>28</v>
      </c>
      <c r="B343" s="3" t="s">
        <v>173</v>
      </c>
      <c r="C343" s="3" t="s">
        <v>174</v>
      </c>
      <c r="D343" s="78" t="s">
        <v>325</v>
      </c>
      <c r="E343" s="4" t="s">
        <v>591</v>
      </c>
      <c r="F343" s="11"/>
      <c r="G343" s="11"/>
      <c r="H343" s="2">
        <f>'II-I TOTAL COMPANY'!L343</f>
        <v>0</v>
      </c>
      <c r="I343" s="66">
        <v>0</v>
      </c>
      <c r="J343" s="66">
        <f t="shared" si="199"/>
        <v>0</v>
      </c>
      <c r="K343" s="12">
        <f t="shared" si="206"/>
        <v>0</v>
      </c>
      <c r="L343" s="12">
        <f t="shared" si="206"/>
        <v>0</v>
      </c>
      <c r="M343" s="9">
        <f t="shared" si="207"/>
        <v>0</v>
      </c>
      <c r="N343" s="12">
        <f t="shared" si="208"/>
        <v>0</v>
      </c>
      <c r="O343" s="12">
        <f t="shared" si="208"/>
        <v>0</v>
      </c>
      <c r="P343" s="9">
        <f t="shared" si="210"/>
        <v>0</v>
      </c>
      <c r="Q343" s="12">
        <f t="shared" si="209"/>
        <v>0</v>
      </c>
      <c r="R343" s="12">
        <f t="shared" si="209"/>
        <v>0</v>
      </c>
      <c r="S343" s="12">
        <f t="shared" si="209"/>
        <v>0</v>
      </c>
      <c r="T343" s="12">
        <f t="shared" si="209"/>
        <v>0</v>
      </c>
      <c r="U343" s="12">
        <f t="shared" si="209"/>
        <v>0</v>
      </c>
      <c r="V343" s="12">
        <f t="shared" si="209"/>
        <v>0</v>
      </c>
      <c r="W343" s="27" t="str">
        <f t="shared" si="204"/>
        <v>OK</v>
      </c>
      <c r="X343" s="3"/>
      <c r="Y343" s="3"/>
      <c r="Z343" s="3"/>
      <c r="AA343" s="3"/>
      <c r="AB343" s="3"/>
      <c r="AC343" s="3"/>
    </row>
    <row r="344" spans="1:29" x14ac:dyDescent="0.2">
      <c r="A344" s="3">
        <f t="shared" si="198"/>
        <v>29</v>
      </c>
      <c r="B344" s="3"/>
      <c r="C344" s="3" t="s">
        <v>135</v>
      </c>
      <c r="D344" s="3"/>
      <c r="E344" s="4"/>
      <c r="F344" s="8"/>
      <c r="G344" s="8"/>
      <c r="H344" s="8">
        <f t="shared" ref="H344:V344" si="211">SUM(H338:H343)</f>
        <v>0</v>
      </c>
      <c r="I344" s="66">
        <v>0</v>
      </c>
      <c r="J344" s="66">
        <f t="shared" si="199"/>
        <v>0</v>
      </c>
      <c r="K344" s="8">
        <f t="shared" si="211"/>
        <v>0</v>
      </c>
      <c r="L344" s="8">
        <f t="shared" si="211"/>
        <v>0</v>
      </c>
      <c r="M344" s="9">
        <f t="shared" si="207"/>
        <v>0</v>
      </c>
      <c r="N344" s="8">
        <f t="shared" si="211"/>
        <v>0</v>
      </c>
      <c r="O344" s="8">
        <f t="shared" si="211"/>
        <v>0</v>
      </c>
      <c r="P344" s="9">
        <f t="shared" si="210"/>
        <v>0</v>
      </c>
      <c r="Q344" s="8">
        <f t="shared" si="211"/>
        <v>0</v>
      </c>
      <c r="R344" s="8">
        <f t="shared" si="211"/>
        <v>0</v>
      </c>
      <c r="S344" s="8">
        <f>SUM(S338:S343)</f>
        <v>0</v>
      </c>
      <c r="T344" s="8">
        <f t="shared" si="211"/>
        <v>0</v>
      </c>
      <c r="U344" s="8">
        <f t="shared" si="211"/>
        <v>0</v>
      </c>
      <c r="V344" s="8">
        <f t="shared" si="211"/>
        <v>0</v>
      </c>
      <c r="W344" s="27" t="str">
        <f t="shared" si="204"/>
        <v>OK</v>
      </c>
      <c r="X344" s="3"/>
      <c r="Y344" s="3"/>
      <c r="Z344" s="3"/>
      <c r="AA344" s="3"/>
      <c r="AB344" s="3"/>
      <c r="AC344" s="3"/>
    </row>
    <row r="345" spans="1:29" x14ac:dyDescent="0.2">
      <c r="A345" s="3">
        <f t="shared" si="198"/>
        <v>30</v>
      </c>
      <c r="B345" s="3"/>
      <c r="C345" s="3"/>
      <c r="D345" s="3"/>
      <c r="E345" s="4"/>
      <c r="F345" s="8"/>
      <c r="G345" s="8"/>
      <c r="H345" s="8"/>
      <c r="I345" s="8"/>
      <c r="J345" s="66"/>
      <c r="K345" s="8"/>
      <c r="L345" s="8"/>
      <c r="M345" s="8"/>
      <c r="N345" s="8"/>
      <c r="O345" s="8"/>
      <c r="P345" s="9">
        <f t="shared" si="210"/>
        <v>0</v>
      </c>
      <c r="Q345" s="8"/>
      <c r="R345" s="8"/>
      <c r="S345" s="8"/>
      <c r="T345" s="8"/>
      <c r="U345" s="8"/>
      <c r="V345" s="8"/>
      <c r="W345" s="27" t="str">
        <f t="shared" si="204"/>
        <v>OK</v>
      </c>
      <c r="X345" s="3"/>
      <c r="Y345" s="3"/>
      <c r="Z345" s="3"/>
      <c r="AA345" s="3"/>
      <c r="AB345" s="3"/>
      <c r="AC345" s="3"/>
    </row>
    <row r="346" spans="1:29" x14ac:dyDescent="0.2">
      <c r="A346" s="3">
        <f t="shared" si="198"/>
        <v>31</v>
      </c>
      <c r="B346" s="3"/>
      <c r="C346" s="3" t="s">
        <v>175</v>
      </c>
      <c r="D346" s="3"/>
      <c r="E346" s="4"/>
      <c r="F346" s="8"/>
      <c r="G346" s="8"/>
      <c r="H346" s="8">
        <f t="shared" ref="H346:V346" si="212">H335+H344</f>
        <v>0</v>
      </c>
      <c r="I346" s="8">
        <f t="shared" si="212"/>
        <v>0</v>
      </c>
      <c r="J346" s="66">
        <f t="shared" si="199"/>
        <v>0</v>
      </c>
      <c r="K346" s="8">
        <f t="shared" si="212"/>
        <v>0</v>
      </c>
      <c r="L346" s="8">
        <f>L335+L344</f>
        <v>0</v>
      </c>
      <c r="M346" s="9">
        <f>SUM(N346:O346)</f>
        <v>0</v>
      </c>
      <c r="N346" s="8">
        <f t="shared" si="212"/>
        <v>0</v>
      </c>
      <c r="O346" s="8">
        <f t="shared" si="212"/>
        <v>0</v>
      </c>
      <c r="P346" s="9">
        <f t="shared" si="210"/>
        <v>0</v>
      </c>
      <c r="Q346" s="8">
        <f t="shared" si="212"/>
        <v>0</v>
      </c>
      <c r="R346" s="8">
        <f t="shared" si="212"/>
        <v>0</v>
      </c>
      <c r="S346" s="8">
        <f>S335+S344</f>
        <v>0</v>
      </c>
      <c r="T346" s="8">
        <f t="shared" si="212"/>
        <v>0</v>
      </c>
      <c r="U346" s="8">
        <f t="shared" si="212"/>
        <v>0</v>
      </c>
      <c r="V346" s="8">
        <f t="shared" si="212"/>
        <v>0</v>
      </c>
      <c r="W346" s="27" t="str">
        <f t="shared" si="204"/>
        <v>OK</v>
      </c>
      <c r="X346" s="3"/>
      <c r="Y346" s="3"/>
      <c r="Z346" s="3"/>
      <c r="AA346" s="3"/>
      <c r="AB346" s="3"/>
      <c r="AC346" s="3"/>
    </row>
    <row r="347" spans="1:29" x14ac:dyDescent="0.2">
      <c r="A347" s="3">
        <f t="shared" si="198"/>
        <v>32</v>
      </c>
      <c r="B347" s="3"/>
      <c r="C347" s="3"/>
      <c r="D347" s="3"/>
      <c r="E347" s="4"/>
      <c r="F347" s="4"/>
      <c r="G347" s="4"/>
      <c r="H347" s="8"/>
      <c r="I347" s="8"/>
      <c r="J347" s="8"/>
      <c r="K347" s="8"/>
      <c r="L347" s="8"/>
      <c r="M347" s="3"/>
      <c r="N347" s="3"/>
      <c r="O347" s="3"/>
      <c r="P347" s="9">
        <f t="shared" si="210"/>
        <v>0</v>
      </c>
      <c r="Q347" s="3"/>
      <c r="R347" s="3"/>
      <c r="S347" s="3"/>
      <c r="T347" s="3"/>
      <c r="U347" s="3"/>
      <c r="V347" s="3"/>
      <c r="W347" s="27" t="str">
        <f t="shared" si="204"/>
        <v>OK</v>
      </c>
      <c r="X347" s="3"/>
      <c r="Y347" s="3"/>
      <c r="Z347" s="3"/>
      <c r="AA347" s="3"/>
      <c r="AB347" s="3"/>
      <c r="AC347" s="3"/>
    </row>
    <row r="348" spans="1:29" x14ac:dyDescent="0.2">
      <c r="A348" s="3">
        <f t="shared" si="198"/>
        <v>33</v>
      </c>
      <c r="B348" s="7" t="s">
        <v>144</v>
      </c>
      <c r="C348" s="3"/>
      <c r="D348" s="3"/>
      <c r="E348" s="4"/>
      <c r="F348" s="4"/>
      <c r="G348" s="4"/>
      <c r="H348" s="8"/>
      <c r="I348" s="8"/>
      <c r="J348" s="8"/>
      <c r="K348" s="8"/>
      <c r="L348" s="8"/>
      <c r="M348" s="3"/>
      <c r="N348" s="3"/>
      <c r="O348" s="3"/>
      <c r="P348" s="9">
        <f t="shared" si="210"/>
        <v>0</v>
      </c>
      <c r="Q348" s="3"/>
      <c r="R348" s="3"/>
      <c r="S348" s="3"/>
      <c r="T348" s="3"/>
      <c r="U348" s="3"/>
      <c r="V348" s="3"/>
      <c r="W348" s="27" t="str">
        <f t="shared" si="204"/>
        <v>OK</v>
      </c>
      <c r="X348" s="3"/>
      <c r="Y348" s="3"/>
      <c r="Z348" s="3"/>
      <c r="AA348" s="3"/>
      <c r="AB348" s="3"/>
      <c r="AC348" s="3"/>
    </row>
    <row r="349" spans="1:29" x14ac:dyDescent="0.2">
      <c r="A349" s="3">
        <f t="shared" si="198"/>
        <v>34</v>
      </c>
      <c r="B349" s="3" t="s">
        <v>176</v>
      </c>
      <c r="C349" s="3"/>
      <c r="D349" s="3"/>
      <c r="E349" s="4"/>
      <c r="F349" s="4"/>
      <c r="G349" s="4"/>
      <c r="H349" s="8"/>
      <c r="I349" s="8"/>
      <c r="J349" s="8"/>
      <c r="K349" s="8"/>
      <c r="L349" s="8"/>
      <c r="M349" s="3"/>
      <c r="N349" s="3"/>
      <c r="O349" s="3"/>
      <c r="P349" s="9">
        <f t="shared" si="210"/>
        <v>0</v>
      </c>
      <c r="Q349" s="3"/>
      <c r="R349" s="3"/>
      <c r="S349" s="3"/>
      <c r="T349" s="3"/>
      <c r="U349" s="3"/>
      <c r="V349" s="3"/>
      <c r="W349" s="27" t="str">
        <f t="shared" si="204"/>
        <v>OK</v>
      </c>
      <c r="X349" s="3"/>
      <c r="Y349" s="3"/>
      <c r="Z349" s="3"/>
      <c r="AA349" s="3"/>
      <c r="AB349" s="3"/>
      <c r="AC349" s="3"/>
    </row>
    <row r="350" spans="1:29" x14ac:dyDescent="0.2">
      <c r="A350" s="3">
        <f t="shared" si="198"/>
        <v>35</v>
      </c>
      <c r="B350" s="3"/>
      <c r="C350" s="3" t="s">
        <v>140</v>
      </c>
      <c r="D350" s="3"/>
      <c r="E350" s="4"/>
      <c r="F350" s="4"/>
      <c r="G350" s="4"/>
      <c r="H350" s="8"/>
      <c r="I350" s="8"/>
      <c r="J350" s="8"/>
      <c r="K350" s="8"/>
      <c r="L350" s="8"/>
      <c r="M350" s="3"/>
      <c r="N350" s="3"/>
      <c r="O350" s="3"/>
      <c r="P350" s="9">
        <f t="shared" si="210"/>
        <v>0</v>
      </c>
      <c r="Q350" s="3"/>
      <c r="R350" s="3"/>
      <c r="S350" s="3"/>
      <c r="T350" s="3"/>
      <c r="U350" s="3"/>
      <c r="V350" s="3"/>
      <c r="W350" s="27" t="str">
        <f t="shared" si="204"/>
        <v>OK</v>
      </c>
      <c r="X350" s="3"/>
      <c r="Y350" s="3"/>
      <c r="Z350" s="3"/>
      <c r="AA350" s="3"/>
      <c r="AB350" s="3"/>
      <c r="AC350" s="3"/>
    </row>
    <row r="351" spans="1:29" x14ac:dyDescent="0.2">
      <c r="A351" s="3">
        <f t="shared" si="198"/>
        <v>36</v>
      </c>
      <c r="B351" s="3" t="s">
        <v>177</v>
      </c>
      <c r="C351" s="3" t="s">
        <v>145</v>
      </c>
      <c r="D351" s="78" t="s">
        <v>360</v>
      </c>
      <c r="E351" s="4" t="s">
        <v>591</v>
      </c>
      <c r="F351" s="11"/>
      <c r="G351" s="11"/>
      <c r="H351" s="2">
        <f>'II-I TOTAL COMPANY'!L351</f>
        <v>1854957.4575819296</v>
      </c>
      <c r="I351" s="66">
        <v>0</v>
      </c>
      <c r="J351" s="66">
        <f t="shared" ref="J351:J377" si="213">SUM(K351:V351)-M351-P351</f>
        <v>1854957.4575819296</v>
      </c>
      <c r="K351" s="12">
        <f t="shared" ref="K351:L362" si="214">VLOOKUP($D351,$E$741:$V$815,K$1,FALSE)*$H351</f>
        <v>869616.62061819551</v>
      </c>
      <c r="L351" s="12">
        <f t="shared" si="214"/>
        <v>165236.47522036132</v>
      </c>
      <c r="M351" s="9">
        <f t="shared" ref="M351:M363" si="215">SUM(N351:O351)</f>
        <v>655977.68512790347</v>
      </c>
      <c r="N351" s="12">
        <f t="shared" ref="N351:O362" si="216">VLOOKUP($D351,$E$741:$V$815,N$1,FALSE)*$H351</f>
        <v>12797.640117089753</v>
      </c>
      <c r="O351" s="12">
        <f t="shared" si="216"/>
        <v>643180.04501081374</v>
      </c>
      <c r="P351" s="9">
        <f t="shared" si="210"/>
        <v>88218.879527455152</v>
      </c>
      <c r="Q351" s="12">
        <f t="shared" ref="Q351:V362" si="217">VLOOKUP($D351,$E$741:$V$815,Q$1,FALSE)*$H351</f>
        <v>38098.208562040942</v>
      </c>
      <c r="R351" s="12">
        <f t="shared" si="217"/>
        <v>44678.069742265492</v>
      </c>
      <c r="S351" s="12">
        <f t="shared" si="217"/>
        <v>5442.6012231487057</v>
      </c>
      <c r="T351" s="12">
        <f t="shared" si="217"/>
        <v>74364.372860553893</v>
      </c>
      <c r="U351" s="12">
        <f t="shared" si="217"/>
        <v>0</v>
      </c>
      <c r="V351" s="12">
        <f t="shared" si="217"/>
        <v>1543.4242274600808</v>
      </c>
      <c r="W351" s="27">
        <f t="shared" si="204"/>
        <v>-2.3283064365386963E-10</v>
      </c>
      <c r="X351" s="3"/>
      <c r="Y351" s="3"/>
      <c r="Z351" s="3"/>
      <c r="AA351" s="3"/>
      <c r="AB351" s="3"/>
      <c r="AC351" s="3"/>
    </row>
    <row r="352" spans="1:29" x14ac:dyDescent="0.2">
      <c r="A352" s="3">
        <f t="shared" si="198"/>
        <v>37</v>
      </c>
      <c r="B352" s="3" t="s">
        <v>178</v>
      </c>
      <c r="C352" s="3" t="s">
        <v>155</v>
      </c>
      <c r="D352" s="78" t="s">
        <v>368</v>
      </c>
      <c r="E352" s="4" t="s">
        <v>591</v>
      </c>
      <c r="F352" s="11"/>
      <c r="G352" s="11"/>
      <c r="H352" s="2">
        <f>'II-I TOTAL COMPANY'!L352</f>
        <v>0</v>
      </c>
      <c r="I352" s="66">
        <v>0</v>
      </c>
      <c r="J352" s="66">
        <f t="shared" si="213"/>
        <v>0</v>
      </c>
      <c r="K352" s="12">
        <f t="shared" si="214"/>
        <v>0</v>
      </c>
      <c r="L352" s="12">
        <f t="shared" si="214"/>
        <v>0</v>
      </c>
      <c r="M352" s="9">
        <f t="shared" si="215"/>
        <v>0</v>
      </c>
      <c r="N352" s="12">
        <f t="shared" si="216"/>
        <v>0</v>
      </c>
      <c r="O352" s="12">
        <f t="shared" si="216"/>
        <v>0</v>
      </c>
      <c r="P352" s="9">
        <f t="shared" si="210"/>
        <v>0</v>
      </c>
      <c r="Q352" s="12">
        <f t="shared" si="217"/>
        <v>0</v>
      </c>
      <c r="R352" s="12">
        <f t="shared" si="217"/>
        <v>0</v>
      </c>
      <c r="S352" s="12">
        <f t="shared" si="217"/>
        <v>0</v>
      </c>
      <c r="T352" s="12">
        <f t="shared" si="217"/>
        <v>0</v>
      </c>
      <c r="U352" s="12">
        <f t="shared" si="217"/>
        <v>0</v>
      </c>
      <c r="V352" s="12">
        <f t="shared" si="217"/>
        <v>0</v>
      </c>
      <c r="W352" s="27" t="str">
        <f t="shared" si="204"/>
        <v>OK</v>
      </c>
      <c r="X352" s="3"/>
      <c r="Y352" s="3"/>
      <c r="Z352" s="3"/>
      <c r="AA352" s="3"/>
      <c r="AB352" s="3"/>
      <c r="AC352" s="3"/>
    </row>
    <row r="353" spans="1:29" x14ac:dyDescent="0.2">
      <c r="A353" s="3">
        <f t="shared" si="198"/>
        <v>38</v>
      </c>
      <c r="B353" s="3" t="s">
        <v>179</v>
      </c>
      <c r="C353" s="3" t="s">
        <v>180</v>
      </c>
      <c r="D353" s="78" t="s">
        <v>332</v>
      </c>
      <c r="E353" s="4" t="s">
        <v>591</v>
      </c>
      <c r="F353" s="11"/>
      <c r="G353" s="11"/>
      <c r="H353" s="2">
        <f>'II-I TOTAL COMPANY'!L353</f>
        <v>0</v>
      </c>
      <c r="I353" s="66">
        <v>0</v>
      </c>
      <c r="J353" s="66">
        <f t="shared" si="213"/>
        <v>0</v>
      </c>
      <c r="K353" s="12">
        <f t="shared" si="214"/>
        <v>0</v>
      </c>
      <c r="L353" s="12">
        <f t="shared" si="214"/>
        <v>0</v>
      </c>
      <c r="M353" s="9">
        <f t="shared" si="215"/>
        <v>0</v>
      </c>
      <c r="N353" s="12">
        <f t="shared" si="216"/>
        <v>0</v>
      </c>
      <c r="O353" s="12">
        <f t="shared" si="216"/>
        <v>0</v>
      </c>
      <c r="P353" s="9">
        <f t="shared" si="210"/>
        <v>0</v>
      </c>
      <c r="Q353" s="12">
        <f t="shared" si="217"/>
        <v>0</v>
      </c>
      <c r="R353" s="12">
        <f t="shared" si="217"/>
        <v>0</v>
      </c>
      <c r="S353" s="12">
        <f t="shared" si="217"/>
        <v>0</v>
      </c>
      <c r="T353" s="12">
        <f t="shared" si="217"/>
        <v>0</v>
      </c>
      <c r="U353" s="12">
        <f t="shared" si="217"/>
        <v>0</v>
      </c>
      <c r="V353" s="12">
        <f t="shared" si="217"/>
        <v>0</v>
      </c>
      <c r="W353" s="27" t="str">
        <f t="shared" si="204"/>
        <v>OK</v>
      </c>
      <c r="X353" s="3"/>
      <c r="Y353" s="3"/>
      <c r="Z353" s="3"/>
      <c r="AA353" s="3"/>
      <c r="AB353" s="3"/>
      <c r="AC353" s="3"/>
    </row>
    <row r="354" spans="1:29" x14ac:dyDescent="0.2">
      <c r="A354" s="3">
        <f t="shared" si="198"/>
        <v>39</v>
      </c>
      <c r="B354" s="3" t="s">
        <v>181</v>
      </c>
      <c r="C354" s="3" t="s">
        <v>182</v>
      </c>
      <c r="D354" s="78" t="s">
        <v>333</v>
      </c>
      <c r="E354" s="4" t="s">
        <v>591</v>
      </c>
      <c r="F354" s="11"/>
      <c r="G354" s="11"/>
      <c r="H354" s="2">
        <f>'II-I TOTAL COMPANY'!L354</f>
        <v>0</v>
      </c>
      <c r="I354" s="66">
        <v>0</v>
      </c>
      <c r="J354" s="66">
        <f t="shared" si="213"/>
        <v>0</v>
      </c>
      <c r="K354" s="12">
        <f t="shared" si="214"/>
        <v>0</v>
      </c>
      <c r="L354" s="12">
        <f t="shared" si="214"/>
        <v>0</v>
      </c>
      <c r="M354" s="9">
        <f t="shared" si="215"/>
        <v>0</v>
      </c>
      <c r="N354" s="12">
        <f t="shared" si="216"/>
        <v>0</v>
      </c>
      <c r="O354" s="12">
        <f t="shared" si="216"/>
        <v>0</v>
      </c>
      <c r="P354" s="9">
        <f t="shared" si="210"/>
        <v>0</v>
      </c>
      <c r="Q354" s="12">
        <f t="shared" si="217"/>
        <v>0</v>
      </c>
      <c r="R354" s="12">
        <f t="shared" si="217"/>
        <v>0</v>
      </c>
      <c r="S354" s="12">
        <f t="shared" si="217"/>
        <v>0</v>
      </c>
      <c r="T354" s="12">
        <f t="shared" si="217"/>
        <v>0</v>
      </c>
      <c r="U354" s="12">
        <f t="shared" si="217"/>
        <v>0</v>
      </c>
      <c r="V354" s="12">
        <f t="shared" si="217"/>
        <v>0</v>
      </c>
      <c r="W354" s="27" t="str">
        <f t="shared" si="204"/>
        <v>OK</v>
      </c>
      <c r="X354" s="3"/>
      <c r="Y354" s="3"/>
      <c r="Z354" s="3"/>
      <c r="AA354" s="3"/>
      <c r="AB354" s="3"/>
      <c r="AC354" s="3"/>
    </row>
    <row r="355" spans="1:29" x14ac:dyDescent="0.2">
      <c r="A355" s="3">
        <f t="shared" si="198"/>
        <v>40</v>
      </c>
      <c r="B355" s="3" t="s">
        <v>183</v>
      </c>
      <c r="C355" s="3" t="s">
        <v>160</v>
      </c>
      <c r="D355" s="78" t="s">
        <v>421</v>
      </c>
      <c r="E355" s="4" t="s">
        <v>591</v>
      </c>
      <c r="F355" s="11"/>
      <c r="G355" s="11"/>
      <c r="H355" s="2">
        <f>'II-I TOTAL COMPANY'!L355</f>
        <v>0</v>
      </c>
      <c r="I355" s="66">
        <v>0</v>
      </c>
      <c r="J355" s="66">
        <f t="shared" si="213"/>
        <v>0</v>
      </c>
      <c r="K355" s="12">
        <f t="shared" si="214"/>
        <v>0</v>
      </c>
      <c r="L355" s="12">
        <f t="shared" si="214"/>
        <v>0</v>
      </c>
      <c r="M355" s="9">
        <f t="shared" si="215"/>
        <v>0</v>
      </c>
      <c r="N355" s="12">
        <f t="shared" si="216"/>
        <v>0</v>
      </c>
      <c r="O355" s="12">
        <f t="shared" si="216"/>
        <v>0</v>
      </c>
      <c r="P355" s="9">
        <f t="shared" si="210"/>
        <v>0</v>
      </c>
      <c r="Q355" s="12">
        <f t="shared" si="217"/>
        <v>0</v>
      </c>
      <c r="R355" s="12">
        <f t="shared" si="217"/>
        <v>0</v>
      </c>
      <c r="S355" s="12">
        <f t="shared" si="217"/>
        <v>0</v>
      </c>
      <c r="T355" s="12">
        <f t="shared" si="217"/>
        <v>0</v>
      </c>
      <c r="U355" s="12">
        <f t="shared" si="217"/>
        <v>0</v>
      </c>
      <c r="V355" s="12">
        <f t="shared" si="217"/>
        <v>0</v>
      </c>
      <c r="W355" s="27" t="str">
        <f t="shared" si="204"/>
        <v>OK</v>
      </c>
      <c r="X355" s="3"/>
      <c r="Y355" s="3"/>
      <c r="Z355" s="3"/>
      <c r="AA355" s="3"/>
      <c r="AB355" s="3"/>
      <c r="AC355" s="3"/>
    </row>
    <row r="356" spans="1:29" x14ac:dyDescent="0.2">
      <c r="A356" s="3">
        <f t="shared" si="198"/>
        <v>41</v>
      </c>
      <c r="B356" s="3" t="s">
        <v>184</v>
      </c>
      <c r="C356" s="3" t="s">
        <v>185</v>
      </c>
      <c r="D356" s="78" t="s">
        <v>335</v>
      </c>
      <c r="E356" s="4" t="s">
        <v>591</v>
      </c>
      <c r="F356" s="11"/>
      <c r="G356" s="11"/>
      <c r="H356" s="2">
        <f>'II-I TOTAL COMPANY'!L356</f>
        <v>0</v>
      </c>
      <c r="I356" s="66">
        <v>0</v>
      </c>
      <c r="J356" s="66">
        <f t="shared" si="213"/>
        <v>0</v>
      </c>
      <c r="K356" s="12">
        <f t="shared" si="214"/>
        <v>0</v>
      </c>
      <c r="L356" s="12">
        <f t="shared" si="214"/>
        <v>0</v>
      </c>
      <c r="M356" s="9">
        <f t="shared" si="215"/>
        <v>0</v>
      </c>
      <c r="N356" s="12">
        <f t="shared" si="216"/>
        <v>0</v>
      </c>
      <c r="O356" s="12">
        <f t="shared" si="216"/>
        <v>0</v>
      </c>
      <c r="P356" s="9">
        <f t="shared" si="210"/>
        <v>0</v>
      </c>
      <c r="Q356" s="12">
        <f t="shared" si="217"/>
        <v>0</v>
      </c>
      <c r="R356" s="12">
        <f t="shared" si="217"/>
        <v>0</v>
      </c>
      <c r="S356" s="12">
        <f t="shared" si="217"/>
        <v>0</v>
      </c>
      <c r="T356" s="12">
        <f t="shared" si="217"/>
        <v>0</v>
      </c>
      <c r="U356" s="12">
        <f t="shared" si="217"/>
        <v>0</v>
      </c>
      <c r="V356" s="12">
        <f t="shared" si="217"/>
        <v>0</v>
      </c>
      <c r="W356" s="27" t="str">
        <f t="shared" si="204"/>
        <v>OK</v>
      </c>
      <c r="X356" s="3"/>
      <c r="Y356" s="3"/>
      <c r="Z356" s="3"/>
      <c r="AA356" s="3"/>
      <c r="AB356" s="3"/>
      <c r="AC356" s="3"/>
    </row>
    <row r="357" spans="1:29" x14ac:dyDescent="0.2">
      <c r="A357" s="3">
        <f t="shared" si="198"/>
        <v>42</v>
      </c>
      <c r="B357" s="3" t="s">
        <v>186</v>
      </c>
      <c r="C357" s="3" t="s">
        <v>187</v>
      </c>
      <c r="D357" s="78" t="s">
        <v>344</v>
      </c>
      <c r="E357" s="4" t="s">
        <v>591</v>
      </c>
      <c r="F357" s="11"/>
      <c r="G357" s="11"/>
      <c r="H357" s="2">
        <f>'II-I TOTAL COMPANY'!L357</f>
        <v>9014634.6953094359</v>
      </c>
      <c r="I357" s="66">
        <v>0</v>
      </c>
      <c r="J357" s="66">
        <f t="shared" si="213"/>
        <v>9014634.6953094359</v>
      </c>
      <c r="K357" s="12">
        <f t="shared" si="214"/>
        <v>4226121.8055435019</v>
      </c>
      <c r="L357" s="12">
        <f t="shared" si="214"/>
        <v>803008.42284212704</v>
      </c>
      <c r="M357" s="9">
        <f t="shared" si="215"/>
        <v>3187889.3909574123</v>
      </c>
      <c r="N357" s="12">
        <f t="shared" si="216"/>
        <v>62193.367371340755</v>
      </c>
      <c r="O357" s="12">
        <f t="shared" si="216"/>
        <v>3125696.0235860716</v>
      </c>
      <c r="P357" s="9">
        <f t="shared" si="210"/>
        <v>428721.94665111095</v>
      </c>
      <c r="Q357" s="12">
        <f t="shared" si="217"/>
        <v>185147.87567161239</v>
      </c>
      <c r="R357" s="12">
        <f t="shared" si="217"/>
        <v>217124.37445498249</v>
      </c>
      <c r="S357" s="12">
        <f t="shared" si="217"/>
        <v>26449.69652451605</v>
      </c>
      <c r="T357" s="12">
        <f t="shared" si="217"/>
        <v>361392.46910683817</v>
      </c>
      <c r="U357" s="12">
        <f t="shared" si="217"/>
        <v>0</v>
      </c>
      <c r="V357" s="12">
        <f t="shared" si="217"/>
        <v>7500.6602084448505</v>
      </c>
      <c r="W357" s="27" t="str">
        <f t="shared" si="204"/>
        <v>OK</v>
      </c>
      <c r="X357" s="3"/>
      <c r="Y357" s="3"/>
      <c r="Z357" s="3"/>
      <c r="AA357" s="3"/>
      <c r="AB357" s="3"/>
      <c r="AC357" s="3"/>
    </row>
    <row r="358" spans="1:29" x14ac:dyDescent="0.2">
      <c r="A358" s="3">
        <f t="shared" si="198"/>
        <v>43</v>
      </c>
      <c r="B358" s="3" t="s">
        <v>186</v>
      </c>
      <c r="C358" s="3" t="s">
        <v>187</v>
      </c>
      <c r="D358" s="78" t="s">
        <v>344</v>
      </c>
      <c r="E358" s="4" t="s">
        <v>591</v>
      </c>
      <c r="F358" s="11"/>
      <c r="G358" s="11"/>
      <c r="H358" s="2">
        <f>'II-I TOTAL COMPANY'!L358</f>
        <v>0</v>
      </c>
      <c r="I358" s="66">
        <v>0</v>
      </c>
      <c r="J358" s="66">
        <f t="shared" si="213"/>
        <v>0</v>
      </c>
      <c r="K358" s="12">
        <f t="shared" si="214"/>
        <v>0</v>
      </c>
      <c r="L358" s="12">
        <f t="shared" si="214"/>
        <v>0</v>
      </c>
      <c r="M358" s="9">
        <f t="shared" si="215"/>
        <v>0</v>
      </c>
      <c r="N358" s="12">
        <f t="shared" si="216"/>
        <v>0</v>
      </c>
      <c r="O358" s="12">
        <f t="shared" si="216"/>
        <v>0</v>
      </c>
      <c r="P358" s="9">
        <f t="shared" si="210"/>
        <v>0</v>
      </c>
      <c r="Q358" s="12">
        <f t="shared" si="217"/>
        <v>0</v>
      </c>
      <c r="R358" s="12">
        <f t="shared" si="217"/>
        <v>0</v>
      </c>
      <c r="S358" s="12">
        <f t="shared" si="217"/>
        <v>0</v>
      </c>
      <c r="T358" s="12">
        <f t="shared" si="217"/>
        <v>0</v>
      </c>
      <c r="U358" s="12">
        <f t="shared" si="217"/>
        <v>0</v>
      </c>
      <c r="V358" s="12">
        <f t="shared" si="217"/>
        <v>0</v>
      </c>
      <c r="W358" s="27" t="str">
        <f t="shared" si="204"/>
        <v>OK</v>
      </c>
      <c r="X358" s="3"/>
      <c r="Y358" s="3"/>
      <c r="Z358" s="3"/>
      <c r="AA358" s="3"/>
      <c r="AB358" s="3"/>
      <c r="AC358" s="3"/>
    </row>
    <row r="359" spans="1:29" x14ac:dyDescent="0.2">
      <c r="A359" s="3">
        <f>+A357+1</f>
        <v>43</v>
      </c>
      <c r="B359" s="3" t="s">
        <v>188</v>
      </c>
      <c r="C359" s="3" t="s">
        <v>189</v>
      </c>
      <c r="D359" s="78" t="s">
        <v>331</v>
      </c>
      <c r="E359" s="4" t="s">
        <v>591</v>
      </c>
      <c r="F359" s="11"/>
      <c r="G359" s="11"/>
      <c r="H359" s="2">
        <f>'II-I TOTAL COMPANY'!L359</f>
        <v>0</v>
      </c>
      <c r="I359" s="66">
        <v>0</v>
      </c>
      <c r="J359" s="66">
        <f t="shared" si="213"/>
        <v>0</v>
      </c>
      <c r="K359" s="12">
        <f t="shared" si="214"/>
        <v>0</v>
      </c>
      <c r="L359" s="12">
        <f t="shared" si="214"/>
        <v>0</v>
      </c>
      <c r="M359" s="9">
        <f t="shared" si="215"/>
        <v>0</v>
      </c>
      <c r="N359" s="12">
        <f t="shared" si="216"/>
        <v>0</v>
      </c>
      <c r="O359" s="12">
        <f t="shared" si="216"/>
        <v>0</v>
      </c>
      <c r="P359" s="9">
        <f t="shared" si="210"/>
        <v>0</v>
      </c>
      <c r="Q359" s="12">
        <f t="shared" si="217"/>
        <v>0</v>
      </c>
      <c r="R359" s="12">
        <f t="shared" si="217"/>
        <v>0</v>
      </c>
      <c r="S359" s="12">
        <f t="shared" si="217"/>
        <v>0</v>
      </c>
      <c r="T359" s="12">
        <f t="shared" si="217"/>
        <v>0</v>
      </c>
      <c r="U359" s="12">
        <f t="shared" si="217"/>
        <v>0</v>
      </c>
      <c r="V359" s="12">
        <f t="shared" si="217"/>
        <v>0</v>
      </c>
      <c r="W359" s="27" t="str">
        <f t="shared" si="204"/>
        <v>OK</v>
      </c>
      <c r="X359" s="3"/>
      <c r="Y359" s="3"/>
      <c r="Z359" s="3"/>
      <c r="AA359" s="3"/>
      <c r="AB359" s="3"/>
      <c r="AC359" s="3"/>
    </row>
    <row r="360" spans="1:29" x14ac:dyDescent="0.2">
      <c r="A360" s="3">
        <f>+A359+1</f>
        <v>44</v>
      </c>
      <c r="B360" s="3" t="s">
        <v>190</v>
      </c>
      <c r="C360" s="3" t="s">
        <v>191</v>
      </c>
      <c r="D360" s="78" t="s">
        <v>331</v>
      </c>
      <c r="E360" s="4" t="s">
        <v>591</v>
      </c>
      <c r="F360" s="11"/>
      <c r="G360" s="11"/>
      <c r="H360" s="2">
        <f>'II-I TOTAL COMPANY'!L360</f>
        <v>9326433.4847627375</v>
      </c>
      <c r="I360" s="66">
        <v>0</v>
      </c>
      <c r="J360" s="66">
        <f t="shared" si="213"/>
        <v>9326433.4847627394</v>
      </c>
      <c r="K360" s="12">
        <f t="shared" si="214"/>
        <v>4372295.1899998132</v>
      </c>
      <c r="L360" s="12">
        <f t="shared" si="214"/>
        <v>830782.93202920037</v>
      </c>
      <c r="M360" s="9">
        <f t="shared" si="215"/>
        <v>3298152.3230237267</v>
      </c>
      <c r="N360" s="12">
        <f t="shared" si="216"/>
        <v>64344.515733292537</v>
      </c>
      <c r="O360" s="12">
        <f t="shared" si="216"/>
        <v>3233807.8072904344</v>
      </c>
      <c r="P360" s="9">
        <f t="shared" si="210"/>
        <v>443550.61009627907</v>
      </c>
      <c r="Q360" s="12">
        <f t="shared" si="217"/>
        <v>191551.78281321813</v>
      </c>
      <c r="R360" s="12">
        <f t="shared" si="217"/>
        <v>224634.28688117265</v>
      </c>
      <c r="S360" s="12">
        <f t="shared" si="217"/>
        <v>27364.540401888305</v>
      </c>
      <c r="T360" s="12">
        <f t="shared" si="217"/>
        <v>373892.33606691402</v>
      </c>
      <c r="U360" s="12">
        <f t="shared" si="217"/>
        <v>0</v>
      </c>
      <c r="V360" s="12">
        <f t="shared" si="217"/>
        <v>7760.093546804148</v>
      </c>
      <c r="W360" s="27">
        <f t="shared" si="204"/>
        <v>1.862645149230957E-9</v>
      </c>
      <c r="X360" s="3"/>
      <c r="Y360" s="3"/>
      <c r="Z360" s="3"/>
      <c r="AA360" s="3"/>
      <c r="AB360" s="3"/>
      <c r="AC360" s="3"/>
    </row>
    <row r="361" spans="1:29" x14ac:dyDescent="0.2">
      <c r="A361" s="3">
        <f>+A360+1</f>
        <v>45</v>
      </c>
      <c r="B361" s="3" t="s">
        <v>190</v>
      </c>
      <c r="C361" s="3" t="s">
        <v>191</v>
      </c>
      <c r="D361" s="78" t="s">
        <v>331</v>
      </c>
      <c r="E361" s="4" t="s">
        <v>591</v>
      </c>
      <c r="F361" s="11"/>
      <c r="G361" s="11"/>
      <c r="H361" s="2">
        <f>'II-I TOTAL COMPANY'!L361</f>
        <v>0</v>
      </c>
      <c r="I361" s="66">
        <v>0</v>
      </c>
      <c r="J361" s="66">
        <f t="shared" si="213"/>
        <v>0</v>
      </c>
      <c r="K361" s="12">
        <f t="shared" si="214"/>
        <v>0</v>
      </c>
      <c r="L361" s="12">
        <f t="shared" si="214"/>
        <v>0</v>
      </c>
      <c r="M361" s="9">
        <f t="shared" si="215"/>
        <v>0</v>
      </c>
      <c r="N361" s="12">
        <f t="shared" si="216"/>
        <v>0</v>
      </c>
      <c r="O361" s="12">
        <f t="shared" si="216"/>
        <v>0</v>
      </c>
      <c r="P361" s="9">
        <f t="shared" si="210"/>
        <v>0</v>
      </c>
      <c r="Q361" s="12">
        <f t="shared" si="217"/>
        <v>0</v>
      </c>
      <c r="R361" s="12">
        <f t="shared" si="217"/>
        <v>0</v>
      </c>
      <c r="S361" s="12">
        <f t="shared" si="217"/>
        <v>0</v>
      </c>
      <c r="T361" s="12">
        <f t="shared" si="217"/>
        <v>0</v>
      </c>
      <c r="U361" s="12">
        <f t="shared" si="217"/>
        <v>0</v>
      </c>
      <c r="V361" s="12">
        <f t="shared" si="217"/>
        <v>0</v>
      </c>
      <c r="W361" s="27" t="str">
        <f t="shared" si="204"/>
        <v>OK</v>
      </c>
      <c r="X361" s="3"/>
      <c r="Y361" s="3"/>
      <c r="Z361" s="3"/>
      <c r="AA361" s="3"/>
      <c r="AB361" s="3"/>
      <c r="AC361" s="3"/>
    </row>
    <row r="362" spans="1:29" x14ac:dyDescent="0.2">
      <c r="A362" s="3">
        <f>+A360+1</f>
        <v>45</v>
      </c>
      <c r="B362" s="3" t="s">
        <v>192</v>
      </c>
      <c r="C362" s="3" t="s">
        <v>141</v>
      </c>
      <c r="D362" s="78" t="s">
        <v>331</v>
      </c>
      <c r="E362" s="4" t="s">
        <v>591</v>
      </c>
      <c r="F362" s="11"/>
      <c r="G362" s="11"/>
      <c r="H362" s="2">
        <f>'II-I TOTAL COMPANY'!L362</f>
        <v>0</v>
      </c>
      <c r="I362" s="66">
        <v>0</v>
      </c>
      <c r="J362" s="66">
        <f t="shared" si="213"/>
        <v>0</v>
      </c>
      <c r="K362" s="12">
        <f t="shared" si="214"/>
        <v>0</v>
      </c>
      <c r="L362" s="12">
        <f t="shared" si="214"/>
        <v>0</v>
      </c>
      <c r="M362" s="9">
        <f t="shared" si="215"/>
        <v>0</v>
      </c>
      <c r="N362" s="12">
        <f t="shared" si="216"/>
        <v>0</v>
      </c>
      <c r="O362" s="12">
        <f t="shared" si="216"/>
        <v>0</v>
      </c>
      <c r="P362" s="9">
        <f t="shared" si="210"/>
        <v>0</v>
      </c>
      <c r="Q362" s="12">
        <f t="shared" si="217"/>
        <v>0</v>
      </c>
      <c r="R362" s="12">
        <f t="shared" si="217"/>
        <v>0</v>
      </c>
      <c r="S362" s="12">
        <f t="shared" si="217"/>
        <v>0</v>
      </c>
      <c r="T362" s="12">
        <f t="shared" si="217"/>
        <v>0</v>
      </c>
      <c r="U362" s="12">
        <f t="shared" si="217"/>
        <v>0</v>
      </c>
      <c r="V362" s="12">
        <f t="shared" si="217"/>
        <v>0</v>
      </c>
      <c r="W362" s="27" t="str">
        <f t="shared" si="204"/>
        <v>OK</v>
      </c>
      <c r="X362" s="3"/>
      <c r="Y362" s="3"/>
      <c r="Z362" s="3"/>
      <c r="AA362" s="3"/>
      <c r="AB362" s="3"/>
      <c r="AC362" s="3"/>
    </row>
    <row r="363" spans="1:29" x14ac:dyDescent="0.2">
      <c r="A363" s="3">
        <f t="shared" ref="A363:A377" si="218">+A362+1</f>
        <v>46</v>
      </c>
      <c r="B363" s="3"/>
      <c r="C363" s="3" t="s">
        <v>193</v>
      </c>
      <c r="D363" s="3"/>
      <c r="E363" s="4"/>
      <c r="F363" s="8"/>
      <c r="G363" s="8"/>
      <c r="H363" s="8">
        <f t="shared" ref="H363:V363" si="219">SUM(H351:H362)</f>
        <v>20196025.637654103</v>
      </c>
      <c r="I363" s="8">
        <f t="shared" si="219"/>
        <v>0</v>
      </c>
      <c r="J363" s="66">
        <f t="shared" si="213"/>
        <v>20196025.6376541</v>
      </c>
      <c r="K363" s="8">
        <f t="shared" si="219"/>
        <v>9468033.6161615103</v>
      </c>
      <c r="L363" s="8">
        <f t="shared" si="219"/>
        <v>1799027.8300916888</v>
      </c>
      <c r="M363" s="9">
        <f t="shared" si="215"/>
        <v>7142019.3991090422</v>
      </c>
      <c r="N363" s="8">
        <f t="shared" si="219"/>
        <v>139335.52322172304</v>
      </c>
      <c r="O363" s="8">
        <f t="shared" si="219"/>
        <v>7002683.8758873194</v>
      </c>
      <c r="P363" s="9">
        <f t="shared" si="210"/>
        <v>960491.43627484515</v>
      </c>
      <c r="Q363" s="8">
        <f t="shared" si="219"/>
        <v>414797.86704687146</v>
      </c>
      <c r="R363" s="8">
        <f t="shared" si="219"/>
        <v>486436.73107842065</v>
      </c>
      <c r="S363" s="8">
        <f>SUM(S351:S362)</f>
        <v>59256.838149553063</v>
      </c>
      <c r="T363" s="8">
        <f t="shared" si="219"/>
        <v>809649.17803430604</v>
      </c>
      <c r="U363" s="8">
        <f t="shared" si="219"/>
        <v>0</v>
      </c>
      <c r="V363" s="8">
        <f t="shared" si="219"/>
        <v>16804.17798270908</v>
      </c>
      <c r="W363" s="27" t="str">
        <f t="shared" si="204"/>
        <v>OK</v>
      </c>
      <c r="X363" s="3"/>
      <c r="Y363" s="3"/>
      <c r="Z363" s="3"/>
      <c r="AA363" s="3"/>
      <c r="AB363" s="3"/>
      <c r="AC363" s="3"/>
    </row>
    <row r="364" spans="1:29" x14ac:dyDescent="0.2">
      <c r="A364" s="3">
        <f t="shared" si="218"/>
        <v>47</v>
      </c>
      <c r="B364" s="3" t="s">
        <v>142</v>
      </c>
      <c r="C364" s="3"/>
      <c r="D364" s="78"/>
      <c r="E364" s="4"/>
      <c r="F364" s="4"/>
      <c r="G364" s="4"/>
      <c r="H364" s="8"/>
      <c r="I364" s="8"/>
      <c r="J364" s="8"/>
      <c r="K364" s="8"/>
      <c r="L364" s="8"/>
      <c r="M364" s="3"/>
      <c r="N364" s="3"/>
      <c r="O364" s="3"/>
      <c r="P364" s="9">
        <f t="shared" si="210"/>
        <v>0</v>
      </c>
      <c r="Q364" s="3"/>
      <c r="R364" s="3"/>
      <c r="S364" s="3"/>
      <c r="T364" s="3"/>
      <c r="U364" s="3"/>
      <c r="V364" s="3"/>
      <c r="W364" s="27" t="str">
        <f t="shared" si="204"/>
        <v>OK</v>
      </c>
      <c r="X364" s="3"/>
      <c r="Y364" s="3"/>
      <c r="Z364" s="3"/>
      <c r="AA364" s="3"/>
      <c r="AB364" s="3"/>
      <c r="AC364" s="3"/>
    </row>
    <row r="365" spans="1:29" x14ac:dyDescent="0.2">
      <c r="A365" s="3">
        <f t="shared" si="218"/>
        <v>48</v>
      </c>
      <c r="B365" s="3" t="s">
        <v>194</v>
      </c>
      <c r="C365" s="3" t="s">
        <v>195</v>
      </c>
      <c r="D365" s="78" t="s">
        <v>424</v>
      </c>
      <c r="E365" s="4" t="s">
        <v>591</v>
      </c>
      <c r="F365" s="11"/>
      <c r="G365" s="78"/>
      <c r="H365" s="2">
        <f>'II-I TOTAL COMPANY'!L365</f>
        <v>865.90106975088929</v>
      </c>
      <c r="I365" s="66">
        <v>0</v>
      </c>
      <c r="J365" s="66">
        <f t="shared" ca="1" si="213"/>
        <v>865.90106975088952</v>
      </c>
      <c r="K365" s="12">
        <f t="shared" ref="K365:L373" ca="1" si="220">VLOOKUP($D365,$E$741:$V$815,K$1,FALSE)*$H365</f>
        <v>405.94028665651507</v>
      </c>
      <c r="L365" s="12">
        <f t="shared" ca="1" si="220"/>
        <v>77.13300381653508</v>
      </c>
      <c r="M365" s="9">
        <f t="shared" ref="M365:M375" ca="1" si="221">SUM(N365:O365)</f>
        <v>306.21283359533635</v>
      </c>
      <c r="N365" s="12">
        <f t="shared" ref="N365:O373" ca="1" si="222">VLOOKUP($D365,$E$741:$V$815,N$1,FALSE)*$H365</f>
        <v>5.9739862078133203</v>
      </c>
      <c r="O365" s="12">
        <f t="shared" ca="1" si="222"/>
        <v>300.23884738752304</v>
      </c>
      <c r="P365" s="9">
        <f t="shared" ca="1" si="210"/>
        <v>41.180902474510951</v>
      </c>
      <c r="Q365" s="12">
        <f t="shared" ref="Q365:V373" ca="1" si="223">VLOOKUP($D365,$E$741:$V$815,Q$1,FALSE)*$H365</f>
        <v>17.784386059434286</v>
      </c>
      <c r="R365" s="12">
        <f t="shared" ca="1" si="223"/>
        <v>20.85588983515748</v>
      </c>
      <c r="S365" s="12">
        <f t="shared" ca="1" si="223"/>
        <v>2.5406265799191834</v>
      </c>
      <c r="T365" s="12">
        <f t="shared" ca="1" si="223"/>
        <v>34.713567013686379</v>
      </c>
      <c r="U365" s="12">
        <f t="shared" ca="1" si="223"/>
        <v>0</v>
      </c>
      <c r="V365" s="12">
        <f t="shared" ca="1" si="223"/>
        <v>0.72047619430544019</v>
      </c>
      <c r="W365" s="27" t="str">
        <f t="shared" ca="1" si="204"/>
        <v>OK</v>
      </c>
      <c r="X365" s="3"/>
      <c r="Y365" s="3"/>
      <c r="Z365" s="3"/>
      <c r="AA365" s="3"/>
      <c r="AB365" s="3"/>
      <c r="AC365" s="3"/>
    </row>
    <row r="366" spans="1:29" x14ac:dyDescent="0.2">
      <c r="A366" s="3">
        <f t="shared" si="218"/>
        <v>49</v>
      </c>
      <c r="B366" s="3" t="s">
        <v>196</v>
      </c>
      <c r="C366" s="3" t="s">
        <v>143</v>
      </c>
      <c r="D366" s="78" t="s">
        <v>337</v>
      </c>
      <c r="E366" s="4" t="s">
        <v>591</v>
      </c>
      <c r="F366" s="11"/>
      <c r="G366" s="11"/>
      <c r="H366" s="2">
        <f>'II-I TOTAL COMPANY'!L366</f>
        <v>0</v>
      </c>
      <c r="I366" s="66">
        <v>0</v>
      </c>
      <c r="J366" s="66">
        <f t="shared" si="213"/>
        <v>0</v>
      </c>
      <c r="K366" s="12">
        <f t="shared" si="220"/>
        <v>0</v>
      </c>
      <c r="L366" s="12">
        <f t="shared" si="220"/>
        <v>0</v>
      </c>
      <c r="M366" s="9">
        <f t="shared" si="221"/>
        <v>0</v>
      </c>
      <c r="N366" s="12">
        <f t="shared" si="222"/>
        <v>0</v>
      </c>
      <c r="O366" s="12">
        <f t="shared" si="222"/>
        <v>0</v>
      </c>
      <c r="P366" s="9">
        <f t="shared" si="210"/>
        <v>0</v>
      </c>
      <c r="Q366" s="12">
        <f t="shared" si="223"/>
        <v>0</v>
      </c>
      <c r="R366" s="12">
        <f t="shared" si="223"/>
        <v>0</v>
      </c>
      <c r="S366" s="12">
        <f t="shared" si="223"/>
        <v>0</v>
      </c>
      <c r="T366" s="12">
        <f t="shared" si="223"/>
        <v>0</v>
      </c>
      <c r="U366" s="12">
        <f t="shared" si="223"/>
        <v>0</v>
      </c>
      <c r="V366" s="12">
        <f t="shared" si="223"/>
        <v>0</v>
      </c>
      <c r="W366" s="27" t="str">
        <f t="shared" si="204"/>
        <v>OK</v>
      </c>
      <c r="X366" s="3"/>
      <c r="Y366" s="3"/>
      <c r="Z366" s="3"/>
      <c r="AA366" s="3"/>
      <c r="AB366" s="3"/>
      <c r="AC366" s="3"/>
    </row>
    <row r="367" spans="1:29" x14ac:dyDescent="0.2">
      <c r="A367" s="3">
        <f t="shared" si="218"/>
        <v>50</v>
      </c>
      <c r="B367" s="3" t="s">
        <v>197</v>
      </c>
      <c r="C367" s="3" t="s">
        <v>168</v>
      </c>
      <c r="D367" s="78" t="s">
        <v>332</v>
      </c>
      <c r="E367" s="4" t="s">
        <v>591</v>
      </c>
      <c r="F367" s="11"/>
      <c r="G367" s="11"/>
      <c r="H367" s="2">
        <f>'II-I TOTAL COMPANY'!L367</f>
        <v>0</v>
      </c>
      <c r="I367" s="66">
        <v>0</v>
      </c>
      <c r="J367" s="66">
        <f t="shared" si="213"/>
        <v>0</v>
      </c>
      <c r="K367" s="12">
        <f t="shared" si="220"/>
        <v>0</v>
      </c>
      <c r="L367" s="12">
        <f t="shared" si="220"/>
        <v>0</v>
      </c>
      <c r="M367" s="9">
        <f t="shared" si="221"/>
        <v>0</v>
      </c>
      <c r="N367" s="12">
        <f t="shared" si="222"/>
        <v>0</v>
      </c>
      <c r="O367" s="12">
        <f t="shared" si="222"/>
        <v>0</v>
      </c>
      <c r="P367" s="9">
        <f t="shared" si="210"/>
        <v>0</v>
      </c>
      <c r="Q367" s="12">
        <f t="shared" si="223"/>
        <v>0</v>
      </c>
      <c r="R367" s="12">
        <f t="shared" si="223"/>
        <v>0</v>
      </c>
      <c r="S367" s="12">
        <f t="shared" si="223"/>
        <v>0</v>
      </c>
      <c r="T367" s="12">
        <f t="shared" si="223"/>
        <v>0</v>
      </c>
      <c r="U367" s="12">
        <f t="shared" si="223"/>
        <v>0</v>
      </c>
      <c r="V367" s="12">
        <f t="shared" si="223"/>
        <v>0</v>
      </c>
      <c r="W367" s="27" t="str">
        <f t="shared" si="204"/>
        <v>OK</v>
      </c>
      <c r="X367" s="3"/>
      <c r="Y367" s="3"/>
      <c r="Z367" s="3"/>
      <c r="AA367" s="3"/>
      <c r="AB367" s="3"/>
      <c r="AC367" s="3"/>
    </row>
    <row r="368" spans="1:29" x14ac:dyDescent="0.2">
      <c r="A368" s="3">
        <f t="shared" si="218"/>
        <v>51</v>
      </c>
      <c r="B368" s="3" t="s">
        <v>198</v>
      </c>
      <c r="C368" s="3" t="s">
        <v>170</v>
      </c>
      <c r="D368" s="78" t="s">
        <v>333</v>
      </c>
      <c r="E368" s="4" t="s">
        <v>591</v>
      </c>
      <c r="F368" s="11"/>
      <c r="G368" s="11"/>
      <c r="H368" s="2">
        <f>'II-I TOTAL COMPANY'!L368</f>
        <v>0</v>
      </c>
      <c r="I368" s="66">
        <v>0</v>
      </c>
      <c r="J368" s="66">
        <f t="shared" si="213"/>
        <v>0</v>
      </c>
      <c r="K368" s="12">
        <f t="shared" si="220"/>
        <v>0</v>
      </c>
      <c r="L368" s="12">
        <f t="shared" si="220"/>
        <v>0</v>
      </c>
      <c r="M368" s="9">
        <f t="shared" si="221"/>
        <v>0</v>
      </c>
      <c r="N368" s="12">
        <f t="shared" si="222"/>
        <v>0</v>
      </c>
      <c r="O368" s="12">
        <f t="shared" si="222"/>
        <v>0</v>
      </c>
      <c r="P368" s="9">
        <f t="shared" si="210"/>
        <v>0</v>
      </c>
      <c r="Q368" s="12">
        <f t="shared" si="223"/>
        <v>0</v>
      </c>
      <c r="R368" s="12">
        <f t="shared" si="223"/>
        <v>0</v>
      </c>
      <c r="S368" s="12">
        <f t="shared" si="223"/>
        <v>0</v>
      </c>
      <c r="T368" s="12">
        <f t="shared" si="223"/>
        <v>0</v>
      </c>
      <c r="U368" s="12">
        <f t="shared" si="223"/>
        <v>0</v>
      </c>
      <c r="V368" s="12">
        <f t="shared" si="223"/>
        <v>0</v>
      </c>
      <c r="W368" s="27" t="str">
        <f t="shared" si="204"/>
        <v>OK</v>
      </c>
      <c r="X368" s="3"/>
      <c r="Y368" s="3"/>
      <c r="Z368" s="3"/>
      <c r="AA368" s="3"/>
      <c r="AB368" s="3"/>
      <c r="AC368" s="3"/>
    </row>
    <row r="369" spans="1:29" x14ac:dyDescent="0.2">
      <c r="A369" s="3">
        <f t="shared" si="218"/>
        <v>52</v>
      </c>
      <c r="B369" s="3" t="s">
        <v>199</v>
      </c>
      <c r="C369" s="3" t="s">
        <v>172</v>
      </c>
      <c r="D369" s="78" t="s">
        <v>421</v>
      </c>
      <c r="E369" s="4" t="s">
        <v>591</v>
      </c>
      <c r="F369" s="11"/>
      <c r="G369" s="11"/>
      <c r="H369" s="2">
        <f>'II-I TOTAL COMPANY'!L369</f>
        <v>0</v>
      </c>
      <c r="I369" s="66">
        <v>0</v>
      </c>
      <c r="J369" s="66">
        <f t="shared" si="213"/>
        <v>0</v>
      </c>
      <c r="K369" s="12">
        <f t="shared" si="220"/>
        <v>0</v>
      </c>
      <c r="L369" s="12">
        <f t="shared" si="220"/>
        <v>0</v>
      </c>
      <c r="M369" s="9">
        <f t="shared" si="221"/>
        <v>0</v>
      </c>
      <c r="N369" s="12">
        <f t="shared" si="222"/>
        <v>0</v>
      </c>
      <c r="O369" s="12">
        <f t="shared" si="222"/>
        <v>0</v>
      </c>
      <c r="P369" s="9">
        <f t="shared" si="210"/>
        <v>0</v>
      </c>
      <c r="Q369" s="12">
        <f t="shared" si="223"/>
        <v>0</v>
      </c>
      <c r="R369" s="12">
        <f t="shared" si="223"/>
        <v>0</v>
      </c>
      <c r="S369" s="12">
        <f t="shared" si="223"/>
        <v>0</v>
      </c>
      <c r="T369" s="12">
        <f t="shared" si="223"/>
        <v>0</v>
      </c>
      <c r="U369" s="12">
        <f t="shared" si="223"/>
        <v>0</v>
      </c>
      <c r="V369" s="12">
        <f t="shared" si="223"/>
        <v>0</v>
      </c>
      <c r="W369" s="27" t="str">
        <f t="shared" si="204"/>
        <v>OK</v>
      </c>
      <c r="X369" s="3"/>
      <c r="Y369" s="3"/>
      <c r="Z369" s="3"/>
      <c r="AA369" s="3"/>
      <c r="AB369" s="3"/>
      <c r="AC369" s="3"/>
    </row>
    <row r="370" spans="1:29" x14ac:dyDescent="0.2">
      <c r="A370" s="3">
        <f t="shared" si="218"/>
        <v>53</v>
      </c>
      <c r="B370" s="3" t="s">
        <v>200</v>
      </c>
      <c r="C370" s="3" t="s">
        <v>201</v>
      </c>
      <c r="D370" s="78" t="s">
        <v>338</v>
      </c>
      <c r="E370" s="4" t="s">
        <v>591</v>
      </c>
      <c r="F370" s="11"/>
      <c r="G370" s="11"/>
      <c r="H370" s="2">
        <f>'II-I TOTAL COMPANY'!L370</f>
        <v>0</v>
      </c>
      <c r="I370" s="66">
        <v>0</v>
      </c>
      <c r="J370" s="66">
        <f t="shared" si="213"/>
        <v>0</v>
      </c>
      <c r="K370" s="12">
        <f t="shared" si="220"/>
        <v>0</v>
      </c>
      <c r="L370" s="12">
        <f t="shared" si="220"/>
        <v>0</v>
      </c>
      <c r="M370" s="9">
        <f t="shared" si="221"/>
        <v>0</v>
      </c>
      <c r="N370" s="12">
        <f t="shared" si="222"/>
        <v>0</v>
      </c>
      <c r="O370" s="12">
        <f t="shared" si="222"/>
        <v>0</v>
      </c>
      <c r="P370" s="9">
        <f t="shared" si="210"/>
        <v>0</v>
      </c>
      <c r="Q370" s="12">
        <f t="shared" si="223"/>
        <v>0</v>
      </c>
      <c r="R370" s="12">
        <f t="shared" si="223"/>
        <v>0</v>
      </c>
      <c r="S370" s="12">
        <f t="shared" si="223"/>
        <v>0</v>
      </c>
      <c r="T370" s="12">
        <f t="shared" si="223"/>
        <v>0</v>
      </c>
      <c r="U370" s="12">
        <f t="shared" si="223"/>
        <v>0</v>
      </c>
      <c r="V370" s="12">
        <f t="shared" si="223"/>
        <v>0</v>
      </c>
      <c r="W370" s="27" t="str">
        <f t="shared" si="204"/>
        <v>OK</v>
      </c>
      <c r="X370" s="3"/>
      <c r="Y370" s="3"/>
      <c r="Z370" s="3"/>
      <c r="AA370" s="3"/>
      <c r="AB370" s="3"/>
      <c r="AC370" s="3"/>
    </row>
    <row r="371" spans="1:29" x14ac:dyDescent="0.2">
      <c r="A371" s="3">
        <f t="shared" si="218"/>
        <v>54</v>
      </c>
      <c r="B371" s="3" t="s">
        <v>202</v>
      </c>
      <c r="C371" s="3" t="s">
        <v>203</v>
      </c>
      <c r="D371" s="78" t="s">
        <v>335</v>
      </c>
      <c r="E371" s="4" t="s">
        <v>591</v>
      </c>
      <c r="F371" s="11"/>
      <c r="G371" s="11"/>
      <c r="H371" s="2">
        <f>'II-I TOTAL COMPANY'!L371</f>
        <v>0</v>
      </c>
      <c r="I371" s="66">
        <v>0</v>
      </c>
      <c r="J371" s="66">
        <f t="shared" si="213"/>
        <v>0</v>
      </c>
      <c r="K371" s="12">
        <f t="shared" si="220"/>
        <v>0</v>
      </c>
      <c r="L371" s="12">
        <f t="shared" si="220"/>
        <v>0</v>
      </c>
      <c r="M371" s="9">
        <f t="shared" si="221"/>
        <v>0</v>
      </c>
      <c r="N371" s="12">
        <f t="shared" si="222"/>
        <v>0</v>
      </c>
      <c r="O371" s="12">
        <f t="shared" si="222"/>
        <v>0</v>
      </c>
      <c r="P371" s="9">
        <f t="shared" si="210"/>
        <v>0</v>
      </c>
      <c r="Q371" s="12">
        <f t="shared" si="223"/>
        <v>0</v>
      </c>
      <c r="R371" s="12">
        <f t="shared" si="223"/>
        <v>0</v>
      </c>
      <c r="S371" s="12">
        <f t="shared" si="223"/>
        <v>0</v>
      </c>
      <c r="T371" s="12">
        <f t="shared" si="223"/>
        <v>0</v>
      </c>
      <c r="U371" s="12">
        <f t="shared" si="223"/>
        <v>0</v>
      </c>
      <c r="V371" s="12">
        <f t="shared" si="223"/>
        <v>0</v>
      </c>
      <c r="W371" s="27" t="str">
        <f t="shared" si="204"/>
        <v>OK</v>
      </c>
      <c r="X371" s="3"/>
      <c r="Y371" s="3"/>
      <c r="Z371" s="3"/>
      <c r="AA371" s="3"/>
      <c r="AB371" s="3"/>
      <c r="AC371" s="3"/>
    </row>
    <row r="372" spans="1:29" x14ac:dyDescent="0.2">
      <c r="A372" s="3">
        <f t="shared" si="218"/>
        <v>55</v>
      </c>
      <c r="B372" s="3" t="s">
        <v>204</v>
      </c>
      <c r="C372" s="3" t="s">
        <v>205</v>
      </c>
      <c r="D372" s="78" t="s">
        <v>334</v>
      </c>
      <c r="E372" s="4" t="s">
        <v>591</v>
      </c>
      <c r="F372" s="11"/>
      <c r="G372" s="11"/>
      <c r="H372" s="2">
        <f>'II-I TOTAL COMPANY'!L372</f>
        <v>352821.25349762797</v>
      </c>
      <c r="I372" s="66">
        <v>0</v>
      </c>
      <c r="J372" s="66">
        <f t="shared" si="213"/>
        <v>352821.25349762791</v>
      </c>
      <c r="K372" s="12">
        <f t="shared" si="220"/>
        <v>165404.99346483339</v>
      </c>
      <c r="L372" s="12">
        <f t="shared" si="220"/>
        <v>31428.720951247313</v>
      </c>
      <c r="M372" s="9">
        <f t="shared" si="221"/>
        <v>124769.90681770229</v>
      </c>
      <c r="N372" s="12">
        <f t="shared" si="222"/>
        <v>2434.1687241760942</v>
      </c>
      <c r="O372" s="12">
        <f t="shared" si="222"/>
        <v>122335.73809352619</v>
      </c>
      <c r="P372" s="9">
        <f t="shared" si="210"/>
        <v>16779.627764405595</v>
      </c>
      <c r="Q372" s="12">
        <f t="shared" si="223"/>
        <v>7246.4506643703717</v>
      </c>
      <c r="R372" s="12">
        <f t="shared" si="223"/>
        <v>8497.9698622680262</v>
      </c>
      <c r="S372" s="12">
        <f t="shared" si="223"/>
        <v>1035.2072377671959</v>
      </c>
      <c r="T372" s="12">
        <f t="shared" si="223"/>
        <v>14144.438267833844</v>
      </c>
      <c r="U372" s="12">
        <f t="shared" si="223"/>
        <v>0</v>
      </c>
      <c r="V372" s="12">
        <f t="shared" si="223"/>
        <v>293.5662316056227</v>
      </c>
      <c r="W372" s="27" t="str">
        <f t="shared" si="204"/>
        <v>OK</v>
      </c>
      <c r="X372" s="3"/>
      <c r="Y372" s="3"/>
      <c r="Z372" s="3"/>
      <c r="AA372" s="3"/>
      <c r="AB372" s="3"/>
      <c r="AC372" s="3"/>
    </row>
    <row r="373" spans="1:29" x14ac:dyDescent="0.2">
      <c r="A373" s="3">
        <f t="shared" si="218"/>
        <v>56</v>
      </c>
      <c r="B373" s="3" t="s">
        <v>207</v>
      </c>
      <c r="C373" s="3" t="s">
        <v>208</v>
      </c>
      <c r="D373" s="78" t="s">
        <v>331</v>
      </c>
      <c r="E373" s="4" t="s">
        <v>591</v>
      </c>
      <c r="F373" s="11"/>
      <c r="G373" s="11"/>
      <c r="H373" s="2">
        <f>'II-I TOTAL COMPANY'!L373</f>
        <v>661.74183858657227</v>
      </c>
      <c r="I373" s="66">
        <v>0</v>
      </c>
      <c r="J373" s="66">
        <f t="shared" si="213"/>
        <v>661.7418385865725</v>
      </c>
      <c r="K373" s="12">
        <f t="shared" si="220"/>
        <v>310.22905621969477</v>
      </c>
      <c r="L373" s="12">
        <f t="shared" si="220"/>
        <v>58.946844558054785</v>
      </c>
      <c r="M373" s="9">
        <f t="shared" si="221"/>
        <v>234.01500538679051</v>
      </c>
      <c r="N373" s="12">
        <f t="shared" si="222"/>
        <v>4.5654599063915207</v>
      </c>
      <c r="O373" s="12">
        <f t="shared" si="222"/>
        <v>229.449545480399</v>
      </c>
      <c r="P373" s="9">
        <f t="shared" si="210"/>
        <v>31.471408305312604</v>
      </c>
      <c r="Q373" s="12">
        <f t="shared" si="223"/>
        <v>13.591243549900193</v>
      </c>
      <c r="R373" s="12">
        <f t="shared" si="223"/>
        <v>15.938558533998094</v>
      </c>
      <c r="S373" s="12">
        <f t="shared" si="223"/>
        <v>1.9416062214143135</v>
      </c>
      <c r="T373" s="12">
        <f t="shared" si="223"/>
        <v>26.528919367363351</v>
      </c>
      <c r="U373" s="12">
        <f t="shared" si="223"/>
        <v>0</v>
      </c>
      <c r="V373" s="12">
        <f t="shared" si="223"/>
        <v>0.55060474935629788</v>
      </c>
      <c r="W373" s="27">
        <f t="shared" si="204"/>
        <v>1.1368683772161603E-13</v>
      </c>
      <c r="X373" s="3"/>
      <c r="Y373" s="3"/>
      <c r="Z373" s="3"/>
      <c r="AA373" s="3"/>
      <c r="AB373" s="3"/>
      <c r="AC373" s="3"/>
    </row>
    <row r="374" spans="1:29" x14ac:dyDescent="0.2">
      <c r="A374" s="3">
        <f t="shared" si="218"/>
        <v>57</v>
      </c>
      <c r="B374" s="3"/>
      <c r="C374" s="3" t="s">
        <v>209</v>
      </c>
      <c r="D374" s="3"/>
      <c r="E374" s="4"/>
      <c r="F374" s="8"/>
      <c r="G374" s="8"/>
      <c r="H374" s="8">
        <f t="shared" ref="H374:V374" si="224">SUM(H365:H373)</f>
        <v>354348.89640596544</v>
      </c>
      <c r="I374" s="8">
        <f t="shared" si="224"/>
        <v>0</v>
      </c>
      <c r="J374" s="66">
        <f t="shared" ca="1" si="213"/>
        <v>354348.89640596556</v>
      </c>
      <c r="K374" s="8">
        <f t="shared" ca="1" si="224"/>
        <v>166121.1628077096</v>
      </c>
      <c r="L374" s="8">
        <f t="shared" ca="1" si="224"/>
        <v>31564.800799621902</v>
      </c>
      <c r="M374" s="9">
        <f t="shared" ca="1" si="221"/>
        <v>125310.1346566844</v>
      </c>
      <c r="N374" s="8">
        <f t="shared" ca="1" si="224"/>
        <v>2444.7081702902988</v>
      </c>
      <c r="O374" s="8">
        <f t="shared" ca="1" si="224"/>
        <v>122865.42648639411</v>
      </c>
      <c r="P374" s="9">
        <f t="shared" ca="1" si="210"/>
        <v>16852.280075185416</v>
      </c>
      <c r="Q374" s="8">
        <f t="shared" ca="1" si="224"/>
        <v>7277.826293979706</v>
      </c>
      <c r="R374" s="8">
        <f t="shared" ca="1" si="224"/>
        <v>8534.7643106371816</v>
      </c>
      <c r="S374" s="8">
        <f ca="1">SUM(S365:S373)</f>
        <v>1039.6894705685295</v>
      </c>
      <c r="T374" s="8">
        <f t="shared" ca="1" si="224"/>
        <v>14205.680754214894</v>
      </c>
      <c r="U374" s="8">
        <f t="shared" ca="1" si="224"/>
        <v>0</v>
      </c>
      <c r="V374" s="8">
        <f t="shared" ca="1" si="224"/>
        <v>294.83731254928443</v>
      </c>
      <c r="W374" s="27">
        <f t="shared" ca="1" si="204"/>
        <v>5.8207660913467407E-11</v>
      </c>
      <c r="X374" s="3"/>
      <c r="Y374" s="3"/>
      <c r="Z374" s="3"/>
      <c r="AA374" s="3"/>
      <c r="AB374" s="3"/>
      <c r="AC374" s="3"/>
    </row>
    <row r="375" spans="1:29" x14ac:dyDescent="0.2">
      <c r="A375" s="3">
        <f t="shared" si="218"/>
        <v>58</v>
      </c>
      <c r="B375" s="3" t="s">
        <v>210</v>
      </c>
      <c r="C375" s="3"/>
      <c r="D375" s="3"/>
      <c r="E375" s="4"/>
      <c r="F375" s="8"/>
      <c r="G375" s="8"/>
      <c r="H375" s="8">
        <f t="shared" ref="H375:V375" si="225">H363+H374</f>
        <v>20550374.534060068</v>
      </c>
      <c r="I375" s="8">
        <f t="shared" si="225"/>
        <v>0</v>
      </c>
      <c r="J375" s="66">
        <f t="shared" ca="1" si="213"/>
        <v>20550374.534060076</v>
      </c>
      <c r="K375" s="8">
        <f t="shared" ca="1" si="225"/>
        <v>9634154.7789692208</v>
      </c>
      <c r="L375" s="8">
        <f t="shared" ca="1" si="225"/>
        <v>1830592.6308913107</v>
      </c>
      <c r="M375" s="9">
        <f t="shared" ca="1" si="221"/>
        <v>7267329.5337657267</v>
      </c>
      <c r="N375" s="8">
        <f t="shared" ca="1" si="225"/>
        <v>141780.23139201335</v>
      </c>
      <c r="O375" s="8">
        <f t="shared" ca="1" si="225"/>
        <v>7125549.3023737138</v>
      </c>
      <c r="P375" s="9">
        <f t="shared" ca="1" si="210"/>
        <v>977343.71635003062</v>
      </c>
      <c r="Q375" s="8">
        <f t="shared" ca="1" si="225"/>
        <v>422075.69334085117</v>
      </c>
      <c r="R375" s="8">
        <f t="shared" ca="1" si="225"/>
        <v>494971.49538905785</v>
      </c>
      <c r="S375" s="8">
        <f ca="1">S363+S374</f>
        <v>60296.527620121589</v>
      </c>
      <c r="T375" s="8">
        <f t="shared" ca="1" si="225"/>
        <v>823854.85878852091</v>
      </c>
      <c r="U375" s="8">
        <f t="shared" ca="1" si="225"/>
        <v>0</v>
      </c>
      <c r="V375" s="8">
        <f t="shared" ca="1" si="225"/>
        <v>17099.015295258363</v>
      </c>
      <c r="W375" s="27" t="str">
        <f t="shared" ca="1" si="204"/>
        <v>OK</v>
      </c>
      <c r="X375" s="3"/>
      <c r="Y375" s="3"/>
      <c r="Z375" s="3"/>
      <c r="AA375" s="3"/>
      <c r="AB375" s="3"/>
      <c r="AC375" s="3"/>
    </row>
    <row r="376" spans="1:29" x14ac:dyDescent="0.2">
      <c r="A376" s="3">
        <f t="shared" si="218"/>
        <v>59</v>
      </c>
      <c r="B376" s="3"/>
      <c r="C376" s="3"/>
      <c r="D376" s="3"/>
      <c r="E376" s="4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9">
        <f t="shared" si="210"/>
        <v>0</v>
      </c>
      <c r="Q376" s="8"/>
      <c r="R376" s="8"/>
      <c r="S376" s="8"/>
      <c r="T376" s="8"/>
      <c r="U376" s="8"/>
      <c r="V376" s="8"/>
      <c r="W376" s="27" t="str">
        <f t="shared" si="204"/>
        <v>OK</v>
      </c>
      <c r="X376" s="3"/>
      <c r="Y376" s="3"/>
      <c r="Z376" s="3"/>
      <c r="AA376" s="3"/>
      <c r="AB376" s="3"/>
      <c r="AC376" s="3"/>
    </row>
    <row r="377" spans="1:29" x14ac:dyDescent="0.2">
      <c r="A377" s="3">
        <f t="shared" si="218"/>
        <v>60</v>
      </c>
      <c r="B377" s="3" t="s">
        <v>211</v>
      </c>
      <c r="C377" s="3"/>
      <c r="D377" s="3"/>
      <c r="E377" s="4"/>
      <c r="F377" s="8"/>
      <c r="G377" s="8"/>
      <c r="H377" s="8">
        <f t="shared" ref="H377:V377" si="226">H320+H346+H375</f>
        <v>20550374.534060068</v>
      </c>
      <c r="I377" s="8">
        <f t="shared" si="226"/>
        <v>0</v>
      </c>
      <c r="J377" s="66">
        <f t="shared" ca="1" si="213"/>
        <v>20550374.534060076</v>
      </c>
      <c r="K377" s="8">
        <f t="shared" ca="1" si="226"/>
        <v>9634154.7789692208</v>
      </c>
      <c r="L377" s="8">
        <f ca="1">L320+L346+L375</f>
        <v>1830592.6308913107</v>
      </c>
      <c r="M377" s="9">
        <f ca="1">SUM(N377:O377)</f>
        <v>7267329.5337657267</v>
      </c>
      <c r="N377" s="8">
        <f t="shared" ca="1" si="226"/>
        <v>141780.23139201335</v>
      </c>
      <c r="O377" s="8">
        <f t="shared" ca="1" si="226"/>
        <v>7125549.3023737138</v>
      </c>
      <c r="P377" s="9">
        <f t="shared" ca="1" si="210"/>
        <v>977343.71635003062</v>
      </c>
      <c r="Q377" s="8">
        <f t="shared" ca="1" si="226"/>
        <v>422075.69334085117</v>
      </c>
      <c r="R377" s="8">
        <f t="shared" ca="1" si="226"/>
        <v>494971.49538905785</v>
      </c>
      <c r="S377" s="8">
        <f ca="1">S320+S346+S375</f>
        <v>60296.527620121589</v>
      </c>
      <c r="T377" s="8">
        <f t="shared" ca="1" si="226"/>
        <v>823854.85878852091</v>
      </c>
      <c r="U377" s="8">
        <f t="shared" ca="1" si="226"/>
        <v>0</v>
      </c>
      <c r="V377" s="8">
        <f t="shared" ca="1" si="226"/>
        <v>17099.015295258363</v>
      </c>
      <c r="W377" s="27" t="str">
        <f t="shared" ca="1" si="204"/>
        <v>OK</v>
      </c>
      <c r="X377" s="3"/>
      <c r="Y377" s="3"/>
      <c r="Z377" s="3"/>
      <c r="AA377" s="3"/>
      <c r="AB377" s="3"/>
      <c r="AC377" s="3"/>
    </row>
    <row r="378" spans="1:29" x14ac:dyDescent="0.2">
      <c r="A378" s="3"/>
      <c r="B378" s="7" t="s">
        <v>144</v>
      </c>
      <c r="C378" s="3"/>
      <c r="D378" s="3"/>
      <c r="E378" s="4"/>
      <c r="F378" s="4"/>
      <c r="G378" s="4"/>
      <c r="H378" s="8"/>
      <c r="I378" s="8"/>
      <c r="J378" s="8"/>
      <c r="K378" s="8"/>
      <c r="L378" s="8"/>
      <c r="M378" s="3"/>
      <c r="N378" s="3"/>
      <c r="O378" s="3"/>
      <c r="P378" s="9">
        <f t="shared" si="210"/>
        <v>0</v>
      </c>
      <c r="Q378" s="3"/>
      <c r="R378" s="3"/>
      <c r="S378" s="3"/>
      <c r="T378" s="3"/>
      <c r="U378" s="3"/>
      <c r="V378" s="3"/>
      <c r="W378" s="27" t="str">
        <f t="shared" si="204"/>
        <v>OK</v>
      </c>
      <c r="X378" s="3"/>
      <c r="Y378" s="3"/>
      <c r="Z378" s="3"/>
      <c r="AA378" s="3"/>
      <c r="AB378" s="3"/>
      <c r="AC378" s="3"/>
    </row>
    <row r="379" spans="1:29" x14ac:dyDescent="0.2">
      <c r="A379" s="3"/>
      <c r="B379" s="3"/>
      <c r="C379" s="3"/>
      <c r="D379" s="3"/>
      <c r="E379" s="4"/>
      <c r="F379" s="4"/>
      <c r="G379" s="4"/>
      <c r="H379" s="8"/>
      <c r="I379" s="8"/>
      <c r="J379" s="8"/>
      <c r="K379" s="8"/>
      <c r="L379" s="8"/>
      <c r="M379" s="3"/>
      <c r="N379" s="3"/>
      <c r="O379" s="3"/>
      <c r="P379" s="9">
        <f t="shared" si="210"/>
        <v>0</v>
      </c>
      <c r="Q379" s="3"/>
      <c r="R379" s="3"/>
      <c r="S379" s="3"/>
      <c r="T379" s="3"/>
      <c r="U379" s="3"/>
      <c r="V379" s="3"/>
      <c r="W379" s="27" t="str">
        <f t="shared" si="204"/>
        <v>OK</v>
      </c>
      <c r="X379" s="3"/>
      <c r="Y379" s="3"/>
      <c r="Z379" s="3"/>
      <c r="AA379" s="3"/>
      <c r="AB379" s="3"/>
      <c r="AC379" s="3"/>
    </row>
    <row r="380" spans="1:29" x14ac:dyDescent="0.2">
      <c r="A380" s="3">
        <v>1</v>
      </c>
      <c r="B380" s="3" t="s">
        <v>212</v>
      </c>
      <c r="C380" s="3"/>
      <c r="D380" s="3"/>
      <c r="E380" s="4"/>
      <c r="F380" s="4"/>
      <c r="G380" s="4"/>
      <c r="H380" s="8"/>
      <c r="I380" s="8"/>
      <c r="J380" s="8"/>
      <c r="K380" s="8"/>
      <c r="L380" s="8"/>
      <c r="M380" s="3"/>
      <c r="N380" s="3"/>
      <c r="O380" s="3"/>
      <c r="P380" s="9">
        <f t="shared" si="210"/>
        <v>0</v>
      </c>
      <c r="Q380" s="3"/>
      <c r="R380" s="3"/>
      <c r="S380" s="3"/>
      <c r="T380" s="3"/>
      <c r="U380" s="3"/>
      <c r="V380" s="3"/>
      <c r="W380" s="27" t="str">
        <f t="shared" si="204"/>
        <v>OK</v>
      </c>
      <c r="X380" s="3"/>
      <c r="Y380" s="3"/>
      <c r="Z380" s="3"/>
      <c r="AA380" s="3"/>
      <c r="AB380" s="3"/>
      <c r="AC380" s="3"/>
    </row>
    <row r="381" spans="1:29" x14ac:dyDescent="0.2">
      <c r="A381" s="3">
        <f t="shared" ref="A381:A395" si="227">+A380+1</f>
        <v>2</v>
      </c>
      <c r="B381" s="3"/>
      <c r="C381" s="3" t="s">
        <v>213</v>
      </c>
      <c r="D381" s="3"/>
      <c r="E381" s="4"/>
      <c r="F381" s="4"/>
      <c r="G381" s="4"/>
      <c r="H381" s="8"/>
      <c r="I381" s="8"/>
      <c r="J381" s="8"/>
      <c r="K381" s="8"/>
      <c r="L381" s="8"/>
      <c r="M381" s="3"/>
      <c r="N381" s="3"/>
      <c r="O381" s="3"/>
      <c r="P381" s="9">
        <f t="shared" si="210"/>
        <v>0</v>
      </c>
      <c r="Q381" s="3"/>
      <c r="R381" s="3"/>
      <c r="S381" s="3"/>
      <c r="T381" s="3"/>
      <c r="U381" s="3"/>
      <c r="V381" s="3"/>
      <c r="W381" s="27" t="str">
        <f t="shared" si="204"/>
        <v>OK</v>
      </c>
      <c r="X381" s="3"/>
      <c r="Y381" s="3"/>
      <c r="Z381" s="3"/>
      <c r="AA381" s="3"/>
      <c r="AB381" s="3"/>
      <c r="AC381" s="3"/>
    </row>
    <row r="382" spans="1:29" x14ac:dyDescent="0.2">
      <c r="A382" s="3">
        <f t="shared" si="227"/>
        <v>3</v>
      </c>
      <c r="B382" s="3" t="s">
        <v>214</v>
      </c>
      <c r="C382" s="3" t="s">
        <v>215</v>
      </c>
      <c r="D382" s="78" t="s">
        <v>339</v>
      </c>
      <c r="E382" s="4" t="s">
        <v>591</v>
      </c>
      <c r="F382" s="11"/>
      <c r="G382" s="11"/>
      <c r="H382" s="2">
        <f>'II-I TOTAL COMPANY'!L382</f>
        <v>23150.041596700488</v>
      </c>
      <c r="I382" s="66">
        <v>0</v>
      </c>
      <c r="J382" s="66">
        <f t="shared" ref="J382:J388" si="228">SUM(K382:V382)-M382-P382</f>
        <v>23150.041596700488</v>
      </c>
      <c r="K382" s="12">
        <f t="shared" ref="K382:L387" si="229">VLOOKUP($D382,$E$741:$V$815,K$1,FALSE)*$H382</f>
        <v>10852.89630670905</v>
      </c>
      <c r="L382" s="12">
        <f t="shared" si="229"/>
        <v>2062.1665790815482</v>
      </c>
      <c r="M382" s="9">
        <f t="shared" ref="M382:M388" si="230">SUM(N382:O382)</f>
        <v>8186.6625216376597</v>
      </c>
      <c r="N382" s="12">
        <f t="shared" ref="N382:O387" si="231">VLOOKUP($D382,$E$741:$V$815,N$1,FALSE)*$H382</f>
        <v>159.71573894553597</v>
      </c>
      <c r="O382" s="12">
        <f t="shared" si="231"/>
        <v>8026.9467826921236</v>
      </c>
      <c r="P382" s="9">
        <f t="shared" si="210"/>
        <v>1100.9798215734513</v>
      </c>
      <c r="Q382" s="12">
        <f t="shared" ref="Q382:V387" si="232">VLOOKUP($D382,$E$741:$V$815,Q$1,FALSE)*$H382</f>
        <v>475.46918629645364</v>
      </c>
      <c r="R382" s="12">
        <f t="shared" si="232"/>
        <v>557.58646580607569</v>
      </c>
      <c r="S382" s="12">
        <f t="shared" si="232"/>
        <v>67.924169470921939</v>
      </c>
      <c r="T382" s="12">
        <f t="shared" si="232"/>
        <v>928.07428978911287</v>
      </c>
      <c r="U382" s="12">
        <f t="shared" si="232"/>
        <v>0</v>
      </c>
      <c r="V382" s="12">
        <f t="shared" si="232"/>
        <v>19.262077909664434</v>
      </c>
      <c r="W382" s="27" t="str">
        <f t="shared" si="204"/>
        <v>OK</v>
      </c>
      <c r="X382" s="3"/>
      <c r="Y382" s="3"/>
      <c r="Z382" s="3"/>
      <c r="AA382" s="3"/>
      <c r="AB382" s="3"/>
      <c r="AC382" s="3"/>
    </row>
    <row r="383" spans="1:29" s="173" customFormat="1" x14ac:dyDescent="0.2">
      <c r="A383" s="3">
        <f t="shared" si="227"/>
        <v>4</v>
      </c>
      <c r="B383" s="3" t="s">
        <v>216</v>
      </c>
      <c r="C383" s="3" t="s">
        <v>217</v>
      </c>
      <c r="D383" s="78" t="s">
        <v>344</v>
      </c>
      <c r="E383" s="4" t="s">
        <v>591</v>
      </c>
      <c r="F383" s="11"/>
      <c r="G383" s="11"/>
      <c r="H383" s="2">
        <f>'II-I TOTAL COMPANY'!L383</f>
        <v>744517.32627847185</v>
      </c>
      <c r="I383" s="66">
        <v>0</v>
      </c>
      <c r="J383" s="66">
        <f t="shared" si="228"/>
        <v>744517.32627847162</v>
      </c>
      <c r="K383" s="12">
        <f t="shared" si="229"/>
        <v>349034.7655271673</v>
      </c>
      <c r="L383" s="12">
        <f t="shared" si="229"/>
        <v>66320.345101126819</v>
      </c>
      <c r="M383" s="9">
        <f t="shared" si="230"/>
        <v>263287.30625791021</v>
      </c>
      <c r="N383" s="12">
        <f t="shared" si="231"/>
        <v>5136.5408752124631</v>
      </c>
      <c r="O383" s="12">
        <f t="shared" si="231"/>
        <v>258150.76538269775</v>
      </c>
      <c r="P383" s="9">
        <f t="shared" si="210"/>
        <v>35408.081217497434</v>
      </c>
      <c r="Q383" s="12">
        <f t="shared" si="232"/>
        <v>15291.335258753497</v>
      </c>
      <c r="R383" s="12">
        <f t="shared" si="232"/>
        <v>17932.269493207725</v>
      </c>
      <c r="S383" s="12">
        <f t="shared" si="232"/>
        <v>2184.4764655362137</v>
      </c>
      <c r="T383" s="12">
        <f t="shared" si="232"/>
        <v>29847.349774095597</v>
      </c>
      <c r="U383" s="12">
        <f t="shared" si="232"/>
        <v>0</v>
      </c>
      <c r="V383" s="12">
        <f t="shared" si="232"/>
        <v>619.47840067444872</v>
      </c>
      <c r="W383" s="27" t="str">
        <f t="shared" si="204"/>
        <v>OK</v>
      </c>
      <c r="X383" s="3"/>
      <c r="Y383" s="3"/>
      <c r="Z383" s="3"/>
      <c r="AA383" s="3"/>
      <c r="AB383" s="3"/>
      <c r="AC383" s="3"/>
    </row>
    <row r="384" spans="1:29" x14ac:dyDescent="0.2">
      <c r="A384" s="3">
        <f t="shared" si="227"/>
        <v>5</v>
      </c>
      <c r="B384" s="3" t="s">
        <v>218</v>
      </c>
      <c r="C384" s="3" t="s">
        <v>219</v>
      </c>
      <c r="D384" s="78" t="s">
        <v>374</v>
      </c>
      <c r="E384" s="4" t="s">
        <v>591</v>
      </c>
      <c r="F384" s="11"/>
      <c r="G384" s="11"/>
      <c r="H384" s="2">
        <f>'II-I TOTAL COMPANY'!L384</f>
        <v>0</v>
      </c>
      <c r="I384" s="66">
        <v>0</v>
      </c>
      <c r="J384" s="66">
        <f t="shared" si="228"/>
        <v>0</v>
      </c>
      <c r="K384" s="12">
        <f t="shared" si="229"/>
        <v>0</v>
      </c>
      <c r="L384" s="12">
        <f t="shared" si="229"/>
        <v>0</v>
      </c>
      <c r="M384" s="9">
        <f t="shared" si="230"/>
        <v>0</v>
      </c>
      <c r="N384" s="12">
        <f t="shared" si="231"/>
        <v>0</v>
      </c>
      <c r="O384" s="12">
        <f t="shared" si="231"/>
        <v>0</v>
      </c>
      <c r="P384" s="9">
        <f t="shared" si="210"/>
        <v>0</v>
      </c>
      <c r="Q384" s="12">
        <f t="shared" si="232"/>
        <v>0</v>
      </c>
      <c r="R384" s="12">
        <f t="shared" si="232"/>
        <v>0</v>
      </c>
      <c r="S384" s="12">
        <f t="shared" si="232"/>
        <v>0</v>
      </c>
      <c r="T384" s="12">
        <f t="shared" si="232"/>
        <v>0</v>
      </c>
      <c r="U384" s="12">
        <f t="shared" si="232"/>
        <v>0</v>
      </c>
      <c r="V384" s="12">
        <f t="shared" si="232"/>
        <v>0</v>
      </c>
      <c r="W384" s="27" t="str">
        <f t="shared" si="204"/>
        <v>OK</v>
      </c>
      <c r="X384" s="3"/>
      <c r="Y384" s="3"/>
      <c r="Z384" s="3"/>
      <c r="AA384" s="3"/>
      <c r="AB384" s="3"/>
      <c r="AC384" s="3"/>
    </row>
    <row r="385" spans="1:29" x14ac:dyDescent="0.2">
      <c r="A385" s="3">
        <f t="shared" si="227"/>
        <v>6</v>
      </c>
      <c r="B385" s="3" t="s">
        <v>218</v>
      </c>
      <c r="C385" s="3" t="s">
        <v>17</v>
      </c>
      <c r="D385" s="78" t="s">
        <v>428</v>
      </c>
      <c r="E385" s="4" t="s">
        <v>591</v>
      </c>
      <c r="F385" s="11"/>
      <c r="G385" s="11"/>
      <c r="H385" s="2">
        <f>'II-I TOTAL COMPANY'!L385</f>
        <v>0</v>
      </c>
      <c r="I385" s="66">
        <v>0</v>
      </c>
      <c r="J385" s="66">
        <f t="shared" si="228"/>
        <v>0</v>
      </c>
      <c r="K385" s="12">
        <f t="shared" si="229"/>
        <v>0</v>
      </c>
      <c r="L385" s="12">
        <f t="shared" si="229"/>
        <v>0</v>
      </c>
      <c r="M385" s="9">
        <f t="shared" si="230"/>
        <v>0</v>
      </c>
      <c r="N385" s="12">
        <f t="shared" si="231"/>
        <v>0</v>
      </c>
      <c r="O385" s="12">
        <f t="shared" si="231"/>
        <v>0</v>
      </c>
      <c r="P385" s="9">
        <f t="shared" si="210"/>
        <v>0</v>
      </c>
      <c r="Q385" s="12">
        <f t="shared" si="232"/>
        <v>0</v>
      </c>
      <c r="R385" s="12">
        <f t="shared" si="232"/>
        <v>0</v>
      </c>
      <c r="S385" s="12">
        <f t="shared" si="232"/>
        <v>0</v>
      </c>
      <c r="T385" s="12">
        <f t="shared" si="232"/>
        <v>0</v>
      </c>
      <c r="U385" s="12">
        <f t="shared" si="232"/>
        <v>0</v>
      </c>
      <c r="V385" s="12">
        <f t="shared" si="232"/>
        <v>0</v>
      </c>
      <c r="W385" s="27" t="str">
        <f t="shared" si="204"/>
        <v>OK</v>
      </c>
      <c r="X385" s="3"/>
      <c r="Y385" s="3"/>
      <c r="Z385" s="3"/>
      <c r="AA385" s="3"/>
      <c r="AB385" s="3"/>
      <c r="AC385" s="3"/>
    </row>
    <row r="386" spans="1:29" x14ac:dyDescent="0.2">
      <c r="A386" s="3">
        <f t="shared" si="227"/>
        <v>7</v>
      </c>
      <c r="B386" s="3" t="s">
        <v>220</v>
      </c>
      <c r="C386" s="3" t="s">
        <v>221</v>
      </c>
      <c r="D386" s="3" t="s">
        <v>324</v>
      </c>
      <c r="E386" s="4" t="s">
        <v>591</v>
      </c>
      <c r="F386" s="11"/>
      <c r="G386" s="3"/>
      <c r="H386" s="2">
        <f>'II-I TOTAL COMPANY'!L386</f>
        <v>0</v>
      </c>
      <c r="I386" s="66">
        <v>0</v>
      </c>
      <c r="J386" s="66">
        <f t="shared" si="228"/>
        <v>0</v>
      </c>
      <c r="K386" s="12">
        <f t="shared" si="229"/>
        <v>0</v>
      </c>
      <c r="L386" s="12">
        <f t="shared" si="229"/>
        <v>0</v>
      </c>
      <c r="M386" s="9">
        <f t="shared" si="230"/>
        <v>0</v>
      </c>
      <c r="N386" s="12">
        <f t="shared" si="231"/>
        <v>0</v>
      </c>
      <c r="O386" s="12">
        <f t="shared" si="231"/>
        <v>0</v>
      </c>
      <c r="P386" s="9">
        <f t="shared" si="210"/>
        <v>0</v>
      </c>
      <c r="Q386" s="12">
        <f t="shared" si="232"/>
        <v>0</v>
      </c>
      <c r="R386" s="12">
        <f t="shared" si="232"/>
        <v>0</v>
      </c>
      <c r="S386" s="12">
        <f t="shared" si="232"/>
        <v>0</v>
      </c>
      <c r="T386" s="12">
        <f t="shared" si="232"/>
        <v>0</v>
      </c>
      <c r="U386" s="12">
        <f t="shared" si="232"/>
        <v>0</v>
      </c>
      <c r="V386" s="12">
        <f t="shared" si="232"/>
        <v>0</v>
      </c>
      <c r="W386" s="27" t="str">
        <f t="shared" si="204"/>
        <v>OK</v>
      </c>
      <c r="X386" s="3"/>
      <c r="Y386" s="3"/>
      <c r="Z386" s="3"/>
      <c r="AA386" s="3"/>
      <c r="AB386" s="3"/>
      <c r="AC386" s="3"/>
    </row>
    <row r="387" spans="1:29" x14ac:dyDescent="0.2">
      <c r="A387" s="3">
        <f t="shared" si="227"/>
        <v>8</v>
      </c>
      <c r="B387" s="3" t="s">
        <v>222</v>
      </c>
      <c r="C387" s="3" t="s">
        <v>223</v>
      </c>
      <c r="D387" s="78" t="s">
        <v>339</v>
      </c>
      <c r="E387" s="4" t="s">
        <v>591</v>
      </c>
      <c r="F387" s="11"/>
      <c r="G387" s="11"/>
      <c r="H387" s="2">
        <f>'II-I TOTAL COMPANY'!L387</f>
        <v>11930.335666512341</v>
      </c>
      <c r="I387" s="66">
        <v>0</v>
      </c>
      <c r="J387" s="66">
        <f t="shared" si="228"/>
        <v>11930.335666512339</v>
      </c>
      <c r="K387" s="12">
        <f t="shared" si="229"/>
        <v>5593.0221702644931</v>
      </c>
      <c r="L387" s="12">
        <f t="shared" si="229"/>
        <v>1062.7341374718239</v>
      </c>
      <c r="M387" s="9">
        <f t="shared" si="230"/>
        <v>4218.9829967957476</v>
      </c>
      <c r="N387" s="12">
        <f t="shared" si="231"/>
        <v>82.309242032501672</v>
      </c>
      <c r="O387" s="12">
        <f t="shared" si="231"/>
        <v>4136.6737547632456</v>
      </c>
      <c r="P387" s="9">
        <f t="shared" si="210"/>
        <v>567.38813096993499</v>
      </c>
      <c r="Q387" s="12">
        <f t="shared" si="232"/>
        <v>245.03225913894983</v>
      </c>
      <c r="R387" s="12">
        <f t="shared" si="232"/>
        <v>287.35126338256373</v>
      </c>
      <c r="S387" s="12">
        <f t="shared" si="232"/>
        <v>35.004608448421401</v>
      </c>
      <c r="T387" s="12">
        <f t="shared" si="232"/>
        <v>478.28155100258044</v>
      </c>
      <c r="U387" s="12">
        <f t="shared" si="232"/>
        <v>0</v>
      </c>
      <c r="V387" s="12">
        <f t="shared" si="232"/>
        <v>9.9266800077612931</v>
      </c>
      <c r="W387" s="27">
        <f t="shared" si="204"/>
        <v>1.8189894035458565E-12</v>
      </c>
      <c r="X387" s="3"/>
      <c r="Y387" s="3"/>
      <c r="Z387" s="3"/>
      <c r="AA387" s="3"/>
      <c r="AB387" s="3"/>
      <c r="AC387" s="3"/>
    </row>
    <row r="388" spans="1:29" x14ac:dyDescent="0.2">
      <c r="A388" s="3">
        <f t="shared" si="227"/>
        <v>9</v>
      </c>
      <c r="B388" s="3"/>
      <c r="C388" s="3" t="s">
        <v>135</v>
      </c>
      <c r="D388" s="78"/>
      <c r="E388" s="4"/>
      <c r="F388" s="8"/>
      <c r="G388" s="8"/>
      <c r="H388" s="8">
        <f t="shared" ref="H388:V388" si="233">SUM(H382:H387)</f>
        <v>779597.70354168466</v>
      </c>
      <c r="I388" s="8">
        <f t="shared" si="233"/>
        <v>0</v>
      </c>
      <c r="J388" s="66">
        <f t="shared" si="228"/>
        <v>779597.70354168455</v>
      </c>
      <c r="K388" s="8">
        <f t="shared" si="233"/>
        <v>365480.68400414084</v>
      </c>
      <c r="L388" s="8">
        <f t="shared" si="233"/>
        <v>69445.245817680188</v>
      </c>
      <c r="M388" s="9">
        <f t="shared" si="230"/>
        <v>275692.95177634363</v>
      </c>
      <c r="N388" s="8">
        <f t="shared" si="233"/>
        <v>5378.5658561905011</v>
      </c>
      <c r="O388" s="8">
        <f t="shared" si="233"/>
        <v>270314.38592015312</v>
      </c>
      <c r="P388" s="9">
        <f t="shared" si="210"/>
        <v>37076.449170040818</v>
      </c>
      <c r="Q388" s="8">
        <f t="shared" si="233"/>
        <v>16011.836704188901</v>
      </c>
      <c r="R388" s="8">
        <f t="shared" si="233"/>
        <v>18777.207222396362</v>
      </c>
      <c r="S388" s="8">
        <f>SUM(S382:S387)</f>
        <v>2287.4052434555574</v>
      </c>
      <c r="T388" s="8">
        <f t="shared" si="233"/>
        <v>31253.705614887291</v>
      </c>
      <c r="U388" s="8">
        <f t="shared" si="233"/>
        <v>0</v>
      </c>
      <c r="V388" s="8">
        <f t="shared" si="233"/>
        <v>648.66715859187445</v>
      </c>
      <c r="W388" s="27" t="str">
        <f t="shared" si="204"/>
        <v>OK</v>
      </c>
      <c r="X388" s="3"/>
      <c r="Y388" s="3"/>
      <c r="Z388" s="3"/>
      <c r="AA388" s="3"/>
      <c r="AB388" s="3"/>
      <c r="AC388" s="3"/>
    </row>
    <row r="389" spans="1:29" x14ac:dyDescent="0.2">
      <c r="A389" s="3">
        <f t="shared" si="227"/>
        <v>10</v>
      </c>
      <c r="B389" s="3"/>
      <c r="C389" s="3"/>
      <c r="D389" s="78"/>
      <c r="E389" s="4"/>
      <c r="F389" s="4"/>
      <c r="G389" s="4"/>
      <c r="H389" s="8"/>
      <c r="I389" s="8"/>
      <c r="J389" s="8"/>
      <c r="K389" s="8"/>
      <c r="L389" s="8"/>
      <c r="M389" s="3"/>
      <c r="N389" s="3"/>
      <c r="O389" s="3"/>
      <c r="P389" s="9">
        <f t="shared" si="210"/>
        <v>0</v>
      </c>
      <c r="Q389" s="3"/>
      <c r="R389" s="3"/>
      <c r="S389" s="3"/>
      <c r="T389" s="3"/>
      <c r="U389" s="3"/>
      <c r="V389" s="3"/>
      <c r="W389" s="27" t="str">
        <f t="shared" si="204"/>
        <v>OK</v>
      </c>
      <c r="X389" s="3"/>
      <c r="Y389" s="3"/>
      <c r="Z389" s="3"/>
      <c r="AA389" s="3"/>
      <c r="AB389" s="3"/>
      <c r="AC389" s="3"/>
    </row>
    <row r="390" spans="1:29" x14ac:dyDescent="0.2">
      <c r="A390" s="3">
        <f t="shared" si="227"/>
        <v>11</v>
      </c>
      <c r="B390" s="3"/>
      <c r="C390" s="3" t="s">
        <v>224</v>
      </c>
      <c r="D390" s="3"/>
      <c r="E390" s="4"/>
      <c r="F390" s="4"/>
      <c r="G390" s="4"/>
      <c r="H390" s="8"/>
      <c r="I390" s="8"/>
      <c r="J390" s="8"/>
      <c r="K390" s="8"/>
      <c r="L390" s="8"/>
      <c r="M390" s="3"/>
      <c r="N390" s="3"/>
      <c r="O390" s="3"/>
      <c r="P390" s="9">
        <f t="shared" si="210"/>
        <v>0</v>
      </c>
      <c r="Q390" s="3"/>
      <c r="R390" s="3"/>
      <c r="S390" s="3"/>
      <c r="T390" s="3"/>
      <c r="U390" s="3"/>
      <c r="V390" s="3"/>
      <c r="W390" s="27" t="str">
        <f t="shared" si="204"/>
        <v>OK</v>
      </c>
      <c r="X390" s="3"/>
      <c r="Y390" s="3"/>
      <c r="Z390" s="3"/>
      <c r="AA390" s="3"/>
      <c r="AB390" s="3"/>
      <c r="AC390" s="3"/>
    </row>
    <row r="391" spans="1:29" x14ac:dyDescent="0.2">
      <c r="A391" s="3">
        <f t="shared" si="227"/>
        <v>12</v>
      </c>
      <c r="B391" s="3" t="s">
        <v>225</v>
      </c>
      <c r="C391" s="3" t="s">
        <v>541</v>
      </c>
      <c r="D391" s="78" t="s">
        <v>345</v>
      </c>
      <c r="E391" s="4" t="s">
        <v>591</v>
      </c>
      <c r="F391" s="11"/>
      <c r="G391" s="11"/>
      <c r="H391" s="2">
        <f>'II-I TOTAL COMPANY'!L391</f>
        <v>0</v>
      </c>
      <c r="I391" s="66">
        <v>0</v>
      </c>
      <c r="J391" s="66">
        <f t="shared" ref="J391" si="234">SUM(K391:V391)-M391-P391</f>
        <v>0</v>
      </c>
      <c r="K391" s="12">
        <f t="shared" ref="K391:L397" si="235">VLOOKUP($D391,$E$741:$V$815,K$1,FALSE)*$H391</f>
        <v>0</v>
      </c>
      <c r="L391" s="12">
        <f t="shared" si="235"/>
        <v>0</v>
      </c>
      <c r="M391" s="9">
        <f t="shared" ref="M391:M398" si="236">SUM(N391:O391)</f>
        <v>0</v>
      </c>
      <c r="N391" s="12">
        <f t="shared" ref="N391:O397" si="237">VLOOKUP($D391,$E$741:$V$815,N$1,FALSE)*$H391</f>
        <v>0</v>
      </c>
      <c r="O391" s="12">
        <f t="shared" si="237"/>
        <v>0</v>
      </c>
      <c r="P391" s="9">
        <f t="shared" si="210"/>
        <v>0</v>
      </c>
      <c r="Q391" s="12">
        <f t="shared" ref="Q391:V397" si="238">VLOOKUP($D391,$E$741:$V$815,Q$1,FALSE)*$H391</f>
        <v>0</v>
      </c>
      <c r="R391" s="12">
        <f t="shared" si="238"/>
        <v>0</v>
      </c>
      <c r="S391" s="12">
        <f t="shared" si="238"/>
        <v>0</v>
      </c>
      <c r="T391" s="12">
        <f t="shared" si="238"/>
        <v>0</v>
      </c>
      <c r="U391" s="12">
        <f t="shared" si="238"/>
        <v>0</v>
      </c>
      <c r="V391" s="12">
        <f t="shared" si="238"/>
        <v>0</v>
      </c>
      <c r="W391" s="27" t="str">
        <f t="shared" si="204"/>
        <v>OK</v>
      </c>
      <c r="X391" s="3"/>
      <c r="Y391" s="3"/>
      <c r="Z391" s="3"/>
      <c r="AA391" s="3"/>
      <c r="AB391" s="3"/>
      <c r="AC391" s="3"/>
    </row>
    <row r="392" spans="1:29" x14ac:dyDescent="0.2">
      <c r="A392" s="3">
        <f>+A390+1</f>
        <v>12</v>
      </c>
      <c r="B392" s="3" t="s">
        <v>227</v>
      </c>
      <c r="C392" s="3" t="s">
        <v>215</v>
      </c>
      <c r="D392" s="78" t="s">
        <v>425</v>
      </c>
      <c r="E392" s="4" t="s">
        <v>591</v>
      </c>
      <c r="F392" s="11"/>
      <c r="G392" s="11"/>
      <c r="H392" s="2">
        <f>'II-I TOTAL COMPANY'!L392</f>
        <v>0</v>
      </c>
      <c r="I392" s="66">
        <v>0</v>
      </c>
      <c r="J392" s="66">
        <f t="shared" ref="J392:J398" si="239">SUM(K392:V392)-M392-P392</f>
        <v>0</v>
      </c>
      <c r="K392" s="12">
        <f t="shared" si="235"/>
        <v>0</v>
      </c>
      <c r="L392" s="12">
        <f t="shared" si="235"/>
        <v>0</v>
      </c>
      <c r="M392" s="9">
        <f t="shared" si="236"/>
        <v>0</v>
      </c>
      <c r="N392" s="12">
        <f t="shared" si="237"/>
        <v>0</v>
      </c>
      <c r="O392" s="12">
        <f t="shared" si="237"/>
        <v>0</v>
      </c>
      <c r="P392" s="9">
        <f t="shared" si="210"/>
        <v>0</v>
      </c>
      <c r="Q392" s="12">
        <f t="shared" si="238"/>
        <v>0</v>
      </c>
      <c r="R392" s="12">
        <f t="shared" si="238"/>
        <v>0</v>
      </c>
      <c r="S392" s="12">
        <f t="shared" si="238"/>
        <v>0</v>
      </c>
      <c r="T392" s="12">
        <f t="shared" si="238"/>
        <v>0</v>
      </c>
      <c r="U392" s="12">
        <f t="shared" si="238"/>
        <v>0</v>
      </c>
      <c r="V392" s="12">
        <f t="shared" si="238"/>
        <v>0</v>
      </c>
      <c r="W392" s="27" t="str">
        <f t="shared" ref="W392:W455" si="240">IF((+K392+L392+M392+P392+T392+U392+V392)-H392=0,"OK",(+K392+L392+M392+P392+T392+U392+V392)-H392)</f>
        <v>OK</v>
      </c>
      <c r="X392" s="3"/>
      <c r="Y392" s="3"/>
      <c r="Z392" s="3"/>
      <c r="AA392" s="3"/>
      <c r="AB392" s="3"/>
      <c r="AC392" s="3"/>
    </row>
    <row r="393" spans="1:29" x14ac:dyDescent="0.2">
      <c r="A393" s="3">
        <f>+A391+1</f>
        <v>13</v>
      </c>
      <c r="B393" s="3" t="s">
        <v>229</v>
      </c>
      <c r="C393" s="3" t="s">
        <v>795</v>
      </c>
      <c r="D393" s="78" t="s">
        <v>797</v>
      </c>
      <c r="E393" s="4" t="s">
        <v>591</v>
      </c>
      <c r="F393" s="11"/>
      <c r="G393" s="11"/>
      <c r="H393" s="2">
        <f>'II-I TOTAL COMPANY'!L393</f>
        <v>0</v>
      </c>
      <c r="I393" s="66">
        <v>0</v>
      </c>
      <c r="J393" s="66">
        <f t="shared" si="239"/>
        <v>0</v>
      </c>
      <c r="K393" s="12">
        <f t="shared" si="235"/>
        <v>0</v>
      </c>
      <c r="L393" s="12">
        <f t="shared" si="235"/>
        <v>0</v>
      </c>
      <c r="M393" s="9">
        <f t="shared" si="236"/>
        <v>0</v>
      </c>
      <c r="N393" s="12">
        <f t="shared" si="237"/>
        <v>0</v>
      </c>
      <c r="O393" s="12">
        <f t="shared" si="237"/>
        <v>0</v>
      </c>
      <c r="P393" s="9">
        <f t="shared" si="210"/>
        <v>0</v>
      </c>
      <c r="Q393" s="12">
        <f t="shared" si="238"/>
        <v>0</v>
      </c>
      <c r="R393" s="12">
        <f t="shared" si="238"/>
        <v>0</v>
      </c>
      <c r="S393" s="12">
        <f t="shared" si="238"/>
        <v>0</v>
      </c>
      <c r="T393" s="12">
        <f t="shared" si="238"/>
        <v>0</v>
      </c>
      <c r="U393" s="12">
        <f t="shared" si="238"/>
        <v>0</v>
      </c>
      <c r="V393" s="12">
        <f t="shared" si="238"/>
        <v>0</v>
      </c>
      <c r="W393" s="27" t="str">
        <f t="shared" si="240"/>
        <v>OK</v>
      </c>
      <c r="X393" s="3"/>
      <c r="Y393" s="3"/>
      <c r="Z393" s="3"/>
      <c r="AA393" s="3"/>
      <c r="AB393" s="3"/>
      <c r="AC393" s="3"/>
    </row>
    <row r="394" spans="1:29" x14ac:dyDescent="0.2">
      <c r="A394" s="3">
        <f t="shared" si="227"/>
        <v>14</v>
      </c>
      <c r="B394" s="3" t="s">
        <v>229</v>
      </c>
      <c r="C394" s="3" t="s">
        <v>230</v>
      </c>
      <c r="D394" s="78" t="s">
        <v>824</v>
      </c>
      <c r="E394" s="4" t="s">
        <v>591</v>
      </c>
      <c r="F394" s="11"/>
      <c r="G394" s="11"/>
      <c r="H394" s="2">
        <f>'II-I TOTAL COMPANY'!L394</f>
        <v>0</v>
      </c>
      <c r="I394" s="66">
        <v>0</v>
      </c>
      <c r="J394" s="66">
        <f t="shared" si="239"/>
        <v>0</v>
      </c>
      <c r="K394" s="12">
        <f t="shared" si="235"/>
        <v>0</v>
      </c>
      <c r="L394" s="12">
        <f t="shared" si="235"/>
        <v>0</v>
      </c>
      <c r="M394" s="9">
        <f t="shared" si="236"/>
        <v>0</v>
      </c>
      <c r="N394" s="12">
        <f t="shared" si="237"/>
        <v>0</v>
      </c>
      <c r="O394" s="12">
        <f t="shared" si="237"/>
        <v>0</v>
      </c>
      <c r="P394" s="9">
        <f t="shared" si="210"/>
        <v>0</v>
      </c>
      <c r="Q394" s="12">
        <f t="shared" si="238"/>
        <v>0</v>
      </c>
      <c r="R394" s="12">
        <f t="shared" si="238"/>
        <v>0</v>
      </c>
      <c r="S394" s="12">
        <f t="shared" si="238"/>
        <v>0</v>
      </c>
      <c r="T394" s="12">
        <f t="shared" si="238"/>
        <v>0</v>
      </c>
      <c r="U394" s="12">
        <f t="shared" si="238"/>
        <v>0</v>
      </c>
      <c r="V394" s="12">
        <f t="shared" si="238"/>
        <v>0</v>
      </c>
      <c r="W394" s="27" t="str">
        <f t="shared" si="240"/>
        <v>OK</v>
      </c>
      <c r="X394" s="3"/>
      <c r="Y394" s="3"/>
      <c r="Z394" s="3"/>
      <c r="AA394" s="3"/>
      <c r="AB394" s="3"/>
      <c r="AC394" s="3"/>
    </row>
    <row r="395" spans="1:29" x14ac:dyDescent="0.2">
      <c r="A395" s="3">
        <f t="shared" si="227"/>
        <v>15</v>
      </c>
      <c r="B395" s="3" t="s">
        <v>231</v>
      </c>
      <c r="C395" s="3" t="s">
        <v>232</v>
      </c>
      <c r="D395" s="78" t="s">
        <v>331</v>
      </c>
      <c r="E395" s="4" t="s">
        <v>591</v>
      </c>
      <c r="F395" s="11"/>
      <c r="G395" s="11"/>
      <c r="H395" s="2">
        <f>'II-I TOTAL COMPANY'!L395</f>
        <v>0</v>
      </c>
      <c r="I395" s="66">
        <v>0</v>
      </c>
      <c r="J395" s="66">
        <f t="shared" si="239"/>
        <v>0</v>
      </c>
      <c r="K395" s="12">
        <f t="shared" si="235"/>
        <v>0</v>
      </c>
      <c r="L395" s="12">
        <f t="shared" si="235"/>
        <v>0</v>
      </c>
      <c r="M395" s="9">
        <f t="shared" si="236"/>
        <v>0</v>
      </c>
      <c r="N395" s="12">
        <f t="shared" si="237"/>
        <v>0</v>
      </c>
      <c r="O395" s="12">
        <f t="shared" si="237"/>
        <v>0</v>
      </c>
      <c r="P395" s="9">
        <f t="shared" si="210"/>
        <v>0</v>
      </c>
      <c r="Q395" s="12">
        <f t="shared" si="238"/>
        <v>0</v>
      </c>
      <c r="R395" s="12">
        <f t="shared" si="238"/>
        <v>0</v>
      </c>
      <c r="S395" s="12">
        <f t="shared" si="238"/>
        <v>0</v>
      </c>
      <c r="T395" s="12">
        <f t="shared" si="238"/>
        <v>0</v>
      </c>
      <c r="U395" s="12">
        <f t="shared" si="238"/>
        <v>0</v>
      </c>
      <c r="V395" s="12">
        <f t="shared" si="238"/>
        <v>0</v>
      </c>
      <c r="W395" s="27" t="str">
        <f t="shared" si="240"/>
        <v>OK</v>
      </c>
      <c r="X395" s="3"/>
      <c r="Y395" s="3"/>
      <c r="Z395" s="3"/>
      <c r="AA395" s="3"/>
      <c r="AB395" s="3"/>
      <c r="AC395" s="3"/>
    </row>
    <row r="396" spans="1:29" x14ac:dyDescent="0.2">
      <c r="A396" s="3">
        <f>+A394+1</f>
        <v>15</v>
      </c>
      <c r="B396" s="3" t="s">
        <v>233</v>
      </c>
      <c r="C396" s="3" t="s">
        <v>234</v>
      </c>
      <c r="D396" s="78" t="s">
        <v>331</v>
      </c>
      <c r="E396" s="4" t="s">
        <v>591</v>
      </c>
      <c r="F396" s="11"/>
      <c r="G396" s="11"/>
      <c r="H396" s="2">
        <f>'II-I TOTAL COMPANY'!L396</f>
        <v>0</v>
      </c>
      <c r="I396" s="66">
        <v>0</v>
      </c>
      <c r="J396" s="66">
        <f t="shared" si="239"/>
        <v>0</v>
      </c>
      <c r="K396" s="12">
        <f t="shared" si="235"/>
        <v>0</v>
      </c>
      <c r="L396" s="12">
        <f t="shared" si="235"/>
        <v>0</v>
      </c>
      <c r="M396" s="9">
        <f t="shared" si="236"/>
        <v>0</v>
      </c>
      <c r="N396" s="12">
        <f t="shared" si="237"/>
        <v>0</v>
      </c>
      <c r="O396" s="12">
        <f t="shared" si="237"/>
        <v>0</v>
      </c>
      <c r="P396" s="9">
        <f t="shared" si="210"/>
        <v>0</v>
      </c>
      <c r="Q396" s="12">
        <f t="shared" si="238"/>
        <v>0</v>
      </c>
      <c r="R396" s="12">
        <f t="shared" si="238"/>
        <v>0</v>
      </c>
      <c r="S396" s="12">
        <f t="shared" si="238"/>
        <v>0</v>
      </c>
      <c r="T396" s="12">
        <f t="shared" si="238"/>
        <v>0</v>
      </c>
      <c r="U396" s="12">
        <f t="shared" si="238"/>
        <v>0</v>
      </c>
      <c r="V396" s="12">
        <f t="shared" si="238"/>
        <v>0</v>
      </c>
      <c r="W396" s="27" t="str">
        <f t="shared" si="240"/>
        <v>OK</v>
      </c>
      <c r="X396" s="3"/>
      <c r="Y396" s="3"/>
      <c r="Z396" s="3"/>
      <c r="AA396" s="3"/>
      <c r="AB396" s="3"/>
      <c r="AC396" s="3"/>
    </row>
    <row r="397" spans="1:29" x14ac:dyDescent="0.2">
      <c r="A397" s="3">
        <f>+A395+1</f>
        <v>16</v>
      </c>
      <c r="B397" s="3" t="s">
        <v>233</v>
      </c>
      <c r="C397" s="3" t="s">
        <v>234</v>
      </c>
      <c r="D397" s="78" t="s">
        <v>331</v>
      </c>
      <c r="E397" s="4" t="s">
        <v>591</v>
      </c>
      <c r="F397" s="11"/>
      <c r="G397" s="11"/>
      <c r="H397" s="2">
        <f>'II-I TOTAL COMPANY'!L397</f>
        <v>0</v>
      </c>
      <c r="I397" s="66">
        <v>0</v>
      </c>
      <c r="J397" s="66">
        <f t="shared" si="239"/>
        <v>0</v>
      </c>
      <c r="K397" s="12">
        <f t="shared" si="235"/>
        <v>0</v>
      </c>
      <c r="L397" s="12">
        <f t="shared" si="235"/>
        <v>0</v>
      </c>
      <c r="M397" s="9">
        <f t="shared" si="236"/>
        <v>0</v>
      </c>
      <c r="N397" s="12">
        <f t="shared" si="237"/>
        <v>0</v>
      </c>
      <c r="O397" s="12">
        <f t="shared" si="237"/>
        <v>0</v>
      </c>
      <c r="P397" s="9">
        <f t="shared" si="210"/>
        <v>0</v>
      </c>
      <c r="Q397" s="12">
        <f t="shared" si="238"/>
        <v>0</v>
      </c>
      <c r="R397" s="12">
        <f t="shared" si="238"/>
        <v>0</v>
      </c>
      <c r="S397" s="12">
        <f t="shared" si="238"/>
        <v>0</v>
      </c>
      <c r="T397" s="12">
        <f t="shared" si="238"/>
        <v>0</v>
      </c>
      <c r="U397" s="12">
        <f t="shared" si="238"/>
        <v>0</v>
      </c>
      <c r="V397" s="12">
        <f t="shared" si="238"/>
        <v>0</v>
      </c>
      <c r="W397" s="27" t="str">
        <f t="shared" si="240"/>
        <v>OK</v>
      </c>
      <c r="X397" s="3"/>
      <c r="Y397" s="3"/>
      <c r="Z397" s="3"/>
      <c r="AA397" s="3"/>
      <c r="AB397" s="3"/>
      <c r="AC397" s="3"/>
    </row>
    <row r="398" spans="1:29" x14ac:dyDescent="0.2">
      <c r="A398" s="3">
        <f t="shared" ref="A398:A415" si="241">+A397+1</f>
        <v>17</v>
      </c>
      <c r="B398" s="3"/>
      <c r="C398" s="3" t="s">
        <v>135</v>
      </c>
      <c r="D398" s="3"/>
      <c r="E398" s="4"/>
      <c r="F398" s="11"/>
      <c r="G398" s="11"/>
      <c r="H398" s="8">
        <f t="shared" ref="H398:V398" si="242">SUM(H391:H397)</f>
        <v>0</v>
      </c>
      <c r="I398" s="8">
        <f t="shared" si="242"/>
        <v>0</v>
      </c>
      <c r="J398" s="66">
        <f t="shared" si="239"/>
        <v>0</v>
      </c>
      <c r="K398" s="12">
        <f t="shared" si="242"/>
        <v>0</v>
      </c>
      <c r="L398" s="12">
        <f t="shared" si="242"/>
        <v>0</v>
      </c>
      <c r="M398" s="9">
        <f t="shared" si="236"/>
        <v>0</v>
      </c>
      <c r="N398" s="12">
        <f t="shared" si="242"/>
        <v>0</v>
      </c>
      <c r="O398" s="12">
        <f t="shared" si="242"/>
        <v>0</v>
      </c>
      <c r="P398" s="9">
        <f t="shared" si="210"/>
        <v>0</v>
      </c>
      <c r="Q398" s="12">
        <f t="shared" si="242"/>
        <v>0</v>
      </c>
      <c r="R398" s="12">
        <f t="shared" si="242"/>
        <v>0</v>
      </c>
      <c r="S398" s="12">
        <f>SUM(S391:S397)</f>
        <v>0</v>
      </c>
      <c r="T398" s="12">
        <f t="shared" si="242"/>
        <v>0</v>
      </c>
      <c r="U398" s="12">
        <f t="shared" si="242"/>
        <v>0</v>
      </c>
      <c r="V398" s="12">
        <f t="shared" si="242"/>
        <v>0</v>
      </c>
      <c r="W398" s="27" t="str">
        <f t="shared" si="240"/>
        <v>OK</v>
      </c>
      <c r="X398" s="3"/>
      <c r="Y398" s="3"/>
      <c r="Z398" s="3"/>
      <c r="AA398" s="3"/>
      <c r="AB398" s="3"/>
      <c r="AC398" s="3"/>
    </row>
    <row r="399" spans="1:29" x14ac:dyDescent="0.2">
      <c r="A399" s="3">
        <f t="shared" si="241"/>
        <v>18</v>
      </c>
      <c r="B399" s="3"/>
      <c r="C399" s="3"/>
      <c r="D399" s="3"/>
      <c r="E399" s="4"/>
      <c r="F399" s="4"/>
      <c r="G399" s="4"/>
      <c r="H399" s="8"/>
      <c r="I399" s="8"/>
      <c r="J399" s="8"/>
      <c r="K399" s="8"/>
      <c r="L399" s="8"/>
      <c r="M399" s="3"/>
      <c r="N399" s="3"/>
      <c r="O399" s="3"/>
      <c r="P399" s="9">
        <f t="shared" si="210"/>
        <v>0</v>
      </c>
      <c r="Q399" s="3"/>
      <c r="R399" s="3"/>
      <c r="S399" s="3"/>
      <c r="T399" s="3"/>
      <c r="U399" s="3"/>
      <c r="V399" s="3"/>
      <c r="W399" s="27" t="str">
        <f t="shared" si="240"/>
        <v>OK</v>
      </c>
      <c r="X399" s="3"/>
      <c r="Y399" s="3"/>
      <c r="Z399" s="3"/>
      <c r="AA399" s="3"/>
      <c r="AB399" s="3"/>
      <c r="AC399" s="3"/>
    </row>
    <row r="400" spans="1:29" x14ac:dyDescent="0.2">
      <c r="A400" s="3">
        <f t="shared" si="241"/>
        <v>19</v>
      </c>
      <c r="B400" s="3"/>
      <c r="C400" s="3" t="s">
        <v>235</v>
      </c>
      <c r="D400" s="3"/>
      <c r="E400" s="4"/>
      <c r="F400" s="4"/>
      <c r="G400" s="4"/>
      <c r="H400" s="8"/>
      <c r="I400" s="8"/>
      <c r="J400" s="8"/>
      <c r="K400" s="8"/>
      <c r="L400" s="8"/>
      <c r="M400" s="3"/>
      <c r="N400" s="3"/>
      <c r="O400" s="3"/>
      <c r="P400" s="9">
        <f t="shared" si="210"/>
        <v>0</v>
      </c>
      <c r="Q400" s="3"/>
      <c r="R400" s="3"/>
      <c r="S400" s="3"/>
      <c r="T400" s="3"/>
      <c r="U400" s="3"/>
      <c r="V400" s="3"/>
      <c r="W400" s="27" t="str">
        <f t="shared" si="240"/>
        <v>OK</v>
      </c>
      <c r="X400" s="3"/>
      <c r="Y400" s="3"/>
      <c r="Z400" s="3"/>
      <c r="AA400" s="3"/>
      <c r="AB400" s="3"/>
      <c r="AC400" s="3"/>
    </row>
    <row r="401" spans="1:29" x14ac:dyDescent="0.2">
      <c r="A401" s="3">
        <f t="shared" si="241"/>
        <v>20</v>
      </c>
      <c r="B401" s="3" t="s">
        <v>236</v>
      </c>
      <c r="C401" s="3" t="s">
        <v>228</v>
      </c>
      <c r="D401" s="78" t="s">
        <v>426</v>
      </c>
      <c r="E401" s="4" t="s">
        <v>591</v>
      </c>
      <c r="F401" s="11"/>
      <c r="G401" s="11"/>
      <c r="H401" s="2">
        <f>'II-I TOTAL COMPANY'!L401</f>
        <v>0</v>
      </c>
      <c r="I401" s="66">
        <v>0</v>
      </c>
      <c r="J401" s="66">
        <f t="shared" ref="J401:J408" si="243">SUM(K401:V401)-M401-P401</f>
        <v>0</v>
      </c>
      <c r="K401" s="12">
        <f t="shared" ref="K401:L405" si="244">VLOOKUP($D401,$E$741:$V$815,K$1,FALSE)*$H401</f>
        <v>0</v>
      </c>
      <c r="L401" s="12">
        <f t="shared" si="244"/>
        <v>0</v>
      </c>
      <c r="M401" s="9">
        <f t="shared" ref="M401:M407" si="245">SUM(N401:O401)</f>
        <v>0</v>
      </c>
      <c r="N401" s="12">
        <f t="shared" ref="N401:O405" si="246">VLOOKUP($D401,$E$741:$V$815,N$1,FALSE)*$H401</f>
        <v>0</v>
      </c>
      <c r="O401" s="12">
        <f t="shared" si="246"/>
        <v>0</v>
      </c>
      <c r="P401" s="9">
        <f t="shared" si="210"/>
        <v>0</v>
      </c>
      <c r="Q401" s="12">
        <f t="shared" ref="Q401:V405" si="247">VLOOKUP($D401,$E$741:$V$815,Q$1,FALSE)*$H401</f>
        <v>0</v>
      </c>
      <c r="R401" s="12">
        <f t="shared" si="247"/>
        <v>0</v>
      </c>
      <c r="S401" s="12">
        <f t="shared" si="247"/>
        <v>0</v>
      </c>
      <c r="T401" s="12">
        <f t="shared" si="247"/>
        <v>0</v>
      </c>
      <c r="U401" s="12">
        <f t="shared" si="247"/>
        <v>0</v>
      </c>
      <c r="V401" s="12">
        <f t="shared" si="247"/>
        <v>0</v>
      </c>
      <c r="W401" s="27" t="str">
        <f t="shared" si="240"/>
        <v>OK</v>
      </c>
      <c r="X401" s="3"/>
      <c r="Y401" s="3"/>
      <c r="Z401" s="3"/>
      <c r="AA401" s="3"/>
      <c r="AB401" s="3"/>
      <c r="AC401" s="3"/>
    </row>
    <row r="402" spans="1:29" x14ac:dyDescent="0.2">
      <c r="A402" s="3">
        <f t="shared" si="241"/>
        <v>21</v>
      </c>
      <c r="B402" s="3" t="s">
        <v>237</v>
      </c>
      <c r="C402" s="3" t="s">
        <v>238</v>
      </c>
      <c r="D402" s="78" t="s">
        <v>345</v>
      </c>
      <c r="E402" s="4" t="s">
        <v>591</v>
      </c>
      <c r="F402" s="11"/>
      <c r="G402" s="11"/>
      <c r="H402" s="2">
        <f>'II-I TOTAL COMPANY'!L402</f>
        <v>0</v>
      </c>
      <c r="I402" s="66">
        <v>0</v>
      </c>
      <c r="J402" s="66">
        <f t="shared" si="243"/>
        <v>0</v>
      </c>
      <c r="K402" s="12">
        <f t="shared" si="244"/>
        <v>0</v>
      </c>
      <c r="L402" s="12">
        <f t="shared" si="244"/>
        <v>0</v>
      </c>
      <c r="M402" s="9">
        <f t="shared" si="245"/>
        <v>0</v>
      </c>
      <c r="N402" s="12">
        <f t="shared" si="246"/>
        <v>0</v>
      </c>
      <c r="O402" s="12">
        <f t="shared" si="246"/>
        <v>0</v>
      </c>
      <c r="P402" s="9">
        <f t="shared" si="210"/>
        <v>0</v>
      </c>
      <c r="Q402" s="12">
        <f t="shared" si="247"/>
        <v>0</v>
      </c>
      <c r="R402" s="12">
        <f t="shared" si="247"/>
        <v>0</v>
      </c>
      <c r="S402" s="12">
        <f t="shared" si="247"/>
        <v>0</v>
      </c>
      <c r="T402" s="12">
        <f t="shared" si="247"/>
        <v>0</v>
      </c>
      <c r="U402" s="12">
        <f t="shared" si="247"/>
        <v>0</v>
      </c>
      <c r="V402" s="12">
        <f t="shared" si="247"/>
        <v>0</v>
      </c>
      <c r="W402" s="27" t="str">
        <f t="shared" si="240"/>
        <v>OK</v>
      </c>
      <c r="X402" s="3"/>
      <c r="Y402" s="3"/>
      <c r="Z402" s="3"/>
      <c r="AA402" s="3"/>
      <c r="AB402" s="3"/>
      <c r="AC402" s="3"/>
    </row>
    <row r="403" spans="1:29" x14ac:dyDescent="0.2">
      <c r="A403" s="3">
        <f t="shared" si="241"/>
        <v>22</v>
      </c>
      <c r="B403" s="3" t="s">
        <v>239</v>
      </c>
      <c r="C403" s="3" t="s">
        <v>240</v>
      </c>
      <c r="D403" s="78" t="s">
        <v>345</v>
      </c>
      <c r="E403" s="4" t="s">
        <v>591</v>
      </c>
      <c r="F403" s="11"/>
      <c r="G403" s="11"/>
      <c r="H403" s="2">
        <f>'II-I TOTAL COMPANY'!L403</f>
        <v>0</v>
      </c>
      <c r="I403" s="66">
        <v>0</v>
      </c>
      <c r="J403" s="66">
        <f t="shared" si="243"/>
        <v>0</v>
      </c>
      <c r="K403" s="12">
        <f t="shared" si="244"/>
        <v>0</v>
      </c>
      <c r="L403" s="12">
        <f t="shared" si="244"/>
        <v>0</v>
      </c>
      <c r="M403" s="9">
        <f t="shared" si="245"/>
        <v>0</v>
      </c>
      <c r="N403" s="12">
        <f t="shared" si="246"/>
        <v>0</v>
      </c>
      <c r="O403" s="12">
        <f t="shared" si="246"/>
        <v>0</v>
      </c>
      <c r="P403" s="9">
        <f t="shared" si="210"/>
        <v>0</v>
      </c>
      <c r="Q403" s="12">
        <f t="shared" si="247"/>
        <v>0</v>
      </c>
      <c r="R403" s="12">
        <f t="shared" si="247"/>
        <v>0</v>
      </c>
      <c r="S403" s="12">
        <f t="shared" si="247"/>
        <v>0</v>
      </c>
      <c r="T403" s="12">
        <f t="shared" si="247"/>
        <v>0</v>
      </c>
      <c r="U403" s="12">
        <f t="shared" si="247"/>
        <v>0</v>
      </c>
      <c r="V403" s="12">
        <f t="shared" si="247"/>
        <v>0</v>
      </c>
      <c r="W403" s="27" t="str">
        <f t="shared" si="240"/>
        <v>OK</v>
      </c>
      <c r="X403" s="3"/>
      <c r="Y403" s="3"/>
      <c r="Z403" s="3"/>
      <c r="AA403" s="3"/>
      <c r="AB403" s="3"/>
      <c r="AC403" s="3"/>
    </row>
    <row r="404" spans="1:29" x14ac:dyDescent="0.2">
      <c r="A404" s="3">
        <f t="shared" si="241"/>
        <v>23</v>
      </c>
      <c r="B404" s="3" t="s">
        <v>241</v>
      </c>
      <c r="C404" s="3" t="s">
        <v>242</v>
      </c>
      <c r="D404" s="78" t="s">
        <v>345</v>
      </c>
      <c r="E404" s="4" t="s">
        <v>591</v>
      </c>
      <c r="F404" s="11"/>
      <c r="G404" s="11"/>
      <c r="H404" s="2">
        <f>'II-I TOTAL COMPANY'!L404</f>
        <v>0</v>
      </c>
      <c r="I404" s="66">
        <v>0</v>
      </c>
      <c r="J404" s="66">
        <f t="shared" si="243"/>
        <v>0</v>
      </c>
      <c r="K404" s="12">
        <f t="shared" si="244"/>
        <v>0</v>
      </c>
      <c r="L404" s="12">
        <f t="shared" si="244"/>
        <v>0</v>
      </c>
      <c r="M404" s="9">
        <f t="shared" si="245"/>
        <v>0</v>
      </c>
      <c r="N404" s="12">
        <f t="shared" si="246"/>
        <v>0</v>
      </c>
      <c r="O404" s="12">
        <f t="shared" si="246"/>
        <v>0</v>
      </c>
      <c r="P404" s="9">
        <f t="shared" ref="P404:P467" si="248">SUM(Q404:S404)</f>
        <v>0</v>
      </c>
      <c r="Q404" s="12">
        <f t="shared" si="247"/>
        <v>0</v>
      </c>
      <c r="R404" s="12">
        <f t="shared" si="247"/>
        <v>0</v>
      </c>
      <c r="S404" s="12">
        <f t="shared" si="247"/>
        <v>0</v>
      </c>
      <c r="T404" s="12">
        <f t="shared" si="247"/>
        <v>0</v>
      </c>
      <c r="U404" s="12">
        <f t="shared" si="247"/>
        <v>0</v>
      </c>
      <c r="V404" s="12">
        <f t="shared" si="247"/>
        <v>0</v>
      </c>
      <c r="W404" s="27" t="str">
        <f t="shared" si="240"/>
        <v>OK</v>
      </c>
      <c r="X404" s="3"/>
      <c r="Y404" s="3"/>
      <c r="Z404" s="3"/>
      <c r="AA404" s="3"/>
      <c r="AB404" s="3"/>
      <c r="AC404" s="3"/>
    </row>
    <row r="405" spans="1:29" x14ac:dyDescent="0.2">
      <c r="A405" s="3">
        <f t="shared" si="241"/>
        <v>24</v>
      </c>
      <c r="B405" s="3" t="s">
        <v>243</v>
      </c>
      <c r="C405" s="3" t="s">
        <v>244</v>
      </c>
      <c r="D405" s="78" t="s">
        <v>345</v>
      </c>
      <c r="E405" s="4" t="s">
        <v>591</v>
      </c>
      <c r="F405" s="11"/>
      <c r="G405" s="11"/>
      <c r="H405" s="2">
        <f>'II-I TOTAL COMPANY'!L405</f>
        <v>0</v>
      </c>
      <c r="I405" s="66">
        <v>0</v>
      </c>
      <c r="J405" s="66">
        <f t="shared" si="243"/>
        <v>0</v>
      </c>
      <c r="K405" s="12">
        <f t="shared" si="244"/>
        <v>0</v>
      </c>
      <c r="L405" s="12">
        <f t="shared" si="244"/>
        <v>0</v>
      </c>
      <c r="M405" s="9">
        <f t="shared" si="245"/>
        <v>0</v>
      </c>
      <c r="N405" s="12">
        <f t="shared" si="246"/>
        <v>0</v>
      </c>
      <c r="O405" s="12">
        <f t="shared" si="246"/>
        <v>0</v>
      </c>
      <c r="P405" s="9">
        <f t="shared" si="248"/>
        <v>0</v>
      </c>
      <c r="Q405" s="12">
        <f t="shared" si="247"/>
        <v>0</v>
      </c>
      <c r="R405" s="12">
        <f t="shared" si="247"/>
        <v>0</v>
      </c>
      <c r="S405" s="12">
        <f t="shared" si="247"/>
        <v>0</v>
      </c>
      <c r="T405" s="12">
        <f t="shared" si="247"/>
        <v>0</v>
      </c>
      <c r="U405" s="12">
        <f t="shared" si="247"/>
        <v>0</v>
      </c>
      <c r="V405" s="12">
        <f t="shared" si="247"/>
        <v>0</v>
      </c>
      <c r="W405" s="27" t="str">
        <f t="shared" si="240"/>
        <v>OK</v>
      </c>
      <c r="X405" s="3"/>
      <c r="Y405" s="3"/>
      <c r="Z405" s="3"/>
      <c r="AA405" s="3"/>
      <c r="AB405" s="3"/>
      <c r="AC405" s="3"/>
    </row>
    <row r="406" spans="1:29" x14ac:dyDescent="0.2">
      <c r="A406" s="3">
        <f t="shared" si="241"/>
        <v>25</v>
      </c>
      <c r="B406" s="3"/>
      <c r="C406" s="3" t="s">
        <v>135</v>
      </c>
      <c r="D406" s="3"/>
      <c r="E406" s="4"/>
      <c r="F406" s="8"/>
      <c r="G406" s="8"/>
      <c r="H406" s="8">
        <f t="shared" ref="H406:V406" si="249">SUM(H401:H405)</f>
        <v>0</v>
      </c>
      <c r="I406" s="8">
        <f t="shared" si="249"/>
        <v>0</v>
      </c>
      <c r="J406" s="66">
        <f t="shared" si="243"/>
        <v>0</v>
      </c>
      <c r="K406" s="8">
        <f t="shared" si="249"/>
        <v>0</v>
      </c>
      <c r="L406" s="8">
        <f t="shared" si="249"/>
        <v>0</v>
      </c>
      <c r="M406" s="9">
        <f t="shared" si="245"/>
        <v>0</v>
      </c>
      <c r="N406" s="8">
        <f t="shared" si="249"/>
        <v>0</v>
      </c>
      <c r="O406" s="8">
        <f t="shared" si="249"/>
        <v>0</v>
      </c>
      <c r="P406" s="9">
        <f t="shared" si="248"/>
        <v>0</v>
      </c>
      <c r="Q406" s="8">
        <f t="shared" si="249"/>
        <v>0</v>
      </c>
      <c r="R406" s="8">
        <f t="shared" si="249"/>
        <v>0</v>
      </c>
      <c r="S406" s="8">
        <f>SUM(S401:S405)</f>
        <v>0</v>
      </c>
      <c r="T406" s="8">
        <f t="shared" si="249"/>
        <v>0</v>
      </c>
      <c r="U406" s="8">
        <f t="shared" si="249"/>
        <v>0</v>
      </c>
      <c r="V406" s="8">
        <f t="shared" si="249"/>
        <v>0</v>
      </c>
      <c r="W406" s="27" t="str">
        <f t="shared" si="240"/>
        <v>OK</v>
      </c>
      <c r="X406" s="3"/>
      <c r="Y406" s="3"/>
      <c r="Z406" s="3"/>
      <c r="AA406" s="3"/>
      <c r="AB406" s="3"/>
      <c r="AC406" s="3"/>
    </row>
    <row r="407" spans="1:29" x14ac:dyDescent="0.2">
      <c r="A407" s="3">
        <f t="shared" si="241"/>
        <v>26</v>
      </c>
      <c r="B407" s="3"/>
      <c r="C407" s="3" t="s">
        <v>245</v>
      </c>
      <c r="D407" s="3"/>
      <c r="E407" s="4"/>
      <c r="F407" s="8"/>
      <c r="G407" s="8"/>
      <c r="H407" s="8">
        <f t="shared" ref="H407:V407" si="250">H388+H398+H406</f>
        <v>779597.70354168466</v>
      </c>
      <c r="I407" s="8">
        <f t="shared" si="250"/>
        <v>0</v>
      </c>
      <c r="J407" s="66">
        <f t="shared" si="243"/>
        <v>779597.70354168455</v>
      </c>
      <c r="K407" s="8">
        <f t="shared" si="250"/>
        <v>365480.68400414084</v>
      </c>
      <c r="L407" s="8">
        <f t="shared" si="250"/>
        <v>69445.245817680188</v>
      </c>
      <c r="M407" s="9">
        <f t="shared" si="245"/>
        <v>275692.95177634363</v>
      </c>
      <c r="N407" s="8">
        <f t="shared" si="250"/>
        <v>5378.5658561905011</v>
      </c>
      <c r="O407" s="8">
        <f t="shared" si="250"/>
        <v>270314.38592015312</v>
      </c>
      <c r="P407" s="9">
        <f t="shared" si="248"/>
        <v>37076.449170040818</v>
      </c>
      <c r="Q407" s="8">
        <f t="shared" si="250"/>
        <v>16011.836704188901</v>
      </c>
      <c r="R407" s="8">
        <f t="shared" si="250"/>
        <v>18777.207222396362</v>
      </c>
      <c r="S407" s="8">
        <f>S388+S398+S406</f>
        <v>2287.4052434555574</v>
      </c>
      <c r="T407" s="8">
        <f t="shared" si="250"/>
        <v>31253.705614887291</v>
      </c>
      <c r="U407" s="8">
        <f t="shared" si="250"/>
        <v>0</v>
      </c>
      <c r="V407" s="8">
        <f t="shared" si="250"/>
        <v>648.66715859187445</v>
      </c>
      <c r="W407" s="27" t="str">
        <f t="shared" si="240"/>
        <v>OK</v>
      </c>
      <c r="X407" s="3"/>
      <c r="Y407" s="3"/>
      <c r="Z407" s="3"/>
      <c r="AA407" s="3"/>
      <c r="AB407" s="3"/>
      <c r="AC407" s="3"/>
    </row>
    <row r="408" spans="1:29" x14ac:dyDescent="0.2">
      <c r="A408" s="3">
        <f t="shared" si="241"/>
        <v>27</v>
      </c>
      <c r="B408" s="3"/>
      <c r="C408" s="3"/>
      <c r="D408" s="3"/>
      <c r="E408" s="4"/>
      <c r="F408" s="4"/>
      <c r="G408" s="4"/>
      <c r="H408" s="8"/>
      <c r="I408" s="8"/>
      <c r="J408" s="66">
        <f t="shared" si="243"/>
        <v>0</v>
      </c>
      <c r="K408" s="8"/>
      <c r="L408" s="8"/>
      <c r="M408" s="3"/>
      <c r="N408" s="3"/>
      <c r="O408" s="3"/>
      <c r="P408" s="9">
        <f t="shared" si="248"/>
        <v>0</v>
      </c>
      <c r="Q408" s="3"/>
      <c r="R408" s="3"/>
      <c r="S408" s="3"/>
      <c r="T408" s="3"/>
      <c r="U408" s="3"/>
      <c r="V408" s="3"/>
      <c r="W408" s="27" t="str">
        <f t="shared" si="240"/>
        <v>OK</v>
      </c>
      <c r="X408" s="3"/>
      <c r="Y408" s="3"/>
      <c r="Z408" s="3"/>
      <c r="AA408" s="3"/>
      <c r="AB408" s="3"/>
      <c r="AC408" s="3"/>
    </row>
    <row r="409" spans="1:29" x14ac:dyDescent="0.2">
      <c r="A409" s="3">
        <f t="shared" si="241"/>
        <v>28</v>
      </c>
      <c r="B409" s="7" t="s">
        <v>246</v>
      </c>
      <c r="C409" s="3"/>
      <c r="D409" s="3"/>
      <c r="E409" s="4"/>
      <c r="F409" s="4"/>
      <c r="G409" s="4"/>
      <c r="H409" s="8"/>
      <c r="I409" s="8"/>
      <c r="J409" s="8"/>
      <c r="K409" s="8"/>
      <c r="L409" s="8"/>
      <c r="M409" s="3"/>
      <c r="N409" s="3"/>
      <c r="O409" s="3"/>
      <c r="P409" s="9">
        <f t="shared" si="248"/>
        <v>0</v>
      </c>
      <c r="Q409" s="3"/>
      <c r="R409" s="3"/>
      <c r="S409" s="3"/>
      <c r="T409" s="3"/>
      <c r="U409" s="3"/>
      <c r="V409" s="3"/>
      <c r="W409" s="27" t="str">
        <f t="shared" si="240"/>
        <v>OK</v>
      </c>
      <c r="X409" s="3"/>
      <c r="Y409" s="3"/>
      <c r="Z409" s="3"/>
      <c r="AA409" s="3"/>
      <c r="AB409" s="3"/>
      <c r="AC409" s="3"/>
    </row>
    <row r="410" spans="1:29" x14ac:dyDescent="0.2">
      <c r="A410" s="3">
        <f t="shared" si="241"/>
        <v>29</v>
      </c>
      <c r="B410" s="3"/>
      <c r="C410" s="3"/>
      <c r="D410" s="3"/>
      <c r="E410" s="4"/>
      <c r="F410" s="4"/>
      <c r="G410" s="4"/>
      <c r="H410" s="8"/>
      <c r="I410" s="8"/>
      <c r="J410" s="8"/>
      <c r="K410" s="8"/>
      <c r="L410" s="8"/>
      <c r="M410" s="3"/>
      <c r="N410" s="3"/>
      <c r="O410" s="3"/>
      <c r="P410" s="9">
        <f t="shared" si="248"/>
        <v>0</v>
      </c>
      <c r="Q410" s="3"/>
      <c r="R410" s="3"/>
      <c r="S410" s="3"/>
      <c r="T410" s="3"/>
      <c r="U410" s="3"/>
      <c r="V410" s="3"/>
      <c r="W410" s="27" t="str">
        <f t="shared" si="240"/>
        <v>OK</v>
      </c>
      <c r="X410" s="3"/>
      <c r="Y410" s="3"/>
      <c r="Z410" s="3"/>
      <c r="AA410" s="3"/>
      <c r="AB410" s="3"/>
      <c r="AC410" s="3"/>
    </row>
    <row r="411" spans="1:29" x14ac:dyDescent="0.2">
      <c r="A411" s="3">
        <f t="shared" si="241"/>
        <v>30</v>
      </c>
      <c r="B411" s="3" t="s">
        <v>247</v>
      </c>
      <c r="C411" s="3"/>
      <c r="D411" s="3"/>
      <c r="E411" s="4"/>
      <c r="F411" s="4"/>
      <c r="G411" s="4"/>
      <c r="H411" s="8"/>
      <c r="I411" s="8"/>
      <c r="J411" s="8"/>
      <c r="K411" s="8"/>
      <c r="L411" s="8"/>
      <c r="M411" s="3"/>
      <c r="N411" s="3"/>
      <c r="O411" s="3"/>
      <c r="P411" s="9">
        <f t="shared" si="248"/>
        <v>0</v>
      </c>
      <c r="Q411" s="3"/>
      <c r="R411" s="3"/>
      <c r="S411" s="3"/>
      <c r="T411" s="3"/>
      <c r="U411" s="3"/>
      <c r="V411" s="3"/>
      <c r="W411" s="27" t="str">
        <f t="shared" si="240"/>
        <v>OK</v>
      </c>
      <c r="X411" s="3"/>
      <c r="Y411" s="3"/>
      <c r="Z411" s="3"/>
      <c r="AA411" s="3"/>
      <c r="AB411" s="3"/>
      <c r="AC411" s="3"/>
    </row>
    <row r="412" spans="1:29" x14ac:dyDescent="0.2">
      <c r="A412" s="3">
        <f t="shared" si="241"/>
        <v>31</v>
      </c>
      <c r="B412" s="3" t="s">
        <v>248</v>
      </c>
      <c r="C412" s="3" t="s">
        <v>249</v>
      </c>
      <c r="D412" s="78" t="s">
        <v>323</v>
      </c>
      <c r="E412" s="4" t="s">
        <v>591</v>
      </c>
      <c r="F412" s="11"/>
      <c r="G412" s="11"/>
      <c r="H412" s="2">
        <f>'II-I TOTAL COMPANY'!L412</f>
        <v>3947666.1026675166</v>
      </c>
      <c r="I412" s="66">
        <v>0</v>
      </c>
      <c r="J412" s="66">
        <f t="shared" ref="J412:J429" ca="1" si="251">SUM(K412:V412)-M412-P412</f>
        <v>3947666.102667518</v>
      </c>
      <c r="K412" s="12">
        <f t="shared" ref="K412:L426" ca="1" si="252">VLOOKUP($D412,$E$741:$V$815,K$1,FALSE)*$H412</f>
        <v>1850692.608339295</v>
      </c>
      <c r="L412" s="12">
        <f t="shared" ca="1" si="252"/>
        <v>351651.42439546814</v>
      </c>
      <c r="M412" s="9">
        <f t="shared" ref="M412:M427" ca="1" si="253">SUM(N412:O412)</f>
        <v>1396032.4864061493</v>
      </c>
      <c r="N412" s="12">
        <f t="shared" ref="N412:O426" ca="1" si="254">VLOOKUP($D412,$E$741:$V$815,N$1,FALSE)*$H412</f>
        <v>27235.562669038613</v>
      </c>
      <c r="O412" s="12">
        <f t="shared" ca="1" si="254"/>
        <v>1368796.9237371108</v>
      </c>
      <c r="P412" s="9">
        <f t="shared" ca="1" si="248"/>
        <v>187744.83420219473</v>
      </c>
      <c r="Q412" s="12">
        <f t="shared" ref="Q412:V426" ca="1" si="255">VLOOKUP($D412,$E$741:$V$815,Q$1,FALSE)*$H412</f>
        <v>81079.491013655002</v>
      </c>
      <c r="R412" s="12">
        <f t="shared" ca="1" si="255"/>
        <v>95082.558758017592</v>
      </c>
      <c r="S412" s="12">
        <f t="shared" ca="1" si="255"/>
        <v>11582.784430522142</v>
      </c>
      <c r="T412" s="12">
        <f t="shared" ca="1" si="255"/>
        <v>158260.07911276893</v>
      </c>
      <c r="U412" s="12">
        <f t="shared" ca="1" si="255"/>
        <v>0</v>
      </c>
      <c r="V412" s="12">
        <f t="shared" ca="1" si="255"/>
        <v>3284.6702116406091</v>
      </c>
      <c r="W412" s="27">
        <f t="shared" ca="1" si="240"/>
        <v>4.6566128730773926E-10</v>
      </c>
      <c r="X412" s="3"/>
      <c r="Y412" s="3"/>
      <c r="Z412" s="3"/>
      <c r="AA412" s="3"/>
      <c r="AB412" s="3"/>
      <c r="AC412" s="3"/>
    </row>
    <row r="413" spans="1:29" x14ac:dyDescent="0.2">
      <c r="A413" s="3">
        <f>+A412+1</f>
        <v>32</v>
      </c>
      <c r="B413" s="3" t="s">
        <v>248</v>
      </c>
      <c r="C413" s="3" t="s">
        <v>538</v>
      </c>
      <c r="D413" s="78" t="s">
        <v>323</v>
      </c>
      <c r="E413" s="4" t="s">
        <v>591</v>
      </c>
      <c r="F413" s="11"/>
      <c r="G413" s="11"/>
      <c r="H413" s="2">
        <f>'II-I TOTAL COMPANY'!L413</f>
        <v>0</v>
      </c>
      <c r="I413" s="66">
        <v>0</v>
      </c>
      <c r="J413" s="66">
        <f t="shared" ca="1" si="251"/>
        <v>0</v>
      </c>
      <c r="K413" s="12">
        <f t="shared" ca="1" si="252"/>
        <v>0</v>
      </c>
      <c r="L413" s="12">
        <f t="shared" ca="1" si="252"/>
        <v>0</v>
      </c>
      <c r="M413" s="9">
        <f t="shared" ca="1" si="253"/>
        <v>0</v>
      </c>
      <c r="N413" s="12">
        <f t="shared" ca="1" si="254"/>
        <v>0</v>
      </c>
      <c r="O413" s="12">
        <f t="shared" ca="1" si="254"/>
        <v>0</v>
      </c>
      <c r="P413" s="9">
        <f t="shared" ca="1" si="248"/>
        <v>0</v>
      </c>
      <c r="Q413" s="12">
        <f t="shared" ca="1" si="255"/>
        <v>0</v>
      </c>
      <c r="R413" s="12">
        <f t="shared" ca="1" si="255"/>
        <v>0</v>
      </c>
      <c r="S413" s="12">
        <f t="shared" ca="1" si="255"/>
        <v>0</v>
      </c>
      <c r="T413" s="12">
        <f t="shared" ca="1" si="255"/>
        <v>0</v>
      </c>
      <c r="U413" s="12">
        <f t="shared" ca="1" si="255"/>
        <v>0</v>
      </c>
      <c r="V413" s="12">
        <f t="shared" ca="1" si="255"/>
        <v>0</v>
      </c>
      <c r="W413" s="27" t="str">
        <f t="shared" ca="1" si="240"/>
        <v>OK</v>
      </c>
      <c r="X413" s="3"/>
      <c r="Y413" s="3"/>
      <c r="Z413" s="3"/>
      <c r="AA413" s="3"/>
      <c r="AB413" s="3"/>
      <c r="AC413" s="3"/>
    </row>
    <row r="414" spans="1:29" x14ac:dyDescent="0.2">
      <c r="A414" s="3">
        <f>+A412+1</f>
        <v>32</v>
      </c>
      <c r="B414" s="3" t="s">
        <v>250</v>
      </c>
      <c r="C414" s="3" t="s">
        <v>251</v>
      </c>
      <c r="D414" s="78" t="s">
        <v>323</v>
      </c>
      <c r="E414" s="4" t="s">
        <v>591</v>
      </c>
      <c r="F414" s="11"/>
      <c r="G414" s="11"/>
      <c r="H414" s="2">
        <f>'II-I TOTAL COMPANY'!L414</f>
        <v>43790.70436997839</v>
      </c>
      <c r="I414" s="66">
        <v>0</v>
      </c>
      <c r="J414" s="66">
        <f t="shared" ca="1" si="251"/>
        <v>43790.70436997839</v>
      </c>
      <c r="K414" s="12">
        <f t="shared" ca="1" si="252"/>
        <v>20529.37882378852</v>
      </c>
      <c r="L414" s="12">
        <f t="shared" ca="1" si="252"/>
        <v>3900.8019337244095</v>
      </c>
      <c r="M414" s="9">
        <f t="shared" ca="1" si="253"/>
        <v>15485.921127369058</v>
      </c>
      <c r="N414" s="12">
        <f t="shared" ca="1" si="254"/>
        <v>302.11888294807466</v>
      </c>
      <c r="O414" s="12">
        <f t="shared" ca="1" si="254"/>
        <v>15183.802244420984</v>
      </c>
      <c r="P414" s="9">
        <f t="shared" ca="1" si="248"/>
        <v>2082.6175055644908</v>
      </c>
      <c r="Q414" s="12">
        <f t="shared" ca="1" si="255"/>
        <v>899.39927266090808</v>
      </c>
      <c r="R414" s="12">
        <f t="shared" ca="1" si="255"/>
        <v>1054.7326225234528</v>
      </c>
      <c r="S414" s="12">
        <f t="shared" ca="1" si="255"/>
        <v>128.48561038012971</v>
      </c>
      <c r="T414" s="12">
        <f t="shared" ca="1" si="255"/>
        <v>1755.548761662923</v>
      </c>
      <c r="U414" s="12">
        <f t="shared" ca="1" si="255"/>
        <v>0</v>
      </c>
      <c r="V414" s="12">
        <f t="shared" ca="1" si="255"/>
        <v>36.436217868992024</v>
      </c>
      <c r="W414" s="27">
        <f t="shared" ca="1" si="240"/>
        <v>7.2759576141834259E-12</v>
      </c>
      <c r="X414" s="3"/>
      <c r="Y414" s="3"/>
      <c r="Z414" s="3"/>
      <c r="AA414" s="3"/>
      <c r="AB414" s="3"/>
      <c r="AC414" s="3"/>
    </row>
    <row r="415" spans="1:29" x14ac:dyDescent="0.2">
      <c r="A415" s="3">
        <f t="shared" si="241"/>
        <v>33</v>
      </c>
      <c r="B415" s="3" t="s">
        <v>252</v>
      </c>
      <c r="C415" s="3" t="s">
        <v>253</v>
      </c>
      <c r="D415" s="78" t="s">
        <v>323</v>
      </c>
      <c r="E415" s="4" t="s">
        <v>591</v>
      </c>
      <c r="F415" s="11"/>
      <c r="G415" s="11"/>
      <c r="H415" s="2">
        <f>'II-I TOTAL COMPANY'!L415</f>
        <v>-1669103.9774100101</v>
      </c>
      <c r="I415" s="66">
        <v>0</v>
      </c>
      <c r="J415" s="66">
        <f t="shared" ca="1" si="251"/>
        <v>-1669103.9774100108</v>
      </c>
      <c r="K415" s="12">
        <f t="shared" ca="1" si="252"/>
        <v>-782487.25024011673</v>
      </c>
      <c r="L415" s="12">
        <f t="shared" ca="1" si="252"/>
        <v>-148680.96132136462</v>
      </c>
      <c r="M415" s="9">
        <f t="shared" ca="1" si="253"/>
        <v>-590253.40924339555</v>
      </c>
      <c r="N415" s="12">
        <f t="shared" ca="1" si="254"/>
        <v>-11515.408039999735</v>
      </c>
      <c r="O415" s="12">
        <f t="shared" ca="1" si="254"/>
        <v>-578738.00120339578</v>
      </c>
      <c r="P415" s="9">
        <f t="shared" ca="1" si="248"/>
        <v>-79379.978284718338</v>
      </c>
      <c r="Q415" s="12">
        <f t="shared" ca="1" si="255"/>
        <v>-34281.040345794572</v>
      </c>
      <c r="R415" s="12">
        <f t="shared" ca="1" si="255"/>
        <v>-40201.646460953118</v>
      </c>
      <c r="S415" s="12">
        <f t="shared" ca="1" si="255"/>
        <v>-4897.2914779706516</v>
      </c>
      <c r="T415" s="12">
        <f t="shared" ca="1" si="255"/>
        <v>-66913.594169945718</v>
      </c>
      <c r="U415" s="12">
        <f t="shared" ca="1" si="255"/>
        <v>0</v>
      </c>
      <c r="V415" s="12">
        <f t="shared" ca="1" si="255"/>
        <v>-1388.7841504692899</v>
      </c>
      <c r="W415" s="27">
        <f t="shared" ca="1" si="240"/>
        <v>-2.3283064365386963E-10</v>
      </c>
      <c r="X415" s="3"/>
      <c r="Y415" s="3"/>
      <c r="Z415" s="3"/>
      <c r="AA415" s="3"/>
      <c r="AB415" s="3"/>
      <c r="AC415" s="3"/>
    </row>
    <row r="416" spans="1:29" x14ac:dyDescent="0.2">
      <c r="A416" s="3">
        <f>+A414+1</f>
        <v>33</v>
      </c>
      <c r="B416" s="3" t="s">
        <v>254</v>
      </c>
      <c r="C416" s="3" t="s">
        <v>255</v>
      </c>
      <c r="D416" s="78" t="s">
        <v>323</v>
      </c>
      <c r="E416" s="4" t="s">
        <v>591</v>
      </c>
      <c r="F416" s="11"/>
      <c r="G416" s="11"/>
      <c r="H416" s="2">
        <f>'II-I TOTAL COMPANY'!L416</f>
        <v>712479.46297874511</v>
      </c>
      <c r="I416" s="66">
        <v>0</v>
      </c>
      <c r="J416" s="66">
        <f t="shared" ca="1" si="251"/>
        <v>712479.46297874511</v>
      </c>
      <c r="K416" s="12">
        <f t="shared" ca="1" si="252"/>
        <v>334015.19820466149</v>
      </c>
      <c r="L416" s="12">
        <f t="shared" ca="1" si="252"/>
        <v>63466.466386226552</v>
      </c>
      <c r="M416" s="9">
        <f t="shared" ca="1" si="253"/>
        <v>251957.59984448395</v>
      </c>
      <c r="N416" s="12">
        <f t="shared" ca="1" si="254"/>
        <v>4915.5066714604845</v>
      </c>
      <c r="O416" s="12">
        <f t="shared" ca="1" si="254"/>
        <v>247042.09317302346</v>
      </c>
      <c r="P416" s="9">
        <f t="shared" ca="1" si="248"/>
        <v>33884.410477123696</v>
      </c>
      <c r="Q416" s="12">
        <f t="shared" ca="1" si="255"/>
        <v>14633.322756695223</v>
      </c>
      <c r="R416" s="12">
        <f t="shared" ca="1" si="255"/>
        <v>17160.613040900582</v>
      </c>
      <c r="S416" s="12">
        <f t="shared" ca="1" si="255"/>
        <v>2090.4746795278888</v>
      </c>
      <c r="T416" s="12">
        <f t="shared" ca="1" si="255"/>
        <v>28562.966888472951</v>
      </c>
      <c r="U416" s="12">
        <f t="shared" ca="1" si="255"/>
        <v>0</v>
      </c>
      <c r="V416" s="12">
        <f t="shared" ca="1" si="255"/>
        <v>592.82117777656572</v>
      </c>
      <c r="W416" s="27" t="str">
        <f t="shared" ca="1" si="240"/>
        <v>OK</v>
      </c>
      <c r="X416" s="3"/>
      <c r="Y416" s="3"/>
      <c r="Z416" s="3"/>
      <c r="AA416" s="3"/>
      <c r="AB416" s="3"/>
      <c r="AC416" s="3"/>
    </row>
    <row r="417" spans="1:29" x14ac:dyDescent="0.2">
      <c r="A417" s="3">
        <f>+A415+1</f>
        <v>34</v>
      </c>
      <c r="B417" s="3" t="s">
        <v>254</v>
      </c>
      <c r="C417" s="3" t="s">
        <v>471</v>
      </c>
      <c r="D417" s="78" t="s">
        <v>394</v>
      </c>
      <c r="E417" s="4" t="s">
        <v>591</v>
      </c>
      <c r="F417" s="11"/>
      <c r="G417" s="11"/>
      <c r="H417" s="2">
        <f>'II-I TOTAL COMPANY'!L417</f>
        <v>0</v>
      </c>
      <c r="I417" s="66">
        <v>0</v>
      </c>
      <c r="J417" s="66">
        <f t="shared" ca="1" si="251"/>
        <v>0</v>
      </c>
      <c r="K417" s="12">
        <f t="shared" ca="1" si="252"/>
        <v>0</v>
      </c>
      <c r="L417" s="12">
        <f t="shared" ca="1" si="252"/>
        <v>0</v>
      </c>
      <c r="M417" s="9">
        <f t="shared" ca="1" si="253"/>
        <v>0</v>
      </c>
      <c r="N417" s="12">
        <f t="shared" ca="1" si="254"/>
        <v>0</v>
      </c>
      <c r="O417" s="12">
        <f t="shared" ca="1" si="254"/>
        <v>0</v>
      </c>
      <c r="P417" s="9">
        <f t="shared" ca="1" si="248"/>
        <v>0</v>
      </c>
      <c r="Q417" s="12">
        <f t="shared" ca="1" si="255"/>
        <v>0</v>
      </c>
      <c r="R417" s="12">
        <f t="shared" ca="1" si="255"/>
        <v>0</v>
      </c>
      <c r="S417" s="12">
        <f t="shared" ca="1" si="255"/>
        <v>0</v>
      </c>
      <c r="T417" s="12">
        <f t="shared" ca="1" si="255"/>
        <v>0</v>
      </c>
      <c r="U417" s="12">
        <f t="shared" ca="1" si="255"/>
        <v>0</v>
      </c>
      <c r="V417" s="12">
        <f t="shared" ca="1" si="255"/>
        <v>0</v>
      </c>
      <c r="W417" s="27" t="str">
        <f t="shared" ca="1" si="240"/>
        <v>OK</v>
      </c>
      <c r="X417" s="3"/>
      <c r="Y417" s="3"/>
      <c r="Z417" s="3"/>
      <c r="AA417" s="3"/>
      <c r="AB417" s="3"/>
      <c r="AC417" s="3"/>
    </row>
    <row r="418" spans="1:29" x14ac:dyDescent="0.2">
      <c r="A418" s="3">
        <f t="shared" ref="A418:A429" si="256">+A417+1</f>
        <v>35</v>
      </c>
      <c r="B418" s="3" t="s">
        <v>256</v>
      </c>
      <c r="C418" s="3" t="s">
        <v>257</v>
      </c>
      <c r="D418" s="78" t="s">
        <v>340</v>
      </c>
      <c r="E418" s="4" t="s">
        <v>591</v>
      </c>
      <c r="F418" s="11"/>
      <c r="G418" s="11"/>
      <c r="H418" s="2">
        <f>'II-I TOTAL COMPANY'!L418</f>
        <v>473015.19059319614</v>
      </c>
      <c r="I418" s="66">
        <v>0</v>
      </c>
      <c r="J418" s="66">
        <f t="shared" ca="1" si="251"/>
        <v>473015.1905931962</v>
      </c>
      <c r="K418" s="12">
        <f t="shared" ca="1" si="252"/>
        <v>221752.72530559308</v>
      </c>
      <c r="L418" s="12">
        <f t="shared" ca="1" si="252"/>
        <v>42135.393725521608</v>
      </c>
      <c r="M418" s="9">
        <f t="shared" ca="1" si="253"/>
        <v>167274.67710237455</v>
      </c>
      <c r="N418" s="12">
        <f t="shared" ca="1" si="254"/>
        <v>3263.4053974582703</v>
      </c>
      <c r="O418" s="12">
        <f t="shared" ca="1" si="254"/>
        <v>164011.27170491629</v>
      </c>
      <c r="P418" s="9">
        <f t="shared" ca="1" si="248"/>
        <v>22495.863688428715</v>
      </c>
      <c r="Q418" s="12">
        <f t="shared" ca="1" si="255"/>
        <v>9715.0645210617586</v>
      </c>
      <c r="R418" s="12">
        <f t="shared" ca="1" si="255"/>
        <v>11392.93280721528</v>
      </c>
      <c r="S418" s="12">
        <f t="shared" ca="1" si="255"/>
        <v>1387.8663601516796</v>
      </c>
      <c r="T418" s="12">
        <f t="shared" ca="1" si="255"/>
        <v>18962.956728847115</v>
      </c>
      <c r="U418" s="12">
        <f t="shared" ca="1" si="255"/>
        <v>0</v>
      </c>
      <c r="V418" s="12">
        <f t="shared" ca="1" si="255"/>
        <v>393.57404243107362</v>
      </c>
      <c r="W418" s="27" t="str">
        <f t="shared" ca="1" si="240"/>
        <v>OK</v>
      </c>
      <c r="X418" s="3"/>
      <c r="Y418" s="3"/>
      <c r="Z418" s="3"/>
      <c r="AA418" s="3"/>
      <c r="AB418" s="3"/>
      <c r="AC418" s="3"/>
    </row>
    <row r="419" spans="1:29" x14ac:dyDescent="0.2">
      <c r="A419" s="3">
        <f t="shared" si="256"/>
        <v>36</v>
      </c>
      <c r="B419" s="3" t="s">
        <v>258</v>
      </c>
      <c r="C419" s="3" t="s">
        <v>259</v>
      </c>
      <c r="D419" s="78" t="s">
        <v>323</v>
      </c>
      <c r="E419" s="4" t="s">
        <v>591</v>
      </c>
      <c r="F419" s="11"/>
      <c r="G419" s="11"/>
      <c r="H419" s="2">
        <f>'II-I TOTAL COMPANY'!L419</f>
        <v>333539.28895150911</v>
      </c>
      <c r="I419" s="66">
        <v>0</v>
      </c>
      <c r="J419" s="66">
        <f t="shared" ca="1" si="251"/>
        <v>333539.28895150922</v>
      </c>
      <c r="K419" s="12">
        <f t="shared" ca="1" si="252"/>
        <v>156365.47787975147</v>
      </c>
      <c r="L419" s="12">
        <f t="shared" ca="1" si="252"/>
        <v>29711.116138316487</v>
      </c>
      <c r="M419" s="9">
        <f t="shared" ca="1" si="253"/>
        <v>117951.13131641953</v>
      </c>
      <c r="N419" s="12">
        <f t="shared" ca="1" si="254"/>
        <v>2301.1394506458073</v>
      </c>
      <c r="O419" s="12">
        <f t="shared" ca="1" si="254"/>
        <v>115649.99186577373</v>
      </c>
      <c r="P419" s="9">
        <f t="shared" ca="1" si="248"/>
        <v>15862.607646022856</v>
      </c>
      <c r="Q419" s="12">
        <f t="shared" ca="1" si="255"/>
        <v>6850.4263222695399</v>
      </c>
      <c r="R419" s="12">
        <f t="shared" ca="1" si="255"/>
        <v>8033.5489920005257</v>
      </c>
      <c r="S419" s="12">
        <f t="shared" ca="1" si="255"/>
        <v>978.63233175279129</v>
      </c>
      <c r="T419" s="12">
        <f t="shared" ca="1" si="255"/>
        <v>13371.433369456958</v>
      </c>
      <c r="U419" s="12">
        <f t="shared" ca="1" si="255"/>
        <v>0</v>
      </c>
      <c r="V419" s="12">
        <f t="shared" ca="1" si="255"/>
        <v>277.52260154183648</v>
      </c>
      <c r="W419" s="27">
        <f t="shared" ca="1" si="240"/>
        <v>5.8207660913467407E-11</v>
      </c>
      <c r="X419" s="3"/>
      <c r="Y419" s="3"/>
      <c r="Z419" s="3"/>
      <c r="AA419" s="3"/>
      <c r="AB419" s="3"/>
      <c r="AC419" s="3"/>
    </row>
    <row r="420" spans="1:29" x14ac:dyDescent="0.2">
      <c r="A420" s="3">
        <f t="shared" si="256"/>
        <v>37</v>
      </c>
      <c r="B420" s="3" t="s">
        <v>260</v>
      </c>
      <c r="C420" s="3" t="s">
        <v>261</v>
      </c>
      <c r="D420" s="78" t="s">
        <v>323</v>
      </c>
      <c r="E420" s="4" t="s">
        <v>591</v>
      </c>
      <c r="F420" s="11"/>
      <c r="G420" s="11"/>
      <c r="H420" s="2">
        <f>'II-I TOTAL COMPANY'!L420</f>
        <v>-1411852.4512678478</v>
      </c>
      <c r="I420" s="66">
        <v>0</v>
      </c>
      <c r="J420" s="66">
        <f t="shared" ca="1" si="251"/>
        <v>-1411852.4512678478</v>
      </c>
      <c r="K420" s="12">
        <f t="shared" ca="1" si="252"/>
        <v>-661885.99229846941</v>
      </c>
      <c r="L420" s="12">
        <f t="shared" ca="1" si="252"/>
        <v>-125765.43015861715</v>
      </c>
      <c r="M420" s="9">
        <f t="shared" ca="1" si="253"/>
        <v>-499280.29289261118</v>
      </c>
      <c r="N420" s="12">
        <f t="shared" ca="1" si="254"/>
        <v>-9740.5897347696318</v>
      </c>
      <c r="O420" s="12">
        <f t="shared" ca="1" si="254"/>
        <v>-489539.70315784152</v>
      </c>
      <c r="P420" s="9">
        <f t="shared" ca="1" si="248"/>
        <v>-67145.497488283669</v>
      </c>
      <c r="Q420" s="12">
        <f t="shared" ca="1" si="255"/>
        <v>-28997.45701842085</v>
      </c>
      <c r="R420" s="12">
        <f t="shared" ca="1" si="255"/>
        <v>-34005.546610088415</v>
      </c>
      <c r="S420" s="12">
        <f t="shared" ca="1" si="255"/>
        <v>-4142.4938597744067</v>
      </c>
      <c r="T420" s="12">
        <f t="shared" ca="1" si="255"/>
        <v>-56600.501365154356</v>
      </c>
      <c r="U420" s="12">
        <f t="shared" ca="1" si="255"/>
        <v>0</v>
      </c>
      <c r="V420" s="12">
        <f t="shared" ca="1" si="255"/>
        <v>-1174.7370647121456</v>
      </c>
      <c r="W420" s="27">
        <f t="shared" ca="1" si="240"/>
        <v>-2.3283064365386963E-10</v>
      </c>
      <c r="X420" s="3"/>
      <c r="Y420" s="3"/>
      <c r="Z420" s="3"/>
      <c r="AA420" s="3"/>
      <c r="AB420" s="3"/>
      <c r="AC420" s="3"/>
    </row>
    <row r="421" spans="1:29" x14ac:dyDescent="0.2">
      <c r="A421" s="3">
        <f t="shared" si="256"/>
        <v>38</v>
      </c>
      <c r="B421" s="3" t="s">
        <v>262</v>
      </c>
      <c r="C421" s="3" t="s">
        <v>263</v>
      </c>
      <c r="D421" s="78" t="s">
        <v>331</v>
      </c>
      <c r="E421" s="4" t="s">
        <v>591</v>
      </c>
      <c r="F421" s="11"/>
      <c r="G421" s="11"/>
      <c r="H421" s="2">
        <f>'II-I TOTAL COMPANY'!L421</f>
        <v>0</v>
      </c>
      <c r="I421" s="66">
        <v>0</v>
      </c>
      <c r="J421" s="66">
        <f t="shared" si="251"/>
        <v>0</v>
      </c>
      <c r="K421" s="12">
        <f t="shared" si="252"/>
        <v>0</v>
      </c>
      <c r="L421" s="12">
        <f t="shared" si="252"/>
        <v>0</v>
      </c>
      <c r="M421" s="9">
        <f t="shared" si="253"/>
        <v>0</v>
      </c>
      <c r="N421" s="12">
        <f t="shared" si="254"/>
        <v>0</v>
      </c>
      <c r="O421" s="12">
        <f t="shared" si="254"/>
        <v>0</v>
      </c>
      <c r="P421" s="9">
        <f t="shared" si="248"/>
        <v>0</v>
      </c>
      <c r="Q421" s="12">
        <f t="shared" si="255"/>
        <v>0</v>
      </c>
      <c r="R421" s="12">
        <f t="shared" si="255"/>
        <v>0</v>
      </c>
      <c r="S421" s="12">
        <f t="shared" si="255"/>
        <v>0</v>
      </c>
      <c r="T421" s="12">
        <f t="shared" si="255"/>
        <v>0</v>
      </c>
      <c r="U421" s="12">
        <f t="shared" si="255"/>
        <v>0</v>
      </c>
      <c r="V421" s="12">
        <f t="shared" si="255"/>
        <v>0</v>
      </c>
      <c r="W421" s="27" t="str">
        <f t="shared" si="240"/>
        <v>OK</v>
      </c>
      <c r="X421" s="3"/>
      <c r="Y421" s="3"/>
      <c r="Z421" s="3"/>
      <c r="AA421" s="3"/>
      <c r="AB421" s="3"/>
      <c r="AC421" s="3"/>
    </row>
    <row r="422" spans="1:29" x14ac:dyDescent="0.2">
      <c r="A422" s="3">
        <f t="shared" si="256"/>
        <v>39</v>
      </c>
      <c r="B422" s="3" t="s">
        <v>264</v>
      </c>
      <c r="C422" s="3" t="s">
        <v>265</v>
      </c>
      <c r="D422" s="78" t="s">
        <v>323</v>
      </c>
      <c r="E422" s="4" t="s">
        <v>591</v>
      </c>
      <c r="F422" s="11"/>
      <c r="G422" s="11"/>
      <c r="H422" s="2">
        <f>'II-I TOTAL COMPANY'!L422</f>
        <v>17347.042826585737</v>
      </c>
      <c r="I422" s="66">
        <v>0</v>
      </c>
      <c r="J422" s="66">
        <f t="shared" ca="1" si="251"/>
        <v>17347.042826585737</v>
      </c>
      <c r="K422" s="12">
        <f t="shared" ca="1" si="252"/>
        <v>8132.4111768252324</v>
      </c>
      <c r="L422" s="12">
        <f t="shared" ca="1" si="252"/>
        <v>1545.2452564050679</v>
      </c>
      <c r="M422" s="9">
        <f t="shared" ca="1" si="253"/>
        <v>6134.5196628024114</v>
      </c>
      <c r="N422" s="12">
        <f t="shared" ca="1" si="254"/>
        <v>119.67994752816716</v>
      </c>
      <c r="O422" s="12">
        <f t="shared" ca="1" si="254"/>
        <v>6014.8397152742446</v>
      </c>
      <c r="P422" s="9">
        <f t="shared" ca="1" si="248"/>
        <v>824.99826344862709</v>
      </c>
      <c r="Q422" s="12">
        <f t="shared" ca="1" si="255"/>
        <v>356.28378043960049</v>
      </c>
      <c r="R422" s="12">
        <f t="shared" ca="1" si="255"/>
        <v>417.8168000890837</v>
      </c>
      <c r="S422" s="12">
        <f t="shared" ca="1" si="255"/>
        <v>50.897682919942923</v>
      </c>
      <c r="T422" s="12">
        <f t="shared" ca="1" si="255"/>
        <v>695.43479582859504</v>
      </c>
      <c r="U422" s="12">
        <f t="shared" ca="1" si="255"/>
        <v>0</v>
      </c>
      <c r="V422" s="12">
        <f t="shared" ca="1" si="255"/>
        <v>14.433671275804715</v>
      </c>
      <c r="W422" s="27" t="str">
        <f t="shared" ca="1" si="240"/>
        <v>OK</v>
      </c>
      <c r="X422" s="3"/>
      <c r="Y422" s="3"/>
      <c r="Z422" s="3"/>
      <c r="AA422" s="3"/>
      <c r="AB422" s="3"/>
      <c r="AC422" s="3"/>
    </row>
    <row r="423" spans="1:29" x14ac:dyDescent="0.2">
      <c r="A423" s="3">
        <f t="shared" si="256"/>
        <v>40</v>
      </c>
      <c r="B423" s="3" t="s">
        <v>264</v>
      </c>
      <c r="C423" s="3" t="s">
        <v>266</v>
      </c>
      <c r="D423" s="78" t="s">
        <v>395</v>
      </c>
      <c r="E423" s="4" t="s">
        <v>591</v>
      </c>
      <c r="F423" s="11"/>
      <c r="G423" s="11"/>
      <c r="H423" s="2">
        <f>'II-I TOTAL COMPANY'!L423</f>
        <v>0</v>
      </c>
      <c r="I423" s="66">
        <v>0</v>
      </c>
      <c r="J423" s="66">
        <f t="shared" si="251"/>
        <v>0</v>
      </c>
      <c r="K423" s="12">
        <f t="shared" si="252"/>
        <v>0</v>
      </c>
      <c r="L423" s="12">
        <f t="shared" si="252"/>
        <v>0</v>
      </c>
      <c r="M423" s="9">
        <f t="shared" si="253"/>
        <v>0</v>
      </c>
      <c r="N423" s="12">
        <f t="shared" si="254"/>
        <v>0</v>
      </c>
      <c r="O423" s="12">
        <f t="shared" si="254"/>
        <v>0</v>
      </c>
      <c r="P423" s="9">
        <f t="shared" si="248"/>
        <v>0</v>
      </c>
      <c r="Q423" s="12">
        <f t="shared" si="255"/>
        <v>0</v>
      </c>
      <c r="R423" s="12">
        <f t="shared" si="255"/>
        <v>0</v>
      </c>
      <c r="S423" s="12">
        <f t="shared" si="255"/>
        <v>0</v>
      </c>
      <c r="T423" s="12">
        <f t="shared" si="255"/>
        <v>0</v>
      </c>
      <c r="U423" s="12">
        <f t="shared" si="255"/>
        <v>0</v>
      </c>
      <c r="V423" s="12">
        <f t="shared" si="255"/>
        <v>0</v>
      </c>
      <c r="W423" s="27" t="str">
        <f t="shared" si="240"/>
        <v>OK</v>
      </c>
      <c r="X423" s="3"/>
      <c r="Y423" s="3"/>
      <c r="Z423" s="3"/>
      <c r="AA423" s="3"/>
      <c r="AB423" s="3"/>
      <c r="AC423" s="3"/>
    </row>
    <row r="424" spans="1:29" x14ac:dyDescent="0.2">
      <c r="A424" s="3">
        <f t="shared" si="256"/>
        <v>41</v>
      </c>
      <c r="B424" s="3" t="s">
        <v>608</v>
      </c>
      <c r="C424" s="3" t="s">
        <v>609</v>
      </c>
      <c r="D424" s="78" t="s">
        <v>323</v>
      </c>
      <c r="E424" s="4" t="s">
        <v>591</v>
      </c>
      <c r="F424" s="11"/>
      <c r="G424" s="11"/>
      <c r="H424" s="2">
        <f>'II-I TOTAL COMPANY'!L424</f>
        <v>88791.754295491832</v>
      </c>
      <c r="I424" s="66">
        <v>0</v>
      </c>
      <c r="J424" s="66">
        <f t="shared" ca="1" si="251"/>
        <v>88791.754295491861</v>
      </c>
      <c r="K424" s="12">
        <f t="shared" ca="1" si="252"/>
        <v>41626.17584225451</v>
      </c>
      <c r="L424" s="12">
        <f t="shared" ca="1" si="252"/>
        <v>7909.4194039064296</v>
      </c>
      <c r="M424" s="9">
        <f t="shared" ca="1" si="253"/>
        <v>31399.862677783134</v>
      </c>
      <c r="N424" s="12">
        <f t="shared" ca="1" si="254"/>
        <v>612.58812820432229</v>
      </c>
      <c r="O424" s="12">
        <f t="shared" ca="1" si="254"/>
        <v>30787.274549578811</v>
      </c>
      <c r="P424" s="9">
        <f t="shared" ca="1" si="248"/>
        <v>4222.7971553786547</v>
      </c>
      <c r="Q424" s="12">
        <f t="shared" ca="1" si="255"/>
        <v>1823.6573350576325</v>
      </c>
      <c r="R424" s="12">
        <f t="shared" ca="1" si="255"/>
        <v>2138.617343884217</v>
      </c>
      <c r="S424" s="12">
        <f t="shared" ca="1" si="255"/>
        <v>260.5224764368046</v>
      </c>
      <c r="T424" s="12">
        <f t="shared" ca="1" si="255"/>
        <v>3559.6197079258386</v>
      </c>
      <c r="U424" s="12">
        <f t="shared" ca="1" si="255"/>
        <v>0</v>
      </c>
      <c r="V424" s="12">
        <f t="shared" ca="1" si="255"/>
        <v>73.87950824327298</v>
      </c>
      <c r="W424" s="27">
        <f t="shared" ca="1" si="240"/>
        <v>1.4551915228366852E-11</v>
      </c>
      <c r="X424" s="3"/>
      <c r="Y424" s="3"/>
      <c r="Z424" s="3"/>
      <c r="AA424" s="3"/>
      <c r="AB424" s="3"/>
      <c r="AC424" s="3"/>
    </row>
    <row r="425" spans="1:29" x14ac:dyDescent="0.2">
      <c r="A425" s="3">
        <f t="shared" si="256"/>
        <v>42</v>
      </c>
      <c r="B425" s="3" t="s">
        <v>267</v>
      </c>
      <c r="C425" s="3" t="s">
        <v>141</v>
      </c>
      <c r="D425" s="78" t="s">
        <v>375</v>
      </c>
      <c r="E425" s="4" t="s">
        <v>591</v>
      </c>
      <c r="F425" s="11"/>
      <c r="G425" s="11"/>
      <c r="H425" s="2">
        <f>'II-I TOTAL COMPANY'!L425</f>
        <v>188397.51702715896</v>
      </c>
      <c r="I425" s="66">
        <v>0</v>
      </c>
      <c r="J425" s="66">
        <f t="shared" ca="1" si="251"/>
        <v>188397.51702715896</v>
      </c>
      <c r="K425" s="12">
        <f t="shared" ca="1" si="252"/>
        <v>88322.032087779429</v>
      </c>
      <c r="L425" s="12">
        <f t="shared" ca="1" si="252"/>
        <v>16782.132402333442</v>
      </c>
      <c r="M425" s="9">
        <f t="shared" ca="1" si="253"/>
        <v>66623.936089845374</v>
      </c>
      <c r="N425" s="12">
        <f t="shared" ca="1" si="254"/>
        <v>1299.7837831870486</v>
      </c>
      <c r="O425" s="12">
        <f t="shared" ca="1" si="254"/>
        <v>65324.152306658325</v>
      </c>
      <c r="P425" s="9">
        <f t="shared" ca="1" si="248"/>
        <v>8959.891662181979</v>
      </c>
      <c r="Q425" s="12">
        <f t="shared" ca="1" si="255"/>
        <v>3869.4191432443358</v>
      </c>
      <c r="R425" s="12">
        <f t="shared" ca="1" si="255"/>
        <v>4537.6983556170253</v>
      </c>
      <c r="S425" s="12">
        <f t="shared" ca="1" si="255"/>
        <v>552.77416332061932</v>
      </c>
      <c r="T425" s="12">
        <f t="shared" ca="1" si="255"/>
        <v>7552.7679327337937</v>
      </c>
      <c r="U425" s="12">
        <f t="shared" ca="1" si="255"/>
        <v>0</v>
      </c>
      <c r="V425" s="12">
        <f t="shared" ca="1" si="255"/>
        <v>156.75685228495183</v>
      </c>
      <c r="W425" s="27">
        <f t="shared" ca="1" si="240"/>
        <v>-2.9103830456733704E-11</v>
      </c>
      <c r="X425" s="3"/>
      <c r="Y425" s="3"/>
      <c r="Z425" s="3"/>
      <c r="AA425" s="3"/>
      <c r="AB425" s="3"/>
      <c r="AC425" s="3"/>
    </row>
    <row r="426" spans="1:29" x14ac:dyDescent="0.2">
      <c r="A426" s="3">
        <f t="shared" si="256"/>
        <v>43</v>
      </c>
      <c r="B426" s="3" t="s">
        <v>268</v>
      </c>
      <c r="C426" s="3" t="s">
        <v>269</v>
      </c>
      <c r="D426" s="78" t="s">
        <v>375</v>
      </c>
      <c r="E426" s="4" t="s">
        <v>591</v>
      </c>
      <c r="F426" s="11"/>
      <c r="G426" s="11"/>
      <c r="H426" s="2">
        <f>'II-I TOTAL COMPANY'!L426</f>
        <v>221460.11383858175</v>
      </c>
      <c r="I426" s="66">
        <v>0</v>
      </c>
      <c r="J426" s="66">
        <f t="shared" ca="1" si="251"/>
        <v>221460.11383858166</v>
      </c>
      <c r="K426" s="12">
        <f t="shared" ca="1" si="252"/>
        <v>103822.0014215729</v>
      </c>
      <c r="L426" s="12">
        <f t="shared" ca="1" si="252"/>
        <v>19727.292646532824</v>
      </c>
      <c r="M426" s="9">
        <f t="shared" ca="1" si="253"/>
        <v>78316.02403074436</v>
      </c>
      <c r="N426" s="12">
        <f t="shared" ca="1" si="254"/>
        <v>1527.8877828769387</v>
      </c>
      <c r="O426" s="12">
        <f t="shared" ca="1" si="254"/>
        <v>76788.136247867427</v>
      </c>
      <c r="P426" s="9">
        <f t="shared" ca="1" si="248"/>
        <v>10532.297127897577</v>
      </c>
      <c r="Q426" s="12">
        <f t="shared" ca="1" si="255"/>
        <v>4548.478225583759</v>
      </c>
      <c r="R426" s="12">
        <f t="shared" ca="1" si="255"/>
        <v>5334.0362986589935</v>
      </c>
      <c r="S426" s="12">
        <f t="shared" ca="1" si="255"/>
        <v>649.78260365482265</v>
      </c>
      <c r="T426" s="12">
        <f t="shared" ca="1" si="255"/>
        <v>8878.2319033349686</v>
      </c>
      <c r="U426" s="12">
        <f t="shared" ca="1" si="255"/>
        <v>0</v>
      </c>
      <c r="V426" s="12">
        <f t="shared" ca="1" si="255"/>
        <v>184.2667084991289</v>
      </c>
      <c r="W426" s="27">
        <f t="shared" ca="1" si="240"/>
        <v>2.9103830456733704E-11</v>
      </c>
      <c r="X426" s="3"/>
      <c r="Y426" s="3"/>
      <c r="Z426" s="3"/>
      <c r="AA426" s="3"/>
      <c r="AB426" s="3"/>
      <c r="AC426" s="3"/>
    </row>
    <row r="427" spans="1:29" x14ac:dyDescent="0.2">
      <c r="A427" s="3">
        <f t="shared" si="256"/>
        <v>44</v>
      </c>
      <c r="B427" s="3"/>
      <c r="C427" s="3" t="s">
        <v>270</v>
      </c>
      <c r="D427" s="3"/>
      <c r="E427" s="4"/>
      <c r="F427" s="8"/>
      <c r="G427" s="8"/>
      <c r="H427" s="8">
        <f t="shared" ref="H427:V427" si="257">SUM(H412:H426)</f>
        <v>2945530.7488709055</v>
      </c>
      <c r="I427" s="8">
        <f t="shared" si="257"/>
        <v>0</v>
      </c>
      <c r="J427" s="66">
        <f t="shared" ca="1" si="251"/>
        <v>2945530.7488709055</v>
      </c>
      <c r="K427" s="8">
        <f t="shared" ca="1" si="257"/>
        <v>1380884.7665429353</v>
      </c>
      <c r="L427" s="8">
        <f t="shared" ca="1" si="257"/>
        <v>262382.90080845315</v>
      </c>
      <c r="M427" s="9">
        <f t="shared" ca="1" si="253"/>
        <v>1041642.4561219653</v>
      </c>
      <c r="N427" s="8">
        <f t="shared" ca="1" si="257"/>
        <v>20321.674938578366</v>
      </c>
      <c r="O427" s="8">
        <f t="shared" ca="1" si="257"/>
        <v>1021320.7811833869</v>
      </c>
      <c r="P427" s="9">
        <f t="shared" ca="1" si="248"/>
        <v>140084.8419552393</v>
      </c>
      <c r="Q427" s="8">
        <f t="shared" ca="1" si="257"/>
        <v>60497.045006452332</v>
      </c>
      <c r="R427" s="8">
        <f t="shared" ca="1" si="257"/>
        <v>70945.361947865211</v>
      </c>
      <c r="S427" s="8">
        <f ca="1">SUM(S412:S426)</f>
        <v>8642.4350009217633</v>
      </c>
      <c r="T427" s="8">
        <f t="shared" ca="1" si="257"/>
        <v>118084.94366593198</v>
      </c>
      <c r="U427" s="8">
        <f t="shared" ca="1" si="257"/>
        <v>0</v>
      </c>
      <c r="V427" s="8">
        <f t="shared" ca="1" si="257"/>
        <v>2450.8397763807998</v>
      </c>
      <c r="W427" s="27">
        <f t="shared" ca="1" si="240"/>
        <v>4.6566128730773926E-10</v>
      </c>
      <c r="X427" s="3"/>
      <c r="Y427" s="3"/>
      <c r="Z427" s="3"/>
      <c r="AA427" s="3"/>
      <c r="AB427" s="3"/>
      <c r="AC427" s="3"/>
    </row>
    <row r="428" spans="1:29" x14ac:dyDescent="0.2">
      <c r="A428" s="3">
        <f t="shared" si="256"/>
        <v>45</v>
      </c>
      <c r="B428" s="3"/>
      <c r="C428" s="3"/>
      <c r="D428" s="78"/>
      <c r="E428" s="4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9">
        <f t="shared" si="248"/>
        <v>0</v>
      </c>
      <c r="Q428" s="8"/>
      <c r="R428" s="8"/>
      <c r="S428" s="8"/>
      <c r="T428" s="8"/>
      <c r="U428" s="8"/>
      <c r="V428" s="8"/>
      <c r="W428" s="27" t="str">
        <f t="shared" si="240"/>
        <v>OK</v>
      </c>
      <c r="X428" s="3"/>
      <c r="Y428" s="3"/>
      <c r="Z428" s="3"/>
      <c r="AA428" s="3"/>
      <c r="AB428" s="3"/>
      <c r="AC428" s="3"/>
    </row>
    <row r="429" spans="1:29" x14ac:dyDescent="0.2">
      <c r="A429" s="3">
        <f t="shared" si="256"/>
        <v>46</v>
      </c>
      <c r="B429" s="3"/>
      <c r="C429" s="3" t="s">
        <v>464</v>
      </c>
      <c r="D429" s="3"/>
      <c r="E429" s="4"/>
      <c r="F429" s="8"/>
      <c r="G429" s="8"/>
      <c r="H429" s="8">
        <f>H377+H407+H427</f>
        <v>24275502.986472659</v>
      </c>
      <c r="I429" s="8">
        <f>I377+I407+I427</f>
        <v>0</v>
      </c>
      <c r="J429" s="66">
        <f t="shared" ca="1" si="251"/>
        <v>24275502.986472659</v>
      </c>
      <c r="K429" s="8">
        <f ca="1">K377+K407+K427</f>
        <v>11380520.229516298</v>
      </c>
      <c r="L429" s="8">
        <f ca="1">L377+L407+L427</f>
        <v>2162420.777517444</v>
      </c>
      <c r="M429" s="9">
        <f ca="1">SUM(N429:O429)</f>
        <v>8584664.9416640345</v>
      </c>
      <c r="N429" s="8">
        <f ca="1">N377+N407+N427</f>
        <v>167480.47218678222</v>
      </c>
      <c r="O429" s="8">
        <f ca="1">O377+O407+O427</f>
        <v>8417184.469477253</v>
      </c>
      <c r="P429" s="9">
        <f t="shared" ca="1" si="248"/>
        <v>1154505.0074753107</v>
      </c>
      <c r="Q429" s="8">
        <f t="shared" ref="Q429:V429" ca="1" si="258">Q377+Q407+Q427</f>
        <v>498584.57505149243</v>
      </c>
      <c r="R429" s="8">
        <f t="shared" ca="1" si="258"/>
        <v>584694.06455931941</v>
      </c>
      <c r="S429" s="8">
        <f t="shared" ca="1" si="258"/>
        <v>71226.367864498912</v>
      </c>
      <c r="T429" s="8">
        <f t="shared" ca="1" si="258"/>
        <v>973193.50806934014</v>
      </c>
      <c r="U429" s="8">
        <f t="shared" ca="1" si="258"/>
        <v>0</v>
      </c>
      <c r="V429" s="8">
        <f t="shared" ca="1" si="258"/>
        <v>20198.522230231036</v>
      </c>
      <c r="W429" s="27">
        <f t="shared" ca="1" si="240"/>
        <v>-3.7252902984619141E-9</v>
      </c>
      <c r="X429" s="3"/>
      <c r="Y429" s="3"/>
      <c r="Z429" s="3"/>
      <c r="AA429" s="3"/>
      <c r="AB429" s="3"/>
      <c r="AC429" s="3"/>
    </row>
    <row r="430" spans="1:29" x14ac:dyDescent="0.2">
      <c r="A430" s="3"/>
      <c r="B430" s="3"/>
      <c r="C430" s="3"/>
      <c r="D430" s="3"/>
      <c r="E430" s="4"/>
      <c r="F430" s="4"/>
      <c r="G430" s="4"/>
      <c r="H430" s="8"/>
      <c r="I430" s="8"/>
      <c r="J430" s="8"/>
      <c r="K430" s="8"/>
      <c r="L430" s="8"/>
      <c r="M430" s="3"/>
      <c r="N430" s="3"/>
      <c r="O430" s="3"/>
      <c r="P430" s="9">
        <f t="shared" si="248"/>
        <v>0</v>
      </c>
      <c r="Q430" s="3"/>
      <c r="R430" s="3"/>
      <c r="S430" s="3"/>
      <c r="T430" s="3"/>
      <c r="U430" s="3"/>
      <c r="V430" s="3"/>
      <c r="W430" s="27" t="str">
        <f t="shared" si="240"/>
        <v>OK</v>
      </c>
      <c r="X430" s="3"/>
      <c r="Y430" s="3"/>
      <c r="Z430" s="3"/>
      <c r="AA430" s="3"/>
      <c r="AB430" s="3"/>
      <c r="AC430" s="3"/>
    </row>
    <row r="431" spans="1:29" x14ac:dyDescent="0.2">
      <c r="A431" s="3"/>
      <c r="B431" s="3"/>
      <c r="C431" s="3"/>
      <c r="D431" s="3"/>
      <c r="E431" s="4"/>
      <c r="F431" s="4"/>
      <c r="G431" s="4"/>
      <c r="H431" s="8"/>
      <c r="I431" s="8"/>
      <c r="J431" s="8"/>
      <c r="K431" s="8"/>
      <c r="L431" s="8"/>
      <c r="M431" s="3"/>
      <c r="N431" s="3"/>
      <c r="O431" s="3"/>
      <c r="P431" s="9">
        <f t="shared" si="248"/>
        <v>0</v>
      </c>
      <c r="Q431" s="3"/>
      <c r="R431" s="3"/>
      <c r="S431" s="3"/>
      <c r="T431" s="3"/>
      <c r="U431" s="3"/>
      <c r="V431" s="3"/>
      <c r="W431" s="27" t="str">
        <f t="shared" si="240"/>
        <v>OK</v>
      </c>
      <c r="X431" s="3"/>
      <c r="Y431" s="3"/>
      <c r="Z431" s="3"/>
      <c r="AA431" s="3"/>
      <c r="AB431" s="3"/>
      <c r="AC431" s="3"/>
    </row>
    <row r="432" spans="1:29" x14ac:dyDescent="0.2">
      <c r="A432" s="3"/>
      <c r="B432" s="7" t="s">
        <v>272</v>
      </c>
      <c r="C432" s="18"/>
      <c r="D432" s="18"/>
      <c r="E432" s="4"/>
      <c r="F432" s="4"/>
      <c r="G432" s="4"/>
      <c r="H432" s="22"/>
      <c r="I432" s="22"/>
      <c r="J432" s="22"/>
      <c r="K432" s="22"/>
      <c r="L432" s="22"/>
      <c r="M432" s="3"/>
      <c r="N432" s="3"/>
      <c r="O432" s="3"/>
      <c r="P432" s="9">
        <f t="shared" si="248"/>
        <v>0</v>
      </c>
      <c r="Q432" s="3"/>
      <c r="R432" s="3"/>
      <c r="S432" s="3"/>
      <c r="T432" s="3"/>
      <c r="U432" s="3"/>
      <c r="V432" s="3"/>
      <c r="W432" s="27" t="str">
        <f t="shared" si="240"/>
        <v>OK</v>
      </c>
      <c r="X432" s="3"/>
      <c r="Y432" s="3"/>
      <c r="Z432" s="3"/>
      <c r="AA432" s="3"/>
      <c r="AB432" s="3"/>
      <c r="AC432" s="3"/>
    </row>
    <row r="433" spans="1:29" x14ac:dyDescent="0.2">
      <c r="A433" s="3"/>
      <c r="B433" s="3"/>
      <c r="C433" s="3"/>
      <c r="D433" s="3"/>
      <c r="E433" s="4"/>
      <c r="F433" s="4"/>
      <c r="G433" s="4"/>
      <c r="H433" s="8"/>
      <c r="I433" s="8"/>
      <c r="J433" s="8"/>
      <c r="K433" s="8"/>
      <c r="L433" s="8"/>
      <c r="M433" s="3"/>
      <c r="N433" s="3"/>
      <c r="O433" s="3"/>
      <c r="P433" s="9">
        <f t="shared" si="248"/>
        <v>0</v>
      </c>
      <c r="Q433" s="3"/>
      <c r="R433" s="3"/>
      <c r="S433" s="3"/>
      <c r="T433" s="3"/>
      <c r="U433" s="3"/>
      <c r="V433" s="3"/>
      <c r="W433" s="27" t="str">
        <f t="shared" si="240"/>
        <v>OK</v>
      </c>
      <c r="X433" s="3"/>
      <c r="Y433" s="3"/>
      <c r="Z433" s="3"/>
      <c r="AA433" s="3"/>
      <c r="AB433" s="3"/>
      <c r="AC433" s="3"/>
    </row>
    <row r="434" spans="1:29" x14ac:dyDescent="0.2">
      <c r="A434" s="3">
        <v>1</v>
      </c>
      <c r="B434" s="3" t="s">
        <v>273</v>
      </c>
      <c r="C434" s="3"/>
      <c r="D434" s="3"/>
      <c r="E434" s="4"/>
      <c r="F434" s="4"/>
      <c r="G434" s="4"/>
      <c r="H434" s="8"/>
      <c r="I434" s="8"/>
      <c r="J434" s="8"/>
      <c r="K434" s="8"/>
      <c r="L434" s="8"/>
      <c r="M434" s="3"/>
      <c r="N434" s="3"/>
      <c r="O434" s="3"/>
      <c r="P434" s="9">
        <f t="shared" si="248"/>
        <v>0</v>
      </c>
      <c r="Q434" s="3"/>
      <c r="R434" s="3"/>
      <c r="S434" s="3"/>
      <c r="T434" s="3"/>
      <c r="U434" s="3"/>
      <c r="V434" s="3"/>
      <c r="W434" s="27" t="str">
        <f t="shared" si="240"/>
        <v>OK</v>
      </c>
      <c r="X434" s="3"/>
      <c r="Y434" s="3"/>
      <c r="Z434" s="3"/>
      <c r="AA434" s="3"/>
      <c r="AB434" s="3"/>
      <c r="AC434" s="3"/>
    </row>
    <row r="435" spans="1:29" x14ac:dyDescent="0.2">
      <c r="A435" s="3">
        <f t="shared" ref="A435:A445" si="259">1+A434</f>
        <v>2</v>
      </c>
      <c r="B435" s="3" t="s">
        <v>147</v>
      </c>
      <c r="C435" s="3" t="s">
        <v>148</v>
      </c>
      <c r="D435" s="176" t="str">
        <f>B435</f>
        <v>A556</v>
      </c>
      <c r="E435" s="4" t="s">
        <v>591</v>
      </c>
      <c r="F435" s="11"/>
      <c r="G435" s="11"/>
      <c r="H435" s="2">
        <f>'II-I TOTAL COMPANY'!L435</f>
        <v>0</v>
      </c>
      <c r="I435" s="66">
        <v>0</v>
      </c>
      <c r="J435" s="66">
        <f t="shared" ref="J435:J437" si="260">SUM(K435:V435)-M435-P435</f>
        <v>0</v>
      </c>
      <c r="K435" s="12">
        <f>IF(+$H316&lt;&gt;0,$H435*(+K316/$H316),0)</f>
        <v>0</v>
      </c>
      <c r="L435" s="12">
        <f>IF(+$H316&lt;&gt;0,$H435*(+L316/$H316),0)</f>
        <v>0</v>
      </c>
      <c r="M435" s="9">
        <f>SUM(N435:O435)</f>
        <v>0</v>
      </c>
      <c r="N435" s="12">
        <f>IF(+$H316&lt;&gt;0,$H435*(+N316/$H316),0)</f>
        <v>0</v>
      </c>
      <c r="O435" s="12">
        <f>IF(+$H316&lt;&gt;0,$H435*(+O316/$H316),0)</f>
        <v>0</v>
      </c>
      <c r="P435" s="9">
        <f t="shared" si="248"/>
        <v>0</v>
      </c>
      <c r="Q435" s="12">
        <f t="shared" ref="Q435:V436" si="261">IF(+$H316&lt;&gt;0,$H435*(+Q316/$H316),0)</f>
        <v>0</v>
      </c>
      <c r="R435" s="12">
        <f t="shared" si="261"/>
        <v>0</v>
      </c>
      <c r="S435" s="12">
        <f>IF(+$H316&lt;&gt;0,$H435*(+S316/$H316),0)</f>
        <v>0</v>
      </c>
      <c r="T435" s="12">
        <f t="shared" si="261"/>
        <v>0</v>
      </c>
      <c r="U435" s="12">
        <f t="shared" si="261"/>
        <v>0</v>
      </c>
      <c r="V435" s="12">
        <f t="shared" si="261"/>
        <v>0</v>
      </c>
      <c r="W435" s="27" t="str">
        <f t="shared" si="240"/>
        <v>OK</v>
      </c>
      <c r="X435" s="3"/>
      <c r="Y435" s="3"/>
      <c r="Z435" s="3"/>
      <c r="AA435" s="3"/>
      <c r="AB435" s="3"/>
      <c r="AC435" s="3"/>
    </row>
    <row r="436" spans="1:29" x14ac:dyDescent="0.2">
      <c r="A436" s="3">
        <f t="shared" si="259"/>
        <v>3</v>
      </c>
      <c r="B436" s="3" t="s">
        <v>149</v>
      </c>
      <c r="C436" s="3" t="s">
        <v>150</v>
      </c>
      <c r="D436" s="176" t="str">
        <f>B436</f>
        <v>A557</v>
      </c>
      <c r="E436" s="4" t="s">
        <v>591</v>
      </c>
      <c r="F436" s="11"/>
      <c r="G436" s="11"/>
      <c r="H436" s="2">
        <f>'II-I TOTAL COMPANY'!L436</f>
        <v>0</v>
      </c>
      <c r="I436" s="66">
        <v>0</v>
      </c>
      <c r="J436" s="66">
        <f t="shared" si="260"/>
        <v>0</v>
      </c>
      <c r="K436" s="12">
        <f>IF(+$H317&lt;&gt;0,$H436*(+K317/$H317),0)</f>
        <v>0</v>
      </c>
      <c r="L436" s="12">
        <f>IF(+$H317&lt;&gt;0,$H436*(+L317/$H317),0)</f>
        <v>0</v>
      </c>
      <c r="M436" s="9">
        <f>SUM(N436:O436)</f>
        <v>0</v>
      </c>
      <c r="N436" s="12">
        <f>IF(+$H317&lt;&gt;0,$H436*(+N317/$H317),0)</f>
        <v>0</v>
      </c>
      <c r="O436" s="12">
        <f>IF(+$H317&lt;&gt;0,$H436*(+O317/$H317),0)</f>
        <v>0</v>
      </c>
      <c r="P436" s="9">
        <f t="shared" si="248"/>
        <v>0</v>
      </c>
      <c r="Q436" s="12">
        <f t="shared" si="261"/>
        <v>0</v>
      </c>
      <c r="R436" s="12">
        <f t="shared" si="261"/>
        <v>0</v>
      </c>
      <c r="S436" s="12">
        <f>IF(+$H317&lt;&gt;0,$H436*(+S317/$H317),0)</f>
        <v>0</v>
      </c>
      <c r="T436" s="12">
        <f t="shared" si="261"/>
        <v>0</v>
      </c>
      <c r="U436" s="12">
        <f t="shared" si="261"/>
        <v>0</v>
      </c>
      <c r="V436" s="12">
        <f t="shared" si="261"/>
        <v>0</v>
      </c>
      <c r="W436" s="27" t="str">
        <f t="shared" si="240"/>
        <v>OK</v>
      </c>
      <c r="X436" s="3"/>
      <c r="Y436" s="3"/>
      <c r="Z436" s="3"/>
      <c r="AA436" s="3"/>
      <c r="AB436" s="3"/>
      <c r="AC436" s="3"/>
    </row>
    <row r="437" spans="1:29" x14ac:dyDescent="0.2">
      <c r="A437" s="3">
        <f t="shared" si="259"/>
        <v>4</v>
      </c>
      <c r="B437" s="3"/>
      <c r="C437" s="3" t="s">
        <v>308</v>
      </c>
      <c r="D437" s="3"/>
      <c r="E437" s="4"/>
      <c r="F437" s="8"/>
      <c r="G437" s="8"/>
      <c r="H437" s="8">
        <f t="shared" ref="H437:V437" si="262">SUM(H435:H436)</f>
        <v>0</v>
      </c>
      <c r="I437" s="8">
        <f t="shared" si="262"/>
        <v>0</v>
      </c>
      <c r="J437" s="66">
        <f t="shared" si="260"/>
        <v>0</v>
      </c>
      <c r="K437" s="8">
        <f t="shared" si="262"/>
        <v>0</v>
      </c>
      <c r="L437" s="8">
        <f t="shared" si="262"/>
        <v>0</v>
      </c>
      <c r="M437" s="9">
        <f>SUM(N437:O437)</f>
        <v>0</v>
      </c>
      <c r="N437" s="8">
        <f t="shared" si="262"/>
        <v>0</v>
      </c>
      <c r="O437" s="8">
        <f t="shared" si="262"/>
        <v>0</v>
      </c>
      <c r="P437" s="9">
        <f t="shared" si="248"/>
        <v>0</v>
      </c>
      <c r="Q437" s="8">
        <f t="shared" si="262"/>
        <v>0</v>
      </c>
      <c r="R437" s="8">
        <f t="shared" si="262"/>
        <v>0</v>
      </c>
      <c r="S437" s="8">
        <f>SUM(S435:S436)</f>
        <v>0</v>
      </c>
      <c r="T437" s="8">
        <f t="shared" si="262"/>
        <v>0</v>
      </c>
      <c r="U437" s="8">
        <f t="shared" si="262"/>
        <v>0</v>
      </c>
      <c r="V437" s="8">
        <f t="shared" si="262"/>
        <v>0</v>
      </c>
      <c r="W437" s="27" t="str">
        <f t="shared" si="240"/>
        <v>OK</v>
      </c>
      <c r="X437" s="3"/>
      <c r="Y437" s="3"/>
      <c r="Z437" s="3"/>
      <c r="AA437" s="3"/>
      <c r="AB437" s="3"/>
      <c r="AC437" s="3"/>
    </row>
    <row r="438" spans="1:29" x14ac:dyDescent="0.2">
      <c r="A438" s="3">
        <f t="shared" si="259"/>
        <v>5</v>
      </c>
      <c r="B438" s="3"/>
      <c r="C438" s="3"/>
      <c r="D438" s="3"/>
      <c r="E438" s="4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9">
        <f t="shared" si="248"/>
        <v>0</v>
      </c>
      <c r="Q438" s="8"/>
      <c r="R438" s="8"/>
      <c r="S438" s="8"/>
      <c r="T438" s="8"/>
      <c r="U438" s="8"/>
      <c r="V438" s="8"/>
      <c r="W438" s="27" t="str">
        <f t="shared" si="240"/>
        <v>OK</v>
      </c>
      <c r="X438" s="3"/>
      <c r="Y438" s="3"/>
      <c r="Z438" s="3"/>
      <c r="AA438" s="3"/>
      <c r="AB438" s="3"/>
      <c r="AC438" s="3"/>
    </row>
    <row r="439" spans="1:29" x14ac:dyDescent="0.2">
      <c r="A439" s="3">
        <f t="shared" si="259"/>
        <v>6</v>
      </c>
      <c r="B439" s="3"/>
      <c r="C439" s="3" t="s">
        <v>275</v>
      </c>
      <c r="D439" s="3"/>
      <c r="E439" s="4"/>
      <c r="F439" s="8"/>
      <c r="G439" s="8"/>
      <c r="H439" s="8">
        <f t="shared" ref="H439:V439" si="263">+H437</f>
        <v>0</v>
      </c>
      <c r="I439" s="8">
        <v>0</v>
      </c>
      <c r="J439" s="66">
        <f t="shared" ref="J439" si="264">SUM(K439:V439)-M439-P439</f>
        <v>0</v>
      </c>
      <c r="K439" s="8">
        <f t="shared" si="263"/>
        <v>0</v>
      </c>
      <c r="L439" s="8">
        <f>+L437</f>
        <v>0</v>
      </c>
      <c r="M439" s="9">
        <f>SUM(N439:O439)</f>
        <v>0</v>
      </c>
      <c r="N439" s="8">
        <f t="shared" si="263"/>
        <v>0</v>
      </c>
      <c r="O439" s="8">
        <f t="shared" si="263"/>
        <v>0</v>
      </c>
      <c r="P439" s="9">
        <f t="shared" si="248"/>
        <v>0</v>
      </c>
      <c r="Q439" s="8">
        <f t="shared" si="263"/>
        <v>0</v>
      </c>
      <c r="R439" s="8">
        <f t="shared" si="263"/>
        <v>0</v>
      </c>
      <c r="S439" s="8">
        <f>+S437</f>
        <v>0</v>
      </c>
      <c r="T439" s="8">
        <f t="shared" si="263"/>
        <v>0</v>
      </c>
      <c r="U439" s="8">
        <f t="shared" si="263"/>
        <v>0</v>
      </c>
      <c r="V439" s="8">
        <f t="shared" si="263"/>
        <v>0</v>
      </c>
      <c r="W439" s="27" t="str">
        <f t="shared" si="240"/>
        <v>OK</v>
      </c>
      <c r="X439" s="3"/>
      <c r="Y439" s="3"/>
      <c r="Z439" s="3"/>
      <c r="AA439" s="3"/>
      <c r="AB439" s="3"/>
      <c r="AC439" s="3"/>
    </row>
    <row r="440" spans="1:29" x14ac:dyDescent="0.2">
      <c r="A440" s="3">
        <f t="shared" si="259"/>
        <v>7</v>
      </c>
      <c r="B440" s="3"/>
      <c r="C440" s="3"/>
      <c r="D440" s="3"/>
      <c r="E440" s="4"/>
      <c r="F440" s="4"/>
      <c r="G440" s="4"/>
      <c r="H440" s="8"/>
      <c r="I440" s="8"/>
      <c r="J440" s="8"/>
      <c r="K440" s="8"/>
      <c r="L440" s="8"/>
      <c r="M440" s="3"/>
      <c r="N440" s="3"/>
      <c r="O440" s="3"/>
      <c r="P440" s="9">
        <f t="shared" si="248"/>
        <v>0</v>
      </c>
      <c r="Q440" s="3"/>
      <c r="R440" s="3"/>
      <c r="S440" s="3"/>
      <c r="T440" s="3"/>
      <c r="U440" s="3"/>
      <c r="V440" s="3"/>
      <c r="W440" s="27" t="str">
        <f t="shared" si="240"/>
        <v>OK</v>
      </c>
      <c r="X440" s="3"/>
      <c r="Y440" s="3"/>
      <c r="Z440" s="3"/>
      <c r="AA440" s="3"/>
      <c r="AB440" s="3"/>
      <c r="AC440" s="3"/>
    </row>
    <row r="441" spans="1:29" x14ac:dyDescent="0.2">
      <c r="A441" s="3">
        <f t="shared" si="259"/>
        <v>8</v>
      </c>
      <c r="B441" s="3"/>
      <c r="C441" s="3"/>
      <c r="D441" s="3"/>
      <c r="E441" s="4"/>
      <c r="F441" s="4"/>
      <c r="G441" s="4"/>
      <c r="H441" s="8"/>
      <c r="I441" s="8"/>
      <c r="J441" s="8"/>
      <c r="K441" s="8"/>
      <c r="L441" s="8"/>
      <c r="M441" s="3"/>
      <c r="N441" s="3"/>
      <c r="O441" s="3"/>
      <c r="P441" s="9">
        <f t="shared" si="248"/>
        <v>0</v>
      </c>
      <c r="Q441" s="3"/>
      <c r="R441" s="3"/>
      <c r="S441" s="3"/>
      <c r="T441" s="3"/>
      <c r="U441" s="3"/>
      <c r="V441" s="3"/>
      <c r="W441" s="27" t="str">
        <f t="shared" si="240"/>
        <v>OK</v>
      </c>
      <c r="X441" s="3"/>
      <c r="Y441" s="3"/>
      <c r="Z441" s="3"/>
      <c r="AA441" s="3"/>
      <c r="AB441" s="3"/>
      <c r="AC441" s="3"/>
    </row>
    <row r="442" spans="1:29" x14ac:dyDescent="0.2">
      <c r="A442" s="3">
        <f t="shared" si="259"/>
        <v>9</v>
      </c>
      <c r="B442" s="7" t="s">
        <v>274</v>
      </c>
      <c r="C442" s="3"/>
      <c r="D442" s="3"/>
      <c r="E442" s="4"/>
      <c r="F442" s="4"/>
      <c r="G442" s="4"/>
      <c r="H442" s="8"/>
      <c r="I442" s="8"/>
      <c r="J442" s="8"/>
      <c r="K442" s="8"/>
      <c r="L442" s="8"/>
      <c r="M442" s="3"/>
      <c r="N442" s="3"/>
      <c r="O442" s="3"/>
      <c r="P442" s="9">
        <f t="shared" si="248"/>
        <v>0</v>
      </c>
      <c r="Q442" s="3"/>
      <c r="R442" s="3"/>
      <c r="S442" s="3"/>
      <c r="T442" s="3"/>
      <c r="U442" s="3"/>
      <c r="V442" s="3"/>
      <c r="W442" s="27" t="str">
        <f t="shared" si="240"/>
        <v>OK</v>
      </c>
      <c r="X442" s="3"/>
      <c r="Y442" s="3"/>
      <c r="Z442" s="3"/>
      <c r="AA442" s="3"/>
      <c r="AB442" s="3"/>
      <c r="AC442" s="3"/>
    </row>
    <row r="443" spans="1:29" x14ac:dyDescent="0.2">
      <c r="A443" s="3">
        <f t="shared" si="259"/>
        <v>10</v>
      </c>
      <c r="B443" s="7"/>
      <c r="C443" s="3"/>
      <c r="D443" s="3"/>
      <c r="E443" s="4"/>
      <c r="F443" s="4"/>
      <c r="G443" s="4"/>
      <c r="H443" s="8"/>
      <c r="I443" s="8"/>
      <c r="J443" s="8"/>
      <c r="K443" s="8"/>
      <c r="L443" s="8"/>
      <c r="M443" s="3"/>
      <c r="N443" s="3"/>
      <c r="O443" s="3"/>
      <c r="P443" s="9">
        <f t="shared" si="248"/>
        <v>0</v>
      </c>
      <c r="Q443" s="3"/>
      <c r="R443" s="3"/>
      <c r="S443" s="3"/>
      <c r="T443" s="3"/>
      <c r="U443" s="3"/>
      <c r="V443" s="3"/>
      <c r="W443" s="27" t="str">
        <f t="shared" si="240"/>
        <v>OK</v>
      </c>
      <c r="X443" s="3"/>
      <c r="Y443" s="3"/>
      <c r="Z443" s="3"/>
      <c r="AA443" s="3"/>
      <c r="AB443" s="3"/>
      <c r="AC443" s="3"/>
    </row>
    <row r="444" spans="1:29" x14ac:dyDescent="0.2">
      <c r="A444" s="3">
        <f t="shared" si="259"/>
        <v>11</v>
      </c>
      <c r="B444" s="3" t="s">
        <v>276</v>
      </c>
      <c r="C444" s="3"/>
      <c r="D444" s="3"/>
      <c r="E444" s="4"/>
      <c r="F444" s="4"/>
      <c r="G444" s="4"/>
      <c r="H444" s="8"/>
      <c r="I444" s="8"/>
      <c r="J444" s="8"/>
      <c r="K444" s="8"/>
      <c r="L444" s="8"/>
      <c r="M444" s="3"/>
      <c r="N444" s="3"/>
      <c r="O444" s="3"/>
      <c r="P444" s="9">
        <f t="shared" si="248"/>
        <v>0</v>
      </c>
      <c r="Q444" s="3"/>
      <c r="R444" s="3"/>
      <c r="S444" s="3"/>
      <c r="T444" s="3"/>
      <c r="U444" s="3"/>
      <c r="V444" s="3"/>
      <c r="W444" s="27" t="str">
        <f t="shared" si="240"/>
        <v>OK</v>
      </c>
      <c r="X444" s="3"/>
      <c r="Y444" s="3"/>
      <c r="Z444" s="3"/>
      <c r="AA444" s="3"/>
      <c r="AB444" s="3"/>
      <c r="AC444" s="3"/>
    </row>
    <row r="445" spans="1:29" x14ac:dyDescent="0.2">
      <c r="A445" s="3">
        <f t="shared" si="259"/>
        <v>12</v>
      </c>
      <c r="B445" s="3"/>
      <c r="C445" s="3" t="s">
        <v>140</v>
      </c>
      <c r="D445" s="3"/>
      <c r="E445" s="4"/>
      <c r="F445" s="4"/>
      <c r="G445" s="4"/>
      <c r="H445" s="8"/>
      <c r="I445" s="8"/>
      <c r="J445" s="8"/>
      <c r="K445" s="8"/>
      <c r="L445" s="8"/>
      <c r="M445" s="3"/>
      <c r="N445" s="3"/>
      <c r="O445" s="3"/>
      <c r="P445" s="9">
        <f t="shared" si="248"/>
        <v>0</v>
      </c>
      <c r="Q445" s="3"/>
      <c r="R445" s="3"/>
      <c r="S445" s="3"/>
      <c r="T445" s="3"/>
      <c r="U445" s="3"/>
      <c r="V445" s="3"/>
      <c r="W445" s="27" t="str">
        <f t="shared" si="240"/>
        <v>OK</v>
      </c>
      <c r="X445" s="3"/>
      <c r="Y445" s="3"/>
      <c r="Z445" s="3"/>
      <c r="AA445" s="3"/>
      <c r="AB445" s="3"/>
      <c r="AC445" s="3"/>
    </row>
    <row r="446" spans="1:29" x14ac:dyDescent="0.2">
      <c r="A446" s="3">
        <f t="shared" ref="A446:A477" si="265">+A445+1</f>
        <v>13</v>
      </c>
      <c r="B446" s="3" t="s">
        <v>153</v>
      </c>
      <c r="C446" s="3" t="s">
        <v>145</v>
      </c>
      <c r="D446" s="176" t="str">
        <f t="shared" ref="D446:D453" si="266">B446</f>
        <v>A560</v>
      </c>
      <c r="E446" s="4" t="s">
        <v>591</v>
      </c>
      <c r="F446" s="11"/>
      <c r="G446" s="11"/>
      <c r="H446" s="2">
        <f>'II-I TOTAL COMPANY'!L446</f>
        <v>0</v>
      </c>
      <c r="I446" s="66">
        <v>0</v>
      </c>
      <c r="J446" s="66">
        <f t="shared" ref="J446:J454" si="267">SUM(K446:V446)-M446-P446</f>
        <v>0</v>
      </c>
      <c r="K446" s="12">
        <f t="shared" ref="K446:L451" si="268">IF(+$H326&lt;&gt;0,$H446*(+K326/$H326),0)</f>
        <v>0</v>
      </c>
      <c r="L446" s="12">
        <f t="shared" si="268"/>
        <v>0</v>
      </c>
      <c r="M446" s="9">
        <f t="shared" ref="M446:M454" si="269">SUM(N446:O446)</f>
        <v>0</v>
      </c>
      <c r="N446" s="12">
        <f t="shared" ref="N446:O451" si="270">IF(+$H326&lt;&gt;0,$H446*(+N326/$H326),0)</f>
        <v>0</v>
      </c>
      <c r="O446" s="12">
        <f t="shared" si="270"/>
        <v>0</v>
      </c>
      <c r="P446" s="9">
        <f t="shared" si="248"/>
        <v>0</v>
      </c>
      <c r="Q446" s="12">
        <f t="shared" ref="Q446:V451" si="271">IF(+$H326&lt;&gt;0,$H446*(+Q326/$H326),0)</f>
        <v>0</v>
      </c>
      <c r="R446" s="12">
        <f t="shared" si="271"/>
        <v>0</v>
      </c>
      <c r="S446" s="12">
        <f t="shared" ref="S446:S451" si="272">IF(+$H326&lt;&gt;0,$H446*(+S326/$H326),0)</f>
        <v>0</v>
      </c>
      <c r="T446" s="12">
        <f t="shared" si="271"/>
        <v>0</v>
      </c>
      <c r="U446" s="12">
        <f t="shared" si="271"/>
        <v>0</v>
      </c>
      <c r="V446" s="12">
        <f t="shared" si="271"/>
        <v>0</v>
      </c>
      <c r="W446" s="27" t="str">
        <f t="shared" si="240"/>
        <v>OK</v>
      </c>
      <c r="X446" s="3"/>
      <c r="Y446" s="3"/>
      <c r="Z446" s="3"/>
      <c r="AA446" s="3"/>
      <c r="AB446" s="3"/>
      <c r="AC446" s="3"/>
    </row>
    <row r="447" spans="1:29" x14ac:dyDescent="0.2">
      <c r="A447" s="3">
        <f t="shared" si="265"/>
        <v>14</v>
      </c>
      <c r="B447" s="3" t="s">
        <v>154</v>
      </c>
      <c r="C447" s="3" t="s">
        <v>155</v>
      </c>
      <c r="D447" s="176" t="str">
        <f t="shared" si="266"/>
        <v>A561</v>
      </c>
      <c r="E447" s="4" t="s">
        <v>591</v>
      </c>
      <c r="F447" s="11"/>
      <c r="G447" s="11"/>
      <c r="H447" s="2">
        <f>'II-I TOTAL COMPANY'!L447</f>
        <v>0</v>
      </c>
      <c r="I447" s="66">
        <v>0</v>
      </c>
      <c r="J447" s="66">
        <f t="shared" si="267"/>
        <v>0</v>
      </c>
      <c r="K447" s="12">
        <f t="shared" si="268"/>
        <v>0</v>
      </c>
      <c r="L447" s="12">
        <f t="shared" si="268"/>
        <v>0</v>
      </c>
      <c r="M447" s="9">
        <f t="shared" si="269"/>
        <v>0</v>
      </c>
      <c r="N447" s="12">
        <f t="shared" si="270"/>
        <v>0</v>
      </c>
      <c r="O447" s="12">
        <f t="shared" si="270"/>
        <v>0</v>
      </c>
      <c r="P447" s="9">
        <f t="shared" si="248"/>
        <v>0</v>
      </c>
      <c r="Q447" s="12">
        <f t="shared" si="271"/>
        <v>0</v>
      </c>
      <c r="R447" s="12">
        <f t="shared" si="271"/>
        <v>0</v>
      </c>
      <c r="S447" s="12">
        <f t="shared" si="272"/>
        <v>0</v>
      </c>
      <c r="T447" s="12">
        <f t="shared" si="271"/>
        <v>0</v>
      </c>
      <c r="U447" s="12">
        <f t="shared" si="271"/>
        <v>0</v>
      </c>
      <c r="V447" s="12">
        <f t="shared" si="271"/>
        <v>0</v>
      </c>
      <c r="W447" s="27" t="str">
        <f t="shared" si="240"/>
        <v>OK</v>
      </c>
      <c r="X447" s="3"/>
      <c r="Y447" s="3"/>
      <c r="Z447" s="3"/>
      <c r="AA447" s="3"/>
      <c r="AB447" s="3"/>
      <c r="AC447" s="3"/>
    </row>
    <row r="448" spans="1:29" x14ac:dyDescent="0.2">
      <c r="A448" s="3">
        <f t="shared" si="265"/>
        <v>15</v>
      </c>
      <c r="B448" s="3" t="s">
        <v>156</v>
      </c>
      <c r="C448" s="3" t="s">
        <v>38</v>
      </c>
      <c r="D448" s="176" t="str">
        <f t="shared" si="266"/>
        <v>A562</v>
      </c>
      <c r="E448" s="4" t="s">
        <v>591</v>
      </c>
      <c r="F448" s="11"/>
      <c r="G448" s="11"/>
      <c r="H448" s="2">
        <f>'II-I TOTAL COMPANY'!L448</f>
        <v>0</v>
      </c>
      <c r="I448" s="66">
        <v>0</v>
      </c>
      <c r="J448" s="66">
        <f t="shared" si="267"/>
        <v>0</v>
      </c>
      <c r="K448" s="12">
        <f t="shared" si="268"/>
        <v>0</v>
      </c>
      <c r="L448" s="12">
        <f t="shared" si="268"/>
        <v>0</v>
      </c>
      <c r="M448" s="9">
        <f t="shared" si="269"/>
        <v>0</v>
      </c>
      <c r="N448" s="12">
        <f t="shared" si="270"/>
        <v>0</v>
      </c>
      <c r="O448" s="12">
        <f t="shared" si="270"/>
        <v>0</v>
      </c>
      <c r="P448" s="9">
        <f t="shared" si="248"/>
        <v>0</v>
      </c>
      <c r="Q448" s="12">
        <f t="shared" si="271"/>
        <v>0</v>
      </c>
      <c r="R448" s="12">
        <f t="shared" si="271"/>
        <v>0</v>
      </c>
      <c r="S448" s="12">
        <f t="shared" si="272"/>
        <v>0</v>
      </c>
      <c r="T448" s="12">
        <f t="shared" si="271"/>
        <v>0</v>
      </c>
      <c r="U448" s="12">
        <f t="shared" si="271"/>
        <v>0</v>
      </c>
      <c r="V448" s="12">
        <f t="shared" si="271"/>
        <v>0</v>
      </c>
      <c r="W448" s="27" t="str">
        <f t="shared" si="240"/>
        <v>OK</v>
      </c>
      <c r="X448" s="3"/>
      <c r="Y448" s="3"/>
      <c r="Z448" s="3"/>
      <c r="AA448" s="3"/>
      <c r="AB448" s="3"/>
      <c r="AC448" s="3"/>
    </row>
    <row r="449" spans="1:29" x14ac:dyDescent="0.2">
      <c r="A449" s="3">
        <f t="shared" si="265"/>
        <v>16</v>
      </c>
      <c r="B449" s="3" t="s">
        <v>157</v>
      </c>
      <c r="C449" s="3" t="s">
        <v>158</v>
      </c>
      <c r="D449" s="176" t="str">
        <f t="shared" si="266"/>
        <v>A563</v>
      </c>
      <c r="E449" s="4" t="s">
        <v>591</v>
      </c>
      <c r="F449" s="11"/>
      <c r="G449" s="11"/>
      <c r="H449" s="2">
        <f>'II-I TOTAL COMPANY'!L449</f>
        <v>0</v>
      </c>
      <c r="I449" s="66">
        <v>0</v>
      </c>
      <c r="J449" s="66">
        <f t="shared" si="267"/>
        <v>0</v>
      </c>
      <c r="K449" s="12">
        <f t="shared" si="268"/>
        <v>0</v>
      </c>
      <c r="L449" s="12">
        <f t="shared" si="268"/>
        <v>0</v>
      </c>
      <c r="M449" s="9">
        <f t="shared" si="269"/>
        <v>0</v>
      </c>
      <c r="N449" s="12">
        <f t="shared" si="270"/>
        <v>0</v>
      </c>
      <c r="O449" s="12">
        <f t="shared" si="270"/>
        <v>0</v>
      </c>
      <c r="P449" s="9">
        <f t="shared" si="248"/>
        <v>0</v>
      </c>
      <c r="Q449" s="12">
        <f t="shared" si="271"/>
        <v>0</v>
      </c>
      <c r="R449" s="12">
        <f t="shared" si="271"/>
        <v>0</v>
      </c>
      <c r="S449" s="12">
        <f t="shared" si="272"/>
        <v>0</v>
      </c>
      <c r="T449" s="12">
        <f t="shared" si="271"/>
        <v>0</v>
      </c>
      <c r="U449" s="12">
        <f t="shared" si="271"/>
        <v>0</v>
      </c>
      <c r="V449" s="12">
        <f t="shared" si="271"/>
        <v>0</v>
      </c>
      <c r="W449" s="27" t="str">
        <f t="shared" si="240"/>
        <v>OK</v>
      </c>
      <c r="X449" s="3"/>
      <c r="Y449" s="3"/>
      <c r="Z449" s="3"/>
      <c r="AA449" s="3"/>
      <c r="AB449" s="3"/>
      <c r="AC449" s="3"/>
    </row>
    <row r="450" spans="1:29" x14ac:dyDescent="0.2">
      <c r="A450" s="3">
        <f t="shared" si="265"/>
        <v>17</v>
      </c>
      <c r="B450" s="3" t="s">
        <v>159</v>
      </c>
      <c r="C450" s="3" t="s">
        <v>160</v>
      </c>
      <c r="D450" s="176" t="str">
        <f t="shared" si="266"/>
        <v>A564</v>
      </c>
      <c r="E450" s="4" t="s">
        <v>591</v>
      </c>
      <c r="F450" s="11"/>
      <c r="G450" s="11"/>
      <c r="H450" s="2">
        <f>'II-I TOTAL COMPANY'!L450</f>
        <v>0</v>
      </c>
      <c r="I450" s="66">
        <v>0</v>
      </c>
      <c r="J450" s="66">
        <f t="shared" si="267"/>
        <v>0</v>
      </c>
      <c r="K450" s="12">
        <f t="shared" si="268"/>
        <v>0</v>
      </c>
      <c r="L450" s="12">
        <f t="shared" si="268"/>
        <v>0</v>
      </c>
      <c r="M450" s="9">
        <f t="shared" si="269"/>
        <v>0</v>
      </c>
      <c r="N450" s="12">
        <f t="shared" si="270"/>
        <v>0</v>
      </c>
      <c r="O450" s="12">
        <f t="shared" si="270"/>
        <v>0</v>
      </c>
      <c r="P450" s="9">
        <f t="shared" si="248"/>
        <v>0</v>
      </c>
      <c r="Q450" s="12">
        <f t="shared" si="271"/>
        <v>0</v>
      </c>
      <c r="R450" s="12">
        <f t="shared" si="271"/>
        <v>0</v>
      </c>
      <c r="S450" s="12">
        <f t="shared" si="272"/>
        <v>0</v>
      </c>
      <c r="T450" s="12">
        <f t="shared" si="271"/>
        <v>0</v>
      </c>
      <c r="U450" s="12">
        <f t="shared" si="271"/>
        <v>0</v>
      </c>
      <c r="V450" s="12">
        <f t="shared" si="271"/>
        <v>0</v>
      </c>
      <c r="W450" s="27" t="str">
        <f t="shared" si="240"/>
        <v>OK</v>
      </c>
      <c r="X450" s="3"/>
      <c r="Y450" s="3"/>
      <c r="Z450" s="3"/>
      <c r="AA450" s="3"/>
      <c r="AB450" s="3"/>
      <c r="AC450" s="3"/>
    </row>
    <row r="451" spans="1:29" x14ac:dyDescent="0.2">
      <c r="A451" s="3">
        <f t="shared" si="265"/>
        <v>18</v>
      </c>
      <c r="B451" s="3" t="s">
        <v>161</v>
      </c>
      <c r="C451" s="3" t="s">
        <v>277</v>
      </c>
      <c r="D451" s="176" t="str">
        <f t="shared" si="266"/>
        <v>A565</v>
      </c>
      <c r="E451" s="4" t="s">
        <v>591</v>
      </c>
      <c r="F451" s="11"/>
      <c r="G451" s="11"/>
      <c r="H451" s="2">
        <f>'II-I TOTAL COMPANY'!L451</f>
        <v>0</v>
      </c>
      <c r="I451" s="66">
        <v>0</v>
      </c>
      <c r="J451" s="66">
        <f t="shared" si="267"/>
        <v>0</v>
      </c>
      <c r="K451" s="12">
        <f t="shared" si="268"/>
        <v>0</v>
      </c>
      <c r="L451" s="12">
        <f t="shared" si="268"/>
        <v>0</v>
      </c>
      <c r="M451" s="9">
        <f t="shared" si="269"/>
        <v>0</v>
      </c>
      <c r="N451" s="12">
        <f t="shared" si="270"/>
        <v>0</v>
      </c>
      <c r="O451" s="12">
        <f t="shared" si="270"/>
        <v>0</v>
      </c>
      <c r="P451" s="9">
        <f t="shared" si="248"/>
        <v>0</v>
      </c>
      <c r="Q451" s="12">
        <f t="shared" si="271"/>
        <v>0</v>
      </c>
      <c r="R451" s="12">
        <f t="shared" si="271"/>
        <v>0</v>
      </c>
      <c r="S451" s="12">
        <f t="shared" si="272"/>
        <v>0</v>
      </c>
      <c r="T451" s="12">
        <f t="shared" si="271"/>
        <v>0</v>
      </c>
      <c r="U451" s="12">
        <f t="shared" si="271"/>
        <v>0</v>
      </c>
      <c r="V451" s="12">
        <f t="shared" si="271"/>
        <v>0</v>
      </c>
      <c r="W451" s="27" t="str">
        <f t="shared" si="240"/>
        <v>OK</v>
      </c>
      <c r="X451" s="3"/>
      <c r="Y451" s="3"/>
      <c r="Z451" s="3"/>
      <c r="AA451" s="3"/>
      <c r="AB451" s="3"/>
      <c r="AC451" s="3"/>
    </row>
    <row r="452" spans="1:29" x14ac:dyDescent="0.2">
      <c r="A452" s="3">
        <f t="shared" si="265"/>
        <v>19</v>
      </c>
      <c r="B452" s="3" t="s">
        <v>162</v>
      </c>
      <c r="C452" s="3" t="s">
        <v>163</v>
      </c>
      <c r="D452" s="176" t="str">
        <f t="shared" si="266"/>
        <v>A566</v>
      </c>
      <c r="E452" s="4" t="s">
        <v>591</v>
      </c>
      <c r="F452" s="11"/>
      <c r="G452" s="11"/>
      <c r="H452" s="2">
        <f>'II-I TOTAL COMPANY'!L452</f>
        <v>0</v>
      </c>
      <c r="I452" s="66">
        <v>0</v>
      </c>
      <c r="J452" s="66">
        <f t="shared" si="267"/>
        <v>0</v>
      </c>
      <c r="K452" s="12">
        <f>IF(+$H333&lt;&gt;0,$H452*(+K333/$H333),0)</f>
        <v>0</v>
      </c>
      <c r="L452" s="12">
        <f>IF(+$H333&lt;&gt;0,$H452*(+L333/$H333),0)</f>
        <v>0</v>
      </c>
      <c r="M452" s="9">
        <f t="shared" si="269"/>
        <v>0</v>
      </c>
      <c r="N452" s="12">
        <f>IF(+$H333&lt;&gt;0,$H452*(+N333/$H333),0)</f>
        <v>0</v>
      </c>
      <c r="O452" s="12">
        <f>IF(+$H333&lt;&gt;0,$H452*(+O333/$H333),0)</f>
        <v>0</v>
      </c>
      <c r="P452" s="9">
        <f t="shared" si="248"/>
        <v>0</v>
      </c>
      <c r="Q452" s="12">
        <f t="shared" ref="Q452:V453" si="273">IF(+$H333&lt;&gt;0,$H452*(+Q333/$H333),0)</f>
        <v>0</v>
      </c>
      <c r="R452" s="12">
        <f t="shared" si="273"/>
        <v>0</v>
      </c>
      <c r="S452" s="12">
        <f>IF(+$H333&lt;&gt;0,$H452*(+S333/$H333),0)</f>
        <v>0</v>
      </c>
      <c r="T452" s="12">
        <f t="shared" si="273"/>
        <v>0</v>
      </c>
      <c r="U452" s="12">
        <f t="shared" si="273"/>
        <v>0</v>
      </c>
      <c r="V452" s="12">
        <f t="shared" si="273"/>
        <v>0</v>
      </c>
      <c r="W452" s="27" t="str">
        <f t="shared" si="240"/>
        <v>OK</v>
      </c>
      <c r="X452" s="3"/>
      <c r="Y452" s="3"/>
      <c r="Z452" s="3"/>
      <c r="AA452" s="3"/>
      <c r="AB452" s="3"/>
      <c r="AC452" s="3"/>
    </row>
    <row r="453" spans="1:29" x14ac:dyDescent="0.2">
      <c r="A453" s="3">
        <f t="shared" si="265"/>
        <v>20</v>
      </c>
      <c r="B453" s="3" t="s">
        <v>164</v>
      </c>
      <c r="C453" s="3" t="s">
        <v>141</v>
      </c>
      <c r="D453" s="176" t="str">
        <f t="shared" si="266"/>
        <v>A567</v>
      </c>
      <c r="E453" s="4" t="s">
        <v>591</v>
      </c>
      <c r="F453" s="11"/>
      <c r="G453" s="11"/>
      <c r="H453" s="2">
        <f>'II-I TOTAL COMPANY'!L453</f>
        <v>0</v>
      </c>
      <c r="I453" s="66">
        <v>0</v>
      </c>
      <c r="J453" s="66">
        <f t="shared" si="267"/>
        <v>0</v>
      </c>
      <c r="K453" s="12">
        <f>IF(+$H334&lt;&gt;0,$H453*(+K334/$H334),0)</f>
        <v>0</v>
      </c>
      <c r="L453" s="12">
        <f>IF(+$H334&lt;&gt;0,$H453*(+L334/$H334),0)</f>
        <v>0</v>
      </c>
      <c r="M453" s="9">
        <f t="shared" si="269"/>
        <v>0</v>
      </c>
      <c r="N453" s="12">
        <f>IF(+$H334&lt;&gt;0,$H453*(+N334/$H334),0)</f>
        <v>0</v>
      </c>
      <c r="O453" s="12">
        <f>IF(+$H334&lt;&gt;0,$H453*(+O334/$H334),0)</f>
        <v>0</v>
      </c>
      <c r="P453" s="9">
        <f t="shared" si="248"/>
        <v>0</v>
      </c>
      <c r="Q453" s="12">
        <f t="shared" si="273"/>
        <v>0</v>
      </c>
      <c r="R453" s="12">
        <f t="shared" si="273"/>
        <v>0</v>
      </c>
      <c r="S453" s="12">
        <f>IF(+$H334&lt;&gt;0,$H453*(+S334/$H334),0)</f>
        <v>0</v>
      </c>
      <c r="T453" s="12">
        <f t="shared" si="273"/>
        <v>0</v>
      </c>
      <c r="U453" s="12">
        <f t="shared" si="273"/>
        <v>0</v>
      </c>
      <c r="V453" s="12">
        <f t="shared" si="273"/>
        <v>0</v>
      </c>
      <c r="W453" s="27" t="str">
        <f t="shared" si="240"/>
        <v>OK</v>
      </c>
      <c r="X453" s="3"/>
      <c r="Y453" s="3"/>
      <c r="Z453" s="3"/>
      <c r="AA453" s="3"/>
      <c r="AB453" s="3"/>
      <c r="AC453" s="3"/>
    </row>
    <row r="454" spans="1:29" x14ac:dyDescent="0.2">
      <c r="A454" s="3">
        <f t="shared" si="265"/>
        <v>21</v>
      </c>
      <c r="B454" s="3"/>
      <c r="C454" s="3" t="s">
        <v>135</v>
      </c>
      <c r="D454" s="3"/>
      <c r="E454" s="4"/>
      <c r="F454" s="8"/>
      <c r="G454" s="8"/>
      <c r="H454" s="8">
        <f t="shared" ref="H454:V454" si="274">SUM(H446:H453)</f>
        <v>0</v>
      </c>
      <c r="I454" s="8">
        <f t="shared" si="274"/>
        <v>0</v>
      </c>
      <c r="J454" s="66">
        <f t="shared" si="267"/>
        <v>0</v>
      </c>
      <c r="K454" s="8">
        <f t="shared" si="274"/>
        <v>0</v>
      </c>
      <c r="L454" s="8">
        <f t="shared" si="274"/>
        <v>0</v>
      </c>
      <c r="M454" s="9">
        <f t="shared" si="269"/>
        <v>0</v>
      </c>
      <c r="N454" s="8">
        <f t="shared" si="274"/>
        <v>0</v>
      </c>
      <c r="O454" s="8">
        <f t="shared" si="274"/>
        <v>0</v>
      </c>
      <c r="P454" s="9">
        <f t="shared" si="248"/>
        <v>0</v>
      </c>
      <c r="Q454" s="8">
        <f t="shared" si="274"/>
        <v>0</v>
      </c>
      <c r="R454" s="8">
        <f t="shared" si="274"/>
        <v>0</v>
      </c>
      <c r="S454" s="8">
        <f>SUM(S446:S453)</f>
        <v>0</v>
      </c>
      <c r="T454" s="8">
        <f t="shared" si="274"/>
        <v>0</v>
      </c>
      <c r="U454" s="8">
        <f t="shared" si="274"/>
        <v>0</v>
      </c>
      <c r="V454" s="8">
        <f t="shared" si="274"/>
        <v>0</v>
      </c>
      <c r="W454" s="27" t="str">
        <f t="shared" si="240"/>
        <v>OK</v>
      </c>
      <c r="X454" s="3"/>
      <c r="Y454" s="3"/>
      <c r="Z454" s="3"/>
      <c r="AA454" s="3"/>
      <c r="AB454" s="3"/>
      <c r="AC454" s="3"/>
    </row>
    <row r="455" spans="1:29" x14ac:dyDescent="0.2">
      <c r="A455" s="3">
        <f t="shared" si="265"/>
        <v>22</v>
      </c>
      <c r="B455" s="3"/>
      <c r="C455" s="3"/>
      <c r="D455" s="3"/>
      <c r="E455" s="4"/>
      <c r="F455" s="4"/>
      <c r="G455" s="4"/>
      <c r="H455" s="8"/>
      <c r="I455" s="8"/>
      <c r="J455" s="8"/>
      <c r="K455" s="8"/>
      <c r="L455" s="8"/>
      <c r="M455" s="3"/>
      <c r="N455" s="3"/>
      <c r="O455" s="3"/>
      <c r="P455" s="9">
        <f t="shared" si="248"/>
        <v>0</v>
      </c>
      <c r="Q455" s="3"/>
      <c r="R455" s="3"/>
      <c r="S455" s="3"/>
      <c r="T455" s="3"/>
      <c r="U455" s="3"/>
      <c r="V455" s="3"/>
      <c r="W455" s="27" t="str">
        <f t="shared" si="240"/>
        <v>OK</v>
      </c>
      <c r="X455" s="3"/>
      <c r="Y455" s="3"/>
      <c r="Z455" s="3"/>
      <c r="AA455" s="3"/>
      <c r="AB455" s="3"/>
      <c r="AC455" s="3"/>
    </row>
    <row r="456" spans="1:29" x14ac:dyDescent="0.2">
      <c r="A456" s="3">
        <f t="shared" si="265"/>
        <v>23</v>
      </c>
      <c r="B456" s="3"/>
      <c r="C456" s="3" t="s">
        <v>142</v>
      </c>
      <c r="D456" s="3"/>
      <c r="E456" s="4"/>
      <c r="F456" s="4"/>
      <c r="G456" s="4"/>
      <c r="H456" s="8"/>
      <c r="I456" s="8"/>
      <c r="J456" s="8"/>
      <c r="K456" s="8"/>
      <c r="L456" s="8"/>
      <c r="M456" s="3"/>
      <c r="N456" s="3"/>
      <c r="O456" s="3"/>
      <c r="P456" s="9">
        <f t="shared" si="248"/>
        <v>0</v>
      </c>
      <c r="Q456" s="3"/>
      <c r="R456" s="3"/>
      <c r="S456" s="3"/>
      <c r="T456" s="3"/>
      <c r="U456" s="3"/>
      <c r="V456" s="3"/>
      <c r="W456" s="27" t="str">
        <f t="shared" ref="W456:W519" si="275">IF((+K456+L456+M456+P456+T456+U456+V456)-H456=0,"OK",(+K456+L456+M456+P456+T456+U456+V456)-H456)</f>
        <v>OK</v>
      </c>
      <c r="X456" s="3"/>
      <c r="Y456" s="3"/>
      <c r="Z456" s="3"/>
      <c r="AA456" s="3"/>
      <c r="AB456" s="3"/>
      <c r="AC456" s="3"/>
    </row>
    <row r="457" spans="1:29" x14ac:dyDescent="0.2">
      <c r="A457" s="3">
        <f t="shared" si="265"/>
        <v>24</v>
      </c>
      <c r="B457" s="3" t="s">
        <v>165</v>
      </c>
      <c r="C457" s="3" t="s">
        <v>146</v>
      </c>
      <c r="D457" s="176" t="str">
        <f t="shared" ref="D457:D462" si="276">B457</f>
        <v>A568</v>
      </c>
      <c r="E457" s="4" t="s">
        <v>591</v>
      </c>
      <c r="F457" s="11"/>
      <c r="G457" s="11"/>
      <c r="H457" s="2">
        <f>'II-I TOTAL COMPANY'!L457</f>
        <v>0</v>
      </c>
      <c r="I457" s="66">
        <v>0</v>
      </c>
      <c r="J457" s="66">
        <f t="shared" ref="J457:J463" si="277">SUM(K457:V457)-M457-P457</f>
        <v>0</v>
      </c>
      <c r="K457" s="12">
        <f t="shared" ref="K457:L462" si="278">IF(+$H338&lt;&gt;0,$H457*(+K338/$H338),0)</f>
        <v>0</v>
      </c>
      <c r="L457" s="12">
        <f t="shared" si="278"/>
        <v>0</v>
      </c>
      <c r="M457" s="9">
        <f t="shared" ref="M457:M463" si="279">SUM(N457:O457)</f>
        <v>0</v>
      </c>
      <c r="N457" s="12">
        <f t="shared" ref="N457:O462" si="280">IF(+$H338&lt;&gt;0,$H457*(+N338/$H338),0)</f>
        <v>0</v>
      </c>
      <c r="O457" s="12">
        <f t="shared" si="280"/>
        <v>0</v>
      </c>
      <c r="P457" s="9">
        <f t="shared" si="248"/>
        <v>0</v>
      </c>
      <c r="Q457" s="12">
        <f t="shared" ref="Q457:V462" si="281">IF(+$H338&lt;&gt;0,$H457*(+Q338/$H338),0)</f>
        <v>0</v>
      </c>
      <c r="R457" s="12">
        <f t="shared" si="281"/>
        <v>0</v>
      </c>
      <c r="S457" s="12">
        <f t="shared" ref="S457:S462" si="282">IF(+$H338&lt;&gt;0,$H457*(+S338/$H338),0)</f>
        <v>0</v>
      </c>
      <c r="T457" s="12">
        <f t="shared" si="281"/>
        <v>0</v>
      </c>
      <c r="U457" s="12">
        <f t="shared" si="281"/>
        <v>0</v>
      </c>
      <c r="V457" s="12">
        <f t="shared" si="281"/>
        <v>0</v>
      </c>
      <c r="W457" s="27" t="str">
        <f t="shared" si="275"/>
        <v>OK</v>
      </c>
      <c r="X457" s="3"/>
      <c r="Y457" s="3"/>
      <c r="Z457" s="3"/>
      <c r="AA457" s="3"/>
      <c r="AB457" s="3"/>
      <c r="AC457" s="3"/>
    </row>
    <row r="458" spans="1:29" x14ac:dyDescent="0.2">
      <c r="A458" s="3">
        <f t="shared" si="265"/>
        <v>25</v>
      </c>
      <c r="B458" s="3" t="s">
        <v>166</v>
      </c>
      <c r="C458" s="3" t="s">
        <v>143</v>
      </c>
      <c r="D458" s="176" t="str">
        <f t="shared" si="276"/>
        <v>A569</v>
      </c>
      <c r="E458" s="4" t="s">
        <v>591</v>
      </c>
      <c r="F458" s="11"/>
      <c r="G458" s="11"/>
      <c r="H458" s="2">
        <f>'II-I TOTAL COMPANY'!L458</f>
        <v>0</v>
      </c>
      <c r="I458" s="66">
        <v>0</v>
      </c>
      <c r="J458" s="66">
        <f t="shared" si="277"/>
        <v>0</v>
      </c>
      <c r="K458" s="12">
        <f t="shared" si="278"/>
        <v>0</v>
      </c>
      <c r="L458" s="12">
        <f t="shared" si="278"/>
        <v>0</v>
      </c>
      <c r="M458" s="9">
        <f t="shared" si="279"/>
        <v>0</v>
      </c>
      <c r="N458" s="12">
        <f t="shared" si="280"/>
        <v>0</v>
      </c>
      <c r="O458" s="12">
        <f t="shared" si="280"/>
        <v>0</v>
      </c>
      <c r="P458" s="9">
        <f t="shared" si="248"/>
        <v>0</v>
      </c>
      <c r="Q458" s="12">
        <f t="shared" si="281"/>
        <v>0</v>
      </c>
      <c r="R458" s="12">
        <f t="shared" si="281"/>
        <v>0</v>
      </c>
      <c r="S458" s="12">
        <f t="shared" si="282"/>
        <v>0</v>
      </c>
      <c r="T458" s="12">
        <f t="shared" si="281"/>
        <v>0</v>
      </c>
      <c r="U458" s="12">
        <f t="shared" si="281"/>
        <v>0</v>
      </c>
      <c r="V458" s="12">
        <f t="shared" si="281"/>
        <v>0</v>
      </c>
      <c r="W458" s="27" t="str">
        <f t="shared" si="275"/>
        <v>OK</v>
      </c>
      <c r="X458" s="3"/>
      <c r="Y458" s="3"/>
      <c r="Z458" s="3"/>
      <c r="AA458" s="3"/>
      <c r="AB458" s="3"/>
      <c r="AC458" s="3"/>
    </row>
    <row r="459" spans="1:29" x14ac:dyDescent="0.2">
      <c r="A459" s="3">
        <f t="shared" si="265"/>
        <v>26</v>
      </c>
      <c r="B459" s="3" t="s">
        <v>167</v>
      </c>
      <c r="C459" s="3" t="s">
        <v>168</v>
      </c>
      <c r="D459" s="176" t="str">
        <f t="shared" si="276"/>
        <v>A570</v>
      </c>
      <c r="E459" s="4" t="s">
        <v>591</v>
      </c>
      <c r="F459" s="11"/>
      <c r="G459" s="11"/>
      <c r="H459" s="2">
        <f>'II-I TOTAL COMPANY'!L459</f>
        <v>0</v>
      </c>
      <c r="I459" s="66">
        <v>0</v>
      </c>
      <c r="J459" s="66">
        <f t="shared" si="277"/>
        <v>0</v>
      </c>
      <c r="K459" s="12">
        <f t="shared" si="278"/>
        <v>0</v>
      </c>
      <c r="L459" s="12">
        <f t="shared" si="278"/>
        <v>0</v>
      </c>
      <c r="M459" s="9">
        <f t="shared" si="279"/>
        <v>0</v>
      </c>
      <c r="N459" s="12">
        <f t="shared" si="280"/>
        <v>0</v>
      </c>
      <c r="O459" s="12">
        <f t="shared" si="280"/>
        <v>0</v>
      </c>
      <c r="P459" s="9">
        <f t="shared" si="248"/>
        <v>0</v>
      </c>
      <c r="Q459" s="12">
        <f t="shared" si="281"/>
        <v>0</v>
      </c>
      <c r="R459" s="12">
        <f t="shared" si="281"/>
        <v>0</v>
      </c>
      <c r="S459" s="12">
        <f t="shared" si="282"/>
        <v>0</v>
      </c>
      <c r="T459" s="12">
        <f t="shared" si="281"/>
        <v>0</v>
      </c>
      <c r="U459" s="12">
        <f t="shared" si="281"/>
        <v>0</v>
      </c>
      <c r="V459" s="12">
        <f t="shared" si="281"/>
        <v>0</v>
      </c>
      <c r="W459" s="27" t="str">
        <f t="shared" si="275"/>
        <v>OK</v>
      </c>
      <c r="X459" s="3"/>
      <c r="Y459" s="3"/>
      <c r="Z459" s="3"/>
      <c r="AA459" s="3"/>
      <c r="AB459" s="3"/>
      <c r="AC459" s="3"/>
    </row>
    <row r="460" spans="1:29" x14ac:dyDescent="0.2">
      <c r="A460" s="3">
        <f t="shared" si="265"/>
        <v>27</v>
      </c>
      <c r="B460" s="3" t="s">
        <v>169</v>
      </c>
      <c r="C460" s="3" t="s">
        <v>170</v>
      </c>
      <c r="D460" s="176" t="str">
        <f t="shared" si="276"/>
        <v>A571</v>
      </c>
      <c r="E460" s="4" t="s">
        <v>591</v>
      </c>
      <c r="F460" s="11"/>
      <c r="G460" s="11"/>
      <c r="H460" s="2">
        <f>'II-I TOTAL COMPANY'!L460</f>
        <v>0</v>
      </c>
      <c r="I460" s="66">
        <v>0</v>
      </c>
      <c r="J460" s="66">
        <f t="shared" si="277"/>
        <v>0</v>
      </c>
      <c r="K460" s="12">
        <f t="shared" si="278"/>
        <v>0</v>
      </c>
      <c r="L460" s="12">
        <f t="shared" si="278"/>
        <v>0</v>
      </c>
      <c r="M460" s="9">
        <f t="shared" si="279"/>
        <v>0</v>
      </c>
      <c r="N460" s="12">
        <f t="shared" si="280"/>
        <v>0</v>
      </c>
      <c r="O460" s="12">
        <f t="shared" si="280"/>
        <v>0</v>
      </c>
      <c r="P460" s="9">
        <f t="shared" si="248"/>
        <v>0</v>
      </c>
      <c r="Q460" s="12">
        <f t="shared" si="281"/>
        <v>0</v>
      </c>
      <c r="R460" s="12">
        <f t="shared" si="281"/>
        <v>0</v>
      </c>
      <c r="S460" s="12">
        <f t="shared" si="282"/>
        <v>0</v>
      </c>
      <c r="T460" s="12">
        <f t="shared" si="281"/>
        <v>0</v>
      </c>
      <c r="U460" s="12">
        <f t="shared" si="281"/>
        <v>0</v>
      </c>
      <c r="V460" s="12">
        <f t="shared" si="281"/>
        <v>0</v>
      </c>
      <c r="W460" s="27" t="str">
        <f t="shared" si="275"/>
        <v>OK</v>
      </c>
      <c r="X460" s="3"/>
      <c r="Y460" s="3"/>
      <c r="Z460" s="3"/>
      <c r="AA460" s="3"/>
      <c r="AB460" s="3"/>
      <c r="AC460" s="3"/>
    </row>
    <row r="461" spans="1:29" x14ac:dyDescent="0.2">
      <c r="A461" s="3">
        <f t="shared" si="265"/>
        <v>28</v>
      </c>
      <c r="B461" s="3" t="s">
        <v>171</v>
      </c>
      <c r="C461" s="3" t="s">
        <v>172</v>
      </c>
      <c r="D461" s="176" t="str">
        <f t="shared" si="276"/>
        <v>A572</v>
      </c>
      <c r="E461" s="4" t="s">
        <v>591</v>
      </c>
      <c r="F461" s="11"/>
      <c r="G461" s="11"/>
      <c r="H461" s="2">
        <f>'II-I TOTAL COMPANY'!L461</f>
        <v>0</v>
      </c>
      <c r="I461" s="66">
        <v>0</v>
      </c>
      <c r="J461" s="66">
        <f t="shared" si="277"/>
        <v>0</v>
      </c>
      <c r="K461" s="12">
        <f t="shared" si="278"/>
        <v>0</v>
      </c>
      <c r="L461" s="12">
        <f t="shared" si="278"/>
        <v>0</v>
      </c>
      <c r="M461" s="9">
        <f t="shared" si="279"/>
        <v>0</v>
      </c>
      <c r="N461" s="12">
        <f t="shared" si="280"/>
        <v>0</v>
      </c>
      <c r="O461" s="12">
        <f t="shared" si="280"/>
        <v>0</v>
      </c>
      <c r="P461" s="9">
        <f t="shared" si="248"/>
        <v>0</v>
      </c>
      <c r="Q461" s="12">
        <f t="shared" si="281"/>
        <v>0</v>
      </c>
      <c r="R461" s="12">
        <f t="shared" si="281"/>
        <v>0</v>
      </c>
      <c r="S461" s="12">
        <f t="shared" si="282"/>
        <v>0</v>
      </c>
      <c r="T461" s="12">
        <f t="shared" si="281"/>
        <v>0</v>
      </c>
      <c r="U461" s="12">
        <f t="shared" si="281"/>
        <v>0</v>
      </c>
      <c r="V461" s="12">
        <f t="shared" si="281"/>
        <v>0</v>
      </c>
      <c r="W461" s="27" t="str">
        <f t="shared" si="275"/>
        <v>OK</v>
      </c>
      <c r="X461" s="3"/>
      <c r="Y461" s="3"/>
      <c r="Z461" s="3"/>
      <c r="AA461" s="3"/>
      <c r="AB461" s="3"/>
      <c r="AC461" s="3"/>
    </row>
    <row r="462" spans="1:29" x14ac:dyDescent="0.2">
      <c r="A462" s="3">
        <f t="shared" si="265"/>
        <v>29</v>
      </c>
      <c r="B462" s="3" t="s">
        <v>173</v>
      </c>
      <c r="C462" s="3" t="s">
        <v>174</v>
      </c>
      <c r="D462" s="176" t="str">
        <f t="shared" si="276"/>
        <v>A573</v>
      </c>
      <c r="E462" s="4" t="s">
        <v>591</v>
      </c>
      <c r="F462" s="11"/>
      <c r="G462" s="11"/>
      <c r="H462" s="2">
        <f>'II-I TOTAL COMPANY'!L462</f>
        <v>0</v>
      </c>
      <c r="I462" s="66">
        <v>0</v>
      </c>
      <c r="J462" s="66">
        <f t="shared" si="277"/>
        <v>0</v>
      </c>
      <c r="K462" s="12">
        <f t="shared" si="278"/>
        <v>0</v>
      </c>
      <c r="L462" s="12">
        <f t="shared" si="278"/>
        <v>0</v>
      </c>
      <c r="M462" s="9">
        <f t="shared" si="279"/>
        <v>0</v>
      </c>
      <c r="N462" s="12">
        <f t="shared" si="280"/>
        <v>0</v>
      </c>
      <c r="O462" s="12">
        <f t="shared" si="280"/>
        <v>0</v>
      </c>
      <c r="P462" s="9">
        <f t="shared" si="248"/>
        <v>0</v>
      </c>
      <c r="Q462" s="12">
        <f t="shared" si="281"/>
        <v>0</v>
      </c>
      <c r="R462" s="12">
        <f t="shared" si="281"/>
        <v>0</v>
      </c>
      <c r="S462" s="12">
        <f t="shared" si="282"/>
        <v>0</v>
      </c>
      <c r="T462" s="12">
        <f t="shared" si="281"/>
        <v>0</v>
      </c>
      <c r="U462" s="12">
        <f t="shared" si="281"/>
        <v>0</v>
      </c>
      <c r="V462" s="12">
        <f t="shared" si="281"/>
        <v>0</v>
      </c>
      <c r="W462" s="27" t="str">
        <f t="shared" si="275"/>
        <v>OK</v>
      </c>
      <c r="X462" s="3"/>
      <c r="Y462" s="3"/>
      <c r="Z462" s="3"/>
      <c r="AA462" s="3"/>
      <c r="AB462" s="3"/>
      <c r="AC462" s="3"/>
    </row>
    <row r="463" spans="1:29" x14ac:dyDescent="0.2">
      <c r="A463" s="3">
        <f t="shared" si="265"/>
        <v>30</v>
      </c>
      <c r="B463" s="3"/>
      <c r="C463" s="3" t="s">
        <v>135</v>
      </c>
      <c r="D463" s="3"/>
      <c r="E463" s="4"/>
      <c r="F463" s="8"/>
      <c r="G463" s="8"/>
      <c r="H463" s="8">
        <f t="shared" ref="H463:V463" si="283">SUM(H457:H462)</f>
        <v>0</v>
      </c>
      <c r="I463" s="8">
        <f t="shared" si="283"/>
        <v>0</v>
      </c>
      <c r="J463" s="66">
        <f t="shared" si="277"/>
        <v>0</v>
      </c>
      <c r="K463" s="8">
        <f t="shared" si="283"/>
        <v>0</v>
      </c>
      <c r="L463" s="8">
        <f t="shared" si="283"/>
        <v>0</v>
      </c>
      <c r="M463" s="9">
        <f t="shared" si="279"/>
        <v>0</v>
      </c>
      <c r="N463" s="8">
        <f t="shared" si="283"/>
        <v>0</v>
      </c>
      <c r="O463" s="8">
        <f t="shared" si="283"/>
        <v>0</v>
      </c>
      <c r="P463" s="9">
        <f t="shared" si="248"/>
        <v>0</v>
      </c>
      <c r="Q463" s="8">
        <f t="shared" si="283"/>
        <v>0</v>
      </c>
      <c r="R463" s="8">
        <f t="shared" si="283"/>
        <v>0</v>
      </c>
      <c r="S463" s="8">
        <f>SUM(S457:S462)</f>
        <v>0</v>
      </c>
      <c r="T463" s="8">
        <f t="shared" si="283"/>
        <v>0</v>
      </c>
      <c r="U463" s="8">
        <f t="shared" si="283"/>
        <v>0</v>
      </c>
      <c r="V463" s="8">
        <f t="shared" si="283"/>
        <v>0</v>
      </c>
      <c r="W463" s="27" t="str">
        <f t="shared" si="275"/>
        <v>OK</v>
      </c>
      <c r="X463" s="3"/>
      <c r="Y463" s="3"/>
      <c r="Z463" s="3"/>
      <c r="AA463" s="3"/>
      <c r="AB463" s="3"/>
      <c r="AC463" s="3"/>
    </row>
    <row r="464" spans="1:29" x14ac:dyDescent="0.2">
      <c r="A464" s="3">
        <f t="shared" si="265"/>
        <v>31</v>
      </c>
      <c r="B464" s="3"/>
      <c r="C464" s="3"/>
      <c r="D464" s="3"/>
      <c r="E464" s="4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9">
        <f t="shared" si="248"/>
        <v>0</v>
      </c>
      <c r="Q464" s="8"/>
      <c r="R464" s="8"/>
      <c r="S464" s="8"/>
      <c r="T464" s="8"/>
      <c r="U464" s="8"/>
      <c r="V464" s="8"/>
      <c r="W464" s="27" t="str">
        <f t="shared" si="275"/>
        <v>OK</v>
      </c>
      <c r="X464" s="3"/>
      <c r="Y464" s="3"/>
      <c r="Z464" s="3"/>
      <c r="AA464" s="3"/>
      <c r="AB464" s="3"/>
      <c r="AC464" s="3"/>
    </row>
    <row r="465" spans="1:29" x14ac:dyDescent="0.2">
      <c r="A465" s="3">
        <f t="shared" si="265"/>
        <v>32</v>
      </c>
      <c r="B465" s="3"/>
      <c r="C465" s="3" t="s">
        <v>278</v>
      </c>
      <c r="D465" s="3"/>
      <c r="E465" s="4"/>
      <c r="F465" s="8"/>
      <c r="G465" s="8"/>
      <c r="H465" s="8">
        <f t="shared" ref="H465:V465" si="284">H454+H463</f>
        <v>0</v>
      </c>
      <c r="I465" s="8">
        <v>0</v>
      </c>
      <c r="J465" s="66">
        <f t="shared" ref="J465" si="285">SUM(K465:V465)-M465-P465</f>
        <v>0</v>
      </c>
      <c r="K465" s="8">
        <f t="shared" si="284"/>
        <v>0</v>
      </c>
      <c r="L465" s="8">
        <f>L454+L463</f>
        <v>0</v>
      </c>
      <c r="M465" s="9">
        <f>SUM(N465:O465)</f>
        <v>0</v>
      </c>
      <c r="N465" s="8">
        <f t="shared" si="284"/>
        <v>0</v>
      </c>
      <c r="O465" s="8">
        <f t="shared" si="284"/>
        <v>0</v>
      </c>
      <c r="P465" s="9">
        <f t="shared" si="248"/>
        <v>0</v>
      </c>
      <c r="Q465" s="8">
        <f t="shared" si="284"/>
        <v>0</v>
      </c>
      <c r="R465" s="8">
        <f t="shared" si="284"/>
        <v>0</v>
      </c>
      <c r="S465" s="8">
        <f>S454+S463</f>
        <v>0</v>
      </c>
      <c r="T465" s="8">
        <f t="shared" si="284"/>
        <v>0</v>
      </c>
      <c r="U465" s="8">
        <f t="shared" si="284"/>
        <v>0</v>
      </c>
      <c r="V465" s="8">
        <f t="shared" si="284"/>
        <v>0</v>
      </c>
      <c r="W465" s="27" t="str">
        <f t="shared" si="275"/>
        <v>OK</v>
      </c>
      <c r="X465" s="3"/>
      <c r="Y465" s="3"/>
      <c r="Z465" s="3"/>
      <c r="AA465" s="3"/>
      <c r="AB465" s="3"/>
      <c r="AC465" s="3"/>
    </row>
    <row r="466" spans="1:29" x14ac:dyDescent="0.2">
      <c r="A466" s="3">
        <f t="shared" si="265"/>
        <v>33</v>
      </c>
      <c r="B466" s="3"/>
      <c r="C466" s="3"/>
      <c r="D466" s="3"/>
      <c r="E466" s="4"/>
      <c r="F466" s="4"/>
      <c r="G466" s="4"/>
      <c r="H466" s="8"/>
      <c r="I466" s="8"/>
      <c r="J466" s="8"/>
      <c r="K466" s="8"/>
      <c r="L466" s="8"/>
      <c r="M466" s="3"/>
      <c r="N466" s="3"/>
      <c r="O466" s="3"/>
      <c r="P466" s="9">
        <f t="shared" si="248"/>
        <v>0</v>
      </c>
      <c r="Q466" s="3"/>
      <c r="R466" s="3"/>
      <c r="S466" s="3"/>
      <c r="T466" s="3"/>
      <c r="U466" s="3"/>
      <c r="V466" s="3"/>
      <c r="W466" s="27" t="str">
        <f t="shared" si="275"/>
        <v>OK</v>
      </c>
      <c r="X466" s="3"/>
      <c r="Y466" s="3"/>
      <c r="Z466" s="3"/>
      <c r="AA466" s="3"/>
      <c r="AB466" s="3"/>
      <c r="AC466" s="3"/>
    </row>
    <row r="467" spans="1:29" x14ac:dyDescent="0.2">
      <c r="A467" s="3">
        <f t="shared" si="265"/>
        <v>34</v>
      </c>
      <c r="B467" s="7" t="s">
        <v>274</v>
      </c>
      <c r="C467" s="3"/>
      <c r="D467" s="3"/>
      <c r="E467" s="4"/>
      <c r="F467" s="4"/>
      <c r="G467" s="4"/>
      <c r="H467" s="8"/>
      <c r="I467" s="8"/>
      <c r="J467" s="8"/>
      <c r="K467" s="8"/>
      <c r="L467" s="8"/>
      <c r="M467" s="3"/>
      <c r="N467" s="3"/>
      <c r="O467" s="3"/>
      <c r="P467" s="9">
        <f t="shared" si="248"/>
        <v>0</v>
      </c>
      <c r="Q467" s="3"/>
      <c r="R467" s="3"/>
      <c r="S467" s="3"/>
      <c r="T467" s="3"/>
      <c r="U467" s="3"/>
      <c r="V467" s="3"/>
      <c r="W467" s="27" t="str">
        <f t="shared" si="275"/>
        <v>OK</v>
      </c>
      <c r="X467" s="3"/>
      <c r="Y467" s="3"/>
      <c r="Z467" s="3"/>
      <c r="AA467" s="3"/>
      <c r="AB467" s="3"/>
      <c r="AC467" s="3"/>
    </row>
    <row r="468" spans="1:29" x14ac:dyDescent="0.2">
      <c r="A468" s="3">
        <f t="shared" si="265"/>
        <v>35</v>
      </c>
      <c r="B468" s="3" t="s">
        <v>279</v>
      </c>
      <c r="C468" s="3"/>
      <c r="D468" s="3"/>
      <c r="E468" s="4"/>
      <c r="F468" s="4"/>
      <c r="G468" s="4"/>
      <c r="H468" s="8"/>
      <c r="I468" s="8"/>
      <c r="J468" s="8"/>
      <c r="K468" s="8"/>
      <c r="L468" s="8"/>
      <c r="M468" s="3"/>
      <c r="N468" s="3"/>
      <c r="O468" s="3"/>
      <c r="P468" s="9">
        <f t="shared" ref="P468:P531" si="286">SUM(Q468:S468)</f>
        <v>0</v>
      </c>
      <c r="Q468" s="3"/>
      <c r="R468" s="3"/>
      <c r="S468" s="3"/>
      <c r="T468" s="3"/>
      <c r="U468" s="3"/>
      <c r="V468" s="3"/>
      <c r="W468" s="27" t="str">
        <f t="shared" si="275"/>
        <v>OK</v>
      </c>
      <c r="X468" s="3"/>
      <c r="Y468" s="3"/>
      <c r="Z468" s="3"/>
      <c r="AA468" s="3"/>
      <c r="AB468" s="3"/>
      <c r="AC468" s="3"/>
    </row>
    <row r="469" spans="1:29" x14ac:dyDescent="0.2">
      <c r="A469" s="3">
        <f t="shared" si="265"/>
        <v>36</v>
      </c>
      <c r="B469" s="3"/>
      <c r="C469" s="3" t="s">
        <v>140</v>
      </c>
      <c r="D469" s="3"/>
      <c r="E469" s="4"/>
      <c r="F469" s="4"/>
      <c r="G469" s="4"/>
      <c r="H469" s="8"/>
      <c r="I469" s="8"/>
      <c r="J469" s="8"/>
      <c r="K469" s="8"/>
      <c r="L469" s="8"/>
      <c r="M469" s="3"/>
      <c r="N469" s="3"/>
      <c r="O469" s="3"/>
      <c r="P469" s="9">
        <f t="shared" si="286"/>
        <v>0</v>
      </c>
      <c r="Q469" s="3"/>
      <c r="R469" s="3"/>
      <c r="S469" s="3"/>
      <c r="T469" s="3"/>
      <c r="U469" s="3"/>
      <c r="V469" s="3"/>
      <c r="W469" s="27" t="str">
        <f t="shared" si="275"/>
        <v>OK</v>
      </c>
      <c r="X469" s="3"/>
      <c r="Y469" s="3"/>
      <c r="Z469" s="3"/>
      <c r="AA469" s="3"/>
      <c r="AB469" s="3"/>
      <c r="AC469" s="3"/>
    </row>
    <row r="470" spans="1:29" x14ac:dyDescent="0.2">
      <c r="A470" s="3">
        <f t="shared" si="265"/>
        <v>37</v>
      </c>
      <c r="B470" s="3" t="s">
        <v>177</v>
      </c>
      <c r="C470" s="3" t="s">
        <v>145</v>
      </c>
      <c r="D470" s="176" t="str">
        <f t="shared" ref="D470:D479" si="287">B470</f>
        <v>A580</v>
      </c>
      <c r="E470" s="4" t="s">
        <v>591</v>
      </c>
      <c r="F470" s="11"/>
      <c r="G470" s="11"/>
      <c r="H470" s="2">
        <f>'II-I TOTAL COMPANY'!L470</f>
        <v>1325533.5397334034</v>
      </c>
      <c r="I470" s="66">
        <v>0</v>
      </c>
      <c r="J470" s="66">
        <f t="shared" ref="J470:J495" si="288">SUM(K470:V470)-M470-P470</f>
        <v>1325533.5397334031</v>
      </c>
      <c r="K470" s="12">
        <f t="shared" ref="K470:L476" si="289">IF(+$H351&lt;&gt;0,$H470*(+K351/$H351),0)</f>
        <v>621419.10189232696</v>
      </c>
      <c r="L470" s="12">
        <f t="shared" si="289"/>
        <v>118076.28740846331</v>
      </c>
      <c r="M470" s="9">
        <f t="shared" ref="M470:M480" si="290">SUM(N470:O470)</f>
        <v>468754.9137041645</v>
      </c>
      <c r="N470" s="12">
        <f t="shared" ref="N470:O476" si="291">IF(+$H351&lt;&gt;0,$H470*(+N351/$H351),0)</f>
        <v>9145.0621335292453</v>
      </c>
      <c r="O470" s="12">
        <f t="shared" si="291"/>
        <v>459609.85157063528</v>
      </c>
      <c r="P470" s="9">
        <f t="shared" si="286"/>
        <v>63040.304872424495</v>
      </c>
      <c r="Q470" s="12">
        <f t="shared" ref="Q470:V476" si="292">IF(+$H351&lt;&gt;0,$H470*(+Q351/$H351),0)</f>
        <v>27224.588384131763</v>
      </c>
      <c r="R470" s="12">
        <f t="shared" si="292"/>
        <v>31926.489576273914</v>
      </c>
      <c r="S470" s="12">
        <f t="shared" ref="S470:S476" si="293">IF(+$H351&lt;&gt;0,$H470*(+S351/$H351),0)</f>
        <v>3889.2269120188225</v>
      </c>
      <c r="T470" s="12">
        <f t="shared" si="292"/>
        <v>53140.016761570871</v>
      </c>
      <c r="U470" s="12">
        <f t="shared" si="292"/>
        <v>0</v>
      </c>
      <c r="V470" s="12">
        <f t="shared" si="292"/>
        <v>1102.9150944530991</v>
      </c>
      <c r="W470" s="27" t="str">
        <f t="shared" si="275"/>
        <v>OK</v>
      </c>
      <c r="X470" s="3"/>
      <c r="Y470" s="3"/>
      <c r="Z470" s="3"/>
      <c r="AA470" s="3"/>
      <c r="AB470" s="3"/>
      <c r="AC470" s="3"/>
    </row>
    <row r="471" spans="1:29" x14ac:dyDescent="0.2">
      <c r="A471" s="3">
        <f t="shared" si="265"/>
        <v>38</v>
      </c>
      <c r="B471" s="3" t="s">
        <v>178</v>
      </c>
      <c r="C471" s="3" t="s">
        <v>155</v>
      </c>
      <c r="D471" s="176" t="str">
        <f t="shared" si="287"/>
        <v>A581</v>
      </c>
      <c r="E471" s="4" t="s">
        <v>591</v>
      </c>
      <c r="F471" s="11"/>
      <c r="G471" s="11"/>
      <c r="H471" s="2">
        <f>'II-I TOTAL COMPANY'!L471</f>
        <v>0</v>
      </c>
      <c r="I471" s="66">
        <v>0</v>
      </c>
      <c r="J471" s="66">
        <f t="shared" si="288"/>
        <v>0</v>
      </c>
      <c r="K471" s="12">
        <f t="shared" si="289"/>
        <v>0</v>
      </c>
      <c r="L471" s="12">
        <f t="shared" si="289"/>
        <v>0</v>
      </c>
      <c r="M471" s="9">
        <f t="shared" si="290"/>
        <v>0</v>
      </c>
      <c r="N471" s="12">
        <f t="shared" si="291"/>
        <v>0</v>
      </c>
      <c r="O471" s="12">
        <f t="shared" si="291"/>
        <v>0</v>
      </c>
      <c r="P471" s="9">
        <f t="shared" si="286"/>
        <v>0</v>
      </c>
      <c r="Q471" s="12">
        <f t="shared" si="292"/>
        <v>0</v>
      </c>
      <c r="R471" s="12">
        <f t="shared" si="292"/>
        <v>0</v>
      </c>
      <c r="S471" s="12">
        <f t="shared" si="293"/>
        <v>0</v>
      </c>
      <c r="T471" s="12">
        <f t="shared" si="292"/>
        <v>0</v>
      </c>
      <c r="U471" s="12">
        <f t="shared" si="292"/>
        <v>0</v>
      </c>
      <c r="V471" s="12">
        <f t="shared" si="292"/>
        <v>0</v>
      </c>
      <c r="W471" s="27" t="str">
        <f t="shared" si="275"/>
        <v>OK</v>
      </c>
      <c r="X471" s="3"/>
      <c r="Y471" s="3"/>
      <c r="Z471" s="3"/>
      <c r="AA471" s="3"/>
      <c r="AB471" s="3"/>
      <c r="AC471" s="3"/>
    </row>
    <row r="472" spans="1:29" x14ac:dyDescent="0.2">
      <c r="A472" s="3">
        <f t="shared" si="265"/>
        <v>39</v>
      </c>
      <c r="B472" s="3" t="s">
        <v>179</v>
      </c>
      <c r="C472" s="3" t="s">
        <v>180</v>
      </c>
      <c r="D472" s="176" t="str">
        <f t="shared" si="287"/>
        <v>A582</v>
      </c>
      <c r="E472" s="4" t="s">
        <v>591</v>
      </c>
      <c r="F472" s="11"/>
      <c r="G472" s="11"/>
      <c r="H472" s="2">
        <f>'II-I TOTAL COMPANY'!L472</f>
        <v>0</v>
      </c>
      <c r="I472" s="66">
        <v>0</v>
      </c>
      <c r="J472" s="66">
        <f t="shared" si="288"/>
        <v>0</v>
      </c>
      <c r="K472" s="12">
        <f t="shared" si="289"/>
        <v>0</v>
      </c>
      <c r="L472" s="12">
        <f t="shared" si="289"/>
        <v>0</v>
      </c>
      <c r="M472" s="9">
        <f t="shared" si="290"/>
        <v>0</v>
      </c>
      <c r="N472" s="12">
        <f t="shared" si="291"/>
        <v>0</v>
      </c>
      <c r="O472" s="12">
        <f t="shared" si="291"/>
        <v>0</v>
      </c>
      <c r="P472" s="9">
        <f t="shared" si="286"/>
        <v>0</v>
      </c>
      <c r="Q472" s="12">
        <f t="shared" si="292"/>
        <v>0</v>
      </c>
      <c r="R472" s="12">
        <f t="shared" si="292"/>
        <v>0</v>
      </c>
      <c r="S472" s="12">
        <f t="shared" si="293"/>
        <v>0</v>
      </c>
      <c r="T472" s="12">
        <f t="shared" si="292"/>
        <v>0</v>
      </c>
      <c r="U472" s="12">
        <f t="shared" si="292"/>
        <v>0</v>
      </c>
      <c r="V472" s="12">
        <f t="shared" si="292"/>
        <v>0</v>
      </c>
      <c r="W472" s="27" t="str">
        <f t="shared" si="275"/>
        <v>OK</v>
      </c>
      <c r="X472" s="3"/>
      <c r="Y472" s="3"/>
      <c r="Z472" s="3"/>
      <c r="AA472" s="3"/>
      <c r="AB472" s="3"/>
      <c r="AC472" s="3"/>
    </row>
    <row r="473" spans="1:29" x14ac:dyDescent="0.2">
      <c r="A473" s="3">
        <f t="shared" si="265"/>
        <v>40</v>
      </c>
      <c r="B473" s="3" t="s">
        <v>181</v>
      </c>
      <c r="C473" s="3" t="s">
        <v>182</v>
      </c>
      <c r="D473" s="176" t="str">
        <f t="shared" si="287"/>
        <v>A583</v>
      </c>
      <c r="E473" s="4" t="s">
        <v>591</v>
      </c>
      <c r="F473" s="11"/>
      <c r="G473" s="11"/>
      <c r="H473" s="2">
        <f>'II-I TOTAL COMPANY'!L473</f>
        <v>0</v>
      </c>
      <c r="I473" s="66">
        <v>0</v>
      </c>
      <c r="J473" s="66">
        <f t="shared" si="288"/>
        <v>0</v>
      </c>
      <c r="K473" s="12">
        <f t="shared" si="289"/>
        <v>0</v>
      </c>
      <c r="L473" s="12">
        <f t="shared" si="289"/>
        <v>0</v>
      </c>
      <c r="M473" s="9">
        <f t="shared" si="290"/>
        <v>0</v>
      </c>
      <c r="N473" s="12">
        <f t="shared" si="291"/>
        <v>0</v>
      </c>
      <c r="O473" s="12">
        <f t="shared" si="291"/>
        <v>0</v>
      </c>
      <c r="P473" s="9">
        <f t="shared" si="286"/>
        <v>0</v>
      </c>
      <c r="Q473" s="12">
        <f t="shared" si="292"/>
        <v>0</v>
      </c>
      <c r="R473" s="12">
        <f t="shared" si="292"/>
        <v>0</v>
      </c>
      <c r="S473" s="12">
        <f t="shared" si="293"/>
        <v>0</v>
      </c>
      <c r="T473" s="12">
        <f t="shared" si="292"/>
        <v>0</v>
      </c>
      <c r="U473" s="12">
        <f t="shared" si="292"/>
        <v>0</v>
      </c>
      <c r="V473" s="12">
        <f t="shared" si="292"/>
        <v>0</v>
      </c>
      <c r="W473" s="27" t="str">
        <f t="shared" si="275"/>
        <v>OK</v>
      </c>
      <c r="X473" s="3"/>
      <c r="Y473" s="3"/>
      <c r="Z473" s="3"/>
      <c r="AA473" s="3"/>
      <c r="AB473" s="3"/>
      <c r="AC473" s="3"/>
    </row>
    <row r="474" spans="1:29" x14ac:dyDescent="0.2">
      <c r="A474" s="3">
        <f t="shared" si="265"/>
        <v>41</v>
      </c>
      <c r="B474" s="3" t="s">
        <v>183</v>
      </c>
      <c r="C474" s="3" t="s">
        <v>160</v>
      </c>
      <c r="D474" s="176" t="str">
        <f t="shared" si="287"/>
        <v>A584</v>
      </c>
      <c r="E474" s="4" t="s">
        <v>591</v>
      </c>
      <c r="F474" s="11"/>
      <c r="G474" s="11"/>
      <c r="H474" s="2">
        <f>'II-I TOTAL COMPANY'!L474</f>
        <v>0</v>
      </c>
      <c r="I474" s="66">
        <v>0</v>
      </c>
      <c r="J474" s="66">
        <f t="shared" si="288"/>
        <v>0</v>
      </c>
      <c r="K474" s="12">
        <f t="shared" si="289"/>
        <v>0</v>
      </c>
      <c r="L474" s="12">
        <f t="shared" si="289"/>
        <v>0</v>
      </c>
      <c r="M474" s="9">
        <f t="shared" si="290"/>
        <v>0</v>
      </c>
      <c r="N474" s="12">
        <f t="shared" si="291"/>
        <v>0</v>
      </c>
      <c r="O474" s="12">
        <f t="shared" si="291"/>
        <v>0</v>
      </c>
      <c r="P474" s="9">
        <f t="shared" si="286"/>
        <v>0</v>
      </c>
      <c r="Q474" s="12">
        <f t="shared" si="292"/>
        <v>0</v>
      </c>
      <c r="R474" s="12">
        <f t="shared" si="292"/>
        <v>0</v>
      </c>
      <c r="S474" s="12">
        <f t="shared" si="293"/>
        <v>0</v>
      </c>
      <c r="T474" s="12">
        <f t="shared" si="292"/>
        <v>0</v>
      </c>
      <c r="U474" s="12">
        <f t="shared" si="292"/>
        <v>0</v>
      </c>
      <c r="V474" s="12">
        <f t="shared" si="292"/>
        <v>0</v>
      </c>
      <c r="W474" s="27" t="str">
        <f t="shared" si="275"/>
        <v>OK</v>
      </c>
      <c r="X474" s="3"/>
      <c r="Y474" s="3"/>
      <c r="Z474" s="3"/>
      <c r="AA474" s="3"/>
      <c r="AB474" s="3"/>
      <c r="AC474" s="3"/>
    </row>
    <row r="475" spans="1:29" x14ac:dyDescent="0.2">
      <c r="A475" s="3">
        <f t="shared" si="265"/>
        <v>42</v>
      </c>
      <c r="B475" s="3" t="s">
        <v>184</v>
      </c>
      <c r="C475" s="3" t="s">
        <v>185</v>
      </c>
      <c r="D475" s="176" t="str">
        <f t="shared" si="287"/>
        <v>A585</v>
      </c>
      <c r="E475" s="4" t="s">
        <v>591</v>
      </c>
      <c r="F475" s="11"/>
      <c r="G475" s="11"/>
      <c r="H475" s="2">
        <f>'II-I TOTAL COMPANY'!L475</f>
        <v>0</v>
      </c>
      <c r="I475" s="66">
        <v>0</v>
      </c>
      <c r="J475" s="66">
        <f t="shared" si="288"/>
        <v>0</v>
      </c>
      <c r="K475" s="12">
        <f t="shared" si="289"/>
        <v>0</v>
      </c>
      <c r="L475" s="12">
        <f t="shared" si="289"/>
        <v>0</v>
      </c>
      <c r="M475" s="9">
        <f t="shared" si="290"/>
        <v>0</v>
      </c>
      <c r="N475" s="12">
        <f t="shared" si="291"/>
        <v>0</v>
      </c>
      <c r="O475" s="12">
        <f t="shared" si="291"/>
        <v>0</v>
      </c>
      <c r="P475" s="9">
        <f t="shared" si="286"/>
        <v>0</v>
      </c>
      <c r="Q475" s="12">
        <f t="shared" si="292"/>
        <v>0</v>
      </c>
      <c r="R475" s="12">
        <f t="shared" si="292"/>
        <v>0</v>
      </c>
      <c r="S475" s="12">
        <f t="shared" si="293"/>
        <v>0</v>
      </c>
      <c r="T475" s="12">
        <f t="shared" si="292"/>
        <v>0</v>
      </c>
      <c r="U475" s="12">
        <f t="shared" si="292"/>
        <v>0</v>
      </c>
      <c r="V475" s="12">
        <f t="shared" si="292"/>
        <v>0</v>
      </c>
      <c r="W475" s="27" t="str">
        <f t="shared" si="275"/>
        <v>OK</v>
      </c>
      <c r="X475" s="3"/>
      <c r="Y475" s="3"/>
      <c r="Z475" s="3"/>
      <c r="AA475" s="3"/>
      <c r="AB475" s="3"/>
      <c r="AC475" s="3"/>
    </row>
    <row r="476" spans="1:29" x14ac:dyDescent="0.2">
      <c r="A476" s="3">
        <f t="shared" si="265"/>
        <v>43</v>
      </c>
      <c r="B476" s="3" t="s">
        <v>186</v>
      </c>
      <c r="C476" s="3" t="s">
        <v>187</v>
      </c>
      <c r="D476" s="176" t="str">
        <f t="shared" si="287"/>
        <v>A586</v>
      </c>
      <c r="E476" s="4" t="s">
        <v>591</v>
      </c>
      <c r="F476" s="11"/>
      <c r="G476" s="11"/>
      <c r="H476" s="2">
        <f>'II-I TOTAL COMPANY'!L476</f>
        <v>4839068.1090679318</v>
      </c>
      <c r="I476" s="66">
        <v>0</v>
      </c>
      <c r="J476" s="66">
        <f t="shared" si="288"/>
        <v>4839068.1090679318</v>
      </c>
      <c r="K476" s="12">
        <f t="shared" si="289"/>
        <v>2268587.906827007</v>
      </c>
      <c r="L476" s="12">
        <f t="shared" si="289"/>
        <v>431056.00854909513</v>
      </c>
      <c r="M476" s="9">
        <f t="shared" si="290"/>
        <v>1711263.3410475075</v>
      </c>
      <c r="N476" s="12">
        <f t="shared" si="291"/>
        <v>33385.48380654824</v>
      </c>
      <c r="O476" s="12">
        <f t="shared" si="291"/>
        <v>1677877.8572409593</v>
      </c>
      <c r="P476" s="9">
        <f t="shared" si="286"/>
        <v>230138.5213952589</v>
      </c>
      <c r="Q476" s="12">
        <f t="shared" si="292"/>
        <v>99387.630326313491</v>
      </c>
      <c r="R476" s="12">
        <f t="shared" si="292"/>
        <v>116552.65816518637</v>
      </c>
      <c r="S476" s="12">
        <f t="shared" si="293"/>
        <v>14198.232903759068</v>
      </c>
      <c r="T476" s="12">
        <f t="shared" si="292"/>
        <v>193995.96669426537</v>
      </c>
      <c r="U476" s="12">
        <f t="shared" si="292"/>
        <v>0</v>
      </c>
      <c r="V476" s="12">
        <f t="shared" si="292"/>
        <v>4026.3645547973479</v>
      </c>
      <c r="W476" s="27">
        <f t="shared" si="275"/>
        <v>-9.3132257461547852E-10</v>
      </c>
      <c r="X476" s="3"/>
      <c r="Y476" s="3"/>
      <c r="Z476" s="3"/>
      <c r="AA476" s="3"/>
      <c r="AB476" s="3"/>
      <c r="AC476" s="3"/>
    </row>
    <row r="477" spans="1:29" x14ac:dyDescent="0.2">
      <c r="A477" s="3">
        <f t="shared" si="265"/>
        <v>44</v>
      </c>
      <c r="B477" s="3" t="s">
        <v>188</v>
      </c>
      <c r="C477" s="3" t="s">
        <v>189</v>
      </c>
      <c r="D477" s="176" t="str">
        <f t="shared" si="287"/>
        <v>A587</v>
      </c>
      <c r="E477" s="4" t="s">
        <v>591</v>
      </c>
      <c r="F477" s="11"/>
      <c r="G477" s="11"/>
      <c r="H477" s="2">
        <f>'II-I TOTAL COMPANY'!L477</f>
        <v>0</v>
      </c>
      <c r="I477" s="66">
        <v>0</v>
      </c>
      <c r="J477" s="66">
        <f t="shared" si="288"/>
        <v>0</v>
      </c>
      <c r="K477" s="12">
        <f>IF(+$H359&lt;&gt;0,$H477*(+K359/$H359),0)</f>
        <v>0</v>
      </c>
      <c r="L477" s="12">
        <f>IF(+$H359&lt;&gt;0,$H477*(+L359/$H359),0)</f>
        <v>0</v>
      </c>
      <c r="M477" s="9">
        <f t="shared" si="290"/>
        <v>0</v>
      </c>
      <c r="N477" s="12">
        <f>IF(+$H359&lt;&gt;0,$H477*(+N359/$H359),0)</f>
        <v>0</v>
      </c>
      <c r="O477" s="12">
        <f>IF(+$H359&lt;&gt;0,$H477*(+O359/$H359),0)</f>
        <v>0</v>
      </c>
      <c r="P477" s="9">
        <f t="shared" si="286"/>
        <v>0</v>
      </c>
      <c r="Q477" s="12">
        <f t="shared" ref="Q477:V478" si="294">IF(+$H359&lt;&gt;0,$H477*(+Q359/$H359),0)</f>
        <v>0</v>
      </c>
      <c r="R477" s="12">
        <f t="shared" si="294"/>
        <v>0</v>
      </c>
      <c r="S477" s="12">
        <f>IF(+$H359&lt;&gt;0,$H477*(+S359/$H359),0)</f>
        <v>0</v>
      </c>
      <c r="T477" s="12">
        <f t="shared" si="294"/>
        <v>0</v>
      </c>
      <c r="U477" s="12">
        <f t="shared" si="294"/>
        <v>0</v>
      </c>
      <c r="V477" s="12">
        <f t="shared" si="294"/>
        <v>0</v>
      </c>
      <c r="W477" s="27" t="str">
        <f t="shared" si="275"/>
        <v>OK</v>
      </c>
      <c r="X477" s="3"/>
      <c r="Y477" s="3"/>
      <c r="Z477" s="3"/>
      <c r="AA477" s="3"/>
      <c r="AB477" s="3"/>
      <c r="AC477" s="3"/>
    </row>
    <row r="478" spans="1:29" x14ac:dyDescent="0.2">
      <c r="A478" s="3">
        <f t="shared" ref="A478:A495" si="295">+A477+1</f>
        <v>45</v>
      </c>
      <c r="B478" s="3" t="s">
        <v>190</v>
      </c>
      <c r="C478" s="3" t="s">
        <v>191</v>
      </c>
      <c r="D478" s="176" t="str">
        <f t="shared" si="287"/>
        <v>A588</v>
      </c>
      <c r="E478" s="4" t="s">
        <v>591</v>
      </c>
      <c r="F478" s="11"/>
      <c r="G478" s="11"/>
      <c r="H478" s="2">
        <f>'II-I TOTAL COMPANY'!L478</f>
        <v>3954257.8657584707</v>
      </c>
      <c r="I478" s="66">
        <v>0</v>
      </c>
      <c r="J478" s="66">
        <f t="shared" si="288"/>
        <v>3954257.8657584703</v>
      </c>
      <c r="K478" s="12">
        <f>IF(+$H360&lt;&gt;0,$H478*(+K360/$H360),0)</f>
        <v>1853782.8715254618</v>
      </c>
      <c r="L478" s="12">
        <f>IF(+$H360&lt;&gt;0,$H478*(+L360/$H360),0)</f>
        <v>352238.60751073842</v>
      </c>
      <c r="M478" s="9">
        <f t="shared" si="290"/>
        <v>1398363.5638525037</v>
      </c>
      <c r="N478" s="12">
        <f>IF(+$H360&lt;&gt;0,$H478*(+N360/$H360),0)</f>
        <v>27281.040268231158</v>
      </c>
      <c r="O478" s="12">
        <f>IF(+$H360&lt;&gt;0,$H478*(+O360/$H360),0)</f>
        <v>1371082.5235842725</v>
      </c>
      <c r="P478" s="9">
        <f t="shared" si="286"/>
        <v>188058.32815949144</v>
      </c>
      <c r="Q478" s="12">
        <f t="shared" si="294"/>
        <v>81214.876525599888</v>
      </c>
      <c r="R478" s="12">
        <f t="shared" si="294"/>
        <v>95241.326415948701</v>
      </c>
      <c r="S478" s="12">
        <f>IF(+$H360&lt;&gt;0,$H478*(+S360/$H360),0)</f>
        <v>11602.125217942841</v>
      </c>
      <c r="T478" s="12">
        <f t="shared" si="294"/>
        <v>158524.33979772453</v>
      </c>
      <c r="U478" s="12">
        <f t="shared" si="294"/>
        <v>0</v>
      </c>
      <c r="V478" s="12">
        <f t="shared" si="294"/>
        <v>3290.1549125509559</v>
      </c>
      <c r="W478" s="27" t="str">
        <f t="shared" si="275"/>
        <v>OK</v>
      </c>
      <c r="X478" s="3"/>
      <c r="Y478" s="3"/>
      <c r="Z478" s="3"/>
      <c r="AA478" s="3"/>
      <c r="AB478" s="3"/>
      <c r="AC478" s="3"/>
    </row>
    <row r="479" spans="1:29" x14ac:dyDescent="0.2">
      <c r="A479" s="3">
        <f t="shared" si="295"/>
        <v>46</v>
      </c>
      <c r="B479" s="3" t="s">
        <v>192</v>
      </c>
      <c r="C479" s="3" t="s">
        <v>141</v>
      </c>
      <c r="D479" s="176" t="str">
        <f t="shared" si="287"/>
        <v>A589</v>
      </c>
      <c r="E479" s="4" t="s">
        <v>591</v>
      </c>
      <c r="F479" s="11"/>
      <c r="G479" s="11"/>
      <c r="H479" s="2">
        <f>'II-I TOTAL COMPANY'!L479</f>
        <v>0</v>
      </c>
      <c r="I479" s="66">
        <v>0</v>
      </c>
      <c r="J479" s="66">
        <f t="shared" si="288"/>
        <v>0</v>
      </c>
      <c r="K479" s="12">
        <f>IF(+$H362&lt;&gt;0,$H479*(+K362/$H362),0)</f>
        <v>0</v>
      </c>
      <c r="L479" s="12">
        <f>IF(+$H362&lt;&gt;0,$H479*(+L362/$H362),0)</f>
        <v>0</v>
      </c>
      <c r="M479" s="9">
        <f t="shared" si="290"/>
        <v>0</v>
      </c>
      <c r="N479" s="12">
        <f>IF(+$H362&lt;&gt;0,$H479*(+N362/$H362),0)</f>
        <v>0</v>
      </c>
      <c r="O479" s="12">
        <f>IF(+$H362&lt;&gt;0,$H479*(+O362/$H362),0)</f>
        <v>0</v>
      </c>
      <c r="P479" s="9">
        <f t="shared" si="286"/>
        <v>0</v>
      </c>
      <c r="Q479" s="12">
        <f t="shared" ref="Q479:V479" si="296">IF(+$H362&lt;&gt;0,$H479*(+Q362/$H362),0)</f>
        <v>0</v>
      </c>
      <c r="R479" s="12">
        <f t="shared" si="296"/>
        <v>0</v>
      </c>
      <c r="S479" s="12">
        <f t="shared" si="296"/>
        <v>0</v>
      </c>
      <c r="T479" s="12">
        <f t="shared" si="296"/>
        <v>0</v>
      </c>
      <c r="U479" s="12">
        <f t="shared" si="296"/>
        <v>0</v>
      </c>
      <c r="V479" s="12">
        <f t="shared" si="296"/>
        <v>0</v>
      </c>
      <c r="W479" s="27" t="str">
        <f t="shared" si="275"/>
        <v>OK</v>
      </c>
      <c r="X479" s="3"/>
      <c r="Y479" s="3"/>
      <c r="Z479" s="3"/>
      <c r="AA479" s="3"/>
      <c r="AB479" s="3"/>
      <c r="AC479" s="3"/>
    </row>
    <row r="480" spans="1:29" x14ac:dyDescent="0.2">
      <c r="A480" s="3">
        <f t="shared" si="295"/>
        <v>47</v>
      </c>
      <c r="B480" s="3"/>
      <c r="C480" s="3" t="s">
        <v>193</v>
      </c>
      <c r="D480" s="3"/>
      <c r="E480" s="4"/>
      <c r="F480" s="8"/>
      <c r="G480" s="8"/>
      <c r="H480" s="8">
        <f t="shared" ref="H480:V480" si="297">SUM(H470:H479)</f>
        <v>10118859.514559805</v>
      </c>
      <c r="I480" s="8">
        <f t="shared" si="297"/>
        <v>0</v>
      </c>
      <c r="J480" s="66">
        <f t="shared" si="288"/>
        <v>10118859.514559805</v>
      </c>
      <c r="K480" s="8">
        <f t="shared" si="297"/>
        <v>4743789.8802447952</v>
      </c>
      <c r="L480" s="8">
        <f t="shared" si="297"/>
        <v>901370.90346829686</v>
      </c>
      <c r="M480" s="9">
        <f t="shared" si="290"/>
        <v>3578381.8186041755</v>
      </c>
      <c r="N480" s="8">
        <f t="shared" si="297"/>
        <v>69811.586208308639</v>
      </c>
      <c r="O480" s="8">
        <f t="shared" si="297"/>
        <v>3508570.2323958669</v>
      </c>
      <c r="P480" s="9">
        <f t="shared" si="286"/>
        <v>481237.15442717483</v>
      </c>
      <c r="Q480" s="8">
        <f t="shared" si="297"/>
        <v>207827.09523604513</v>
      </c>
      <c r="R480" s="8">
        <f t="shared" si="297"/>
        <v>243720.47415740899</v>
      </c>
      <c r="S480" s="8">
        <f>SUM(S470:S479)</f>
        <v>29689.58503372073</v>
      </c>
      <c r="T480" s="8">
        <f t="shared" si="297"/>
        <v>405660.32325356081</v>
      </c>
      <c r="U480" s="8">
        <f t="shared" si="297"/>
        <v>0</v>
      </c>
      <c r="V480" s="8">
        <f t="shared" si="297"/>
        <v>8419.4345618014031</v>
      </c>
      <c r="W480" s="27" t="str">
        <f t="shared" si="275"/>
        <v>OK</v>
      </c>
      <c r="X480" s="3"/>
      <c r="Y480" s="3"/>
      <c r="Z480" s="3"/>
      <c r="AA480" s="3"/>
      <c r="AB480" s="3"/>
      <c r="AC480" s="3"/>
    </row>
    <row r="481" spans="1:29" x14ac:dyDescent="0.2">
      <c r="A481" s="3">
        <f t="shared" si="295"/>
        <v>48</v>
      </c>
      <c r="B481" s="3" t="s">
        <v>142</v>
      </c>
      <c r="C481" s="3"/>
      <c r="D481" s="3"/>
      <c r="E481" s="4"/>
      <c r="F481" s="4"/>
      <c r="G481" s="4"/>
      <c r="H481" s="8"/>
      <c r="I481" s="8"/>
      <c r="J481" s="8"/>
      <c r="K481" s="8"/>
      <c r="L481" s="8"/>
      <c r="M481" s="3"/>
      <c r="N481" s="3"/>
      <c r="O481" s="3"/>
      <c r="P481" s="9">
        <f t="shared" si="286"/>
        <v>0</v>
      </c>
      <c r="Q481" s="3"/>
      <c r="R481" s="3"/>
      <c r="S481" s="3"/>
      <c r="T481" s="3"/>
      <c r="U481" s="3"/>
      <c r="V481" s="3"/>
      <c r="W481" s="27" t="str">
        <f t="shared" si="275"/>
        <v>OK</v>
      </c>
      <c r="X481" s="3"/>
      <c r="Y481" s="3"/>
      <c r="Z481" s="3"/>
      <c r="AA481" s="3"/>
      <c r="AB481" s="3"/>
      <c r="AC481" s="3"/>
    </row>
    <row r="482" spans="1:29" x14ac:dyDescent="0.2">
      <c r="A482" s="3">
        <f t="shared" si="295"/>
        <v>49</v>
      </c>
      <c r="B482" s="3" t="s">
        <v>194</v>
      </c>
      <c r="C482" s="3" t="s">
        <v>195</v>
      </c>
      <c r="D482" s="176" t="str">
        <f t="shared" ref="D482:D489" si="298">B482</f>
        <v>A590</v>
      </c>
      <c r="E482" s="4" t="s">
        <v>591</v>
      </c>
      <c r="F482" s="11"/>
      <c r="G482" s="11"/>
      <c r="H482" s="2">
        <f>'II-I TOTAL COMPANY'!L482</f>
        <v>755.50548390150254</v>
      </c>
      <c r="I482" s="66">
        <v>0</v>
      </c>
      <c r="J482" s="66">
        <f t="shared" ca="1" si="288"/>
        <v>755.50548390150254</v>
      </c>
      <c r="K482" s="12">
        <f t="shared" ref="K482:L489" ca="1" si="299">IF(+$H365&lt;&gt;0,$H482*(+K365/$H365),0)</f>
        <v>354.18608824883034</v>
      </c>
      <c r="L482" s="12">
        <f t="shared" ca="1" si="299"/>
        <v>67.29915161087942</v>
      </c>
      <c r="M482" s="9">
        <f t="shared" ref="M482:M491" ca="1" si="300">SUM(N482:O482)</f>
        <v>267.17310222153958</v>
      </c>
      <c r="N482" s="12">
        <f t="shared" ref="N482:O489" ca="1" si="301">IF(+$H365&lt;&gt;0,$H482*(+N365/$H365),0)</f>
        <v>5.2123498843272671</v>
      </c>
      <c r="O482" s="12">
        <f t="shared" ca="1" si="301"/>
        <v>261.96075233721234</v>
      </c>
      <c r="P482" s="9">
        <f t="shared" ca="1" si="286"/>
        <v>35.930660832254993</v>
      </c>
      <c r="Q482" s="12">
        <f t="shared" ref="Q482:V489" ca="1" si="302">IF(+$H365&lt;&gt;0,$H482*(+Q365/$H365),0)</f>
        <v>15.517016510430564</v>
      </c>
      <c r="R482" s="12">
        <f t="shared" ca="1" si="302"/>
        <v>18.196927677477209</v>
      </c>
      <c r="S482" s="12">
        <f t="shared" ref="S482:S489" ca="1" si="303">IF(+$H365&lt;&gt;0,$H482*(+S365/$H365),0)</f>
        <v>2.216716644347223</v>
      </c>
      <c r="T482" s="12">
        <f t="shared" ca="1" si="302"/>
        <v>30.287859850048914</v>
      </c>
      <c r="U482" s="12">
        <f t="shared" ca="1" si="302"/>
        <v>0</v>
      </c>
      <c r="V482" s="12">
        <f t="shared" ca="1" si="302"/>
        <v>0.62862113794921259</v>
      </c>
      <c r="W482" s="27">
        <f t="shared" ca="1" si="275"/>
        <v>-1.1368683772161603E-13</v>
      </c>
      <c r="X482" s="3"/>
      <c r="Y482" s="3"/>
      <c r="Z482" s="3"/>
      <c r="AA482" s="3"/>
      <c r="AB482" s="3"/>
      <c r="AC482" s="3"/>
    </row>
    <row r="483" spans="1:29" x14ac:dyDescent="0.2">
      <c r="A483" s="3">
        <f t="shared" si="295"/>
        <v>50</v>
      </c>
      <c r="B483" s="3" t="s">
        <v>196</v>
      </c>
      <c r="C483" s="3" t="s">
        <v>143</v>
      </c>
      <c r="D483" s="176" t="str">
        <f t="shared" si="298"/>
        <v>A591</v>
      </c>
      <c r="E483" s="4" t="s">
        <v>591</v>
      </c>
      <c r="F483" s="11"/>
      <c r="G483" s="11"/>
      <c r="H483" s="2">
        <f>'II-I TOTAL COMPANY'!L483</f>
        <v>0</v>
      </c>
      <c r="I483" s="66">
        <v>0</v>
      </c>
      <c r="J483" s="66">
        <f t="shared" si="288"/>
        <v>0</v>
      </c>
      <c r="K483" s="12">
        <f t="shared" si="299"/>
        <v>0</v>
      </c>
      <c r="L483" s="12">
        <f t="shared" si="299"/>
        <v>0</v>
      </c>
      <c r="M483" s="9">
        <f t="shared" si="300"/>
        <v>0</v>
      </c>
      <c r="N483" s="12">
        <f t="shared" si="301"/>
        <v>0</v>
      </c>
      <c r="O483" s="12">
        <f t="shared" si="301"/>
        <v>0</v>
      </c>
      <c r="P483" s="9">
        <f t="shared" si="286"/>
        <v>0</v>
      </c>
      <c r="Q483" s="12">
        <f t="shared" si="302"/>
        <v>0</v>
      </c>
      <c r="R483" s="12">
        <f t="shared" si="302"/>
        <v>0</v>
      </c>
      <c r="S483" s="12">
        <f t="shared" si="303"/>
        <v>0</v>
      </c>
      <c r="T483" s="12">
        <f t="shared" si="302"/>
        <v>0</v>
      </c>
      <c r="U483" s="12">
        <f t="shared" si="302"/>
        <v>0</v>
      </c>
      <c r="V483" s="12">
        <f t="shared" si="302"/>
        <v>0</v>
      </c>
      <c r="W483" s="27" t="str">
        <f t="shared" si="275"/>
        <v>OK</v>
      </c>
      <c r="X483" s="3"/>
      <c r="Y483" s="3"/>
      <c r="Z483" s="3"/>
      <c r="AA483" s="3"/>
      <c r="AB483" s="3"/>
      <c r="AC483" s="3"/>
    </row>
    <row r="484" spans="1:29" x14ac:dyDescent="0.2">
      <c r="A484" s="3">
        <f t="shared" si="295"/>
        <v>51</v>
      </c>
      <c r="B484" s="3" t="s">
        <v>197</v>
      </c>
      <c r="C484" s="3" t="s">
        <v>168</v>
      </c>
      <c r="D484" s="176" t="str">
        <f t="shared" si="298"/>
        <v>A592</v>
      </c>
      <c r="E484" s="4" t="s">
        <v>591</v>
      </c>
      <c r="F484" s="11"/>
      <c r="G484" s="11"/>
      <c r="H484" s="2">
        <f>'II-I TOTAL COMPANY'!L484</f>
        <v>0</v>
      </c>
      <c r="I484" s="66">
        <v>0</v>
      </c>
      <c r="J484" s="66">
        <f t="shared" si="288"/>
        <v>0</v>
      </c>
      <c r="K484" s="12">
        <f t="shared" si="299"/>
        <v>0</v>
      </c>
      <c r="L484" s="12">
        <f t="shared" si="299"/>
        <v>0</v>
      </c>
      <c r="M484" s="9">
        <f t="shared" si="300"/>
        <v>0</v>
      </c>
      <c r="N484" s="12">
        <f t="shared" si="301"/>
        <v>0</v>
      </c>
      <c r="O484" s="12">
        <f t="shared" si="301"/>
        <v>0</v>
      </c>
      <c r="P484" s="9">
        <f t="shared" si="286"/>
        <v>0</v>
      </c>
      <c r="Q484" s="12">
        <f t="shared" si="302"/>
        <v>0</v>
      </c>
      <c r="R484" s="12">
        <f t="shared" si="302"/>
        <v>0</v>
      </c>
      <c r="S484" s="12">
        <f t="shared" si="303"/>
        <v>0</v>
      </c>
      <c r="T484" s="12">
        <f t="shared" si="302"/>
        <v>0</v>
      </c>
      <c r="U484" s="12">
        <f t="shared" si="302"/>
        <v>0</v>
      </c>
      <c r="V484" s="12">
        <f t="shared" si="302"/>
        <v>0</v>
      </c>
      <c r="W484" s="27" t="str">
        <f t="shared" si="275"/>
        <v>OK</v>
      </c>
      <c r="X484" s="3"/>
      <c r="Y484" s="3"/>
      <c r="Z484" s="3"/>
      <c r="AA484" s="3"/>
      <c r="AB484" s="3"/>
      <c r="AC484" s="3"/>
    </row>
    <row r="485" spans="1:29" x14ac:dyDescent="0.2">
      <c r="A485" s="3">
        <f t="shared" si="295"/>
        <v>52</v>
      </c>
      <c r="B485" s="3" t="s">
        <v>198</v>
      </c>
      <c r="C485" s="3" t="s">
        <v>170</v>
      </c>
      <c r="D485" s="176" t="str">
        <f t="shared" si="298"/>
        <v>A593</v>
      </c>
      <c r="E485" s="4" t="s">
        <v>591</v>
      </c>
      <c r="F485" s="11"/>
      <c r="G485" s="11"/>
      <c r="H485" s="2">
        <f>'II-I TOTAL COMPANY'!L485</f>
        <v>0</v>
      </c>
      <c r="I485" s="66">
        <v>0</v>
      </c>
      <c r="J485" s="66">
        <f t="shared" si="288"/>
        <v>0</v>
      </c>
      <c r="K485" s="12">
        <f t="shared" si="299"/>
        <v>0</v>
      </c>
      <c r="L485" s="12">
        <f t="shared" si="299"/>
        <v>0</v>
      </c>
      <c r="M485" s="9">
        <f t="shared" si="300"/>
        <v>0</v>
      </c>
      <c r="N485" s="12">
        <f t="shared" si="301"/>
        <v>0</v>
      </c>
      <c r="O485" s="12">
        <f t="shared" si="301"/>
        <v>0</v>
      </c>
      <c r="P485" s="9">
        <f t="shared" si="286"/>
        <v>0</v>
      </c>
      <c r="Q485" s="12">
        <f t="shared" si="302"/>
        <v>0</v>
      </c>
      <c r="R485" s="12">
        <f t="shared" si="302"/>
        <v>0</v>
      </c>
      <c r="S485" s="12">
        <f t="shared" si="303"/>
        <v>0</v>
      </c>
      <c r="T485" s="12">
        <f t="shared" si="302"/>
        <v>0</v>
      </c>
      <c r="U485" s="12">
        <f t="shared" si="302"/>
        <v>0</v>
      </c>
      <c r="V485" s="12">
        <f t="shared" si="302"/>
        <v>0</v>
      </c>
      <c r="W485" s="27" t="str">
        <f t="shared" si="275"/>
        <v>OK</v>
      </c>
      <c r="X485" s="3"/>
      <c r="Y485" s="3"/>
      <c r="Z485" s="3"/>
      <c r="AA485" s="3"/>
      <c r="AB485" s="3"/>
      <c r="AC485" s="3"/>
    </row>
    <row r="486" spans="1:29" x14ac:dyDescent="0.2">
      <c r="A486" s="3">
        <f t="shared" si="295"/>
        <v>53</v>
      </c>
      <c r="B486" s="3" t="s">
        <v>199</v>
      </c>
      <c r="C486" s="3" t="s">
        <v>172</v>
      </c>
      <c r="D486" s="176" t="str">
        <f t="shared" si="298"/>
        <v>A594</v>
      </c>
      <c r="E486" s="4" t="s">
        <v>591</v>
      </c>
      <c r="F486" s="11"/>
      <c r="G486" s="11"/>
      <c r="H486" s="2">
        <f>'II-I TOTAL COMPANY'!L486</f>
        <v>0</v>
      </c>
      <c r="I486" s="66">
        <v>0</v>
      </c>
      <c r="J486" s="66">
        <f t="shared" si="288"/>
        <v>0</v>
      </c>
      <c r="K486" s="12">
        <f t="shared" si="299"/>
        <v>0</v>
      </c>
      <c r="L486" s="12">
        <f t="shared" si="299"/>
        <v>0</v>
      </c>
      <c r="M486" s="9">
        <f t="shared" si="300"/>
        <v>0</v>
      </c>
      <c r="N486" s="12">
        <f t="shared" si="301"/>
        <v>0</v>
      </c>
      <c r="O486" s="12">
        <f t="shared" si="301"/>
        <v>0</v>
      </c>
      <c r="P486" s="9">
        <f t="shared" si="286"/>
        <v>0</v>
      </c>
      <c r="Q486" s="12">
        <f t="shared" si="302"/>
        <v>0</v>
      </c>
      <c r="R486" s="12">
        <f t="shared" si="302"/>
        <v>0</v>
      </c>
      <c r="S486" s="12">
        <f t="shared" si="303"/>
        <v>0</v>
      </c>
      <c r="T486" s="12">
        <f t="shared" si="302"/>
        <v>0</v>
      </c>
      <c r="U486" s="12">
        <f t="shared" si="302"/>
        <v>0</v>
      </c>
      <c r="V486" s="12">
        <f t="shared" si="302"/>
        <v>0</v>
      </c>
      <c r="W486" s="27" t="str">
        <f t="shared" si="275"/>
        <v>OK</v>
      </c>
      <c r="X486" s="3"/>
      <c r="Y486" s="3"/>
      <c r="Z486" s="3"/>
      <c r="AA486" s="3"/>
      <c r="AB486" s="3"/>
      <c r="AC486" s="3"/>
    </row>
    <row r="487" spans="1:29" x14ac:dyDescent="0.2">
      <c r="A487" s="3">
        <f t="shared" si="295"/>
        <v>54</v>
      </c>
      <c r="B487" s="3" t="s">
        <v>200</v>
      </c>
      <c r="C487" s="3" t="s">
        <v>201</v>
      </c>
      <c r="D487" s="176" t="str">
        <f t="shared" si="298"/>
        <v>A595</v>
      </c>
      <c r="E487" s="4" t="s">
        <v>591</v>
      </c>
      <c r="F487" s="11"/>
      <c r="G487" s="11"/>
      <c r="H487" s="2">
        <f>'II-I TOTAL COMPANY'!L487</f>
        <v>0</v>
      </c>
      <c r="I487" s="66">
        <v>0</v>
      </c>
      <c r="J487" s="66">
        <f t="shared" si="288"/>
        <v>0</v>
      </c>
      <c r="K487" s="12">
        <f t="shared" si="299"/>
        <v>0</v>
      </c>
      <c r="L487" s="12">
        <f t="shared" si="299"/>
        <v>0</v>
      </c>
      <c r="M487" s="9">
        <f t="shared" si="300"/>
        <v>0</v>
      </c>
      <c r="N487" s="12">
        <f t="shared" si="301"/>
        <v>0</v>
      </c>
      <c r="O487" s="12">
        <f t="shared" si="301"/>
        <v>0</v>
      </c>
      <c r="P487" s="9">
        <f t="shared" si="286"/>
        <v>0</v>
      </c>
      <c r="Q487" s="12">
        <f t="shared" si="302"/>
        <v>0</v>
      </c>
      <c r="R487" s="12">
        <f t="shared" si="302"/>
        <v>0</v>
      </c>
      <c r="S487" s="12">
        <f t="shared" si="303"/>
        <v>0</v>
      </c>
      <c r="T487" s="12">
        <f t="shared" si="302"/>
        <v>0</v>
      </c>
      <c r="U487" s="12">
        <f t="shared" si="302"/>
        <v>0</v>
      </c>
      <c r="V487" s="12">
        <f t="shared" si="302"/>
        <v>0</v>
      </c>
      <c r="W487" s="27" t="str">
        <f t="shared" si="275"/>
        <v>OK</v>
      </c>
      <c r="X487" s="3"/>
      <c r="Y487" s="3"/>
      <c r="Z487" s="3"/>
      <c r="AA487" s="3"/>
      <c r="AB487" s="3"/>
      <c r="AC487" s="3"/>
    </row>
    <row r="488" spans="1:29" x14ac:dyDescent="0.2">
      <c r="A488" s="3">
        <f t="shared" si="295"/>
        <v>55</v>
      </c>
      <c r="B488" s="3" t="s">
        <v>202</v>
      </c>
      <c r="C488" s="3" t="s">
        <v>203</v>
      </c>
      <c r="D488" s="176" t="str">
        <f t="shared" si="298"/>
        <v>A596</v>
      </c>
      <c r="E488" s="4" t="s">
        <v>591</v>
      </c>
      <c r="F488" s="11"/>
      <c r="G488" s="11"/>
      <c r="H488" s="2">
        <f>'II-I TOTAL COMPANY'!L488</f>
        <v>0</v>
      </c>
      <c r="I488" s="66">
        <v>0</v>
      </c>
      <c r="J488" s="66">
        <f t="shared" si="288"/>
        <v>0</v>
      </c>
      <c r="K488" s="12">
        <f t="shared" si="299"/>
        <v>0</v>
      </c>
      <c r="L488" s="12">
        <f t="shared" si="299"/>
        <v>0</v>
      </c>
      <c r="M488" s="9">
        <f t="shared" si="300"/>
        <v>0</v>
      </c>
      <c r="N488" s="12">
        <f t="shared" si="301"/>
        <v>0</v>
      </c>
      <c r="O488" s="12">
        <f t="shared" si="301"/>
        <v>0</v>
      </c>
      <c r="P488" s="9">
        <f t="shared" si="286"/>
        <v>0</v>
      </c>
      <c r="Q488" s="12">
        <f t="shared" si="302"/>
        <v>0</v>
      </c>
      <c r="R488" s="12">
        <f t="shared" si="302"/>
        <v>0</v>
      </c>
      <c r="S488" s="12">
        <f t="shared" si="303"/>
        <v>0</v>
      </c>
      <c r="T488" s="12">
        <f t="shared" si="302"/>
        <v>0</v>
      </c>
      <c r="U488" s="12">
        <f t="shared" si="302"/>
        <v>0</v>
      </c>
      <c r="V488" s="12">
        <f t="shared" si="302"/>
        <v>0</v>
      </c>
      <c r="W488" s="27" t="str">
        <f t="shared" si="275"/>
        <v>OK</v>
      </c>
      <c r="X488" s="3"/>
      <c r="Y488" s="3"/>
      <c r="Z488" s="3"/>
      <c r="AA488" s="3"/>
      <c r="AB488" s="3"/>
      <c r="AC488" s="3"/>
    </row>
    <row r="489" spans="1:29" x14ac:dyDescent="0.2">
      <c r="A489" s="3">
        <f t="shared" si="295"/>
        <v>56</v>
      </c>
      <c r="B489" s="3" t="s">
        <v>204</v>
      </c>
      <c r="C489" s="3" t="s">
        <v>205</v>
      </c>
      <c r="D489" s="176" t="str">
        <f t="shared" si="298"/>
        <v>A597</v>
      </c>
      <c r="E489" s="4" t="s">
        <v>591</v>
      </c>
      <c r="F489" s="11"/>
      <c r="G489" s="11"/>
      <c r="H489" s="2">
        <f>'II-I TOTAL COMPANY'!L489</f>
        <v>294104.39664804225</v>
      </c>
      <c r="I489" s="66">
        <v>0</v>
      </c>
      <c r="J489" s="66">
        <f t="shared" si="288"/>
        <v>294104.39664804231</v>
      </c>
      <c r="K489" s="12">
        <f t="shared" si="299"/>
        <v>137878.13325671791</v>
      </c>
      <c r="L489" s="12">
        <f t="shared" si="299"/>
        <v>26198.322581631037</v>
      </c>
      <c r="M489" s="9">
        <f t="shared" si="300"/>
        <v>104005.5773303903</v>
      </c>
      <c r="N489" s="12">
        <f t="shared" si="301"/>
        <v>2029.0719928757296</v>
      </c>
      <c r="O489" s="12">
        <f t="shared" si="301"/>
        <v>101976.50533751457</v>
      </c>
      <c r="P489" s="9">
        <f t="shared" si="286"/>
        <v>13987.145759240446</v>
      </c>
      <c r="Q489" s="12">
        <f t="shared" si="302"/>
        <v>6040.4892827659014</v>
      </c>
      <c r="R489" s="12">
        <f t="shared" si="302"/>
        <v>7083.7294360794149</v>
      </c>
      <c r="S489" s="12">
        <f t="shared" si="303"/>
        <v>862.92704039512864</v>
      </c>
      <c r="T489" s="12">
        <f t="shared" si="302"/>
        <v>11790.507066816257</v>
      </c>
      <c r="U489" s="12">
        <f t="shared" si="302"/>
        <v>0</v>
      </c>
      <c r="V489" s="12">
        <f t="shared" si="302"/>
        <v>244.71065324637979</v>
      </c>
      <c r="W489" s="27">
        <f t="shared" si="275"/>
        <v>5.8207660913467407E-11</v>
      </c>
      <c r="X489" s="3"/>
      <c r="Y489" s="3"/>
      <c r="Z489" s="3"/>
      <c r="AA489" s="3"/>
      <c r="AB489" s="3"/>
      <c r="AC489" s="3"/>
    </row>
    <row r="490" spans="1:29" x14ac:dyDescent="0.2">
      <c r="A490" s="3">
        <f t="shared" si="295"/>
        <v>57</v>
      </c>
      <c r="B490" s="3" t="s">
        <v>309</v>
      </c>
      <c r="C490" s="3" t="s">
        <v>206</v>
      </c>
      <c r="D490" s="176" t="s">
        <v>571</v>
      </c>
      <c r="E490" s="4" t="s">
        <v>591</v>
      </c>
      <c r="F490" s="11"/>
      <c r="G490" s="11"/>
      <c r="H490" s="2">
        <f>'II-I TOTAL COMPANY'!L490</f>
        <v>463.82292386953611</v>
      </c>
      <c r="I490" s="66">
        <v>0</v>
      </c>
      <c r="J490" s="66">
        <f t="shared" ca="1" si="288"/>
        <v>463.822923869536</v>
      </c>
      <c r="K490" s="12">
        <f ca="1">IF(+$H365&lt;&gt;0,$H490*(+K365/$H365),0)</f>
        <v>217.4433284019731</v>
      </c>
      <c r="L490" s="12">
        <f ca="1">IF(+$H365&lt;&gt;0,$H490*(+L365/$H365),0)</f>
        <v>41.316562141813485</v>
      </c>
      <c r="M490" s="9">
        <f t="shared" ca="1" si="300"/>
        <v>164.02397082778145</v>
      </c>
      <c r="N490" s="12">
        <f ca="1">IF(+$H365&lt;&gt;0,$H490*(+N365/$H365),0)</f>
        <v>3.1999865190851509</v>
      </c>
      <c r="O490" s="12">
        <f ca="1">IF(+$H365&lt;&gt;0,$H490*(+O365/$H365),0)</f>
        <v>160.82398430869631</v>
      </c>
      <c r="P490" s="9">
        <f t="shared" ca="1" si="286"/>
        <v>22.058693839942872</v>
      </c>
      <c r="Q490" s="12">
        <f t="shared" ref="Q490:V490" ca="1" si="304">IF(+$H365&lt;&gt;0,$H490*(+Q365/$H365),0)</f>
        <v>9.5262683341926397</v>
      </c>
      <c r="R490" s="12">
        <f t="shared" ca="1" si="304"/>
        <v>11.171530029436999</v>
      </c>
      <c r="S490" s="12">
        <f t="shared" ca="1" si="304"/>
        <v>1.3608954763132339</v>
      </c>
      <c r="T490" s="12">
        <f t="shared" ca="1" si="304"/>
        <v>18.594443075190071</v>
      </c>
      <c r="U490" s="12">
        <f t="shared" ca="1" si="304"/>
        <v>0</v>
      </c>
      <c r="V490" s="12">
        <f t="shared" ca="1" si="304"/>
        <v>0.38592558283509626</v>
      </c>
      <c r="W490" s="27">
        <f t="shared" ca="1" si="275"/>
        <v>-5.6843418860808015E-14</v>
      </c>
      <c r="X490" s="3"/>
      <c r="Y490" s="3"/>
      <c r="Z490" s="3"/>
      <c r="AA490" s="3"/>
      <c r="AB490" s="3"/>
      <c r="AC490" s="3"/>
    </row>
    <row r="491" spans="1:29" x14ac:dyDescent="0.2">
      <c r="A491" s="3">
        <f t="shared" si="295"/>
        <v>58</v>
      </c>
      <c r="B491" s="3"/>
      <c r="C491" s="3" t="s">
        <v>280</v>
      </c>
      <c r="D491" s="3"/>
      <c r="E491" s="4"/>
      <c r="F491" s="8"/>
      <c r="G491" s="8"/>
      <c r="H491" s="8">
        <f t="shared" ref="H491:V491" si="305">SUM(H482:H490)</f>
        <v>295323.72505581327</v>
      </c>
      <c r="I491" s="8">
        <f t="shared" si="305"/>
        <v>0</v>
      </c>
      <c r="J491" s="66">
        <f t="shared" ca="1" si="288"/>
        <v>295323.72505581338</v>
      </c>
      <c r="K491" s="8">
        <f t="shared" ca="1" si="305"/>
        <v>138449.76267336871</v>
      </c>
      <c r="L491" s="8">
        <f t="shared" ca="1" si="305"/>
        <v>26306.938295383727</v>
      </c>
      <c r="M491" s="9">
        <f t="shared" ca="1" si="300"/>
        <v>104436.77440343962</v>
      </c>
      <c r="N491" s="8">
        <f t="shared" ca="1" si="305"/>
        <v>2037.484329279142</v>
      </c>
      <c r="O491" s="8">
        <f t="shared" ca="1" si="305"/>
        <v>102399.29007416047</v>
      </c>
      <c r="P491" s="9">
        <f t="shared" ca="1" si="286"/>
        <v>14045.135113912642</v>
      </c>
      <c r="Q491" s="8">
        <f t="shared" ca="1" si="305"/>
        <v>6065.5325676105249</v>
      </c>
      <c r="R491" s="8">
        <f t="shared" ca="1" si="305"/>
        <v>7113.0978937863292</v>
      </c>
      <c r="S491" s="8">
        <f ca="1">SUM(S482:S490)</f>
        <v>866.50465251578908</v>
      </c>
      <c r="T491" s="8">
        <f t="shared" ca="1" si="305"/>
        <v>11839.389369741495</v>
      </c>
      <c r="U491" s="8">
        <f t="shared" ca="1" si="305"/>
        <v>0</v>
      </c>
      <c r="V491" s="8">
        <f t="shared" ca="1" si="305"/>
        <v>245.72519996716409</v>
      </c>
      <c r="W491" s="27">
        <f t="shared" ca="1" si="275"/>
        <v>5.8207660913467407E-11</v>
      </c>
      <c r="X491" s="3"/>
      <c r="Y491" s="3"/>
      <c r="Z491" s="3"/>
      <c r="AA491" s="3"/>
      <c r="AB491" s="3"/>
      <c r="AC491" s="3"/>
    </row>
    <row r="492" spans="1:29" x14ac:dyDescent="0.2">
      <c r="A492" s="3">
        <f t="shared" si="295"/>
        <v>59</v>
      </c>
      <c r="B492" s="3"/>
      <c r="C492" s="3"/>
      <c r="D492" s="3"/>
      <c r="E492" s="4"/>
      <c r="F492" s="8"/>
      <c r="G492" s="8"/>
      <c r="H492" s="8"/>
      <c r="I492" s="8"/>
      <c r="J492" s="8"/>
      <c r="K492" s="8"/>
      <c r="L492" s="8"/>
      <c r="M492" s="3"/>
      <c r="N492" s="3"/>
      <c r="O492" s="3"/>
      <c r="P492" s="9">
        <f t="shared" si="286"/>
        <v>0</v>
      </c>
      <c r="Q492" s="3"/>
      <c r="R492" s="3"/>
      <c r="S492" s="3"/>
      <c r="T492" s="3"/>
      <c r="U492" s="3"/>
      <c r="V492" s="3"/>
      <c r="W492" s="27" t="str">
        <f t="shared" si="275"/>
        <v>OK</v>
      </c>
      <c r="X492" s="3"/>
      <c r="Y492" s="3"/>
      <c r="Z492" s="3"/>
      <c r="AA492" s="3"/>
      <c r="AB492" s="3"/>
      <c r="AC492" s="3"/>
    </row>
    <row r="493" spans="1:29" x14ac:dyDescent="0.2">
      <c r="A493" s="3">
        <f t="shared" si="295"/>
        <v>60</v>
      </c>
      <c r="B493" s="3"/>
      <c r="C493" s="3" t="s">
        <v>281</v>
      </c>
      <c r="D493" s="3"/>
      <c r="E493" s="4"/>
      <c r="F493" s="8"/>
      <c r="G493" s="8"/>
      <c r="H493" s="8">
        <f t="shared" ref="H493:V493" si="306">H480+H491</f>
        <v>10414183.239615619</v>
      </c>
      <c r="I493" s="8">
        <f t="shared" si="306"/>
        <v>0</v>
      </c>
      <c r="J493" s="66">
        <f t="shared" ca="1" si="288"/>
        <v>10414183.239615617</v>
      </c>
      <c r="K493" s="8">
        <f t="shared" ca="1" si="306"/>
        <v>4882239.6429181639</v>
      </c>
      <c r="L493" s="8">
        <f ca="1">L480+L491</f>
        <v>927677.84176368057</v>
      </c>
      <c r="M493" s="9">
        <f ca="1">SUM(N493:O493)</f>
        <v>3682818.5930076148</v>
      </c>
      <c r="N493" s="8">
        <f t="shared" ca="1" si="306"/>
        <v>71849.070537587788</v>
      </c>
      <c r="O493" s="8">
        <f t="shared" ca="1" si="306"/>
        <v>3610969.5224700272</v>
      </c>
      <c r="P493" s="9">
        <f t="shared" ca="1" si="286"/>
        <v>495282.28954108752</v>
      </c>
      <c r="Q493" s="8">
        <f t="shared" ca="1" si="306"/>
        <v>213892.62780365566</v>
      </c>
      <c r="R493" s="8">
        <f t="shared" ca="1" si="306"/>
        <v>250833.57205119531</v>
      </c>
      <c r="S493" s="8">
        <f ca="1">S480+S491</f>
        <v>30556.089686236519</v>
      </c>
      <c r="T493" s="8">
        <f t="shared" ca="1" si="306"/>
        <v>417499.7126233023</v>
      </c>
      <c r="U493" s="8">
        <f t="shared" ca="1" si="306"/>
        <v>0</v>
      </c>
      <c r="V493" s="8">
        <f t="shared" ca="1" si="306"/>
        <v>8665.1597617685675</v>
      </c>
      <c r="W493" s="27">
        <f t="shared" ca="1" si="275"/>
        <v>-1.862645149230957E-9</v>
      </c>
      <c r="X493" s="3"/>
      <c r="Y493" s="3"/>
      <c r="Z493" s="3"/>
      <c r="AA493" s="3"/>
      <c r="AB493" s="3"/>
      <c r="AC493" s="3"/>
    </row>
    <row r="494" spans="1:29" x14ac:dyDescent="0.2">
      <c r="A494" s="3">
        <f t="shared" si="295"/>
        <v>61</v>
      </c>
      <c r="B494" s="3"/>
      <c r="C494" s="3"/>
      <c r="D494" s="3"/>
      <c r="E494" s="4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9">
        <f t="shared" si="286"/>
        <v>0</v>
      </c>
      <c r="Q494" s="8"/>
      <c r="R494" s="8"/>
      <c r="S494" s="8"/>
      <c r="T494" s="8"/>
      <c r="U494" s="8"/>
      <c r="V494" s="8"/>
      <c r="W494" s="27" t="str">
        <f t="shared" si="275"/>
        <v>OK</v>
      </c>
      <c r="X494" s="3"/>
      <c r="Y494" s="3"/>
      <c r="Z494" s="3"/>
      <c r="AA494" s="3"/>
      <c r="AB494" s="3"/>
      <c r="AC494" s="3"/>
    </row>
    <row r="495" spans="1:29" x14ac:dyDescent="0.2">
      <c r="A495" s="3">
        <f t="shared" si="295"/>
        <v>62</v>
      </c>
      <c r="B495" s="3"/>
      <c r="C495" s="3" t="s">
        <v>211</v>
      </c>
      <c r="D495" s="3"/>
      <c r="E495" s="4"/>
      <c r="F495" s="8"/>
      <c r="G495" s="8"/>
      <c r="H495" s="8">
        <f t="shared" ref="H495:V495" si="307">H439+H465+H493</f>
        <v>10414183.239615619</v>
      </c>
      <c r="I495" s="8">
        <f t="shared" si="307"/>
        <v>0</v>
      </c>
      <c r="J495" s="66">
        <f t="shared" ca="1" si="288"/>
        <v>10414183.239615617</v>
      </c>
      <c r="K495" s="8">
        <f t="shared" ca="1" si="307"/>
        <v>4882239.6429181639</v>
      </c>
      <c r="L495" s="8">
        <f ca="1">L439+L465+L493</f>
        <v>927677.84176368057</v>
      </c>
      <c r="M495" s="9">
        <f ca="1">SUM(N495:O495)</f>
        <v>3682818.5930076148</v>
      </c>
      <c r="N495" s="8">
        <f t="shared" ca="1" si="307"/>
        <v>71849.070537587788</v>
      </c>
      <c r="O495" s="8">
        <f t="shared" ca="1" si="307"/>
        <v>3610969.5224700272</v>
      </c>
      <c r="P495" s="9">
        <f t="shared" ca="1" si="286"/>
        <v>495282.28954108752</v>
      </c>
      <c r="Q495" s="8">
        <f t="shared" ca="1" si="307"/>
        <v>213892.62780365566</v>
      </c>
      <c r="R495" s="8">
        <f t="shared" ca="1" si="307"/>
        <v>250833.57205119531</v>
      </c>
      <c r="S495" s="8">
        <f ca="1">S439+S465+S493</f>
        <v>30556.089686236519</v>
      </c>
      <c r="T495" s="8">
        <f t="shared" ca="1" si="307"/>
        <v>417499.7126233023</v>
      </c>
      <c r="U495" s="8">
        <f t="shared" ca="1" si="307"/>
        <v>0</v>
      </c>
      <c r="V495" s="8">
        <f t="shared" ca="1" si="307"/>
        <v>8665.1597617685675</v>
      </c>
      <c r="W495" s="27">
        <f t="shared" ca="1" si="275"/>
        <v>-1.862645149230957E-9</v>
      </c>
      <c r="X495" s="3"/>
      <c r="Y495" s="3"/>
      <c r="Z495" s="3"/>
      <c r="AA495" s="3"/>
      <c r="AB495" s="3"/>
      <c r="AC495" s="3"/>
    </row>
    <row r="496" spans="1:29" x14ac:dyDescent="0.2">
      <c r="A496" s="3"/>
      <c r="B496" s="7" t="s">
        <v>274</v>
      </c>
      <c r="C496" s="3"/>
      <c r="D496" s="3"/>
      <c r="E496" s="4"/>
      <c r="F496" s="4"/>
      <c r="G496" s="4"/>
      <c r="H496" s="8"/>
      <c r="I496" s="8"/>
      <c r="J496" s="8"/>
      <c r="K496" s="8"/>
      <c r="L496" s="8"/>
      <c r="M496" s="3"/>
      <c r="N496" s="3"/>
      <c r="O496" s="3"/>
      <c r="P496" s="9">
        <f t="shared" si="286"/>
        <v>0</v>
      </c>
      <c r="Q496" s="3"/>
      <c r="R496" s="3"/>
      <c r="S496" s="3"/>
      <c r="T496" s="3"/>
      <c r="U496" s="3"/>
      <c r="V496" s="3"/>
      <c r="W496" s="27" t="str">
        <f t="shared" si="275"/>
        <v>OK</v>
      </c>
      <c r="X496" s="3"/>
      <c r="Y496" s="3"/>
      <c r="Z496" s="3"/>
      <c r="AA496" s="3"/>
      <c r="AB496" s="3"/>
      <c r="AC496" s="3"/>
    </row>
    <row r="497" spans="1:29" x14ac:dyDescent="0.2">
      <c r="A497" s="3"/>
      <c r="B497" s="3"/>
      <c r="C497" s="3"/>
      <c r="D497" s="3"/>
      <c r="E497" s="4"/>
      <c r="F497" s="4"/>
      <c r="G497" s="4"/>
      <c r="H497" s="8"/>
      <c r="I497" s="8"/>
      <c r="J497" s="8"/>
      <c r="K497" s="8"/>
      <c r="L497" s="8"/>
      <c r="M497" s="3"/>
      <c r="N497" s="3"/>
      <c r="O497" s="3"/>
      <c r="P497" s="9">
        <f t="shared" si="286"/>
        <v>0</v>
      </c>
      <c r="Q497" s="3"/>
      <c r="R497" s="3"/>
      <c r="S497" s="3"/>
      <c r="T497" s="3"/>
      <c r="U497" s="3"/>
      <c r="V497" s="3"/>
      <c r="W497" s="27" t="str">
        <f t="shared" si="275"/>
        <v>OK</v>
      </c>
      <c r="X497" s="3"/>
      <c r="Y497" s="3"/>
      <c r="Z497" s="3"/>
      <c r="AA497" s="3"/>
      <c r="AB497" s="3"/>
      <c r="AC497" s="3"/>
    </row>
    <row r="498" spans="1:29" x14ac:dyDescent="0.2">
      <c r="A498" s="3">
        <v>1</v>
      </c>
      <c r="B498" s="3" t="s">
        <v>282</v>
      </c>
      <c r="C498" s="3"/>
      <c r="D498" s="3"/>
      <c r="E498" s="4"/>
      <c r="F498" s="4"/>
      <c r="G498" s="4"/>
      <c r="H498" s="8"/>
      <c r="I498" s="8"/>
      <c r="J498" s="8"/>
      <c r="K498" s="8"/>
      <c r="L498" s="8"/>
      <c r="M498" s="3"/>
      <c r="N498" s="3"/>
      <c r="O498" s="3"/>
      <c r="P498" s="9">
        <f t="shared" si="286"/>
        <v>0</v>
      </c>
      <c r="Q498" s="3"/>
      <c r="R498" s="3"/>
      <c r="S498" s="3"/>
      <c r="T498" s="3"/>
      <c r="U498" s="3"/>
      <c r="V498" s="3"/>
      <c r="W498" s="27" t="str">
        <f t="shared" si="275"/>
        <v>OK</v>
      </c>
      <c r="X498" s="3"/>
      <c r="Y498" s="3"/>
      <c r="Z498" s="3"/>
      <c r="AA498" s="3"/>
      <c r="AB498" s="3"/>
      <c r="AC498" s="3"/>
    </row>
    <row r="499" spans="1:29" x14ac:dyDescent="0.2">
      <c r="A499" s="3">
        <f t="shared" ref="A499:A525" si="308">+A498+1</f>
        <v>2</v>
      </c>
      <c r="B499" s="3"/>
      <c r="C499" s="3" t="s">
        <v>213</v>
      </c>
      <c r="D499" s="3"/>
      <c r="E499" s="4"/>
      <c r="F499" s="4"/>
      <c r="G499" s="4"/>
      <c r="H499" s="8"/>
      <c r="I499" s="8"/>
      <c r="J499" s="8"/>
      <c r="K499" s="8"/>
      <c r="L499" s="8"/>
      <c r="M499" s="3"/>
      <c r="N499" s="3"/>
      <c r="O499" s="3"/>
      <c r="P499" s="9">
        <f t="shared" si="286"/>
        <v>0</v>
      </c>
      <c r="Q499" s="3"/>
      <c r="R499" s="3"/>
      <c r="S499" s="3"/>
      <c r="T499" s="3"/>
      <c r="U499" s="3"/>
      <c r="V499" s="3"/>
      <c r="W499" s="27" t="str">
        <f t="shared" si="275"/>
        <v>OK</v>
      </c>
      <c r="X499" s="3"/>
      <c r="Y499" s="3"/>
      <c r="Z499" s="3"/>
      <c r="AA499" s="3"/>
      <c r="AB499" s="3"/>
      <c r="AC499" s="3"/>
    </row>
    <row r="500" spans="1:29" x14ac:dyDescent="0.2">
      <c r="A500" s="3">
        <f t="shared" si="308"/>
        <v>3</v>
      </c>
      <c r="B500" s="3" t="s">
        <v>214</v>
      </c>
      <c r="C500" s="3" t="s">
        <v>215</v>
      </c>
      <c r="D500" s="176" t="str">
        <f t="shared" ref="D500:D505" si="309">B500</f>
        <v>A901</v>
      </c>
      <c r="E500" s="4" t="s">
        <v>591</v>
      </c>
      <c r="F500" s="11"/>
      <c r="G500" s="11"/>
      <c r="H500" s="2">
        <f>'II-I TOTAL COMPANY'!L500</f>
        <v>12758.511169563351</v>
      </c>
      <c r="I500" s="66">
        <v>0</v>
      </c>
      <c r="J500" s="66">
        <f>SUM(K500:V500)-M500-P500</f>
        <v>12758.511169563353</v>
      </c>
      <c r="K500" s="12">
        <f t="shared" ref="K500:L505" si="310">IF(+$H382&lt;&gt;0,$H500*(+K382/$H382),0)</f>
        <v>5981.2764557190058</v>
      </c>
      <c r="L500" s="12">
        <f t="shared" si="310"/>
        <v>1136.5066115674754</v>
      </c>
      <c r="M500" s="9">
        <f t="shared" ref="M500:M506" si="311">SUM(N500:O500)</f>
        <v>4511.8547535848347</v>
      </c>
      <c r="N500" s="12">
        <f t="shared" ref="N500:O505" si="312">IF(+$H382&lt;&gt;0,$H500*(+N382/$H382),0)</f>
        <v>88.022953685842097</v>
      </c>
      <c r="O500" s="12">
        <f t="shared" si="312"/>
        <v>4423.8317998989924</v>
      </c>
      <c r="P500" s="9">
        <f t="shared" si="286"/>
        <v>606.77486441366932</v>
      </c>
      <c r="Q500" s="12">
        <f t="shared" ref="Q500:V505" si="313">IF(+$H382&lt;&gt;0,$H500*(+Q382/$H382),0)</f>
        <v>262.04181529466933</v>
      </c>
      <c r="R500" s="12">
        <f t="shared" si="313"/>
        <v>307.29850407690435</v>
      </c>
      <c r="S500" s="12">
        <f t="shared" ref="S500:S505" si="314">IF(+$H382&lt;&gt;0,$H500*(+S382/$H382),0)</f>
        <v>37.434545042095621</v>
      </c>
      <c r="T500" s="12">
        <f t="shared" si="313"/>
        <v>511.48271777389004</v>
      </c>
      <c r="U500" s="12">
        <f t="shared" si="313"/>
        <v>0</v>
      </c>
      <c r="V500" s="12">
        <f t="shared" si="313"/>
        <v>10.615766504474879</v>
      </c>
      <c r="W500" s="27" t="str">
        <f t="shared" si="275"/>
        <v>OK</v>
      </c>
      <c r="X500" s="3"/>
      <c r="Y500" s="3"/>
      <c r="Z500" s="3"/>
      <c r="AA500" s="3"/>
      <c r="AB500" s="3"/>
      <c r="AC500" s="3"/>
    </row>
    <row r="501" spans="1:29" x14ac:dyDescent="0.2">
      <c r="A501" s="3">
        <f t="shared" si="308"/>
        <v>4</v>
      </c>
      <c r="B501" s="3" t="s">
        <v>216</v>
      </c>
      <c r="C501" s="3" t="s">
        <v>217</v>
      </c>
      <c r="D501" s="176" t="str">
        <f t="shared" si="309"/>
        <v>A902</v>
      </c>
      <c r="E501" s="4" t="s">
        <v>591</v>
      </c>
      <c r="F501" s="11"/>
      <c r="G501" s="11"/>
      <c r="H501" s="2">
        <f>'II-I TOTAL COMPANY'!L501</f>
        <v>15700.196145589029</v>
      </c>
      <c r="I501" s="66">
        <v>0</v>
      </c>
      <c r="J501" s="66">
        <f t="shared" ref="J501:J506" si="315">SUM(K501:V501)-M501-P501</f>
        <v>15700.196145589029</v>
      </c>
      <c r="K501" s="12">
        <f t="shared" si="310"/>
        <v>7360.3582979028615</v>
      </c>
      <c r="L501" s="12">
        <f t="shared" si="310"/>
        <v>1398.546937430694</v>
      </c>
      <c r="M501" s="9">
        <f t="shared" si="311"/>
        <v>5552.1372102317555</v>
      </c>
      <c r="N501" s="12">
        <f t="shared" si="312"/>
        <v>108.3180960391883</v>
      </c>
      <c r="O501" s="12">
        <f t="shared" si="312"/>
        <v>5443.8191141925672</v>
      </c>
      <c r="P501" s="9">
        <f t="shared" si="286"/>
        <v>746.67680741888887</v>
      </c>
      <c r="Q501" s="12">
        <f t="shared" si="313"/>
        <v>322.45987355382954</v>
      </c>
      <c r="R501" s="12">
        <f t="shared" si="313"/>
        <v>378.15123764308368</v>
      </c>
      <c r="S501" s="12">
        <f t="shared" si="314"/>
        <v>46.065696221975642</v>
      </c>
      <c r="T501" s="12">
        <f t="shared" si="313"/>
        <v>629.41348621352199</v>
      </c>
      <c r="U501" s="12">
        <f t="shared" si="313"/>
        <v>0</v>
      </c>
      <c r="V501" s="12">
        <f t="shared" si="313"/>
        <v>13.063406391306525</v>
      </c>
      <c r="W501" s="27" t="str">
        <f t="shared" si="275"/>
        <v>OK</v>
      </c>
      <c r="X501" s="3"/>
      <c r="Y501" s="3"/>
      <c r="Z501" s="3"/>
      <c r="AA501" s="3"/>
      <c r="AB501" s="3"/>
      <c r="AC501" s="3"/>
    </row>
    <row r="502" spans="1:29" x14ac:dyDescent="0.2">
      <c r="A502" s="3">
        <f t="shared" si="308"/>
        <v>5</v>
      </c>
      <c r="B502" s="3" t="s">
        <v>218</v>
      </c>
      <c r="C502" s="3" t="s">
        <v>219</v>
      </c>
      <c r="D502" s="176" t="str">
        <f t="shared" si="309"/>
        <v>A903</v>
      </c>
      <c r="E502" s="4" t="s">
        <v>591</v>
      </c>
      <c r="F502" s="11"/>
      <c r="G502" s="11"/>
      <c r="H502" s="2">
        <f>'II-I TOTAL COMPANY'!L502</f>
        <v>0</v>
      </c>
      <c r="I502" s="66">
        <v>0</v>
      </c>
      <c r="J502" s="66">
        <f t="shared" si="315"/>
        <v>0</v>
      </c>
      <c r="K502" s="12">
        <f t="shared" si="310"/>
        <v>0</v>
      </c>
      <c r="L502" s="12">
        <f t="shared" si="310"/>
        <v>0</v>
      </c>
      <c r="M502" s="9">
        <f t="shared" si="311"/>
        <v>0</v>
      </c>
      <c r="N502" s="12">
        <f t="shared" si="312"/>
        <v>0</v>
      </c>
      <c r="O502" s="12">
        <f t="shared" si="312"/>
        <v>0</v>
      </c>
      <c r="P502" s="9">
        <f t="shared" si="286"/>
        <v>0</v>
      </c>
      <c r="Q502" s="12">
        <f t="shared" si="313"/>
        <v>0</v>
      </c>
      <c r="R502" s="12">
        <f t="shared" si="313"/>
        <v>0</v>
      </c>
      <c r="S502" s="12">
        <f t="shared" si="314"/>
        <v>0</v>
      </c>
      <c r="T502" s="12">
        <f t="shared" si="313"/>
        <v>0</v>
      </c>
      <c r="U502" s="12">
        <f t="shared" si="313"/>
        <v>0</v>
      </c>
      <c r="V502" s="12">
        <f t="shared" si="313"/>
        <v>0</v>
      </c>
      <c r="W502" s="27" t="str">
        <f t="shared" si="275"/>
        <v>OK</v>
      </c>
      <c r="X502" s="3"/>
      <c r="Y502" s="3"/>
      <c r="Z502" s="3"/>
      <c r="AA502" s="3"/>
      <c r="AB502" s="3"/>
      <c r="AC502" s="3"/>
    </row>
    <row r="503" spans="1:29" x14ac:dyDescent="0.2">
      <c r="A503" s="3">
        <f t="shared" si="308"/>
        <v>6</v>
      </c>
      <c r="B503" s="3" t="s">
        <v>218</v>
      </c>
      <c r="C503" s="3" t="s">
        <v>219</v>
      </c>
      <c r="D503" s="176" t="str">
        <f t="shared" si="309"/>
        <v>A903</v>
      </c>
      <c r="E503" s="4" t="s">
        <v>591</v>
      </c>
      <c r="F503" s="11"/>
      <c r="G503" s="11"/>
      <c r="H503" s="2">
        <f>'II-I TOTAL COMPANY'!L503</f>
        <v>0</v>
      </c>
      <c r="I503" s="66">
        <v>0</v>
      </c>
      <c r="J503" s="66">
        <f t="shared" si="315"/>
        <v>0</v>
      </c>
      <c r="K503" s="12">
        <f t="shared" si="310"/>
        <v>0</v>
      </c>
      <c r="L503" s="12">
        <f t="shared" si="310"/>
        <v>0</v>
      </c>
      <c r="M503" s="9">
        <f t="shared" si="311"/>
        <v>0</v>
      </c>
      <c r="N503" s="12">
        <f t="shared" si="312"/>
        <v>0</v>
      </c>
      <c r="O503" s="12">
        <f t="shared" si="312"/>
        <v>0</v>
      </c>
      <c r="P503" s="9">
        <f t="shared" si="286"/>
        <v>0</v>
      </c>
      <c r="Q503" s="12">
        <f t="shared" si="313"/>
        <v>0</v>
      </c>
      <c r="R503" s="12">
        <f t="shared" si="313"/>
        <v>0</v>
      </c>
      <c r="S503" s="12">
        <f t="shared" si="314"/>
        <v>0</v>
      </c>
      <c r="T503" s="12">
        <f t="shared" si="313"/>
        <v>0</v>
      </c>
      <c r="U503" s="12">
        <f t="shared" si="313"/>
        <v>0</v>
      </c>
      <c r="V503" s="12">
        <f t="shared" si="313"/>
        <v>0</v>
      </c>
      <c r="W503" s="27" t="str">
        <f t="shared" si="275"/>
        <v>OK</v>
      </c>
      <c r="X503" s="3"/>
      <c r="Y503" s="3"/>
      <c r="Z503" s="3"/>
      <c r="AA503" s="3"/>
      <c r="AB503" s="3"/>
      <c r="AC503" s="3"/>
    </row>
    <row r="504" spans="1:29" x14ac:dyDescent="0.2">
      <c r="A504" s="3">
        <f t="shared" si="308"/>
        <v>7</v>
      </c>
      <c r="B504" s="3" t="s">
        <v>220</v>
      </c>
      <c r="C504" s="3" t="s">
        <v>221</v>
      </c>
      <c r="D504" s="176" t="str">
        <f t="shared" si="309"/>
        <v>A904</v>
      </c>
      <c r="E504" s="4" t="s">
        <v>591</v>
      </c>
      <c r="F504" s="11"/>
      <c r="G504" s="11"/>
      <c r="H504" s="2">
        <f>'II-I TOTAL COMPANY'!L504</f>
        <v>0</v>
      </c>
      <c r="I504" s="66">
        <v>0</v>
      </c>
      <c r="J504" s="66">
        <f t="shared" si="315"/>
        <v>0</v>
      </c>
      <c r="K504" s="12">
        <f t="shared" si="310"/>
        <v>0</v>
      </c>
      <c r="L504" s="12">
        <f t="shared" si="310"/>
        <v>0</v>
      </c>
      <c r="M504" s="9">
        <f t="shared" si="311"/>
        <v>0</v>
      </c>
      <c r="N504" s="12">
        <f t="shared" si="312"/>
        <v>0</v>
      </c>
      <c r="O504" s="12">
        <f t="shared" si="312"/>
        <v>0</v>
      </c>
      <c r="P504" s="9">
        <f t="shared" si="286"/>
        <v>0</v>
      </c>
      <c r="Q504" s="12">
        <f t="shared" si="313"/>
        <v>0</v>
      </c>
      <c r="R504" s="12">
        <f t="shared" si="313"/>
        <v>0</v>
      </c>
      <c r="S504" s="12">
        <f t="shared" si="314"/>
        <v>0</v>
      </c>
      <c r="T504" s="12">
        <f t="shared" si="313"/>
        <v>0</v>
      </c>
      <c r="U504" s="12">
        <f t="shared" si="313"/>
        <v>0</v>
      </c>
      <c r="V504" s="12">
        <f t="shared" si="313"/>
        <v>0</v>
      </c>
      <c r="W504" s="27" t="str">
        <f t="shared" si="275"/>
        <v>OK</v>
      </c>
      <c r="X504" s="3"/>
      <c r="Y504" s="3"/>
      <c r="Z504" s="3"/>
      <c r="AA504" s="3"/>
      <c r="AB504" s="3"/>
      <c r="AC504" s="3"/>
    </row>
    <row r="505" spans="1:29" x14ac:dyDescent="0.2">
      <c r="A505" s="3">
        <f t="shared" si="308"/>
        <v>8</v>
      </c>
      <c r="B505" s="3" t="s">
        <v>222</v>
      </c>
      <c r="C505" s="3" t="s">
        <v>223</v>
      </c>
      <c r="D505" s="176" t="str">
        <f t="shared" si="309"/>
        <v>A905</v>
      </c>
      <c r="E505" s="4" t="s">
        <v>591</v>
      </c>
      <c r="F505" s="11"/>
      <c r="G505" s="11"/>
      <c r="H505" s="2">
        <f>'II-I TOTAL COMPANY'!L505</f>
        <v>3.1274606387623427</v>
      </c>
      <c r="I505" s="66">
        <v>0</v>
      </c>
      <c r="J505" s="66">
        <f t="shared" si="315"/>
        <v>3.1274606387623431</v>
      </c>
      <c r="K505" s="12">
        <f t="shared" si="310"/>
        <v>1.4661747312211924</v>
      </c>
      <c r="L505" s="12">
        <f t="shared" si="310"/>
        <v>0.27858890791660357</v>
      </c>
      <c r="M505" s="9">
        <f t="shared" si="311"/>
        <v>1.1059792135709092</v>
      </c>
      <c r="N505" s="12">
        <f t="shared" si="312"/>
        <v>2.1576837555842599E-2</v>
      </c>
      <c r="O505" s="12">
        <f t="shared" si="312"/>
        <v>1.0844023760150667</v>
      </c>
      <c r="P505" s="9">
        <f t="shared" si="286"/>
        <v>0.14873714337227437</v>
      </c>
      <c r="Q505" s="12">
        <f t="shared" si="313"/>
        <v>6.4233628215098232E-2</v>
      </c>
      <c r="R505" s="12">
        <f t="shared" si="313"/>
        <v>7.5327282555019248E-2</v>
      </c>
      <c r="S505" s="12">
        <f t="shared" si="314"/>
        <v>9.1762326021568898E-3</v>
      </c>
      <c r="T505" s="12">
        <f t="shared" si="313"/>
        <v>0.12537842746582598</v>
      </c>
      <c r="U505" s="12">
        <f t="shared" si="313"/>
        <v>0</v>
      </c>
      <c r="V505" s="12">
        <f t="shared" si="313"/>
        <v>2.6022152155370285E-3</v>
      </c>
      <c r="W505" s="27">
        <f t="shared" si="275"/>
        <v>-8.8817841970012523E-16</v>
      </c>
      <c r="X505" s="3"/>
      <c r="Y505" s="3"/>
      <c r="Z505" s="3"/>
      <c r="AA505" s="3"/>
      <c r="AB505" s="3"/>
      <c r="AC505" s="3"/>
    </row>
    <row r="506" spans="1:29" x14ac:dyDescent="0.2">
      <c r="A506" s="3">
        <f t="shared" si="308"/>
        <v>9</v>
      </c>
      <c r="B506" s="3"/>
      <c r="C506" s="3" t="s">
        <v>135</v>
      </c>
      <c r="D506" s="3"/>
      <c r="E506" s="4"/>
      <c r="F506" s="8"/>
      <c r="G506" s="8"/>
      <c r="H506" s="8">
        <f t="shared" ref="H506:V506" si="316">SUM(H500:H505)</f>
        <v>28461.834775791143</v>
      </c>
      <c r="I506" s="8">
        <f t="shared" si="316"/>
        <v>0</v>
      </c>
      <c r="J506" s="66">
        <f t="shared" si="315"/>
        <v>28461.83477579114</v>
      </c>
      <c r="K506" s="8">
        <f t="shared" si="316"/>
        <v>13343.100928353089</v>
      </c>
      <c r="L506" s="8">
        <f t="shared" si="316"/>
        <v>2535.3321379060858</v>
      </c>
      <c r="M506" s="9">
        <f t="shared" si="311"/>
        <v>10065.09794303016</v>
      </c>
      <c r="N506" s="8">
        <f t="shared" si="316"/>
        <v>196.36262656258626</v>
      </c>
      <c r="O506" s="8">
        <f t="shared" si="316"/>
        <v>9868.7353164675733</v>
      </c>
      <c r="P506" s="9">
        <f t="shared" si="286"/>
        <v>1353.6004089759303</v>
      </c>
      <c r="Q506" s="8">
        <f t="shared" si="316"/>
        <v>584.56592247671392</v>
      </c>
      <c r="R506" s="8">
        <f t="shared" si="316"/>
        <v>685.52506900254298</v>
      </c>
      <c r="S506" s="8">
        <f>SUM(S500:S505)</f>
        <v>83.509417496673422</v>
      </c>
      <c r="T506" s="8">
        <f t="shared" si="316"/>
        <v>1141.0215824148779</v>
      </c>
      <c r="U506" s="8">
        <f t="shared" si="316"/>
        <v>0</v>
      </c>
      <c r="V506" s="8">
        <f t="shared" si="316"/>
        <v>23.681775110996941</v>
      </c>
      <c r="W506" s="27">
        <f t="shared" si="275"/>
        <v>-7.2759576141834259E-12</v>
      </c>
      <c r="X506" s="3"/>
      <c r="Y506" s="3"/>
      <c r="Z506" s="3"/>
      <c r="AA506" s="3"/>
      <c r="AB506" s="3"/>
      <c r="AC506" s="3"/>
    </row>
    <row r="507" spans="1:29" x14ac:dyDescent="0.2">
      <c r="A507" s="3">
        <f t="shared" si="308"/>
        <v>10</v>
      </c>
      <c r="B507" s="3"/>
      <c r="C507" s="3"/>
      <c r="D507" s="3"/>
      <c r="E507" s="4"/>
      <c r="F507" s="4"/>
      <c r="G507" s="4"/>
      <c r="H507" s="8"/>
      <c r="I507" s="8"/>
      <c r="J507" s="8"/>
      <c r="K507" s="8"/>
      <c r="L507" s="8"/>
      <c r="M507" s="3"/>
      <c r="N507" s="3"/>
      <c r="O507" s="3"/>
      <c r="P507" s="9">
        <f t="shared" si="286"/>
        <v>0</v>
      </c>
      <c r="Q507" s="3"/>
      <c r="R507" s="3"/>
      <c r="S507" s="3"/>
      <c r="T507" s="3"/>
      <c r="U507" s="3"/>
      <c r="V507" s="3"/>
      <c r="W507" s="27" t="str">
        <f t="shared" si="275"/>
        <v>OK</v>
      </c>
      <c r="X507" s="3"/>
      <c r="Y507" s="3"/>
      <c r="Z507" s="3"/>
      <c r="AA507" s="3"/>
      <c r="AB507" s="3"/>
      <c r="AC507" s="3"/>
    </row>
    <row r="508" spans="1:29" x14ac:dyDescent="0.2">
      <c r="A508" s="3">
        <f t="shared" si="308"/>
        <v>11</v>
      </c>
      <c r="B508" s="3"/>
      <c r="C508" s="3" t="s">
        <v>224</v>
      </c>
      <c r="D508" s="3"/>
      <c r="E508" s="4"/>
      <c r="F508" s="4"/>
      <c r="G508" s="4"/>
      <c r="H508" s="8"/>
      <c r="I508" s="8"/>
      <c r="J508" s="8"/>
      <c r="K508" s="8"/>
      <c r="L508" s="8"/>
      <c r="M508" s="3"/>
      <c r="N508" s="3"/>
      <c r="O508" s="3"/>
      <c r="P508" s="9">
        <f t="shared" si="286"/>
        <v>0</v>
      </c>
      <c r="Q508" s="3"/>
      <c r="R508" s="3"/>
      <c r="S508" s="3"/>
      <c r="T508" s="3"/>
      <c r="U508" s="3"/>
      <c r="V508" s="3"/>
      <c r="W508" s="27" t="str">
        <f t="shared" si="275"/>
        <v>OK</v>
      </c>
      <c r="X508" s="3"/>
      <c r="Y508" s="3"/>
      <c r="Z508" s="3"/>
      <c r="AA508" s="3"/>
      <c r="AB508" s="3"/>
      <c r="AC508" s="3"/>
    </row>
    <row r="509" spans="1:29" x14ac:dyDescent="0.2">
      <c r="A509" s="3">
        <f t="shared" si="308"/>
        <v>12</v>
      </c>
      <c r="B509" s="3" t="s">
        <v>225</v>
      </c>
      <c r="C509" s="3" t="s">
        <v>226</v>
      </c>
      <c r="D509" s="176" t="str">
        <f>B509</f>
        <v>A906</v>
      </c>
      <c r="E509" s="4" t="s">
        <v>591</v>
      </c>
      <c r="F509" s="11"/>
      <c r="G509" s="11"/>
      <c r="H509" s="2">
        <f>'II-I TOTAL COMPANY'!L509</f>
        <v>0</v>
      </c>
      <c r="I509" s="66">
        <v>0</v>
      </c>
      <c r="J509" s="66">
        <f t="shared" ref="J509:J514" si="317">SUM(K509:V509)-M509-P509</f>
        <v>0</v>
      </c>
      <c r="K509" s="12">
        <f>IF(+$H391&lt;&gt;0,$H509*(+K391/$H391),0)</f>
        <v>0</v>
      </c>
      <c r="L509" s="12">
        <f>IF(+$H391&lt;&gt;0,$H509*(+L391/$H391),0)</f>
        <v>0</v>
      </c>
      <c r="M509" s="9">
        <f t="shared" ref="M509:M514" si="318">SUM(N509:O509)</f>
        <v>0</v>
      </c>
      <c r="N509" s="12">
        <f>IF(+$H391&lt;&gt;0,$H509*(+N391/$H391),0)</f>
        <v>0</v>
      </c>
      <c r="O509" s="12">
        <f>IF(+$H391&lt;&gt;0,$H509*(+O391/$H391),0)</f>
        <v>0</v>
      </c>
      <c r="P509" s="9">
        <f t="shared" si="286"/>
        <v>0</v>
      </c>
      <c r="Q509" s="12">
        <f t="shared" ref="Q509:V509" si="319">IF(+$H391&lt;&gt;0,$H509*(+Q391/$H391),0)</f>
        <v>0</v>
      </c>
      <c r="R509" s="12">
        <f t="shared" si="319"/>
        <v>0</v>
      </c>
      <c r="S509" s="12">
        <f t="shared" si="319"/>
        <v>0</v>
      </c>
      <c r="T509" s="12">
        <f t="shared" si="319"/>
        <v>0</v>
      </c>
      <c r="U509" s="12">
        <f t="shared" si="319"/>
        <v>0</v>
      </c>
      <c r="V509" s="12">
        <f t="shared" si="319"/>
        <v>0</v>
      </c>
      <c r="W509" s="27" t="str">
        <f t="shared" si="275"/>
        <v>OK</v>
      </c>
      <c r="X509" s="3"/>
      <c r="Y509" s="3"/>
      <c r="Z509" s="3"/>
      <c r="AA509" s="3"/>
      <c r="AB509" s="3"/>
      <c r="AC509" s="3"/>
    </row>
    <row r="510" spans="1:29" x14ac:dyDescent="0.2">
      <c r="A510" s="3">
        <f t="shared" si="308"/>
        <v>13</v>
      </c>
      <c r="B510" s="3" t="s">
        <v>227</v>
      </c>
      <c r="C510" s="3" t="s">
        <v>228</v>
      </c>
      <c r="D510" s="176" t="str">
        <f>B510</f>
        <v>A907</v>
      </c>
      <c r="E510" s="4" t="s">
        <v>591</v>
      </c>
      <c r="F510" s="11"/>
      <c r="G510" s="11"/>
      <c r="H510" s="2">
        <f>'II-I TOTAL COMPANY'!L510</f>
        <v>0</v>
      </c>
      <c r="I510" s="66">
        <v>0</v>
      </c>
      <c r="J510" s="66">
        <f t="shared" si="317"/>
        <v>0</v>
      </c>
      <c r="K510" s="12">
        <f t="shared" ref="K510:L513" si="320">IF(+$H393&lt;&gt;0,$H510*(+K393/$H393),0)</f>
        <v>0</v>
      </c>
      <c r="L510" s="12">
        <f t="shared" si="320"/>
        <v>0</v>
      </c>
      <c r="M510" s="9">
        <f t="shared" si="318"/>
        <v>0</v>
      </c>
      <c r="N510" s="12">
        <f t="shared" ref="N510:O513" si="321">IF(+$H393&lt;&gt;0,$H510*(+N393/$H393),0)</f>
        <v>0</v>
      </c>
      <c r="O510" s="12">
        <f t="shared" si="321"/>
        <v>0</v>
      </c>
      <c r="P510" s="9">
        <f t="shared" si="286"/>
        <v>0</v>
      </c>
      <c r="Q510" s="12">
        <f t="shared" ref="Q510:V513" si="322">IF(+$H393&lt;&gt;0,$H510*(+Q393/$H393),0)</f>
        <v>0</v>
      </c>
      <c r="R510" s="12">
        <f t="shared" si="322"/>
        <v>0</v>
      </c>
      <c r="S510" s="12">
        <f>IF(+$H393&lt;&gt;0,$H510*(+S393/$H393),0)</f>
        <v>0</v>
      </c>
      <c r="T510" s="12">
        <f t="shared" si="322"/>
        <v>0</v>
      </c>
      <c r="U510" s="12">
        <f t="shared" si="322"/>
        <v>0</v>
      </c>
      <c r="V510" s="12">
        <f t="shared" si="322"/>
        <v>0</v>
      </c>
      <c r="W510" s="27" t="str">
        <f t="shared" si="275"/>
        <v>OK</v>
      </c>
      <c r="X510" s="3"/>
      <c r="Y510" s="3"/>
      <c r="Z510" s="3"/>
      <c r="AA510" s="3"/>
      <c r="AB510" s="3"/>
      <c r="AC510" s="3"/>
    </row>
    <row r="511" spans="1:29" x14ac:dyDescent="0.2">
      <c r="A511" s="3">
        <f t="shared" si="308"/>
        <v>14</v>
      </c>
      <c r="B511" s="3" t="s">
        <v>229</v>
      </c>
      <c r="C511" s="3" t="s">
        <v>230</v>
      </c>
      <c r="D511" s="176" t="str">
        <f>B511</f>
        <v>A908</v>
      </c>
      <c r="E511" s="4" t="s">
        <v>591</v>
      </c>
      <c r="F511" s="11"/>
      <c r="G511" s="11"/>
      <c r="H511" s="2">
        <f>'II-I TOTAL COMPANY'!L511</f>
        <v>0</v>
      </c>
      <c r="I511" s="66">
        <v>0</v>
      </c>
      <c r="J511" s="66">
        <f t="shared" si="317"/>
        <v>0</v>
      </c>
      <c r="K511" s="12">
        <f t="shared" si="320"/>
        <v>0</v>
      </c>
      <c r="L511" s="12">
        <f t="shared" si="320"/>
        <v>0</v>
      </c>
      <c r="M511" s="9">
        <f t="shared" si="318"/>
        <v>0</v>
      </c>
      <c r="N511" s="12">
        <f t="shared" si="321"/>
        <v>0</v>
      </c>
      <c r="O511" s="12">
        <f t="shared" si="321"/>
        <v>0</v>
      </c>
      <c r="P511" s="9">
        <f t="shared" si="286"/>
        <v>0</v>
      </c>
      <c r="Q511" s="12">
        <f t="shared" si="322"/>
        <v>0</v>
      </c>
      <c r="R511" s="12">
        <f t="shared" si="322"/>
        <v>0</v>
      </c>
      <c r="S511" s="12">
        <f>IF(+$H394&lt;&gt;0,$H511*(+S394/$H394),0)</f>
        <v>0</v>
      </c>
      <c r="T511" s="12">
        <f t="shared" si="322"/>
        <v>0</v>
      </c>
      <c r="U511" s="12">
        <f t="shared" si="322"/>
        <v>0</v>
      </c>
      <c r="V511" s="12">
        <f t="shared" si="322"/>
        <v>0</v>
      </c>
      <c r="W511" s="27" t="str">
        <f t="shared" si="275"/>
        <v>OK</v>
      </c>
      <c r="X511" s="3"/>
      <c r="Y511" s="3"/>
      <c r="Z511" s="3"/>
      <c r="AA511" s="3"/>
      <c r="AB511" s="3"/>
      <c r="AC511" s="3"/>
    </row>
    <row r="512" spans="1:29" x14ac:dyDescent="0.2">
      <c r="A512" s="3">
        <f t="shared" si="308"/>
        <v>15</v>
      </c>
      <c r="B512" s="3" t="s">
        <v>231</v>
      </c>
      <c r="C512" s="3" t="s">
        <v>232</v>
      </c>
      <c r="D512" s="176" t="str">
        <f>B512</f>
        <v>A909</v>
      </c>
      <c r="E512" s="4" t="s">
        <v>591</v>
      </c>
      <c r="F512" s="11"/>
      <c r="G512" s="11"/>
      <c r="H512" s="2">
        <f>'II-I TOTAL COMPANY'!L512</f>
        <v>0</v>
      </c>
      <c r="I512" s="66">
        <v>0</v>
      </c>
      <c r="J512" s="66">
        <f t="shared" si="317"/>
        <v>0</v>
      </c>
      <c r="K512" s="12">
        <f t="shared" si="320"/>
        <v>0</v>
      </c>
      <c r="L512" s="12">
        <f t="shared" si="320"/>
        <v>0</v>
      </c>
      <c r="M512" s="9">
        <f t="shared" si="318"/>
        <v>0</v>
      </c>
      <c r="N512" s="12">
        <f t="shared" si="321"/>
        <v>0</v>
      </c>
      <c r="O512" s="12">
        <f t="shared" si="321"/>
        <v>0</v>
      </c>
      <c r="P512" s="9">
        <f t="shared" si="286"/>
        <v>0</v>
      </c>
      <c r="Q512" s="12">
        <f t="shared" si="322"/>
        <v>0</v>
      </c>
      <c r="R512" s="12">
        <f t="shared" si="322"/>
        <v>0</v>
      </c>
      <c r="S512" s="12">
        <f>IF(+$H395&lt;&gt;0,$H512*(+S395/$H395),0)</f>
        <v>0</v>
      </c>
      <c r="T512" s="12">
        <f t="shared" si="322"/>
        <v>0</v>
      </c>
      <c r="U512" s="12">
        <f t="shared" si="322"/>
        <v>0</v>
      </c>
      <c r="V512" s="12">
        <f t="shared" si="322"/>
        <v>0</v>
      </c>
      <c r="W512" s="27" t="str">
        <f t="shared" si="275"/>
        <v>OK</v>
      </c>
      <c r="X512" s="3"/>
      <c r="Y512" s="3"/>
      <c r="Z512" s="3"/>
      <c r="AA512" s="3"/>
      <c r="AB512" s="3"/>
      <c r="AC512" s="3"/>
    </row>
    <row r="513" spans="1:29" x14ac:dyDescent="0.2">
      <c r="A513" s="3">
        <f t="shared" si="308"/>
        <v>16</v>
      </c>
      <c r="B513" s="3" t="s">
        <v>233</v>
      </c>
      <c r="C513" s="3" t="s">
        <v>234</v>
      </c>
      <c r="D513" s="176" t="str">
        <f>B513</f>
        <v>A910</v>
      </c>
      <c r="E513" s="4" t="s">
        <v>591</v>
      </c>
      <c r="F513" s="11"/>
      <c r="G513" s="11"/>
      <c r="H513" s="2">
        <f>'II-I TOTAL COMPANY'!L513</f>
        <v>0</v>
      </c>
      <c r="I513" s="66">
        <v>0</v>
      </c>
      <c r="J513" s="66">
        <f t="shared" si="317"/>
        <v>0</v>
      </c>
      <c r="K513" s="12">
        <f t="shared" si="320"/>
        <v>0</v>
      </c>
      <c r="L513" s="12">
        <f t="shared" si="320"/>
        <v>0</v>
      </c>
      <c r="M513" s="9">
        <f t="shared" si="318"/>
        <v>0</v>
      </c>
      <c r="N513" s="12">
        <f t="shared" si="321"/>
        <v>0</v>
      </c>
      <c r="O513" s="12">
        <f t="shared" si="321"/>
        <v>0</v>
      </c>
      <c r="P513" s="9">
        <f t="shared" si="286"/>
        <v>0</v>
      </c>
      <c r="Q513" s="12">
        <f t="shared" si="322"/>
        <v>0</v>
      </c>
      <c r="R513" s="12">
        <f t="shared" si="322"/>
        <v>0</v>
      </c>
      <c r="S513" s="12">
        <f>IF(+$H396&lt;&gt;0,$H513*(+S396/$H396),0)</f>
        <v>0</v>
      </c>
      <c r="T513" s="12">
        <f t="shared" si="322"/>
        <v>0</v>
      </c>
      <c r="U513" s="12">
        <f t="shared" si="322"/>
        <v>0</v>
      </c>
      <c r="V513" s="12">
        <f t="shared" si="322"/>
        <v>0</v>
      </c>
      <c r="W513" s="27" t="str">
        <f t="shared" si="275"/>
        <v>OK</v>
      </c>
      <c r="X513" s="3"/>
      <c r="Y513" s="3"/>
      <c r="Z513" s="3"/>
      <c r="AA513" s="3"/>
      <c r="AB513" s="3"/>
      <c r="AC513" s="3"/>
    </row>
    <row r="514" spans="1:29" x14ac:dyDescent="0.2">
      <c r="A514" s="3">
        <f t="shared" si="308"/>
        <v>17</v>
      </c>
      <c r="B514" s="3"/>
      <c r="C514" s="3" t="s">
        <v>135</v>
      </c>
      <c r="D514" s="3"/>
      <c r="E514" s="4"/>
      <c r="F514" s="8"/>
      <c r="G514" s="8"/>
      <c r="H514" s="8">
        <f t="shared" ref="H514:V514" si="323">SUM(H509:H513)</f>
        <v>0</v>
      </c>
      <c r="I514" s="8">
        <f t="shared" si="323"/>
        <v>0</v>
      </c>
      <c r="J514" s="66">
        <f t="shared" si="317"/>
        <v>0</v>
      </c>
      <c r="K514" s="8">
        <f t="shared" si="323"/>
        <v>0</v>
      </c>
      <c r="L514" s="8">
        <f t="shared" si="323"/>
        <v>0</v>
      </c>
      <c r="M514" s="9">
        <f t="shared" si="318"/>
        <v>0</v>
      </c>
      <c r="N514" s="8">
        <f t="shared" si="323"/>
        <v>0</v>
      </c>
      <c r="O514" s="8">
        <f t="shared" si="323"/>
        <v>0</v>
      </c>
      <c r="P514" s="9">
        <f t="shared" si="286"/>
        <v>0</v>
      </c>
      <c r="Q514" s="8">
        <f t="shared" si="323"/>
        <v>0</v>
      </c>
      <c r="R514" s="8">
        <f t="shared" si="323"/>
        <v>0</v>
      </c>
      <c r="S514" s="8">
        <f>SUM(S509:S513)</f>
        <v>0</v>
      </c>
      <c r="T514" s="8">
        <f t="shared" si="323"/>
        <v>0</v>
      </c>
      <c r="U514" s="8">
        <f t="shared" si="323"/>
        <v>0</v>
      </c>
      <c r="V514" s="8">
        <f t="shared" si="323"/>
        <v>0</v>
      </c>
      <c r="W514" s="27" t="str">
        <f t="shared" si="275"/>
        <v>OK</v>
      </c>
      <c r="X514" s="3"/>
      <c r="Y514" s="3"/>
      <c r="Z514" s="3"/>
      <c r="AA514" s="3"/>
      <c r="AB514" s="3"/>
      <c r="AC514" s="3"/>
    </row>
    <row r="515" spans="1:29" x14ac:dyDescent="0.2">
      <c r="A515" s="3">
        <f t="shared" si="308"/>
        <v>18</v>
      </c>
      <c r="B515" s="3"/>
      <c r="C515" s="3"/>
      <c r="D515" s="3"/>
      <c r="E515" s="4"/>
      <c r="F515" s="4"/>
      <c r="G515" s="4"/>
      <c r="H515" s="8"/>
      <c r="I515" s="8"/>
      <c r="J515" s="8"/>
      <c r="K515" s="8"/>
      <c r="L515" s="8"/>
      <c r="M515" s="3"/>
      <c r="N515" s="3"/>
      <c r="O515" s="3"/>
      <c r="P515" s="9">
        <f t="shared" si="286"/>
        <v>0</v>
      </c>
      <c r="Q515" s="3"/>
      <c r="R515" s="3"/>
      <c r="S515" s="3"/>
      <c r="T515" s="3"/>
      <c r="U515" s="3"/>
      <c r="V515" s="3"/>
      <c r="W515" s="27" t="str">
        <f t="shared" si="275"/>
        <v>OK</v>
      </c>
      <c r="X515" s="3"/>
      <c r="Y515" s="3"/>
      <c r="Z515" s="3"/>
      <c r="AA515" s="3"/>
      <c r="AB515" s="3"/>
      <c r="AC515" s="3"/>
    </row>
    <row r="516" spans="1:29" x14ac:dyDescent="0.2">
      <c r="A516" s="3">
        <f t="shared" si="308"/>
        <v>19</v>
      </c>
      <c r="B516" s="3"/>
      <c r="C516" s="3" t="s">
        <v>235</v>
      </c>
      <c r="D516" s="3"/>
      <c r="E516" s="4"/>
      <c r="F516" s="4"/>
      <c r="G516" s="4"/>
      <c r="H516" s="8"/>
      <c r="I516" s="8"/>
      <c r="J516" s="8"/>
      <c r="K516" s="8"/>
      <c r="L516" s="8"/>
      <c r="M516" s="3"/>
      <c r="N516" s="3"/>
      <c r="O516" s="3"/>
      <c r="P516" s="9">
        <f t="shared" si="286"/>
        <v>0</v>
      </c>
      <c r="Q516" s="3"/>
      <c r="R516" s="3"/>
      <c r="S516" s="3"/>
      <c r="T516" s="3"/>
      <c r="U516" s="3"/>
      <c r="V516" s="3"/>
      <c r="W516" s="27" t="str">
        <f t="shared" si="275"/>
        <v>OK</v>
      </c>
      <c r="X516" s="3"/>
      <c r="Y516" s="3"/>
      <c r="Z516" s="3"/>
      <c r="AA516" s="3"/>
      <c r="AB516" s="3"/>
      <c r="AC516" s="3"/>
    </row>
    <row r="517" spans="1:29" x14ac:dyDescent="0.2">
      <c r="A517" s="3">
        <f t="shared" si="308"/>
        <v>20</v>
      </c>
      <c r="B517" s="3" t="s">
        <v>236</v>
      </c>
      <c r="C517" s="3" t="s">
        <v>228</v>
      </c>
      <c r="D517" s="176" t="str">
        <f>B517</f>
        <v>A911</v>
      </c>
      <c r="E517" s="4" t="s">
        <v>591</v>
      </c>
      <c r="F517" s="11"/>
      <c r="G517" s="11"/>
      <c r="H517" s="2">
        <f>'II-I TOTAL COMPANY'!L517</f>
        <v>0</v>
      </c>
      <c r="I517" s="66">
        <v>0</v>
      </c>
      <c r="J517" s="66">
        <f t="shared" ref="J517:J525" si="324">SUM(K517:V517)-M517-P517</f>
        <v>0</v>
      </c>
      <c r="K517" s="12">
        <f t="shared" ref="K517:L521" si="325">IF(+$H401&lt;&gt;0,$H517*(+K401/$H401),0)</f>
        <v>0</v>
      </c>
      <c r="L517" s="12">
        <f t="shared" si="325"/>
        <v>0</v>
      </c>
      <c r="M517" s="9">
        <f t="shared" ref="M517:M523" si="326">SUM(N517:O517)</f>
        <v>0</v>
      </c>
      <c r="N517" s="12">
        <f t="shared" ref="N517:O521" si="327">IF(+$H401&lt;&gt;0,$H517*(+N401/$H401),0)</f>
        <v>0</v>
      </c>
      <c r="O517" s="12">
        <f t="shared" si="327"/>
        <v>0</v>
      </c>
      <c r="P517" s="9">
        <f t="shared" si="286"/>
        <v>0</v>
      </c>
      <c r="Q517" s="12">
        <f t="shared" ref="Q517:V521" si="328">IF(+$H401&lt;&gt;0,$H517*(+Q401/$H401),0)</f>
        <v>0</v>
      </c>
      <c r="R517" s="12">
        <f t="shared" si="328"/>
        <v>0</v>
      </c>
      <c r="S517" s="12">
        <f>IF(+$H401&lt;&gt;0,$H517*(+S401/$H401),0)</f>
        <v>0</v>
      </c>
      <c r="T517" s="12">
        <f t="shared" si="328"/>
        <v>0</v>
      </c>
      <c r="U517" s="12">
        <f t="shared" si="328"/>
        <v>0</v>
      </c>
      <c r="V517" s="12">
        <f t="shared" si="328"/>
        <v>0</v>
      </c>
      <c r="W517" s="27" t="str">
        <f t="shared" si="275"/>
        <v>OK</v>
      </c>
      <c r="X517" s="3"/>
      <c r="Y517" s="3"/>
      <c r="Z517" s="3"/>
      <c r="AA517" s="3"/>
      <c r="AB517" s="3"/>
      <c r="AC517" s="3"/>
    </row>
    <row r="518" spans="1:29" x14ac:dyDescent="0.2">
      <c r="A518" s="3">
        <f t="shared" si="308"/>
        <v>21</v>
      </c>
      <c r="B518" s="3" t="s">
        <v>237</v>
      </c>
      <c r="C518" s="3" t="s">
        <v>238</v>
      </c>
      <c r="D518" s="176" t="str">
        <f>B518</f>
        <v>A912</v>
      </c>
      <c r="E518" s="4" t="s">
        <v>591</v>
      </c>
      <c r="F518" s="11"/>
      <c r="G518" s="11"/>
      <c r="H518" s="2">
        <f>'II-I TOTAL COMPANY'!L518</f>
        <v>0</v>
      </c>
      <c r="I518" s="66">
        <v>0</v>
      </c>
      <c r="J518" s="66">
        <f t="shared" si="324"/>
        <v>0</v>
      </c>
      <c r="K518" s="12">
        <f t="shared" si="325"/>
        <v>0</v>
      </c>
      <c r="L518" s="12">
        <f t="shared" si="325"/>
        <v>0</v>
      </c>
      <c r="M518" s="9">
        <f t="shared" si="326"/>
        <v>0</v>
      </c>
      <c r="N518" s="12">
        <f t="shared" si="327"/>
        <v>0</v>
      </c>
      <c r="O518" s="12">
        <f t="shared" si="327"/>
        <v>0</v>
      </c>
      <c r="P518" s="9">
        <f t="shared" si="286"/>
        <v>0</v>
      </c>
      <c r="Q518" s="12">
        <f t="shared" si="328"/>
        <v>0</v>
      </c>
      <c r="R518" s="12">
        <f t="shared" si="328"/>
        <v>0</v>
      </c>
      <c r="S518" s="12">
        <f>IF(+$H402&lt;&gt;0,$H518*(+S402/$H402),0)</f>
        <v>0</v>
      </c>
      <c r="T518" s="12">
        <f t="shared" si="328"/>
        <v>0</v>
      </c>
      <c r="U518" s="12">
        <f t="shared" si="328"/>
        <v>0</v>
      </c>
      <c r="V518" s="12">
        <f t="shared" si="328"/>
        <v>0</v>
      </c>
      <c r="W518" s="27" t="str">
        <f t="shared" si="275"/>
        <v>OK</v>
      </c>
      <c r="X518" s="3"/>
      <c r="Y518" s="3"/>
      <c r="Z518" s="3"/>
      <c r="AA518" s="3"/>
      <c r="AB518" s="3"/>
      <c r="AC518" s="3"/>
    </row>
    <row r="519" spans="1:29" x14ac:dyDescent="0.2">
      <c r="A519" s="3">
        <f t="shared" si="308"/>
        <v>22</v>
      </c>
      <c r="B519" s="3" t="s">
        <v>239</v>
      </c>
      <c r="C519" s="3" t="s">
        <v>240</v>
      </c>
      <c r="D519" s="176" t="str">
        <f>B519</f>
        <v>A913</v>
      </c>
      <c r="E519" s="4" t="s">
        <v>591</v>
      </c>
      <c r="F519" s="11"/>
      <c r="G519" s="11"/>
      <c r="H519" s="2">
        <f>'II-I TOTAL COMPANY'!L519</f>
        <v>0</v>
      </c>
      <c r="I519" s="66">
        <v>0</v>
      </c>
      <c r="J519" s="66">
        <f t="shared" si="324"/>
        <v>0</v>
      </c>
      <c r="K519" s="12">
        <f t="shared" si="325"/>
        <v>0</v>
      </c>
      <c r="L519" s="12">
        <f t="shared" si="325"/>
        <v>0</v>
      </c>
      <c r="M519" s="9">
        <f t="shared" si="326"/>
        <v>0</v>
      </c>
      <c r="N519" s="12">
        <f t="shared" si="327"/>
        <v>0</v>
      </c>
      <c r="O519" s="12">
        <f t="shared" si="327"/>
        <v>0</v>
      </c>
      <c r="P519" s="9">
        <f t="shared" si="286"/>
        <v>0</v>
      </c>
      <c r="Q519" s="12">
        <f t="shared" si="328"/>
        <v>0</v>
      </c>
      <c r="R519" s="12">
        <f t="shared" si="328"/>
        <v>0</v>
      </c>
      <c r="S519" s="12">
        <f>IF(+$H403&lt;&gt;0,$H519*(+S403/$H403),0)</f>
        <v>0</v>
      </c>
      <c r="T519" s="12">
        <f t="shared" si="328"/>
        <v>0</v>
      </c>
      <c r="U519" s="12">
        <f t="shared" si="328"/>
        <v>0</v>
      </c>
      <c r="V519" s="12">
        <f t="shared" si="328"/>
        <v>0</v>
      </c>
      <c r="W519" s="27" t="str">
        <f t="shared" si="275"/>
        <v>OK</v>
      </c>
      <c r="X519" s="3"/>
      <c r="Y519" s="3"/>
      <c r="Z519" s="3"/>
      <c r="AA519" s="3"/>
      <c r="AB519" s="3"/>
      <c r="AC519" s="3"/>
    </row>
    <row r="520" spans="1:29" x14ac:dyDescent="0.2">
      <c r="A520" s="3">
        <f t="shared" si="308"/>
        <v>23</v>
      </c>
      <c r="B520" s="3" t="s">
        <v>241</v>
      </c>
      <c r="C520" s="3" t="s">
        <v>242</v>
      </c>
      <c r="D520" s="176" t="str">
        <f>B520</f>
        <v>A916</v>
      </c>
      <c r="E520" s="4" t="s">
        <v>591</v>
      </c>
      <c r="F520" s="11"/>
      <c r="G520" s="11"/>
      <c r="H520" s="2">
        <f>'II-I TOTAL COMPANY'!L520</f>
        <v>0</v>
      </c>
      <c r="I520" s="66">
        <v>0</v>
      </c>
      <c r="J520" s="66">
        <f t="shared" si="324"/>
        <v>0</v>
      </c>
      <c r="K520" s="12">
        <f t="shared" si="325"/>
        <v>0</v>
      </c>
      <c r="L520" s="12">
        <f t="shared" si="325"/>
        <v>0</v>
      </c>
      <c r="M520" s="9">
        <f t="shared" si="326"/>
        <v>0</v>
      </c>
      <c r="N520" s="12">
        <f t="shared" si="327"/>
        <v>0</v>
      </c>
      <c r="O520" s="12">
        <f t="shared" si="327"/>
        <v>0</v>
      </c>
      <c r="P520" s="9">
        <f t="shared" si="286"/>
        <v>0</v>
      </c>
      <c r="Q520" s="12">
        <f t="shared" si="328"/>
        <v>0</v>
      </c>
      <c r="R520" s="12">
        <f t="shared" si="328"/>
        <v>0</v>
      </c>
      <c r="S520" s="12">
        <f>IF(+$H404&lt;&gt;0,$H520*(+S404/$H404),0)</f>
        <v>0</v>
      </c>
      <c r="T520" s="12">
        <f t="shared" si="328"/>
        <v>0</v>
      </c>
      <c r="U520" s="12">
        <f t="shared" si="328"/>
        <v>0</v>
      </c>
      <c r="V520" s="12">
        <f t="shared" si="328"/>
        <v>0</v>
      </c>
      <c r="W520" s="27" t="str">
        <f t="shared" ref="W520:W583" si="329">IF((+K520+L520+M520+P520+T520+U520+V520)-H520=0,"OK",(+K520+L520+M520+P520+T520+U520+V520)-H520)</f>
        <v>OK</v>
      </c>
      <c r="X520" s="3"/>
      <c r="Y520" s="3"/>
      <c r="Z520" s="3"/>
      <c r="AA520" s="3"/>
      <c r="AB520" s="3"/>
      <c r="AC520" s="3"/>
    </row>
    <row r="521" spans="1:29" x14ac:dyDescent="0.2">
      <c r="A521" s="3">
        <f t="shared" si="308"/>
        <v>24</v>
      </c>
      <c r="B521" s="3" t="s">
        <v>243</v>
      </c>
      <c r="C521" s="3" t="s">
        <v>244</v>
      </c>
      <c r="D521" s="176" t="str">
        <f>B521</f>
        <v>A917</v>
      </c>
      <c r="E521" s="4" t="s">
        <v>591</v>
      </c>
      <c r="F521" s="11"/>
      <c r="G521" s="11"/>
      <c r="H521" s="2">
        <f>'II-I TOTAL COMPANY'!L521</f>
        <v>0</v>
      </c>
      <c r="I521" s="66">
        <v>0</v>
      </c>
      <c r="J521" s="66">
        <f t="shared" si="324"/>
        <v>0</v>
      </c>
      <c r="K521" s="12">
        <f t="shared" si="325"/>
        <v>0</v>
      </c>
      <c r="L521" s="12">
        <f t="shared" si="325"/>
        <v>0</v>
      </c>
      <c r="M521" s="9">
        <f t="shared" si="326"/>
        <v>0</v>
      </c>
      <c r="N521" s="12">
        <f t="shared" si="327"/>
        <v>0</v>
      </c>
      <c r="O521" s="12">
        <f t="shared" si="327"/>
        <v>0</v>
      </c>
      <c r="P521" s="9">
        <f t="shared" si="286"/>
        <v>0</v>
      </c>
      <c r="Q521" s="12">
        <f t="shared" si="328"/>
        <v>0</v>
      </c>
      <c r="R521" s="12">
        <f t="shared" si="328"/>
        <v>0</v>
      </c>
      <c r="S521" s="12">
        <f>IF(+$H405&lt;&gt;0,$H521*(+S405/$H405),0)</f>
        <v>0</v>
      </c>
      <c r="T521" s="12">
        <f t="shared" si="328"/>
        <v>0</v>
      </c>
      <c r="U521" s="12">
        <f t="shared" si="328"/>
        <v>0</v>
      </c>
      <c r="V521" s="12">
        <f t="shared" si="328"/>
        <v>0</v>
      </c>
      <c r="W521" s="27" t="str">
        <f t="shared" si="329"/>
        <v>OK</v>
      </c>
      <c r="X521" s="3"/>
      <c r="Y521" s="3"/>
      <c r="Z521" s="3"/>
      <c r="AA521" s="3"/>
      <c r="AB521" s="3"/>
      <c r="AC521" s="3"/>
    </row>
    <row r="522" spans="1:29" x14ac:dyDescent="0.2">
      <c r="A522" s="3">
        <f t="shared" si="308"/>
        <v>25</v>
      </c>
      <c r="B522" s="3"/>
      <c r="C522" s="3" t="s">
        <v>135</v>
      </c>
      <c r="D522" s="3"/>
      <c r="E522" s="4"/>
      <c r="F522" s="11"/>
      <c r="G522" s="11"/>
      <c r="H522" s="11">
        <f>SUM(H517:H521)</f>
        <v>0</v>
      </c>
      <c r="I522" s="11">
        <f>SUM(I517:I521)</f>
        <v>0</v>
      </c>
      <c r="J522" s="66">
        <f t="shared" si="324"/>
        <v>0</v>
      </c>
      <c r="K522" s="11">
        <f>SUM(K517:K521)</f>
        <v>0</v>
      </c>
      <c r="L522" s="11">
        <f>SUM(L517:L521)</f>
        <v>0</v>
      </c>
      <c r="M522" s="9">
        <f t="shared" si="326"/>
        <v>0</v>
      </c>
      <c r="N522" s="11">
        <f>SUM(N517:N521)</f>
        <v>0</v>
      </c>
      <c r="O522" s="11">
        <f>SUM(O517:O521)</f>
        <v>0</v>
      </c>
      <c r="P522" s="9">
        <f t="shared" si="286"/>
        <v>0</v>
      </c>
      <c r="Q522" s="11">
        <f t="shared" ref="Q522:V522" si="330">SUM(Q517:Q521)</f>
        <v>0</v>
      </c>
      <c r="R522" s="11">
        <f t="shared" si="330"/>
        <v>0</v>
      </c>
      <c r="S522" s="11">
        <f>SUM(S517:S521)</f>
        <v>0</v>
      </c>
      <c r="T522" s="11">
        <f t="shared" si="330"/>
        <v>0</v>
      </c>
      <c r="U522" s="11">
        <f t="shared" si="330"/>
        <v>0</v>
      </c>
      <c r="V522" s="11">
        <f t="shared" si="330"/>
        <v>0</v>
      </c>
      <c r="W522" s="27" t="str">
        <f t="shared" si="329"/>
        <v>OK</v>
      </c>
      <c r="X522" s="3"/>
      <c r="Y522" s="3"/>
      <c r="Z522" s="3"/>
      <c r="AA522" s="3"/>
      <c r="AB522" s="3"/>
      <c r="AC522" s="3"/>
    </row>
    <row r="523" spans="1:29" x14ac:dyDescent="0.2">
      <c r="A523" s="3">
        <f t="shared" si="308"/>
        <v>26</v>
      </c>
      <c r="B523" s="3"/>
      <c r="C523" s="3" t="s">
        <v>245</v>
      </c>
      <c r="D523" s="3"/>
      <c r="E523" s="4"/>
      <c r="F523" s="8"/>
      <c r="G523" s="8"/>
      <c r="H523" s="8">
        <f t="shared" ref="H523:V523" si="331">H506+H514+H522</f>
        <v>28461.834775791143</v>
      </c>
      <c r="I523" s="8">
        <f t="shared" si="331"/>
        <v>0</v>
      </c>
      <c r="J523" s="66">
        <f t="shared" si="324"/>
        <v>28461.83477579114</v>
      </c>
      <c r="K523" s="8">
        <f t="shared" si="331"/>
        <v>13343.100928353089</v>
      </c>
      <c r="L523" s="8">
        <f t="shared" si="331"/>
        <v>2535.3321379060858</v>
      </c>
      <c r="M523" s="9">
        <f t="shared" si="326"/>
        <v>10065.09794303016</v>
      </c>
      <c r="N523" s="8">
        <f t="shared" si="331"/>
        <v>196.36262656258626</v>
      </c>
      <c r="O523" s="8">
        <f t="shared" si="331"/>
        <v>9868.7353164675733</v>
      </c>
      <c r="P523" s="9">
        <f t="shared" si="286"/>
        <v>1353.6004089759303</v>
      </c>
      <c r="Q523" s="8">
        <f t="shared" si="331"/>
        <v>584.56592247671392</v>
      </c>
      <c r="R523" s="8">
        <f t="shared" si="331"/>
        <v>685.52506900254298</v>
      </c>
      <c r="S523" s="8">
        <f>S506+S514+S522</f>
        <v>83.509417496673422</v>
      </c>
      <c r="T523" s="8">
        <f t="shared" si="331"/>
        <v>1141.0215824148779</v>
      </c>
      <c r="U523" s="8">
        <f t="shared" si="331"/>
        <v>0</v>
      </c>
      <c r="V523" s="8">
        <f t="shared" si="331"/>
        <v>23.681775110996941</v>
      </c>
      <c r="W523" s="27">
        <f t="shared" si="329"/>
        <v>-7.2759576141834259E-12</v>
      </c>
      <c r="X523" s="3"/>
      <c r="Y523" s="3"/>
      <c r="Z523" s="3"/>
      <c r="AA523" s="3"/>
      <c r="AB523" s="3"/>
      <c r="AC523" s="3"/>
    </row>
    <row r="524" spans="1:29" x14ac:dyDescent="0.2">
      <c r="A524" s="3">
        <f t="shared" si="308"/>
        <v>27</v>
      </c>
      <c r="B524" s="3"/>
      <c r="C524" s="3"/>
      <c r="D524" s="3"/>
      <c r="E524" s="4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9">
        <f t="shared" si="286"/>
        <v>0</v>
      </c>
      <c r="Q524" s="8"/>
      <c r="R524" s="8"/>
      <c r="S524" s="8"/>
      <c r="T524" s="8"/>
      <c r="U524" s="8"/>
      <c r="V524" s="8"/>
      <c r="W524" s="27" t="str">
        <f t="shared" si="329"/>
        <v>OK</v>
      </c>
      <c r="X524" s="3"/>
      <c r="Y524" s="3"/>
      <c r="Z524" s="3"/>
      <c r="AA524" s="3"/>
      <c r="AB524" s="3"/>
      <c r="AC524" s="3"/>
    </row>
    <row r="525" spans="1:29" x14ac:dyDescent="0.2">
      <c r="A525" s="3">
        <f t="shared" si="308"/>
        <v>28</v>
      </c>
      <c r="B525" s="3"/>
      <c r="C525" s="3" t="s">
        <v>283</v>
      </c>
      <c r="D525" s="3"/>
      <c r="E525" s="4"/>
      <c r="F525" s="8"/>
      <c r="G525" s="8"/>
      <c r="H525" s="8">
        <f t="shared" ref="H525:V525" si="332">H495+H523</f>
        <v>10442645.07439141</v>
      </c>
      <c r="I525" s="8">
        <f t="shared" si="332"/>
        <v>0</v>
      </c>
      <c r="J525" s="66">
        <f t="shared" ca="1" si="324"/>
        <v>10442645.074391406</v>
      </c>
      <c r="K525" s="8">
        <f t="shared" ca="1" si="332"/>
        <v>4895582.7438465171</v>
      </c>
      <c r="L525" s="8">
        <f ca="1">L495+L523</f>
        <v>930213.17390158668</v>
      </c>
      <c r="M525" s="9">
        <f ca="1">SUM(N525:O525)</f>
        <v>3692883.6909506451</v>
      </c>
      <c r="N525" s="8">
        <f t="shared" ca="1" si="332"/>
        <v>72045.433164150381</v>
      </c>
      <c r="O525" s="8">
        <f t="shared" ca="1" si="332"/>
        <v>3620838.2577864947</v>
      </c>
      <c r="P525" s="9">
        <f t="shared" ca="1" si="286"/>
        <v>496635.88995006343</v>
      </c>
      <c r="Q525" s="8">
        <f t="shared" ca="1" si="332"/>
        <v>214477.19372613236</v>
      </c>
      <c r="R525" s="8">
        <f t="shared" ca="1" si="332"/>
        <v>251519.09712019787</v>
      </c>
      <c r="S525" s="8">
        <f ca="1">S495+S523</f>
        <v>30639.599103733191</v>
      </c>
      <c r="T525" s="8">
        <f t="shared" ca="1" si="332"/>
        <v>418640.73420571716</v>
      </c>
      <c r="U525" s="8">
        <f t="shared" ca="1" si="332"/>
        <v>0</v>
      </c>
      <c r="V525" s="8">
        <f t="shared" ca="1" si="332"/>
        <v>8688.841536879565</v>
      </c>
      <c r="W525" s="27">
        <f t="shared" ca="1" si="329"/>
        <v>-1.862645149230957E-9</v>
      </c>
      <c r="X525" s="3"/>
      <c r="Y525" s="3"/>
      <c r="Z525" s="3"/>
      <c r="AA525" s="3"/>
      <c r="AB525" s="3"/>
      <c r="AC525" s="3"/>
    </row>
    <row r="526" spans="1:29" x14ac:dyDescent="0.2">
      <c r="A526" s="3"/>
      <c r="B526" s="3"/>
      <c r="C526" s="3"/>
      <c r="D526" s="3"/>
      <c r="E526" s="4"/>
      <c r="F526" s="4"/>
      <c r="G526" s="4"/>
      <c r="H526" s="8"/>
      <c r="I526" s="8"/>
      <c r="J526" s="8"/>
      <c r="K526" s="8"/>
      <c r="L526" s="8"/>
      <c r="M526" s="3"/>
      <c r="N526" s="3"/>
      <c r="O526" s="3"/>
      <c r="P526" s="9">
        <f t="shared" si="286"/>
        <v>0</v>
      </c>
      <c r="Q526" s="3"/>
      <c r="R526" s="3"/>
      <c r="S526" s="3"/>
      <c r="T526" s="3"/>
      <c r="U526" s="3"/>
      <c r="V526" s="3"/>
      <c r="W526" s="27" t="str">
        <f t="shared" si="329"/>
        <v>OK</v>
      </c>
      <c r="X526" s="3"/>
      <c r="Y526" s="3"/>
      <c r="Z526" s="3"/>
      <c r="AA526" s="3"/>
      <c r="AB526" s="3"/>
      <c r="AC526" s="3"/>
    </row>
    <row r="527" spans="1:29" x14ac:dyDescent="0.2">
      <c r="A527" s="3"/>
      <c r="B527" s="3"/>
      <c r="C527" s="3"/>
      <c r="D527" s="3"/>
      <c r="E527" s="4"/>
      <c r="F527" s="4"/>
      <c r="G527" s="4"/>
      <c r="H527" s="8"/>
      <c r="I527" s="8"/>
      <c r="J527" s="8"/>
      <c r="K527" s="8"/>
      <c r="L527" s="8"/>
      <c r="M527" s="3"/>
      <c r="N527" s="3"/>
      <c r="O527" s="3"/>
      <c r="P527" s="9">
        <f t="shared" si="286"/>
        <v>0</v>
      </c>
      <c r="Q527" s="3"/>
      <c r="R527" s="3"/>
      <c r="S527" s="3"/>
      <c r="T527" s="3"/>
      <c r="U527" s="3"/>
      <c r="V527" s="3"/>
      <c r="W527" s="27" t="str">
        <f t="shared" si="329"/>
        <v>OK</v>
      </c>
      <c r="X527" s="3"/>
      <c r="Y527" s="3"/>
      <c r="Z527" s="3"/>
      <c r="AA527" s="3"/>
      <c r="AB527" s="3"/>
      <c r="AC527" s="3"/>
    </row>
    <row r="528" spans="1:29" x14ac:dyDescent="0.2">
      <c r="A528" s="3"/>
      <c r="B528" s="7" t="s">
        <v>284</v>
      </c>
      <c r="C528" s="3"/>
      <c r="D528" s="3"/>
      <c r="E528" s="4"/>
      <c r="F528" s="4"/>
      <c r="G528" s="4"/>
      <c r="H528" s="8"/>
      <c r="I528" s="8"/>
      <c r="J528" s="8"/>
      <c r="K528" s="10"/>
      <c r="L528" s="10"/>
      <c r="M528" s="3"/>
      <c r="N528" s="3"/>
      <c r="O528" s="3"/>
      <c r="P528" s="9">
        <f t="shared" si="286"/>
        <v>0</v>
      </c>
      <c r="Q528" s="3"/>
      <c r="R528" s="3"/>
      <c r="S528" s="3"/>
      <c r="T528" s="3"/>
      <c r="U528" s="3"/>
      <c r="V528" s="3"/>
      <c r="W528" s="27" t="str">
        <f t="shared" si="329"/>
        <v>OK</v>
      </c>
      <c r="X528" s="3"/>
      <c r="Y528" s="3"/>
      <c r="Z528" s="3"/>
      <c r="AA528" s="3"/>
      <c r="AB528" s="3"/>
      <c r="AC528" s="3"/>
    </row>
    <row r="529" spans="1:29" x14ac:dyDescent="0.2">
      <c r="A529" s="3"/>
      <c r="B529" s="3"/>
      <c r="C529" s="3"/>
      <c r="D529" s="3"/>
      <c r="E529" s="4"/>
      <c r="F529" s="4"/>
      <c r="G529" s="4"/>
      <c r="H529" s="8"/>
      <c r="I529" s="8"/>
      <c r="J529" s="8"/>
      <c r="K529" s="10"/>
      <c r="L529" s="10"/>
      <c r="M529" s="3"/>
      <c r="N529" s="3"/>
      <c r="O529" s="3"/>
      <c r="P529" s="9">
        <f t="shared" si="286"/>
        <v>0</v>
      </c>
      <c r="Q529" s="3"/>
      <c r="R529" s="3"/>
      <c r="S529" s="3"/>
      <c r="T529" s="3"/>
      <c r="U529" s="3"/>
      <c r="V529" s="3"/>
      <c r="W529" s="27" t="str">
        <f t="shared" si="329"/>
        <v>OK</v>
      </c>
      <c r="X529" s="3"/>
      <c r="Y529" s="3"/>
      <c r="Z529" s="3"/>
      <c r="AA529" s="3"/>
      <c r="AB529" s="3"/>
      <c r="AC529" s="3"/>
    </row>
    <row r="530" spans="1:29" x14ac:dyDescent="0.2">
      <c r="A530" s="3">
        <v>1</v>
      </c>
      <c r="B530" s="3" t="s">
        <v>285</v>
      </c>
      <c r="C530" s="3"/>
      <c r="D530" s="3"/>
      <c r="E530" s="4"/>
      <c r="F530" s="4"/>
      <c r="G530" s="4"/>
      <c r="H530" s="8"/>
      <c r="I530" s="8"/>
      <c r="J530" s="8"/>
      <c r="K530" s="10"/>
      <c r="L530" s="10"/>
      <c r="M530" s="3"/>
      <c r="N530" s="3"/>
      <c r="O530" s="3"/>
      <c r="P530" s="9">
        <f t="shared" si="286"/>
        <v>0</v>
      </c>
      <c r="Q530" s="3"/>
      <c r="R530" s="3"/>
      <c r="S530" s="3"/>
      <c r="T530" s="3"/>
      <c r="U530" s="3"/>
      <c r="V530" s="3"/>
      <c r="W530" s="27" t="str">
        <f t="shared" si="329"/>
        <v>OK</v>
      </c>
      <c r="X530" s="3"/>
      <c r="Y530" s="3"/>
      <c r="Z530" s="3"/>
      <c r="AA530" s="3"/>
      <c r="AB530" s="3"/>
      <c r="AC530" s="3"/>
    </row>
    <row r="531" spans="1:29" x14ac:dyDescent="0.2">
      <c r="A531" s="3">
        <f t="shared" ref="A531:A537" si="333">+A530+1</f>
        <v>2</v>
      </c>
      <c r="B531" s="3"/>
      <c r="C531" s="3"/>
      <c r="D531" s="3"/>
      <c r="E531" s="4"/>
      <c r="F531" s="4"/>
      <c r="G531" s="4"/>
      <c r="H531" s="8"/>
      <c r="I531" s="8"/>
      <c r="J531" s="8"/>
      <c r="K531" s="10"/>
      <c r="L531" s="10"/>
      <c r="M531" s="3"/>
      <c r="N531" s="3"/>
      <c r="O531" s="3"/>
      <c r="P531" s="9">
        <f t="shared" si="286"/>
        <v>0</v>
      </c>
      <c r="Q531" s="3"/>
      <c r="R531" s="3"/>
      <c r="S531" s="3"/>
      <c r="T531" s="3"/>
      <c r="U531" s="3"/>
      <c r="V531" s="3"/>
      <c r="W531" s="27" t="str">
        <f t="shared" si="329"/>
        <v>OK</v>
      </c>
      <c r="X531" s="3"/>
      <c r="Y531" s="3"/>
      <c r="Z531" s="3"/>
      <c r="AA531" s="3"/>
      <c r="AB531" s="3"/>
      <c r="AC531" s="3"/>
    </row>
    <row r="532" spans="1:29" x14ac:dyDescent="0.2">
      <c r="A532" s="3">
        <f t="shared" si="333"/>
        <v>3</v>
      </c>
      <c r="B532" s="3" t="s">
        <v>23</v>
      </c>
      <c r="C532" s="3"/>
      <c r="D532" s="3"/>
      <c r="E532" s="4"/>
      <c r="F532" s="4"/>
      <c r="G532" s="4"/>
      <c r="H532" s="8"/>
      <c r="I532" s="8"/>
      <c r="J532" s="8"/>
      <c r="K532" s="10"/>
      <c r="L532" s="10"/>
      <c r="M532" s="3"/>
      <c r="N532" s="3"/>
      <c r="O532" s="3"/>
      <c r="P532" s="9">
        <f t="shared" ref="P532:P595" si="334">SUM(Q532:S532)</f>
        <v>0</v>
      </c>
      <c r="Q532" s="3"/>
      <c r="R532" s="3"/>
      <c r="S532" s="3"/>
      <c r="T532" s="3"/>
      <c r="U532" s="3"/>
      <c r="V532" s="3"/>
      <c r="W532" s="27" t="str">
        <f t="shared" si="329"/>
        <v>OK</v>
      </c>
      <c r="X532" s="3"/>
      <c r="Y532" s="3"/>
      <c r="Z532" s="3"/>
      <c r="AA532" s="3"/>
      <c r="AB532" s="3"/>
      <c r="AC532" s="3"/>
    </row>
    <row r="533" spans="1:29" x14ac:dyDescent="0.2">
      <c r="A533" s="3">
        <f t="shared" si="333"/>
        <v>4</v>
      </c>
      <c r="B533" s="3" t="s">
        <v>24</v>
      </c>
      <c r="C533" s="3" t="s">
        <v>25</v>
      </c>
      <c r="D533" s="176" t="str">
        <f>D93</f>
        <v>LABOR</v>
      </c>
      <c r="E533" s="4" t="s">
        <v>591</v>
      </c>
      <c r="F533" s="11"/>
      <c r="G533" s="11"/>
      <c r="H533" s="2">
        <f>'II-I TOTAL COMPANY'!L533</f>
        <v>0</v>
      </c>
      <c r="I533" s="66">
        <v>0</v>
      </c>
      <c r="J533" s="66">
        <f ca="1">SUM(K533:V533)-M533-P533</f>
        <v>0</v>
      </c>
      <c r="K533" s="12">
        <f t="shared" ref="K533:L535" ca="1" si="335">IF($H93&lt;&gt;0,$H533*(K93/$H93),0)</f>
        <v>0</v>
      </c>
      <c r="L533" s="12">
        <f t="shared" ca="1" si="335"/>
        <v>0</v>
      </c>
      <c r="M533" s="9">
        <f ca="1">SUM(N533:O533)</f>
        <v>0</v>
      </c>
      <c r="N533" s="12">
        <f ca="1">IF($H93&lt;&gt;0,$H533*(N93/$H93),0)</f>
        <v>0</v>
      </c>
      <c r="O533" s="12">
        <f ca="1">IF($H93&lt;&gt;0,$H533*(O93/$H93),0)</f>
        <v>0</v>
      </c>
      <c r="P533" s="9">
        <f t="shared" ca="1" si="334"/>
        <v>0</v>
      </c>
      <c r="Q533" s="12">
        <f t="shared" ref="Q533:V534" ca="1" si="336">IF($H93&lt;&gt;0,$H533*(Q93/$H93),0)</f>
        <v>0</v>
      </c>
      <c r="R533" s="12">
        <f t="shared" ca="1" si="336"/>
        <v>0</v>
      </c>
      <c r="S533" s="12">
        <f ca="1">IF($H93&lt;&gt;0,$H533*(S93/$H93),0)</f>
        <v>0</v>
      </c>
      <c r="T533" s="12">
        <f t="shared" ca="1" si="336"/>
        <v>0</v>
      </c>
      <c r="U533" s="12">
        <f t="shared" ca="1" si="336"/>
        <v>0</v>
      </c>
      <c r="V533" s="12">
        <f t="shared" ca="1" si="336"/>
        <v>0</v>
      </c>
      <c r="W533" s="27" t="str">
        <f t="shared" ca="1" si="329"/>
        <v>OK</v>
      </c>
      <c r="X533" s="3"/>
      <c r="Y533" s="3"/>
      <c r="Z533" s="3"/>
      <c r="AA533" s="3"/>
      <c r="AB533" s="3"/>
      <c r="AC533" s="3"/>
    </row>
    <row r="534" spans="1:29" x14ac:dyDescent="0.2">
      <c r="A534" s="3">
        <f t="shared" si="333"/>
        <v>5</v>
      </c>
      <c r="B534" s="3" t="s">
        <v>26</v>
      </c>
      <c r="C534" s="3" t="s">
        <v>27</v>
      </c>
      <c r="D534" s="176" t="str">
        <f>D94</f>
        <v>LABOR</v>
      </c>
      <c r="E534" s="4" t="s">
        <v>591</v>
      </c>
      <c r="F534" s="11"/>
      <c r="G534" s="11"/>
      <c r="H534" s="2">
        <f>'II-I TOTAL COMPANY'!L534</f>
        <v>0</v>
      </c>
      <c r="I534" s="66">
        <v>0</v>
      </c>
      <c r="J534" s="66">
        <f t="shared" ref="J534:J536" si="337">SUM(K534:V534)-M534-P534</f>
        <v>0</v>
      </c>
      <c r="K534" s="12">
        <f t="shared" si="335"/>
        <v>0</v>
      </c>
      <c r="L534" s="12">
        <f t="shared" si="335"/>
        <v>0</v>
      </c>
      <c r="M534" s="9">
        <f>SUM(N534:O534)</f>
        <v>0</v>
      </c>
      <c r="N534" s="12">
        <f>IF($H94&lt;&gt;0,$H534*(N94/$H94),0)</f>
        <v>0</v>
      </c>
      <c r="O534" s="12">
        <f>IF($H94&lt;&gt;0,$H534*(O94/$H94),0)</f>
        <v>0</v>
      </c>
      <c r="P534" s="9">
        <f t="shared" si="334"/>
        <v>0</v>
      </c>
      <c r="Q534" s="12">
        <f t="shared" si="336"/>
        <v>0</v>
      </c>
      <c r="R534" s="12">
        <f t="shared" si="336"/>
        <v>0</v>
      </c>
      <c r="S534" s="12">
        <f>IF($H94&lt;&gt;0,$H534*(S94/$H94),0)</f>
        <v>0</v>
      </c>
      <c r="T534" s="12">
        <f t="shared" si="336"/>
        <v>0</v>
      </c>
      <c r="U534" s="12">
        <f t="shared" si="336"/>
        <v>0</v>
      </c>
      <c r="V534" s="12">
        <f t="shared" si="336"/>
        <v>0</v>
      </c>
      <c r="W534" s="27" t="str">
        <f t="shared" si="329"/>
        <v>OK</v>
      </c>
      <c r="X534" s="3"/>
      <c r="Y534" s="3"/>
      <c r="Z534" s="3"/>
      <c r="AA534" s="3"/>
      <c r="AB534" s="3"/>
      <c r="AC534" s="3"/>
    </row>
    <row r="535" spans="1:29" x14ac:dyDescent="0.2">
      <c r="A535" s="3">
        <f t="shared" si="333"/>
        <v>6</v>
      </c>
      <c r="B535" s="3" t="s">
        <v>28</v>
      </c>
      <c r="C535" s="3" t="s">
        <v>29</v>
      </c>
      <c r="D535" s="176" t="str">
        <f>D95</f>
        <v>LABOR</v>
      </c>
      <c r="E535" s="4" t="s">
        <v>591</v>
      </c>
      <c r="F535" s="11"/>
      <c r="G535" s="11"/>
      <c r="H535" s="2">
        <f>'II-I TOTAL COMPANY'!L535</f>
        <v>663979.84799114359</v>
      </c>
      <c r="I535" s="66">
        <v>0</v>
      </c>
      <c r="J535" s="66">
        <f t="shared" ca="1" si="337"/>
        <v>663979.84799114359</v>
      </c>
      <c r="K535" s="66">
        <f t="shared" ca="1" si="335"/>
        <v>311278.25018765352</v>
      </c>
      <c r="L535" s="66">
        <f t="shared" ca="1" si="335"/>
        <v>59146.202653309148</v>
      </c>
      <c r="M535" s="9">
        <f ca="1">SUM(N535:O535)</f>
        <v>234806.44360684487</v>
      </c>
      <c r="N535" s="66">
        <f t="shared" ref="N535:V535" ca="1" si="338">IF($H95&lt;&gt;0,$H535*(N95/$H95),0)</f>
        <v>4580.9002814908526</v>
      </c>
      <c r="O535" s="66">
        <f t="shared" ca="1" si="338"/>
        <v>230225.54332535403</v>
      </c>
      <c r="P535" s="9">
        <f t="shared" ca="1" si="334"/>
        <v>31577.844537171295</v>
      </c>
      <c r="Q535" s="66">
        <f t="shared" ca="1" si="338"/>
        <v>13637.209104910993</v>
      </c>
      <c r="R535" s="66">
        <f t="shared" ca="1" si="338"/>
        <v>15992.462702987303</v>
      </c>
      <c r="S535" s="66">
        <f ca="1">IF($H95&lt;&gt;0,$H535*(S95/$H95),0)</f>
        <v>1948.1727292729984</v>
      </c>
      <c r="T535" s="66">
        <f t="shared" ca="1" si="338"/>
        <v>26618.640112788926</v>
      </c>
      <c r="U535" s="66">
        <f t="shared" ca="1" si="338"/>
        <v>0</v>
      </c>
      <c r="V535" s="66">
        <f t="shared" ca="1" si="338"/>
        <v>552.46689337592511</v>
      </c>
      <c r="W535" s="27">
        <f t="shared" ca="1" si="329"/>
        <v>1.1641532182693481E-10</v>
      </c>
      <c r="X535" s="3"/>
      <c r="Y535" s="3"/>
      <c r="Z535" s="3"/>
      <c r="AA535" s="3"/>
      <c r="AB535" s="3"/>
      <c r="AC535" s="3"/>
    </row>
    <row r="536" spans="1:29" x14ac:dyDescent="0.2">
      <c r="A536" s="3">
        <f t="shared" si="333"/>
        <v>7</v>
      </c>
      <c r="B536" s="3"/>
      <c r="C536" s="3" t="s">
        <v>30</v>
      </c>
      <c r="D536" s="3"/>
      <c r="E536" s="4"/>
      <c r="F536" s="8"/>
      <c r="G536" s="8"/>
      <c r="H536" s="8">
        <f t="shared" ref="H536:V536" si="339">SUM(H533:H535)</f>
        <v>663979.84799114359</v>
      </c>
      <c r="I536" s="8">
        <f t="shared" si="339"/>
        <v>0</v>
      </c>
      <c r="J536" s="66">
        <f t="shared" ca="1" si="337"/>
        <v>663979.84799114359</v>
      </c>
      <c r="K536" s="8">
        <f t="shared" ca="1" si="339"/>
        <v>311278.25018765352</v>
      </c>
      <c r="L536" s="8">
        <f t="shared" ca="1" si="339"/>
        <v>59146.202653309148</v>
      </c>
      <c r="M536" s="9">
        <f ca="1">SUM(N536:O536)</f>
        <v>234806.44360684487</v>
      </c>
      <c r="N536" s="8">
        <f t="shared" ca="1" si="339"/>
        <v>4580.9002814908526</v>
      </c>
      <c r="O536" s="8">
        <f t="shared" ca="1" si="339"/>
        <v>230225.54332535403</v>
      </c>
      <c r="P536" s="9">
        <f t="shared" ca="1" si="334"/>
        <v>31577.844537171295</v>
      </c>
      <c r="Q536" s="8">
        <f t="shared" ca="1" si="339"/>
        <v>13637.209104910993</v>
      </c>
      <c r="R536" s="8">
        <f t="shared" ca="1" si="339"/>
        <v>15992.462702987303</v>
      </c>
      <c r="S536" s="8">
        <f ca="1">SUM(S533:S535)</f>
        <v>1948.1727292729984</v>
      </c>
      <c r="T536" s="8">
        <f t="shared" ca="1" si="339"/>
        <v>26618.640112788926</v>
      </c>
      <c r="U536" s="8">
        <f t="shared" ca="1" si="339"/>
        <v>0</v>
      </c>
      <c r="V536" s="8">
        <f t="shared" ca="1" si="339"/>
        <v>552.46689337592511</v>
      </c>
      <c r="W536" s="27">
        <f t="shared" ca="1" si="329"/>
        <v>1.1641532182693481E-10</v>
      </c>
      <c r="X536" s="3"/>
      <c r="Y536" s="3"/>
      <c r="Z536" s="3"/>
      <c r="AA536" s="3"/>
      <c r="AB536" s="3"/>
      <c r="AC536" s="3"/>
    </row>
    <row r="537" spans="1:29" x14ac:dyDescent="0.2">
      <c r="A537" s="3">
        <f t="shared" si="333"/>
        <v>8</v>
      </c>
      <c r="B537" s="3"/>
      <c r="C537" s="3"/>
      <c r="D537" s="3"/>
      <c r="E537" s="4"/>
      <c r="F537" s="4"/>
      <c r="G537" s="4"/>
      <c r="H537" s="8"/>
      <c r="I537" s="8"/>
      <c r="J537" s="8"/>
      <c r="K537" s="10"/>
      <c r="L537" s="10"/>
      <c r="M537" s="3"/>
      <c r="N537" s="3"/>
      <c r="O537" s="3"/>
      <c r="P537" s="9">
        <f t="shared" si="334"/>
        <v>0</v>
      </c>
      <c r="Q537" s="3"/>
      <c r="R537" s="3"/>
      <c r="S537" s="3"/>
      <c r="T537" s="3"/>
      <c r="U537" s="3"/>
      <c r="V537" s="3"/>
      <c r="W537" s="27" t="str">
        <f t="shared" si="329"/>
        <v>OK</v>
      </c>
      <c r="X537" s="3"/>
      <c r="Y537" s="3"/>
      <c r="Z537" s="3"/>
      <c r="AA537" s="3"/>
      <c r="AB537" s="3"/>
      <c r="AC537" s="3"/>
    </row>
    <row r="538" spans="1:29" x14ac:dyDescent="0.2">
      <c r="A538" s="3">
        <f t="shared" ref="A538:A582" si="340">1+A537</f>
        <v>9</v>
      </c>
      <c r="B538" s="3"/>
      <c r="C538" s="3"/>
      <c r="D538" s="3"/>
      <c r="E538" s="4"/>
      <c r="F538" s="4"/>
      <c r="G538" s="4"/>
      <c r="H538" s="8"/>
      <c r="I538" s="8"/>
      <c r="J538" s="8"/>
      <c r="K538" s="10"/>
      <c r="L538" s="10"/>
      <c r="M538" s="3"/>
      <c r="N538" s="3"/>
      <c r="O538" s="3"/>
      <c r="P538" s="9">
        <f t="shared" si="334"/>
        <v>0</v>
      </c>
      <c r="Q538" s="3"/>
      <c r="R538" s="3"/>
      <c r="S538" s="3"/>
      <c r="T538" s="3"/>
      <c r="U538" s="3"/>
      <c r="V538" s="3"/>
      <c r="W538" s="27" t="str">
        <f t="shared" si="329"/>
        <v>OK</v>
      </c>
      <c r="X538" s="3"/>
      <c r="Y538" s="3"/>
      <c r="Z538" s="3"/>
      <c r="AA538" s="3"/>
      <c r="AB538" s="3"/>
      <c r="AC538" s="3"/>
    </row>
    <row r="539" spans="1:29" x14ac:dyDescent="0.2">
      <c r="A539" s="3">
        <f t="shared" si="340"/>
        <v>10</v>
      </c>
      <c r="B539" s="3" t="s">
        <v>33</v>
      </c>
      <c r="C539" s="3"/>
      <c r="D539" s="3"/>
      <c r="E539" s="4"/>
      <c r="F539" s="4"/>
      <c r="G539" s="4"/>
      <c r="H539" s="8"/>
      <c r="I539" s="8"/>
      <c r="J539" s="8"/>
      <c r="K539" s="10"/>
      <c r="L539" s="10"/>
      <c r="M539" s="3"/>
      <c r="N539" s="3"/>
      <c r="O539" s="3"/>
      <c r="P539" s="9">
        <f t="shared" si="334"/>
        <v>0</v>
      </c>
      <c r="Q539" s="3"/>
      <c r="R539" s="3"/>
      <c r="S539" s="3"/>
      <c r="T539" s="3"/>
      <c r="U539" s="3"/>
      <c r="V539" s="3"/>
      <c r="W539" s="27" t="str">
        <f t="shared" si="329"/>
        <v>OK</v>
      </c>
      <c r="X539" s="3"/>
      <c r="Y539" s="3"/>
      <c r="Z539" s="3"/>
      <c r="AA539" s="3"/>
      <c r="AB539" s="3"/>
      <c r="AC539" s="3"/>
    </row>
    <row r="540" spans="1:29" x14ac:dyDescent="0.2">
      <c r="A540" s="3">
        <f t="shared" si="340"/>
        <v>11</v>
      </c>
      <c r="B540" s="3" t="s">
        <v>34</v>
      </c>
      <c r="C540" s="3" t="s">
        <v>35</v>
      </c>
      <c r="D540" s="176" t="str">
        <f t="shared" ref="D540:D548" si="341">D101</f>
        <v>DEMANDDP</v>
      </c>
      <c r="E540" s="4" t="s">
        <v>591</v>
      </c>
      <c r="F540" s="11"/>
      <c r="G540" s="11"/>
      <c r="H540" s="2">
        <f>'II-I TOTAL COMPANY'!L540</f>
        <v>0</v>
      </c>
      <c r="I540" s="66">
        <v>0</v>
      </c>
      <c r="J540" s="66">
        <f>SUM(K540:V540)-M540-P540</f>
        <v>0</v>
      </c>
      <c r="K540" s="12">
        <f t="shared" ref="K540:L548" si="342">IF($H101&lt;&gt;0,$H540*(K101/$H101),0)</f>
        <v>0</v>
      </c>
      <c r="L540" s="12">
        <f t="shared" si="342"/>
        <v>0</v>
      </c>
      <c r="M540" s="9">
        <f t="shared" ref="M540:M549" si="343">SUM(N540:O540)</f>
        <v>0</v>
      </c>
      <c r="N540" s="12">
        <f t="shared" ref="N540:O548" si="344">IF($H101&lt;&gt;0,$H540*(N101/$H101),0)</f>
        <v>0</v>
      </c>
      <c r="O540" s="12">
        <f t="shared" si="344"/>
        <v>0</v>
      </c>
      <c r="P540" s="9">
        <f t="shared" si="334"/>
        <v>0</v>
      </c>
      <c r="Q540" s="12">
        <f t="shared" ref="Q540:V548" si="345">IF($H101&lt;&gt;0,$H540*(Q101/$H101),0)</f>
        <v>0</v>
      </c>
      <c r="R540" s="12">
        <f t="shared" si="345"/>
        <v>0</v>
      </c>
      <c r="S540" s="12">
        <f t="shared" ref="S540:S548" si="346">IF($H101&lt;&gt;0,$H540*(S101/$H101),0)</f>
        <v>0</v>
      </c>
      <c r="T540" s="12">
        <f t="shared" si="345"/>
        <v>0</v>
      </c>
      <c r="U540" s="12">
        <f t="shared" si="345"/>
        <v>0</v>
      </c>
      <c r="V540" s="12">
        <f t="shared" si="345"/>
        <v>0</v>
      </c>
      <c r="W540" s="27" t="str">
        <f t="shared" si="329"/>
        <v>OK</v>
      </c>
      <c r="X540" s="3"/>
      <c r="Y540" s="3"/>
      <c r="Z540" s="3"/>
      <c r="AA540" s="3"/>
      <c r="AB540" s="3"/>
      <c r="AC540" s="3"/>
    </row>
    <row r="541" spans="1:29" x14ac:dyDescent="0.2">
      <c r="A541" s="3">
        <f t="shared" si="340"/>
        <v>12</v>
      </c>
      <c r="B541" s="3" t="s">
        <v>36</v>
      </c>
      <c r="C541" s="3" t="s">
        <v>31</v>
      </c>
      <c r="D541" s="176" t="str">
        <f t="shared" si="341"/>
        <v>DEMANDDP</v>
      </c>
      <c r="E541" s="4" t="s">
        <v>591</v>
      </c>
      <c r="F541" s="11"/>
      <c r="G541" s="11"/>
      <c r="H541" s="2">
        <f>'II-I TOTAL COMPANY'!L541</f>
        <v>0</v>
      </c>
      <c r="I541" s="66">
        <v>0</v>
      </c>
      <c r="J541" s="66">
        <f t="shared" ref="J541:J549" si="347">SUM(K541:V541)-M541-P541</f>
        <v>0</v>
      </c>
      <c r="K541" s="12">
        <f t="shared" si="342"/>
        <v>0</v>
      </c>
      <c r="L541" s="12">
        <f t="shared" si="342"/>
        <v>0</v>
      </c>
      <c r="M541" s="9">
        <f t="shared" si="343"/>
        <v>0</v>
      </c>
      <c r="N541" s="12">
        <f t="shared" si="344"/>
        <v>0</v>
      </c>
      <c r="O541" s="12">
        <f t="shared" si="344"/>
        <v>0</v>
      </c>
      <c r="P541" s="9">
        <f t="shared" si="334"/>
        <v>0</v>
      </c>
      <c r="Q541" s="12">
        <f t="shared" si="345"/>
        <v>0</v>
      </c>
      <c r="R541" s="12">
        <f t="shared" si="345"/>
        <v>0</v>
      </c>
      <c r="S541" s="12">
        <f t="shared" si="346"/>
        <v>0</v>
      </c>
      <c r="T541" s="12">
        <f t="shared" si="345"/>
        <v>0</v>
      </c>
      <c r="U541" s="12">
        <f t="shared" si="345"/>
        <v>0</v>
      </c>
      <c r="V541" s="12">
        <f t="shared" si="345"/>
        <v>0</v>
      </c>
      <c r="W541" s="27" t="str">
        <f t="shared" si="329"/>
        <v>OK</v>
      </c>
      <c r="X541" s="3"/>
      <c r="Y541" s="3"/>
      <c r="Z541" s="3"/>
      <c r="AA541" s="3"/>
      <c r="AB541" s="3"/>
      <c r="AC541" s="3"/>
    </row>
    <row r="542" spans="1:29" x14ac:dyDescent="0.2">
      <c r="A542" s="3">
        <f t="shared" si="340"/>
        <v>13</v>
      </c>
      <c r="B542" s="3" t="s">
        <v>37</v>
      </c>
      <c r="C542" s="3" t="s">
        <v>38</v>
      </c>
      <c r="D542" s="176" t="str">
        <f t="shared" si="341"/>
        <v>DEMANDDP</v>
      </c>
      <c r="E542" s="4" t="s">
        <v>591</v>
      </c>
      <c r="F542" s="11"/>
      <c r="G542" s="11"/>
      <c r="H542" s="2">
        <f>'II-I TOTAL COMPANY'!L542</f>
        <v>0</v>
      </c>
      <c r="I542" s="66">
        <v>0</v>
      </c>
      <c r="J542" s="66">
        <f t="shared" si="347"/>
        <v>0</v>
      </c>
      <c r="K542" s="12">
        <f t="shared" si="342"/>
        <v>0</v>
      </c>
      <c r="L542" s="12">
        <f t="shared" si="342"/>
        <v>0</v>
      </c>
      <c r="M542" s="9">
        <f t="shared" si="343"/>
        <v>0</v>
      </c>
      <c r="N542" s="12">
        <f t="shared" si="344"/>
        <v>0</v>
      </c>
      <c r="O542" s="12">
        <f t="shared" si="344"/>
        <v>0</v>
      </c>
      <c r="P542" s="9">
        <f t="shared" si="334"/>
        <v>0</v>
      </c>
      <c r="Q542" s="12">
        <f t="shared" si="345"/>
        <v>0</v>
      </c>
      <c r="R542" s="12">
        <f t="shared" si="345"/>
        <v>0</v>
      </c>
      <c r="S542" s="12">
        <f t="shared" si="346"/>
        <v>0</v>
      </c>
      <c r="T542" s="12">
        <f t="shared" si="345"/>
        <v>0</v>
      </c>
      <c r="U542" s="12">
        <f t="shared" si="345"/>
        <v>0</v>
      </c>
      <c r="V542" s="12">
        <f t="shared" si="345"/>
        <v>0</v>
      </c>
      <c r="W542" s="27" t="str">
        <f t="shared" si="329"/>
        <v>OK</v>
      </c>
      <c r="X542" s="3"/>
      <c r="Y542" s="3"/>
      <c r="Z542" s="3"/>
      <c r="AA542" s="3"/>
      <c r="AB542" s="3"/>
      <c r="AC542" s="3"/>
    </row>
    <row r="543" spans="1:29" x14ac:dyDescent="0.2">
      <c r="A543" s="3">
        <f t="shared" si="340"/>
        <v>14</v>
      </c>
      <c r="B543" s="3" t="s">
        <v>39</v>
      </c>
      <c r="C543" s="3" t="s">
        <v>40</v>
      </c>
      <c r="D543" s="176" t="str">
        <f t="shared" si="341"/>
        <v>DEMANDDP</v>
      </c>
      <c r="E543" s="4" t="s">
        <v>591</v>
      </c>
      <c r="F543" s="11"/>
      <c r="G543" s="11"/>
      <c r="H543" s="2">
        <f>'II-I TOTAL COMPANY'!L543</f>
        <v>0</v>
      </c>
      <c r="I543" s="66">
        <v>0</v>
      </c>
      <c r="J543" s="66">
        <f t="shared" si="347"/>
        <v>0</v>
      </c>
      <c r="K543" s="12">
        <f t="shared" si="342"/>
        <v>0</v>
      </c>
      <c r="L543" s="12">
        <f t="shared" si="342"/>
        <v>0</v>
      </c>
      <c r="M543" s="9">
        <f t="shared" si="343"/>
        <v>0</v>
      </c>
      <c r="N543" s="12">
        <f t="shared" si="344"/>
        <v>0</v>
      </c>
      <c r="O543" s="12">
        <f t="shared" si="344"/>
        <v>0</v>
      </c>
      <c r="P543" s="9">
        <f t="shared" si="334"/>
        <v>0</v>
      </c>
      <c r="Q543" s="12">
        <f t="shared" si="345"/>
        <v>0</v>
      </c>
      <c r="R543" s="12">
        <f t="shared" si="345"/>
        <v>0</v>
      </c>
      <c r="S543" s="12">
        <f t="shared" si="346"/>
        <v>0</v>
      </c>
      <c r="T543" s="12">
        <f t="shared" si="345"/>
        <v>0</v>
      </c>
      <c r="U543" s="12">
        <f t="shared" si="345"/>
        <v>0</v>
      </c>
      <c r="V543" s="12">
        <f t="shared" si="345"/>
        <v>0</v>
      </c>
      <c r="W543" s="27" t="str">
        <f t="shared" si="329"/>
        <v>OK</v>
      </c>
      <c r="X543" s="3"/>
      <c r="Y543" s="3"/>
      <c r="Z543" s="3"/>
      <c r="AA543" s="3"/>
      <c r="AB543" s="3"/>
      <c r="AC543" s="3"/>
    </row>
    <row r="544" spans="1:29" x14ac:dyDescent="0.2">
      <c r="A544" s="3">
        <f t="shared" si="340"/>
        <v>15</v>
      </c>
      <c r="B544" s="3" t="s">
        <v>41</v>
      </c>
      <c r="C544" s="3" t="s">
        <v>42</v>
      </c>
      <c r="D544" s="176" t="str">
        <f t="shared" si="341"/>
        <v>DEMANDDP</v>
      </c>
      <c r="E544" s="4" t="s">
        <v>591</v>
      </c>
      <c r="F544" s="11"/>
      <c r="G544" s="11"/>
      <c r="H544" s="2">
        <f>'II-I TOTAL COMPANY'!L544</f>
        <v>0</v>
      </c>
      <c r="I544" s="66">
        <v>0</v>
      </c>
      <c r="J544" s="66">
        <f t="shared" si="347"/>
        <v>0</v>
      </c>
      <c r="K544" s="12">
        <f t="shared" si="342"/>
        <v>0</v>
      </c>
      <c r="L544" s="12">
        <f t="shared" si="342"/>
        <v>0</v>
      </c>
      <c r="M544" s="9">
        <f t="shared" si="343"/>
        <v>0</v>
      </c>
      <c r="N544" s="12">
        <f t="shared" si="344"/>
        <v>0</v>
      </c>
      <c r="O544" s="12">
        <f t="shared" si="344"/>
        <v>0</v>
      </c>
      <c r="P544" s="9">
        <f t="shared" si="334"/>
        <v>0</v>
      </c>
      <c r="Q544" s="12">
        <f t="shared" si="345"/>
        <v>0</v>
      </c>
      <c r="R544" s="12">
        <f t="shared" si="345"/>
        <v>0</v>
      </c>
      <c r="S544" s="12">
        <f t="shared" si="346"/>
        <v>0</v>
      </c>
      <c r="T544" s="12">
        <f t="shared" si="345"/>
        <v>0</v>
      </c>
      <c r="U544" s="12">
        <f t="shared" si="345"/>
        <v>0</v>
      </c>
      <c r="V544" s="12">
        <f t="shared" si="345"/>
        <v>0</v>
      </c>
      <c r="W544" s="27" t="str">
        <f t="shared" si="329"/>
        <v>OK</v>
      </c>
      <c r="X544" s="3"/>
      <c r="Y544" s="3"/>
      <c r="Z544" s="3"/>
      <c r="AA544" s="3"/>
      <c r="AB544" s="3"/>
      <c r="AC544" s="3"/>
    </row>
    <row r="545" spans="1:29" x14ac:dyDescent="0.2">
      <c r="A545" s="3">
        <f t="shared" si="340"/>
        <v>16</v>
      </c>
      <c r="B545" s="3" t="s">
        <v>43</v>
      </c>
      <c r="C545" s="3" t="s">
        <v>44</v>
      </c>
      <c r="D545" s="176" t="str">
        <f t="shared" si="341"/>
        <v>DEMANDDP</v>
      </c>
      <c r="E545" s="4" t="s">
        <v>591</v>
      </c>
      <c r="F545" s="11"/>
      <c r="G545" s="11"/>
      <c r="H545" s="2">
        <f>'II-I TOTAL COMPANY'!L545</f>
        <v>0</v>
      </c>
      <c r="I545" s="66">
        <v>0</v>
      </c>
      <c r="J545" s="66">
        <f t="shared" si="347"/>
        <v>0</v>
      </c>
      <c r="K545" s="12">
        <f t="shared" si="342"/>
        <v>0</v>
      </c>
      <c r="L545" s="12">
        <f t="shared" si="342"/>
        <v>0</v>
      </c>
      <c r="M545" s="9">
        <f t="shared" si="343"/>
        <v>0</v>
      </c>
      <c r="N545" s="12">
        <f t="shared" si="344"/>
        <v>0</v>
      </c>
      <c r="O545" s="12">
        <f t="shared" si="344"/>
        <v>0</v>
      </c>
      <c r="P545" s="9">
        <f t="shared" si="334"/>
        <v>0</v>
      </c>
      <c r="Q545" s="12">
        <f t="shared" si="345"/>
        <v>0</v>
      </c>
      <c r="R545" s="12">
        <f t="shared" si="345"/>
        <v>0</v>
      </c>
      <c r="S545" s="12">
        <f t="shared" si="346"/>
        <v>0</v>
      </c>
      <c r="T545" s="12">
        <f t="shared" si="345"/>
        <v>0</v>
      </c>
      <c r="U545" s="12">
        <f t="shared" si="345"/>
        <v>0</v>
      </c>
      <c r="V545" s="12">
        <f t="shared" si="345"/>
        <v>0</v>
      </c>
      <c r="W545" s="27" t="str">
        <f t="shared" si="329"/>
        <v>OK</v>
      </c>
      <c r="X545" s="3"/>
      <c r="Y545" s="3"/>
      <c r="Z545" s="3"/>
      <c r="AA545" s="3"/>
      <c r="AB545" s="3"/>
      <c r="AC545" s="3"/>
    </row>
    <row r="546" spans="1:29" x14ac:dyDescent="0.2">
      <c r="A546" s="3">
        <f t="shared" si="340"/>
        <v>17</v>
      </c>
      <c r="B546" s="3" t="s">
        <v>45</v>
      </c>
      <c r="C546" s="3" t="s">
        <v>46</v>
      </c>
      <c r="D546" s="176" t="str">
        <f t="shared" si="341"/>
        <v>DEMANDDP</v>
      </c>
      <c r="E546" s="4" t="s">
        <v>591</v>
      </c>
      <c r="F546" s="11"/>
      <c r="G546" s="11"/>
      <c r="H546" s="2">
        <f>'II-I TOTAL COMPANY'!L546</f>
        <v>0</v>
      </c>
      <c r="I546" s="66">
        <v>0</v>
      </c>
      <c r="J546" s="66">
        <f t="shared" si="347"/>
        <v>0</v>
      </c>
      <c r="K546" s="12">
        <f t="shared" si="342"/>
        <v>0</v>
      </c>
      <c r="L546" s="12">
        <f t="shared" si="342"/>
        <v>0</v>
      </c>
      <c r="M546" s="9">
        <f t="shared" si="343"/>
        <v>0</v>
      </c>
      <c r="N546" s="12">
        <f t="shared" si="344"/>
        <v>0</v>
      </c>
      <c r="O546" s="12">
        <f t="shared" si="344"/>
        <v>0</v>
      </c>
      <c r="P546" s="9">
        <f t="shared" si="334"/>
        <v>0</v>
      </c>
      <c r="Q546" s="12">
        <f t="shared" si="345"/>
        <v>0</v>
      </c>
      <c r="R546" s="12">
        <f t="shared" si="345"/>
        <v>0</v>
      </c>
      <c r="S546" s="12">
        <f t="shared" si="346"/>
        <v>0</v>
      </c>
      <c r="T546" s="12">
        <f t="shared" si="345"/>
        <v>0</v>
      </c>
      <c r="U546" s="12">
        <f t="shared" si="345"/>
        <v>0</v>
      </c>
      <c r="V546" s="12">
        <f t="shared" si="345"/>
        <v>0</v>
      </c>
      <c r="W546" s="27" t="str">
        <f t="shared" si="329"/>
        <v>OK</v>
      </c>
      <c r="X546" s="3"/>
      <c r="Y546" s="3"/>
      <c r="Z546" s="3"/>
      <c r="AA546" s="3"/>
      <c r="AB546" s="3"/>
      <c r="AC546" s="3"/>
    </row>
    <row r="547" spans="1:29" x14ac:dyDescent="0.2">
      <c r="A547" s="3">
        <f t="shared" si="340"/>
        <v>18</v>
      </c>
      <c r="B547" s="3" t="s">
        <v>47</v>
      </c>
      <c r="C547" s="3" t="s">
        <v>48</v>
      </c>
      <c r="D547" s="176" t="str">
        <f t="shared" si="341"/>
        <v>DEMANDDP</v>
      </c>
      <c r="E547" s="4" t="s">
        <v>591</v>
      </c>
      <c r="F547" s="11"/>
      <c r="G547" s="11"/>
      <c r="H547" s="2">
        <f>'II-I TOTAL COMPANY'!L547</f>
        <v>0</v>
      </c>
      <c r="I547" s="66">
        <v>0</v>
      </c>
      <c r="J547" s="66">
        <f t="shared" si="347"/>
        <v>0</v>
      </c>
      <c r="K547" s="12">
        <f t="shared" si="342"/>
        <v>0</v>
      </c>
      <c r="L547" s="12">
        <f t="shared" si="342"/>
        <v>0</v>
      </c>
      <c r="M547" s="9">
        <f t="shared" si="343"/>
        <v>0</v>
      </c>
      <c r="N547" s="12">
        <f t="shared" si="344"/>
        <v>0</v>
      </c>
      <c r="O547" s="12">
        <f t="shared" si="344"/>
        <v>0</v>
      </c>
      <c r="P547" s="9">
        <f t="shared" si="334"/>
        <v>0</v>
      </c>
      <c r="Q547" s="12">
        <f t="shared" si="345"/>
        <v>0</v>
      </c>
      <c r="R547" s="12">
        <f t="shared" si="345"/>
        <v>0</v>
      </c>
      <c r="S547" s="12">
        <f t="shared" si="346"/>
        <v>0</v>
      </c>
      <c r="T547" s="12">
        <f t="shared" si="345"/>
        <v>0</v>
      </c>
      <c r="U547" s="12">
        <f t="shared" si="345"/>
        <v>0</v>
      </c>
      <c r="V547" s="12">
        <f t="shared" si="345"/>
        <v>0</v>
      </c>
      <c r="W547" s="27" t="str">
        <f t="shared" si="329"/>
        <v>OK</v>
      </c>
      <c r="X547" s="3"/>
      <c r="Y547" s="3"/>
      <c r="Z547" s="3"/>
      <c r="AA547" s="3"/>
      <c r="AB547" s="3"/>
      <c r="AC547" s="3"/>
    </row>
    <row r="548" spans="1:29" x14ac:dyDescent="0.2">
      <c r="A548" s="3">
        <f t="shared" si="340"/>
        <v>19</v>
      </c>
      <c r="B548" s="3" t="s">
        <v>49</v>
      </c>
      <c r="C548" s="3" t="s">
        <v>50</v>
      </c>
      <c r="D548" s="176" t="str">
        <f t="shared" si="341"/>
        <v>DEMANDDP</v>
      </c>
      <c r="E548" s="4" t="s">
        <v>591</v>
      </c>
      <c r="F548" s="11"/>
      <c r="G548" s="11"/>
      <c r="H548" s="2">
        <f>'II-I TOTAL COMPANY'!L548</f>
        <v>0</v>
      </c>
      <c r="I548" s="66">
        <v>0</v>
      </c>
      <c r="J548" s="66">
        <f t="shared" si="347"/>
        <v>0</v>
      </c>
      <c r="K548" s="12">
        <f t="shared" si="342"/>
        <v>0</v>
      </c>
      <c r="L548" s="12">
        <f t="shared" si="342"/>
        <v>0</v>
      </c>
      <c r="M548" s="9">
        <f t="shared" si="343"/>
        <v>0</v>
      </c>
      <c r="N548" s="12">
        <f t="shared" si="344"/>
        <v>0</v>
      </c>
      <c r="O548" s="12">
        <f t="shared" si="344"/>
        <v>0</v>
      </c>
      <c r="P548" s="9">
        <f t="shared" si="334"/>
        <v>0</v>
      </c>
      <c r="Q548" s="12">
        <f t="shared" si="345"/>
        <v>0</v>
      </c>
      <c r="R548" s="12">
        <f t="shared" si="345"/>
        <v>0</v>
      </c>
      <c r="S548" s="12">
        <f t="shared" si="346"/>
        <v>0</v>
      </c>
      <c r="T548" s="12">
        <f t="shared" si="345"/>
        <v>0</v>
      </c>
      <c r="U548" s="12">
        <f t="shared" si="345"/>
        <v>0</v>
      </c>
      <c r="V548" s="12">
        <f t="shared" si="345"/>
        <v>0</v>
      </c>
      <c r="W548" s="27" t="str">
        <f t="shared" si="329"/>
        <v>OK</v>
      </c>
      <c r="X548" s="3"/>
      <c r="Y548" s="3"/>
      <c r="Z548" s="3"/>
      <c r="AA548" s="3"/>
      <c r="AB548" s="3"/>
      <c r="AC548" s="3"/>
    </row>
    <row r="549" spans="1:29" x14ac:dyDescent="0.2">
      <c r="A549" s="3">
        <f t="shared" si="340"/>
        <v>20</v>
      </c>
      <c r="B549" s="3"/>
      <c r="C549" s="3" t="s">
        <v>51</v>
      </c>
      <c r="D549" s="3"/>
      <c r="E549" s="4"/>
      <c r="F549" s="8"/>
      <c r="G549" s="8"/>
      <c r="H549" s="8">
        <f t="shared" ref="H549:V549" si="348">SUM(H540:H548)</f>
        <v>0</v>
      </c>
      <c r="I549" s="8">
        <f t="shared" si="348"/>
        <v>0</v>
      </c>
      <c r="J549" s="66">
        <f t="shared" si="347"/>
        <v>0</v>
      </c>
      <c r="K549" s="8">
        <f t="shared" si="348"/>
        <v>0</v>
      </c>
      <c r="L549" s="8">
        <f t="shared" si="348"/>
        <v>0</v>
      </c>
      <c r="M549" s="9">
        <f t="shared" si="343"/>
        <v>0</v>
      </c>
      <c r="N549" s="8">
        <f t="shared" si="348"/>
        <v>0</v>
      </c>
      <c r="O549" s="8">
        <f t="shared" si="348"/>
        <v>0</v>
      </c>
      <c r="P549" s="9">
        <f t="shared" si="334"/>
        <v>0</v>
      </c>
      <c r="Q549" s="8">
        <f t="shared" si="348"/>
        <v>0</v>
      </c>
      <c r="R549" s="8">
        <f t="shared" si="348"/>
        <v>0</v>
      </c>
      <c r="S549" s="8">
        <f>SUM(S540:S548)</f>
        <v>0</v>
      </c>
      <c r="T549" s="8">
        <f t="shared" si="348"/>
        <v>0</v>
      </c>
      <c r="U549" s="8">
        <f t="shared" si="348"/>
        <v>0</v>
      </c>
      <c r="V549" s="8">
        <f t="shared" si="348"/>
        <v>0</v>
      </c>
      <c r="W549" s="27" t="str">
        <f t="shared" si="329"/>
        <v>OK</v>
      </c>
      <c r="X549" s="3"/>
      <c r="Y549" s="3"/>
      <c r="Z549" s="3"/>
      <c r="AA549" s="3"/>
      <c r="AB549" s="3"/>
      <c r="AC549" s="3"/>
    </row>
    <row r="550" spans="1:29" x14ac:dyDescent="0.2">
      <c r="A550" s="3">
        <f t="shared" si="340"/>
        <v>21</v>
      </c>
      <c r="B550" s="7" t="s">
        <v>286</v>
      </c>
      <c r="C550" s="3"/>
      <c r="D550" s="3"/>
      <c r="E550" s="4"/>
      <c r="F550" s="4"/>
      <c r="G550" s="4"/>
      <c r="H550" s="8"/>
      <c r="I550" s="8"/>
      <c r="J550" s="8"/>
      <c r="K550" s="8"/>
      <c r="L550" s="8"/>
      <c r="M550" s="3"/>
      <c r="N550" s="3"/>
      <c r="O550" s="3"/>
      <c r="P550" s="9">
        <f t="shared" si="334"/>
        <v>0</v>
      </c>
      <c r="Q550" s="3"/>
      <c r="R550" s="3"/>
      <c r="S550" s="3"/>
      <c r="T550" s="3"/>
      <c r="U550" s="3"/>
      <c r="V550" s="3"/>
      <c r="W550" s="27" t="str">
        <f t="shared" si="329"/>
        <v>OK</v>
      </c>
      <c r="X550" s="3"/>
      <c r="Y550" s="3"/>
      <c r="Z550" s="3"/>
      <c r="AA550" s="3"/>
      <c r="AB550" s="3"/>
      <c r="AC550" s="3"/>
    </row>
    <row r="551" spans="1:29" x14ac:dyDescent="0.2">
      <c r="A551" s="3">
        <f t="shared" si="340"/>
        <v>22</v>
      </c>
      <c r="B551" s="3"/>
      <c r="C551" s="3"/>
      <c r="D551" s="3"/>
      <c r="E551" s="4"/>
      <c r="F551" s="4"/>
      <c r="G551" s="4"/>
      <c r="H551" s="8"/>
      <c r="I551" s="8"/>
      <c r="J551" s="8"/>
      <c r="K551" s="10"/>
      <c r="L551" s="10"/>
      <c r="M551" s="3"/>
      <c r="N551" s="3"/>
      <c r="O551" s="3"/>
      <c r="P551" s="9">
        <f t="shared" si="334"/>
        <v>0</v>
      </c>
      <c r="Q551" s="3"/>
      <c r="R551" s="3"/>
      <c r="S551" s="3"/>
      <c r="T551" s="3"/>
      <c r="U551" s="3"/>
      <c r="V551" s="3"/>
      <c r="W551" s="27" t="str">
        <f t="shared" si="329"/>
        <v>OK</v>
      </c>
      <c r="X551" s="3"/>
      <c r="Y551" s="3"/>
      <c r="Z551" s="3"/>
      <c r="AA551" s="3"/>
      <c r="AB551" s="3"/>
      <c r="AC551" s="3"/>
    </row>
    <row r="552" spans="1:29" x14ac:dyDescent="0.2">
      <c r="A552" s="3">
        <f t="shared" si="340"/>
        <v>23</v>
      </c>
      <c r="B552" s="3" t="s">
        <v>176</v>
      </c>
      <c r="C552" s="3"/>
      <c r="D552" s="3"/>
      <c r="E552" s="4"/>
      <c r="F552" s="4"/>
      <c r="G552" s="4"/>
      <c r="H552" s="8"/>
      <c r="I552" s="8"/>
      <c r="J552" s="8"/>
      <c r="K552" s="10"/>
      <c r="L552" s="10"/>
      <c r="M552" s="3"/>
      <c r="N552" s="3"/>
      <c r="O552" s="3"/>
      <c r="P552" s="9">
        <f t="shared" si="334"/>
        <v>0</v>
      </c>
      <c r="Q552" s="3"/>
      <c r="R552" s="3"/>
      <c r="S552" s="3"/>
      <c r="T552" s="3"/>
      <c r="U552" s="3"/>
      <c r="V552" s="3"/>
      <c r="W552" s="27" t="str">
        <f t="shared" si="329"/>
        <v>OK</v>
      </c>
      <c r="X552" s="3"/>
      <c r="Y552" s="3"/>
      <c r="Z552" s="3"/>
      <c r="AA552" s="3"/>
      <c r="AB552" s="3"/>
      <c r="AC552" s="3"/>
    </row>
    <row r="553" spans="1:29" x14ac:dyDescent="0.2">
      <c r="A553" s="3">
        <f t="shared" si="340"/>
        <v>24</v>
      </c>
      <c r="B553" s="3" t="s">
        <v>53</v>
      </c>
      <c r="C553" s="3" t="s">
        <v>35</v>
      </c>
      <c r="D553" s="176" t="str">
        <f>D114</f>
        <v>DEMANDDP</v>
      </c>
      <c r="E553" s="4" t="s">
        <v>591</v>
      </c>
      <c r="F553" s="11"/>
      <c r="G553" s="11"/>
      <c r="H553" s="2">
        <f>'II-I TOTAL COMPANY'!L553</f>
        <v>0</v>
      </c>
      <c r="I553" s="66">
        <v>0</v>
      </c>
      <c r="J553" s="66">
        <f>SUM(K553:V553)-M553-P553</f>
        <v>0</v>
      </c>
      <c r="K553" s="12">
        <f t="shared" ref="K553:L556" si="349">IF($H114&lt;&gt;0,$H553*(K114/$H114),0)</f>
        <v>0</v>
      </c>
      <c r="L553" s="12">
        <f t="shared" si="349"/>
        <v>0</v>
      </c>
      <c r="M553" s="9">
        <f t="shared" ref="M553:M568" si="350">SUM(N553:O553)</f>
        <v>0</v>
      </c>
      <c r="N553" s="12">
        <f t="shared" ref="N553:O556" si="351">IF($H114&lt;&gt;0,$H553*(N114/$H114),0)</f>
        <v>0</v>
      </c>
      <c r="O553" s="12">
        <f t="shared" si="351"/>
        <v>0</v>
      </c>
      <c r="P553" s="9">
        <f t="shared" si="334"/>
        <v>0</v>
      </c>
      <c r="Q553" s="12">
        <f t="shared" ref="Q553:V556" si="352">IF($H114&lt;&gt;0,$H553*(Q114/$H114),0)</f>
        <v>0</v>
      </c>
      <c r="R553" s="12">
        <f t="shared" si="352"/>
        <v>0</v>
      </c>
      <c r="S553" s="12">
        <f>IF($H114&lt;&gt;0,$H553*(S114/$H114),0)</f>
        <v>0</v>
      </c>
      <c r="T553" s="12">
        <f t="shared" si="352"/>
        <v>0</v>
      </c>
      <c r="U553" s="12">
        <f t="shared" si="352"/>
        <v>0</v>
      </c>
      <c r="V553" s="12">
        <f t="shared" si="352"/>
        <v>0</v>
      </c>
      <c r="W553" s="27" t="str">
        <f t="shared" si="329"/>
        <v>OK</v>
      </c>
      <c r="X553" s="3"/>
      <c r="Y553" s="3"/>
      <c r="Z553" s="3"/>
      <c r="AA553" s="3"/>
      <c r="AB553" s="3"/>
      <c r="AC553" s="3"/>
    </row>
    <row r="554" spans="1:29" x14ac:dyDescent="0.2">
      <c r="A554" s="3">
        <f t="shared" si="340"/>
        <v>25</v>
      </c>
      <c r="B554" s="3" t="s">
        <v>54</v>
      </c>
      <c r="C554" s="3" t="s">
        <v>31</v>
      </c>
      <c r="D554" s="176" t="str">
        <f>D115</f>
        <v>DEMANDDP</v>
      </c>
      <c r="E554" s="4" t="s">
        <v>591</v>
      </c>
      <c r="F554" s="11"/>
      <c r="G554" s="11"/>
      <c r="H554" s="2">
        <f>'II-I TOTAL COMPANY'!L554</f>
        <v>0</v>
      </c>
      <c r="I554" s="66">
        <v>0</v>
      </c>
      <c r="J554" s="66">
        <f t="shared" ref="J554:J568" si="353">SUM(K554:V554)-M554-P554</f>
        <v>0</v>
      </c>
      <c r="K554" s="12">
        <f t="shared" si="349"/>
        <v>0</v>
      </c>
      <c r="L554" s="12">
        <f t="shared" si="349"/>
        <v>0</v>
      </c>
      <c r="M554" s="9">
        <f t="shared" si="350"/>
        <v>0</v>
      </c>
      <c r="N554" s="12">
        <f t="shared" si="351"/>
        <v>0</v>
      </c>
      <c r="O554" s="12">
        <f t="shared" si="351"/>
        <v>0</v>
      </c>
      <c r="P554" s="9">
        <f t="shared" si="334"/>
        <v>0</v>
      </c>
      <c r="Q554" s="12">
        <f t="shared" si="352"/>
        <v>0</v>
      </c>
      <c r="R554" s="12">
        <f t="shared" si="352"/>
        <v>0</v>
      </c>
      <c r="S554" s="12">
        <f>IF($H115&lt;&gt;0,$H554*(S115/$H115),0)</f>
        <v>0</v>
      </c>
      <c r="T554" s="12">
        <f t="shared" si="352"/>
        <v>0</v>
      </c>
      <c r="U554" s="12">
        <f t="shared" si="352"/>
        <v>0</v>
      </c>
      <c r="V554" s="12">
        <f t="shared" si="352"/>
        <v>0</v>
      </c>
      <c r="W554" s="27" t="str">
        <f t="shared" si="329"/>
        <v>OK</v>
      </c>
      <c r="X554" s="3"/>
      <c r="Y554" s="3"/>
      <c r="Z554" s="3"/>
      <c r="AA554" s="3"/>
      <c r="AB554" s="3"/>
      <c r="AC554" s="3"/>
    </row>
    <row r="555" spans="1:29" x14ac:dyDescent="0.2">
      <c r="A555" s="3">
        <f t="shared" si="340"/>
        <v>26</v>
      </c>
      <c r="B555" s="3" t="s">
        <v>55</v>
      </c>
      <c r="C555" s="3" t="s">
        <v>38</v>
      </c>
      <c r="D555" s="176" t="str">
        <f>D116</f>
        <v>DEMANDDP</v>
      </c>
      <c r="E555" s="4" t="s">
        <v>591</v>
      </c>
      <c r="F555" s="11"/>
      <c r="G555" s="11"/>
      <c r="H555" s="2">
        <f>'II-I TOTAL COMPANY'!L555</f>
        <v>0</v>
      </c>
      <c r="I555" s="66">
        <v>0</v>
      </c>
      <c r="J555" s="66">
        <f t="shared" si="353"/>
        <v>0</v>
      </c>
      <c r="K555" s="12">
        <f t="shared" si="349"/>
        <v>0</v>
      </c>
      <c r="L555" s="12">
        <f t="shared" si="349"/>
        <v>0</v>
      </c>
      <c r="M555" s="9">
        <f t="shared" si="350"/>
        <v>0</v>
      </c>
      <c r="N555" s="12">
        <f t="shared" si="351"/>
        <v>0</v>
      </c>
      <c r="O555" s="12">
        <f t="shared" si="351"/>
        <v>0</v>
      </c>
      <c r="P555" s="9">
        <f t="shared" si="334"/>
        <v>0</v>
      </c>
      <c r="Q555" s="12">
        <f t="shared" si="352"/>
        <v>0</v>
      </c>
      <c r="R555" s="12">
        <f t="shared" si="352"/>
        <v>0</v>
      </c>
      <c r="S555" s="12">
        <f>IF($H116&lt;&gt;0,$H555*(S116/$H116),0)</f>
        <v>0</v>
      </c>
      <c r="T555" s="12">
        <f t="shared" si="352"/>
        <v>0</v>
      </c>
      <c r="U555" s="12">
        <f t="shared" si="352"/>
        <v>0</v>
      </c>
      <c r="V555" s="12">
        <f t="shared" si="352"/>
        <v>0</v>
      </c>
      <c r="W555" s="27" t="str">
        <f t="shared" si="329"/>
        <v>OK</v>
      </c>
      <c r="X555" s="3"/>
      <c r="Y555" s="3"/>
      <c r="Z555" s="3"/>
      <c r="AA555" s="3"/>
      <c r="AB555" s="3"/>
      <c r="AC555" s="3"/>
    </row>
    <row r="556" spans="1:29" x14ac:dyDescent="0.2">
      <c r="A556" s="3">
        <f t="shared" si="340"/>
        <v>27</v>
      </c>
      <c r="B556" s="3" t="s">
        <v>56</v>
      </c>
      <c r="C556" s="3" t="s">
        <v>57</v>
      </c>
      <c r="D556" s="176" t="str">
        <f>D117</f>
        <v>DEMANDDP</v>
      </c>
      <c r="E556" s="4" t="s">
        <v>591</v>
      </c>
      <c r="F556" s="11"/>
      <c r="G556" s="11"/>
      <c r="H556" s="2">
        <f>'II-I TOTAL COMPANY'!L556</f>
        <v>0</v>
      </c>
      <c r="I556" s="66">
        <v>0</v>
      </c>
      <c r="J556" s="66">
        <f t="shared" si="353"/>
        <v>0</v>
      </c>
      <c r="K556" s="12">
        <f t="shared" si="349"/>
        <v>0</v>
      </c>
      <c r="L556" s="12">
        <f t="shared" si="349"/>
        <v>0</v>
      </c>
      <c r="M556" s="9">
        <f t="shared" si="350"/>
        <v>0</v>
      </c>
      <c r="N556" s="12">
        <f t="shared" si="351"/>
        <v>0</v>
      </c>
      <c r="O556" s="12">
        <f t="shared" si="351"/>
        <v>0</v>
      </c>
      <c r="P556" s="9">
        <f t="shared" si="334"/>
        <v>0</v>
      </c>
      <c r="Q556" s="12">
        <f t="shared" si="352"/>
        <v>0</v>
      </c>
      <c r="R556" s="12">
        <f t="shared" si="352"/>
        <v>0</v>
      </c>
      <c r="S556" s="12">
        <f>IF($H117&lt;&gt;0,$H556*(S117/$H117),0)</f>
        <v>0</v>
      </c>
      <c r="T556" s="12">
        <f t="shared" si="352"/>
        <v>0</v>
      </c>
      <c r="U556" s="12">
        <f t="shared" si="352"/>
        <v>0</v>
      </c>
      <c r="V556" s="12">
        <f t="shared" si="352"/>
        <v>0</v>
      </c>
      <c r="W556" s="27" t="str">
        <f t="shared" si="329"/>
        <v>OK</v>
      </c>
      <c r="X556" s="3"/>
      <c r="Y556" s="3"/>
      <c r="Z556" s="3"/>
      <c r="AA556" s="3"/>
      <c r="AB556" s="3"/>
      <c r="AC556" s="3"/>
    </row>
    <row r="557" spans="1:29" x14ac:dyDescent="0.2">
      <c r="A557" s="3">
        <f t="shared" si="340"/>
        <v>28</v>
      </c>
      <c r="B557" s="3" t="s">
        <v>58</v>
      </c>
      <c r="C557" s="3" t="s">
        <v>59</v>
      </c>
      <c r="D557" s="3" t="str">
        <f>B557</f>
        <v>A364</v>
      </c>
      <c r="E557" s="4" t="s">
        <v>591</v>
      </c>
      <c r="F557" s="11"/>
      <c r="G557" s="11"/>
      <c r="H557" s="2">
        <f>'II-I TOTAL COMPANY'!L557</f>
        <v>0</v>
      </c>
      <c r="I557" s="66">
        <v>0</v>
      </c>
      <c r="J557" s="66">
        <f t="shared" si="353"/>
        <v>0</v>
      </c>
      <c r="K557" s="12">
        <f>IF($H121&lt;&gt;0,$H557*(K121/$H121),0)</f>
        <v>0</v>
      </c>
      <c r="L557" s="12">
        <f>IF($H121&lt;&gt;0,$H557*(L121/$H121),0)</f>
        <v>0</v>
      </c>
      <c r="M557" s="9">
        <f t="shared" si="350"/>
        <v>0</v>
      </c>
      <c r="N557" s="12">
        <f>IF($H121&lt;&gt;0,$H557*(N121/$H121),0)</f>
        <v>0</v>
      </c>
      <c r="O557" s="12">
        <f>IF($H121&lt;&gt;0,$H557*(O121/$H121),0)</f>
        <v>0</v>
      </c>
      <c r="P557" s="9">
        <f t="shared" si="334"/>
        <v>0</v>
      </c>
      <c r="Q557" s="12">
        <f t="shared" ref="Q557:V557" si="354">IF($H121&lt;&gt;0,$H557*(Q121/$H121),0)</f>
        <v>0</v>
      </c>
      <c r="R557" s="12">
        <f t="shared" si="354"/>
        <v>0</v>
      </c>
      <c r="S557" s="12">
        <f t="shared" si="354"/>
        <v>0</v>
      </c>
      <c r="T557" s="12">
        <f t="shared" si="354"/>
        <v>0</v>
      </c>
      <c r="U557" s="12">
        <f t="shared" si="354"/>
        <v>0</v>
      </c>
      <c r="V557" s="12">
        <f t="shared" si="354"/>
        <v>0</v>
      </c>
      <c r="W557" s="27" t="str">
        <f t="shared" si="329"/>
        <v>OK</v>
      </c>
      <c r="X557" s="3"/>
      <c r="Y557" s="3"/>
      <c r="Z557" s="3"/>
      <c r="AA557" s="3"/>
      <c r="AB557" s="3"/>
      <c r="AC557" s="3"/>
    </row>
    <row r="558" spans="1:29" x14ac:dyDescent="0.2">
      <c r="A558" s="3">
        <f t="shared" si="340"/>
        <v>29</v>
      </c>
      <c r="B558" s="3" t="s">
        <v>63</v>
      </c>
      <c r="C558" s="3" t="s">
        <v>44</v>
      </c>
      <c r="D558" s="3" t="str">
        <f>B558</f>
        <v>A365</v>
      </c>
      <c r="E558" s="4" t="s">
        <v>591</v>
      </c>
      <c r="F558" s="11"/>
      <c r="G558" s="11"/>
      <c r="H558" s="2">
        <f>'II-I TOTAL COMPANY'!L558</f>
        <v>0</v>
      </c>
      <c r="I558" s="66">
        <v>0</v>
      </c>
      <c r="J558" s="66">
        <f t="shared" si="353"/>
        <v>0</v>
      </c>
      <c r="K558" s="12">
        <f>IF($H125&lt;&gt;0,$H558*(K125/$H125),0)</f>
        <v>0</v>
      </c>
      <c r="L558" s="12">
        <f>IF($H125&lt;&gt;0,$H558*(L125/$H125),0)</f>
        <v>0</v>
      </c>
      <c r="M558" s="9">
        <f t="shared" si="350"/>
        <v>0</v>
      </c>
      <c r="N558" s="12">
        <f>IF($H125&lt;&gt;0,$H558*(N125/$H125),0)</f>
        <v>0</v>
      </c>
      <c r="O558" s="12">
        <f>IF($H125&lt;&gt;0,$H558*(O125/$H125),0)</f>
        <v>0</v>
      </c>
      <c r="P558" s="9">
        <f t="shared" si="334"/>
        <v>0</v>
      </c>
      <c r="Q558" s="12">
        <f t="shared" ref="Q558:V558" si="355">IF($H125&lt;&gt;0,$H558*(Q125/$H125),0)</f>
        <v>0</v>
      </c>
      <c r="R558" s="12">
        <f t="shared" si="355"/>
        <v>0</v>
      </c>
      <c r="S558" s="12">
        <f t="shared" si="355"/>
        <v>0</v>
      </c>
      <c r="T558" s="12">
        <f t="shared" si="355"/>
        <v>0</v>
      </c>
      <c r="U558" s="12">
        <f t="shared" si="355"/>
        <v>0</v>
      </c>
      <c r="V558" s="12">
        <f t="shared" si="355"/>
        <v>0</v>
      </c>
      <c r="W558" s="27" t="str">
        <f t="shared" si="329"/>
        <v>OK</v>
      </c>
      <c r="X558" s="3"/>
      <c r="Y558" s="3"/>
      <c r="Z558" s="3"/>
      <c r="AA558" s="3"/>
      <c r="AB558" s="3"/>
      <c r="AC558" s="3"/>
    </row>
    <row r="559" spans="1:29" x14ac:dyDescent="0.2">
      <c r="A559" s="3">
        <f t="shared" si="340"/>
        <v>30</v>
      </c>
      <c r="B559" s="3" t="s">
        <v>64</v>
      </c>
      <c r="C559" s="3" t="s">
        <v>65</v>
      </c>
      <c r="D559" s="3" t="str">
        <f>B559</f>
        <v>A366</v>
      </c>
      <c r="E559" s="4" t="s">
        <v>591</v>
      </c>
      <c r="F559" s="11"/>
      <c r="G559" s="11"/>
      <c r="H559" s="2">
        <f>'II-I TOTAL COMPANY'!L559</f>
        <v>0</v>
      </c>
      <c r="I559" s="66">
        <v>0</v>
      </c>
      <c r="J559" s="66">
        <f t="shared" si="353"/>
        <v>0</v>
      </c>
      <c r="K559" s="12">
        <f>IF($H127&lt;&gt;0,$H559*(K130/$H130),0)</f>
        <v>0</v>
      </c>
      <c r="L559" s="12">
        <f>IF($H127&lt;&gt;0,$H559*(L130/$H130),0)</f>
        <v>0</v>
      </c>
      <c r="M559" s="9">
        <f t="shared" si="350"/>
        <v>0</v>
      </c>
      <c r="N559" s="12">
        <f>IF($H127&lt;&gt;0,$H559*(N130/$H130),0)</f>
        <v>0</v>
      </c>
      <c r="O559" s="12">
        <f>IF($H127&lt;&gt;0,$H559*(O130/$H130),0)</f>
        <v>0</v>
      </c>
      <c r="P559" s="9">
        <f t="shared" si="334"/>
        <v>0</v>
      </c>
      <c r="Q559" s="12">
        <f t="shared" ref="Q559:V559" si="356">IF($H127&lt;&gt;0,$H559*(Q130/$H130),0)</f>
        <v>0</v>
      </c>
      <c r="R559" s="12">
        <f t="shared" si="356"/>
        <v>0</v>
      </c>
      <c r="S559" s="12">
        <f t="shared" si="356"/>
        <v>0</v>
      </c>
      <c r="T559" s="12">
        <f t="shared" si="356"/>
        <v>0</v>
      </c>
      <c r="U559" s="12">
        <f t="shared" si="356"/>
        <v>0</v>
      </c>
      <c r="V559" s="12">
        <f t="shared" si="356"/>
        <v>0</v>
      </c>
      <c r="W559" s="27" t="str">
        <f t="shared" si="329"/>
        <v>OK</v>
      </c>
      <c r="X559" s="3"/>
      <c r="Y559" s="3"/>
      <c r="Z559" s="3"/>
      <c r="AA559" s="3"/>
      <c r="AB559" s="3"/>
      <c r="AC559" s="3"/>
    </row>
    <row r="560" spans="1:29" x14ac:dyDescent="0.2">
      <c r="A560" s="3">
        <f t="shared" si="340"/>
        <v>31</v>
      </c>
      <c r="B560" s="3" t="s">
        <v>66</v>
      </c>
      <c r="C560" s="3" t="s">
        <v>67</v>
      </c>
      <c r="D560" s="3" t="str">
        <f>B560</f>
        <v>A367</v>
      </c>
      <c r="E560" s="4" t="s">
        <v>591</v>
      </c>
      <c r="F560" s="11"/>
      <c r="G560" s="11"/>
      <c r="H560" s="2">
        <f>'II-I TOTAL COMPANY'!L560</f>
        <v>0</v>
      </c>
      <c r="I560" s="66">
        <v>0</v>
      </c>
      <c r="J560" s="66">
        <f t="shared" si="353"/>
        <v>0</v>
      </c>
      <c r="K560" s="12">
        <f>IF($H135&lt;&gt;0,$H560*(K135/$H135),0)</f>
        <v>0</v>
      </c>
      <c r="L560" s="12">
        <f>IF($H135&lt;&gt;0,$H560*(L135/$H135),0)</f>
        <v>0</v>
      </c>
      <c r="M560" s="9">
        <f t="shared" si="350"/>
        <v>0</v>
      </c>
      <c r="N560" s="12">
        <f>IF($H135&lt;&gt;0,$H560*(N135/$H135),0)</f>
        <v>0</v>
      </c>
      <c r="O560" s="12">
        <f>IF($H135&lt;&gt;0,$H560*(O135/$H135),0)</f>
        <v>0</v>
      </c>
      <c r="P560" s="9">
        <f t="shared" si="334"/>
        <v>0</v>
      </c>
      <c r="Q560" s="12">
        <f t="shared" ref="Q560:V560" si="357">IF($H135&lt;&gt;0,$H560*(Q135/$H135),0)</f>
        <v>0</v>
      </c>
      <c r="R560" s="12">
        <f t="shared" si="357"/>
        <v>0</v>
      </c>
      <c r="S560" s="12">
        <f t="shared" si="357"/>
        <v>0</v>
      </c>
      <c r="T560" s="12">
        <f t="shared" si="357"/>
        <v>0</v>
      </c>
      <c r="U560" s="12">
        <f t="shared" si="357"/>
        <v>0</v>
      </c>
      <c r="V560" s="12">
        <f t="shared" si="357"/>
        <v>0</v>
      </c>
      <c r="W560" s="27" t="str">
        <f t="shared" si="329"/>
        <v>OK</v>
      </c>
      <c r="X560" s="3"/>
      <c r="Y560" s="3"/>
      <c r="Z560" s="3"/>
      <c r="AA560" s="3"/>
      <c r="AB560" s="3"/>
      <c r="AC560" s="3"/>
    </row>
    <row r="561" spans="1:29" x14ac:dyDescent="0.2">
      <c r="A561" s="3">
        <f t="shared" si="340"/>
        <v>32</v>
      </c>
      <c r="B561" s="3" t="s">
        <v>69</v>
      </c>
      <c r="C561" s="3" t="s">
        <v>70</v>
      </c>
      <c r="D561" s="3" t="str">
        <f>B561</f>
        <v>A368</v>
      </c>
      <c r="E561" s="4" t="s">
        <v>591</v>
      </c>
      <c r="F561" s="11"/>
      <c r="G561" s="11"/>
      <c r="H561" s="2">
        <f>'II-I TOTAL COMPANY'!L561</f>
        <v>0</v>
      </c>
      <c r="I561" s="66">
        <v>0</v>
      </c>
      <c r="J561" s="66">
        <f t="shared" si="353"/>
        <v>0</v>
      </c>
      <c r="K561" s="12">
        <f>IF($H139&lt;&gt;0,$H561*(K139/$H139),0)</f>
        <v>0</v>
      </c>
      <c r="L561" s="12">
        <f>IF($H139&lt;&gt;0,$H561*(L139/$H139),0)</f>
        <v>0</v>
      </c>
      <c r="M561" s="9">
        <f t="shared" si="350"/>
        <v>0</v>
      </c>
      <c r="N561" s="12">
        <f>IF($H139&lt;&gt;0,$H561*(N139/$H139),0)</f>
        <v>0</v>
      </c>
      <c r="O561" s="12">
        <f>IF($H139&lt;&gt;0,$H561*(O139/$H139),0)</f>
        <v>0</v>
      </c>
      <c r="P561" s="9">
        <f t="shared" si="334"/>
        <v>0</v>
      </c>
      <c r="Q561" s="12">
        <f t="shared" ref="Q561:V561" si="358">IF($H139&lt;&gt;0,$H561*(Q139/$H139),0)</f>
        <v>0</v>
      </c>
      <c r="R561" s="12">
        <f t="shared" si="358"/>
        <v>0</v>
      </c>
      <c r="S561" s="12">
        <f t="shared" si="358"/>
        <v>0</v>
      </c>
      <c r="T561" s="12">
        <f t="shared" si="358"/>
        <v>0</v>
      </c>
      <c r="U561" s="12">
        <f t="shared" si="358"/>
        <v>0</v>
      </c>
      <c r="V561" s="12">
        <f t="shared" si="358"/>
        <v>0</v>
      </c>
      <c r="W561" s="27" t="str">
        <f t="shared" si="329"/>
        <v>OK</v>
      </c>
      <c r="X561" s="3"/>
      <c r="Y561" s="3"/>
      <c r="Z561" s="3"/>
      <c r="AA561" s="3"/>
      <c r="AB561" s="3"/>
      <c r="AC561" s="3"/>
    </row>
    <row r="562" spans="1:29" x14ac:dyDescent="0.2">
      <c r="A562" s="3">
        <f t="shared" si="340"/>
        <v>33</v>
      </c>
      <c r="B562" s="3" t="s">
        <v>72</v>
      </c>
      <c r="C562" s="3" t="s">
        <v>73</v>
      </c>
      <c r="D562" s="176" t="str">
        <f>D141</f>
        <v>SERVICES</v>
      </c>
      <c r="E562" s="4" t="s">
        <v>591</v>
      </c>
      <c r="F562" s="11"/>
      <c r="G562" s="11"/>
      <c r="H562" s="2">
        <f>'II-I TOTAL COMPANY'!L562</f>
        <v>0</v>
      </c>
      <c r="I562" s="66">
        <v>0</v>
      </c>
      <c r="J562" s="66">
        <f t="shared" si="353"/>
        <v>0</v>
      </c>
      <c r="K562" s="12">
        <f t="shared" ref="K562:L564" si="359">IF($H141&lt;&gt;0,$H562*(K141/$H141),0)</f>
        <v>0</v>
      </c>
      <c r="L562" s="12">
        <f t="shared" si="359"/>
        <v>0</v>
      </c>
      <c r="M562" s="9">
        <f t="shared" si="350"/>
        <v>0</v>
      </c>
      <c r="N562" s="12">
        <f t="shared" ref="N562:O564" si="360">IF($H141&lt;&gt;0,$H562*(N141/$H141),0)</f>
        <v>0</v>
      </c>
      <c r="O562" s="12">
        <f t="shared" si="360"/>
        <v>0</v>
      </c>
      <c r="P562" s="9">
        <f t="shared" si="334"/>
        <v>0</v>
      </c>
      <c r="Q562" s="12">
        <f t="shared" ref="Q562:V564" si="361">IF($H141&lt;&gt;0,$H562*(Q141/$H141),0)</f>
        <v>0</v>
      </c>
      <c r="R562" s="12">
        <f t="shared" si="361"/>
        <v>0</v>
      </c>
      <c r="S562" s="12">
        <f>IF($H141&lt;&gt;0,$H562*(S141/$H141),0)</f>
        <v>0</v>
      </c>
      <c r="T562" s="12">
        <f t="shared" si="361"/>
        <v>0</v>
      </c>
      <c r="U562" s="12">
        <f t="shared" si="361"/>
        <v>0</v>
      </c>
      <c r="V562" s="12">
        <f t="shared" si="361"/>
        <v>0</v>
      </c>
      <c r="W562" s="27" t="str">
        <f t="shared" si="329"/>
        <v>OK</v>
      </c>
      <c r="X562" s="3"/>
      <c r="Y562" s="3"/>
      <c r="Z562" s="3"/>
      <c r="AA562" s="3"/>
      <c r="AB562" s="3"/>
      <c r="AC562" s="3"/>
    </row>
    <row r="563" spans="1:29" x14ac:dyDescent="0.2">
      <c r="A563" s="3">
        <f t="shared" si="340"/>
        <v>34</v>
      </c>
      <c r="B563" s="3" t="s">
        <v>74</v>
      </c>
      <c r="C563" s="3" t="s">
        <v>75</v>
      </c>
      <c r="D563" s="176" t="str">
        <f>D142</f>
        <v>METERS</v>
      </c>
      <c r="E563" s="4" t="s">
        <v>591</v>
      </c>
      <c r="F563" s="11"/>
      <c r="G563" s="11"/>
      <c r="H563" s="2">
        <f>'II-I TOTAL COMPANY'!L563</f>
        <v>4617176.8369425312</v>
      </c>
      <c r="I563" s="66">
        <v>0</v>
      </c>
      <c r="J563" s="66">
        <f t="shared" si="353"/>
        <v>4617176.8369425312</v>
      </c>
      <c r="K563" s="12">
        <f t="shared" si="359"/>
        <v>2164563.7754801349</v>
      </c>
      <c r="L563" s="12">
        <f t="shared" si="359"/>
        <v>411290.30905108183</v>
      </c>
      <c r="M563" s="9">
        <f t="shared" si="350"/>
        <v>1632794.8444014185</v>
      </c>
      <c r="N563" s="12">
        <f t="shared" si="360"/>
        <v>31854.621395565595</v>
      </c>
      <c r="O563" s="12">
        <f t="shared" si="360"/>
        <v>1600940.2230058529</v>
      </c>
      <c r="P563" s="9">
        <f t="shared" si="334"/>
        <v>219585.71905264247</v>
      </c>
      <c r="Q563" s="12">
        <f t="shared" si="361"/>
        <v>94830.296717945967</v>
      </c>
      <c r="R563" s="12">
        <f t="shared" si="361"/>
        <v>111208.23708927564</v>
      </c>
      <c r="S563" s="12">
        <f>IF($H142&lt;&gt;0,$H563*(S142/$H142),0)</f>
        <v>13547.185245420851</v>
      </c>
      <c r="T563" s="12">
        <f t="shared" si="361"/>
        <v>185100.449857806</v>
      </c>
      <c r="U563" s="12">
        <f t="shared" si="361"/>
        <v>0</v>
      </c>
      <c r="V563" s="12">
        <f t="shared" si="361"/>
        <v>3841.7390994477041</v>
      </c>
      <c r="W563" s="27" t="str">
        <f t="shared" si="329"/>
        <v>OK</v>
      </c>
      <c r="X563" s="3"/>
      <c r="Y563" s="3"/>
      <c r="Z563" s="3"/>
      <c r="AA563" s="3"/>
      <c r="AB563" s="3"/>
      <c r="AC563" s="3"/>
    </row>
    <row r="564" spans="1:29" x14ac:dyDescent="0.2">
      <c r="A564" s="3">
        <f t="shared" si="340"/>
        <v>35</v>
      </c>
      <c r="B564" s="3" t="s">
        <v>76</v>
      </c>
      <c r="C564" s="3" t="s">
        <v>77</v>
      </c>
      <c r="D564" s="176" t="str">
        <f>D143</f>
        <v>NROADLIGHT</v>
      </c>
      <c r="E564" s="4" t="s">
        <v>591</v>
      </c>
      <c r="F564" s="11"/>
      <c r="G564" s="11"/>
      <c r="H564" s="2">
        <f>'II-I TOTAL COMPANY'!L564</f>
        <v>0</v>
      </c>
      <c r="I564" s="66">
        <v>0</v>
      </c>
      <c r="J564" s="66">
        <f t="shared" si="353"/>
        <v>0</v>
      </c>
      <c r="K564" s="12">
        <f t="shared" si="359"/>
        <v>0</v>
      </c>
      <c r="L564" s="12">
        <f t="shared" si="359"/>
        <v>0</v>
      </c>
      <c r="M564" s="9">
        <f t="shared" si="350"/>
        <v>0</v>
      </c>
      <c r="N564" s="12">
        <f t="shared" si="360"/>
        <v>0</v>
      </c>
      <c r="O564" s="12">
        <f t="shared" si="360"/>
        <v>0</v>
      </c>
      <c r="P564" s="9">
        <f t="shared" si="334"/>
        <v>0</v>
      </c>
      <c r="Q564" s="12">
        <f t="shared" si="361"/>
        <v>0</v>
      </c>
      <c r="R564" s="12">
        <f t="shared" si="361"/>
        <v>0</v>
      </c>
      <c r="S564" s="12">
        <f>IF($H143&lt;&gt;0,$H564*(S143/$H143),0)</f>
        <v>0</v>
      </c>
      <c r="T564" s="12">
        <f t="shared" si="361"/>
        <v>0</v>
      </c>
      <c r="U564" s="12">
        <f t="shared" si="361"/>
        <v>0</v>
      </c>
      <c r="V564" s="12">
        <f t="shared" si="361"/>
        <v>0</v>
      </c>
      <c r="W564" s="27" t="str">
        <f t="shared" si="329"/>
        <v>OK</v>
      </c>
      <c r="X564" s="3"/>
      <c r="Y564" s="3"/>
      <c r="Z564" s="3"/>
      <c r="AA564" s="3"/>
      <c r="AB564" s="3"/>
      <c r="AC564" s="3"/>
    </row>
    <row r="565" spans="1:29" s="173" customFormat="1" x14ac:dyDescent="0.2">
      <c r="A565" s="3">
        <f t="shared" si="340"/>
        <v>36</v>
      </c>
      <c r="B565" s="3" t="s">
        <v>74</v>
      </c>
      <c r="C565" s="3" t="s">
        <v>817</v>
      </c>
      <c r="D565" s="176" t="str">
        <f>D146</f>
        <v>METERS</v>
      </c>
      <c r="E565" s="4" t="s">
        <v>591</v>
      </c>
      <c r="F565" s="4"/>
      <c r="G565" s="4"/>
      <c r="H565" s="2">
        <f>'II-I TOTAL COMPANY'!L565</f>
        <v>6511912.3360271519</v>
      </c>
      <c r="I565" s="66">
        <v>0</v>
      </c>
      <c r="J565" s="66">
        <f t="shared" si="353"/>
        <v>6511912.33602715</v>
      </c>
      <c r="K565" s="12">
        <f>IF($H146&lt;&gt;0,$H565*(K146/$H146),0)</f>
        <v>3052828.6113902717</v>
      </c>
      <c r="L565" s="12">
        <f>IF($H146&lt;&gt;0,$H565*(L146/$H146),0)</f>
        <v>580070.1449788321</v>
      </c>
      <c r="M565" s="9">
        <f>SUM(N565:O565)</f>
        <v>2302839.4330462748</v>
      </c>
      <c r="N565" s="12">
        <f t="shared" ref="N565:V565" si="362">IF($H146&lt;&gt;0,$H565*(N146/$H146),0)</f>
        <v>44926.696410142271</v>
      </c>
      <c r="O565" s="12">
        <f t="shared" si="362"/>
        <v>2257912.7366361325</v>
      </c>
      <c r="P565" s="9">
        <f>SUM(Q565:S565)</f>
        <v>309696.38010684942</v>
      </c>
      <c r="Q565" s="12">
        <f t="shared" si="362"/>
        <v>133745.49011980882</v>
      </c>
      <c r="R565" s="12">
        <f t="shared" si="362"/>
        <v>156844.39139849646</v>
      </c>
      <c r="S565" s="12">
        <f t="shared" si="362"/>
        <v>19106.498588544117</v>
      </c>
      <c r="T565" s="12">
        <f t="shared" si="362"/>
        <v>261059.50571115737</v>
      </c>
      <c r="U565" s="12">
        <f t="shared" si="362"/>
        <v>0</v>
      </c>
      <c r="V565" s="12">
        <f t="shared" si="362"/>
        <v>5418.2607937662433</v>
      </c>
      <c r="W565" s="27" t="str">
        <f t="shared" si="329"/>
        <v>OK</v>
      </c>
      <c r="X565" s="3"/>
      <c r="Y565" s="3"/>
      <c r="Z565" s="3"/>
      <c r="AA565" s="3"/>
      <c r="AB565" s="3"/>
      <c r="AC565" s="3"/>
    </row>
    <row r="566" spans="1:29" x14ac:dyDescent="0.2">
      <c r="A566" s="3">
        <f t="shared" si="340"/>
        <v>37</v>
      </c>
      <c r="B566" s="3" t="s">
        <v>78</v>
      </c>
      <c r="C566" s="3" t="s">
        <v>79</v>
      </c>
      <c r="D566" s="176" t="str">
        <f>D144</f>
        <v>DEMANDDP</v>
      </c>
      <c r="E566" s="4" t="s">
        <v>591</v>
      </c>
      <c r="F566" s="11"/>
      <c r="G566" s="11"/>
      <c r="H566" s="2">
        <f>'II-I TOTAL COMPANY'!L566</f>
        <v>0</v>
      </c>
      <c r="I566" s="66">
        <v>0</v>
      </c>
      <c r="J566" s="66">
        <f t="shared" si="353"/>
        <v>0</v>
      </c>
      <c r="K566" s="12">
        <f>IF($H144&lt;&gt;0,$H566*(K144/$H144),0)</f>
        <v>0</v>
      </c>
      <c r="L566" s="12">
        <f>IF($H144&lt;&gt;0,$H566*(L144/$H144),0)</f>
        <v>0</v>
      </c>
      <c r="M566" s="9">
        <f t="shared" si="350"/>
        <v>0</v>
      </c>
      <c r="N566" s="12">
        <f>IF($H144&lt;&gt;0,$H566*(N144/$H144),0)</f>
        <v>0</v>
      </c>
      <c r="O566" s="12">
        <f>IF($H144&lt;&gt;0,$H566*(O144/$H144),0)</f>
        <v>0</v>
      </c>
      <c r="P566" s="9">
        <f t="shared" si="334"/>
        <v>0</v>
      </c>
      <c r="Q566" s="12">
        <f t="shared" ref="Q566:V567" si="363">IF($H144&lt;&gt;0,$H566*(Q144/$H144),0)</f>
        <v>0</v>
      </c>
      <c r="R566" s="12">
        <f t="shared" si="363"/>
        <v>0</v>
      </c>
      <c r="S566" s="12">
        <f>IF($H144&lt;&gt;0,$H566*(S144/$H144),0)</f>
        <v>0</v>
      </c>
      <c r="T566" s="12">
        <f t="shared" si="363"/>
        <v>0</v>
      </c>
      <c r="U566" s="12">
        <f t="shared" si="363"/>
        <v>0</v>
      </c>
      <c r="V566" s="12">
        <f t="shared" si="363"/>
        <v>0</v>
      </c>
      <c r="W566" s="27" t="str">
        <f t="shared" si="329"/>
        <v>OK</v>
      </c>
      <c r="X566" s="3"/>
      <c r="Y566" s="3"/>
      <c r="Z566" s="3"/>
      <c r="AA566" s="3"/>
      <c r="AB566" s="3"/>
      <c r="AC566" s="3"/>
    </row>
    <row r="567" spans="1:29" x14ac:dyDescent="0.2">
      <c r="A567" s="3">
        <f t="shared" si="340"/>
        <v>38</v>
      </c>
      <c r="B567" s="3" t="s">
        <v>80</v>
      </c>
      <c r="C567" s="3" t="s">
        <v>81</v>
      </c>
      <c r="D567" s="176" t="str">
        <f>D145</f>
        <v>ROADLIGHT</v>
      </c>
      <c r="E567" s="4" t="s">
        <v>591</v>
      </c>
      <c r="F567" s="11"/>
      <c r="G567" s="11"/>
      <c r="H567" s="2">
        <f>'II-I TOTAL COMPANY'!L567</f>
        <v>0</v>
      </c>
      <c r="I567" s="66">
        <v>0</v>
      </c>
      <c r="J567" s="66">
        <f t="shared" si="353"/>
        <v>0</v>
      </c>
      <c r="K567" s="12">
        <f>IF($H145&lt;&gt;0,$H567*(K145/$H145),0)</f>
        <v>0</v>
      </c>
      <c r="L567" s="12">
        <f>IF($H145&lt;&gt;0,$H567*(L145/$H145),0)</f>
        <v>0</v>
      </c>
      <c r="M567" s="9">
        <f t="shared" si="350"/>
        <v>0</v>
      </c>
      <c r="N567" s="12">
        <f>IF($H145&lt;&gt;0,$H567*(N145/$H145),0)</f>
        <v>0</v>
      </c>
      <c r="O567" s="12">
        <f>IF($H145&lt;&gt;0,$H567*(O145/$H145),0)</f>
        <v>0</v>
      </c>
      <c r="P567" s="9">
        <f t="shared" si="334"/>
        <v>0</v>
      </c>
      <c r="Q567" s="12">
        <f t="shared" si="363"/>
        <v>0</v>
      </c>
      <c r="R567" s="12">
        <f t="shared" si="363"/>
        <v>0</v>
      </c>
      <c r="S567" s="12">
        <f>IF($H145&lt;&gt;0,$H567*(S145/$H145),0)</f>
        <v>0</v>
      </c>
      <c r="T567" s="12">
        <f t="shared" si="363"/>
        <v>0</v>
      </c>
      <c r="U567" s="12">
        <f t="shared" si="363"/>
        <v>0</v>
      </c>
      <c r="V567" s="12">
        <f t="shared" si="363"/>
        <v>0</v>
      </c>
      <c r="W567" s="27" t="str">
        <f t="shared" si="329"/>
        <v>OK</v>
      </c>
      <c r="X567" s="3"/>
      <c r="Y567" s="3"/>
      <c r="Z567" s="3"/>
      <c r="AA567" s="3"/>
      <c r="AB567" s="3"/>
      <c r="AC567" s="3"/>
    </row>
    <row r="568" spans="1:29" x14ac:dyDescent="0.2">
      <c r="A568" s="3">
        <f t="shared" si="340"/>
        <v>39</v>
      </c>
      <c r="B568" s="3"/>
      <c r="C568" s="3" t="s">
        <v>287</v>
      </c>
      <c r="D568" s="3"/>
      <c r="E568" s="4"/>
      <c r="F568" s="8"/>
      <c r="G568" s="8"/>
      <c r="H568" s="8">
        <f t="shared" ref="H568:V568" si="364">SUM(H553:H567)</f>
        <v>11129089.172969684</v>
      </c>
      <c r="I568" s="8">
        <f t="shared" si="364"/>
        <v>0</v>
      </c>
      <c r="J568" s="66">
        <f t="shared" si="353"/>
        <v>11129089.172969682</v>
      </c>
      <c r="K568" s="8">
        <f t="shared" si="364"/>
        <v>5217392.3868704066</v>
      </c>
      <c r="L568" s="8">
        <f t="shared" si="364"/>
        <v>991360.45402991399</v>
      </c>
      <c r="M568" s="9">
        <f t="shared" si="350"/>
        <v>3935634.2774476935</v>
      </c>
      <c r="N568" s="8">
        <f t="shared" si="364"/>
        <v>76781.317805707862</v>
      </c>
      <c r="O568" s="8">
        <f t="shared" si="364"/>
        <v>3858852.9596419856</v>
      </c>
      <c r="P568" s="9">
        <f t="shared" si="334"/>
        <v>529282.09915949183</v>
      </c>
      <c r="Q568" s="8">
        <f t="shared" si="364"/>
        <v>228575.78683775477</v>
      </c>
      <c r="R568" s="8">
        <f t="shared" si="364"/>
        <v>268052.62848777208</v>
      </c>
      <c r="S568" s="8">
        <f>SUM(S553:S567)</f>
        <v>32653.683833964969</v>
      </c>
      <c r="T568" s="8">
        <f t="shared" si="364"/>
        <v>446159.95556896337</v>
      </c>
      <c r="U568" s="8">
        <f t="shared" si="364"/>
        <v>0</v>
      </c>
      <c r="V568" s="8">
        <f t="shared" si="364"/>
        <v>9259.9998932139479</v>
      </c>
      <c r="W568" s="27" t="str">
        <f t="shared" si="329"/>
        <v>OK</v>
      </c>
      <c r="X568" s="3"/>
      <c r="Y568" s="3"/>
      <c r="Z568" s="3"/>
      <c r="AA568" s="3"/>
      <c r="AB568" s="3"/>
      <c r="AC568" s="3"/>
    </row>
    <row r="569" spans="1:29" x14ac:dyDescent="0.2">
      <c r="A569" s="3">
        <f t="shared" si="340"/>
        <v>40</v>
      </c>
      <c r="B569" s="3"/>
      <c r="C569" s="3"/>
      <c r="D569" s="3"/>
      <c r="E569" s="4"/>
      <c r="F569" s="4"/>
      <c r="G569" s="4"/>
      <c r="H569" s="8"/>
      <c r="I569" s="8"/>
      <c r="J569" s="8"/>
      <c r="K569" s="10"/>
      <c r="L569" s="10"/>
      <c r="M569" s="3"/>
      <c r="N569" s="3"/>
      <c r="O569" s="3"/>
      <c r="P569" s="9">
        <f t="shared" si="334"/>
        <v>0</v>
      </c>
      <c r="Q569" s="3"/>
      <c r="R569" s="3"/>
      <c r="S569" s="3"/>
      <c r="T569" s="3"/>
      <c r="U569" s="3"/>
      <c r="V569" s="3"/>
      <c r="W569" s="27" t="str">
        <f t="shared" si="329"/>
        <v>OK</v>
      </c>
      <c r="X569" s="3"/>
      <c r="Y569" s="3"/>
      <c r="Z569" s="3"/>
      <c r="AA569" s="3"/>
      <c r="AB569" s="3"/>
      <c r="AC569" s="3"/>
    </row>
    <row r="570" spans="1:29" x14ac:dyDescent="0.2">
      <c r="A570" s="3">
        <f t="shared" si="340"/>
        <v>41</v>
      </c>
      <c r="B570" s="3" t="s">
        <v>84</v>
      </c>
      <c r="C570" s="3"/>
      <c r="D570" s="3"/>
      <c r="E570" s="4"/>
      <c r="F570" s="4"/>
      <c r="G570" s="4"/>
      <c r="H570" s="8"/>
      <c r="I570" s="8"/>
      <c r="J570" s="8"/>
      <c r="K570" s="10"/>
      <c r="L570" s="10"/>
      <c r="M570" s="3"/>
      <c r="N570" s="3"/>
      <c r="O570" s="3"/>
      <c r="P570" s="9">
        <f t="shared" si="334"/>
        <v>0</v>
      </c>
      <c r="Q570" s="3"/>
      <c r="R570" s="3"/>
      <c r="S570" s="3"/>
      <c r="T570" s="3"/>
      <c r="U570" s="3"/>
      <c r="V570" s="3"/>
      <c r="W570" s="27" t="str">
        <f t="shared" si="329"/>
        <v>OK</v>
      </c>
      <c r="X570" s="3"/>
      <c r="Y570" s="3"/>
      <c r="Z570" s="3"/>
      <c r="AA570" s="3"/>
      <c r="AB570" s="3"/>
      <c r="AC570" s="3"/>
    </row>
    <row r="571" spans="1:29" x14ac:dyDescent="0.2">
      <c r="A571" s="3">
        <f t="shared" si="340"/>
        <v>42</v>
      </c>
      <c r="B571" s="3" t="s">
        <v>85</v>
      </c>
      <c r="C571" s="3" t="s">
        <v>35</v>
      </c>
      <c r="D571" s="176" t="str">
        <f t="shared" ref="D571:D578" si="365">D151</f>
        <v>LABOR</v>
      </c>
      <c r="E571" s="4" t="s">
        <v>591</v>
      </c>
      <c r="F571" s="11"/>
      <c r="G571" s="11"/>
      <c r="H571" s="2">
        <f>'II-I TOTAL COMPANY'!L571</f>
        <v>0</v>
      </c>
      <c r="I571" s="66">
        <v>0</v>
      </c>
      <c r="J571" s="66">
        <f ca="1">SUM(K571:V571)-M571-P571</f>
        <v>0</v>
      </c>
      <c r="K571" s="12">
        <f t="shared" ref="K571:L578" ca="1" si="366">IF($H151&lt;&gt;0,$H571*(K151/$H151),0)</f>
        <v>0</v>
      </c>
      <c r="L571" s="12">
        <f t="shared" ca="1" si="366"/>
        <v>0</v>
      </c>
      <c r="M571" s="9">
        <f t="shared" ref="M571:M582" ca="1" si="367">SUM(N571:O571)</f>
        <v>0</v>
      </c>
      <c r="N571" s="12">
        <f t="shared" ref="N571:O578" ca="1" si="368">IF($H151&lt;&gt;0,$H571*(N151/$H151),0)</f>
        <v>0</v>
      </c>
      <c r="O571" s="12">
        <f t="shared" ca="1" si="368"/>
        <v>0</v>
      </c>
      <c r="P571" s="9">
        <f t="shared" ca="1" si="334"/>
        <v>0</v>
      </c>
      <c r="Q571" s="12">
        <f t="shared" ref="Q571:V578" ca="1" si="369">IF($H151&lt;&gt;0,$H571*(Q151/$H151),0)</f>
        <v>0</v>
      </c>
      <c r="R571" s="12">
        <f t="shared" ca="1" si="369"/>
        <v>0</v>
      </c>
      <c r="S571" s="12">
        <f t="shared" ref="S571:S578" ca="1" si="370">IF($H151&lt;&gt;0,$H571*(S151/$H151),0)</f>
        <v>0</v>
      </c>
      <c r="T571" s="12">
        <f t="shared" ca="1" si="369"/>
        <v>0</v>
      </c>
      <c r="U571" s="12">
        <f t="shared" ca="1" si="369"/>
        <v>0</v>
      </c>
      <c r="V571" s="12">
        <f t="shared" ca="1" si="369"/>
        <v>0</v>
      </c>
      <c r="W571" s="27" t="str">
        <f t="shared" ca="1" si="329"/>
        <v>OK</v>
      </c>
      <c r="X571" s="3"/>
      <c r="Y571" s="3"/>
      <c r="Z571" s="3"/>
      <c r="AA571" s="3"/>
      <c r="AB571" s="3"/>
      <c r="AC571" s="3"/>
    </row>
    <row r="572" spans="1:29" x14ac:dyDescent="0.2">
      <c r="A572" s="3">
        <f t="shared" si="340"/>
        <v>43</v>
      </c>
      <c r="B572" s="3" t="s">
        <v>86</v>
      </c>
      <c r="C572" s="3" t="s">
        <v>31</v>
      </c>
      <c r="D572" s="176" t="str">
        <f t="shared" si="365"/>
        <v>LABOR</v>
      </c>
      <c r="E572" s="4" t="s">
        <v>591</v>
      </c>
      <c r="F572" s="11"/>
      <c r="G572" s="11"/>
      <c r="H572" s="2">
        <f>'II-I TOTAL COMPANY'!L572</f>
        <v>27950.365741959715</v>
      </c>
      <c r="I572" s="66">
        <v>0</v>
      </c>
      <c r="J572" s="66">
        <f t="shared" ref="J572:J582" ca="1" si="371">SUM(K572:V572)-M572-P572</f>
        <v>27950.365741959708</v>
      </c>
      <c r="K572" s="12">
        <f t="shared" ca="1" si="366"/>
        <v>13103.320780871356</v>
      </c>
      <c r="L572" s="12">
        <f t="shared" ca="1" si="366"/>
        <v>2489.77134081652</v>
      </c>
      <c r="M572" s="9">
        <f t="shared" ca="1" si="367"/>
        <v>9884.2246451246083</v>
      </c>
      <c r="N572" s="12">
        <f t="shared" ca="1" si="368"/>
        <v>192.83392211750279</v>
      </c>
      <c r="O572" s="12">
        <f t="shared" ca="1" si="368"/>
        <v>9691.3907230071054</v>
      </c>
      <c r="P572" s="9">
        <f t="shared" ca="1" si="334"/>
        <v>1329.2757405620157</v>
      </c>
      <c r="Q572" s="12">
        <f t="shared" ca="1" si="369"/>
        <v>574.06107027954465</v>
      </c>
      <c r="R572" s="12">
        <f t="shared" ca="1" si="369"/>
        <v>673.20594595682201</v>
      </c>
      <c r="S572" s="12">
        <f t="shared" ca="1" si="370"/>
        <v>82.008724325649226</v>
      </c>
      <c r="T572" s="12">
        <f t="shared" ca="1" si="369"/>
        <v>1120.5170291794368</v>
      </c>
      <c r="U572" s="12">
        <f t="shared" ca="1" si="369"/>
        <v>0</v>
      </c>
      <c r="V572" s="12">
        <f t="shared" ca="1" si="369"/>
        <v>23.256205405781134</v>
      </c>
      <c r="W572" s="27">
        <f t="shared" ca="1" si="329"/>
        <v>3.637978807091713E-12</v>
      </c>
      <c r="X572" s="3"/>
      <c r="Y572" s="3"/>
      <c r="Z572" s="3"/>
      <c r="AA572" s="3"/>
      <c r="AB572" s="3"/>
      <c r="AC572" s="3"/>
    </row>
    <row r="573" spans="1:29" x14ac:dyDescent="0.2">
      <c r="A573" s="3">
        <f t="shared" si="340"/>
        <v>44</v>
      </c>
      <c r="B573" s="3" t="s">
        <v>87</v>
      </c>
      <c r="C573" s="3" t="s">
        <v>88</v>
      </c>
      <c r="D573" s="176" t="str">
        <f t="shared" si="365"/>
        <v>LABOR</v>
      </c>
      <c r="E573" s="4" t="s">
        <v>591</v>
      </c>
      <c r="F573" s="11"/>
      <c r="G573" s="11"/>
      <c r="H573" s="2">
        <f>'II-I TOTAL COMPANY'!L573</f>
        <v>2514.5274588168663</v>
      </c>
      <c r="I573" s="66">
        <v>0</v>
      </c>
      <c r="J573" s="66">
        <f t="shared" ca="1" si="371"/>
        <v>2514.5274588168663</v>
      </c>
      <c r="K573" s="66">
        <f t="shared" ca="1" si="366"/>
        <v>1178.8275047765626</v>
      </c>
      <c r="L573" s="12">
        <f t="shared" ca="1" si="366"/>
        <v>223.98985617779863</v>
      </c>
      <c r="M573" s="9">
        <f t="shared" ca="1" si="367"/>
        <v>889.22465304160983</v>
      </c>
      <c r="N573" s="12">
        <f t="shared" ca="1" si="368"/>
        <v>17.348116179671017</v>
      </c>
      <c r="O573" s="12">
        <f t="shared" ca="1" si="368"/>
        <v>871.8765368619388</v>
      </c>
      <c r="P573" s="9">
        <f t="shared" ca="1" si="334"/>
        <v>119.58699864039625</v>
      </c>
      <c r="Q573" s="12">
        <f t="shared" ca="1" si="369"/>
        <v>51.64484563751919</v>
      </c>
      <c r="R573" s="12">
        <f t="shared" ca="1" si="369"/>
        <v>60.564317911802881</v>
      </c>
      <c r="S573" s="12">
        <f t="shared" ca="1" si="370"/>
        <v>7.3778350910741688</v>
      </c>
      <c r="T573" s="12">
        <f t="shared" ca="1" si="369"/>
        <v>100.80622428900074</v>
      </c>
      <c r="U573" s="12">
        <f t="shared" ca="1" si="369"/>
        <v>0</v>
      </c>
      <c r="V573" s="12">
        <f t="shared" ca="1" si="369"/>
        <v>2.0922218914986459</v>
      </c>
      <c r="W573" s="27">
        <f t="shared" ca="1" si="329"/>
        <v>9.0949470177292824E-13</v>
      </c>
      <c r="X573" s="3"/>
      <c r="Y573" s="3"/>
      <c r="Z573" s="3"/>
      <c r="AA573" s="3"/>
      <c r="AB573" s="3"/>
      <c r="AC573" s="3"/>
    </row>
    <row r="574" spans="1:29" x14ac:dyDescent="0.2">
      <c r="A574" s="3">
        <f t="shared" si="340"/>
        <v>45</v>
      </c>
      <c r="B574" s="3" t="s">
        <v>89</v>
      </c>
      <c r="C574" s="3" t="s">
        <v>90</v>
      </c>
      <c r="D574" s="176" t="str">
        <f t="shared" si="365"/>
        <v>LABOR</v>
      </c>
      <c r="E574" s="4" t="s">
        <v>591</v>
      </c>
      <c r="F574" s="11"/>
      <c r="G574" s="11"/>
      <c r="H574" s="2">
        <f>'II-I TOTAL COMPANY'!L574</f>
        <v>146.84075725404338</v>
      </c>
      <c r="I574" s="66">
        <v>0</v>
      </c>
      <c r="J574" s="66">
        <f t="shared" ca="1" si="371"/>
        <v>146.84075725404344</v>
      </c>
      <c r="K574" s="12">
        <f t="shared" ca="1" si="366"/>
        <v>68.83994162256306</v>
      </c>
      <c r="L574" s="12">
        <f t="shared" ca="1" si="366"/>
        <v>13.080326477662723</v>
      </c>
      <c r="M574" s="9">
        <f t="shared" ca="1" si="367"/>
        <v>51.928015724684812</v>
      </c>
      <c r="N574" s="12">
        <f t="shared" ca="1" si="368"/>
        <v>1.0130772315974708</v>
      </c>
      <c r="O574" s="12">
        <f t="shared" ca="1" si="368"/>
        <v>50.914938493087341</v>
      </c>
      <c r="P574" s="9">
        <f t="shared" ca="1" si="334"/>
        <v>6.9835170725701579</v>
      </c>
      <c r="Q574" s="12">
        <f t="shared" ca="1" si="369"/>
        <v>3.0159019401799303</v>
      </c>
      <c r="R574" s="12">
        <f t="shared" ca="1" si="369"/>
        <v>3.5367719980788093</v>
      </c>
      <c r="S574" s="12">
        <f t="shared" ca="1" si="370"/>
        <v>0.43084313431141852</v>
      </c>
      <c r="T574" s="12">
        <f t="shared" ca="1" si="369"/>
        <v>5.886776960265391</v>
      </c>
      <c r="U574" s="12">
        <f t="shared" ca="1" si="369"/>
        <v>0</v>
      </c>
      <c r="V574" s="12">
        <f t="shared" ca="1" si="369"/>
        <v>0.122179396297268</v>
      </c>
      <c r="W574" s="27">
        <f t="shared" ca="1" si="329"/>
        <v>2.8421709430404007E-14</v>
      </c>
      <c r="X574" s="3"/>
      <c r="Y574" s="3"/>
      <c r="Z574" s="3"/>
      <c r="AA574" s="3"/>
      <c r="AB574" s="3"/>
      <c r="AC574" s="3"/>
    </row>
    <row r="575" spans="1:29" x14ac:dyDescent="0.2">
      <c r="A575" s="3">
        <f t="shared" si="340"/>
        <v>46</v>
      </c>
      <c r="B575" s="3" t="s">
        <v>91</v>
      </c>
      <c r="C575" s="3" t="s">
        <v>114</v>
      </c>
      <c r="D575" s="176" t="str">
        <f t="shared" si="365"/>
        <v>LABOR</v>
      </c>
      <c r="E575" s="4" t="s">
        <v>591</v>
      </c>
      <c r="F575" s="11"/>
      <c r="G575" s="11"/>
      <c r="H575" s="2">
        <f>'II-I TOTAL COMPANY'!L575</f>
        <v>2447.8495378426283</v>
      </c>
      <c r="I575" s="66">
        <v>0</v>
      </c>
      <c r="J575" s="66">
        <f t="shared" ca="1" si="371"/>
        <v>2447.8495378426283</v>
      </c>
      <c r="K575" s="12">
        <f t="shared" ca="1" si="366"/>
        <v>1147.5684437827592</v>
      </c>
      <c r="L575" s="12">
        <f t="shared" ca="1" si="366"/>
        <v>218.05029967111344</v>
      </c>
      <c r="M575" s="9">
        <f t="shared" ca="1" si="367"/>
        <v>865.64501348112117</v>
      </c>
      <c r="N575" s="12">
        <f t="shared" ca="1" si="368"/>
        <v>16.88809482829382</v>
      </c>
      <c r="O575" s="12">
        <f t="shared" ca="1" si="368"/>
        <v>848.75691865282738</v>
      </c>
      <c r="P575" s="9">
        <f t="shared" ca="1" si="334"/>
        <v>116.415900859407</v>
      </c>
      <c r="Q575" s="12">
        <f t="shared" ca="1" si="369"/>
        <v>50.275375233021997</v>
      </c>
      <c r="R575" s="12">
        <f t="shared" ca="1" si="369"/>
        <v>58.958329164524727</v>
      </c>
      <c r="S575" s="12">
        <f t="shared" ca="1" si="370"/>
        <v>7.1821964618602845</v>
      </c>
      <c r="T575" s="12">
        <f t="shared" ca="1" si="369"/>
        <v>98.133137767998534</v>
      </c>
      <c r="U575" s="12">
        <f t="shared" ca="1" si="369"/>
        <v>0</v>
      </c>
      <c r="V575" s="12">
        <f t="shared" ca="1" si="369"/>
        <v>2.0367422802290367</v>
      </c>
      <c r="W575" s="27" t="str">
        <f t="shared" ca="1" si="329"/>
        <v>OK</v>
      </c>
      <c r="X575" s="3"/>
      <c r="Y575" s="3"/>
      <c r="Z575" s="3"/>
      <c r="AA575" s="3"/>
      <c r="AB575" s="3"/>
      <c r="AC575" s="3"/>
    </row>
    <row r="576" spans="1:29" x14ac:dyDescent="0.2">
      <c r="A576" s="3">
        <f t="shared" si="340"/>
        <v>47</v>
      </c>
      <c r="B576" s="3" t="s">
        <v>93</v>
      </c>
      <c r="C576" s="3" t="s">
        <v>94</v>
      </c>
      <c r="D576" s="176" t="str">
        <f t="shared" si="365"/>
        <v>LABOR</v>
      </c>
      <c r="E576" s="4" t="s">
        <v>591</v>
      </c>
      <c r="F576" s="11"/>
      <c r="G576" s="11"/>
      <c r="H576" s="2">
        <f>'II-I TOTAL COMPANY'!L576</f>
        <v>25933.553530172961</v>
      </c>
      <c r="I576" s="66">
        <v>0</v>
      </c>
      <c r="J576" s="66">
        <f t="shared" ca="1" si="371"/>
        <v>25933.553530172961</v>
      </c>
      <c r="K576" s="12">
        <f t="shared" ca="1" si="366"/>
        <v>12157.825555163174</v>
      </c>
      <c r="L576" s="12">
        <f t="shared" ca="1" si="366"/>
        <v>2310.1171176455796</v>
      </c>
      <c r="M576" s="9">
        <f t="shared" ca="1" si="367"/>
        <v>9171.009471041767</v>
      </c>
      <c r="N576" s="12">
        <f t="shared" ca="1" si="368"/>
        <v>178.91962086778875</v>
      </c>
      <c r="O576" s="12">
        <f t="shared" ca="1" si="368"/>
        <v>8992.0898501739775</v>
      </c>
      <c r="P576" s="9">
        <f t="shared" ca="1" si="334"/>
        <v>1233.3593017165404</v>
      </c>
      <c r="Q576" s="12">
        <f t="shared" ca="1" si="369"/>
        <v>532.63859346690379</v>
      </c>
      <c r="R576" s="12">
        <f t="shared" ca="1" si="369"/>
        <v>624.62948061150757</v>
      </c>
      <c r="S576" s="12">
        <f t="shared" ca="1" si="370"/>
        <v>76.091227638129098</v>
      </c>
      <c r="T576" s="12">
        <f t="shared" ca="1" si="369"/>
        <v>1039.6639752756901</v>
      </c>
      <c r="U576" s="12">
        <f t="shared" ca="1" si="369"/>
        <v>0</v>
      </c>
      <c r="V576" s="12">
        <f t="shared" ca="1" si="369"/>
        <v>21.578109330215725</v>
      </c>
      <c r="W576" s="27" t="str">
        <f t="shared" ca="1" si="329"/>
        <v>OK</v>
      </c>
      <c r="X576" s="3"/>
      <c r="Y576" s="3"/>
      <c r="Z576" s="3"/>
      <c r="AA576" s="3"/>
      <c r="AB576" s="3"/>
      <c r="AC576" s="3"/>
    </row>
    <row r="577" spans="1:29" x14ac:dyDescent="0.2">
      <c r="A577" s="3">
        <f t="shared" si="340"/>
        <v>48</v>
      </c>
      <c r="B577" s="3" t="s">
        <v>95</v>
      </c>
      <c r="C577" s="3" t="s">
        <v>96</v>
      </c>
      <c r="D577" s="176" t="str">
        <f t="shared" si="365"/>
        <v>LABOR</v>
      </c>
      <c r="E577" s="4" t="s">
        <v>591</v>
      </c>
      <c r="F577" s="11"/>
      <c r="G577" s="11"/>
      <c r="H577" s="2">
        <f>'II-I TOTAL COMPANY'!L577</f>
        <v>234.27231244216023</v>
      </c>
      <c r="I577" s="66">
        <v>0</v>
      </c>
      <c r="J577" s="66">
        <f t="shared" ca="1" si="371"/>
        <v>234.2723124421602</v>
      </c>
      <c r="K577" s="12">
        <f t="shared" ca="1" si="366"/>
        <v>109.82844691000858</v>
      </c>
      <c r="L577" s="12">
        <f t="shared" ca="1" si="366"/>
        <v>20.868581643984154</v>
      </c>
      <c r="M577" s="9">
        <f t="shared" ca="1" si="367"/>
        <v>82.846864534402201</v>
      </c>
      <c r="N577" s="12">
        <f t="shared" ca="1" si="368"/>
        <v>1.6162811345234067</v>
      </c>
      <c r="O577" s="12">
        <f t="shared" ca="1" si="368"/>
        <v>81.230583399878796</v>
      </c>
      <c r="P577" s="9">
        <f t="shared" ca="1" si="334"/>
        <v>11.141625282821582</v>
      </c>
      <c r="Q577" s="12">
        <f t="shared" ca="1" si="369"/>
        <v>4.8116227050122671</v>
      </c>
      <c r="R577" s="12">
        <f t="shared" ca="1" si="369"/>
        <v>5.6426279056647051</v>
      </c>
      <c r="S577" s="12">
        <f t="shared" ca="1" si="370"/>
        <v>0.68737467214460946</v>
      </c>
      <c r="T577" s="12">
        <f t="shared" ca="1" si="369"/>
        <v>9.3918669251116853</v>
      </c>
      <c r="U577" s="12">
        <f t="shared" ca="1" si="369"/>
        <v>0</v>
      </c>
      <c r="V577" s="12">
        <f t="shared" ca="1" si="369"/>
        <v>0.19492714583205351</v>
      </c>
      <c r="W577" s="27">
        <f t="shared" ca="1" si="329"/>
        <v>5.6843418860808015E-14</v>
      </c>
      <c r="X577" s="3"/>
      <c r="Y577" s="3"/>
      <c r="Z577" s="3"/>
      <c r="AA577" s="3"/>
      <c r="AB577" s="3"/>
      <c r="AC577" s="3"/>
    </row>
    <row r="578" spans="1:29" x14ac:dyDescent="0.2">
      <c r="A578" s="3">
        <f t="shared" si="340"/>
        <v>49</v>
      </c>
      <c r="B578" s="3" t="s">
        <v>97</v>
      </c>
      <c r="C578" s="3" t="s">
        <v>98</v>
      </c>
      <c r="D578" s="176" t="str">
        <f t="shared" si="365"/>
        <v>LABOR</v>
      </c>
      <c r="E578" s="4" t="s">
        <v>591</v>
      </c>
      <c r="F578" s="11"/>
      <c r="G578" s="11"/>
      <c r="H578" s="2">
        <f>'II-I TOTAL COMPANY'!L578</f>
        <v>34.508349700717908</v>
      </c>
      <c r="I578" s="66">
        <v>0</v>
      </c>
      <c r="J578" s="66">
        <f t="shared" ca="1" si="371"/>
        <v>34.508349700717915</v>
      </c>
      <c r="K578" s="12">
        <f t="shared" ca="1" si="366"/>
        <v>16.17774808106282</v>
      </c>
      <c r="L578" s="12">
        <f t="shared" ca="1" si="366"/>
        <v>3.073945468081654</v>
      </c>
      <c r="M578" s="9">
        <f t="shared" ca="1" si="367"/>
        <v>12.203356611622615</v>
      </c>
      <c r="N578" s="12">
        <f t="shared" ca="1" si="368"/>
        <v>0.23807847382125963</v>
      </c>
      <c r="O578" s="12">
        <f t="shared" ca="1" si="368"/>
        <v>11.965278137801356</v>
      </c>
      <c r="P578" s="9">
        <f t="shared" ca="1" si="334"/>
        <v>1.6411632150892423</v>
      </c>
      <c r="Q578" s="12">
        <f t="shared" ca="1" si="369"/>
        <v>0.70875280651644079</v>
      </c>
      <c r="R578" s="12">
        <f t="shared" ca="1" si="369"/>
        <v>0.83116000764188136</v>
      </c>
      <c r="S578" s="12">
        <f t="shared" ca="1" si="370"/>
        <v>0.1012504009309201</v>
      </c>
      <c r="T578" s="12">
        <f t="shared" ca="1" si="369"/>
        <v>1.3834235245975861</v>
      </c>
      <c r="U578" s="12">
        <f t="shared" ca="1" si="369"/>
        <v>0</v>
      </c>
      <c r="V578" s="12">
        <f t="shared" ca="1" si="369"/>
        <v>2.8712800263992276E-2</v>
      </c>
      <c r="W578" s="27" t="str">
        <f t="shared" ca="1" si="329"/>
        <v>OK</v>
      </c>
      <c r="X578" s="3"/>
      <c r="Y578" s="3"/>
      <c r="Z578" s="3"/>
      <c r="AA578" s="3"/>
      <c r="AB578" s="3"/>
      <c r="AC578" s="3"/>
    </row>
    <row r="579" spans="1:29" x14ac:dyDescent="0.2">
      <c r="A579" s="3">
        <f t="shared" si="340"/>
        <v>50</v>
      </c>
      <c r="B579" s="3" t="s">
        <v>105</v>
      </c>
      <c r="C579" s="3" t="s">
        <v>106</v>
      </c>
      <c r="D579" s="176" t="str">
        <f>D168</f>
        <v>LABOR</v>
      </c>
      <c r="E579" s="4" t="s">
        <v>591</v>
      </c>
      <c r="F579" s="11"/>
      <c r="G579" s="11"/>
      <c r="H579" s="2">
        <f>'II-I TOTAL COMPANY'!L579</f>
        <v>267855.45355142537</v>
      </c>
      <c r="I579" s="66">
        <v>0</v>
      </c>
      <c r="J579" s="66">
        <f t="shared" ca="1" si="371"/>
        <v>267855.45355142531</v>
      </c>
      <c r="K579" s="12">
        <f ca="1">IF($H168&lt;&gt;0,$H579*(K168/$H168),0)</f>
        <v>125572.45093652316</v>
      </c>
      <c r="L579" s="12">
        <f ca="1">IF($H168&lt;&gt;0,$H579*(L168/$H168),0)</f>
        <v>23860.11109445291</v>
      </c>
      <c r="M579" s="9">
        <f t="shared" ca="1" si="367"/>
        <v>94723.035103239352</v>
      </c>
      <c r="N579" s="12">
        <f ca="1">IF($H168&lt;&gt;0,$H579*(N168/$H168),0)</f>
        <v>1847.9764503168337</v>
      </c>
      <c r="O579" s="12">
        <f ca="1">IF($H168&lt;&gt;0,$H579*(O168/$H168),0)</f>
        <v>92875.058652922511</v>
      </c>
      <c r="P579" s="9">
        <f t="shared" ca="1" si="334"/>
        <v>12738.787022333298</v>
      </c>
      <c r="Q579" s="12">
        <f t="shared" ref="Q579:V579" ca="1" si="372">IF($H168&lt;&gt;0,$H579*(Q168/$H168),0)</f>
        <v>5501.3730326651175</v>
      </c>
      <c r="R579" s="12">
        <f t="shared" ca="1" si="372"/>
        <v>6451.5035564303071</v>
      </c>
      <c r="S579" s="12">
        <f t="shared" ca="1" si="372"/>
        <v>785.91043323787369</v>
      </c>
      <c r="T579" s="12">
        <f t="shared" ca="1" si="372"/>
        <v>10738.199272018182</v>
      </c>
      <c r="U579" s="12">
        <f t="shared" ca="1" si="372"/>
        <v>0</v>
      </c>
      <c r="V579" s="12">
        <f t="shared" ca="1" si="372"/>
        <v>222.87012285850162</v>
      </c>
      <c r="W579" s="27">
        <f t="shared" ca="1" si="329"/>
        <v>5.8207660913467407E-11</v>
      </c>
      <c r="X579" s="3"/>
      <c r="Y579" s="3"/>
      <c r="Z579" s="3"/>
      <c r="AA579" s="3"/>
      <c r="AB579" s="3"/>
      <c r="AC579" s="3"/>
    </row>
    <row r="580" spans="1:29" x14ac:dyDescent="0.2">
      <c r="A580" s="3">
        <f t="shared" si="340"/>
        <v>51</v>
      </c>
      <c r="B580" s="3" t="s">
        <v>99</v>
      </c>
      <c r="C580" s="3" t="s">
        <v>100</v>
      </c>
      <c r="D580" s="176" t="str">
        <f>D159</f>
        <v>LABOR</v>
      </c>
      <c r="E580" s="4" t="s">
        <v>591</v>
      </c>
      <c r="F580" s="11"/>
      <c r="G580" s="11"/>
      <c r="H580" s="2">
        <f>'II-I TOTAL COMPANY'!L580</f>
        <v>7520.4406357834459</v>
      </c>
      <c r="I580" s="66">
        <v>0</v>
      </c>
      <c r="J580" s="66">
        <f t="shared" ca="1" si="371"/>
        <v>7520.4406357834469</v>
      </c>
      <c r="K580" s="12">
        <f ca="1">IF($H159&lt;&gt;0,$H580*(K159/$H159),0)</f>
        <v>3525.6335095549766</v>
      </c>
      <c r="L580" s="12">
        <f ca="1">IF($H159&lt;&gt;0,$H580*(L159/$H159),0)</f>
        <v>669.90814138708879</v>
      </c>
      <c r="M580" s="9">
        <f t="shared" ca="1" si="367"/>
        <v>2659.4902321015379</v>
      </c>
      <c r="N580" s="12">
        <f ca="1">IF($H159&lt;&gt;0,$H580*(N159/$H159),0)</f>
        <v>51.884690069472015</v>
      </c>
      <c r="O580" s="12">
        <f ca="1">IF($H159&lt;&gt;0,$H580*(O159/$H159),0)</f>
        <v>2607.6055420320658</v>
      </c>
      <c r="P580" s="9">
        <f t="shared" ca="1" si="334"/>
        <v>357.66041087885981</v>
      </c>
      <c r="Q580" s="12">
        <f t="shared" ref="Q580:V581" ca="1" si="373">IF($H159&lt;&gt;0,$H580*(Q159/$H159),0)</f>
        <v>154.4592382156402</v>
      </c>
      <c r="R580" s="12">
        <f t="shared" ca="1" si="373"/>
        <v>181.13556720384244</v>
      </c>
      <c r="S580" s="12">
        <f ca="1">IF($H159&lt;&gt;0,$H580*(S159/$H159),0)</f>
        <v>22.065605459377167</v>
      </c>
      <c r="T580" s="12">
        <f t="shared" ca="1" si="373"/>
        <v>301.49093135757818</v>
      </c>
      <c r="U580" s="12">
        <f t="shared" ca="1" si="373"/>
        <v>0</v>
      </c>
      <c r="V580" s="12">
        <f t="shared" ca="1" si="373"/>
        <v>6.2574105034054677</v>
      </c>
      <c r="W580" s="27">
        <f t="shared" ca="1" si="329"/>
        <v>9.0949470177292824E-13</v>
      </c>
      <c r="X580" s="3"/>
      <c r="Y580" s="3"/>
      <c r="Z580" s="3"/>
      <c r="AA580" s="3"/>
      <c r="AB580" s="3"/>
      <c r="AC580" s="3"/>
    </row>
    <row r="581" spans="1:29" x14ac:dyDescent="0.2">
      <c r="A581" s="3">
        <f t="shared" si="340"/>
        <v>52</v>
      </c>
      <c r="B581" s="3" t="s">
        <v>101</v>
      </c>
      <c r="C581" s="3" t="s">
        <v>864</v>
      </c>
      <c r="D581" s="176" t="str">
        <f>D160</f>
        <v>LABOR</v>
      </c>
      <c r="E581" s="4" t="s">
        <v>591</v>
      </c>
      <c r="F581" s="11"/>
      <c r="G581" s="11"/>
      <c r="H581" s="2">
        <f>'II-I TOTAL COMPANY'!L581</f>
        <v>0</v>
      </c>
      <c r="I581" s="66">
        <v>0</v>
      </c>
      <c r="J581" s="66">
        <f t="shared" ca="1" si="371"/>
        <v>0</v>
      </c>
      <c r="K581" s="12">
        <f ca="1">IF($H160&lt;&gt;0,$H581*(K160/$H160),0)</f>
        <v>0</v>
      </c>
      <c r="L581" s="12">
        <f ca="1">IF($H160&lt;&gt;0,$H581*(L160/$H160),0)</f>
        <v>0</v>
      </c>
      <c r="M581" s="9">
        <f t="shared" ca="1" si="367"/>
        <v>0</v>
      </c>
      <c r="N581" s="12">
        <f ca="1">IF($H160&lt;&gt;0,$H581*(N160/$H160),0)</f>
        <v>0</v>
      </c>
      <c r="O581" s="12">
        <f ca="1">IF($H160&lt;&gt;0,$H581*(O160/$H160),0)</f>
        <v>0</v>
      </c>
      <c r="P581" s="9">
        <f t="shared" ca="1" si="334"/>
        <v>0</v>
      </c>
      <c r="Q581" s="12">
        <f t="shared" ca="1" si="373"/>
        <v>0</v>
      </c>
      <c r="R581" s="12">
        <f t="shared" ca="1" si="373"/>
        <v>0</v>
      </c>
      <c r="S581" s="12">
        <f ca="1">IF($H160&lt;&gt;0,$H581*(S160/$H160),0)</f>
        <v>0</v>
      </c>
      <c r="T581" s="12">
        <f t="shared" ca="1" si="373"/>
        <v>0</v>
      </c>
      <c r="U581" s="12">
        <f t="shared" ca="1" si="373"/>
        <v>0</v>
      </c>
      <c r="V581" s="12">
        <f t="shared" ca="1" si="373"/>
        <v>0</v>
      </c>
      <c r="W581" s="27" t="str">
        <f t="shared" ca="1" si="329"/>
        <v>OK</v>
      </c>
      <c r="X581" s="3"/>
      <c r="Y581" s="3"/>
      <c r="Z581" s="3"/>
      <c r="AA581" s="3"/>
      <c r="AB581" s="3"/>
      <c r="AC581" s="3"/>
    </row>
    <row r="582" spans="1:29" x14ac:dyDescent="0.2">
      <c r="A582" s="3">
        <f t="shared" si="340"/>
        <v>53</v>
      </c>
      <c r="B582" s="3"/>
      <c r="C582" s="3" t="s">
        <v>288</v>
      </c>
      <c r="D582" s="3"/>
      <c r="E582" s="4"/>
      <c r="F582" s="8"/>
      <c r="G582" s="8"/>
      <c r="H582" s="8">
        <f t="shared" ref="H582:V582" si="374">SUM(H571:H581)</f>
        <v>334637.81187539786</v>
      </c>
      <c r="I582" s="8">
        <f t="shared" si="374"/>
        <v>0</v>
      </c>
      <c r="J582" s="66">
        <f t="shared" ca="1" si="371"/>
        <v>334637.81187539798</v>
      </c>
      <c r="K582" s="8">
        <f t="shared" ca="1" si="374"/>
        <v>156880.47286728563</v>
      </c>
      <c r="L582" s="8">
        <f t="shared" ca="1" si="374"/>
        <v>29808.970703740739</v>
      </c>
      <c r="M582" s="9">
        <f t="shared" ca="1" si="367"/>
        <v>118339.60735490068</v>
      </c>
      <c r="N582" s="8">
        <f t="shared" ca="1" si="374"/>
        <v>2308.7183312195043</v>
      </c>
      <c r="O582" s="8">
        <f t="shared" ca="1" si="374"/>
        <v>116030.88902368119</v>
      </c>
      <c r="P582" s="9">
        <f t="shared" ca="1" si="334"/>
        <v>15914.851680561</v>
      </c>
      <c r="Q582" s="8">
        <f t="shared" ca="1" si="374"/>
        <v>6872.9884329494562</v>
      </c>
      <c r="R582" s="8">
        <f t="shared" ca="1" si="374"/>
        <v>8060.0077571901929</v>
      </c>
      <c r="S582" s="8">
        <f ca="1">SUM(S571:S581)</f>
        <v>981.85549042135062</v>
      </c>
      <c r="T582" s="8">
        <f t="shared" ca="1" si="374"/>
        <v>13415.472637297862</v>
      </c>
      <c r="U582" s="8">
        <f t="shared" ca="1" si="374"/>
        <v>0</v>
      </c>
      <c r="V582" s="8">
        <f t="shared" ca="1" si="374"/>
        <v>278.43663161202494</v>
      </c>
      <c r="W582" s="27">
        <f t="shared" ca="1" si="329"/>
        <v>1.1641532182693481E-10</v>
      </c>
      <c r="X582" s="3"/>
      <c r="Y582" s="3"/>
      <c r="Z582" s="3"/>
      <c r="AA582" s="3"/>
      <c r="AB582" s="3"/>
      <c r="AC582" s="3"/>
    </row>
    <row r="583" spans="1:29" x14ac:dyDescent="0.2">
      <c r="A583" s="3"/>
      <c r="B583" s="7" t="s">
        <v>286</v>
      </c>
      <c r="C583" s="3"/>
      <c r="D583" s="3"/>
      <c r="E583" s="4"/>
      <c r="F583" s="4"/>
      <c r="G583" s="4"/>
      <c r="H583" s="8"/>
      <c r="I583" s="8"/>
      <c r="J583" s="8"/>
      <c r="K583" s="10"/>
      <c r="L583" s="10"/>
      <c r="M583" s="3"/>
      <c r="N583" s="3"/>
      <c r="O583" s="3"/>
      <c r="P583" s="9">
        <f t="shared" si="334"/>
        <v>0</v>
      </c>
      <c r="Q583" s="3"/>
      <c r="R583" s="3"/>
      <c r="S583" s="3"/>
      <c r="T583" s="3"/>
      <c r="U583" s="3"/>
      <c r="V583" s="3"/>
      <c r="W583" s="27" t="str">
        <f t="shared" si="329"/>
        <v>OK</v>
      </c>
      <c r="X583" s="3"/>
      <c r="Y583" s="3"/>
      <c r="Z583" s="3"/>
      <c r="AA583" s="3"/>
      <c r="AB583" s="3"/>
      <c r="AC583" s="3"/>
    </row>
    <row r="584" spans="1:29" x14ac:dyDescent="0.2">
      <c r="A584" s="3"/>
      <c r="B584" s="3"/>
      <c r="C584" s="3"/>
      <c r="D584" s="3"/>
      <c r="E584" s="4"/>
      <c r="F584" s="4"/>
      <c r="G584" s="4"/>
      <c r="H584" s="8"/>
      <c r="I584" s="8"/>
      <c r="J584" s="8"/>
      <c r="K584" s="10"/>
      <c r="L584" s="10"/>
      <c r="M584" s="3"/>
      <c r="N584" s="3"/>
      <c r="O584" s="3"/>
      <c r="P584" s="9">
        <f t="shared" si="334"/>
        <v>0</v>
      </c>
      <c r="Q584" s="3"/>
      <c r="R584" s="3"/>
      <c r="S584" s="3"/>
      <c r="T584" s="3"/>
      <c r="U584" s="3"/>
      <c r="V584" s="3"/>
      <c r="W584" s="27" t="str">
        <f t="shared" ref="W584:W637" si="375">IF((+K584+L584+M584+P584+T584+U584+V584)-H584=0,"OK",(+K584+L584+M584+P584+T584+U584+V584)-H584)</f>
        <v>OK</v>
      </c>
      <c r="X584" s="3"/>
      <c r="Y584" s="3"/>
      <c r="Z584" s="3"/>
      <c r="AA584" s="3"/>
      <c r="AB584" s="3"/>
      <c r="AC584" s="3"/>
    </row>
    <row r="585" spans="1:29" x14ac:dyDescent="0.2">
      <c r="A585" s="3">
        <f t="shared" ref="A585:A611" si="376">+A584+1</f>
        <v>1</v>
      </c>
      <c r="B585" s="3" t="s">
        <v>813</v>
      </c>
      <c r="C585" s="3"/>
      <c r="D585" s="78"/>
      <c r="E585" s="4"/>
      <c r="F585" s="4"/>
      <c r="G585" s="4"/>
      <c r="H585" s="8"/>
      <c r="I585" s="8"/>
      <c r="J585" s="8"/>
      <c r="K585" s="10"/>
      <c r="L585" s="10"/>
      <c r="M585" s="3"/>
      <c r="N585" s="3"/>
      <c r="O585" s="3"/>
      <c r="P585" s="9">
        <f t="shared" si="334"/>
        <v>0</v>
      </c>
      <c r="Q585" s="3"/>
      <c r="R585" s="3"/>
      <c r="S585" s="3"/>
      <c r="T585" s="3"/>
      <c r="U585" s="3"/>
      <c r="V585" s="3"/>
      <c r="W585" s="27" t="str">
        <f t="shared" si="375"/>
        <v>OK</v>
      </c>
      <c r="X585" s="3"/>
      <c r="Y585" s="3"/>
      <c r="Z585" s="3"/>
      <c r="AA585" s="3"/>
      <c r="AB585" s="3"/>
      <c r="AC585" s="3"/>
    </row>
    <row r="586" spans="1:29" x14ac:dyDescent="0.2">
      <c r="A586" s="3">
        <f t="shared" si="376"/>
        <v>2</v>
      </c>
      <c r="B586" s="3"/>
      <c r="C586" s="3" t="s">
        <v>814</v>
      </c>
      <c r="D586" s="78" t="s">
        <v>395</v>
      </c>
      <c r="E586" s="4" t="s">
        <v>612</v>
      </c>
      <c r="F586" s="11"/>
      <c r="G586" s="11"/>
      <c r="H586" s="2">
        <f>'II-I TOTAL COMPANY'!L586</f>
        <v>0</v>
      </c>
      <c r="I586" s="66">
        <v>0</v>
      </c>
      <c r="J586" s="66">
        <f>SUM(K586:V586)-M586-P586</f>
        <v>0</v>
      </c>
      <c r="K586" s="12">
        <f t="shared" ref="K586:L591" si="377">VLOOKUP($D586,$E$741:$V$815,K$1,FALSE)*$H586</f>
        <v>0</v>
      </c>
      <c r="L586" s="12">
        <f t="shared" si="377"/>
        <v>0</v>
      </c>
      <c r="M586" s="9">
        <f t="shared" ref="M586:M591" si="378">SUM(N586:O586)</f>
        <v>0</v>
      </c>
      <c r="N586" s="12">
        <f t="shared" ref="N586:O591" si="379">VLOOKUP($D586,$E$741:$V$815,N$1,FALSE)*$H586</f>
        <v>0</v>
      </c>
      <c r="O586" s="12">
        <f t="shared" si="379"/>
        <v>0</v>
      </c>
      <c r="P586" s="9">
        <f t="shared" si="334"/>
        <v>0</v>
      </c>
      <c r="Q586" s="12">
        <f t="shared" ref="Q586:V591" si="380">VLOOKUP($D586,$E$741:$V$815,Q$1,FALSE)*$H586</f>
        <v>0</v>
      </c>
      <c r="R586" s="12">
        <f t="shared" si="380"/>
        <v>0</v>
      </c>
      <c r="S586" s="12">
        <f t="shared" si="380"/>
        <v>0</v>
      </c>
      <c r="T586" s="12">
        <f t="shared" si="380"/>
        <v>0</v>
      </c>
      <c r="U586" s="12">
        <f t="shared" si="380"/>
        <v>0</v>
      </c>
      <c r="V586" s="12">
        <f t="shared" si="380"/>
        <v>0</v>
      </c>
      <c r="W586" s="27" t="str">
        <f t="shared" si="375"/>
        <v>OK</v>
      </c>
      <c r="X586" s="3"/>
      <c r="Y586" s="3"/>
      <c r="Z586" s="3"/>
      <c r="AA586" s="3"/>
      <c r="AB586" s="3"/>
      <c r="AC586" s="3"/>
    </row>
    <row r="587" spans="1:29" x14ac:dyDescent="0.2">
      <c r="A587" s="3">
        <f t="shared" si="376"/>
        <v>3</v>
      </c>
      <c r="B587" s="3"/>
      <c r="C587" s="3" t="s">
        <v>820</v>
      </c>
      <c r="D587" s="78" t="s">
        <v>395</v>
      </c>
      <c r="E587" s="4" t="s">
        <v>612</v>
      </c>
      <c r="F587" s="11"/>
      <c r="G587" s="11"/>
      <c r="H587" s="2">
        <f>'II-I TOTAL COMPANY'!L587</f>
        <v>0</v>
      </c>
      <c r="I587" s="66">
        <v>0</v>
      </c>
      <c r="J587" s="66">
        <f t="shared" ref="J587:J591" si="381">SUM(K587:V587)-M587-P587</f>
        <v>0</v>
      </c>
      <c r="K587" s="12">
        <f t="shared" si="377"/>
        <v>0</v>
      </c>
      <c r="L587" s="12">
        <f t="shared" si="377"/>
        <v>0</v>
      </c>
      <c r="M587" s="9">
        <f t="shared" si="378"/>
        <v>0</v>
      </c>
      <c r="N587" s="12">
        <f t="shared" si="379"/>
        <v>0</v>
      </c>
      <c r="O587" s="12">
        <f t="shared" si="379"/>
        <v>0</v>
      </c>
      <c r="P587" s="9">
        <f t="shared" si="334"/>
        <v>0</v>
      </c>
      <c r="Q587" s="12">
        <f t="shared" si="380"/>
        <v>0</v>
      </c>
      <c r="R587" s="12">
        <f t="shared" si="380"/>
        <v>0</v>
      </c>
      <c r="S587" s="12">
        <f t="shared" si="380"/>
        <v>0</v>
      </c>
      <c r="T587" s="12">
        <f t="shared" si="380"/>
        <v>0</v>
      </c>
      <c r="U587" s="12">
        <f t="shared" si="380"/>
        <v>0</v>
      </c>
      <c r="V587" s="12">
        <f t="shared" si="380"/>
        <v>0</v>
      </c>
      <c r="W587" s="27" t="str">
        <f t="shared" si="375"/>
        <v>OK</v>
      </c>
      <c r="X587" s="3"/>
      <c r="Y587" s="3"/>
      <c r="Z587" s="3"/>
      <c r="AA587" s="3"/>
      <c r="AB587" s="3"/>
      <c r="AC587" s="3"/>
    </row>
    <row r="588" spans="1:29" x14ac:dyDescent="0.2">
      <c r="A588" s="3">
        <f t="shared" si="376"/>
        <v>4</v>
      </c>
      <c r="B588" s="3"/>
      <c r="C588" s="3" t="s">
        <v>821</v>
      </c>
      <c r="D588" s="78" t="s">
        <v>388</v>
      </c>
      <c r="E588" s="4" t="s">
        <v>612</v>
      </c>
      <c r="F588" s="11"/>
      <c r="G588" s="11"/>
      <c r="H588" s="2">
        <f>'II-I TOTAL COMPANY'!L588</f>
        <v>2212976.5979999993</v>
      </c>
      <c r="I588" s="66">
        <v>0</v>
      </c>
      <c r="J588" s="66">
        <f t="shared" si="381"/>
        <v>2212976.5979999993</v>
      </c>
      <c r="K588" s="12">
        <f t="shared" si="377"/>
        <v>1037458.4186790775</v>
      </c>
      <c r="L588" s="12">
        <f t="shared" si="377"/>
        <v>197128.21515342803</v>
      </c>
      <c r="M588" s="9">
        <f t="shared" si="378"/>
        <v>782585.7461392188</v>
      </c>
      <c r="N588" s="12">
        <f t="shared" si="379"/>
        <v>15267.669871881533</v>
      </c>
      <c r="O588" s="12">
        <f t="shared" si="379"/>
        <v>767318.07626733731</v>
      </c>
      <c r="P588" s="9">
        <f t="shared" si="334"/>
        <v>105245.71067550573</v>
      </c>
      <c r="Q588" s="12">
        <f t="shared" si="380"/>
        <v>45451.416488777337</v>
      </c>
      <c r="R588" s="12">
        <f t="shared" si="380"/>
        <v>53301.234688331635</v>
      </c>
      <c r="S588" s="12">
        <f t="shared" si="380"/>
        <v>6493.059498396763</v>
      </c>
      <c r="T588" s="12">
        <f t="shared" si="380"/>
        <v>88717.191972626941</v>
      </c>
      <c r="U588" s="12">
        <f t="shared" si="380"/>
        <v>0</v>
      </c>
      <c r="V588" s="12">
        <f t="shared" si="380"/>
        <v>1841.3153801423659</v>
      </c>
      <c r="W588" s="27" t="str">
        <f t="shared" si="375"/>
        <v>OK</v>
      </c>
      <c r="X588" s="3"/>
      <c r="Y588" s="3"/>
      <c r="Z588" s="3"/>
      <c r="AA588" s="3"/>
      <c r="AB588" s="3"/>
      <c r="AC588" s="3"/>
    </row>
    <row r="589" spans="1:29" x14ac:dyDescent="0.2">
      <c r="A589" s="3">
        <f t="shared" si="376"/>
        <v>5</v>
      </c>
      <c r="B589" s="3"/>
      <c r="C589" s="3" t="s">
        <v>530</v>
      </c>
      <c r="D589" s="78" t="s">
        <v>395</v>
      </c>
      <c r="E589" s="4" t="s">
        <v>612</v>
      </c>
      <c r="F589" s="11"/>
      <c r="G589" s="11"/>
      <c r="H589" s="2">
        <f>'II-I TOTAL COMPANY'!L589</f>
        <v>0</v>
      </c>
      <c r="I589" s="66">
        <v>0</v>
      </c>
      <c r="J589" s="66">
        <f t="shared" si="381"/>
        <v>0</v>
      </c>
      <c r="K589" s="12">
        <f t="shared" si="377"/>
        <v>0</v>
      </c>
      <c r="L589" s="12">
        <f t="shared" si="377"/>
        <v>0</v>
      </c>
      <c r="M589" s="9">
        <f t="shared" si="378"/>
        <v>0</v>
      </c>
      <c r="N589" s="12">
        <f t="shared" si="379"/>
        <v>0</v>
      </c>
      <c r="O589" s="12">
        <f t="shared" si="379"/>
        <v>0</v>
      </c>
      <c r="P589" s="9">
        <f t="shared" si="334"/>
        <v>0</v>
      </c>
      <c r="Q589" s="12">
        <f t="shared" si="380"/>
        <v>0</v>
      </c>
      <c r="R589" s="12">
        <f t="shared" si="380"/>
        <v>0</v>
      </c>
      <c r="S589" s="12">
        <f t="shared" si="380"/>
        <v>0</v>
      </c>
      <c r="T589" s="12">
        <f t="shared" si="380"/>
        <v>0</v>
      </c>
      <c r="U589" s="12">
        <f t="shared" si="380"/>
        <v>0</v>
      </c>
      <c r="V589" s="12">
        <f t="shared" si="380"/>
        <v>0</v>
      </c>
      <c r="W589" s="27" t="str">
        <f t="shared" si="375"/>
        <v>OK</v>
      </c>
      <c r="X589" s="3"/>
      <c r="Y589" s="3"/>
      <c r="Z589" s="3"/>
      <c r="AA589" s="3"/>
      <c r="AB589" s="3"/>
      <c r="AC589" s="3"/>
    </row>
    <row r="590" spans="1:29" x14ac:dyDescent="0.2">
      <c r="A590" s="3">
        <f t="shared" si="376"/>
        <v>6</v>
      </c>
      <c r="B590" s="3"/>
      <c r="C590" s="3" t="s">
        <v>531</v>
      </c>
      <c r="D590" s="78" t="s">
        <v>395</v>
      </c>
      <c r="E590" s="4" t="s">
        <v>612</v>
      </c>
      <c r="F590" s="11"/>
      <c r="G590" s="11"/>
      <c r="H590" s="2">
        <f>'II-I TOTAL COMPANY'!L590</f>
        <v>0</v>
      </c>
      <c r="I590" s="66">
        <v>0</v>
      </c>
      <c r="J590" s="66">
        <f t="shared" si="381"/>
        <v>0</v>
      </c>
      <c r="K590" s="12">
        <f t="shared" si="377"/>
        <v>0</v>
      </c>
      <c r="L590" s="12">
        <f t="shared" si="377"/>
        <v>0</v>
      </c>
      <c r="M590" s="9">
        <f t="shared" si="378"/>
        <v>0</v>
      </c>
      <c r="N590" s="12">
        <f t="shared" si="379"/>
        <v>0</v>
      </c>
      <c r="O590" s="12">
        <f t="shared" si="379"/>
        <v>0</v>
      </c>
      <c r="P590" s="9">
        <f t="shared" si="334"/>
        <v>0</v>
      </c>
      <c r="Q590" s="12">
        <f t="shared" si="380"/>
        <v>0</v>
      </c>
      <c r="R590" s="12">
        <f t="shared" si="380"/>
        <v>0</v>
      </c>
      <c r="S590" s="12">
        <f t="shared" si="380"/>
        <v>0</v>
      </c>
      <c r="T590" s="12">
        <f t="shared" si="380"/>
        <v>0</v>
      </c>
      <c r="U590" s="12">
        <f t="shared" si="380"/>
        <v>0</v>
      </c>
      <c r="V590" s="12">
        <f t="shared" si="380"/>
        <v>0</v>
      </c>
      <c r="W590" s="27" t="str">
        <f t="shared" si="375"/>
        <v>OK</v>
      </c>
      <c r="X590" s="3"/>
      <c r="Y590" s="3"/>
      <c r="Z590" s="3"/>
      <c r="AA590" s="3"/>
      <c r="AB590" s="3"/>
      <c r="AC590" s="3"/>
    </row>
    <row r="591" spans="1:29" x14ac:dyDescent="0.2">
      <c r="A591" s="3">
        <f t="shared" si="376"/>
        <v>7</v>
      </c>
      <c r="B591" s="3"/>
      <c r="C591" s="3" t="s">
        <v>532</v>
      </c>
      <c r="D591" s="78" t="s">
        <v>323</v>
      </c>
      <c r="E591" s="4" t="s">
        <v>612</v>
      </c>
      <c r="F591" s="11"/>
      <c r="G591" s="11"/>
      <c r="H591" s="2">
        <f>'II-I TOTAL COMPANY'!L591</f>
        <v>0</v>
      </c>
      <c r="I591" s="66">
        <v>0</v>
      </c>
      <c r="J591" s="66">
        <f t="shared" ca="1" si="381"/>
        <v>0</v>
      </c>
      <c r="K591" s="12">
        <f t="shared" ca="1" si="377"/>
        <v>0</v>
      </c>
      <c r="L591" s="12">
        <f t="shared" ca="1" si="377"/>
        <v>0</v>
      </c>
      <c r="M591" s="9">
        <f t="shared" ca="1" si="378"/>
        <v>0</v>
      </c>
      <c r="N591" s="12">
        <f t="shared" ca="1" si="379"/>
        <v>0</v>
      </c>
      <c r="O591" s="12">
        <f t="shared" ca="1" si="379"/>
        <v>0</v>
      </c>
      <c r="P591" s="9">
        <f t="shared" ca="1" si="334"/>
        <v>0</v>
      </c>
      <c r="Q591" s="12">
        <f t="shared" ca="1" si="380"/>
        <v>0</v>
      </c>
      <c r="R591" s="12">
        <f t="shared" ca="1" si="380"/>
        <v>0</v>
      </c>
      <c r="S591" s="12">
        <f t="shared" ca="1" si="380"/>
        <v>0</v>
      </c>
      <c r="T591" s="12">
        <f t="shared" ca="1" si="380"/>
        <v>0</v>
      </c>
      <c r="U591" s="12">
        <f t="shared" ca="1" si="380"/>
        <v>0</v>
      </c>
      <c r="V591" s="12">
        <f t="shared" ca="1" si="380"/>
        <v>0</v>
      </c>
      <c r="W591" s="27" t="str">
        <f t="shared" ca="1" si="375"/>
        <v>OK</v>
      </c>
      <c r="X591" s="3"/>
      <c r="Y591" s="3"/>
      <c r="Z591" s="3"/>
      <c r="AA591" s="3"/>
      <c r="AB591" s="3"/>
      <c r="AC591" s="3"/>
    </row>
    <row r="592" spans="1:29" x14ac:dyDescent="0.2">
      <c r="A592" s="3">
        <f t="shared" si="376"/>
        <v>8</v>
      </c>
      <c r="B592" s="3"/>
      <c r="C592" s="3"/>
      <c r="D592" s="78"/>
      <c r="E592" s="4"/>
      <c r="F592" s="4"/>
      <c r="G592" s="4"/>
      <c r="H592" s="2"/>
      <c r="I592" s="66"/>
      <c r="J592" s="66"/>
      <c r="K592" s="12"/>
      <c r="L592" s="12"/>
      <c r="M592" s="9"/>
      <c r="N592" s="12"/>
      <c r="O592" s="12"/>
      <c r="P592" s="9">
        <f t="shared" si="334"/>
        <v>0</v>
      </c>
      <c r="Q592" s="12"/>
      <c r="R592" s="12"/>
      <c r="S592" s="12"/>
      <c r="T592" s="12"/>
      <c r="U592" s="12"/>
      <c r="V592" s="12"/>
      <c r="W592" s="27" t="str">
        <f t="shared" si="375"/>
        <v>OK</v>
      </c>
      <c r="X592" s="3"/>
      <c r="Y592" s="3"/>
      <c r="Z592" s="3"/>
      <c r="AA592" s="3"/>
      <c r="AB592" s="3"/>
      <c r="AC592" s="3"/>
    </row>
    <row r="593" spans="1:29" x14ac:dyDescent="0.2">
      <c r="A593" s="3">
        <f t="shared" si="376"/>
        <v>9</v>
      </c>
      <c r="B593" s="3"/>
      <c r="C593" s="3"/>
      <c r="D593" s="78"/>
      <c r="E593" s="4"/>
      <c r="F593" s="4"/>
      <c r="G593" s="4"/>
      <c r="H593" s="2"/>
      <c r="I593" s="66"/>
      <c r="J593" s="66"/>
      <c r="K593" s="12"/>
      <c r="L593" s="12"/>
      <c r="M593" s="9"/>
      <c r="N593" s="12"/>
      <c r="O593" s="12"/>
      <c r="P593" s="9">
        <f t="shared" si="334"/>
        <v>0</v>
      </c>
      <c r="Q593" s="12"/>
      <c r="R593" s="12"/>
      <c r="S593" s="12"/>
      <c r="T593" s="12"/>
      <c r="U593" s="12"/>
      <c r="V593" s="12"/>
      <c r="W593" s="27" t="str">
        <f t="shared" si="375"/>
        <v>OK</v>
      </c>
      <c r="X593" s="3"/>
      <c r="Y593" s="3"/>
      <c r="Z593" s="3"/>
      <c r="AA593" s="3"/>
      <c r="AB593" s="3"/>
      <c r="AC593" s="3"/>
    </row>
    <row r="594" spans="1:29" x14ac:dyDescent="0.2">
      <c r="A594" s="3">
        <f t="shared" si="376"/>
        <v>10</v>
      </c>
      <c r="B594" s="3"/>
      <c r="C594" s="3" t="s">
        <v>290</v>
      </c>
      <c r="D594" s="3"/>
      <c r="E594" s="4" t="s">
        <v>612</v>
      </c>
      <c r="F594" s="8"/>
      <c r="G594" s="8"/>
      <c r="H594" s="8">
        <f>SUM(H586:H593)</f>
        <v>2212976.5979999993</v>
      </c>
      <c r="I594" s="8">
        <f>SUM(I586:I593)</f>
        <v>0</v>
      </c>
      <c r="J594" s="66">
        <f t="shared" ref="J594" ca="1" si="382">SUM(K594:V594)-M594-P594</f>
        <v>2212976.5979999993</v>
      </c>
      <c r="K594" s="8">
        <f t="shared" ref="K594:V594" ca="1" si="383">SUM(K586:K593)</f>
        <v>1037458.4186790775</v>
      </c>
      <c r="L594" s="8">
        <f t="shared" ca="1" si="383"/>
        <v>197128.21515342803</v>
      </c>
      <c r="M594" s="8">
        <f t="shared" ca="1" si="383"/>
        <v>782585.7461392188</v>
      </c>
      <c r="N594" s="8">
        <f t="shared" ca="1" si="383"/>
        <v>15267.669871881533</v>
      </c>
      <c r="O594" s="8">
        <f t="shared" ca="1" si="383"/>
        <v>767318.07626733731</v>
      </c>
      <c r="P594" s="9">
        <f t="shared" ca="1" si="334"/>
        <v>105245.71067550573</v>
      </c>
      <c r="Q594" s="8">
        <f t="shared" ca="1" si="383"/>
        <v>45451.416488777337</v>
      </c>
      <c r="R594" s="8">
        <f t="shared" ca="1" si="383"/>
        <v>53301.234688331635</v>
      </c>
      <c r="S594" s="8">
        <f ca="1">SUM(S586:S593)</f>
        <v>6493.059498396763</v>
      </c>
      <c r="T594" s="8">
        <f t="shared" ca="1" si="383"/>
        <v>88717.191972626941</v>
      </c>
      <c r="U594" s="8">
        <f t="shared" ca="1" si="383"/>
        <v>0</v>
      </c>
      <c r="V594" s="8">
        <f t="shared" ca="1" si="383"/>
        <v>1841.3153801423659</v>
      </c>
      <c r="W594" s="27" t="str">
        <f t="shared" ca="1" si="375"/>
        <v>OK</v>
      </c>
      <c r="X594" s="3"/>
      <c r="Y594" s="3"/>
      <c r="Z594" s="3"/>
      <c r="AA594" s="3"/>
      <c r="AB594" s="3"/>
      <c r="AC594" s="3"/>
    </row>
    <row r="595" spans="1:29" x14ac:dyDescent="0.2">
      <c r="A595" s="3">
        <f t="shared" si="376"/>
        <v>11</v>
      </c>
      <c r="B595" s="3"/>
      <c r="C595" s="3"/>
      <c r="D595" s="3"/>
      <c r="E595" s="4"/>
      <c r="F595" s="10"/>
      <c r="G595" s="10"/>
      <c r="H595" s="8"/>
      <c r="I595" s="8"/>
      <c r="J595" s="8"/>
      <c r="K595" s="10"/>
      <c r="L595" s="10"/>
      <c r="M595" s="3"/>
      <c r="N595" s="3"/>
      <c r="O595" s="3"/>
      <c r="P595" s="9">
        <f t="shared" si="334"/>
        <v>0</v>
      </c>
      <c r="Q595" s="3"/>
      <c r="R595" s="3"/>
      <c r="S595" s="3"/>
      <c r="T595" s="3"/>
      <c r="U595" s="3"/>
      <c r="V595" s="3"/>
      <c r="W595" s="27" t="str">
        <f t="shared" si="375"/>
        <v>OK</v>
      </c>
      <c r="X595" s="3"/>
      <c r="Y595" s="3"/>
      <c r="Z595" s="3"/>
      <c r="AA595" s="3"/>
      <c r="AB595" s="3"/>
      <c r="AC595" s="3"/>
    </row>
    <row r="596" spans="1:29" x14ac:dyDescent="0.2">
      <c r="A596" s="3">
        <f t="shared" si="376"/>
        <v>12</v>
      </c>
      <c r="B596" s="3"/>
      <c r="C596" s="3"/>
      <c r="D596" s="3"/>
      <c r="E596" s="4"/>
      <c r="F596" s="10"/>
      <c r="G596" s="10"/>
      <c r="H596" s="8"/>
      <c r="I596" s="8"/>
      <c r="J596" s="8"/>
      <c r="K596" s="10"/>
      <c r="L596" s="10"/>
      <c r="M596" s="3"/>
      <c r="N596" s="3"/>
      <c r="O596" s="3"/>
      <c r="P596" s="9">
        <f t="shared" ref="P596:P659" si="384">SUM(Q596:S596)</f>
        <v>0</v>
      </c>
      <c r="Q596" s="3"/>
      <c r="R596" s="3"/>
      <c r="S596" s="3"/>
      <c r="T596" s="3"/>
      <c r="U596" s="3"/>
      <c r="V596" s="3"/>
      <c r="W596" s="27" t="str">
        <f t="shared" si="375"/>
        <v>OK</v>
      </c>
      <c r="X596" s="3"/>
      <c r="Y596" s="3"/>
      <c r="Z596" s="3"/>
      <c r="AA596" s="3"/>
      <c r="AB596" s="3"/>
      <c r="AC596" s="3"/>
    </row>
    <row r="597" spans="1:29" x14ac:dyDescent="0.2">
      <c r="A597" s="3">
        <f t="shared" si="376"/>
        <v>13</v>
      </c>
      <c r="B597" s="3" t="s">
        <v>291</v>
      </c>
      <c r="C597" s="3"/>
      <c r="D597" s="3"/>
      <c r="E597" s="4"/>
      <c r="F597" s="8"/>
      <c r="G597" s="8"/>
      <c r="H597" s="8">
        <f t="shared" ref="H597:V597" si="385">H536+H549+H568+H582+H594</f>
        <v>14340683.430836225</v>
      </c>
      <c r="I597" s="8">
        <f t="shared" si="385"/>
        <v>0</v>
      </c>
      <c r="J597" s="66">
        <f t="shared" ref="J597" ca="1" si="386">SUM(K597:V597)-M597-P597</f>
        <v>14340683.430836221</v>
      </c>
      <c r="K597" s="8">
        <f t="shared" ca="1" si="385"/>
        <v>6723009.5286044227</v>
      </c>
      <c r="L597" s="8">
        <f ca="1">L536+L549+L568+L582+L594</f>
        <v>1277443.842540392</v>
      </c>
      <c r="M597" s="9">
        <f ca="1">SUM(N597:O597)</f>
        <v>5071366.074548658</v>
      </c>
      <c r="N597" s="8">
        <f t="shared" ca="1" si="385"/>
        <v>98938.606290299736</v>
      </c>
      <c r="O597" s="8">
        <f t="shared" ca="1" si="385"/>
        <v>4972427.4682583585</v>
      </c>
      <c r="P597" s="9">
        <f t="shared" ca="1" si="384"/>
        <v>682020.50605272991</v>
      </c>
      <c r="Q597" s="8">
        <f t="shared" ca="1" si="385"/>
        <v>294537.40086439258</v>
      </c>
      <c r="R597" s="8">
        <f t="shared" ca="1" si="385"/>
        <v>345406.3336362812</v>
      </c>
      <c r="S597" s="8">
        <f ca="1">S536+S549+S568+S582+S594</f>
        <v>42076.771552056081</v>
      </c>
      <c r="T597" s="8">
        <f t="shared" ca="1" si="385"/>
        <v>574911.26029167708</v>
      </c>
      <c r="U597" s="8">
        <f t="shared" ca="1" si="385"/>
        <v>0</v>
      </c>
      <c r="V597" s="8">
        <f t="shared" ca="1" si="385"/>
        <v>11932.218798344264</v>
      </c>
      <c r="W597" s="27" t="str">
        <f t="shared" ca="1" si="375"/>
        <v>OK</v>
      </c>
      <c r="X597" s="3"/>
      <c r="Y597" s="3"/>
      <c r="Z597" s="3"/>
      <c r="AA597" s="3"/>
      <c r="AB597" s="3"/>
      <c r="AC597" s="3"/>
    </row>
    <row r="598" spans="1:29" x14ac:dyDescent="0.2">
      <c r="A598" s="3">
        <f t="shared" si="376"/>
        <v>14</v>
      </c>
      <c r="B598" s="3"/>
      <c r="C598" s="3"/>
      <c r="D598" s="3"/>
      <c r="E598" s="4"/>
      <c r="F598" s="4"/>
      <c r="G598" s="4"/>
      <c r="H598" s="8"/>
      <c r="I598" s="8"/>
      <c r="J598" s="8"/>
      <c r="K598" s="10"/>
      <c r="L598" s="10"/>
      <c r="M598" s="3"/>
      <c r="N598" s="3"/>
      <c r="O598" s="3"/>
      <c r="P598" s="9">
        <f t="shared" si="384"/>
        <v>0</v>
      </c>
      <c r="Q598" s="3"/>
      <c r="R598" s="3"/>
      <c r="S598" s="3"/>
      <c r="T598" s="3"/>
      <c r="U598" s="3"/>
      <c r="V598" s="3"/>
      <c r="W598" s="27" t="str">
        <f t="shared" si="375"/>
        <v>OK</v>
      </c>
      <c r="X598" s="3"/>
      <c r="Y598" s="3"/>
      <c r="Z598" s="3"/>
      <c r="AA598" s="3"/>
      <c r="AB598" s="3"/>
      <c r="AC598" s="3"/>
    </row>
    <row r="599" spans="1:29" x14ac:dyDescent="0.2">
      <c r="A599" s="3">
        <f t="shared" si="376"/>
        <v>15</v>
      </c>
      <c r="B599" s="3"/>
      <c r="C599" s="3"/>
      <c r="D599" s="3"/>
      <c r="E599" s="4"/>
      <c r="F599" s="4"/>
      <c r="G599" s="4"/>
      <c r="H599" s="8"/>
      <c r="I599" s="8"/>
      <c r="J599" s="8"/>
      <c r="K599" s="10"/>
      <c r="L599" s="10"/>
      <c r="M599" s="3"/>
      <c r="N599" s="3"/>
      <c r="O599" s="3"/>
      <c r="P599" s="9">
        <f t="shared" si="384"/>
        <v>0</v>
      </c>
      <c r="Q599" s="3"/>
      <c r="R599" s="3"/>
      <c r="S599" s="3"/>
      <c r="T599" s="3"/>
      <c r="U599" s="3"/>
      <c r="V599" s="3"/>
      <c r="W599" s="27" t="str">
        <f t="shared" si="375"/>
        <v>OK</v>
      </c>
      <c r="X599" s="3"/>
      <c r="Y599" s="3"/>
      <c r="Z599" s="3"/>
      <c r="AA599" s="3"/>
      <c r="AB599" s="3"/>
      <c r="AC599" s="3"/>
    </row>
    <row r="600" spans="1:29" x14ac:dyDescent="0.2">
      <c r="A600" s="3">
        <f t="shared" si="376"/>
        <v>16</v>
      </c>
      <c r="B600" s="3"/>
      <c r="C600" s="3"/>
      <c r="D600" s="3"/>
      <c r="E600" s="4"/>
      <c r="F600" s="4"/>
      <c r="G600" s="4"/>
      <c r="H600" s="8"/>
      <c r="I600" s="8"/>
      <c r="J600" s="8"/>
      <c r="K600" s="10"/>
      <c r="L600" s="10"/>
      <c r="M600" s="3"/>
      <c r="N600" s="3"/>
      <c r="O600" s="3"/>
      <c r="P600" s="9">
        <f t="shared" si="384"/>
        <v>0</v>
      </c>
      <c r="Q600" s="3"/>
      <c r="R600" s="3"/>
      <c r="S600" s="3"/>
      <c r="T600" s="3"/>
      <c r="U600" s="3"/>
      <c r="V600" s="3"/>
      <c r="W600" s="27" t="str">
        <f t="shared" si="375"/>
        <v>OK</v>
      </c>
      <c r="X600" s="3"/>
      <c r="Y600" s="3"/>
      <c r="Z600" s="3"/>
      <c r="AA600" s="3"/>
      <c r="AB600" s="3"/>
      <c r="AC600" s="3"/>
    </row>
    <row r="601" spans="1:29" x14ac:dyDescent="0.2">
      <c r="A601" s="3">
        <f t="shared" si="376"/>
        <v>17</v>
      </c>
      <c r="B601" s="7" t="s">
        <v>292</v>
      </c>
      <c r="C601" s="3"/>
      <c r="D601" s="3"/>
      <c r="E601" s="4"/>
      <c r="F601" s="4"/>
      <c r="G601" s="4"/>
      <c r="H601" s="8"/>
      <c r="I601" s="8"/>
      <c r="J601" s="8"/>
      <c r="K601" s="10"/>
      <c r="L601" s="10"/>
      <c r="M601" s="3"/>
      <c r="N601" s="3"/>
      <c r="O601" s="3"/>
      <c r="P601" s="9">
        <f t="shared" si="384"/>
        <v>0</v>
      </c>
      <c r="Q601" s="3"/>
      <c r="R601" s="3"/>
      <c r="S601" s="3"/>
      <c r="T601" s="3"/>
      <c r="U601" s="3"/>
      <c r="V601" s="3"/>
      <c r="W601" s="27" t="str">
        <f t="shared" si="375"/>
        <v>OK</v>
      </c>
      <c r="X601" s="3"/>
      <c r="Y601" s="3"/>
      <c r="Z601" s="3"/>
      <c r="AA601" s="3"/>
      <c r="AB601" s="3"/>
      <c r="AC601" s="3"/>
    </row>
    <row r="602" spans="1:29" x14ac:dyDescent="0.2">
      <c r="A602" s="3">
        <f t="shared" si="376"/>
        <v>18</v>
      </c>
      <c r="B602" s="3"/>
      <c r="C602" s="3"/>
      <c r="D602" s="3"/>
      <c r="E602" s="4"/>
      <c r="F602" s="4"/>
      <c r="G602" s="4"/>
      <c r="H602" s="8"/>
      <c r="I602" s="8"/>
      <c r="J602" s="8"/>
      <c r="K602" s="10"/>
      <c r="L602" s="10"/>
      <c r="M602" s="3"/>
      <c r="N602" s="3"/>
      <c r="O602" s="3"/>
      <c r="P602" s="9">
        <f t="shared" si="384"/>
        <v>0</v>
      </c>
      <c r="Q602" s="3"/>
      <c r="R602" s="3"/>
      <c r="S602" s="3"/>
      <c r="T602" s="3"/>
      <c r="U602" s="3"/>
      <c r="V602" s="3"/>
      <c r="W602" s="27" t="str">
        <f t="shared" si="375"/>
        <v>OK</v>
      </c>
      <c r="X602" s="3"/>
      <c r="Y602" s="3"/>
      <c r="Z602" s="3"/>
      <c r="AA602" s="3"/>
      <c r="AB602" s="3"/>
      <c r="AC602" s="3"/>
    </row>
    <row r="603" spans="1:29" x14ac:dyDescent="0.2">
      <c r="A603" s="3">
        <f t="shared" si="376"/>
        <v>19</v>
      </c>
      <c r="B603" s="3" t="s">
        <v>293</v>
      </c>
      <c r="C603" s="3"/>
      <c r="D603" s="3"/>
      <c r="E603" s="4"/>
      <c r="F603" s="4"/>
      <c r="G603" s="4"/>
      <c r="H603" s="8"/>
      <c r="I603" s="8"/>
      <c r="J603" s="8"/>
      <c r="K603" s="10"/>
      <c r="L603" s="10"/>
      <c r="M603" s="3"/>
      <c r="N603" s="3"/>
      <c r="O603" s="3"/>
      <c r="P603" s="9">
        <f t="shared" si="384"/>
        <v>0</v>
      </c>
      <c r="Q603" s="3"/>
      <c r="R603" s="3"/>
      <c r="S603" s="3"/>
      <c r="T603" s="3"/>
      <c r="U603" s="3"/>
      <c r="V603" s="3"/>
      <c r="W603" s="27" t="str">
        <f t="shared" si="375"/>
        <v>OK</v>
      </c>
      <c r="X603" s="3"/>
      <c r="Y603" s="3"/>
      <c r="Z603" s="3"/>
      <c r="AA603" s="3"/>
      <c r="AB603" s="3"/>
      <c r="AC603" s="3"/>
    </row>
    <row r="604" spans="1:29" x14ac:dyDescent="0.2">
      <c r="A604" s="3">
        <f t="shared" si="376"/>
        <v>20</v>
      </c>
      <c r="B604" s="3"/>
      <c r="C604" s="3"/>
      <c r="D604" s="3"/>
      <c r="E604" s="4"/>
      <c r="F604" s="4"/>
      <c r="G604" s="4"/>
      <c r="H604" s="8"/>
      <c r="I604" s="8"/>
      <c r="J604" s="8"/>
      <c r="K604" s="10"/>
      <c r="L604" s="10"/>
      <c r="M604" s="3"/>
      <c r="N604" s="3"/>
      <c r="O604" s="3"/>
      <c r="P604" s="9">
        <f t="shared" si="384"/>
        <v>0</v>
      </c>
      <c r="Q604" s="3"/>
      <c r="R604" s="3"/>
      <c r="S604" s="3"/>
      <c r="T604" s="3"/>
      <c r="U604" s="3"/>
      <c r="V604" s="3"/>
      <c r="W604" s="27" t="str">
        <f t="shared" si="375"/>
        <v>OK</v>
      </c>
      <c r="X604" s="3"/>
      <c r="Y604" s="3"/>
      <c r="Z604" s="3"/>
      <c r="AA604" s="3"/>
      <c r="AB604" s="3"/>
      <c r="AC604" s="3"/>
    </row>
    <row r="605" spans="1:29" x14ac:dyDescent="0.2">
      <c r="A605" s="3">
        <f t="shared" si="376"/>
        <v>21</v>
      </c>
      <c r="B605" s="3"/>
      <c r="C605" s="3" t="s">
        <v>294</v>
      </c>
      <c r="D605" s="78" t="s">
        <v>323</v>
      </c>
      <c r="E605" s="4" t="s">
        <v>591</v>
      </c>
      <c r="F605" s="11"/>
      <c r="G605" s="11"/>
      <c r="H605" s="2">
        <f>'II-I TOTAL COMPANY'!L605</f>
        <v>861983.26137032802</v>
      </c>
      <c r="I605" s="66">
        <v>0</v>
      </c>
      <c r="J605" s="66">
        <f ca="1">SUM(K605:V605)-M605-P605</f>
        <v>861983.26137032837</v>
      </c>
      <c r="K605" s="12">
        <f t="shared" ref="K605:L608" ca="1" si="387">VLOOKUP($D605,$E$741:$V$815,K$1,FALSE)*$H605</f>
        <v>404103.59155053966</v>
      </c>
      <c r="L605" s="12">
        <f t="shared" ca="1" si="387"/>
        <v>76784.012067561722</v>
      </c>
      <c r="M605" s="9">
        <f ca="1">SUM(N605:O605)</f>
        <v>304827.35984134238</v>
      </c>
      <c r="N605" s="12">
        <f t="shared" ref="N605:O608" ca="1" si="388">VLOOKUP($D605,$E$741:$V$815,N$1,FALSE)*$H605</f>
        <v>5946.9566382147295</v>
      </c>
      <c r="O605" s="12">
        <f t="shared" ca="1" si="388"/>
        <v>298880.40320312767</v>
      </c>
      <c r="P605" s="9">
        <f t="shared" ca="1" si="384"/>
        <v>40994.577626939019</v>
      </c>
      <c r="Q605" s="12">
        <f t="shared" ref="Q605:V608" ca="1" si="389">VLOOKUP($D605,$E$741:$V$815,Q$1,FALSE)*$H605</f>
        <v>17703.91980389908</v>
      </c>
      <c r="R605" s="12">
        <f t="shared" ca="1" si="389"/>
        <v>20761.52642248293</v>
      </c>
      <c r="S605" s="12">
        <f t="shared" ca="1" si="389"/>
        <v>2529.1314005570111</v>
      </c>
      <c r="T605" s="12">
        <f t="shared" ca="1" si="389"/>
        <v>34556.503916623202</v>
      </c>
      <c r="U605" s="12">
        <f t="shared" ca="1" si="389"/>
        <v>0</v>
      </c>
      <c r="V605" s="12">
        <f t="shared" ca="1" si="389"/>
        <v>717.21636732213778</v>
      </c>
      <c r="W605" s="27">
        <f t="shared" ca="1" si="375"/>
        <v>1.1641532182693481E-10</v>
      </c>
      <c r="X605" s="3"/>
      <c r="Y605" s="3"/>
      <c r="Z605" s="3"/>
      <c r="AA605" s="3"/>
      <c r="AB605" s="3"/>
      <c r="AC605" s="3"/>
    </row>
    <row r="606" spans="1:29" x14ac:dyDescent="0.2">
      <c r="A606" s="3">
        <f t="shared" si="376"/>
        <v>22</v>
      </c>
      <c r="B606" s="3"/>
      <c r="C606" s="3" t="s">
        <v>540</v>
      </c>
      <c r="D606" s="78" t="s">
        <v>340</v>
      </c>
      <c r="E606" s="4" t="s">
        <v>591</v>
      </c>
      <c r="F606" s="11"/>
      <c r="G606" s="11"/>
      <c r="H606" s="2">
        <f>'II-I TOTAL COMPANY'!L606</f>
        <v>1071896.6776611251</v>
      </c>
      <c r="I606" s="66">
        <v>0</v>
      </c>
      <c r="J606" s="66">
        <f t="shared" ref="J606:J608" ca="1" si="390">SUM(K606:V606)-M606-P606</f>
        <v>1071896.6776611248</v>
      </c>
      <c r="K606" s="12">
        <f t="shared" ca="1" si="387"/>
        <v>502512.42295046989</v>
      </c>
      <c r="L606" s="12">
        <f t="shared" ca="1" si="387"/>
        <v>95482.74441184444</v>
      </c>
      <c r="M606" s="9">
        <f ca="1">SUM(N606:O606)</f>
        <v>379060.06870099838</v>
      </c>
      <c r="N606" s="12">
        <f t="shared" ca="1" si="388"/>
        <v>7395.1819581314294</v>
      </c>
      <c r="O606" s="12">
        <f t="shared" ca="1" si="388"/>
        <v>371664.88674286695</v>
      </c>
      <c r="P606" s="9">
        <f t="shared" ca="1" si="384"/>
        <v>50977.731853610225</v>
      </c>
      <c r="Q606" s="12">
        <f t="shared" ca="1" si="389"/>
        <v>22015.245155932964</v>
      </c>
      <c r="R606" s="12">
        <f t="shared" ca="1" si="389"/>
        <v>25817.451675401127</v>
      </c>
      <c r="S606" s="12">
        <f t="shared" ca="1" si="389"/>
        <v>3145.0350222761367</v>
      </c>
      <c r="T606" s="12">
        <f t="shared" ca="1" si="389"/>
        <v>42971.834140870131</v>
      </c>
      <c r="U606" s="12">
        <f t="shared" ca="1" si="389"/>
        <v>0</v>
      </c>
      <c r="V606" s="12">
        <f t="shared" ca="1" si="389"/>
        <v>891.87560333203953</v>
      </c>
      <c r="W606" s="27" t="str">
        <f t="shared" ca="1" si="375"/>
        <v>OK</v>
      </c>
      <c r="X606" s="3"/>
      <c r="Y606" s="3"/>
      <c r="Z606" s="3"/>
      <c r="AA606" s="3"/>
      <c r="AB606" s="3"/>
      <c r="AC606" s="3"/>
    </row>
    <row r="607" spans="1:29" x14ac:dyDescent="0.2">
      <c r="A607" s="3">
        <f t="shared" si="376"/>
        <v>23</v>
      </c>
      <c r="B607" s="3"/>
      <c r="C607" s="3" t="s">
        <v>641</v>
      </c>
      <c r="D607" s="78" t="s">
        <v>640</v>
      </c>
      <c r="E607" s="4" t="s">
        <v>591</v>
      </c>
      <c r="F607" s="11"/>
      <c r="G607" s="11"/>
      <c r="H607" s="2">
        <f>'II-I TOTAL COMPANY'!L607</f>
        <v>0</v>
      </c>
      <c r="I607" s="66">
        <v>0</v>
      </c>
      <c r="J607" s="66">
        <f t="shared" si="390"/>
        <v>0</v>
      </c>
      <c r="K607" s="12">
        <f t="shared" si="387"/>
        <v>0</v>
      </c>
      <c r="L607" s="12">
        <f t="shared" si="387"/>
        <v>0</v>
      </c>
      <c r="M607" s="9">
        <f>SUM(N607:O607)</f>
        <v>0</v>
      </c>
      <c r="N607" s="12">
        <f t="shared" si="388"/>
        <v>0</v>
      </c>
      <c r="O607" s="12">
        <f t="shared" si="388"/>
        <v>0</v>
      </c>
      <c r="P607" s="9">
        <f t="shared" si="384"/>
        <v>0</v>
      </c>
      <c r="Q607" s="12">
        <f t="shared" si="389"/>
        <v>0</v>
      </c>
      <c r="R607" s="12">
        <f t="shared" si="389"/>
        <v>0</v>
      </c>
      <c r="S607" s="12">
        <f t="shared" si="389"/>
        <v>0</v>
      </c>
      <c r="T607" s="12">
        <f t="shared" si="389"/>
        <v>0</v>
      </c>
      <c r="U607" s="12">
        <f t="shared" si="389"/>
        <v>0</v>
      </c>
      <c r="V607" s="12">
        <f t="shared" si="389"/>
        <v>0</v>
      </c>
      <c r="W607" s="27" t="str">
        <f t="shared" si="375"/>
        <v>OK</v>
      </c>
      <c r="X607" s="3"/>
      <c r="Y607" s="3"/>
      <c r="Z607" s="3"/>
      <c r="AA607" s="3"/>
      <c r="AB607" s="3"/>
      <c r="AC607" s="3"/>
    </row>
    <row r="608" spans="1:29" x14ac:dyDescent="0.2">
      <c r="A608" s="3">
        <f t="shared" si="376"/>
        <v>24</v>
      </c>
      <c r="B608" s="3"/>
      <c r="C608" s="3" t="s">
        <v>358</v>
      </c>
      <c r="D608" s="78" t="s">
        <v>370</v>
      </c>
      <c r="E608" s="4" t="s">
        <v>591</v>
      </c>
      <c r="F608" s="11"/>
      <c r="G608" s="78"/>
      <c r="H608" s="2">
        <f>'II-I TOTAL COMPANY'!L608</f>
        <v>661600.74084070639</v>
      </c>
      <c r="I608" s="66">
        <v>0</v>
      </c>
      <c r="J608" s="66">
        <f t="shared" ca="1" si="390"/>
        <v>661600.74084070628</v>
      </c>
      <c r="K608" s="12">
        <f t="shared" ca="1" si="387"/>
        <v>310167.00729786634</v>
      </c>
      <c r="L608" s="12">
        <f t="shared" ca="1" si="387"/>
        <v>58931.340220863072</v>
      </c>
      <c r="M608" s="9">
        <f ca="1">SUM(N608:O608)</f>
        <v>233962.73529028561</v>
      </c>
      <c r="N608" s="12">
        <f t="shared" ca="1" si="388"/>
        <v>4565.8859088519212</v>
      </c>
      <c r="O608" s="12">
        <f t="shared" ca="1" si="388"/>
        <v>229396.84938143368</v>
      </c>
      <c r="P608" s="9">
        <f t="shared" ca="1" si="384"/>
        <v>31467.010749090045</v>
      </c>
      <c r="Q608" s="12">
        <f t="shared" ca="1" si="389"/>
        <v>13590.99540934138</v>
      </c>
      <c r="R608" s="12">
        <f t="shared" ca="1" si="389"/>
        <v>15934.395164723912</v>
      </c>
      <c r="S608" s="12">
        <f t="shared" ca="1" si="389"/>
        <v>1941.6201750247526</v>
      </c>
      <c r="T608" s="12">
        <f t="shared" ca="1" si="389"/>
        <v>26521.565761185579</v>
      </c>
      <c r="U608" s="12">
        <f t="shared" ca="1" si="389"/>
        <v>0.46875314513506122</v>
      </c>
      <c r="V608" s="12">
        <f t="shared" ca="1" si="389"/>
        <v>550.61276827058907</v>
      </c>
      <c r="W608" s="27">
        <f t="shared" ca="1" si="375"/>
        <v>-1.1641532182693481E-10</v>
      </c>
      <c r="X608" s="3"/>
      <c r="Y608" s="3"/>
      <c r="Z608" s="3"/>
      <c r="AA608" s="3"/>
      <c r="AB608" s="3"/>
      <c r="AC608" s="3"/>
    </row>
    <row r="609" spans="1:29" x14ac:dyDescent="0.2">
      <c r="A609" s="3">
        <f t="shared" si="376"/>
        <v>25</v>
      </c>
      <c r="B609" s="3"/>
      <c r="C609" s="3"/>
      <c r="D609" s="78"/>
      <c r="E609" s="4"/>
      <c r="F609" s="4"/>
      <c r="G609" s="4"/>
      <c r="H609" s="2"/>
      <c r="I609" s="66"/>
      <c r="J609" s="66"/>
      <c r="K609" s="12"/>
      <c r="L609" s="12"/>
      <c r="M609" s="9"/>
      <c r="N609" s="12"/>
      <c r="O609" s="12"/>
      <c r="P609" s="9">
        <f t="shared" si="384"/>
        <v>0</v>
      </c>
      <c r="Q609" s="12"/>
      <c r="R609" s="12"/>
      <c r="S609" s="12"/>
      <c r="T609" s="12"/>
      <c r="U609" s="12"/>
      <c r="V609" s="12"/>
      <c r="W609" s="27" t="str">
        <f t="shared" si="375"/>
        <v>OK</v>
      </c>
      <c r="X609" s="3"/>
      <c r="Y609" s="3"/>
      <c r="Z609" s="3"/>
      <c r="AA609" s="3"/>
      <c r="AB609" s="3"/>
      <c r="AC609" s="3"/>
    </row>
    <row r="610" spans="1:29" x14ac:dyDescent="0.2">
      <c r="A610" s="3">
        <f t="shared" si="376"/>
        <v>26</v>
      </c>
      <c r="B610" s="3"/>
      <c r="C610" s="3"/>
      <c r="D610" s="3"/>
      <c r="E610" s="4"/>
      <c r="F610" s="4"/>
      <c r="G610" s="4"/>
      <c r="H610" s="2"/>
      <c r="I610" s="66"/>
      <c r="J610" s="66"/>
      <c r="K610" s="12"/>
      <c r="L610" s="12"/>
      <c r="M610" s="9"/>
      <c r="N610" s="12"/>
      <c r="O610" s="12"/>
      <c r="P610" s="9">
        <f t="shared" si="384"/>
        <v>0</v>
      </c>
      <c r="Q610" s="12"/>
      <c r="R610" s="12"/>
      <c r="S610" s="12"/>
      <c r="T610" s="12"/>
      <c r="U610" s="12"/>
      <c r="V610" s="12"/>
      <c r="W610" s="27" t="str">
        <f t="shared" si="375"/>
        <v>OK</v>
      </c>
      <c r="X610" s="3"/>
      <c r="Y610" s="3"/>
      <c r="Z610" s="3"/>
      <c r="AA610" s="3"/>
      <c r="AB610" s="3"/>
      <c r="AC610" s="3"/>
    </row>
    <row r="611" spans="1:29" x14ac:dyDescent="0.2">
      <c r="A611" s="3">
        <f t="shared" si="376"/>
        <v>27</v>
      </c>
      <c r="B611" s="3" t="s">
        <v>593</v>
      </c>
      <c r="C611" s="3"/>
      <c r="D611" s="78"/>
      <c r="E611" s="4"/>
      <c r="F611" s="2"/>
      <c r="G611" s="2"/>
      <c r="H611" s="2">
        <f t="shared" ref="H611:V611" si="391">SUM(H605:H610)</f>
        <v>2595480.6798721594</v>
      </c>
      <c r="I611" s="2">
        <f t="shared" si="391"/>
        <v>0</v>
      </c>
      <c r="J611" s="66">
        <f t="shared" ref="J611" ca="1" si="392">SUM(K611:V611)-M611-P611</f>
        <v>2595480.6798721598</v>
      </c>
      <c r="K611" s="2">
        <f t="shared" ca="1" si="391"/>
        <v>1216783.0217988759</v>
      </c>
      <c r="L611" s="2">
        <f t="shared" ca="1" si="391"/>
        <v>231198.09670026921</v>
      </c>
      <c r="M611" s="9">
        <f ca="1">SUM(N611:O611)</f>
        <v>917850.16383262642</v>
      </c>
      <c r="N611" s="2">
        <f t="shared" ca="1" si="391"/>
        <v>17908.024505198078</v>
      </c>
      <c r="O611" s="2">
        <f t="shared" ca="1" si="391"/>
        <v>899942.1393274283</v>
      </c>
      <c r="P611" s="9">
        <f t="shared" ca="1" si="384"/>
        <v>123439.3202296393</v>
      </c>
      <c r="Q611" s="2">
        <f t="shared" ca="1" si="391"/>
        <v>53310.16036917342</v>
      </c>
      <c r="R611" s="2">
        <f t="shared" ca="1" si="391"/>
        <v>62513.373262607973</v>
      </c>
      <c r="S611" s="2">
        <f ca="1">SUM(S605:S610)</f>
        <v>7615.7865978579011</v>
      </c>
      <c r="T611" s="2">
        <f t="shared" ca="1" si="391"/>
        <v>104049.9038186789</v>
      </c>
      <c r="U611" s="2">
        <f t="shared" ca="1" si="391"/>
        <v>0.46875314513506122</v>
      </c>
      <c r="V611" s="2">
        <f t="shared" ca="1" si="391"/>
        <v>2159.7047389247664</v>
      </c>
      <c r="W611" s="27">
        <f t="shared" ca="1" si="375"/>
        <v>4.6566128730773926E-10</v>
      </c>
      <c r="X611" s="3"/>
      <c r="Y611" s="3"/>
      <c r="Z611" s="3"/>
      <c r="AA611" s="3"/>
      <c r="AB611" s="3"/>
      <c r="AC611" s="3"/>
    </row>
    <row r="612" spans="1:29" x14ac:dyDescent="0.2">
      <c r="A612" s="3"/>
      <c r="B612" s="3"/>
      <c r="C612" s="3"/>
      <c r="D612" s="3"/>
      <c r="E612" s="4"/>
      <c r="F612" s="4"/>
      <c r="G612" s="4"/>
      <c r="H612" s="2"/>
      <c r="I612" s="8"/>
      <c r="J612" s="8"/>
      <c r="K612" s="10"/>
      <c r="L612" s="10"/>
      <c r="M612" s="3"/>
      <c r="N612" s="3"/>
      <c r="O612" s="3"/>
      <c r="P612" s="9">
        <f t="shared" si="384"/>
        <v>0</v>
      </c>
      <c r="Q612" s="3"/>
      <c r="R612" s="3"/>
      <c r="S612" s="3"/>
      <c r="T612" s="3"/>
      <c r="U612" s="3"/>
      <c r="V612" s="3"/>
      <c r="W612" s="27" t="str">
        <f t="shared" si="375"/>
        <v>OK</v>
      </c>
      <c r="X612" s="3"/>
      <c r="Y612" s="3"/>
      <c r="Z612" s="3"/>
      <c r="AA612" s="3"/>
      <c r="AB612" s="3"/>
      <c r="AC612" s="3"/>
    </row>
    <row r="613" spans="1:29" x14ac:dyDescent="0.2">
      <c r="A613" s="3"/>
      <c r="B613" s="3"/>
      <c r="C613" s="3"/>
      <c r="D613" s="3"/>
      <c r="E613" s="4"/>
      <c r="F613" s="4"/>
      <c r="G613" s="4"/>
      <c r="H613" s="5"/>
      <c r="I613" s="5"/>
      <c r="J613" s="5"/>
      <c r="K613" s="5"/>
      <c r="L613" s="5"/>
      <c r="M613" s="3"/>
      <c r="N613" s="3"/>
      <c r="O613" s="3"/>
      <c r="P613" s="9">
        <f t="shared" si="384"/>
        <v>0</v>
      </c>
      <c r="Q613" s="3"/>
      <c r="R613" s="3"/>
      <c r="S613" s="3"/>
      <c r="T613" s="3"/>
      <c r="U613" s="3"/>
      <c r="V613" s="3"/>
      <c r="W613" s="27" t="str">
        <f t="shared" si="375"/>
        <v>OK</v>
      </c>
      <c r="X613" s="3"/>
      <c r="Y613" s="3"/>
      <c r="Z613" s="3"/>
      <c r="AA613" s="3"/>
      <c r="AB613" s="3"/>
      <c r="AC613" s="3"/>
    </row>
    <row r="614" spans="1:29" x14ac:dyDescent="0.2">
      <c r="A614" s="3"/>
      <c r="B614" s="3"/>
      <c r="C614" s="3"/>
      <c r="D614" s="3"/>
      <c r="E614" s="4"/>
      <c r="F614" s="4"/>
      <c r="G614" s="4"/>
      <c r="H614" s="5"/>
      <c r="I614" s="5"/>
      <c r="J614" s="5"/>
      <c r="K614" s="5"/>
      <c r="L614" s="5"/>
      <c r="M614" s="3"/>
      <c r="N614" s="3"/>
      <c r="O614" s="3"/>
      <c r="P614" s="9">
        <f t="shared" si="384"/>
        <v>0</v>
      </c>
      <c r="Q614" s="11"/>
      <c r="R614" s="11"/>
      <c r="S614" s="11"/>
      <c r="T614" s="11"/>
      <c r="U614" s="3"/>
      <c r="V614" s="3"/>
      <c r="W614" s="27" t="str">
        <f t="shared" si="375"/>
        <v>OK</v>
      </c>
      <c r="X614" s="3"/>
      <c r="Y614" s="3"/>
      <c r="Z614" s="3"/>
      <c r="AA614" s="3"/>
      <c r="AB614" s="3"/>
      <c r="AC614" s="3"/>
    </row>
    <row r="615" spans="1:29" x14ac:dyDescent="0.2">
      <c r="A615" s="3"/>
      <c r="B615" s="3"/>
      <c r="C615" s="3"/>
      <c r="D615" s="3"/>
      <c r="E615" s="4"/>
      <c r="F615" s="4"/>
      <c r="G615" s="4"/>
      <c r="H615" s="5"/>
      <c r="I615" s="5"/>
      <c r="J615" s="5"/>
      <c r="K615" s="5"/>
      <c r="L615" s="5"/>
      <c r="M615" s="3"/>
      <c r="N615" s="3"/>
      <c r="O615" s="3"/>
      <c r="P615" s="9">
        <f t="shared" si="384"/>
        <v>0</v>
      </c>
      <c r="Q615" s="3"/>
      <c r="R615" s="3"/>
      <c r="S615" s="3"/>
      <c r="T615" s="3"/>
      <c r="U615" s="3"/>
      <c r="V615" s="3"/>
      <c r="W615" s="27" t="str">
        <f t="shared" si="375"/>
        <v>OK</v>
      </c>
      <c r="X615" s="3"/>
      <c r="Y615" s="3"/>
      <c r="Z615" s="3"/>
      <c r="AA615" s="3"/>
      <c r="AB615" s="3"/>
      <c r="AC615" s="3"/>
    </row>
    <row r="616" spans="1:29" x14ac:dyDescent="0.2">
      <c r="A616" s="3"/>
      <c r="B616" s="3"/>
      <c r="C616" s="3"/>
      <c r="D616" s="3"/>
      <c r="E616" s="4"/>
      <c r="F616" s="4"/>
      <c r="G616" s="4"/>
      <c r="H616" s="8"/>
      <c r="I616" s="8"/>
      <c r="J616" s="8"/>
      <c r="K616" s="10"/>
      <c r="L616" s="10"/>
      <c r="M616" s="3"/>
      <c r="N616" s="3"/>
      <c r="O616" s="3"/>
      <c r="P616" s="9">
        <f t="shared" si="384"/>
        <v>0</v>
      </c>
      <c r="Q616" s="3"/>
      <c r="R616" s="3"/>
      <c r="S616" s="3"/>
      <c r="T616" s="3"/>
      <c r="U616" s="3"/>
      <c r="V616" s="3"/>
      <c r="W616" s="27" t="str">
        <f t="shared" si="375"/>
        <v>OK</v>
      </c>
      <c r="X616" s="3"/>
      <c r="Y616" s="3"/>
      <c r="Z616" s="3"/>
      <c r="AA616" s="3"/>
      <c r="AB616" s="3"/>
      <c r="AC616" s="3"/>
    </row>
    <row r="617" spans="1:29" x14ac:dyDescent="0.2">
      <c r="A617" s="3"/>
      <c r="B617" s="3"/>
      <c r="C617" s="3"/>
      <c r="D617" s="3"/>
      <c r="E617" s="4"/>
      <c r="F617" s="4"/>
      <c r="G617" s="4"/>
      <c r="H617" s="8"/>
      <c r="I617" s="8"/>
      <c r="J617" s="8"/>
      <c r="K617" s="10"/>
      <c r="L617" s="10"/>
      <c r="M617" s="3"/>
      <c r="N617" s="3"/>
      <c r="O617" s="3"/>
      <c r="P617" s="9">
        <f t="shared" si="384"/>
        <v>0</v>
      </c>
      <c r="Q617" s="3"/>
      <c r="R617" s="3"/>
      <c r="S617" s="3"/>
      <c r="T617" s="3"/>
      <c r="U617" s="3"/>
      <c r="V617" s="3"/>
      <c r="W617" s="27" t="str">
        <f t="shared" si="375"/>
        <v>OK</v>
      </c>
      <c r="X617" s="3"/>
      <c r="Y617" s="3"/>
      <c r="Z617" s="3"/>
      <c r="AA617" s="3"/>
      <c r="AB617" s="3"/>
      <c r="AC617" s="3"/>
    </row>
    <row r="618" spans="1:29" x14ac:dyDescent="0.2">
      <c r="A618" s="3"/>
      <c r="B618" s="3"/>
      <c r="C618" s="3"/>
      <c r="D618" s="3"/>
      <c r="E618" s="4"/>
      <c r="F618" s="4"/>
      <c r="G618" s="4"/>
      <c r="H618" s="8"/>
      <c r="I618" s="8"/>
      <c r="J618" s="8"/>
      <c r="K618" s="10"/>
      <c r="L618" s="10"/>
      <c r="M618" s="3"/>
      <c r="N618" s="3"/>
      <c r="O618" s="3"/>
      <c r="P618" s="9">
        <f t="shared" si="384"/>
        <v>0</v>
      </c>
      <c r="Q618" s="3"/>
      <c r="R618" s="3"/>
      <c r="S618" s="3"/>
      <c r="T618" s="3"/>
      <c r="U618" s="3"/>
      <c r="V618" s="3"/>
      <c r="W618" s="27" t="str">
        <f t="shared" si="375"/>
        <v>OK</v>
      </c>
      <c r="X618" s="3"/>
      <c r="Y618" s="3"/>
      <c r="Z618" s="3"/>
      <c r="AA618" s="3"/>
      <c r="AB618" s="3"/>
      <c r="AC618" s="3"/>
    </row>
    <row r="619" spans="1:29" x14ac:dyDescent="0.2">
      <c r="A619" s="3"/>
      <c r="B619" s="7" t="s">
        <v>297</v>
      </c>
      <c r="C619" s="3"/>
      <c r="D619" s="3"/>
      <c r="E619" s="4"/>
      <c r="F619" s="4"/>
      <c r="G619" s="4"/>
      <c r="H619" s="8"/>
      <c r="I619" s="8"/>
      <c r="J619" s="8"/>
      <c r="K619" s="10"/>
      <c r="L619" s="10"/>
      <c r="M619" s="3"/>
      <c r="N619" s="3"/>
      <c r="O619" s="3"/>
      <c r="P619" s="9">
        <f t="shared" si="384"/>
        <v>0</v>
      </c>
      <c r="Q619" s="3"/>
      <c r="R619" s="3"/>
      <c r="S619" s="3"/>
      <c r="T619" s="3"/>
      <c r="U619" s="3"/>
      <c r="V619" s="3"/>
      <c r="W619" s="27" t="str">
        <f t="shared" si="375"/>
        <v>OK</v>
      </c>
      <c r="X619" s="3"/>
      <c r="Y619" s="3"/>
      <c r="Z619" s="3"/>
      <c r="AA619" s="3"/>
      <c r="AB619" s="3"/>
      <c r="AC619" s="3"/>
    </row>
    <row r="620" spans="1:29" x14ac:dyDescent="0.2">
      <c r="A620" s="3"/>
      <c r="B620" s="3"/>
      <c r="C620" s="3"/>
      <c r="D620" s="3"/>
      <c r="E620" s="4"/>
      <c r="F620" s="4"/>
      <c r="G620" s="4"/>
      <c r="H620" s="8"/>
      <c r="I620" s="8"/>
      <c r="J620" s="8"/>
      <c r="K620" s="10"/>
      <c r="L620" s="10"/>
      <c r="M620" s="3"/>
      <c r="N620" s="3"/>
      <c r="O620" s="3"/>
      <c r="P620" s="9">
        <f t="shared" si="384"/>
        <v>0</v>
      </c>
      <c r="Q620" s="3"/>
      <c r="R620" s="3"/>
      <c r="S620" s="3"/>
      <c r="T620" s="3"/>
      <c r="U620" s="3"/>
      <c r="V620" s="3"/>
      <c r="W620" s="27" t="str">
        <f t="shared" si="375"/>
        <v>OK</v>
      </c>
      <c r="X620" s="3"/>
      <c r="Y620" s="3"/>
      <c r="Z620" s="3"/>
      <c r="AA620" s="3"/>
      <c r="AB620" s="3"/>
      <c r="AC620" s="3"/>
    </row>
    <row r="621" spans="1:29" x14ac:dyDescent="0.2">
      <c r="A621" s="3">
        <v>1</v>
      </c>
      <c r="B621" s="3" t="s">
        <v>298</v>
      </c>
      <c r="C621" s="3"/>
      <c r="D621" s="3"/>
      <c r="E621" s="4"/>
      <c r="F621" s="4"/>
      <c r="G621" s="4"/>
      <c r="H621" s="8"/>
      <c r="I621" s="8"/>
      <c r="J621" s="8"/>
      <c r="K621" s="10"/>
      <c r="L621" s="10"/>
      <c r="M621" s="3"/>
      <c r="N621" s="3"/>
      <c r="O621" s="3"/>
      <c r="P621" s="9">
        <f t="shared" si="384"/>
        <v>0</v>
      </c>
      <c r="Q621" s="3"/>
      <c r="R621" s="3"/>
      <c r="S621" s="3"/>
      <c r="T621" s="3"/>
      <c r="U621" s="3"/>
      <c r="V621" s="3"/>
      <c r="W621" s="27" t="str">
        <f t="shared" si="375"/>
        <v>OK</v>
      </c>
      <c r="X621" s="3"/>
      <c r="Y621" s="3"/>
      <c r="Z621" s="3"/>
      <c r="AA621" s="3"/>
      <c r="AB621" s="3"/>
      <c r="AC621" s="3"/>
    </row>
    <row r="622" spans="1:29" x14ac:dyDescent="0.2">
      <c r="A622" s="3">
        <f>+A621+1</f>
        <v>2</v>
      </c>
      <c r="B622" s="3"/>
      <c r="C622" s="3"/>
      <c r="D622" s="3"/>
      <c r="E622" s="4"/>
      <c r="F622" s="4"/>
      <c r="G622" s="4"/>
      <c r="H622" s="8"/>
      <c r="I622" s="8"/>
      <c r="J622" s="8"/>
      <c r="K622" s="10"/>
      <c r="L622" s="10"/>
      <c r="M622" s="3"/>
      <c r="N622" s="3"/>
      <c r="O622" s="3"/>
      <c r="P622" s="9">
        <f t="shared" si="384"/>
        <v>0</v>
      </c>
      <c r="Q622" s="3"/>
      <c r="R622" s="3"/>
      <c r="S622" s="3"/>
      <c r="T622" s="3"/>
      <c r="U622" s="3"/>
      <c r="V622" s="3"/>
      <c r="W622" s="27" t="str">
        <f t="shared" si="375"/>
        <v>OK</v>
      </c>
      <c r="X622" s="3"/>
      <c r="Y622" s="3"/>
      <c r="Z622" s="3"/>
      <c r="AA622" s="3"/>
      <c r="AB622" s="3"/>
      <c r="AC622" s="3"/>
    </row>
    <row r="623" spans="1:29" x14ac:dyDescent="0.2">
      <c r="A623" s="3">
        <f t="shared" ref="A623:A647" si="393">+A622+1</f>
        <v>3</v>
      </c>
      <c r="B623" s="3"/>
      <c r="C623" s="3" t="s">
        <v>20</v>
      </c>
      <c r="D623" s="3"/>
      <c r="E623" s="4" t="s">
        <v>591</v>
      </c>
      <c r="F623" s="11"/>
      <c r="G623" s="11"/>
      <c r="H623" s="8">
        <f ca="1">H59</f>
        <v>8412137.0244183913</v>
      </c>
      <c r="I623" s="8">
        <f t="shared" ref="I623:V623" si="394">I59</f>
        <v>0</v>
      </c>
      <c r="J623" s="8">
        <f t="shared" ca="1" si="394"/>
        <v>8412137.0244183913</v>
      </c>
      <c r="K623" s="8">
        <f t="shared" ca="1" si="394"/>
        <v>3943719.4642096478</v>
      </c>
      <c r="L623" s="8">
        <f t="shared" ca="1" si="394"/>
        <v>749301.24059904006</v>
      </c>
      <c r="M623" s="8">
        <f t="shared" ca="1" si="394"/>
        <v>2974794.7089528423</v>
      </c>
      <c r="N623" s="8">
        <f t="shared" ca="1" si="394"/>
        <v>58054.618411839576</v>
      </c>
      <c r="O623" s="8">
        <f t="shared" ca="1" si="394"/>
        <v>2916740.0905410028</v>
      </c>
      <c r="P623" s="9">
        <f t="shared" ca="1" si="384"/>
        <v>400097.80706002517</v>
      </c>
      <c r="Q623" s="8">
        <f t="shared" ca="1" si="394"/>
        <v>172807.46085096436</v>
      </c>
      <c r="R623" s="8">
        <f t="shared" ca="1" si="394"/>
        <v>202602.93150905159</v>
      </c>
      <c r="S623" s="8">
        <f ca="1">S59</f>
        <v>24687.414700009242</v>
      </c>
      <c r="T623" s="8">
        <f t="shared" ca="1" si="394"/>
        <v>337216.82157987909</v>
      </c>
      <c r="U623" s="8">
        <f t="shared" ca="1" si="394"/>
        <v>6.0211947940146642</v>
      </c>
      <c r="V623" s="8">
        <f t="shared" ca="1" si="394"/>
        <v>7000.9608221628641</v>
      </c>
      <c r="W623" s="27" t="str">
        <f t="shared" ca="1" si="375"/>
        <v>OK</v>
      </c>
      <c r="X623" s="3"/>
      <c r="Y623" s="3"/>
      <c r="Z623" s="3"/>
      <c r="AA623" s="3"/>
      <c r="AB623" s="3"/>
      <c r="AC623" s="3"/>
    </row>
    <row r="624" spans="1:29" x14ac:dyDescent="0.2">
      <c r="A624" s="3">
        <f t="shared" si="393"/>
        <v>4</v>
      </c>
      <c r="B624" s="3"/>
      <c r="C624" s="3"/>
      <c r="D624" s="3"/>
      <c r="E624" s="4"/>
      <c r="F624" s="4"/>
      <c r="G624" s="4"/>
      <c r="H624" s="8"/>
      <c r="I624" s="8"/>
      <c r="J624" s="8"/>
      <c r="K624" s="10"/>
      <c r="L624" s="10"/>
      <c r="M624" s="3"/>
      <c r="N624" s="3"/>
      <c r="O624" s="3"/>
      <c r="P624" s="9">
        <f t="shared" si="384"/>
        <v>0</v>
      </c>
      <c r="Q624" s="3"/>
      <c r="R624" s="3"/>
      <c r="S624" s="3"/>
      <c r="T624" s="3"/>
      <c r="U624" s="3"/>
      <c r="V624" s="3"/>
      <c r="W624" s="27" t="str">
        <f t="shared" si="375"/>
        <v>OK</v>
      </c>
      <c r="X624" s="3"/>
      <c r="Y624" s="3"/>
      <c r="Z624" s="3"/>
      <c r="AA624" s="3"/>
      <c r="AB624" s="3"/>
      <c r="AC624" s="3"/>
    </row>
    <row r="625" spans="1:29" x14ac:dyDescent="0.2">
      <c r="A625" s="3">
        <f t="shared" si="393"/>
        <v>5</v>
      </c>
      <c r="B625" s="3"/>
      <c r="C625" s="3" t="s">
        <v>299</v>
      </c>
      <c r="D625" s="78"/>
      <c r="E625" s="4"/>
      <c r="F625" s="4"/>
      <c r="G625" s="4"/>
      <c r="H625" s="8"/>
      <c r="I625" s="8"/>
      <c r="J625" s="8"/>
      <c r="K625" s="10"/>
      <c r="L625" s="10"/>
      <c r="M625" s="3"/>
      <c r="N625" s="3"/>
      <c r="O625" s="3"/>
      <c r="P625" s="9">
        <f t="shared" si="384"/>
        <v>0</v>
      </c>
      <c r="Q625" s="3"/>
      <c r="R625" s="3"/>
      <c r="S625" s="3"/>
      <c r="T625" s="3"/>
      <c r="U625" s="3"/>
      <c r="V625" s="3"/>
      <c r="W625" s="27" t="str">
        <f t="shared" si="375"/>
        <v>OK</v>
      </c>
      <c r="X625" s="3"/>
      <c r="Y625" s="3"/>
      <c r="Z625" s="3"/>
      <c r="AA625" s="3"/>
      <c r="AB625" s="3"/>
      <c r="AC625" s="3"/>
    </row>
    <row r="626" spans="1:29" x14ac:dyDescent="0.2">
      <c r="A626" s="3">
        <f t="shared" si="393"/>
        <v>6</v>
      </c>
      <c r="B626" s="3"/>
      <c r="C626" s="3" t="s">
        <v>552</v>
      </c>
      <c r="D626" s="78" t="s">
        <v>312</v>
      </c>
      <c r="E626" s="4" t="s">
        <v>591</v>
      </c>
      <c r="F626" s="11"/>
      <c r="G626" s="11"/>
      <c r="H626" s="2">
        <f>'II-I TOTAL COMPANY'!L626</f>
        <v>-2820067.6764320876</v>
      </c>
      <c r="I626" s="66">
        <v>0</v>
      </c>
      <c r="J626" s="66">
        <f ca="1">SUM(K626:V626)-M626-P626</f>
        <v>-2820067.6764320866</v>
      </c>
      <c r="K626" s="66">
        <f t="shared" ref="K626:L630" ca="1" si="395">VLOOKUP($D626,$E$741:$V$815,K$1,FALSE)*$H626</f>
        <v>-1322084.4778978899</v>
      </c>
      <c r="L626" s="66">
        <f t="shared" ca="1" si="395"/>
        <v>-251194.22120562912</v>
      </c>
      <c r="M626" s="9">
        <f ca="1">SUM(N626:O626)</f>
        <v>-997264.11711881566</v>
      </c>
      <c r="N626" s="66">
        <f t="shared" ref="N626:O630" ca="1" si="396">VLOOKUP($D626,$E$741:$V$815,N$1,FALSE)*$H626</f>
        <v>-19462.111990757454</v>
      </c>
      <c r="O626" s="66">
        <f t="shared" ca="1" si="396"/>
        <v>-977802.00512805826</v>
      </c>
      <c r="P626" s="9">
        <f t="shared" ca="1" si="384"/>
        <v>-134127.97364405138</v>
      </c>
      <c r="Q626" s="12">
        <f t="shared" ref="Q626:V630" ca="1" si="397">VLOOKUP($D626,$E$741:$V$815,Q$1,FALSE)*$H626</f>
        <v>-57931.621082432561</v>
      </c>
      <c r="R626" s="12">
        <f t="shared" ca="1" si="397"/>
        <v>-67920.193957915631</v>
      </c>
      <c r="S626" s="12">
        <f t="shared" ca="1" si="397"/>
        <v>-8276.1586037031902</v>
      </c>
      <c r="T626" s="12">
        <f t="shared" ca="1" si="397"/>
        <v>-113047.88019098311</v>
      </c>
      <c r="U626" s="12">
        <f t="shared" ca="1" si="397"/>
        <v>-2.0185330746292629</v>
      </c>
      <c r="V626" s="12">
        <f t="shared" ca="1" si="397"/>
        <v>-2346.9878416434772</v>
      </c>
      <c r="W626" s="27">
        <f t="shared" ca="1" si="375"/>
        <v>4.6566128730773926E-10</v>
      </c>
      <c r="X626" s="3"/>
      <c r="Y626" s="3"/>
      <c r="Z626" s="3"/>
      <c r="AA626" s="3"/>
      <c r="AB626" s="3"/>
      <c r="AC626" s="3"/>
    </row>
    <row r="627" spans="1:29" x14ac:dyDescent="0.2">
      <c r="A627" s="3">
        <f t="shared" si="393"/>
        <v>7</v>
      </c>
      <c r="B627" s="3"/>
      <c r="C627" s="3" t="s">
        <v>311</v>
      </c>
      <c r="D627" s="78" t="s">
        <v>340</v>
      </c>
      <c r="E627" s="4" t="s">
        <v>591</v>
      </c>
      <c r="F627" s="11"/>
      <c r="G627" s="11"/>
      <c r="H627" s="2">
        <f>'II-I TOTAL COMPANY'!L627</f>
        <v>-7247.3714227330793</v>
      </c>
      <c r="I627" s="66">
        <v>0</v>
      </c>
      <c r="J627" s="66">
        <f t="shared" ref="J627:J636" ca="1" si="398">SUM(K627:V627)-M627-P627</f>
        <v>-7247.3714227330802</v>
      </c>
      <c r="K627" s="66">
        <f t="shared" ca="1" si="395"/>
        <v>-3397.6168128500917</v>
      </c>
      <c r="L627" s="66">
        <f t="shared" ca="1" si="395"/>
        <v>-645.58359740835033</v>
      </c>
      <c r="M627" s="9">
        <f ca="1">SUM(N627:O627)</f>
        <v>-2562.9234297070593</v>
      </c>
      <c r="N627" s="66">
        <f t="shared" ca="1" si="396"/>
        <v>-50.000743081150752</v>
      </c>
      <c r="O627" s="66">
        <f t="shared" ca="1" si="396"/>
        <v>-2512.9226866259087</v>
      </c>
      <c r="P627" s="9">
        <f t="shared" ca="1" si="384"/>
        <v>-344.67366559783835</v>
      </c>
      <c r="Q627" s="12">
        <f t="shared" ca="1" si="397"/>
        <v>-148.85078192024511</v>
      </c>
      <c r="R627" s="12">
        <f t="shared" ca="1" si="397"/>
        <v>-174.55848626041538</v>
      </c>
      <c r="S627" s="12">
        <f t="shared" ca="1" si="397"/>
        <v>-21.264397417177872</v>
      </c>
      <c r="T627" s="12">
        <f t="shared" ca="1" si="397"/>
        <v>-290.54371491710685</v>
      </c>
      <c r="U627" s="12">
        <f t="shared" ca="1" si="397"/>
        <v>0</v>
      </c>
      <c r="V627" s="12">
        <f t="shared" ca="1" si="397"/>
        <v>-6.0302022526325354</v>
      </c>
      <c r="W627" s="27" t="str">
        <f t="shared" ca="1" si="375"/>
        <v>OK</v>
      </c>
      <c r="X627" s="3"/>
      <c r="Y627" s="3"/>
      <c r="Z627" s="3"/>
      <c r="AA627" s="3"/>
      <c r="AB627" s="3"/>
      <c r="AC627" s="3"/>
    </row>
    <row r="628" spans="1:29" x14ac:dyDescent="0.2">
      <c r="A628" s="3">
        <f t="shared" si="393"/>
        <v>8</v>
      </c>
      <c r="B628" s="3"/>
      <c r="C628" s="3" t="s">
        <v>537</v>
      </c>
      <c r="D628" s="78" t="s">
        <v>331</v>
      </c>
      <c r="E628" s="4" t="s">
        <v>591</v>
      </c>
      <c r="F628" s="11"/>
      <c r="G628" s="11"/>
      <c r="H628" s="2">
        <f>'II-I TOTAL COMPANY'!L628</f>
        <v>-76091.6555196275</v>
      </c>
      <c r="I628" s="66">
        <v>0</v>
      </c>
      <c r="J628" s="66">
        <f t="shared" si="398"/>
        <v>-76091.655519627486</v>
      </c>
      <c r="K628" s="66">
        <f t="shared" si="395"/>
        <v>-35672.283512356364</v>
      </c>
      <c r="L628" s="66">
        <f t="shared" si="395"/>
        <v>-6778.1160696456964</v>
      </c>
      <c r="M628" s="9">
        <f>SUM(N628:O628)</f>
        <v>-26908.66458489143</v>
      </c>
      <c r="N628" s="66">
        <f t="shared" si="396"/>
        <v>-524.96817071113253</v>
      </c>
      <c r="O628" s="66">
        <f t="shared" si="396"/>
        <v>-26383.696414180296</v>
      </c>
      <c r="P628" s="9">
        <f t="shared" si="384"/>
        <v>-3618.800293178233</v>
      </c>
      <c r="Q628" s="12">
        <f t="shared" si="397"/>
        <v>-1562.8152279010967</v>
      </c>
      <c r="R628" s="12">
        <f t="shared" si="397"/>
        <v>-1832.7257470055506</v>
      </c>
      <c r="S628" s="12">
        <f t="shared" si="397"/>
        <v>-223.25931827158524</v>
      </c>
      <c r="T628" s="12">
        <f t="shared" si="397"/>
        <v>-3050.4787155683216</v>
      </c>
      <c r="U628" s="12">
        <f t="shared" si="397"/>
        <v>0</v>
      </c>
      <c r="V628" s="12">
        <f t="shared" si="397"/>
        <v>-63.312343987464487</v>
      </c>
      <c r="W628" s="27" t="str">
        <f t="shared" si="375"/>
        <v>OK</v>
      </c>
      <c r="X628" s="3"/>
      <c r="Y628" s="3"/>
      <c r="Z628" s="3"/>
      <c r="AA628" s="3"/>
      <c r="AB628" s="3"/>
      <c r="AC628" s="3"/>
    </row>
    <row r="629" spans="1:29" x14ac:dyDescent="0.2">
      <c r="A629" s="3">
        <f t="shared" si="393"/>
        <v>9</v>
      </c>
      <c r="B629" s="3"/>
      <c r="C629" s="3" t="s">
        <v>808</v>
      </c>
      <c r="D629" s="78" t="s">
        <v>312</v>
      </c>
      <c r="E629" s="4" t="s">
        <v>591</v>
      </c>
      <c r="F629" s="11"/>
      <c r="G629" s="11"/>
      <c r="H629" s="2">
        <f>'II-I TOTAL COMPANY'!L629</f>
        <v>0</v>
      </c>
      <c r="I629" s="66">
        <v>0</v>
      </c>
      <c r="J629" s="66">
        <f t="shared" ca="1" si="398"/>
        <v>0</v>
      </c>
      <c r="K629" s="66">
        <f t="shared" ca="1" si="395"/>
        <v>0</v>
      </c>
      <c r="L629" s="66">
        <f t="shared" ca="1" si="395"/>
        <v>0</v>
      </c>
      <c r="M629" s="9">
        <f ca="1">SUM(N629:O629)</f>
        <v>0</v>
      </c>
      <c r="N629" s="66">
        <f t="shared" ca="1" si="396"/>
        <v>0</v>
      </c>
      <c r="O629" s="66">
        <f t="shared" ca="1" si="396"/>
        <v>0</v>
      </c>
      <c r="P629" s="9">
        <f t="shared" ca="1" si="384"/>
        <v>0</v>
      </c>
      <c r="Q629" s="12">
        <f t="shared" ca="1" si="397"/>
        <v>0</v>
      </c>
      <c r="R629" s="12">
        <f t="shared" ca="1" si="397"/>
        <v>0</v>
      </c>
      <c r="S629" s="12">
        <f t="shared" ca="1" si="397"/>
        <v>0</v>
      </c>
      <c r="T629" s="12">
        <f t="shared" ca="1" si="397"/>
        <v>0</v>
      </c>
      <c r="U629" s="12">
        <f t="shared" ca="1" si="397"/>
        <v>0</v>
      </c>
      <c r="V629" s="12">
        <f t="shared" ca="1" si="397"/>
        <v>0</v>
      </c>
      <c r="W629" s="27" t="str">
        <f t="shared" ca="1" si="375"/>
        <v>OK</v>
      </c>
      <c r="X629" s="3"/>
      <c r="Y629" s="3"/>
      <c r="Z629" s="3"/>
      <c r="AA629" s="3"/>
      <c r="AB629" s="3"/>
      <c r="AC629" s="3"/>
    </row>
    <row r="630" spans="1:29" x14ac:dyDescent="0.2">
      <c r="A630" s="3">
        <f t="shared" si="393"/>
        <v>10</v>
      </c>
      <c r="B630" s="3"/>
      <c r="C630" s="3" t="s">
        <v>811</v>
      </c>
      <c r="D630" s="3" t="s">
        <v>370</v>
      </c>
      <c r="E630" s="4" t="s">
        <v>591</v>
      </c>
      <c r="F630" s="10"/>
      <c r="G630" s="3"/>
      <c r="H630" s="2">
        <f>'II-I TOTAL COMPANY'!L630</f>
        <v>0</v>
      </c>
      <c r="I630" s="66">
        <v>0</v>
      </c>
      <c r="J630" s="66">
        <f t="shared" ca="1" si="398"/>
        <v>0</v>
      </c>
      <c r="K630" s="66">
        <f t="shared" ca="1" si="395"/>
        <v>0</v>
      </c>
      <c r="L630" s="66">
        <f t="shared" ca="1" si="395"/>
        <v>0</v>
      </c>
      <c r="M630" s="9">
        <f ca="1">SUM(N630:O630)</f>
        <v>0</v>
      </c>
      <c r="N630" s="66">
        <f t="shared" ca="1" si="396"/>
        <v>0</v>
      </c>
      <c r="O630" s="66">
        <f t="shared" ca="1" si="396"/>
        <v>0</v>
      </c>
      <c r="P630" s="9">
        <f t="shared" ca="1" si="384"/>
        <v>0</v>
      </c>
      <c r="Q630" s="12">
        <f t="shared" ca="1" si="397"/>
        <v>0</v>
      </c>
      <c r="R630" s="12">
        <f t="shared" ca="1" si="397"/>
        <v>0</v>
      </c>
      <c r="S630" s="12">
        <f t="shared" ca="1" si="397"/>
        <v>0</v>
      </c>
      <c r="T630" s="12">
        <f t="shared" ca="1" si="397"/>
        <v>0</v>
      </c>
      <c r="U630" s="12">
        <f t="shared" ca="1" si="397"/>
        <v>0</v>
      </c>
      <c r="V630" s="12">
        <f t="shared" ca="1" si="397"/>
        <v>0</v>
      </c>
      <c r="W630" s="27" t="str">
        <f t="shared" ca="1" si="375"/>
        <v>OK</v>
      </c>
      <c r="X630" s="3"/>
      <c r="Y630" s="3"/>
      <c r="Z630" s="3"/>
      <c r="AA630" s="3"/>
      <c r="AB630" s="3"/>
      <c r="AC630" s="3"/>
    </row>
    <row r="631" spans="1:29" x14ac:dyDescent="0.2">
      <c r="A631" s="3">
        <f t="shared" si="393"/>
        <v>11</v>
      </c>
      <c r="B631" s="3"/>
      <c r="C631" s="3" t="s">
        <v>553</v>
      </c>
      <c r="D631" s="3"/>
      <c r="E631" s="4"/>
      <c r="F631" s="4"/>
      <c r="G631" s="4"/>
      <c r="H631" s="2"/>
      <c r="I631" s="66"/>
      <c r="J631" s="66"/>
      <c r="K631" s="66"/>
      <c r="L631" s="66"/>
      <c r="M631" s="9"/>
      <c r="N631" s="66"/>
      <c r="O631" s="66"/>
      <c r="P631" s="9">
        <f t="shared" si="384"/>
        <v>0</v>
      </c>
      <c r="Q631" s="12"/>
      <c r="R631" s="12"/>
      <c r="S631" s="12"/>
      <c r="T631" s="12"/>
      <c r="U631" s="12"/>
      <c r="V631" s="12"/>
      <c r="W631" s="27" t="str">
        <f t="shared" si="375"/>
        <v>OK</v>
      </c>
      <c r="X631" s="3"/>
      <c r="Y631" s="3"/>
      <c r="Z631" s="3"/>
      <c r="AA631" s="3"/>
      <c r="AB631" s="3"/>
      <c r="AC631" s="3"/>
    </row>
    <row r="632" spans="1:29" x14ac:dyDescent="0.2">
      <c r="A632" s="3">
        <f t="shared" si="393"/>
        <v>12</v>
      </c>
      <c r="B632" s="3"/>
      <c r="C632" s="3" t="s">
        <v>554</v>
      </c>
      <c r="D632" s="78" t="s">
        <v>331</v>
      </c>
      <c r="E632" s="4" t="s">
        <v>591</v>
      </c>
      <c r="F632" s="11"/>
      <c r="G632" s="11"/>
      <c r="H632" s="2">
        <f>'II-I TOTAL COMPANY'!L632</f>
        <v>71272.952296429357</v>
      </c>
      <c r="I632" s="66">
        <v>0</v>
      </c>
      <c r="J632" s="66">
        <f t="shared" si="398"/>
        <v>71272.952296429357</v>
      </c>
      <c r="K632" s="66">
        <f>VLOOKUP($D632,$E$741:$V$815,K$1,FALSE)*$H632</f>
        <v>33413.242801966109</v>
      </c>
      <c r="L632" s="66">
        <f>VLOOKUP($D632,$E$741:$V$815,L$1,FALSE)*$H632</f>
        <v>6348.8741307107766</v>
      </c>
      <c r="M632" s="9">
        <f>SUM(N632:O632)</f>
        <v>25204.602978113435</v>
      </c>
      <c r="N632" s="66">
        <f>VLOOKUP($D632,$E$741:$V$815,N$1,FALSE)*$H632</f>
        <v>491.72318742082086</v>
      </c>
      <c r="O632" s="66">
        <f>VLOOKUP($D632,$E$741:$V$815,O$1,FALSE)*$H632</f>
        <v>24712.879790692616</v>
      </c>
      <c r="P632" s="9">
        <f t="shared" si="384"/>
        <v>3389.6302939481552</v>
      </c>
      <c r="Q632" s="12">
        <f t="shared" ref="Q632:V633" si="399">VLOOKUP($D632,$E$741:$V$815,Q$1,FALSE)*$H632</f>
        <v>1463.8458635927116</v>
      </c>
      <c r="R632" s="12">
        <f t="shared" si="399"/>
        <v>1716.663592699342</v>
      </c>
      <c r="S632" s="12">
        <f t="shared" si="399"/>
        <v>209.12083765610168</v>
      </c>
      <c r="T632" s="12">
        <f t="shared" si="399"/>
        <v>2857.2991675794519</v>
      </c>
      <c r="U632" s="12">
        <f t="shared" si="399"/>
        <v>0</v>
      </c>
      <c r="V632" s="12">
        <f t="shared" si="399"/>
        <v>59.302924111431828</v>
      </c>
      <c r="W632" s="27" t="str">
        <f t="shared" si="375"/>
        <v>OK</v>
      </c>
      <c r="X632" s="3"/>
      <c r="Y632" s="3"/>
      <c r="Z632" s="3"/>
      <c r="AA632" s="3"/>
      <c r="AB632" s="3"/>
      <c r="AC632" s="3"/>
    </row>
    <row r="633" spans="1:29" x14ac:dyDescent="0.2">
      <c r="A633" s="3">
        <f t="shared" si="393"/>
        <v>13</v>
      </c>
      <c r="B633" s="3"/>
      <c r="C633" s="3" t="s">
        <v>555</v>
      </c>
      <c r="D633" s="78" t="s">
        <v>323</v>
      </c>
      <c r="E633" s="4" t="s">
        <v>591</v>
      </c>
      <c r="F633" s="11"/>
      <c r="G633" s="11"/>
      <c r="H633" s="2">
        <f>'II-I TOTAL COMPANY'!L633</f>
        <v>69375.267079029727</v>
      </c>
      <c r="I633" s="66">
        <v>0</v>
      </c>
      <c r="J633" s="66">
        <f t="shared" ca="1" si="398"/>
        <v>69375.267079029742</v>
      </c>
      <c r="K633" s="66">
        <f ca="1">VLOOKUP($D633,$E$741:$V$815,K$1,FALSE)*$H633</f>
        <v>32523.595118130059</v>
      </c>
      <c r="L633" s="66">
        <f ca="1">VLOOKUP($D633,$E$741:$V$815,L$1,FALSE)*$H633</f>
        <v>6179.8315388609053</v>
      </c>
      <c r="M633" s="9">
        <f ca="1">SUM(N633:O633)</f>
        <v>24533.515266142949</v>
      </c>
      <c r="N633" s="66">
        <f ca="1">VLOOKUP($D633,$E$741:$V$815,N$1,FALSE)*$H633</f>
        <v>478.63076184063539</v>
      </c>
      <c r="O633" s="66">
        <f ca="1">VLOOKUP($D633,$E$741:$V$815,O$1,FALSE)*$H633</f>
        <v>24054.884504302314</v>
      </c>
      <c r="P633" s="9">
        <f t="shared" ca="1" si="384"/>
        <v>3299.3793488978881</v>
      </c>
      <c r="Q633" s="12">
        <f t="shared" ca="1" si="399"/>
        <v>1424.8700871391434</v>
      </c>
      <c r="R633" s="12">
        <f t="shared" ca="1" si="399"/>
        <v>1670.9563921674387</v>
      </c>
      <c r="S633" s="12">
        <f t="shared" ca="1" si="399"/>
        <v>203.55286959130618</v>
      </c>
      <c r="T633" s="12">
        <f t="shared" ca="1" si="399"/>
        <v>2781.2218589048766</v>
      </c>
      <c r="U633" s="12">
        <f t="shared" ca="1" si="399"/>
        <v>0</v>
      </c>
      <c r="V633" s="12">
        <f t="shared" ca="1" si="399"/>
        <v>57.723948093056997</v>
      </c>
      <c r="W633" s="27" t="str">
        <f t="shared" ca="1" si="375"/>
        <v>OK</v>
      </c>
      <c r="X633" s="3"/>
      <c r="Y633" s="3"/>
      <c r="Z633" s="3"/>
      <c r="AA633" s="3"/>
      <c r="AB633" s="3"/>
      <c r="AC633" s="3"/>
    </row>
    <row r="634" spans="1:29" x14ac:dyDescent="0.2">
      <c r="A634" s="3">
        <f t="shared" si="393"/>
        <v>14</v>
      </c>
      <c r="B634" s="3"/>
      <c r="C634" s="3" t="s">
        <v>670</v>
      </c>
      <c r="D634" s="3"/>
      <c r="E634" s="4"/>
      <c r="F634" s="4"/>
      <c r="G634" s="4"/>
      <c r="H634" s="2"/>
      <c r="I634" s="66">
        <v>0</v>
      </c>
      <c r="J634" s="66">
        <f t="shared" si="398"/>
        <v>0</v>
      </c>
      <c r="K634" s="31"/>
      <c r="L634" s="31"/>
      <c r="M634" s="31"/>
      <c r="N634" s="31"/>
      <c r="O634" s="31"/>
      <c r="P634" s="9">
        <f t="shared" si="384"/>
        <v>0</v>
      </c>
      <c r="Q634" s="3"/>
      <c r="R634" s="3"/>
      <c r="S634" s="3"/>
      <c r="T634" s="3"/>
      <c r="U634" s="3"/>
      <c r="V634" s="3"/>
      <c r="W634" s="27" t="str">
        <f t="shared" si="375"/>
        <v>OK</v>
      </c>
      <c r="X634" s="3"/>
      <c r="Y634" s="3"/>
      <c r="Z634" s="3"/>
      <c r="AA634" s="3"/>
      <c r="AB634" s="3"/>
      <c r="AC634" s="3"/>
    </row>
    <row r="635" spans="1:29" x14ac:dyDescent="0.2">
      <c r="A635" s="3">
        <f t="shared" si="393"/>
        <v>15</v>
      </c>
      <c r="B635" s="3"/>
      <c r="C635" s="3"/>
      <c r="D635" s="3"/>
      <c r="E635" s="4"/>
      <c r="F635" s="4"/>
      <c r="G635" s="4"/>
      <c r="H635" s="8"/>
      <c r="I635" s="8"/>
      <c r="J635" s="8"/>
      <c r="K635" s="31"/>
      <c r="L635" s="31"/>
      <c r="M635" s="31"/>
      <c r="N635" s="31"/>
      <c r="O635" s="31"/>
      <c r="P635" s="9">
        <f t="shared" si="384"/>
        <v>0</v>
      </c>
      <c r="Q635" s="3"/>
      <c r="R635" s="3"/>
      <c r="S635" s="3"/>
      <c r="T635" s="3"/>
      <c r="U635" s="3"/>
      <c r="V635" s="3"/>
      <c r="W635" s="27" t="str">
        <f t="shared" si="375"/>
        <v>OK</v>
      </c>
      <c r="X635" s="3"/>
      <c r="Y635" s="3"/>
      <c r="Z635" s="3"/>
      <c r="AA635" s="3"/>
      <c r="AB635" s="3"/>
      <c r="AC635" s="3"/>
    </row>
    <row r="636" spans="1:29" x14ac:dyDescent="0.2">
      <c r="A636" s="3">
        <f t="shared" si="393"/>
        <v>16</v>
      </c>
      <c r="B636" s="3"/>
      <c r="C636" s="3" t="s">
        <v>356</v>
      </c>
      <c r="D636" s="3"/>
      <c r="E636" s="4"/>
      <c r="F636" s="8"/>
      <c r="G636" s="8"/>
      <c r="H636" s="8">
        <f t="shared" ref="H636:V636" ca="1" si="400">SUM(H623:H634)</f>
        <v>5649378.5404194016</v>
      </c>
      <c r="I636" s="8">
        <v>0</v>
      </c>
      <c r="J636" s="66">
        <f t="shared" ca="1" si="398"/>
        <v>5649378.5404194025</v>
      </c>
      <c r="K636" s="8">
        <f t="shared" ca="1" si="400"/>
        <v>2648501.9239066481</v>
      </c>
      <c r="L636" s="8">
        <f t="shared" ca="1" si="400"/>
        <v>503212.02539592859</v>
      </c>
      <c r="M636" s="8">
        <f t="shared" ca="1" si="400"/>
        <v>1997797.1220636845</v>
      </c>
      <c r="N636" s="8">
        <f t="shared" ca="1" si="400"/>
        <v>38987.891456551297</v>
      </c>
      <c r="O636" s="8">
        <f t="shared" ca="1" si="400"/>
        <v>1958809.2306071334</v>
      </c>
      <c r="P636" s="9">
        <f t="shared" ca="1" si="384"/>
        <v>268695.36910004372</v>
      </c>
      <c r="Q636" s="8">
        <f t="shared" ca="1" si="400"/>
        <v>116052.8897094423</v>
      </c>
      <c r="R636" s="8">
        <f t="shared" ca="1" si="400"/>
        <v>136063.07330273674</v>
      </c>
      <c r="S636" s="8">
        <f ca="1">SUM(S623:S634)</f>
        <v>16579.4060878647</v>
      </c>
      <c r="T636" s="8">
        <f t="shared" ca="1" si="400"/>
        <v>226466.43998489485</v>
      </c>
      <c r="U636" s="8">
        <f t="shared" ca="1" si="400"/>
        <v>4.0026617193854008</v>
      </c>
      <c r="V636" s="8">
        <f t="shared" ca="1" si="400"/>
        <v>4701.6573064837785</v>
      </c>
      <c r="W636" s="27">
        <f t="shared" ca="1" si="375"/>
        <v>9.3132257461547852E-10</v>
      </c>
      <c r="X636" s="8"/>
      <c r="Y636" s="8"/>
      <c r="Z636" s="8"/>
      <c r="AA636" s="8"/>
      <c r="AB636" s="8"/>
      <c r="AC636" s="8"/>
    </row>
    <row r="637" spans="1:29" x14ac:dyDescent="0.2">
      <c r="A637" s="3">
        <f t="shared" si="393"/>
        <v>17</v>
      </c>
      <c r="B637" s="3"/>
      <c r="C637" s="3"/>
      <c r="D637" s="3"/>
      <c r="E637" s="4"/>
      <c r="F637" s="4"/>
      <c r="G637" s="4"/>
      <c r="H637" s="8"/>
      <c r="I637" s="8"/>
      <c r="J637" s="8"/>
      <c r="K637" s="31"/>
      <c r="L637" s="31"/>
      <c r="M637" s="31"/>
      <c r="N637" s="31"/>
      <c r="O637" s="31"/>
      <c r="P637" s="9">
        <f t="shared" si="384"/>
        <v>0</v>
      </c>
      <c r="Q637" s="3"/>
      <c r="R637" s="3"/>
      <c r="S637" s="3"/>
      <c r="T637" s="3"/>
      <c r="U637" s="3"/>
      <c r="V637" s="3"/>
      <c r="W637" s="27" t="str">
        <f t="shared" si="375"/>
        <v>OK</v>
      </c>
      <c r="X637" s="3"/>
      <c r="Y637" s="3"/>
      <c r="Z637" s="3"/>
      <c r="AA637" s="3"/>
      <c r="AB637" s="3"/>
      <c r="AC637" s="3"/>
    </row>
    <row r="638" spans="1:29" x14ac:dyDescent="0.2">
      <c r="A638" s="3">
        <f t="shared" si="393"/>
        <v>18</v>
      </c>
      <c r="B638" s="3"/>
      <c r="C638" s="3" t="s">
        <v>301</v>
      </c>
      <c r="D638" s="78">
        <f>(1/(1-0.21)*0.21)</f>
        <v>0.26582278481012656</v>
      </c>
      <c r="E638" s="4"/>
      <c r="F638" s="91"/>
      <c r="G638" s="91"/>
      <c r="H638" s="182">
        <f t="shared" ref="H638:V638" si="401">$D$638</f>
        <v>0.26582278481012656</v>
      </c>
      <c r="I638" s="182">
        <f t="shared" si="401"/>
        <v>0.26582278481012656</v>
      </c>
      <c r="J638" s="182">
        <f t="shared" si="401"/>
        <v>0.26582278481012656</v>
      </c>
      <c r="K638" s="182">
        <f t="shared" si="401"/>
        <v>0.26582278481012656</v>
      </c>
      <c r="L638" s="182">
        <f t="shared" si="401"/>
        <v>0.26582278481012656</v>
      </c>
      <c r="M638" s="182">
        <f t="shared" si="401"/>
        <v>0.26582278481012656</v>
      </c>
      <c r="N638" s="182">
        <f t="shared" si="401"/>
        <v>0.26582278481012656</v>
      </c>
      <c r="O638" s="182">
        <f t="shared" si="401"/>
        <v>0.26582278481012656</v>
      </c>
      <c r="P638" s="9">
        <f t="shared" si="384"/>
        <v>0.79746835443037967</v>
      </c>
      <c r="Q638" s="182">
        <f t="shared" si="401"/>
        <v>0.26582278481012656</v>
      </c>
      <c r="R638" s="182">
        <f t="shared" si="401"/>
        <v>0.26582278481012656</v>
      </c>
      <c r="S638" s="182">
        <f t="shared" si="401"/>
        <v>0.26582278481012656</v>
      </c>
      <c r="T638" s="182">
        <f t="shared" si="401"/>
        <v>0.26582278481012656</v>
      </c>
      <c r="U638" s="182">
        <f t="shared" si="401"/>
        <v>0.26582278481012656</v>
      </c>
      <c r="V638" s="182">
        <f t="shared" si="401"/>
        <v>0.26582278481012656</v>
      </c>
      <c r="W638" s="27"/>
      <c r="X638" s="3"/>
      <c r="Y638" s="3"/>
      <c r="Z638" s="3"/>
      <c r="AA638" s="3"/>
      <c r="AB638" s="3"/>
      <c r="AC638" s="3"/>
    </row>
    <row r="639" spans="1:29" x14ac:dyDescent="0.2">
      <c r="A639" s="3">
        <f t="shared" si="393"/>
        <v>19</v>
      </c>
      <c r="B639" s="3"/>
      <c r="C639" s="3"/>
      <c r="D639" s="3"/>
      <c r="E639" s="4"/>
      <c r="F639" s="4"/>
      <c r="G639" s="4"/>
      <c r="H639" s="8"/>
      <c r="I639" s="8"/>
      <c r="J639" s="8"/>
      <c r="K639" s="10"/>
      <c r="L639" s="10"/>
      <c r="M639" s="3"/>
      <c r="N639" s="3"/>
      <c r="O639" s="3"/>
      <c r="P639" s="9">
        <f t="shared" si="384"/>
        <v>0</v>
      </c>
      <c r="Q639" s="3"/>
      <c r="R639" s="3"/>
      <c r="S639" s="3"/>
      <c r="T639" s="3"/>
      <c r="U639" s="3"/>
      <c r="V639" s="3"/>
      <c r="W639" s="27" t="str">
        <f t="shared" ref="W639:W669" si="402">IF((+K639+L639+M639+P639+T639+U639+V639)-H639=0,"OK",(+K639+L639+M639+P639+T639+U639+V639)-H639)</f>
        <v>OK</v>
      </c>
      <c r="X639" s="3"/>
      <c r="Y639" s="3"/>
      <c r="Z639" s="3"/>
      <c r="AA639" s="3"/>
      <c r="AB639" s="3"/>
      <c r="AC639" s="3"/>
    </row>
    <row r="640" spans="1:29" x14ac:dyDescent="0.2">
      <c r="A640" s="3">
        <f t="shared" si="393"/>
        <v>20</v>
      </c>
      <c r="B640" s="3"/>
      <c r="C640" s="3" t="s">
        <v>302</v>
      </c>
      <c r="D640" s="3"/>
      <c r="E640" s="4"/>
      <c r="F640" s="8"/>
      <c r="G640" s="8"/>
      <c r="H640" s="8">
        <f t="shared" ref="H640:V640" ca="1" si="403">H636*H638</f>
        <v>1501733.5360608534</v>
      </c>
      <c r="I640" s="8">
        <v>0</v>
      </c>
      <c r="J640" s="66">
        <f t="shared" ref="J640" ca="1" si="404">SUM(K640:V640)-M640-P640</f>
        <v>1501733.5360608536</v>
      </c>
      <c r="K640" s="8">
        <f t="shared" ca="1" si="403"/>
        <v>704032.1569878431</v>
      </c>
      <c r="L640" s="8">
        <f ca="1">L636*L638</f>
        <v>133765.22194068987</v>
      </c>
      <c r="M640" s="9">
        <f ca="1">SUM(N640:O640)</f>
        <v>531059.99447262497</v>
      </c>
      <c r="N640" s="8">
        <f t="shared" ca="1" si="403"/>
        <v>10363.869880855407</v>
      </c>
      <c r="O640" s="8">
        <f t="shared" ca="1" si="403"/>
        <v>520696.12459176959</v>
      </c>
      <c r="P640" s="9">
        <f t="shared" ca="1" si="384"/>
        <v>71425.351279758455</v>
      </c>
      <c r="Q640" s="8">
        <f t="shared" ca="1" si="403"/>
        <v>30849.502327826431</v>
      </c>
      <c r="R640" s="8">
        <f t="shared" ca="1" si="403"/>
        <v>36168.665055157864</v>
      </c>
      <c r="S640" s="8">
        <f ca="1">S636*S638</f>
        <v>4407.1838967741605</v>
      </c>
      <c r="T640" s="8">
        <f t="shared" ca="1" si="403"/>
        <v>60199.939742820141</v>
      </c>
      <c r="U640" s="8">
        <f t="shared" ca="1" si="403"/>
        <v>1.0639986848999166</v>
      </c>
      <c r="V640" s="8">
        <f t="shared" ca="1" si="403"/>
        <v>1249.8076384323967</v>
      </c>
      <c r="W640" s="27">
        <f t="shared" ca="1" si="402"/>
        <v>4.6566128730773926E-10</v>
      </c>
      <c r="X640" s="3"/>
      <c r="Y640" s="3"/>
      <c r="Z640" s="3"/>
      <c r="AA640" s="3"/>
      <c r="AB640" s="3"/>
      <c r="AC640" s="3"/>
    </row>
    <row r="641" spans="1:29" x14ac:dyDescent="0.2">
      <c r="A641" s="3">
        <f t="shared" si="393"/>
        <v>21</v>
      </c>
      <c r="B641" s="3"/>
      <c r="C641" s="3"/>
      <c r="D641" s="3"/>
      <c r="E641" s="4"/>
      <c r="F641" s="4"/>
      <c r="G641" s="4"/>
      <c r="H641" s="8"/>
      <c r="I641" s="8"/>
      <c r="J641" s="8"/>
      <c r="K641" s="10"/>
      <c r="L641" s="10"/>
      <c r="M641" s="3"/>
      <c r="N641" s="3"/>
      <c r="O641" s="3"/>
      <c r="P641" s="9">
        <f t="shared" si="384"/>
        <v>0</v>
      </c>
      <c r="Q641" s="3"/>
      <c r="R641" s="3"/>
      <c r="S641" s="3"/>
      <c r="T641" s="3"/>
      <c r="U641" s="3"/>
      <c r="V641" s="3"/>
      <c r="W641" s="27" t="str">
        <f t="shared" si="402"/>
        <v>OK</v>
      </c>
      <c r="X641" s="3"/>
      <c r="Y641" s="3"/>
      <c r="Z641" s="3"/>
      <c r="AA641" s="3"/>
      <c r="AB641" s="3"/>
      <c r="AC641" s="3"/>
    </row>
    <row r="642" spans="1:29" x14ac:dyDescent="0.2">
      <c r="A642" s="3">
        <f t="shared" si="393"/>
        <v>22</v>
      </c>
      <c r="B642" s="3"/>
      <c r="C642" s="3" t="s">
        <v>303</v>
      </c>
      <c r="D642" s="3"/>
      <c r="E642" s="4"/>
      <c r="F642" s="4"/>
      <c r="G642" s="4"/>
      <c r="H642" s="8"/>
      <c r="I642" s="8"/>
      <c r="J642" s="8"/>
      <c r="K642" s="10"/>
      <c r="L642" s="10"/>
      <c r="M642" s="3"/>
      <c r="N642" s="3"/>
      <c r="O642" s="3"/>
      <c r="P642" s="9">
        <f t="shared" si="384"/>
        <v>0</v>
      </c>
      <c r="Q642" s="3"/>
      <c r="R642" s="3"/>
      <c r="S642" s="3"/>
      <c r="T642" s="3"/>
      <c r="U642" s="3"/>
      <c r="V642" s="3"/>
      <c r="W642" s="27" t="str">
        <f t="shared" si="402"/>
        <v>OK</v>
      </c>
      <c r="X642" s="3"/>
      <c r="Y642" s="3"/>
      <c r="Z642" s="3"/>
      <c r="AA642" s="3"/>
      <c r="AB642" s="3"/>
      <c r="AC642" s="3"/>
    </row>
    <row r="643" spans="1:29" x14ac:dyDescent="0.2">
      <c r="A643" s="3">
        <f t="shared" si="393"/>
        <v>23</v>
      </c>
      <c r="B643" s="3"/>
      <c r="C643" s="3" t="s">
        <v>311</v>
      </c>
      <c r="D643" s="3"/>
      <c r="E643" s="4"/>
      <c r="F643" s="11"/>
      <c r="G643" s="11"/>
      <c r="H643" s="8">
        <f>H627</f>
        <v>-7247.3714227330793</v>
      </c>
      <c r="I643" s="66">
        <v>0</v>
      </c>
      <c r="J643" s="66">
        <f ca="1">SUM(K643:V643)-M643-P643</f>
        <v>-7247.3714227330802</v>
      </c>
      <c r="K643" s="8">
        <f t="shared" ref="K643:V643" ca="1" si="405">K627</f>
        <v>-3397.6168128500917</v>
      </c>
      <c r="L643" s="8">
        <f ca="1">L627</f>
        <v>-645.58359740835033</v>
      </c>
      <c r="M643" s="9">
        <f ca="1">SUM(N643:O643)</f>
        <v>-2562.9234297070593</v>
      </c>
      <c r="N643" s="8">
        <f t="shared" ca="1" si="405"/>
        <v>-50.000743081150752</v>
      </c>
      <c r="O643" s="8">
        <f t="shared" ca="1" si="405"/>
        <v>-2512.9226866259087</v>
      </c>
      <c r="P643" s="9">
        <f t="shared" ca="1" si="384"/>
        <v>-344.67366559783835</v>
      </c>
      <c r="Q643" s="8">
        <f t="shared" ca="1" si="405"/>
        <v>-148.85078192024511</v>
      </c>
      <c r="R643" s="8">
        <f t="shared" ca="1" si="405"/>
        <v>-174.55848626041538</v>
      </c>
      <c r="S643" s="8">
        <f ca="1">S627</f>
        <v>-21.264397417177872</v>
      </c>
      <c r="T643" s="8">
        <f t="shared" ca="1" si="405"/>
        <v>-290.54371491710685</v>
      </c>
      <c r="U643" s="8">
        <f t="shared" ca="1" si="405"/>
        <v>0</v>
      </c>
      <c r="V643" s="8">
        <f t="shared" ca="1" si="405"/>
        <v>-6.0302022526325354</v>
      </c>
      <c r="W643" s="27" t="str">
        <f t="shared" ca="1" si="402"/>
        <v>OK</v>
      </c>
      <c r="X643" s="3"/>
      <c r="Y643" s="3"/>
      <c r="Z643" s="3"/>
      <c r="AA643" s="3"/>
      <c r="AB643" s="3"/>
      <c r="AC643" s="3"/>
    </row>
    <row r="644" spans="1:29" x14ac:dyDescent="0.2">
      <c r="A644" s="3">
        <f t="shared" si="393"/>
        <v>24</v>
      </c>
      <c r="B644" s="3"/>
      <c r="C644" s="3" t="s">
        <v>300</v>
      </c>
      <c r="D644" s="3"/>
      <c r="E644" s="4"/>
      <c r="F644" s="11"/>
      <c r="G644" s="11"/>
      <c r="H644" s="8">
        <f>H628</f>
        <v>-76091.6555196275</v>
      </c>
      <c r="I644" s="66">
        <v>0</v>
      </c>
      <c r="J644" s="66">
        <f t="shared" ref="J644:J647" si="406">SUM(K644:V644)-M644-P644</f>
        <v>-76091.655519627486</v>
      </c>
      <c r="K644" s="8">
        <f t="shared" ref="K644:V644" si="407">K628</f>
        <v>-35672.283512356364</v>
      </c>
      <c r="L644" s="8">
        <f>L628</f>
        <v>-6778.1160696456964</v>
      </c>
      <c r="M644" s="9">
        <f>SUM(N644:O644)</f>
        <v>-26908.66458489143</v>
      </c>
      <c r="N644" s="8">
        <f t="shared" si="407"/>
        <v>-524.96817071113253</v>
      </c>
      <c r="O644" s="8">
        <f t="shared" si="407"/>
        <v>-26383.696414180296</v>
      </c>
      <c r="P644" s="9">
        <f t="shared" si="384"/>
        <v>-3618.800293178233</v>
      </c>
      <c r="Q644" s="8">
        <f t="shared" si="407"/>
        <v>-1562.8152279010967</v>
      </c>
      <c r="R644" s="8">
        <f t="shared" si="407"/>
        <v>-1832.7257470055506</v>
      </c>
      <c r="S644" s="8">
        <f>S628</f>
        <v>-223.25931827158524</v>
      </c>
      <c r="T644" s="8">
        <f t="shared" si="407"/>
        <v>-3050.4787155683216</v>
      </c>
      <c r="U644" s="8">
        <f t="shared" si="407"/>
        <v>0</v>
      </c>
      <c r="V644" s="8">
        <f t="shared" si="407"/>
        <v>-63.312343987464487</v>
      </c>
      <c r="W644" s="27" t="str">
        <f t="shared" si="402"/>
        <v>OK</v>
      </c>
      <c r="X644" s="3"/>
      <c r="Y644" s="3"/>
      <c r="Z644" s="3"/>
      <c r="AA644" s="3"/>
      <c r="AB644" s="3"/>
      <c r="AC644" s="3"/>
    </row>
    <row r="645" spans="1:29" x14ac:dyDescent="0.2">
      <c r="A645" s="3">
        <f t="shared" si="393"/>
        <v>25</v>
      </c>
      <c r="B645" s="3"/>
      <c r="C645" s="3" t="s">
        <v>638</v>
      </c>
      <c r="D645" s="3" t="s">
        <v>370</v>
      </c>
      <c r="E645" s="4"/>
      <c r="F645" s="11"/>
      <c r="G645" s="3"/>
      <c r="H645" s="8">
        <f>+'II-I TOTAL COMPANY'!L645</f>
        <v>0</v>
      </c>
      <c r="I645" s="8">
        <v>0</v>
      </c>
      <c r="J645" s="66">
        <f t="shared" ca="1" si="406"/>
        <v>0</v>
      </c>
      <c r="K645" s="66">
        <f ca="1">VLOOKUP($D645,$E$741:$V$815,K$1,FALSE)*$H645</f>
        <v>0</v>
      </c>
      <c r="L645" s="66">
        <f ca="1">VLOOKUP($D645,$E$741:$V$815,L$1,FALSE)*$H645</f>
        <v>0</v>
      </c>
      <c r="M645" s="9">
        <f ca="1">SUM(N645:O645)</f>
        <v>0</v>
      </c>
      <c r="N645" s="66">
        <f ca="1">VLOOKUP($D645,$E$741:$V$815,N$1,FALSE)*$H645</f>
        <v>0</v>
      </c>
      <c r="O645" s="66">
        <f ca="1">VLOOKUP($D645,$E$741:$V$815,O$1,FALSE)*$H645</f>
        <v>0</v>
      </c>
      <c r="P645" s="9">
        <f t="shared" ca="1" si="384"/>
        <v>0</v>
      </c>
      <c r="Q645" s="12">
        <f t="shared" ref="Q645:V645" ca="1" si="408">VLOOKUP($D645,$E$741:$V$815,Q$1,FALSE)*$H645</f>
        <v>0</v>
      </c>
      <c r="R645" s="12">
        <f t="shared" ca="1" si="408"/>
        <v>0</v>
      </c>
      <c r="S645" s="12">
        <f t="shared" ca="1" si="408"/>
        <v>0</v>
      </c>
      <c r="T645" s="12">
        <f t="shared" ca="1" si="408"/>
        <v>0</v>
      </c>
      <c r="U645" s="12">
        <f t="shared" ca="1" si="408"/>
        <v>0</v>
      </c>
      <c r="V645" s="12">
        <f t="shared" ca="1" si="408"/>
        <v>0</v>
      </c>
      <c r="W645" s="27" t="str">
        <f t="shared" ca="1" si="402"/>
        <v>OK</v>
      </c>
      <c r="X645" s="3"/>
      <c r="Y645" s="3"/>
      <c r="Z645" s="3"/>
      <c r="AA645" s="3"/>
      <c r="AB645" s="3"/>
      <c r="AC645" s="3"/>
    </row>
    <row r="646" spans="1:29" x14ac:dyDescent="0.2">
      <c r="A646" s="3">
        <f t="shared" si="393"/>
        <v>26</v>
      </c>
      <c r="B646" s="3"/>
      <c r="C646" s="3" t="s">
        <v>812</v>
      </c>
      <c r="D646" s="3"/>
      <c r="E646" s="4"/>
      <c r="F646" s="11">
        <v>0</v>
      </c>
      <c r="G646" s="11"/>
      <c r="H646" s="8">
        <f>+'II-I TOTAL COMPANY'!L646</f>
        <v>0</v>
      </c>
      <c r="I646" s="8">
        <v>0</v>
      </c>
      <c r="J646" s="66">
        <f t="shared" si="406"/>
        <v>0</v>
      </c>
      <c r="K646" s="10"/>
      <c r="L646" s="10"/>
      <c r="M646" s="3"/>
      <c r="N646" s="3"/>
      <c r="O646" s="3"/>
      <c r="P646" s="9">
        <f t="shared" si="384"/>
        <v>0</v>
      </c>
      <c r="Q646" s="3"/>
      <c r="R646" s="3"/>
      <c r="S646" s="3"/>
      <c r="T646" s="3"/>
      <c r="U646" s="3"/>
      <c r="V646" s="3"/>
      <c r="W646" s="27" t="str">
        <f t="shared" si="402"/>
        <v>OK</v>
      </c>
      <c r="X646" s="3"/>
      <c r="Y646" s="3"/>
      <c r="Z646" s="3"/>
      <c r="AA646" s="3"/>
      <c r="AB646" s="3"/>
      <c r="AC646" s="3"/>
    </row>
    <row r="647" spans="1:29" x14ac:dyDescent="0.2">
      <c r="A647" s="3">
        <f t="shared" si="393"/>
        <v>27</v>
      </c>
      <c r="B647" s="3"/>
      <c r="C647" s="3" t="s">
        <v>304</v>
      </c>
      <c r="D647" s="3"/>
      <c r="E647" s="4"/>
      <c r="F647" s="8">
        <f>F640+SUM(F643:F646)</f>
        <v>0</v>
      </c>
      <c r="G647" s="8"/>
      <c r="H647" s="8">
        <f ca="1">H640+SUM(H643:H646)</f>
        <v>1418394.5091184927</v>
      </c>
      <c r="I647" s="8">
        <f t="shared" ref="I647:V647" si="409">I640+SUM(I643:I645)</f>
        <v>0</v>
      </c>
      <c r="J647" s="66">
        <f t="shared" ca="1" si="406"/>
        <v>1418394.5091184934</v>
      </c>
      <c r="K647" s="8">
        <f ca="1">K640+SUM(K643:K646)</f>
        <v>664962.25666263665</v>
      </c>
      <c r="L647" s="8">
        <f ca="1">L640+SUM(L643:L646)</f>
        <v>126341.52227363581</v>
      </c>
      <c r="M647" s="9">
        <f ca="1">M640+SUM(M643:M646)</f>
        <v>501588.4064580265</v>
      </c>
      <c r="N647" s="8">
        <f t="shared" ca="1" si="409"/>
        <v>9788.900967063124</v>
      </c>
      <c r="O647" s="8">
        <f t="shared" ca="1" si="409"/>
        <v>491799.50549096341</v>
      </c>
      <c r="P647" s="9">
        <f t="shared" ca="1" si="384"/>
        <v>67461.877320982385</v>
      </c>
      <c r="Q647" s="8">
        <f t="shared" ca="1" si="409"/>
        <v>29137.836318005087</v>
      </c>
      <c r="R647" s="8">
        <f t="shared" ca="1" si="409"/>
        <v>34161.3808218919</v>
      </c>
      <c r="S647" s="8">
        <f ca="1">S640+SUM(S643:S645)</f>
        <v>4162.6601810853972</v>
      </c>
      <c r="T647" s="8">
        <f t="shared" ca="1" si="409"/>
        <v>56858.917312334714</v>
      </c>
      <c r="U647" s="8">
        <f t="shared" ca="1" si="409"/>
        <v>1.0639986848999166</v>
      </c>
      <c r="V647" s="8">
        <f t="shared" ca="1" si="409"/>
        <v>1180.4650921922998</v>
      </c>
      <c r="W647" s="27">
        <f t="shared" ca="1" si="402"/>
        <v>6.9849193096160889E-10</v>
      </c>
      <c r="X647" s="3"/>
      <c r="Y647" s="3"/>
      <c r="Z647" s="3"/>
      <c r="AA647" s="3"/>
      <c r="AB647" s="3"/>
      <c r="AC647" s="3"/>
    </row>
    <row r="648" spans="1:29" x14ac:dyDescent="0.2">
      <c r="A648" s="3"/>
      <c r="B648" s="3"/>
      <c r="C648" s="3"/>
      <c r="D648" s="3"/>
      <c r="E648" s="4"/>
      <c r="F648" s="4"/>
      <c r="G648" s="4"/>
      <c r="H648" s="8"/>
      <c r="I648" s="8"/>
      <c r="J648" s="8"/>
      <c r="K648" s="10"/>
      <c r="L648" s="10"/>
      <c r="M648" s="3"/>
      <c r="N648" s="3"/>
      <c r="O648" s="3"/>
      <c r="P648" s="9">
        <f t="shared" si="384"/>
        <v>0</v>
      </c>
      <c r="Q648" s="3"/>
      <c r="R648" s="3"/>
      <c r="S648" s="3"/>
      <c r="T648" s="3"/>
      <c r="U648" s="3"/>
      <c r="V648" s="3"/>
      <c r="W648" s="27" t="str">
        <f t="shared" si="402"/>
        <v>OK</v>
      </c>
      <c r="X648" s="3"/>
      <c r="Y648" s="3"/>
      <c r="Z648" s="3"/>
      <c r="AA648" s="3"/>
      <c r="AB648" s="3"/>
      <c r="AC648" s="3"/>
    </row>
    <row r="649" spans="1:29" x14ac:dyDescent="0.2">
      <c r="A649" s="3"/>
      <c r="B649" s="3"/>
      <c r="C649" s="3"/>
      <c r="D649" s="3"/>
      <c r="E649" s="4"/>
      <c r="F649" s="4"/>
      <c r="G649" s="4"/>
      <c r="H649" s="5"/>
      <c r="I649" s="5"/>
      <c r="J649" s="5"/>
      <c r="K649" s="5"/>
      <c r="L649" s="5"/>
      <c r="M649" s="3"/>
      <c r="N649" s="3"/>
      <c r="O649" s="3"/>
      <c r="P649" s="9">
        <f t="shared" si="384"/>
        <v>0</v>
      </c>
      <c r="Q649" s="3"/>
      <c r="R649" s="3"/>
      <c r="S649" s="3"/>
      <c r="T649" s="3"/>
      <c r="U649" s="3"/>
      <c r="V649" s="3"/>
      <c r="W649" s="27" t="str">
        <f t="shared" si="402"/>
        <v>OK</v>
      </c>
      <c r="X649" s="3"/>
      <c r="Y649" s="3"/>
      <c r="Z649" s="3"/>
      <c r="AA649" s="3"/>
      <c r="AB649" s="3"/>
      <c r="AC649" s="3"/>
    </row>
    <row r="650" spans="1:29" x14ac:dyDescent="0.2">
      <c r="A650" s="3"/>
      <c r="B650" s="7" t="s">
        <v>305</v>
      </c>
      <c r="C650" s="3"/>
      <c r="D650" s="3"/>
      <c r="E650" s="4"/>
      <c r="F650" s="4"/>
      <c r="G650" s="4"/>
      <c r="H650" s="5"/>
      <c r="I650" s="5"/>
      <c r="J650" s="5"/>
      <c r="K650" s="5"/>
      <c r="L650" s="5"/>
      <c r="M650" s="3"/>
      <c r="N650" s="3"/>
      <c r="O650" s="3"/>
      <c r="P650" s="9">
        <f t="shared" si="384"/>
        <v>0</v>
      </c>
      <c r="Q650" s="3"/>
      <c r="R650" s="3"/>
      <c r="S650" s="3"/>
      <c r="T650" s="3"/>
      <c r="U650" s="3"/>
      <c r="V650" s="3"/>
      <c r="W650" s="27" t="str">
        <f t="shared" si="402"/>
        <v>OK</v>
      </c>
      <c r="X650" s="3"/>
      <c r="Y650" s="3"/>
      <c r="Z650" s="3"/>
      <c r="AA650" s="3"/>
      <c r="AB650" s="3"/>
      <c r="AC650" s="3"/>
    </row>
    <row r="651" spans="1:29" x14ac:dyDescent="0.2">
      <c r="A651" s="3"/>
      <c r="B651" s="3"/>
      <c r="C651" s="3"/>
      <c r="D651" s="3"/>
      <c r="E651" s="4"/>
      <c r="F651" s="4"/>
      <c r="G651" s="4"/>
      <c r="H651" s="5"/>
      <c r="I651" s="5"/>
      <c r="J651" s="5"/>
      <c r="K651" s="5"/>
      <c r="L651" s="5"/>
      <c r="M651" s="3"/>
      <c r="N651" s="3"/>
      <c r="O651" s="3"/>
      <c r="P651" s="9">
        <f t="shared" si="384"/>
        <v>0</v>
      </c>
      <c r="Q651" s="3"/>
      <c r="R651" s="3"/>
      <c r="S651" s="3"/>
      <c r="T651" s="3"/>
      <c r="U651" s="3"/>
      <c r="V651" s="3"/>
      <c r="W651" s="27" t="str">
        <f t="shared" si="402"/>
        <v>OK</v>
      </c>
      <c r="X651" s="3"/>
      <c r="Y651" s="3"/>
      <c r="Z651" s="3"/>
      <c r="AA651" s="3"/>
      <c r="AB651" s="3"/>
      <c r="AC651" s="3"/>
    </row>
    <row r="652" spans="1:29" x14ac:dyDescent="0.2">
      <c r="A652" s="3">
        <v>1</v>
      </c>
      <c r="B652" s="3" t="s">
        <v>306</v>
      </c>
      <c r="C652" s="3" t="str">
        <f>'II-I TOTAL COMPANY'!C652</f>
        <v>ND - Nuclear Decommissioning</v>
      </c>
      <c r="D652" s="3" t="s">
        <v>461</v>
      </c>
      <c r="E652" s="4" t="s">
        <v>591</v>
      </c>
      <c r="F652" s="11"/>
      <c r="G652" s="11"/>
      <c r="H652" s="2">
        <f>'II-I TOTAL COMPANY'!L652</f>
        <v>0</v>
      </c>
      <c r="I652" s="66">
        <v>0</v>
      </c>
      <c r="J652" s="66">
        <f t="shared" ref="J652" si="410">SUM(K652:V652)-M652-P652</f>
        <v>0</v>
      </c>
      <c r="K652" s="12">
        <f>VLOOKUP($D652,$E$741:$V$815,K$1,FALSE)*$H652</f>
        <v>0</v>
      </c>
      <c r="L652" s="12">
        <f>VLOOKUP($D652,$E$741:$V$815,L$1,FALSE)*$H652</f>
        <v>0</v>
      </c>
      <c r="M652" s="9">
        <f>SUM(N652:O652)</f>
        <v>0</v>
      </c>
      <c r="N652" s="12">
        <f>VLOOKUP($D652,$E$741:$V$815,N$1,FALSE)*$H652</f>
        <v>0</v>
      </c>
      <c r="O652" s="12">
        <f>VLOOKUP($D652,$E$741:$V$815,O$1,FALSE)*$H652</f>
        <v>0</v>
      </c>
      <c r="P652" s="9">
        <f t="shared" si="384"/>
        <v>0</v>
      </c>
      <c r="Q652" s="12">
        <f t="shared" ref="Q652:V652" si="411">VLOOKUP($D652,$E$741:$V$815,Q$1,FALSE)*$H652</f>
        <v>0</v>
      </c>
      <c r="R652" s="12">
        <f t="shared" si="411"/>
        <v>0</v>
      </c>
      <c r="S652" s="12">
        <f t="shared" si="411"/>
        <v>0</v>
      </c>
      <c r="T652" s="12">
        <f t="shared" si="411"/>
        <v>0</v>
      </c>
      <c r="U652" s="12">
        <f t="shared" si="411"/>
        <v>0</v>
      </c>
      <c r="V652" s="12">
        <f t="shared" si="411"/>
        <v>0</v>
      </c>
      <c r="W652" s="27" t="str">
        <f t="shared" si="402"/>
        <v>OK</v>
      </c>
      <c r="X652" s="3"/>
      <c r="Y652" s="3"/>
      <c r="Z652" s="3"/>
      <c r="AA652" s="3"/>
      <c r="AB652" s="3"/>
      <c r="AC652" s="3"/>
    </row>
    <row r="653" spans="1:29" x14ac:dyDescent="0.2">
      <c r="A653" s="3">
        <f t="shared" ref="A653:A664" si="412">+A652+1</f>
        <v>2</v>
      </c>
      <c r="B653" s="3"/>
      <c r="C653" s="3"/>
      <c r="D653" s="3"/>
      <c r="E653" s="4"/>
      <c r="F653" s="4"/>
      <c r="G653" s="4"/>
      <c r="H653" s="2"/>
      <c r="I653" s="66"/>
      <c r="J653" s="66"/>
      <c r="K653" s="12"/>
      <c r="L653" s="12"/>
      <c r="M653" s="9"/>
      <c r="N653" s="12"/>
      <c r="O653" s="12"/>
      <c r="P653" s="9">
        <f t="shared" si="384"/>
        <v>0</v>
      </c>
      <c r="Q653" s="12"/>
      <c r="R653" s="12"/>
      <c r="S653" s="12"/>
      <c r="T653" s="12"/>
      <c r="U653" s="12"/>
      <c r="V653" s="12"/>
      <c r="W653" s="27" t="str">
        <f t="shared" si="402"/>
        <v>OK</v>
      </c>
      <c r="X653" s="3"/>
      <c r="Y653" s="3"/>
      <c r="Z653" s="3"/>
      <c r="AA653" s="3"/>
      <c r="AB653" s="3"/>
      <c r="AC653" s="3"/>
    </row>
    <row r="654" spans="1:29" x14ac:dyDescent="0.2">
      <c r="A654" s="3">
        <f t="shared" si="412"/>
        <v>3</v>
      </c>
      <c r="B654" s="3"/>
      <c r="C654" s="3" t="s">
        <v>450</v>
      </c>
      <c r="D654" s="78"/>
      <c r="E654" s="4"/>
      <c r="F654" s="9"/>
      <c r="G654" s="9"/>
      <c r="H654" s="9">
        <f t="shared" ref="H654:V654" si="413">SUM(H652:H653)</f>
        <v>0</v>
      </c>
      <c r="I654" s="9">
        <f t="shared" si="413"/>
        <v>0</v>
      </c>
      <c r="J654" s="66">
        <f t="shared" ref="J654" si="414">SUM(K654:V654)-M654-P654</f>
        <v>0</v>
      </c>
      <c r="K654" s="9">
        <f t="shared" si="413"/>
        <v>0</v>
      </c>
      <c r="L654" s="9">
        <f t="shared" si="413"/>
        <v>0</v>
      </c>
      <c r="M654" s="9">
        <f t="shared" si="413"/>
        <v>0</v>
      </c>
      <c r="N654" s="9">
        <f t="shared" si="413"/>
        <v>0</v>
      </c>
      <c r="O654" s="9">
        <f t="shared" si="413"/>
        <v>0</v>
      </c>
      <c r="P654" s="9">
        <f t="shared" si="384"/>
        <v>0</v>
      </c>
      <c r="Q654" s="9">
        <f t="shared" si="413"/>
        <v>0</v>
      </c>
      <c r="R654" s="9">
        <f t="shared" si="413"/>
        <v>0</v>
      </c>
      <c r="S654" s="9">
        <f>SUM(S652:S653)</f>
        <v>0</v>
      </c>
      <c r="T654" s="9">
        <f t="shared" si="413"/>
        <v>0</v>
      </c>
      <c r="U654" s="9">
        <f t="shared" si="413"/>
        <v>0</v>
      </c>
      <c r="V654" s="9">
        <f t="shared" si="413"/>
        <v>0</v>
      </c>
      <c r="W654" s="27" t="str">
        <f t="shared" si="402"/>
        <v>OK</v>
      </c>
      <c r="X654" s="3"/>
      <c r="Y654" s="3"/>
      <c r="Z654" s="3"/>
      <c r="AA654" s="3"/>
      <c r="AB654" s="3"/>
      <c r="AC654" s="3"/>
    </row>
    <row r="655" spans="1:29" x14ac:dyDescent="0.2">
      <c r="A655" s="3">
        <f t="shared" si="412"/>
        <v>4</v>
      </c>
      <c r="B655" s="3"/>
      <c r="C655" s="3"/>
      <c r="D655" s="3"/>
      <c r="E655" s="4"/>
      <c r="F655" s="4"/>
      <c r="G655" s="4"/>
      <c r="H655" s="5"/>
      <c r="I655" s="5"/>
      <c r="J655" s="5"/>
      <c r="K655" s="5"/>
      <c r="L655" s="5"/>
      <c r="M655" s="3"/>
      <c r="N655" s="3"/>
      <c r="O655" s="3"/>
      <c r="P655" s="9">
        <f t="shared" si="384"/>
        <v>0</v>
      </c>
      <c r="Q655" s="3"/>
      <c r="R655" s="3"/>
      <c r="S655" s="3"/>
      <c r="T655" s="3"/>
      <c r="U655" s="3"/>
      <c r="V655" s="3"/>
      <c r="W655" s="27" t="str">
        <f t="shared" si="402"/>
        <v>OK</v>
      </c>
      <c r="X655" s="3"/>
      <c r="Y655" s="3"/>
      <c r="Z655" s="3"/>
      <c r="AA655" s="3"/>
      <c r="AB655" s="3"/>
      <c r="AC655" s="3"/>
    </row>
    <row r="656" spans="1:29" x14ac:dyDescent="0.2">
      <c r="A656" s="3">
        <f t="shared" si="412"/>
        <v>5</v>
      </c>
      <c r="B656" s="3"/>
      <c r="C656" s="3"/>
      <c r="D656" s="3"/>
      <c r="E656" s="4"/>
      <c r="F656" s="4"/>
      <c r="G656" s="4"/>
      <c r="H656" s="5"/>
      <c r="I656" s="5"/>
      <c r="J656" s="5"/>
      <c r="K656" s="5"/>
      <c r="L656" s="5"/>
      <c r="M656" s="3"/>
      <c r="N656" s="3"/>
      <c r="O656" s="3"/>
      <c r="P656" s="9">
        <f t="shared" si="384"/>
        <v>0</v>
      </c>
      <c r="Q656" s="3"/>
      <c r="R656" s="3"/>
      <c r="S656" s="3"/>
      <c r="T656" s="3"/>
      <c r="U656" s="3"/>
      <c r="V656" s="3"/>
      <c r="W656" s="27" t="str">
        <f t="shared" si="402"/>
        <v>OK</v>
      </c>
      <c r="X656" s="3"/>
      <c r="Y656" s="3"/>
      <c r="Z656" s="3"/>
      <c r="AA656" s="3"/>
      <c r="AB656" s="3"/>
      <c r="AC656" s="3"/>
    </row>
    <row r="657" spans="1:29" x14ac:dyDescent="0.2">
      <c r="A657" s="3">
        <f t="shared" si="412"/>
        <v>6</v>
      </c>
      <c r="B657" s="7" t="s">
        <v>307</v>
      </c>
      <c r="C657" s="3"/>
      <c r="D657" s="3"/>
      <c r="E657" s="4"/>
      <c r="F657" s="4"/>
      <c r="G657" s="4"/>
      <c r="H657" s="5"/>
      <c r="I657" s="5"/>
      <c r="J657" s="5"/>
      <c r="K657" s="5"/>
      <c r="L657" s="5"/>
      <c r="M657" s="3"/>
      <c r="N657" s="3"/>
      <c r="O657" s="3"/>
      <c r="P657" s="9">
        <f t="shared" si="384"/>
        <v>0</v>
      </c>
      <c r="Q657" s="3"/>
      <c r="R657" s="3"/>
      <c r="S657" s="3"/>
      <c r="T657" s="3"/>
      <c r="U657" s="3"/>
      <c r="V657" s="3"/>
      <c r="W657" s="27" t="str">
        <f t="shared" si="402"/>
        <v>OK</v>
      </c>
      <c r="X657" s="3"/>
      <c r="Y657" s="3"/>
      <c r="Z657" s="3"/>
      <c r="AA657" s="3"/>
      <c r="AB657" s="3"/>
      <c r="AC657" s="3"/>
    </row>
    <row r="658" spans="1:29" x14ac:dyDescent="0.2">
      <c r="A658" s="3">
        <f t="shared" si="412"/>
        <v>7</v>
      </c>
      <c r="B658" s="3"/>
      <c r="C658" s="3"/>
      <c r="D658" s="3"/>
      <c r="E658" s="4"/>
      <c r="F658" s="4"/>
      <c r="G658" s="4"/>
      <c r="H658" s="5"/>
      <c r="I658" s="5"/>
      <c r="J658" s="5"/>
      <c r="K658" s="5"/>
      <c r="L658" s="5"/>
      <c r="M658" s="3"/>
      <c r="N658" s="3"/>
      <c r="O658" s="3"/>
      <c r="P658" s="9">
        <f t="shared" si="384"/>
        <v>0</v>
      </c>
      <c r="Q658" s="3"/>
      <c r="R658" s="3"/>
      <c r="S658" s="3"/>
      <c r="T658" s="3"/>
      <c r="U658" s="3"/>
      <c r="V658" s="3"/>
      <c r="W658" s="27" t="str">
        <f t="shared" si="402"/>
        <v>OK</v>
      </c>
      <c r="X658" s="3"/>
      <c r="Y658" s="3"/>
      <c r="Z658" s="3"/>
      <c r="AA658" s="3"/>
      <c r="AB658" s="3"/>
      <c r="AC658" s="3"/>
    </row>
    <row r="659" spans="1:29" x14ac:dyDescent="0.2">
      <c r="A659" s="3">
        <f t="shared" si="412"/>
        <v>8</v>
      </c>
      <c r="B659" s="3" t="s">
        <v>597</v>
      </c>
      <c r="C659" s="3" t="s">
        <v>598</v>
      </c>
      <c r="D659" s="3" t="s">
        <v>434</v>
      </c>
      <c r="E659" s="4" t="s">
        <v>569</v>
      </c>
      <c r="F659" s="11"/>
      <c r="G659" s="11"/>
      <c r="H659" s="2">
        <f>'II-I TOTAL COMPANY'!L659</f>
        <v>0</v>
      </c>
      <c r="I659" s="66">
        <v>0</v>
      </c>
      <c r="J659" s="66">
        <f t="shared" ref="J659:J662" si="415">SUM(K659:V659)-M659-P659</f>
        <v>0</v>
      </c>
      <c r="K659" s="12">
        <f t="shared" ref="K659:L662" si="416">VLOOKUP($D659,$E$741:$V$815,K$1,FALSE)*$H659</f>
        <v>0</v>
      </c>
      <c r="L659" s="12">
        <f t="shared" si="416"/>
        <v>0</v>
      </c>
      <c r="M659" s="9">
        <f>SUM(N659:O659)</f>
        <v>0</v>
      </c>
      <c r="N659" s="12">
        <f t="shared" ref="N659:O662" si="417">VLOOKUP($D659,$E$741:$V$815,N$1,FALSE)*$H659</f>
        <v>0</v>
      </c>
      <c r="O659" s="12">
        <f t="shared" si="417"/>
        <v>0</v>
      </c>
      <c r="P659" s="9">
        <f t="shared" si="384"/>
        <v>0</v>
      </c>
      <c r="Q659" s="12">
        <f t="shared" ref="Q659:V662" si="418">VLOOKUP($D659,$E$741:$V$815,Q$1,FALSE)*$H659</f>
        <v>0</v>
      </c>
      <c r="R659" s="12">
        <f t="shared" si="418"/>
        <v>0</v>
      </c>
      <c r="S659" s="12">
        <f t="shared" si="418"/>
        <v>0</v>
      </c>
      <c r="T659" s="12">
        <f t="shared" si="418"/>
        <v>0</v>
      </c>
      <c r="U659" s="12">
        <f t="shared" si="418"/>
        <v>0</v>
      </c>
      <c r="V659" s="12">
        <f t="shared" si="418"/>
        <v>0</v>
      </c>
      <c r="W659" s="27" t="str">
        <f t="shared" si="402"/>
        <v>OK</v>
      </c>
      <c r="X659" s="3"/>
      <c r="Y659" s="3"/>
      <c r="Z659" s="3"/>
      <c r="AA659" s="3"/>
      <c r="AB659" s="3"/>
      <c r="AC659" s="3"/>
    </row>
    <row r="660" spans="1:29" x14ac:dyDescent="0.2">
      <c r="A660" s="3">
        <f t="shared" si="412"/>
        <v>9</v>
      </c>
      <c r="B660" s="3" t="s">
        <v>599</v>
      </c>
      <c r="C660" s="3" t="s">
        <v>600</v>
      </c>
      <c r="D660" s="3" t="s">
        <v>331</v>
      </c>
      <c r="E660" s="4" t="s">
        <v>569</v>
      </c>
      <c r="F660" s="11"/>
      <c r="G660" s="11"/>
      <c r="H660" s="2">
        <f>'II-I TOTAL COMPANY'!L660</f>
        <v>742755</v>
      </c>
      <c r="I660" s="66">
        <v>0</v>
      </c>
      <c r="J660" s="66">
        <f t="shared" si="415"/>
        <v>742755</v>
      </c>
      <c r="K660" s="66">
        <f t="shared" si="416"/>
        <v>348208.57503075071</v>
      </c>
      <c r="L660" s="12">
        <f t="shared" si="416"/>
        <v>66163.36005478377</v>
      </c>
      <c r="M660" s="9">
        <f>SUM(N660:O660)</f>
        <v>262664.08619005006</v>
      </c>
      <c r="N660" s="12">
        <f t="shared" si="417"/>
        <v>5124.3823120127599</v>
      </c>
      <c r="O660" s="12">
        <f t="shared" si="417"/>
        <v>257539.70387803728</v>
      </c>
      <c r="P660" s="9">
        <f t="shared" ref="P660:P724" si="419">SUM(Q660:S660)</f>
        <v>35324.267732172957</v>
      </c>
      <c r="Q660" s="12">
        <f t="shared" si="418"/>
        <v>15255.139563894216</v>
      </c>
      <c r="R660" s="12">
        <f t="shared" si="418"/>
        <v>17889.822516293854</v>
      </c>
      <c r="S660" s="12">
        <f t="shared" si="418"/>
        <v>2179.3056519848878</v>
      </c>
      <c r="T660" s="12">
        <f t="shared" si="418"/>
        <v>29776.698941679701</v>
      </c>
      <c r="U660" s="12">
        <f t="shared" si="418"/>
        <v>0</v>
      </c>
      <c r="V660" s="12">
        <f t="shared" si="418"/>
        <v>618.01205056287881</v>
      </c>
      <c r="W660" s="27">
        <f t="shared" si="402"/>
        <v>1.1641532182693481E-10</v>
      </c>
      <c r="X660" s="3"/>
      <c r="Y660" s="3"/>
      <c r="Z660" s="3"/>
      <c r="AA660" s="3"/>
      <c r="AB660" s="3"/>
      <c r="AC660" s="3"/>
    </row>
    <row r="661" spans="1:29" x14ac:dyDescent="0.2">
      <c r="A661" s="3">
        <f t="shared" si="412"/>
        <v>10</v>
      </c>
      <c r="B661" s="3" t="s">
        <v>601</v>
      </c>
      <c r="C661" s="3" t="s">
        <v>602</v>
      </c>
      <c r="D661" s="3" t="s">
        <v>333</v>
      </c>
      <c r="E661" s="4" t="s">
        <v>569</v>
      </c>
      <c r="F661" s="11"/>
      <c r="G661" s="11"/>
      <c r="H661" s="2">
        <f>'II-I TOTAL COMPANY'!L661</f>
        <v>0</v>
      </c>
      <c r="I661" s="66">
        <v>0</v>
      </c>
      <c r="J661" s="66">
        <f t="shared" si="415"/>
        <v>0</v>
      </c>
      <c r="K661" s="66">
        <f t="shared" si="416"/>
        <v>0</v>
      </c>
      <c r="L661" s="12">
        <f t="shared" si="416"/>
        <v>0</v>
      </c>
      <c r="M661" s="9">
        <f>SUM(N661:O661)</f>
        <v>0</v>
      </c>
      <c r="N661" s="12">
        <f t="shared" si="417"/>
        <v>0</v>
      </c>
      <c r="O661" s="12">
        <f t="shared" si="417"/>
        <v>0</v>
      </c>
      <c r="P661" s="9">
        <f t="shared" si="419"/>
        <v>0</v>
      </c>
      <c r="Q661" s="12">
        <f t="shared" si="418"/>
        <v>0</v>
      </c>
      <c r="R661" s="12">
        <f t="shared" si="418"/>
        <v>0</v>
      </c>
      <c r="S661" s="12">
        <f t="shared" si="418"/>
        <v>0</v>
      </c>
      <c r="T661" s="12">
        <f t="shared" si="418"/>
        <v>0</v>
      </c>
      <c r="U661" s="12">
        <f t="shared" si="418"/>
        <v>0</v>
      </c>
      <c r="V661" s="12">
        <f t="shared" si="418"/>
        <v>0</v>
      </c>
      <c r="W661" s="27" t="str">
        <f t="shared" si="402"/>
        <v>OK</v>
      </c>
      <c r="X661" s="3"/>
      <c r="Y661" s="3"/>
      <c r="Z661" s="3"/>
      <c r="AA661" s="3"/>
      <c r="AB661" s="3"/>
      <c r="AC661" s="3"/>
    </row>
    <row r="662" spans="1:29" x14ac:dyDescent="0.2">
      <c r="A662" s="3">
        <f t="shared" si="412"/>
        <v>11</v>
      </c>
      <c r="B662" s="3" t="s">
        <v>603</v>
      </c>
      <c r="C662" s="3" t="s">
        <v>604</v>
      </c>
      <c r="D662" s="3" t="s">
        <v>331</v>
      </c>
      <c r="E662" s="4" t="s">
        <v>569</v>
      </c>
      <c r="F662" s="11"/>
      <c r="G662" s="11"/>
      <c r="H662" s="2">
        <f>'II-I TOTAL COMPANY'!L662</f>
        <v>113882.48000000001</v>
      </c>
      <c r="I662" s="66">
        <v>0</v>
      </c>
      <c r="J662" s="66">
        <f t="shared" si="415"/>
        <v>113882.48000000004</v>
      </c>
      <c r="K662" s="66">
        <f t="shared" si="416"/>
        <v>53388.878003874721</v>
      </c>
      <c r="L662" s="12">
        <f t="shared" si="416"/>
        <v>10144.458843322107</v>
      </c>
      <c r="M662" s="9">
        <f>SUM(N662:O662)</f>
        <v>40272.818819471628</v>
      </c>
      <c r="N662" s="12">
        <f t="shared" si="417"/>
        <v>785.6929487652684</v>
      </c>
      <c r="O662" s="12">
        <f t="shared" si="417"/>
        <v>39487.125870706361</v>
      </c>
      <c r="P662" s="9">
        <f t="shared" si="419"/>
        <v>5416.0728820725981</v>
      </c>
      <c r="Q662" s="12">
        <f t="shared" si="418"/>
        <v>2338.9854343389029</v>
      </c>
      <c r="R662" s="12">
        <f t="shared" si="418"/>
        <v>2742.9466713995662</v>
      </c>
      <c r="S662" s="12">
        <f t="shared" si="418"/>
        <v>334.14077633412899</v>
      </c>
      <c r="T662" s="12">
        <f t="shared" si="418"/>
        <v>4565.4951117015171</v>
      </c>
      <c r="U662" s="12">
        <f t="shared" si="418"/>
        <v>0</v>
      </c>
      <c r="V662" s="12">
        <f t="shared" si="418"/>
        <v>94.756339557439588</v>
      </c>
      <c r="W662" s="27" t="str">
        <f t="shared" si="402"/>
        <v>OK</v>
      </c>
      <c r="X662" s="3"/>
      <c r="Y662" s="3"/>
      <c r="Z662" s="3"/>
      <c r="AA662" s="3"/>
      <c r="AB662" s="3"/>
      <c r="AC662" s="3"/>
    </row>
    <row r="663" spans="1:29" x14ac:dyDescent="0.2">
      <c r="A663" s="3">
        <f t="shared" si="412"/>
        <v>12</v>
      </c>
      <c r="B663" s="3"/>
      <c r="C663" s="3"/>
      <c r="D663" s="3"/>
      <c r="E663" s="4"/>
      <c r="F663" s="4"/>
      <c r="G663" s="4"/>
      <c r="H663" s="2"/>
      <c r="I663" s="66"/>
      <c r="J663" s="66"/>
      <c r="K663" s="66"/>
      <c r="L663" s="12"/>
      <c r="M663" s="9"/>
      <c r="N663" s="12"/>
      <c r="O663" s="12"/>
      <c r="P663" s="9">
        <f t="shared" si="419"/>
        <v>0</v>
      </c>
      <c r="Q663" s="12"/>
      <c r="R663" s="12"/>
      <c r="S663" s="12"/>
      <c r="T663" s="12"/>
      <c r="U663" s="12"/>
      <c r="V663" s="12"/>
      <c r="W663" s="27" t="str">
        <f t="shared" si="402"/>
        <v>OK</v>
      </c>
      <c r="X663" s="3"/>
      <c r="Y663" s="3"/>
      <c r="Z663" s="3"/>
      <c r="AA663" s="3"/>
      <c r="AB663" s="3"/>
      <c r="AC663" s="3"/>
    </row>
    <row r="664" spans="1:29" x14ac:dyDescent="0.2">
      <c r="A664" s="3">
        <f t="shared" si="412"/>
        <v>13</v>
      </c>
      <c r="B664" s="3" t="s">
        <v>448</v>
      </c>
      <c r="C664" s="3"/>
      <c r="D664" s="3"/>
      <c r="E664" s="3"/>
      <c r="F664" s="66"/>
      <c r="G664" s="66"/>
      <c r="H664" s="2">
        <f>SUM(H659:H663)</f>
        <v>856637.48</v>
      </c>
      <c r="I664" s="66">
        <v>0</v>
      </c>
      <c r="J664" s="66">
        <f t="shared" ref="J664" si="420">SUM(K664:V664)-M664-P664</f>
        <v>856637.48</v>
      </c>
      <c r="K664" s="66">
        <f>SUM(K659:K663)</f>
        <v>401597.45303462545</v>
      </c>
      <c r="L664" s="12">
        <f>SUM(L659:L663)</f>
        <v>76307.818898105877</v>
      </c>
      <c r="M664" s="9">
        <f>SUM(N664:O664)</f>
        <v>302936.90500952164</v>
      </c>
      <c r="N664" s="12">
        <f>SUM(N659:N663)</f>
        <v>5910.0752607780287</v>
      </c>
      <c r="O664" s="12">
        <f>SUM(O659:O663)</f>
        <v>297026.82974874362</v>
      </c>
      <c r="P664" s="9">
        <f t="shared" si="419"/>
        <v>40740.34061424555</v>
      </c>
      <c r="Q664" s="12">
        <f t="shared" ref="Q664:V664" si="421">SUM(Q659:Q663)</f>
        <v>17594.124998233117</v>
      </c>
      <c r="R664" s="12">
        <f t="shared" si="421"/>
        <v>20632.769187693419</v>
      </c>
      <c r="S664" s="12">
        <f t="shared" si="421"/>
        <v>2513.4464283190168</v>
      </c>
      <c r="T664" s="12">
        <f t="shared" si="421"/>
        <v>34342.194053381216</v>
      </c>
      <c r="U664" s="12">
        <f t="shared" si="421"/>
        <v>0</v>
      </c>
      <c r="V664" s="12">
        <f t="shared" si="421"/>
        <v>712.76839012031837</v>
      </c>
      <c r="W664" s="27">
        <f t="shared" si="402"/>
        <v>1.1641532182693481E-10</v>
      </c>
      <c r="X664" s="3"/>
      <c r="Y664" s="3"/>
      <c r="Z664" s="3"/>
      <c r="AA664" s="3"/>
      <c r="AB664" s="3"/>
      <c r="AC664" s="3"/>
    </row>
    <row r="665" spans="1:29" x14ac:dyDescent="0.2">
      <c r="A665" s="3"/>
      <c r="B665" s="3"/>
      <c r="C665" s="3"/>
      <c r="D665" s="3"/>
      <c r="E665" s="3"/>
      <c r="F665" s="3"/>
      <c r="G665" s="3"/>
      <c r="H665" s="10"/>
      <c r="I665" s="10"/>
      <c r="J665" s="10"/>
      <c r="K665" s="10"/>
      <c r="L665" s="10"/>
      <c r="M665" s="10"/>
      <c r="N665" s="10"/>
      <c r="O665" s="10"/>
      <c r="P665" s="9">
        <f t="shared" si="419"/>
        <v>0</v>
      </c>
      <c r="Q665" s="10"/>
      <c r="R665" s="10"/>
      <c r="S665" s="10"/>
      <c r="T665" s="10"/>
      <c r="U665" s="10"/>
      <c r="V665" s="10"/>
      <c r="W665" s="27" t="str">
        <f t="shared" si="402"/>
        <v>OK</v>
      </c>
      <c r="X665" s="3"/>
      <c r="Y665" s="3"/>
      <c r="Z665" s="3"/>
      <c r="AA665" s="3"/>
      <c r="AB665" s="3"/>
      <c r="AC665" s="3"/>
    </row>
    <row r="666" spans="1:29" x14ac:dyDescent="0.2">
      <c r="A666" s="3"/>
      <c r="B666" s="3"/>
      <c r="C666" s="3"/>
      <c r="D666" s="3"/>
      <c r="E666" s="3"/>
      <c r="F666" s="3"/>
      <c r="G666" s="3"/>
      <c r="H666" s="5"/>
      <c r="I666" s="5"/>
      <c r="J666" s="5"/>
      <c r="K666" s="5"/>
      <c r="L666" s="23"/>
      <c r="M666" s="3"/>
      <c r="N666" s="3"/>
      <c r="O666" s="3"/>
      <c r="P666" s="9">
        <f t="shared" si="419"/>
        <v>0</v>
      </c>
      <c r="Q666" s="3"/>
      <c r="R666" s="3"/>
      <c r="S666" s="3"/>
      <c r="T666" s="3"/>
      <c r="U666" s="3"/>
      <c r="V666" s="3"/>
      <c r="W666" s="27" t="str">
        <f t="shared" si="402"/>
        <v>OK</v>
      </c>
      <c r="X666" s="3"/>
      <c r="Y666" s="3"/>
      <c r="Z666" s="3"/>
      <c r="AA666" s="3"/>
      <c r="AB666" s="3"/>
      <c r="AC666" s="3"/>
    </row>
    <row r="667" spans="1:29" x14ac:dyDescent="0.2">
      <c r="A667" s="3"/>
      <c r="B667" s="7" t="s">
        <v>590</v>
      </c>
      <c r="C667" s="3"/>
      <c r="D667" s="3"/>
      <c r="E667" s="3"/>
      <c r="F667" s="3"/>
      <c r="G667" s="3"/>
      <c r="H667" s="5"/>
      <c r="I667" s="5"/>
      <c r="J667" s="5"/>
      <c r="K667" s="5"/>
      <c r="L667" s="23"/>
      <c r="M667" s="3"/>
      <c r="N667" s="3"/>
      <c r="O667" s="3"/>
      <c r="P667" s="9">
        <f t="shared" si="419"/>
        <v>0</v>
      </c>
      <c r="Q667" s="3"/>
      <c r="R667" s="3"/>
      <c r="S667" s="3"/>
      <c r="T667" s="3"/>
      <c r="U667" s="3"/>
      <c r="V667" s="3"/>
      <c r="W667" s="27" t="str">
        <f t="shared" si="402"/>
        <v>OK</v>
      </c>
      <c r="X667" s="3"/>
      <c r="Y667" s="3"/>
      <c r="Z667" s="3"/>
      <c r="AA667" s="3"/>
      <c r="AB667" s="3"/>
      <c r="AC667" s="3"/>
    </row>
    <row r="668" spans="1:29" x14ac:dyDescent="0.2">
      <c r="A668" s="3"/>
      <c r="B668" s="7"/>
      <c r="C668" s="3"/>
      <c r="D668" s="3"/>
      <c r="E668" s="3"/>
      <c r="F668" s="3"/>
      <c r="G668" s="3"/>
      <c r="H668" s="5"/>
      <c r="I668" s="5"/>
      <c r="J668" s="5"/>
      <c r="K668" s="5"/>
      <c r="L668" s="23"/>
      <c r="M668" s="3"/>
      <c r="N668" s="3"/>
      <c r="O668" s="3"/>
      <c r="P668" s="9">
        <f t="shared" si="419"/>
        <v>0</v>
      </c>
      <c r="Q668" s="3"/>
      <c r="R668" s="3"/>
      <c r="S668" s="3"/>
      <c r="T668" s="3"/>
      <c r="U668" s="3"/>
      <c r="V668" s="3"/>
      <c r="W668" s="27" t="str">
        <f t="shared" si="402"/>
        <v>OK</v>
      </c>
      <c r="X668" s="3"/>
      <c r="Y668" s="3"/>
      <c r="Z668" s="3"/>
      <c r="AA668" s="3"/>
      <c r="AB668" s="3"/>
      <c r="AC668" s="3"/>
    </row>
    <row r="669" spans="1:29" x14ac:dyDescent="0.2">
      <c r="A669" s="3">
        <v>1</v>
      </c>
      <c r="B669" s="3" t="s">
        <v>452</v>
      </c>
      <c r="C669" s="3"/>
      <c r="D669" s="3" t="s">
        <v>614</v>
      </c>
      <c r="E669" s="3" t="s">
        <v>366</v>
      </c>
      <c r="F669" s="3"/>
      <c r="G669" s="3"/>
      <c r="H669" s="31">
        <f t="shared" ref="H669:H702" si="422">SUM(I669:J669)</f>
        <v>6726455.2502995022</v>
      </c>
      <c r="I669" s="94">
        <v>0</v>
      </c>
      <c r="J669" s="94">
        <f>SUM(K669:M669,P669,T669:V669)</f>
        <v>6726455.2502995022</v>
      </c>
      <c r="K669" s="31">
        <f>+Distribution!K669</f>
        <v>3260753.0515910774</v>
      </c>
      <c r="L669" s="31">
        <f>+Distribution!L669</f>
        <v>128972.63027239306</v>
      </c>
      <c r="M669" s="31">
        <f t="shared" ref="M669:M701" si="423">SUM(N669:O669)</f>
        <v>1920489.8482757821</v>
      </c>
      <c r="N669" s="31">
        <f>+Distribution!N669</f>
        <v>193175.39687988901</v>
      </c>
      <c r="O669" s="31">
        <f>+Distribution!O669</f>
        <v>1727314.451395893</v>
      </c>
      <c r="P669" s="9">
        <f t="shared" si="419"/>
        <v>544116.5308285245</v>
      </c>
      <c r="Q669" s="31">
        <f>+Distribution!Q669</f>
        <v>425992.24200444156</v>
      </c>
      <c r="R669" s="31">
        <f>+Distribution!R669</f>
        <v>34860.174762492941</v>
      </c>
      <c r="S669" s="31">
        <f>+Distribution!S669</f>
        <v>83264.114061590008</v>
      </c>
      <c r="T669" s="31">
        <f>+Distribution!T669</f>
        <v>872123.18933172501</v>
      </c>
      <c r="U669" s="31">
        <f>+Distribution!U669</f>
        <v>0</v>
      </c>
      <c r="V669" s="31">
        <f>+Distribution!V669</f>
        <v>0</v>
      </c>
      <c r="W669" s="27" t="str">
        <f t="shared" si="402"/>
        <v>OK</v>
      </c>
      <c r="X669" s="3"/>
      <c r="Y669" s="3"/>
      <c r="Z669" s="3"/>
      <c r="AA669" s="3"/>
      <c r="AB669" s="3"/>
      <c r="AC669" s="3"/>
    </row>
    <row r="670" spans="1:29" x14ac:dyDescent="0.2">
      <c r="A670" s="3">
        <f>+A669+1</f>
        <v>2</v>
      </c>
      <c r="B670" s="3" t="s">
        <v>583</v>
      </c>
      <c r="C670" s="3"/>
      <c r="D670" s="3" t="s">
        <v>614</v>
      </c>
      <c r="E670" s="3" t="s">
        <v>461</v>
      </c>
      <c r="F670" s="3"/>
      <c r="G670" s="3"/>
      <c r="H670" s="31">
        <f>SUM(I670:J670)</f>
        <v>6726455.2502995022</v>
      </c>
      <c r="I670" s="94">
        <v>0</v>
      </c>
      <c r="J670" s="94">
        <f t="shared" ref="J670:J733" si="424">SUM(K670:M670,P670,T670:V670)</f>
        <v>6726455.2502995022</v>
      </c>
      <c r="K670" s="31">
        <f>+Distribution!K670</f>
        <v>3260753.0515910774</v>
      </c>
      <c r="L670" s="31">
        <f>+Distribution!L670</f>
        <v>128972.63027239306</v>
      </c>
      <c r="M670" s="31">
        <f t="shared" si="423"/>
        <v>1920489.8482757821</v>
      </c>
      <c r="N670" s="31">
        <f>+Distribution!N670</f>
        <v>193175.39687988901</v>
      </c>
      <c r="O670" s="31">
        <f>+Distribution!O670</f>
        <v>1727314.451395893</v>
      </c>
      <c r="P670" s="9">
        <f t="shared" si="419"/>
        <v>544116.5308285245</v>
      </c>
      <c r="Q670" s="31">
        <f>+Distribution!Q670</f>
        <v>425992.24200444156</v>
      </c>
      <c r="R670" s="31">
        <f>+Distribution!R670</f>
        <v>34860.174762492941</v>
      </c>
      <c r="S670" s="31">
        <f>+Distribution!S670</f>
        <v>83264.114061590008</v>
      </c>
      <c r="T670" s="31">
        <f>+Distribution!T670</f>
        <v>872123.18933172501</v>
      </c>
      <c r="U670" s="31">
        <f>+Distribution!U670</f>
        <v>0</v>
      </c>
      <c r="V670" s="31">
        <f>+Distribution!V670</f>
        <v>0</v>
      </c>
      <c r="W670" s="27"/>
      <c r="X670" s="3"/>
      <c r="Y670" s="3"/>
      <c r="Z670" s="3"/>
      <c r="AA670" s="3"/>
      <c r="AB670" s="3"/>
      <c r="AC670" s="3"/>
    </row>
    <row r="671" spans="1:29" x14ac:dyDescent="0.2">
      <c r="A671" s="3">
        <f t="shared" ref="A671:A735" si="425">+A670+1</f>
        <v>3</v>
      </c>
      <c r="B671" s="3" t="s">
        <v>453</v>
      </c>
      <c r="C671" s="3"/>
      <c r="D671" s="3" t="s">
        <v>614</v>
      </c>
      <c r="E671" s="3" t="s">
        <v>367</v>
      </c>
      <c r="F671" s="3"/>
      <c r="G671" s="3"/>
      <c r="H671" s="31">
        <f t="shared" si="422"/>
        <v>5405175</v>
      </c>
      <c r="I671" s="94">
        <v>0</v>
      </c>
      <c r="J671" s="94">
        <f t="shared" si="424"/>
        <v>5405175</v>
      </c>
      <c r="K671" s="31">
        <f>+Distribution!K671</f>
        <v>2576796</v>
      </c>
      <c r="L671" s="31">
        <f>+Distribution!L671</f>
        <v>95632</v>
      </c>
      <c r="M671" s="31">
        <f t="shared" si="423"/>
        <v>1558412</v>
      </c>
      <c r="N671" s="31">
        <f>+Distribution!N671</f>
        <v>170419</v>
      </c>
      <c r="O671" s="31">
        <f>+Distribution!O671</f>
        <v>1387993</v>
      </c>
      <c r="P671" s="9">
        <f t="shared" si="419"/>
        <v>578236</v>
      </c>
      <c r="Q671" s="31">
        <f>+Distribution!Q671</f>
        <v>535452</v>
      </c>
      <c r="R671" s="31">
        <f>+Distribution!R671</f>
        <v>42784</v>
      </c>
      <c r="S671" s="31">
        <f>+Distribution!S671</f>
        <v>0</v>
      </c>
      <c r="T671" s="31">
        <f>+Distribution!T671</f>
        <v>596099</v>
      </c>
      <c r="U671" s="31">
        <v>0</v>
      </c>
      <c r="V671" s="31">
        <f>+Distribution!V671</f>
        <v>0</v>
      </c>
      <c r="W671" s="27" t="str">
        <f t="shared" ref="W671:W703" si="426">IF((+K671+L671+M671+P671+T671+U671+V671)-H671=0,"OK",(+K671+L671+M671+P671+T671+U671+V671)-H671)</f>
        <v>OK</v>
      </c>
      <c r="X671" s="3"/>
      <c r="Y671" s="3"/>
      <c r="Z671" s="3"/>
      <c r="AA671" s="3"/>
      <c r="AB671" s="3"/>
      <c r="AC671" s="3"/>
    </row>
    <row r="672" spans="1:29" x14ac:dyDescent="0.2">
      <c r="A672" s="3">
        <f t="shared" si="425"/>
        <v>4</v>
      </c>
      <c r="B672" s="3" t="s">
        <v>454</v>
      </c>
      <c r="C672" s="3"/>
      <c r="D672" s="3" t="s">
        <v>548</v>
      </c>
      <c r="E672" s="3" t="s">
        <v>368</v>
      </c>
      <c r="F672" s="3"/>
      <c r="G672" s="3"/>
      <c r="H672" s="31">
        <f t="shared" si="422"/>
        <v>7150536.8731108885</v>
      </c>
      <c r="I672" s="94">
        <v>0</v>
      </c>
      <c r="J672" s="94">
        <f t="shared" si="424"/>
        <v>7150536.8731108885</v>
      </c>
      <c r="K672" s="31">
        <f>+Distribution!K672</f>
        <v>4044549.9228943191</v>
      </c>
      <c r="L672" s="31">
        <f>+Distribution!L672</f>
        <v>141089.1404509588</v>
      </c>
      <c r="M672" s="31">
        <f t="shared" si="423"/>
        <v>2127839.398719538</v>
      </c>
      <c r="N672" s="31">
        <f>+Distribution!N672</f>
        <v>285723.82588124881</v>
      </c>
      <c r="O672" s="31">
        <f>+Distribution!O672</f>
        <v>1842115.5728382894</v>
      </c>
      <c r="P672" s="9">
        <f t="shared" si="419"/>
        <v>730743.3108918271</v>
      </c>
      <c r="Q672" s="31">
        <f>+Distribution!Q672</f>
        <v>594457.57680565922</v>
      </c>
      <c r="R672" s="31">
        <f>+Distribution!R672</f>
        <v>43018.378252648035</v>
      </c>
      <c r="S672" s="31">
        <f>+Distribution!S672</f>
        <v>93267.355833519832</v>
      </c>
      <c r="T672" s="31">
        <f>+Distribution!T672</f>
        <v>0</v>
      </c>
      <c r="U672" s="31">
        <f>+Distribution!U672</f>
        <v>79180.024151402962</v>
      </c>
      <c r="V672" s="31">
        <f>+Distribution!V672</f>
        <v>27135.076002842503</v>
      </c>
      <c r="W672" s="27" t="str">
        <f t="shared" si="426"/>
        <v>OK</v>
      </c>
      <c r="X672" s="3"/>
      <c r="Y672" s="3"/>
      <c r="Z672" s="3"/>
      <c r="AA672" s="3"/>
      <c r="AB672" s="3"/>
      <c r="AC672" s="3"/>
    </row>
    <row r="673" spans="1:29" x14ac:dyDescent="0.2">
      <c r="A673" s="3">
        <f t="shared" si="425"/>
        <v>5</v>
      </c>
      <c r="B673" s="3" t="s">
        <v>341</v>
      </c>
      <c r="C673" s="3"/>
      <c r="D673" s="3" t="s">
        <v>548</v>
      </c>
      <c r="E673" s="3" t="s">
        <v>369</v>
      </c>
      <c r="F673" s="3"/>
      <c r="G673" s="3"/>
      <c r="H673" s="31">
        <f t="shared" si="422"/>
        <v>6392658.4862162182</v>
      </c>
      <c r="I673" s="94">
        <v>0</v>
      </c>
      <c r="J673" s="94">
        <f t="shared" si="424"/>
        <v>6392658.4862162182</v>
      </c>
      <c r="K673" s="31">
        <f>+K672</f>
        <v>4044549.9228943191</v>
      </c>
      <c r="L673" s="31">
        <f>+L672</f>
        <v>141089.1404509588</v>
      </c>
      <c r="M673" s="31">
        <f t="shared" si="423"/>
        <v>2127839.398719538</v>
      </c>
      <c r="N673" s="31">
        <f>+N672</f>
        <v>285723.82588124881</v>
      </c>
      <c r="O673" s="31">
        <f>+O672</f>
        <v>1842115.5728382894</v>
      </c>
      <c r="P673" s="9">
        <f t="shared" si="419"/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f>+U672</f>
        <v>79180.024151402962</v>
      </c>
      <c r="V673" s="31">
        <f>+Distribution!V673</f>
        <v>0</v>
      </c>
      <c r="W673" s="27" t="str">
        <f t="shared" si="426"/>
        <v>OK</v>
      </c>
      <c r="X673" s="3"/>
      <c r="Y673" s="3"/>
      <c r="Z673" s="3"/>
      <c r="AA673" s="3"/>
      <c r="AB673" s="3"/>
      <c r="AC673" s="3"/>
    </row>
    <row r="674" spans="1:29" x14ac:dyDescent="0.2">
      <c r="A674" s="3">
        <f t="shared" si="425"/>
        <v>6</v>
      </c>
      <c r="B674" s="18" t="s">
        <v>319</v>
      </c>
      <c r="C674" s="18"/>
      <c r="D674" s="18" t="s">
        <v>547</v>
      </c>
      <c r="E674" s="18" t="s">
        <v>310</v>
      </c>
      <c r="F674" s="18"/>
      <c r="G674" s="18"/>
      <c r="H674" s="31">
        <f t="shared" si="422"/>
        <v>38295797001.651588</v>
      </c>
      <c r="I674" s="94">
        <v>0</v>
      </c>
      <c r="J674" s="94">
        <f t="shared" si="424"/>
        <v>38295797001.651588</v>
      </c>
      <c r="K674" s="31">
        <f>+Distribution!K674</f>
        <v>12589882555.539207</v>
      </c>
      <c r="L674" s="31">
        <f>+Distribution!L674</f>
        <v>672100106.11512482</v>
      </c>
      <c r="M674" s="31">
        <f t="shared" si="423"/>
        <v>9205057207.3266869</v>
      </c>
      <c r="N674" s="31">
        <f>+Distribution!N674</f>
        <v>1309566782.6682951</v>
      </c>
      <c r="O674" s="31">
        <f>+Distribution!O674</f>
        <v>7895490424.658391</v>
      </c>
      <c r="P674" s="9">
        <f t="shared" si="419"/>
        <v>4525071649.0120554</v>
      </c>
      <c r="Q674" s="31">
        <f>+Distribution!Q674</f>
        <v>3758114018.0188446</v>
      </c>
      <c r="R674" s="31">
        <f>+Distribution!R674</f>
        <v>261157650.99321082</v>
      </c>
      <c r="S674" s="31">
        <f>+Distribution!S674</f>
        <v>505799980</v>
      </c>
      <c r="T674" s="31">
        <f>+Distribution!T674</f>
        <v>11035696755.195988</v>
      </c>
      <c r="U674" s="31">
        <f>+Distribution!U674</f>
        <v>238384897.60503083</v>
      </c>
      <c r="V674" s="31">
        <f>+Distribution!V674</f>
        <v>29603830.857500002</v>
      </c>
      <c r="W674" s="27" t="str">
        <f t="shared" si="426"/>
        <v>OK</v>
      </c>
      <c r="X674" s="3"/>
      <c r="Y674" s="3"/>
      <c r="Z674" s="3"/>
      <c r="AA674" s="3"/>
      <c r="AB674" s="3"/>
      <c r="AC674" s="3"/>
    </row>
    <row r="675" spans="1:29" x14ac:dyDescent="0.2">
      <c r="A675" s="3">
        <f t="shared" si="425"/>
        <v>7</v>
      </c>
      <c r="B675" s="3" t="s">
        <v>365</v>
      </c>
      <c r="C675" s="3"/>
      <c r="D675" s="3" t="s">
        <v>533</v>
      </c>
      <c r="E675" s="3" t="s">
        <v>364</v>
      </c>
      <c r="F675" s="3"/>
      <c r="G675" s="3"/>
      <c r="H675" s="31">
        <f t="shared" si="422"/>
        <v>150624628.23955706</v>
      </c>
      <c r="I675" s="94">
        <v>0</v>
      </c>
      <c r="J675" s="94">
        <f t="shared" si="424"/>
        <v>150624628.23955706</v>
      </c>
      <c r="K675" s="31">
        <f>+Distribution!K675</f>
        <v>79181810.634783342</v>
      </c>
      <c r="L675" s="31">
        <f>+Distribution!L675</f>
        <v>2897445.3648867225</v>
      </c>
      <c r="M675" s="31">
        <f t="shared" si="423"/>
        <v>31023216.42432715</v>
      </c>
      <c r="N675" s="31">
        <f>+Distribution!N675</f>
        <v>3600643.1610355754</v>
      </c>
      <c r="O675" s="31">
        <f>+Distribution!O675</f>
        <v>27422573.263291575</v>
      </c>
      <c r="P675" s="9">
        <f t="shared" si="419"/>
        <v>10189737.794917222</v>
      </c>
      <c r="Q675" s="31">
        <f>+Distribution!Q675</f>
        <v>8299929.3328995882</v>
      </c>
      <c r="R675" s="31">
        <f>+Distribution!R675</f>
        <v>667793.64812638971</v>
      </c>
      <c r="S675" s="31">
        <f>+Distribution!S675</f>
        <v>1222014.813891246</v>
      </c>
      <c r="T675" s="31">
        <f>+Distribution!T675</f>
        <v>25972433.783929482</v>
      </c>
      <c r="U675" s="31">
        <f>+Distribution!U675</f>
        <v>809370.79648379341</v>
      </c>
      <c r="V675" s="31">
        <f>+Distribution!V675</f>
        <v>550613.44022935256</v>
      </c>
      <c r="W675" s="27" t="str">
        <f t="shared" si="426"/>
        <v>OK</v>
      </c>
      <c r="X675" s="3"/>
      <c r="Y675" s="3"/>
      <c r="Z675" s="3"/>
      <c r="AA675" s="3"/>
      <c r="AB675" s="3"/>
      <c r="AC675" s="3"/>
    </row>
    <row r="676" spans="1:29" x14ac:dyDescent="0.2">
      <c r="A676" s="3">
        <f t="shared" si="425"/>
        <v>8</v>
      </c>
      <c r="B676" s="3" t="s">
        <v>342</v>
      </c>
      <c r="C676" s="3"/>
      <c r="D676" s="3" t="s">
        <v>535</v>
      </c>
      <c r="E676" s="3" t="s">
        <v>345</v>
      </c>
      <c r="F676" s="3"/>
      <c r="G676" s="3"/>
      <c r="H676" s="31">
        <f t="shared" si="422"/>
        <v>1329631</v>
      </c>
      <c r="I676" s="94">
        <v>0</v>
      </c>
      <c r="J676" s="94">
        <f t="shared" si="424"/>
        <v>1329631</v>
      </c>
      <c r="K676" s="31">
        <f>+Distribution!K676</f>
        <v>935238</v>
      </c>
      <c r="L676" s="31">
        <f>+Distribution!L676</f>
        <v>99366</v>
      </c>
      <c r="M676" s="31">
        <f t="shared" si="423"/>
        <v>72409</v>
      </c>
      <c r="N676" s="31">
        <f>+Distribution!N676</f>
        <v>576</v>
      </c>
      <c r="O676" s="31">
        <f>+Distribution!O676</f>
        <v>71833</v>
      </c>
      <c r="P676" s="9">
        <f t="shared" si="419"/>
        <v>1086</v>
      </c>
      <c r="Q676" s="31">
        <f>+Distribution!Q676</f>
        <v>469</v>
      </c>
      <c r="R676" s="31">
        <f>+Distribution!R676</f>
        <v>550</v>
      </c>
      <c r="S676" s="31">
        <f>+Distribution!S676</f>
        <v>67</v>
      </c>
      <c r="T676" s="31">
        <f>+Distribution!T676</f>
        <v>123</v>
      </c>
      <c r="U676" s="31">
        <f>+Distribution!U676</f>
        <v>221390</v>
      </c>
      <c r="V676" s="31">
        <f>+Distribution!V676</f>
        <v>19</v>
      </c>
      <c r="W676" s="27" t="str">
        <f t="shared" si="426"/>
        <v>OK</v>
      </c>
      <c r="X676" s="3"/>
      <c r="Y676" s="3"/>
      <c r="Z676" s="3"/>
      <c r="AA676" s="3"/>
      <c r="AB676" s="3"/>
      <c r="AC676" s="3"/>
    </row>
    <row r="677" spans="1:29" x14ac:dyDescent="0.2">
      <c r="A677" s="3">
        <f t="shared" si="425"/>
        <v>9</v>
      </c>
      <c r="B677" s="3" t="s">
        <v>445</v>
      </c>
      <c r="C677" s="3"/>
      <c r="D677" s="3" t="s">
        <v>534</v>
      </c>
      <c r="E677" s="3" t="s">
        <v>446</v>
      </c>
      <c r="F677" s="3"/>
      <c r="G677" s="3"/>
      <c r="H677" s="31">
        <f t="shared" si="422"/>
        <v>1328350</v>
      </c>
      <c r="I677" s="94">
        <v>0</v>
      </c>
      <c r="J677" s="94">
        <f t="shared" si="424"/>
        <v>1328350</v>
      </c>
      <c r="K677" s="31">
        <f>+Distribution!K677</f>
        <v>935238</v>
      </c>
      <c r="L677" s="31">
        <f>+Distribution!L677</f>
        <v>99366</v>
      </c>
      <c r="M677" s="31">
        <f t="shared" si="423"/>
        <v>72409</v>
      </c>
      <c r="N677" s="31">
        <f>+Distribution!N677</f>
        <v>576</v>
      </c>
      <c r="O677" s="31">
        <f>+Distribution!O677</f>
        <v>71833</v>
      </c>
      <c r="P677" s="9">
        <f t="shared" si="419"/>
        <v>1086</v>
      </c>
      <c r="Q677" s="31">
        <f>+Distribution!Q677</f>
        <v>469</v>
      </c>
      <c r="R677" s="31">
        <f>+Distribution!R677</f>
        <v>550</v>
      </c>
      <c r="S677" s="31">
        <f>+Distribution!S677</f>
        <v>67</v>
      </c>
      <c r="T677" s="31">
        <f>+Distribution!T677</f>
        <v>0</v>
      </c>
      <c r="U677" s="31">
        <f>+Distribution!U677</f>
        <v>220232</v>
      </c>
      <c r="V677" s="31">
        <f>+Distribution!V677</f>
        <v>19</v>
      </c>
      <c r="W677" s="27" t="str">
        <f t="shared" si="426"/>
        <v>OK</v>
      </c>
      <c r="X677" s="3"/>
      <c r="Y677" s="3"/>
      <c r="Z677" s="3"/>
      <c r="AA677" s="3"/>
      <c r="AB677" s="3"/>
      <c r="AC677" s="3"/>
    </row>
    <row r="678" spans="1:29" x14ac:dyDescent="0.2">
      <c r="A678" s="3">
        <f t="shared" si="425"/>
        <v>10</v>
      </c>
      <c r="B678" s="3" t="s">
        <v>347</v>
      </c>
      <c r="C678" s="3"/>
      <c r="D678" s="3" t="s">
        <v>613</v>
      </c>
      <c r="E678" s="3" t="s">
        <v>343</v>
      </c>
      <c r="F678" s="3"/>
      <c r="G678" s="3"/>
      <c r="H678" s="31">
        <f t="shared" si="422"/>
        <v>1155398</v>
      </c>
      <c r="I678" s="94">
        <v>0</v>
      </c>
      <c r="J678" s="94">
        <f t="shared" si="424"/>
        <v>1155398</v>
      </c>
      <c r="K678" s="31">
        <f>+Distribution!K678</f>
        <v>935238</v>
      </c>
      <c r="L678" s="31">
        <f>+Distribution!L678</f>
        <v>94498</v>
      </c>
      <c r="M678" s="31">
        <f t="shared" si="423"/>
        <v>125662</v>
      </c>
      <c r="N678" s="31">
        <f>+Distribution!N678</f>
        <v>518</v>
      </c>
      <c r="O678" s="31">
        <f>+Distribution!O678</f>
        <v>125144</v>
      </c>
      <c r="P678" s="9">
        <f t="shared" si="419"/>
        <v>0</v>
      </c>
      <c r="Q678" s="31">
        <f>+Distribution!Q678</f>
        <v>0</v>
      </c>
      <c r="R678" s="31">
        <f>+Distribution!R678</f>
        <v>0</v>
      </c>
      <c r="S678" s="31">
        <f>+Distribution!S678</f>
        <v>0</v>
      </c>
      <c r="T678" s="31">
        <f>+Distribution!T678</f>
        <v>0</v>
      </c>
      <c r="U678" s="31">
        <f>+Distribution!U678</f>
        <v>0</v>
      </c>
      <c r="V678" s="31">
        <f>+Distribution!V678</f>
        <v>0</v>
      </c>
      <c r="W678" s="27" t="str">
        <f t="shared" si="426"/>
        <v>OK</v>
      </c>
      <c r="X678" s="3"/>
      <c r="Y678" s="3"/>
      <c r="Z678" s="3"/>
      <c r="AA678" s="3"/>
      <c r="AB678" s="3"/>
      <c r="AC678" s="3"/>
    </row>
    <row r="679" spans="1:29" x14ac:dyDescent="0.2">
      <c r="A679" s="3">
        <f t="shared" si="425"/>
        <v>11</v>
      </c>
      <c r="B679" s="3" t="s">
        <v>346</v>
      </c>
      <c r="C679" s="3"/>
      <c r="D679" s="3" t="s">
        <v>613</v>
      </c>
      <c r="E679" s="3" t="s">
        <v>344</v>
      </c>
      <c r="F679" s="3"/>
      <c r="G679" s="3"/>
      <c r="H679" s="31">
        <f t="shared" si="422"/>
        <v>1994932.7802414242</v>
      </c>
      <c r="I679" s="94">
        <v>0</v>
      </c>
      <c r="J679" s="94">
        <f t="shared" si="424"/>
        <v>1994932.7802414242</v>
      </c>
      <c r="K679" s="31">
        <f>+Distribution!K679</f>
        <v>935238</v>
      </c>
      <c r="L679" s="31">
        <f>+Distribution!L679</f>
        <v>177705.24038775123</v>
      </c>
      <c r="M679" s="31">
        <f t="shared" si="423"/>
        <v>705477.8436128865</v>
      </c>
      <c r="N679" s="31">
        <f>+Distribution!N679</f>
        <v>13763.351647210171</v>
      </c>
      <c r="O679" s="31">
        <f>+Distribution!O679</f>
        <v>691714.49196567631</v>
      </c>
      <c r="P679" s="9">
        <f t="shared" si="419"/>
        <v>94875.887253449953</v>
      </c>
      <c r="Q679" s="31">
        <f>+Distribution!Q679</f>
        <v>40973.104163782722</v>
      </c>
      <c r="R679" s="31">
        <f>+Distribution!R679</f>
        <v>48049.482494841133</v>
      </c>
      <c r="S679" s="31">
        <f>+Distribution!S679</f>
        <v>5853.3005948261025</v>
      </c>
      <c r="T679" s="31">
        <f>+Distribution!T679</f>
        <v>79975.917773878275</v>
      </c>
      <c r="U679" s="31">
        <f>+Distribution!U679</f>
        <v>0</v>
      </c>
      <c r="V679" s="31">
        <f>+Distribution!V679</f>
        <v>1659.8912134581485</v>
      </c>
      <c r="W679" s="27" t="str">
        <f t="shared" si="426"/>
        <v>OK</v>
      </c>
      <c r="X679" s="3"/>
      <c r="Y679" s="3"/>
      <c r="Z679" s="3"/>
      <c r="AA679" s="3"/>
      <c r="AB679" s="3"/>
      <c r="AC679" s="3"/>
    </row>
    <row r="680" spans="1:29" x14ac:dyDescent="0.2">
      <c r="A680" s="3">
        <f t="shared" si="425"/>
        <v>12</v>
      </c>
      <c r="B680" s="3" t="s">
        <v>348</v>
      </c>
      <c r="C680" s="3"/>
      <c r="D680" s="87" t="s">
        <v>76</v>
      </c>
      <c r="E680" s="3" t="s">
        <v>371</v>
      </c>
      <c r="F680" s="3"/>
      <c r="G680" s="3"/>
      <c r="H680" s="31">
        <f t="shared" si="422"/>
        <v>112909952.16154858</v>
      </c>
      <c r="I680" s="94">
        <v>0</v>
      </c>
      <c r="J680" s="94">
        <f t="shared" si="424"/>
        <v>112909952.16154858</v>
      </c>
      <c r="K680" s="31">
        <f>+Distribution!K680</f>
        <v>0</v>
      </c>
      <c r="L680" s="31">
        <f>+Distribution!L680</f>
        <v>0</v>
      </c>
      <c r="M680" s="31">
        <f t="shared" si="423"/>
        <v>0</v>
      </c>
      <c r="N680" s="31">
        <f>+Distribution!N680</f>
        <v>0</v>
      </c>
      <c r="O680" s="31">
        <f>+Distribution!O680</f>
        <v>0</v>
      </c>
      <c r="P680" s="9">
        <f t="shared" si="419"/>
        <v>0</v>
      </c>
      <c r="Q680" s="31">
        <f>+Distribution!Q680</f>
        <v>0</v>
      </c>
      <c r="R680" s="31">
        <f>+Distribution!R680</f>
        <v>0</v>
      </c>
      <c r="S680" s="31">
        <f>+Distribution!S680</f>
        <v>0</v>
      </c>
      <c r="T680" s="31">
        <f>+Distribution!T680</f>
        <v>0</v>
      </c>
      <c r="U680" s="31">
        <f>+Distribution!U680</f>
        <v>112909952.16154858</v>
      </c>
      <c r="V680" s="31">
        <f>+Distribution!V680</f>
        <v>0</v>
      </c>
      <c r="W680" s="27" t="str">
        <f t="shared" si="426"/>
        <v>OK</v>
      </c>
      <c r="X680" s="3"/>
      <c r="Y680" s="3"/>
      <c r="Z680" s="3"/>
      <c r="AA680" s="3"/>
      <c r="AB680" s="3"/>
      <c r="AC680" s="3"/>
    </row>
    <row r="681" spans="1:29" x14ac:dyDescent="0.2">
      <c r="A681" s="3">
        <f t="shared" si="425"/>
        <v>13</v>
      </c>
      <c r="B681" s="3" t="s">
        <v>349</v>
      </c>
      <c r="C681" s="3"/>
      <c r="D681" s="87" t="s">
        <v>80</v>
      </c>
      <c r="E681" s="3" t="s">
        <v>372</v>
      </c>
      <c r="F681" s="3"/>
      <c r="G681" s="3"/>
      <c r="H681" s="31">
        <f t="shared" si="422"/>
        <v>125474945.44348232</v>
      </c>
      <c r="I681" s="94">
        <v>0</v>
      </c>
      <c r="J681" s="94">
        <f t="shared" si="424"/>
        <v>125474945.44348232</v>
      </c>
      <c r="K681" s="31">
        <f>+Distribution!K681</f>
        <v>0</v>
      </c>
      <c r="L681" s="31">
        <f>+Distribution!L681</f>
        <v>0</v>
      </c>
      <c r="M681" s="31">
        <f t="shared" si="423"/>
        <v>0</v>
      </c>
      <c r="N681" s="31">
        <f>+Distribution!N681</f>
        <v>0</v>
      </c>
      <c r="O681" s="31">
        <f>+Distribution!O681</f>
        <v>0</v>
      </c>
      <c r="P681" s="9">
        <f t="shared" si="419"/>
        <v>0</v>
      </c>
      <c r="Q681" s="31">
        <f>+Distribution!Q681</f>
        <v>0</v>
      </c>
      <c r="R681" s="31">
        <f>+Distribution!R681</f>
        <v>0</v>
      </c>
      <c r="S681" s="31">
        <f>+Distribution!S681</f>
        <v>0</v>
      </c>
      <c r="T681" s="31">
        <f>+Distribution!T681</f>
        <v>0</v>
      </c>
      <c r="U681" s="31">
        <f>+Distribution!U681</f>
        <v>125474945.44348232</v>
      </c>
      <c r="V681" s="31">
        <f>+Distribution!V681</f>
        <v>0</v>
      </c>
      <c r="W681" s="27" t="str">
        <f t="shared" si="426"/>
        <v>OK</v>
      </c>
      <c r="X681" s="3"/>
      <c r="Y681" s="3"/>
      <c r="Z681" s="3"/>
      <c r="AA681" s="3"/>
      <c r="AB681" s="3"/>
      <c r="AC681" s="3"/>
    </row>
    <row r="682" spans="1:29" x14ac:dyDescent="0.2">
      <c r="A682" s="3">
        <f t="shared" si="425"/>
        <v>14</v>
      </c>
      <c r="B682" s="3" t="s">
        <v>809</v>
      </c>
      <c r="C682" s="3"/>
      <c r="D682" s="3" t="s">
        <v>613</v>
      </c>
      <c r="E682" s="3" t="s">
        <v>373</v>
      </c>
      <c r="F682" s="3"/>
      <c r="G682" s="3"/>
      <c r="H682" s="31">
        <f t="shared" si="422"/>
        <v>1107122</v>
      </c>
      <c r="I682" s="94">
        <v>0</v>
      </c>
      <c r="J682" s="94">
        <f t="shared" si="424"/>
        <v>1107122</v>
      </c>
      <c r="K682" s="31">
        <f>+Distribution!K682</f>
        <v>935238</v>
      </c>
      <c r="L682" s="31">
        <f>+Distribution!L682</f>
        <v>97741</v>
      </c>
      <c r="M682" s="31">
        <f t="shared" si="423"/>
        <v>73006</v>
      </c>
      <c r="N682" s="31">
        <f>+Distribution!N682</f>
        <v>581</v>
      </c>
      <c r="O682" s="31">
        <f>+Distribution!O682</f>
        <v>72425</v>
      </c>
      <c r="P682" s="9">
        <f t="shared" si="419"/>
        <v>1117</v>
      </c>
      <c r="Q682" s="31">
        <f>+Distribution!Q682</f>
        <v>482</v>
      </c>
      <c r="R682" s="31">
        <f>+Distribution!R682</f>
        <v>566</v>
      </c>
      <c r="S682" s="31">
        <f>+Distribution!S682</f>
        <v>69</v>
      </c>
      <c r="T682" s="31">
        <f>+Distribution!T682</f>
        <v>0</v>
      </c>
      <c r="U682" s="31">
        <f>+Distribution!U682</f>
        <v>0</v>
      </c>
      <c r="V682" s="31">
        <f>+Distribution!V682</f>
        <v>20</v>
      </c>
      <c r="W682" s="27" t="str">
        <f t="shared" si="426"/>
        <v>OK</v>
      </c>
      <c r="X682" s="3"/>
      <c r="Y682" s="3"/>
      <c r="Z682" s="3"/>
      <c r="AA682" s="3"/>
      <c r="AB682" s="3"/>
      <c r="AC682" s="3"/>
    </row>
    <row r="683" spans="1:29" x14ac:dyDescent="0.2">
      <c r="A683" s="3">
        <f t="shared" si="425"/>
        <v>15</v>
      </c>
      <c r="B683" s="3" t="s">
        <v>810</v>
      </c>
      <c r="C683" s="3"/>
      <c r="D683" s="3" t="s">
        <v>613</v>
      </c>
      <c r="E683" s="3" t="s">
        <v>374</v>
      </c>
      <c r="F683" s="3"/>
      <c r="G683" s="3"/>
      <c r="H683" s="31">
        <f t="shared" si="422"/>
        <v>1110889.1666666667</v>
      </c>
      <c r="I683" s="94">
        <v>0</v>
      </c>
      <c r="J683" s="94">
        <f t="shared" si="424"/>
        <v>1110889.1666666667</v>
      </c>
      <c r="K683" s="31">
        <f>+Distribution!K683</f>
        <v>935238</v>
      </c>
      <c r="L683" s="31">
        <f>+Distribution!L683</f>
        <v>99366</v>
      </c>
      <c r="M683" s="31">
        <f t="shared" si="423"/>
        <v>72409</v>
      </c>
      <c r="N683" s="31">
        <f>+Distribution!N683</f>
        <v>576</v>
      </c>
      <c r="O683" s="31">
        <f>+Distribution!O683</f>
        <v>71833</v>
      </c>
      <c r="P683" s="9">
        <f t="shared" si="419"/>
        <v>1105</v>
      </c>
      <c r="Q683" s="31">
        <f>+Distribution!Q683</f>
        <v>469</v>
      </c>
      <c r="R683" s="31">
        <f>+Distribution!R683</f>
        <v>550</v>
      </c>
      <c r="S683" s="31">
        <f>+Distribution!S683</f>
        <v>86</v>
      </c>
      <c r="T683" s="31">
        <f>+Distribution!T683</f>
        <v>124.16666666666667</v>
      </c>
      <c r="U683" s="31">
        <f>+Distribution!U683</f>
        <v>2628</v>
      </c>
      <c r="V683" s="31">
        <f>+Distribution!V683</f>
        <v>19</v>
      </c>
      <c r="W683" s="27" t="str">
        <f t="shared" si="426"/>
        <v>OK</v>
      </c>
      <c r="X683" s="3"/>
      <c r="Y683" s="3"/>
      <c r="Z683" s="3"/>
      <c r="AA683" s="3"/>
      <c r="AB683" s="3"/>
      <c r="AC683" s="3"/>
    </row>
    <row r="684" spans="1:29" x14ac:dyDescent="0.2">
      <c r="A684" s="3">
        <f t="shared" si="425"/>
        <v>16</v>
      </c>
      <c r="B684" s="3" t="s">
        <v>134</v>
      </c>
      <c r="C684" s="3"/>
      <c r="D684" s="3"/>
      <c r="E684" s="3" t="s">
        <v>428</v>
      </c>
      <c r="F684" s="3"/>
      <c r="G684" s="3"/>
      <c r="H684" s="31">
        <f t="shared" si="422"/>
        <v>0</v>
      </c>
      <c r="I684" s="94">
        <v>0</v>
      </c>
      <c r="J684" s="94">
        <f t="shared" si="424"/>
        <v>0</v>
      </c>
      <c r="K684" s="31">
        <f>+Distribution!K684</f>
        <v>0</v>
      </c>
      <c r="L684" s="31">
        <f>+Distribution!L684</f>
        <v>0</v>
      </c>
      <c r="M684" s="31">
        <f t="shared" si="423"/>
        <v>0</v>
      </c>
      <c r="N684" s="31">
        <f>+Distribution!N684</f>
        <v>0</v>
      </c>
      <c r="O684" s="31">
        <f>+Distribution!O684</f>
        <v>0</v>
      </c>
      <c r="P684" s="9">
        <f t="shared" si="419"/>
        <v>0</v>
      </c>
      <c r="Q684" s="31">
        <f>+Distribution!Q684</f>
        <v>0</v>
      </c>
      <c r="R684" s="31">
        <f>+Distribution!R684</f>
        <v>0</v>
      </c>
      <c r="S684" s="31">
        <f>+Distribution!S684</f>
        <v>0</v>
      </c>
      <c r="T684" s="31">
        <f>+Distribution!T684</f>
        <v>0</v>
      </c>
      <c r="U684" s="31">
        <f>+Distribution!U684</f>
        <v>0</v>
      </c>
      <c r="V684" s="31">
        <f>+Distribution!V684</f>
        <v>0</v>
      </c>
      <c r="W684" s="27" t="str">
        <f t="shared" si="426"/>
        <v>OK</v>
      </c>
      <c r="X684" s="3"/>
      <c r="Y684" s="3"/>
      <c r="Z684" s="3"/>
      <c r="AA684" s="3"/>
      <c r="AB684" s="3"/>
      <c r="AC684" s="3"/>
    </row>
    <row r="685" spans="1:29" x14ac:dyDescent="0.2">
      <c r="A685" s="3">
        <f t="shared" si="425"/>
        <v>17</v>
      </c>
      <c r="B685" s="3" t="s">
        <v>356</v>
      </c>
      <c r="C685" s="3"/>
      <c r="D685" s="3"/>
      <c r="E685" s="3" t="s">
        <v>370</v>
      </c>
      <c r="F685" s="3"/>
      <c r="G685" s="3"/>
      <c r="H685" s="31">
        <f t="shared" ca="1" si="422"/>
        <v>5649378.5404194035</v>
      </c>
      <c r="I685" s="94">
        <v>0</v>
      </c>
      <c r="J685" s="94">
        <f t="shared" ca="1" si="424"/>
        <v>5649378.5404194035</v>
      </c>
      <c r="K685" s="31">
        <f ca="1">+K636</f>
        <v>2648501.9239066481</v>
      </c>
      <c r="L685" s="31">
        <f ca="1">+L636</f>
        <v>503212.02539592859</v>
      </c>
      <c r="M685" s="31">
        <f t="shared" ca="1" si="423"/>
        <v>1997797.1220636847</v>
      </c>
      <c r="N685" s="31">
        <f ca="1">+N636</f>
        <v>38987.891456551297</v>
      </c>
      <c r="O685" s="31">
        <f ca="1">+O636</f>
        <v>1958809.2306071334</v>
      </c>
      <c r="P685" s="9">
        <f t="shared" ca="1" si="419"/>
        <v>268695.36910004372</v>
      </c>
      <c r="Q685" s="31">
        <f t="shared" ref="Q685:V685" ca="1" si="427">+Q636</f>
        <v>116052.8897094423</v>
      </c>
      <c r="R685" s="31">
        <f t="shared" ca="1" si="427"/>
        <v>136063.07330273674</v>
      </c>
      <c r="S685" s="31">
        <f t="shared" ca="1" si="427"/>
        <v>16579.4060878647</v>
      </c>
      <c r="T685" s="31">
        <f t="shared" ca="1" si="427"/>
        <v>226466.43998489485</v>
      </c>
      <c r="U685" s="31">
        <f t="shared" ca="1" si="427"/>
        <v>4.0026617193854008</v>
      </c>
      <c r="V685" s="31">
        <f t="shared" ca="1" si="427"/>
        <v>4701.6573064837785</v>
      </c>
      <c r="W685" s="27" t="str">
        <f t="shared" ca="1" si="426"/>
        <v>OK</v>
      </c>
      <c r="X685" s="3"/>
      <c r="Y685" s="3"/>
      <c r="Z685" s="3"/>
      <c r="AA685" s="3"/>
      <c r="AB685" s="3"/>
      <c r="AC685" s="3"/>
    </row>
    <row r="686" spans="1:29" x14ac:dyDescent="0.2">
      <c r="A686" s="3">
        <f t="shared" si="425"/>
        <v>18</v>
      </c>
      <c r="B686" s="3" t="s">
        <v>796</v>
      </c>
      <c r="C686" s="3"/>
      <c r="D686" s="3"/>
      <c r="E686" s="3" t="s">
        <v>797</v>
      </c>
      <c r="F686" s="3"/>
      <c r="G686" s="3"/>
      <c r="H686" s="31">
        <f t="shared" si="422"/>
        <v>73637</v>
      </c>
      <c r="I686" s="94">
        <v>0</v>
      </c>
      <c r="J686" s="94">
        <f t="shared" si="424"/>
        <v>73637</v>
      </c>
      <c r="K686" s="31">
        <f>+Distribution!K686</f>
        <v>0</v>
      </c>
      <c r="L686" s="31">
        <f>+Distribution!L686</f>
        <v>0</v>
      </c>
      <c r="M686" s="31">
        <f t="shared" si="423"/>
        <v>72409</v>
      </c>
      <c r="N686" s="31">
        <f>+Distribution!N686</f>
        <v>576</v>
      </c>
      <c r="O686" s="31">
        <f>+Distribution!O686</f>
        <v>71833</v>
      </c>
      <c r="P686" s="9">
        <f t="shared" si="419"/>
        <v>1086</v>
      </c>
      <c r="Q686" s="31">
        <f>+Distribution!Q686</f>
        <v>469</v>
      </c>
      <c r="R686" s="31">
        <f>+Distribution!R686</f>
        <v>550</v>
      </c>
      <c r="S686" s="31">
        <f>+Distribution!S686</f>
        <v>67</v>
      </c>
      <c r="T686" s="31">
        <f>+Distribution!T686</f>
        <v>123</v>
      </c>
      <c r="U686" s="31">
        <f>+Distribution!U686</f>
        <v>0</v>
      </c>
      <c r="V686" s="31">
        <f>+Distribution!V686</f>
        <v>19</v>
      </c>
      <c r="W686" s="27" t="str">
        <f t="shared" si="426"/>
        <v>OK</v>
      </c>
      <c r="X686" s="3"/>
      <c r="Y686" s="3"/>
      <c r="Z686" s="3"/>
      <c r="AA686" s="3"/>
      <c r="AB686" s="3"/>
      <c r="AC686" s="3"/>
    </row>
    <row r="687" spans="1:29" x14ac:dyDescent="0.2">
      <c r="A687" s="3">
        <f t="shared" si="425"/>
        <v>19</v>
      </c>
      <c r="B687" s="3" t="s">
        <v>823</v>
      </c>
      <c r="C687" s="3"/>
      <c r="D687" s="3"/>
      <c r="E687" s="3" t="s">
        <v>824</v>
      </c>
      <c r="F687" s="3"/>
      <c r="G687" s="3"/>
      <c r="H687" s="31">
        <f t="shared" ref="H687" si="428">SUM(I687:J687)</f>
        <v>1255994</v>
      </c>
      <c r="I687" s="94">
        <v>0</v>
      </c>
      <c r="J687" s="94">
        <f t="shared" si="424"/>
        <v>1255994</v>
      </c>
      <c r="K687" s="31">
        <f>+Distribution!K687</f>
        <v>935238</v>
      </c>
      <c r="L687" s="31">
        <f>+Distribution!L687</f>
        <v>99366</v>
      </c>
      <c r="M687" s="31">
        <f t="shared" ref="M687" si="429">SUM(N687:O687)</f>
        <v>0</v>
      </c>
      <c r="N687" s="31">
        <f>+Distribution!N687</f>
        <v>0</v>
      </c>
      <c r="O687" s="31">
        <f>+Distribution!O687</f>
        <v>0</v>
      </c>
      <c r="P687" s="9">
        <f t="shared" ref="P687" si="430">SUM(Q687:S687)</f>
        <v>0</v>
      </c>
      <c r="Q687" s="31">
        <f>+Distribution!Q687</f>
        <v>0</v>
      </c>
      <c r="R687" s="31">
        <f>+Distribution!R687</f>
        <v>0</v>
      </c>
      <c r="S687" s="31">
        <f>+Distribution!S687</f>
        <v>0</v>
      </c>
      <c r="T687" s="31">
        <f>+Distribution!T687</f>
        <v>0</v>
      </c>
      <c r="U687" s="31">
        <f>+Distribution!U687</f>
        <v>221390</v>
      </c>
      <c r="V687" s="31">
        <f>+Distribution!V687</f>
        <v>0</v>
      </c>
      <c r="W687" s="27" t="str">
        <f t="shared" si="426"/>
        <v>OK</v>
      </c>
      <c r="X687" s="3"/>
      <c r="Y687" s="3"/>
      <c r="Z687" s="3"/>
      <c r="AA687" s="3"/>
      <c r="AB687" s="3"/>
      <c r="AC687" s="3"/>
    </row>
    <row r="688" spans="1:29" x14ac:dyDescent="0.2">
      <c r="A688" s="3">
        <f t="shared" si="425"/>
        <v>20</v>
      </c>
      <c r="B688" s="3" t="s">
        <v>455</v>
      </c>
      <c r="C688" s="3"/>
      <c r="D688" s="3"/>
      <c r="E688" s="3" t="s">
        <v>458</v>
      </c>
      <c r="F688" s="3"/>
      <c r="G688" s="3"/>
      <c r="H688" s="31">
        <f t="shared" si="422"/>
        <v>38295797001.651588</v>
      </c>
      <c r="I688" s="94">
        <v>0</v>
      </c>
      <c r="J688" s="94">
        <f t="shared" si="424"/>
        <v>38295797001.651588</v>
      </c>
      <c r="K688" s="31">
        <f>+Distribution!K688</f>
        <v>12589882555.539207</v>
      </c>
      <c r="L688" s="31">
        <f>+Distribution!L688</f>
        <v>672100106.11512482</v>
      </c>
      <c r="M688" s="31">
        <f t="shared" si="423"/>
        <v>9205057207.3266869</v>
      </c>
      <c r="N688" s="31">
        <f>+Distribution!N688</f>
        <v>1309566782.6682951</v>
      </c>
      <c r="O688" s="31">
        <f>+Distribution!O688</f>
        <v>7895490424.658391</v>
      </c>
      <c r="P688" s="9">
        <f t="shared" si="419"/>
        <v>4525071649.0120554</v>
      </c>
      <c r="Q688" s="31">
        <f>+Distribution!Q688</f>
        <v>3758114018.0188446</v>
      </c>
      <c r="R688" s="31">
        <f>+Distribution!R688</f>
        <v>261157650.99321082</v>
      </c>
      <c r="S688" s="31">
        <f>+Distribution!S688</f>
        <v>505799980</v>
      </c>
      <c r="T688" s="31">
        <f>+Distribution!T688</f>
        <v>11035696755.195988</v>
      </c>
      <c r="U688" s="31">
        <f>+Distribution!U688</f>
        <v>238384897.60503083</v>
      </c>
      <c r="V688" s="31">
        <f>+Distribution!V688</f>
        <v>29603830.857500002</v>
      </c>
      <c r="W688" s="27" t="str">
        <f t="shared" si="426"/>
        <v>OK</v>
      </c>
      <c r="X688" s="3"/>
      <c r="Y688" s="3"/>
      <c r="Z688" s="3"/>
      <c r="AA688" s="3"/>
      <c r="AB688" s="3"/>
      <c r="AC688" s="3"/>
    </row>
    <row r="689" spans="1:29" x14ac:dyDescent="0.2">
      <c r="A689" s="3">
        <f t="shared" si="425"/>
        <v>21</v>
      </c>
      <c r="B689" s="3" t="s">
        <v>456</v>
      </c>
      <c r="C689" s="3"/>
      <c r="D689" s="3" t="s">
        <v>547</v>
      </c>
      <c r="E689" s="3" t="s">
        <v>459</v>
      </c>
      <c r="F689" s="3"/>
      <c r="G689" s="3"/>
      <c r="H689" s="31">
        <f t="shared" si="422"/>
        <v>38295797001.651588</v>
      </c>
      <c r="I689" s="94">
        <v>0</v>
      </c>
      <c r="J689" s="94">
        <f t="shared" si="424"/>
        <v>38295797001.651588</v>
      </c>
      <c r="K689" s="31">
        <f t="shared" ref="K689:U689" si="431">K688</f>
        <v>12589882555.539207</v>
      </c>
      <c r="L689" s="31">
        <f t="shared" si="431"/>
        <v>672100106.11512482</v>
      </c>
      <c r="M689" s="31">
        <f t="shared" si="423"/>
        <v>9205057207.3266869</v>
      </c>
      <c r="N689" s="31">
        <f t="shared" si="431"/>
        <v>1309566782.6682951</v>
      </c>
      <c r="O689" s="31">
        <f t="shared" si="431"/>
        <v>7895490424.658391</v>
      </c>
      <c r="P689" s="9">
        <f t="shared" si="419"/>
        <v>4525071649.0120554</v>
      </c>
      <c r="Q689" s="31">
        <f t="shared" si="431"/>
        <v>3758114018.0188446</v>
      </c>
      <c r="R689" s="31">
        <f t="shared" si="431"/>
        <v>261157650.99321082</v>
      </c>
      <c r="S689" s="31">
        <f>S688</f>
        <v>505799980</v>
      </c>
      <c r="T689" s="31">
        <f t="shared" si="431"/>
        <v>11035696755.195988</v>
      </c>
      <c r="U689" s="31">
        <f t="shared" si="431"/>
        <v>238384897.60503083</v>
      </c>
      <c r="V689" s="31">
        <f t="shared" ref="V689" si="432">V688</f>
        <v>29603830.857500002</v>
      </c>
      <c r="W689" s="27" t="str">
        <f t="shared" si="426"/>
        <v>OK</v>
      </c>
      <c r="X689" s="3"/>
      <c r="Y689" s="3"/>
      <c r="Z689" s="3"/>
      <c r="AA689" s="3"/>
      <c r="AB689" s="3"/>
      <c r="AC689" s="3"/>
    </row>
    <row r="690" spans="1:29" x14ac:dyDescent="0.2">
      <c r="A690" s="3">
        <f t="shared" si="425"/>
        <v>22</v>
      </c>
      <c r="B690" s="3" t="s">
        <v>457</v>
      </c>
      <c r="C690" s="3"/>
      <c r="D690" s="3" t="s">
        <v>547</v>
      </c>
      <c r="E690" s="3" t="s">
        <v>460</v>
      </c>
      <c r="F690" s="3"/>
      <c r="G690" s="3"/>
      <c r="H690" s="31">
        <f t="shared" si="422"/>
        <v>40432437272.627991</v>
      </c>
      <c r="I690" s="94">
        <v>0</v>
      </c>
      <c r="J690" s="94">
        <f t="shared" si="424"/>
        <v>40432437272.627991</v>
      </c>
      <c r="K690" s="31">
        <f>+Distribution!K690</f>
        <v>13539159700.226864</v>
      </c>
      <c r="L690" s="31">
        <f>+Distribution!L690</f>
        <v>722776454.1162051</v>
      </c>
      <c r="M690" s="31">
        <f t="shared" si="423"/>
        <v>9899118520.7591171</v>
      </c>
      <c r="N690" s="31">
        <f>+Distribution!N690</f>
        <v>1408308118.0814846</v>
      </c>
      <c r="O690" s="31">
        <f>+Distribution!O690</f>
        <v>8490810402.6776323</v>
      </c>
      <c r="P690" s="9">
        <f t="shared" si="419"/>
        <v>4727025596.7074633</v>
      </c>
      <c r="Q690" s="31">
        <f>+Distribution!Q690</f>
        <v>3925838646.6430254</v>
      </c>
      <c r="R690" s="31">
        <f>+Distribution!R690</f>
        <v>272813116.95703781</v>
      </c>
      <c r="S690" s="31">
        <f>+Distribution!S690</f>
        <v>528373833.10739994</v>
      </c>
      <c r="T690" s="31">
        <f>+Distribution!T690</f>
        <v>11257072832.105221</v>
      </c>
      <c r="U690" s="31">
        <f>+Distribution!U690</f>
        <v>256359118.88445011</v>
      </c>
      <c r="V690" s="31">
        <f>+Distribution!V690</f>
        <v>30925049.828670219</v>
      </c>
      <c r="W690" s="27" t="str">
        <f t="shared" si="426"/>
        <v>OK</v>
      </c>
      <c r="X690" s="3"/>
      <c r="Y690" s="3"/>
      <c r="Z690" s="3"/>
      <c r="AA690" s="3"/>
      <c r="AB690" s="3"/>
      <c r="AC690" s="3"/>
    </row>
    <row r="691" spans="1:29" x14ac:dyDescent="0.2">
      <c r="A691" s="3">
        <f t="shared" si="425"/>
        <v>23</v>
      </c>
      <c r="B691" s="3" t="s">
        <v>33</v>
      </c>
      <c r="C691" s="3"/>
      <c r="D691" s="3"/>
      <c r="E691" s="3" t="s">
        <v>325</v>
      </c>
      <c r="F691" s="3"/>
      <c r="G691" s="3"/>
      <c r="H691" s="31">
        <f t="shared" si="422"/>
        <v>0</v>
      </c>
      <c r="I691" s="94">
        <v>0</v>
      </c>
      <c r="J691" s="94">
        <f t="shared" si="424"/>
        <v>0</v>
      </c>
      <c r="K691" s="31">
        <f t="shared" ref="K691:V691" si="433">K111</f>
        <v>0</v>
      </c>
      <c r="L691" s="31">
        <f t="shared" si="433"/>
        <v>0</v>
      </c>
      <c r="M691" s="31">
        <f t="shared" si="423"/>
        <v>0</v>
      </c>
      <c r="N691" s="31">
        <f t="shared" si="433"/>
        <v>0</v>
      </c>
      <c r="O691" s="31">
        <f t="shared" si="433"/>
        <v>0</v>
      </c>
      <c r="P691" s="9">
        <f t="shared" si="419"/>
        <v>0</v>
      </c>
      <c r="Q691" s="31">
        <f t="shared" si="433"/>
        <v>0</v>
      </c>
      <c r="R691" s="31">
        <f t="shared" si="433"/>
        <v>0</v>
      </c>
      <c r="S691" s="31">
        <f>S111</f>
        <v>0</v>
      </c>
      <c r="T691" s="31">
        <f t="shared" si="433"/>
        <v>0</v>
      </c>
      <c r="U691" s="31">
        <f t="shared" si="433"/>
        <v>0</v>
      </c>
      <c r="V691" s="31">
        <f t="shared" si="433"/>
        <v>0</v>
      </c>
      <c r="W691" s="27" t="str">
        <f t="shared" si="426"/>
        <v>OK</v>
      </c>
      <c r="X691" s="3"/>
      <c r="Y691" s="3"/>
      <c r="Z691" s="3"/>
      <c r="AA691" s="3"/>
      <c r="AB691" s="3"/>
      <c r="AC691" s="3"/>
    </row>
    <row r="692" spans="1:29" x14ac:dyDescent="0.2">
      <c r="A692" s="3">
        <f t="shared" si="425"/>
        <v>24</v>
      </c>
      <c r="B692" s="3" t="s">
        <v>378</v>
      </c>
      <c r="C692" s="3"/>
      <c r="D692" s="3"/>
      <c r="E692" s="3" t="s">
        <v>386</v>
      </c>
      <c r="F692" s="3"/>
      <c r="G692" s="3"/>
      <c r="H692" s="31">
        <f t="shared" si="422"/>
        <v>0</v>
      </c>
      <c r="I692" s="94">
        <v>0</v>
      </c>
      <c r="J692" s="94">
        <f t="shared" si="424"/>
        <v>0</v>
      </c>
      <c r="K692" s="31">
        <f t="shared" ref="K692:V692" si="434">K111</f>
        <v>0</v>
      </c>
      <c r="L692" s="31">
        <f t="shared" si="434"/>
        <v>0</v>
      </c>
      <c r="M692" s="31">
        <f t="shared" si="423"/>
        <v>0</v>
      </c>
      <c r="N692" s="31">
        <f t="shared" si="434"/>
        <v>0</v>
      </c>
      <c r="O692" s="31">
        <f t="shared" si="434"/>
        <v>0</v>
      </c>
      <c r="P692" s="9">
        <f t="shared" si="419"/>
        <v>0</v>
      </c>
      <c r="Q692" s="31">
        <f t="shared" si="434"/>
        <v>0</v>
      </c>
      <c r="R692" s="31">
        <f t="shared" si="434"/>
        <v>0</v>
      </c>
      <c r="S692" s="31">
        <f>S111</f>
        <v>0</v>
      </c>
      <c r="T692" s="31">
        <f t="shared" si="434"/>
        <v>0</v>
      </c>
      <c r="U692" s="31">
        <f t="shared" si="434"/>
        <v>0</v>
      </c>
      <c r="V692" s="31">
        <f t="shared" si="434"/>
        <v>0</v>
      </c>
      <c r="W692" s="27" t="str">
        <f t="shared" si="426"/>
        <v>OK</v>
      </c>
      <c r="X692" s="3"/>
      <c r="Y692" s="3"/>
      <c r="Z692" s="3"/>
      <c r="AA692" s="3"/>
      <c r="AB692" s="3"/>
      <c r="AC692" s="3"/>
    </row>
    <row r="693" spans="1:29" x14ac:dyDescent="0.2">
      <c r="A693" s="3">
        <f t="shared" si="425"/>
        <v>25</v>
      </c>
      <c r="B693" s="3" t="s">
        <v>379</v>
      </c>
      <c r="C693" s="3"/>
      <c r="D693" s="3"/>
      <c r="E693" s="3" t="s">
        <v>387</v>
      </c>
      <c r="F693" s="3"/>
      <c r="G693" s="3"/>
      <c r="H693" s="31">
        <f t="shared" si="422"/>
        <v>0</v>
      </c>
      <c r="I693" s="94">
        <v>0</v>
      </c>
      <c r="J693" s="94">
        <f t="shared" si="424"/>
        <v>0</v>
      </c>
      <c r="K693" s="31"/>
      <c r="L693" s="31"/>
      <c r="M693" s="31">
        <f t="shared" si="423"/>
        <v>0</v>
      </c>
      <c r="N693" s="31"/>
      <c r="O693" s="31"/>
      <c r="P693" s="9">
        <f t="shared" si="419"/>
        <v>0</v>
      </c>
      <c r="Q693" s="31"/>
      <c r="R693" s="31"/>
      <c r="S693" s="31"/>
      <c r="T693" s="31"/>
      <c r="U693" s="31"/>
      <c r="V693" s="31"/>
      <c r="W693" s="27" t="str">
        <f t="shared" si="426"/>
        <v>OK</v>
      </c>
      <c r="X693" s="3"/>
      <c r="Y693" s="3"/>
      <c r="Z693" s="3"/>
      <c r="AA693" s="3"/>
      <c r="AB693" s="3"/>
      <c r="AC693" s="3"/>
    </row>
    <row r="694" spans="1:29" x14ac:dyDescent="0.2">
      <c r="A694" s="3">
        <f t="shared" si="425"/>
        <v>26</v>
      </c>
      <c r="B694" s="3" t="s">
        <v>52</v>
      </c>
      <c r="C694" s="3"/>
      <c r="D694" s="3"/>
      <c r="E694" s="3" t="s">
        <v>331</v>
      </c>
      <c r="F694" s="3"/>
      <c r="G694" s="3"/>
      <c r="H694" s="31">
        <f t="shared" si="422"/>
        <v>211521861.99108088</v>
      </c>
      <c r="I694" s="94">
        <v>0</v>
      </c>
      <c r="J694" s="94">
        <f t="shared" si="424"/>
        <v>211521861.99108088</v>
      </c>
      <c r="K694" s="31">
        <f t="shared" ref="K694:V694" si="435">K147</f>
        <v>99162881.638986453</v>
      </c>
      <c r="L694" s="31">
        <f t="shared" si="435"/>
        <v>18842009.968797471</v>
      </c>
      <c r="M694" s="31">
        <f t="shared" si="423"/>
        <v>74801511.385457024</v>
      </c>
      <c r="N694" s="31">
        <f t="shared" si="435"/>
        <v>1459322.2370648449</v>
      </c>
      <c r="O694" s="31">
        <f t="shared" si="435"/>
        <v>73342189.148392186</v>
      </c>
      <c r="P694" s="9">
        <f t="shared" si="419"/>
        <v>10059649.392034627</v>
      </c>
      <c r="Q694" s="31">
        <f t="shared" si="435"/>
        <v>4344360.556965231</v>
      </c>
      <c r="R694" s="31">
        <f t="shared" si="435"/>
        <v>5094665.8983600782</v>
      </c>
      <c r="S694" s="31">
        <f>S147</f>
        <v>620622.93670931866</v>
      </c>
      <c r="T694" s="31">
        <f t="shared" si="435"/>
        <v>8479812.0565892365</v>
      </c>
      <c r="U694" s="31">
        <f t="shared" si="435"/>
        <v>0</v>
      </c>
      <c r="V694" s="31">
        <f t="shared" si="435"/>
        <v>175997.54921607548</v>
      </c>
      <c r="W694" s="27" t="str">
        <f t="shared" si="426"/>
        <v>OK</v>
      </c>
      <c r="X694" s="3"/>
      <c r="Y694" s="3"/>
      <c r="Z694" s="3"/>
      <c r="AA694" s="3"/>
      <c r="AB694" s="3"/>
      <c r="AC694" s="3"/>
    </row>
    <row r="695" spans="1:29" x14ac:dyDescent="0.2">
      <c r="A695" s="3">
        <f t="shared" si="425"/>
        <v>27</v>
      </c>
      <c r="B695" s="3" t="s">
        <v>380</v>
      </c>
      <c r="C695" s="3"/>
      <c r="D695" s="3"/>
      <c r="E695" s="3" t="s">
        <v>388</v>
      </c>
      <c r="F695" s="3"/>
      <c r="G695" s="3"/>
      <c r="H695" s="31">
        <f t="shared" si="422"/>
        <v>211521861.99108088</v>
      </c>
      <c r="I695" s="94">
        <v>0</v>
      </c>
      <c r="J695" s="94">
        <f t="shared" si="424"/>
        <v>211521861.99108088</v>
      </c>
      <c r="K695" s="31">
        <f t="shared" ref="K695:V695" si="436">K147</f>
        <v>99162881.638986453</v>
      </c>
      <c r="L695" s="31">
        <f t="shared" si="436"/>
        <v>18842009.968797471</v>
      </c>
      <c r="M695" s="31">
        <f t="shared" si="423"/>
        <v>74801511.385457024</v>
      </c>
      <c r="N695" s="31">
        <f t="shared" si="436"/>
        <v>1459322.2370648449</v>
      </c>
      <c r="O695" s="31">
        <f t="shared" si="436"/>
        <v>73342189.148392186</v>
      </c>
      <c r="P695" s="9">
        <f t="shared" si="419"/>
        <v>10059649.392034627</v>
      </c>
      <c r="Q695" s="31">
        <f t="shared" si="436"/>
        <v>4344360.556965231</v>
      </c>
      <c r="R695" s="31">
        <f t="shared" si="436"/>
        <v>5094665.8983600782</v>
      </c>
      <c r="S695" s="31">
        <f>S147</f>
        <v>620622.93670931866</v>
      </c>
      <c r="T695" s="31">
        <f t="shared" si="436"/>
        <v>8479812.0565892365</v>
      </c>
      <c r="U695" s="31">
        <f t="shared" si="436"/>
        <v>0</v>
      </c>
      <c r="V695" s="31">
        <f t="shared" si="436"/>
        <v>175997.54921607548</v>
      </c>
      <c r="W695" s="27" t="str">
        <f t="shared" si="426"/>
        <v>OK</v>
      </c>
      <c r="X695" s="3"/>
      <c r="Y695" s="3"/>
      <c r="Z695" s="3"/>
      <c r="AA695" s="3"/>
      <c r="AB695" s="3"/>
      <c r="AC695" s="3"/>
    </row>
    <row r="696" spans="1:29" x14ac:dyDescent="0.2">
      <c r="A696" s="3">
        <f t="shared" si="425"/>
        <v>28</v>
      </c>
      <c r="B696" s="3" t="s">
        <v>381</v>
      </c>
      <c r="C696" s="3"/>
      <c r="D696" s="3"/>
      <c r="E696" s="3" t="s">
        <v>389</v>
      </c>
      <c r="F696" s="3"/>
      <c r="G696" s="3"/>
      <c r="H696" s="31">
        <f t="shared" si="422"/>
        <v>0</v>
      </c>
      <c r="I696" s="94">
        <v>0</v>
      </c>
      <c r="J696" s="94">
        <f t="shared" si="424"/>
        <v>0</v>
      </c>
      <c r="K696" s="31"/>
      <c r="L696" s="31"/>
      <c r="M696" s="31">
        <f t="shared" si="423"/>
        <v>0</v>
      </c>
      <c r="N696" s="31"/>
      <c r="O696" s="31"/>
      <c r="P696" s="9">
        <f t="shared" si="419"/>
        <v>0</v>
      </c>
      <c r="Q696" s="31"/>
      <c r="R696" s="31"/>
      <c r="S696" s="31"/>
      <c r="T696" s="31"/>
      <c r="U696" s="31"/>
      <c r="V696" s="31"/>
      <c r="W696" s="27" t="str">
        <f t="shared" si="426"/>
        <v>OK</v>
      </c>
      <c r="X696" s="3"/>
      <c r="Y696" s="3"/>
      <c r="Z696" s="3"/>
      <c r="AA696" s="3"/>
      <c r="AB696" s="3"/>
      <c r="AC696" s="3"/>
    </row>
    <row r="697" spans="1:29" x14ac:dyDescent="0.2">
      <c r="A697" s="3">
        <f t="shared" si="425"/>
        <v>29</v>
      </c>
      <c r="B697" s="3" t="s">
        <v>84</v>
      </c>
      <c r="C697" s="3"/>
      <c r="D697" s="3"/>
      <c r="E697" s="3" t="s">
        <v>375</v>
      </c>
      <c r="F697" s="3"/>
      <c r="G697" s="3"/>
      <c r="H697" s="31">
        <f t="shared" ca="1" si="422"/>
        <v>9067590.5497018248</v>
      </c>
      <c r="I697" s="94">
        <v>0</v>
      </c>
      <c r="J697" s="94">
        <f t="shared" ca="1" si="424"/>
        <v>9067590.5497018248</v>
      </c>
      <c r="K697" s="31">
        <f t="shared" ref="K697:V697" ca="1" si="437">+K162+K168</f>
        <v>4250947.8687776905</v>
      </c>
      <c r="L697" s="31">
        <f t="shared" ca="1" si="437"/>
        <v>807725.64084964304</v>
      </c>
      <c r="M697" s="31">
        <f t="shared" ca="1" si="423"/>
        <v>3206616.4289475847</v>
      </c>
      <c r="N697" s="31">
        <f t="shared" ca="1" si="437"/>
        <v>62558.718050320895</v>
      </c>
      <c r="O697" s="31">
        <f t="shared" ca="1" si="437"/>
        <v>3144057.7108972636</v>
      </c>
      <c r="P697" s="9">
        <f t="shared" ca="1" si="419"/>
        <v>431240.44437720196</v>
      </c>
      <c r="Q697" s="31">
        <f t="shared" ca="1" si="437"/>
        <v>186235.51419236438</v>
      </c>
      <c r="R697" s="31">
        <f t="shared" ca="1" si="437"/>
        <v>218399.85672878553</v>
      </c>
      <c r="S697" s="31">
        <f ca="1">+S162+S168</f>
        <v>26605.07345605205</v>
      </c>
      <c r="T697" s="31">
        <f t="shared" ca="1" si="437"/>
        <v>363515.4444263468</v>
      </c>
      <c r="U697" s="31">
        <f t="shared" ca="1" si="437"/>
        <v>0</v>
      </c>
      <c r="V697" s="31">
        <f t="shared" ca="1" si="437"/>
        <v>7544.722323358048</v>
      </c>
      <c r="W697" s="27" t="str">
        <f t="shared" ca="1" si="426"/>
        <v>OK</v>
      </c>
      <c r="X697" s="3"/>
      <c r="Y697" s="3"/>
      <c r="Z697" s="3"/>
      <c r="AA697" s="3"/>
      <c r="AB697" s="3"/>
      <c r="AC697" s="3"/>
    </row>
    <row r="698" spans="1:29" x14ac:dyDescent="0.2">
      <c r="A698" s="3">
        <f t="shared" si="425"/>
        <v>30</v>
      </c>
      <c r="B698" s="3" t="s">
        <v>382</v>
      </c>
      <c r="C698" s="3"/>
      <c r="D698" s="3"/>
      <c r="E698" s="3" t="s">
        <v>390</v>
      </c>
      <c r="F698" s="3"/>
      <c r="G698" s="3"/>
      <c r="H698" s="31">
        <f t="shared" ca="1" si="422"/>
        <v>9067590.5497018248</v>
      </c>
      <c r="I698" s="94">
        <v>0</v>
      </c>
      <c r="J698" s="94">
        <f t="shared" ca="1" si="424"/>
        <v>9067590.5497018248</v>
      </c>
      <c r="K698" s="31">
        <f t="shared" ref="K698:V698" ca="1" si="438">+K162+K168</f>
        <v>4250947.8687776905</v>
      </c>
      <c r="L698" s="31">
        <f t="shared" ca="1" si="438"/>
        <v>807725.64084964304</v>
      </c>
      <c r="M698" s="31">
        <f t="shared" ca="1" si="423"/>
        <v>3206616.4289475847</v>
      </c>
      <c r="N698" s="31">
        <f t="shared" ca="1" si="438"/>
        <v>62558.718050320895</v>
      </c>
      <c r="O698" s="31">
        <f t="shared" ca="1" si="438"/>
        <v>3144057.7108972636</v>
      </c>
      <c r="P698" s="9">
        <f t="shared" ca="1" si="419"/>
        <v>431240.44437720196</v>
      </c>
      <c r="Q698" s="31">
        <f t="shared" ca="1" si="438"/>
        <v>186235.51419236438</v>
      </c>
      <c r="R698" s="31">
        <f t="shared" ca="1" si="438"/>
        <v>218399.85672878553</v>
      </c>
      <c r="S698" s="31">
        <f ca="1">+S162+S168</f>
        <v>26605.07345605205</v>
      </c>
      <c r="T698" s="31">
        <f t="shared" ca="1" si="438"/>
        <v>363515.4444263468</v>
      </c>
      <c r="U698" s="31">
        <f t="shared" ca="1" si="438"/>
        <v>0</v>
      </c>
      <c r="V698" s="31">
        <f t="shared" ca="1" si="438"/>
        <v>7544.722323358048</v>
      </c>
      <c r="W698" s="27" t="str">
        <f t="shared" ca="1" si="426"/>
        <v>OK</v>
      </c>
      <c r="X698" s="3"/>
      <c r="Y698" s="3"/>
      <c r="Z698" s="3"/>
      <c r="AA698" s="3"/>
      <c r="AB698" s="3"/>
      <c r="AC698" s="3"/>
    </row>
    <row r="699" spans="1:29" x14ac:dyDescent="0.2">
      <c r="A699" s="3">
        <f t="shared" si="425"/>
        <v>31</v>
      </c>
      <c r="B699" s="3" t="s">
        <v>383</v>
      </c>
      <c r="C699" s="3"/>
      <c r="D699" s="3"/>
      <c r="E699" s="3" t="s">
        <v>391</v>
      </c>
      <c r="F699" s="3"/>
      <c r="G699" s="3"/>
      <c r="H699" s="31">
        <f t="shared" si="422"/>
        <v>0</v>
      </c>
      <c r="I699" s="94">
        <v>0</v>
      </c>
      <c r="J699" s="94">
        <f t="shared" si="424"/>
        <v>0</v>
      </c>
      <c r="K699" s="31"/>
      <c r="L699" s="31"/>
      <c r="M699" s="31">
        <f t="shared" si="423"/>
        <v>0</v>
      </c>
      <c r="N699" s="31"/>
      <c r="O699" s="31"/>
      <c r="P699" s="9">
        <f t="shared" si="419"/>
        <v>0</v>
      </c>
      <c r="Q699" s="31"/>
      <c r="R699" s="31"/>
      <c r="S699" s="31"/>
      <c r="T699" s="31"/>
      <c r="U699" s="31"/>
      <c r="V699" s="31"/>
      <c r="W699" s="27" t="str">
        <f t="shared" si="426"/>
        <v>OK</v>
      </c>
      <c r="X699" s="3"/>
      <c r="Y699" s="3"/>
      <c r="Z699" s="3"/>
      <c r="AA699" s="3"/>
      <c r="AB699" s="3"/>
      <c r="AC699" s="3"/>
    </row>
    <row r="700" spans="1:29" x14ac:dyDescent="0.2">
      <c r="A700" s="3">
        <f t="shared" si="425"/>
        <v>32</v>
      </c>
      <c r="B700" s="3" t="s">
        <v>376</v>
      </c>
      <c r="C700" s="3"/>
      <c r="D700" s="3"/>
      <c r="E700" s="3" t="s">
        <v>377</v>
      </c>
      <c r="F700" s="3"/>
      <c r="G700" s="3"/>
      <c r="H700" s="31">
        <f t="shared" ca="1" si="422"/>
        <v>3698361.6595619218</v>
      </c>
      <c r="I700" s="94">
        <v>0</v>
      </c>
      <c r="J700" s="94">
        <f t="shared" ca="1" si="424"/>
        <v>3698361.6595619218</v>
      </c>
      <c r="K700" s="31">
        <f t="shared" ref="K700:V700" ca="1" si="439">+K96</f>
        <v>1733816.9967545411</v>
      </c>
      <c r="L700" s="31">
        <f t="shared" ca="1" si="439"/>
        <v>329443.80595809262</v>
      </c>
      <c r="M700" s="31">
        <f t="shared" ca="1" si="423"/>
        <v>1307869.7359279292</v>
      </c>
      <c r="N700" s="31">
        <f t="shared" ca="1" si="439"/>
        <v>25515.572526183292</v>
      </c>
      <c r="O700" s="31">
        <f t="shared" ca="1" si="439"/>
        <v>1282354.163401746</v>
      </c>
      <c r="P700" s="9">
        <f t="shared" ca="1" si="419"/>
        <v>175888.30426287113</v>
      </c>
      <c r="Q700" s="31">
        <f t="shared" ca="1" si="439"/>
        <v>75959.129557354114</v>
      </c>
      <c r="R700" s="31">
        <f t="shared" ca="1" si="439"/>
        <v>89077.870483037856</v>
      </c>
      <c r="S700" s="31">
        <f ca="1">+S96</f>
        <v>10851.304222479155</v>
      </c>
      <c r="T700" s="31">
        <f t="shared" ca="1" si="439"/>
        <v>148265.58113271036</v>
      </c>
      <c r="U700" s="31">
        <f t="shared" ca="1" si="439"/>
        <v>0</v>
      </c>
      <c r="V700" s="31">
        <f t="shared" ca="1" si="439"/>
        <v>3077.2355257776721</v>
      </c>
      <c r="W700" s="27" t="str">
        <f t="shared" ca="1" si="426"/>
        <v>OK</v>
      </c>
      <c r="X700" s="3"/>
      <c r="Y700" s="3"/>
      <c r="Z700" s="3"/>
      <c r="AA700" s="3"/>
      <c r="AB700" s="3"/>
      <c r="AC700" s="3"/>
    </row>
    <row r="701" spans="1:29" x14ac:dyDescent="0.2">
      <c r="A701" s="3">
        <f t="shared" si="425"/>
        <v>33</v>
      </c>
      <c r="B701" s="3" t="s">
        <v>384</v>
      </c>
      <c r="C701" s="3"/>
      <c r="D701" s="3"/>
      <c r="E701" s="3" t="s">
        <v>392</v>
      </c>
      <c r="F701" s="3"/>
      <c r="G701" s="3"/>
      <c r="H701" s="31">
        <f t="shared" ca="1" si="422"/>
        <v>3698361.6595619218</v>
      </c>
      <c r="I701" s="94">
        <v>0</v>
      </c>
      <c r="J701" s="94">
        <f t="shared" ca="1" si="424"/>
        <v>3698361.6595619218</v>
      </c>
      <c r="K701" s="31">
        <f t="shared" ref="K701:V701" ca="1" si="440">+K96</f>
        <v>1733816.9967545411</v>
      </c>
      <c r="L701" s="31">
        <f t="shared" ca="1" si="440"/>
        <v>329443.80595809262</v>
      </c>
      <c r="M701" s="31">
        <f t="shared" ca="1" si="423"/>
        <v>1307869.7359279292</v>
      </c>
      <c r="N701" s="31">
        <f t="shared" ca="1" si="440"/>
        <v>25515.572526183292</v>
      </c>
      <c r="O701" s="31">
        <f t="shared" ca="1" si="440"/>
        <v>1282354.163401746</v>
      </c>
      <c r="P701" s="9">
        <f t="shared" ca="1" si="419"/>
        <v>175888.30426287113</v>
      </c>
      <c r="Q701" s="31">
        <f t="shared" ca="1" si="440"/>
        <v>75959.129557354114</v>
      </c>
      <c r="R701" s="31">
        <f t="shared" ca="1" si="440"/>
        <v>89077.870483037856</v>
      </c>
      <c r="S701" s="31">
        <f ca="1">+S96</f>
        <v>10851.304222479155</v>
      </c>
      <c r="T701" s="31">
        <f t="shared" ca="1" si="440"/>
        <v>148265.58113271036</v>
      </c>
      <c r="U701" s="31">
        <f t="shared" ca="1" si="440"/>
        <v>0</v>
      </c>
      <c r="V701" s="31">
        <f t="shared" ca="1" si="440"/>
        <v>3077.2355257776721</v>
      </c>
      <c r="W701" s="27" t="str">
        <f t="shared" ca="1" si="426"/>
        <v>OK</v>
      </c>
      <c r="X701" s="3"/>
      <c r="Y701" s="3"/>
      <c r="Z701" s="3"/>
      <c r="AA701" s="3"/>
      <c r="AB701" s="3"/>
      <c r="AC701" s="3"/>
    </row>
    <row r="702" spans="1:29" x14ac:dyDescent="0.2">
      <c r="A702" s="3">
        <f t="shared" si="425"/>
        <v>34</v>
      </c>
      <c r="B702" s="3" t="s">
        <v>385</v>
      </c>
      <c r="C702" s="3"/>
      <c r="D702" s="3"/>
      <c r="E702" s="3" t="s">
        <v>393</v>
      </c>
      <c r="F702" s="3"/>
      <c r="G702" s="3"/>
      <c r="H702" s="31">
        <f t="shared" si="422"/>
        <v>0</v>
      </c>
      <c r="I702" s="94">
        <v>0</v>
      </c>
      <c r="J702" s="94">
        <f t="shared" si="424"/>
        <v>0</v>
      </c>
      <c r="K702" s="31"/>
      <c r="L702" s="31"/>
      <c r="M702" s="31">
        <f t="shared" ref="M702:M733" si="441">SUM(N702:O702)</f>
        <v>0</v>
      </c>
      <c r="N702" s="31"/>
      <c r="O702" s="31"/>
      <c r="P702" s="9">
        <f t="shared" si="419"/>
        <v>0</v>
      </c>
      <c r="Q702" s="31"/>
      <c r="R702" s="31"/>
      <c r="S702" s="31"/>
      <c r="T702" s="31"/>
      <c r="U702" s="31"/>
      <c r="V702" s="31"/>
      <c r="W702" s="27" t="str">
        <f t="shared" si="426"/>
        <v>OK</v>
      </c>
      <c r="X702" s="3"/>
      <c r="Y702" s="3"/>
      <c r="Z702" s="3"/>
      <c r="AA702" s="3"/>
      <c r="AB702" s="3"/>
      <c r="AC702" s="3"/>
    </row>
    <row r="703" spans="1:29" x14ac:dyDescent="0.2">
      <c r="A703" s="3">
        <f t="shared" si="425"/>
        <v>35</v>
      </c>
      <c r="B703" s="3" t="s">
        <v>429</v>
      </c>
      <c r="C703" s="3"/>
      <c r="D703" s="3"/>
      <c r="E703" s="3" t="s">
        <v>313</v>
      </c>
      <c r="F703" s="3"/>
      <c r="G703" s="3"/>
      <c r="H703" s="31">
        <f t="shared" ref="H703:H720" ca="1" si="442">SUM(I703:J703)</f>
        <v>224287814.20034468</v>
      </c>
      <c r="I703" s="94">
        <v>0</v>
      </c>
      <c r="J703" s="94">
        <f t="shared" ca="1" si="424"/>
        <v>224287814.20034468</v>
      </c>
      <c r="K703" s="31">
        <f t="shared" ref="K703:V703" ca="1" si="443">+K171</f>
        <v>105147646.50451869</v>
      </c>
      <c r="L703" s="31">
        <f t="shared" ca="1" si="443"/>
        <v>19979179.41560521</v>
      </c>
      <c r="M703" s="31">
        <f t="shared" ca="1" si="441"/>
        <v>79315997.550332561</v>
      </c>
      <c r="N703" s="31">
        <f t="shared" ca="1" si="443"/>
        <v>1547396.527641349</v>
      </c>
      <c r="O703" s="31">
        <f t="shared" ca="1" si="443"/>
        <v>77768601.022691205</v>
      </c>
      <c r="P703" s="9">
        <f t="shared" ca="1" si="419"/>
        <v>10666778.140674703</v>
      </c>
      <c r="Q703" s="31">
        <f t="shared" ca="1" si="443"/>
        <v>4606555.2007149495</v>
      </c>
      <c r="R703" s="31">
        <f t="shared" ca="1" si="443"/>
        <v>5402143.6255719019</v>
      </c>
      <c r="S703" s="31">
        <f ca="1">+S171</f>
        <v>658079.31438784976</v>
      </c>
      <c r="T703" s="31">
        <f t="shared" ca="1" si="443"/>
        <v>8991593.082148293</v>
      </c>
      <c r="U703" s="31">
        <f t="shared" ca="1" si="443"/>
        <v>0</v>
      </c>
      <c r="V703" s="31">
        <f t="shared" ca="1" si="443"/>
        <v>186619.50706521122</v>
      </c>
      <c r="W703" s="27" t="str">
        <f t="shared" ca="1" si="426"/>
        <v>OK</v>
      </c>
      <c r="X703" s="3"/>
      <c r="Y703" s="3"/>
      <c r="Z703" s="3"/>
      <c r="AA703" s="3"/>
      <c r="AB703" s="3"/>
      <c r="AC703" s="3"/>
    </row>
    <row r="704" spans="1:29" x14ac:dyDescent="0.2">
      <c r="A704" s="3">
        <f t="shared" si="425"/>
        <v>36</v>
      </c>
      <c r="B704" s="3" t="s">
        <v>398</v>
      </c>
      <c r="C704" s="3"/>
      <c r="D704" s="3"/>
      <c r="E704" s="3" t="s">
        <v>340</v>
      </c>
      <c r="F704" s="3"/>
      <c r="G704" s="3"/>
      <c r="H704" s="31">
        <f t="shared" ca="1" si="442"/>
        <v>110475949.63763954</v>
      </c>
      <c r="I704" s="94">
        <v>0</v>
      </c>
      <c r="J704" s="94">
        <f t="shared" ca="1" si="424"/>
        <v>110475949.63763954</v>
      </c>
      <c r="K704" s="31">
        <f t="shared" ref="K704:V704" ca="1" si="444">+K249</f>
        <v>51791873.495959558</v>
      </c>
      <c r="L704" s="31">
        <f t="shared" ca="1" si="444"/>
        <v>9841010.8760887552</v>
      </c>
      <c r="M704" s="31">
        <f t="shared" ca="1" si="441"/>
        <v>39068150.813590728</v>
      </c>
      <c r="N704" s="31">
        <f t="shared" ca="1" si="444"/>
        <v>762190.76576520153</v>
      </c>
      <c r="O704" s="31">
        <f t="shared" ca="1" si="444"/>
        <v>38305960.047825523</v>
      </c>
      <c r="P704" s="9">
        <f t="shared" ca="1" si="419"/>
        <v>5254063.6185095133</v>
      </c>
      <c r="Q704" s="31">
        <f t="shared" ca="1" si="444"/>
        <v>2269020.1078093573</v>
      </c>
      <c r="R704" s="31">
        <f t="shared" ca="1" si="444"/>
        <v>2660897.7810131051</v>
      </c>
      <c r="S704" s="31">
        <f ca="1">+S249</f>
        <v>324145.72968705097</v>
      </c>
      <c r="T704" s="31">
        <f t="shared" ca="1" si="444"/>
        <v>4428928.9101468986</v>
      </c>
      <c r="U704" s="31">
        <f t="shared" ca="1" si="444"/>
        <v>0</v>
      </c>
      <c r="V704" s="31">
        <f t="shared" ca="1" si="444"/>
        <v>91921.923344089155</v>
      </c>
      <c r="W704" s="27" t="str">
        <f t="shared" ref="W704:W735" ca="1" si="445">IF((+K704+L704+M704+P704+T704+U704+V704)-H704=0,"OK",(+K704+L704+M704+P704+T704+U704+V704)-H704)</f>
        <v>OK</v>
      </c>
      <c r="X704" s="3"/>
      <c r="Y704" s="3"/>
      <c r="Z704" s="3"/>
      <c r="AA704" s="3"/>
      <c r="AB704" s="3"/>
      <c r="AC704" s="3"/>
    </row>
    <row r="705" spans="1:29" x14ac:dyDescent="0.2">
      <c r="A705" s="3">
        <f t="shared" si="425"/>
        <v>37</v>
      </c>
      <c r="B705" s="3" t="s">
        <v>399</v>
      </c>
      <c r="C705" s="3"/>
      <c r="D705" s="3"/>
      <c r="E705" s="3" t="s">
        <v>400</v>
      </c>
      <c r="F705" s="3"/>
      <c r="G705" s="3"/>
      <c r="H705" s="31">
        <f t="shared" ca="1" si="442"/>
        <v>215220223.65064281</v>
      </c>
      <c r="I705" s="94">
        <v>0</v>
      </c>
      <c r="J705" s="94">
        <f t="shared" ca="1" si="424"/>
        <v>215220223.65064281</v>
      </c>
      <c r="K705" s="31">
        <f t="shared" ref="K705:V705" ca="1" si="446">+K171-K168-K162</f>
        <v>100896698.635741</v>
      </c>
      <c r="L705" s="31">
        <f t="shared" ca="1" si="446"/>
        <v>19171453.774755564</v>
      </c>
      <c r="M705" s="31">
        <f t="shared" ca="1" si="441"/>
        <v>76109381.121384963</v>
      </c>
      <c r="N705" s="31">
        <f t="shared" ca="1" si="446"/>
        <v>1484837.8095910281</v>
      </c>
      <c r="O705" s="31">
        <f t="shared" ca="1" si="446"/>
        <v>74624543.311793938</v>
      </c>
      <c r="P705" s="9">
        <f t="shared" ca="1" si="419"/>
        <v>10235537.6962975</v>
      </c>
      <c r="Q705" s="31">
        <f t="shared" ca="1" si="446"/>
        <v>4420319.6865225853</v>
      </c>
      <c r="R705" s="31">
        <f t="shared" ca="1" si="446"/>
        <v>5183743.7688431162</v>
      </c>
      <c r="S705" s="31">
        <f ca="1">+S171-S168-S162</f>
        <v>631474.24093179777</v>
      </c>
      <c r="T705" s="31">
        <f t="shared" ca="1" si="446"/>
        <v>8628077.6377219465</v>
      </c>
      <c r="U705" s="31">
        <f t="shared" ca="1" si="446"/>
        <v>0</v>
      </c>
      <c r="V705" s="31">
        <f t="shared" ca="1" si="446"/>
        <v>179074.78474185316</v>
      </c>
      <c r="W705" s="27" t="str">
        <f t="shared" ca="1" si="445"/>
        <v>OK</v>
      </c>
      <c r="X705" s="3"/>
      <c r="Y705" s="3"/>
      <c r="Z705" s="3"/>
      <c r="AA705" s="3"/>
      <c r="AB705" s="3"/>
      <c r="AC705" s="3"/>
    </row>
    <row r="706" spans="1:29" x14ac:dyDescent="0.2">
      <c r="A706" s="3">
        <f t="shared" si="425"/>
        <v>38</v>
      </c>
      <c r="B706" s="3" t="s">
        <v>397</v>
      </c>
      <c r="C706" s="3"/>
      <c r="D706" s="3"/>
      <c r="E706" s="3" t="s">
        <v>361</v>
      </c>
      <c r="F706" s="3"/>
      <c r="G706" s="3"/>
      <c r="H706" s="31">
        <f t="shared" si="442"/>
        <v>211521861.99108088</v>
      </c>
      <c r="I706" s="94">
        <v>0</v>
      </c>
      <c r="J706" s="94">
        <f t="shared" si="424"/>
        <v>211521861.99108088</v>
      </c>
      <c r="K706" s="31">
        <f>+K147+K111</f>
        <v>99162881.638986453</v>
      </c>
      <c r="L706" s="31">
        <f>+L147+L111</f>
        <v>18842009.968797471</v>
      </c>
      <c r="M706" s="31">
        <f t="shared" si="441"/>
        <v>74801511.385457024</v>
      </c>
      <c r="N706" s="31">
        <f>+N147+N111</f>
        <v>1459322.2370648449</v>
      </c>
      <c r="O706" s="31">
        <f>+O147+O111</f>
        <v>73342189.148392186</v>
      </c>
      <c r="P706" s="9">
        <f t="shared" si="419"/>
        <v>10059649.392034627</v>
      </c>
      <c r="Q706" s="31">
        <f t="shared" ref="Q706:V706" si="447">+Q147+Q111</f>
        <v>4344360.556965231</v>
      </c>
      <c r="R706" s="31">
        <f t="shared" si="447"/>
        <v>5094665.8983600782</v>
      </c>
      <c r="S706" s="31">
        <f t="shared" si="447"/>
        <v>620622.93670931866</v>
      </c>
      <c r="T706" s="31">
        <f t="shared" si="447"/>
        <v>8479812.0565892365</v>
      </c>
      <c r="U706" s="31">
        <f t="shared" si="447"/>
        <v>0</v>
      </c>
      <c r="V706" s="31">
        <f t="shared" si="447"/>
        <v>175997.54921607548</v>
      </c>
      <c r="W706" s="27" t="str">
        <f t="shared" si="445"/>
        <v>OK</v>
      </c>
      <c r="X706" s="3"/>
      <c r="Y706" s="3"/>
      <c r="Z706" s="3"/>
      <c r="AA706" s="3"/>
      <c r="AB706" s="3"/>
      <c r="AC706" s="3"/>
    </row>
    <row r="707" spans="1:29" x14ac:dyDescent="0.2">
      <c r="A707" s="3">
        <f t="shared" si="425"/>
        <v>39</v>
      </c>
      <c r="B707" s="3" t="s">
        <v>420</v>
      </c>
      <c r="C707" s="3"/>
      <c r="D707" s="3"/>
      <c r="E707" s="3" t="s">
        <v>329</v>
      </c>
      <c r="F707" s="3"/>
      <c r="G707" s="3"/>
      <c r="H707" s="31">
        <f t="shared" si="442"/>
        <v>0</v>
      </c>
      <c r="I707" s="94">
        <v>0</v>
      </c>
      <c r="J707" s="94">
        <f t="shared" si="424"/>
        <v>0</v>
      </c>
      <c r="K707" s="31">
        <f t="shared" ref="K707:V707" si="448">+K102</f>
        <v>0</v>
      </c>
      <c r="L707" s="31">
        <f t="shared" si="448"/>
        <v>0</v>
      </c>
      <c r="M707" s="31">
        <f t="shared" si="441"/>
        <v>0</v>
      </c>
      <c r="N707" s="31">
        <f t="shared" si="448"/>
        <v>0</v>
      </c>
      <c r="O707" s="31">
        <f t="shared" si="448"/>
        <v>0</v>
      </c>
      <c r="P707" s="9">
        <f t="shared" si="419"/>
        <v>0</v>
      </c>
      <c r="Q707" s="31">
        <f t="shared" si="448"/>
        <v>0</v>
      </c>
      <c r="R707" s="31">
        <f t="shared" si="448"/>
        <v>0</v>
      </c>
      <c r="S707" s="31">
        <f>+S102</f>
        <v>0</v>
      </c>
      <c r="T707" s="31">
        <f t="shared" si="448"/>
        <v>0</v>
      </c>
      <c r="U707" s="31">
        <f t="shared" si="448"/>
        <v>0</v>
      </c>
      <c r="V707" s="31">
        <f t="shared" si="448"/>
        <v>0</v>
      </c>
      <c r="W707" s="27" t="str">
        <f t="shared" si="445"/>
        <v>OK</v>
      </c>
      <c r="X707" s="3"/>
      <c r="Y707" s="3"/>
      <c r="Z707" s="3"/>
      <c r="AA707" s="3"/>
      <c r="AB707" s="3"/>
      <c r="AC707" s="3"/>
    </row>
    <row r="708" spans="1:29" x14ac:dyDescent="0.2">
      <c r="A708" s="3">
        <f t="shared" si="425"/>
        <v>40</v>
      </c>
      <c r="B708" s="3" t="s">
        <v>411</v>
      </c>
      <c r="C708" s="3"/>
      <c r="D708" s="3"/>
      <c r="E708" s="3" t="s">
        <v>330</v>
      </c>
      <c r="F708" s="3"/>
      <c r="G708" s="3"/>
      <c r="H708" s="31">
        <f t="shared" si="442"/>
        <v>0</v>
      </c>
      <c r="I708" s="94">
        <v>0</v>
      </c>
      <c r="J708" s="94">
        <f t="shared" si="424"/>
        <v>0</v>
      </c>
      <c r="K708" s="31">
        <f t="shared" ref="K708:V708" si="449">+K103</f>
        <v>0</v>
      </c>
      <c r="L708" s="31">
        <f t="shared" si="449"/>
        <v>0</v>
      </c>
      <c r="M708" s="31">
        <f t="shared" si="441"/>
        <v>0</v>
      </c>
      <c r="N708" s="31">
        <f t="shared" si="449"/>
        <v>0</v>
      </c>
      <c r="O708" s="31">
        <f t="shared" si="449"/>
        <v>0</v>
      </c>
      <c r="P708" s="9">
        <f t="shared" si="419"/>
        <v>0</v>
      </c>
      <c r="Q708" s="31">
        <f t="shared" si="449"/>
        <v>0</v>
      </c>
      <c r="R708" s="31">
        <f t="shared" si="449"/>
        <v>0</v>
      </c>
      <c r="S708" s="31">
        <f>+S103</f>
        <v>0</v>
      </c>
      <c r="T708" s="31">
        <f t="shared" si="449"/>
        <v>0</v>
      </c>
      <c r="U708" s="31">
        <f t="shared" si="449"/>
        <v>0</v>
      </c>
      <c r="V708" s="31">
        <f t="shared" si="449"/>
        <v>0</v>
      </c>
      <c r="W708" s="27" t="str">
        <f t="shared" si="445"/>
        <v>OK</v>
      </c>
      <c r="X708" s="3"/>
      <c r="Y708" s="3"/>
      <c r="Z708" s="3"/>
      <c r="AA708" s="3"/>
      <c r="AB708" s="3"/>
      <c r="AC708" s="3"/>
    </row>
    <row r="709" spans="1:29" x14ac:dyDescent="0.2">
      <c r="A709" s="3">
        <f t="shared" si="425"/>
        <v>41</v>
      </c>
      <c r="B709" s="3" t="s">
        <v>427</v>
      </c>
      <c r="C709" s="3"/>
      <c r="D709" s="3"/>
      <c r="E709" s="3" t="s">
        <v>326</v>
      </c>
      <c r="F709" s="3"/>
      <c r="G709" s="3"/>
      <c r="H709" s="31">
        <f t="shared" si="442"/>
        <v>0</v>
      </c>
      <c r="I709" s="94">
        <v>0</v>
      </c>
      <c r="J709" s="94">
        <f t="shared" si="424"/>
        <v>0</v>
      </c>
      <c r="K709" s="31">
        <f t="shared" ref="K709:V709" si="450">+K102+K103</f>
        <v>0</v>
      </c>
      <c r="L709" s="31">
        <f t="shared" si="450"/>
        <v>0</v>
      </c>
      <c r="M709" s="31">
        <f t="shared" si="441"/>
        <v>0</v>
      </c>
      <c r="N709" s="31">
        <f t="shared" si="450"/>
        <v>0</v>
      </c>
      <c r="O709" s="31">
        <f t="shared" si="450"/>
        <v>0</v>
      </c>
      <c r="P709" s="9">
        <f t="shared" si="419"/>
        <v>0</v>
      </c>
      <c r="Q709" s="31">
        <f t="shared" si="450"/>
        <v>0</v>
      </c>
      <c r="R709" s="31">
        <f t="shared" si="450"/>
        <v>0</v>
      </c>
      <c r="S709" s="31">
        <f>+S102+S103</f>
        <v>0</v>
      </c>
      <c r="T709" s="31">
        <f t="shared" si="450"/>
        <v>0</v>
      </c>
      <c r="U709" s="31">
        <f t="shared" si="450"/>
        <v>0</v>
      </c>
      <c r="V709" s="31">
        <f t="shared" si="450"/>
        <v>0</v>
      </c>
      <c r="W709" s="27" t="str">
        <f t="shared" si="445"/>
        <v>OK</v>
      </c>
      <c r="X709" s="3"/>
      <c r="Y709" s="3"/>
      <c r="Z709" s="3"/>
      <c r="AA709" s="3"/>
      <c r="AB709" s="3"/>
      <c r="AC709" s="3"/>
    </row>
    <row r="710" spans="1:29" x14ac:dyDescent="0.2">
      <c r="A710" s="3">
        <f t="shared" si="425"/>
        <v>42</v>
      </c>
      <c r="B710" s="3" t="s">
        <v>409</v>
      </c>
      <c r="C710" s="3"/>
      <c r="D710" s="3"/>
      <c r="E710" s="3" t="s">
        <v>327</v>
      </c>
      <c r="F710" s="3"/>
      <c r="G710" s="3"/>
      <c r="H710" s="31">
        <f t="shared" si="442"/>
        <v>0</v>
      </c>
      <c r="I710" s="94">
        <v>0</v>
      </c>
      <c r="J710" s="94">
        <f t="shared" si="424"/>
        <v>0</v>
      </c>
      <c r="K710" s="31">
        <f t="shared" ref="K710:V710" si="451">+K104+K105+K106</f>
        <v>0</v>
      </c>
      <c r="L710" s="31">
        <f t="shared" si="451"/>
        <v>0</v>
      </c>
      <c r="M710" s="31">
        <f t="shared" si="441"/>
        <v>0</v>
      </c>
      <c r="N710" s="31">
        <f t="shared" si="451"/>
        <v>0</v>
      </c>
      <c r="O710" s="31">
        <f t="shared" si="451"/>
        <v>0</v>
      </c>
      <c r="P710" s="9">
        <f t="shared" si="419"/>
        <v>0</v>
      </c>
      <c r="Q710" s="31">
        <f t="shared" si="451"/>
        <v>0</v>
      </c>
      <c r="R710" s="31">
        <f t="shared" si="451"/>
        <v>0</v>
      </c>
      <c r="S710" s="31">
        <f>+S104+S105+S106</f>
        <v>0</v>
      </c>
      <c r="T710" s="31">
        <f t="shared" si="451"/>
        <v>0</v>
      </c>
      <c r="U710" s="31">
        <f t="shared" si="451"/>
        <v>0</v>
      </c>
      <c r="V710" s="31">
        <f t="shared" si="451"/>
        <v>0</v>
      </c>
      <c r="W710" s="27" t="str">
        <f t="shared" si="445"/>
        <v>OK</v>
      </c>
      <c r="X710" s="3"/>
      <c r="Y710" s="3"/>
      <c r="Z710" s="3"/>
      <c r="AA710" s="3"/>
      <c r="AB710" s="3"/>
      <c r="AC710" s="3"/>
    </row>
    <row r="711" spans="1:29" x14ac:dyDescent="0.2">
      <c r="A711" s="3">
        <f t="shared" si="425"/>
        <v>43</v>
      </c>
      <c r="B711" s="3" t="s">
        <v>410</v>
      </c>
      <c r="C711" s="3"/>
      <c r="D711" s="3"/>
      <c r="E711" s="3" t="s">
        <v>328</v>
      </c>
      <c r="F711" s="3"/>
      <c r="G711" s="3"/>
      <c r="H711" s="31">
        <f t="shared" si="442"/>
        <v>0</v>
      </c>
      <c r="I711" s="94">
        <v>0</v>
      </c>
      <c r="J711" s="94">
        <f t="shared" si="424"/>
        <v>0</v>
      </c>
      <c r="K711" s="31">
        <f t="shared" ref="K711:V711" si="452">+K107+K108</f>
        <v>0</v>
      </c>
      <c r="L711" s="31">
        <f t="shared" si="452"/>
        <v>0</v>
      </c>
      <c r="M711" s="31">
        <f t="shared" si="441"/>
        <v>0</v>
      </c>
      <c r="N711" s="31">
        <f t="shared" si="452"/>
        <v>0</v>
      </c>
      <c r="O711" s="31">
        <f t="shared" si="452"/>
        <v>0</v>
      </c>
      <c r="P711" s="9">
        <f t="shared" si="419"/>
        <v>0</v>
      </c>
      <c r="Q711" s="31">
        <f t="shared" si="452"/>
        <v>0</v>
      </c>
      <c r="R711" s="31">
        <f t="shared" si="452"/>
        <v>0</v>
      </c>
      <c r="S711" s="31">
        <f>+S107+S108</f>
        <v>0</v>
      </c>
      <c r="T711" s="31">
        <f t="shared" si="452"/>
        <v>0</v>
      </c>
      <c r="U711" s="31">
        <f t="shared" si="452"/>
        <v>0</v>
      </c>
      <c r="V711" s="31">
        <f t="shared" si="452"/>
        <v>0</v>
      </c>
      <c r="W711" s="27" t="str">
        <f t="shared" si="445"/>
        <v>OK</v>
      </c>
      <c r="X711" s="3"/>
      <c r="Y711" s="3"/>
      <c r="Z711" s="3"/>
      <c r="AA711" s="3"/>
      <c r="AB711" s="3"/>
      <c r="AC711" s="3"/>
    </row>
    <row r="712" spans="1:29" x14ac:dyDescent="0.2">
      <c r="A712" s="3">
        <f t="shared" si="425"/>
        <v>44</v>
      </c>
      <c r="B712" s="3" t="s">
        <v>412</v>
      </c>
      <c r="C712" s="3"/>
      <c r="D712" s="3"/>
      <c r="E712" s="3" t="s">
        <v>337</v>
      </c>
      <c r="F712" s="3"/>
      <c r="G712" s="3"/>
      <c r="H712" s="31">
        <f t="shared" si="442"/>
        <v>0</v>
      </c>
      <c r="I712" s="94">
        <v>0</v>
      </c>
      <c r="J712" s="94">
        <f t="shared" si="424"/>
        <v>0</v>
      </c>
      <c r="K712" s="31">
        <f t="shared" ref="K712:V712" si="453">+K115</f>
        <v>0</v>
      </c>
      <c r="L712" s="31">
        <f t="shared" si="453"/>
        <v>0</v>
      </c>
      <c r="M712" s="31">
        <f t="shared" si="441"/>
        <v>0</v>
      </c>
      <c r="N712" s="31">
        <f t="shared" si="453"/>
        <v>0</v>
      </c>
      <c r="O712" s="31">
        <f t="shared" si="453"/>
        <v>0</v>
      </c>
      <c r="P712" s="9">
        <f t="shared" si="419"/>
        <v>0</v>
      </c>
      <c r="Q712" s="31">
        <f t="shared" si="453"/>
        <v>0</v>
      </c>
      <c r="R712" s="31">
        <f t="shared" si="453"/>
        <v>0</v>
      </c>
      <c r="S712" s="31">
        <f>+S115</f>
        <v>0</v>
      </c>
      <c r="T712" s="31">
        <f t="shared" si="453"/>
        <v>0</v>
      </c>
      <c r="U712" s="31">
        <f t="shared" si="453"/>
        <v>0</v>
      </c>
      <c r="V712" s="31">
        <f t="shared" si="453"/>
        <v>0</v>
      </c>
      <c r="W712" s="27" t="str">
        <f t="shared" si="445"/>
        <v>OK</v>
      </c>
      <c r="X712" s="3"/>
      <c r="Y712" s="3"/>
      <c r="Z712" s="3"/>
      <c r="AA712" s="3"/>
      <c r="AB712" s="3"/>
      <c r="AC712" s="3"/>
    </row>
    <row r="713" spans="1:29" x14ac:dyDescent="0.2">
      <c r="A713" s="3">
        <f t="shared" si="425"/>
        <v>45</v>
      </c>
      <c r="B713" s="3" t="s">
        <v>413</v>
      </c>
      <c r="C713" s="3"/>
      <c r="D713" s="3"/>
      <c r="E713" s="3" t="s">
        <v>332</v>
      </c>
      <c r="F713" s="3"/>
      <c r="G713" s="3"/>
      <c r="H713" s="31">
        <f t="shared" si="442"/>
        <v>0</v>
      </c>
      <c r="I713" s="94">
        <v>0</v>
      </c>
      <c r="J713" s="94">
        <f t="shared" si="424"/>
        <v>0</v>
      </c>
      <c r="K713" s="31">
        <f t="shared" ref="K713:V713" si="454">+K116</f>
        <v>0</v>
      </c>
      <c r="L713" s="31">
        <f t="shared" si="454"/>
        <v>0</v>
      </c>
      <c r="M713" s="31">
        <f t="shared" si="441"/>
        <v>0</v>
      </c>
      <c r="N713" s="31">
        <f t="shared" si="454"/>
        <v>0</v>
      </c>
      <c r="O713" s="31">
        <f t="shared" si="454"/>
        <v>0</v>
      </c>
      <c r="P713" s="9">
        <f t="shared" si="419"/>
        <v>0</v>
      </c>
      <c r="Q713" s="31">
        <f t="shared" si="454"/>
        <v>0</v>
      </c>
      <c r="R713" s="31">
        <f t="shared" si="454"/>
        <v>0</v>
      </c>
      <c r="S713" s="31">
        <f>+S116</f>
        <v>0</v>
      </c>
      <c r="T713" s="31">
        <f t="shared" si="454"/>
        <v>0</v>
      </c>
      <c r="U713" s="31">
        <f t="shared" si="454"/>
        <v>0</v>
      </c>
      <c r="V713" s="31">
        <f t="shared" si="454"/>
        <v>0</v>
      </c>
      <c r="W713" s="27" t="str">
        <f t="shared" si="445"/>
        <v>OK</v>
      </c>
      <c r="X713" s="3"/>
      <c r="Y713" s="3"/>
      <c r="Z713" s="3"/>
      <c r="AA713" s="3"/>
      <c r="AB713" s="3"/>
      <c r="AC713" s="3"/>
    </row>
    <row r="714" spans="1:29" x14ac:dyDescent="0.2">
      <c r="A714" s="3">
        <f t="shared" si="425"/>
        <v>46</v>
      </c>
      <c r="B714" s="3" t="s">
        <v>414</v>
      </c>
      <c r="C714" s="3"/>
      <c r="D714" s="3"/>
      <c r="E714" s="3" t="s">
        <v>333</v>
      </c>
      <c r="F714" s="3"/>
      <c r="G714" s="3"/>
      <c r="H714" s="31">
        <f t="shared" si="442"/>
        <v>0</v>
      </c>
      <c r="I714" s="94">
        <v>0</v>
      </c>
      <c r="J714" s="94">
        <f t="shared" si="424"/>
        <v>0</v>
      </c>
      <c r="K714" s="31">
        <f t="shared" ref="K714:V714" si="455">+K121+K125</f>
        <v>0</v>
      </c>
      <c r="L714" s="31">
        <f t="shared" si="455"/>
        <v>0</v>
      </c>
      <c r="M714" s="31">
        <f t="shared" si="441"/>
        <v>0</v>
      </c>
      <c r="N714" s="31">
        <f t="shared" si="455"/>
        <v>0</v>
      </c>
      <c r="O714" s="31">
        <f t="shared" si="455"/>
        <v>0</v>
      </c>
      <c r="P714" s="9">
        <f t="shared" si="419"/>
        <v>0</v>
      </c>
      <c r="Q714" s="31">
        <f t="shared" si="455"/>
        <v>0</v>
      </c>
      <c r="R714" s="31">
        <f t="shared" si="455"/>
        <v>0</v>
      </c>
      <c r="S714" s="31">
        <f>+S121+S125</f>
        <v>0</v>
      </c>
      <c r="T714" s="31">
        <f t="shared" si="455"/>
        <v>0</v>
      </c>
      <c r="U714" s="31">
        <f t="shared" si="455"/>
        <v>0</v>
      </c>
      <c r="V714" s="31">
        <f t="shared" si="455"/>
        <v>0</v>
      </c>
      <c r="W714" s="27" t="str">
        <f t="shared" si="445"/>
        <v>OK</v>
      </c>
      <c r="X714" s="3"/>
      <c r="Y714" s="3"/>
      <c r="Z714" s="3"/>
      <c r="AA714" s="3"/>
      <c r="AB714" s="3"/>
      <c r="AC714" s="3"/>
    </row>
    <row r="715" spans="1:29" x14ac:dyDescent="0.2">
      <c r="A715" s="3">
        <f t="shared" si="425"/>
        <v>47</v>
      </c>
      <c r="B715" s="3" t="s">
        <v>415</v>
      </c>
      <c r="C715" s="3"/>
      <c r="D715" s="3"/>
      <c r="E715" s="3" t="s">
        <v>421</v>
      </c>
      <c r="F715" s="3"/>
      <c r="G715" s="3"/>
      <c r="H715" s="31">
        <f t="shared" si="442"/>
        <v>0</v>
      </c>
      <c r="I715" s="94">
        <v>0</v>
      </c>
      <c r="J715" s="94">
        <f t="shared" si="424"/>
        <v>0</v>
      </c>
      <c r="K715" s="31">
        <f t="shared" ref="K715:V715" si="456">+K130+K135</f>
        <v>0</v>
      </c>
      <c r="L715" s="31">
        <f t="shared" si="456"/>
        <v>0</v>
      </c>
      <c r="M715" s="31">
        <f t="shared" si="441"/>
        <v>0</v>
      </c>
      <c r="N715" s="31">
        <f t="shared" si="456"/>
        <v>0</v>
      </c>
      <c r="O715" s="31">
        <f t="shared" si="456"/>
        <v>0</v>
      </c>
      <c r="P715" s="9">
        <f t="shared" si="419"/>
        <v>0</v>
      </c>
      <c r="Q715" s="31">
        <f t="shared" si="456"/>
        <v>0</v>
      </c>
      <c r="R715" s="31">
        <f t="shared" si="456"/>
        <v>0</v>
      </c>
      <c r="S715" s="31">
        <f>+S130+S135</f>
        <v>0</v>
      </c>
      <c r="T715" s="31">
        <f t="shared" si="456"/>
        <v>0</v>
      </c>
      <c r="U715" s="31">
        <f t="shared" si="456"/>
        <v>0</v>
      </c>
      <c r="V715" s="31">
        <f t="shared" si="456"/>
        <v>0</v>
      </c>
      <c r="W715" s="27" t="str">
        <f t="shared" si="445"/>
        <v>OK</v>
      </c>
      <c r="X715" s="3"/>
      <c r="Y715" s="3"/>
      <c r="Z715" s="3"/>
      <c r="AA715" s="3"/>
      <c r="AB715" s="3"/>
      <c r="AC715" s="3"/>
    </row>
    <row r="716" spans="1:29" x14ac:dyDescent="0.2">
      <c r="A716" s="3">
        <f t="shared" si="425"/>
        <v>48</v>
      </c>
      <c r="B716" s="3" t="s">
        <v>416</v>
      </c>
      <c r="C716" s="3"/>
      <c r="D716" s="3"/>
      <c r="E716" s="3" t="s">
        <v>338</v>
      </c>
      <c r="F716" s="3"/>
      <c r="G716" s="3"/>
      <c r="H716" s="31">
        <f t="shared" si="442"/>
        <v>0</v>
      </c>
      <c r="I716" s="94">
        <v>0</v>
      </c>
      <c r="J716" s="94">
        <f t="shared" si="424"/>
        <v>0</v>
      </c>
      <c r="K716" s="31">
        <f t="shared" ref="K716:V716" si="457">+K139</f>
        <v>0</v>
      </c>
      <c r="L716" s="31">
        <f t="shared" si="457"/>
        <v>0</v>
      </c>
      <c r="M716" s="31">
        <f t="shared" si="441"/>
        <v>0</v>
      </c>
      <c r="N716" s="31">
        <f t="shared" si="457"/>
        <v>0</v>
      </c>
      <c r="O716" s="31">
        <f t="shared" si="457"/>
        <v>0</v>
      </c>
      <c r="P716" s="9">
        <f t="shared" si="419"/>
        <v>0</v>
      </c>
      <c r="Q716" s="31">
        <f t="shared" si="457"/>
        <v>0</v>
      </c>
      <c r="R716" s="31">
        <f t="shared" si="457"/>
        <v>0</v>
      </c>
      <c r="S716" s="31">
        <f>+S139</f>
        <v>0</v>
      </c>
      <c r="T716" s="31">
        <f t="shared" si="457"/>
        <v>0</v>
      </c>
      <c r="U716" s="31">
        <f t="shared" si="457"/>
        <v>0</v>
      </c>
      <c r="V716" s="31">
        <f t="shared" si="457"/>
        <v>0</v>
      </c>
      <c r="W716" s="27" t="str">
        <f t="shared" si="445"/>
        <v>OK</v>
      </c>
      <c r="X716" s="3"/>
      <c r="Y716" s="3"/>
      <c r="Z716" s="3"/>
      <c r="AA716" s="3"/>
      <c r="AB716" s="3"/>
      <c r="AC716" s="3"/>
    </row>
    <row r="717" spans="1:29" x14ac:dyDescent="0.2">
      <c r="A717" s="3">
        <f t="shared" si="425"/>
        <v>49</v>
      </c>
      <c r="B717" s="3" t="s">
        <v>417</v>
      </c>
      <c r="C717" s="3"/>
      <c r="D717" s="3"/>
      <c r="E717" s="3" t="s">
        <v>334</v>
      </c>
      <c r="F717" s="3"/>
      <c r="G717" s="3"/>
      <c r="H717" s="31">
        <f t="shared" si="442"/>
        <v>48515731.413830571</v>
      </c>
      <c r="I717" s="94">
        <v>0</v>
      </c>
      <c r="J717" s="94">
        <f t="shared" si="424"/>
        <v>48515731.413830571</v>
      </c>
      <c r="K717" s="31">
        <f t="shared" ref="K717:V717" si="458">+K142</f>
        <v>22744503.506788339</v>
      </c>
      <c r="L717" s="31">
        <f t="shared" si="458"/>
        <v>4321699.3569271909</v>
      </c>
      <c r="M717" s="31">
        <f t="shared" si="441"/>
        <v>17156855.568331026</v>
      </c>
      <c r="N717" s="31">
        <f t="shared" si="458"/>
        <v>334717.57970177941</v>
      </c>
      <c r="O717" s="31">
        <f t="shared" si="458"/>
        <v>16822137.988629248</v>
      </c>
      <c r="P717" s="9">
        <f t="shared" si="419"/>
        <v>2307332.4120125012</v>
      </c>
      <c r="Q717" s="31">
        <f t="shared" si="458"/>
        <v>996444.66043633805</v>
      </c>
      <c r="R717" s="31">
        <f t="shared" si="458"/>
        <v>1168538.5143709721</v>
      </c>
      <c r="S717" s="31">
        <f>+S142</f>
        <v>142349.23720519114</v>
      </c>
      <c r="T717" s="31">
        <f t="shared" si="458"/>
        <v>1944972.875638704</v>
      </c>
      <c r="U717" s="31">
        <f t="shared" si="458"/>
        <v>0</v>
      </c>
      <c r="V717" s="31">
        <f t="shared" si="458"/>
        <v>40367.694132815399</v>
      </c>
      <c r="W717" s="27" t="str">
        <f t="shared" si="445"/>
        <v>OK</v>
      </c>
      <c r="X717" s="3"/>
      <c r="Y717" s="3"/>
      <c r="Z717" s="3"/>
      <c r="AA717" s="3"/>
      <c r="AB717" s="3"/>
      <c r="AC717" s="3"/>
    </row>
    <row r="718" spans="1:29" x14ac:dyDescent="0.2">
      <c r="A718" s="3">
        <f t="shared" si="425"/>
        <v>50</v>
      </c>
      <c r="B718" s="3" t="s">
        <v>418</v>
      </c>
      <c r="C718" s="3"/>
      <c r="D718" s="3"/>
      <c r="E718" s="3" t="s">
        <v>336</v>
      </c>
      <c r="F718" s="3"/>
      <c r="G718" s="3"/>
      <c r="H718" s="31">
        <f t="shared" si="442"/>
        <v>0</v>
      </c>
      <c r="I718" s="94">
        <v>0</v>
      </c>
      <c r="J718" s="94">
        <f t="shared" si="424"/>
        <v>0</v>
      </c>
      <c r="K718" s="31">
        <f t="shared" ref="K718:V718" si="459">+K143</f>
        <v>0</v>
      </c>
      <c r="L718" s="31">
        <f t="shared" si="459"/>
        <v>0</v>
      </c>
      <c r="M718" s="31">
        <f t="shared" si="441"/>
        <v>0</v>
      </c>
      <c r="N718" s="31">
        <f t="shared" si="459"/>
        <v>0</v>
      </c>
      <c r="O718" s="31">
        <f t="shared" si="459"/>
        <v>0</v>
      </c>
      <c r="P718" s="9">
        <f t="shared" si="419"/>
        <v>0</v>
      </c>
      <c r="Q718" s="31">
        <f t="shared" si="459"/>
        <v>0</v>
      </c>
      <c r="R718" s="31">
        <f t="shared" si="459"/>
        <v>0</v>
      </c>
      <c r="S718" s="31">
        <f>+S143</f>
        <v>0</v>
      </c>
      <c r="T718" s="31">
        <f t="shared" si="459"/>
        <v>0</v>
      </c>
      <c r="U718" s="31">
        <f t="shared" si="459"/>
        <v>0</v>
      </c>
      <c r="V718" s="31">
        <f t="shared" si="459"/>
        <v>0</v>
      </c>
      <c r="W718" s="27" t="str">
        <f t="shared" si="445"/>
        <v>OK</v>
      </c>
      <c r="X718" s="3"/>
      <c r="Y718" s="3"/>
      <c r="Z718" s="3"/>
      <c r="AA718" s="3"/>
      <c r="AB718" s="3"/>
      <c r="AC718" s="3"/>
    </row>
    <row r="719" spans="1:29" x14ac:dyDescent="0.2">
      <c r="A719" s="3">
        <f t="shared" si="425"/>
        <v>51</v>
      </c>
      <c r="B719" s="3" t="s">
        <v>419</v>
      </c>
      <c r="C719" s="3"/>
      <c r="D719" s="3"/>
      <c r="E719" s="3" t="s">
        <v>335</v>
      </c>
      <c r="F719" s="3"/>
      <c r="G719" s="3"/>
      <c r="H719" s="31">
        <f t="shared" si="442"/>
        <v>0</v>
      </c>
      <c r="I719" s="94">
        <v>0</v>
      </c>
      <c r="J719" s="94">
        <f t="shared" si="424"/>
        <v>0</v>
      </c>
      <c r="K719" s="31">
        <f t="shared" ref="K719:V719" si="460">+K145</f>
        <v>0</v>
      </c>
      <c r="L719" s="31">
        <f t="shared" si="460"/>
        <v>0</v>
      </c>
      <c r="M719" s="31">
        <f t="shared" si="441"/>
        <v>0</v>
      </c>
      <c r="N719" s="31">
        <f t="shared" si="460"/>
        <v>0</v>
      </c>
      <c r="O719" s="31">
        <f t="shared" si="460"/>
        <v>0</v>
      </c>
      <c r="P719" s="9">
        <f t="shared" si="419"/>
        <v>0</v>
      </c>
      <c r="Q719" s="31">
        <f t="shared" si="460"/>
        <v>0</v>
      </c>
      <c r="R719" s="31">
        <f t="shared" si="460"/>
        <v>0</v>
      </c>
      <c r="S719" s="31">
        <f>+S145</f>
        <v>0</v>
      </c>
      <c r="T719" s="31">
        <f t="shared" si="460"/>
        <v>0</v>
      </c>
      <c r="U719" s="31">
        <f t="shared" si="460"/>
        <v>0</v>
      </c>
      <c r="V719" s="31">
        <f t="shared" si="460"/>
        <v>0</v>
      </c>
      <c r="W719" s="27" t="str">
        <f t="shared" si="445"/>
        <v>OK</v>
      </c>
      <c r="X719" s="3"/>
      <c r="Y719" s="3"/>
      <c r="Z719" s="3"/>
      <c r="AA719" s="3"/>
      <c r="AB719" s="3"/>
      <c r="AC719" s="3"/>
    </row>
    <row r="720" spans="1:29" x14ac:dyDescent="0.2">
      <c r="A720" s="3">
        <f t="shared" si="425"/>
        <v>52</v>
      </c>
      <c r="B720" s="3" t="s">
        <v>401</v>
      </c>
      <c r="C720" s="3"/>
      <c r="D720" s="3"/>
      <c r="E720" s="3" t="s">
        <v>312</v>
      </c>
      <c r="F720" s="3"/>
      <c r="G720" s="3"/>
      <c r="H720" s="31">
        <f t="shared" ca="1" si="442"/>
        <v>117234158.2387066</v>
      </c>
      <c r="I720" s="94">
        <v>0</v>
      </c>
      <c r="J720" s="94">
        <f t="shared" ca="1" si="424"/>
        <v>117234158.2387066</v>
      </c>
      <c r="K720" s="17">
        <f t="shared" ref="K720:V720" ca="1" si="461">+K308</f>
        <v>54960901.180540003</v>
      </c>
      <c r="L720" s="17">
        <f t="shared" ca="1" si="461"/>
        <v>10442495.165480319</v>
      </c>
      <c r="M720" s="17">
        <f t="shared" ca="1" si="441"/>
        <v>41457664.399036199</v>
      </c>
      <c r="N720" s="17">
        <f t="shared" ca="1" si="461"/>
        <v>809067.22056775948</v>
      </c>
      <c r="O720" s="17">
        <f t="shared" ca="1" si="461"/>
        <v>40648597.178468436</v>
      </c>
      <c r="P720" s="9">
        <f t="shared" ca="1" si="419"/>
        <v>5575887.4929973548</v>
      </c>
      <c r="Q720" s="17">
        <f t="shared" ca="1" si="461"/>
        <v>2408298.5276421765</v>
      </c>
      <c r="R720" s="17">
        <f t="shared" ca="1" si="461"/>
        <v>2823537.4748665821</v>
      </c>
      <c r="S720" s="17">
        <f ca="1">+S308</f>
        <v>344051.49048859649</v>
      </c>
      <c r="T720" s="17">
        <f t="shared" ca="1" si="461"/>
        <v>4699558.5196833545</v>
      </c>
      <c r="U720" s="17">
        <f t="shared" ca="1" si="461"/>
        <v>83.913243592985353</v>
      </c>
      <c r="V720" s="17">
        <f t="shared" ca="1" si="461"/>
        <v>97567.567725773319</v>
      </c>
      <c r="W720" s="27" t="str">
        <f t="shared" ca="1" si="445"/>
        <v>OK</v>
      </c>
      <c r="X720" s="3"/>
      <c r="Y720" s="3"/>
      <c r="Z720" s="3"/>
      <c r="AA720" s="3"/>
      <c r="AB720" s="3"/>
      <c r="AC720" s="3"/>
    </row>
    <row r="721" spans="1:29" x14ac:dyDescent="0.2">
      <c r="A721" s="3">
        <f t="shared" si="425"/>
        <v>53</v>
      </c>
      <c r="B721" s="3" t="s">
        <v>570</v>
      </c>
      <c r="C721" s="3"/>
      <c r="D721" s="3" t="s">
        <v>615</v>
      </c>
      <c r="E721" s="3" t="s">
        <v>324</v>
      </c>
      <c r="F721" s="3"/>
      <c r="G721" s="3"/>
      <c r="H721" s="31">
        <f>+I721+J721</f>
        <v>56905340.492062181</v>
      </c>
      <c r="I721" s="94">
        <v>0</v>
      </c>
      <c r="J721" s="94">
        <f t="shared" si="424"/>
        <v>56905340.492062181</v>
      </c>
      <c r="K721" s="31">
        <f>+K39</f>
        <v>38036476.375195511</v>
      </c>
      <c r="L721" s="31">
        <f t="shared" ref="L721:V721" si="462">+L39</f>
        <v>5099900.9656802686</v>
      </c>
      <c r="M721" s="17">
        <f t="shared" si="441"/>
        <v>10956922.521470765</v>
      </c>
      <c r="N721" s="31">
        <f t="shared" si="462"/>
        <v>87790.730090504308</v>
      </c>
      <c r="O721" s="31">
        <f t="shared" si="462"/>
        <v>10869131.79138026</v>
      </c>
      <c r="P721" s="9">
        <f t="shared" si="419"/>
        <v>1645621.6706345179</v>
      </c>
      <c r="Q721" s="31">
        <f t="shared" si="462"/>
        <v>713143.33128456166</v>
      </c>
      <c r="R721" s="31">
        <f t="shared" si="462"/>
        <v>830965.62931467756</v>
      </c>
      <c r="S721" s="31">
        <f>+S39</f>
        <v>101512.71003527872</v>
      </c>
      <c r="T721" s="31">
        <f t="shared" si="462"/>
        <v>1166417.9590811178</v>
      </c>
      <c r="U721" s="31">
        <f t="shared" si="462"/>
        <v>0</v>
      </c>
      <c r="V721" s="31">
        <f t="shared" si="462"/>
        <v>1</v>
      </c>
      <c r="W721" s="27" t="str">
        <f t="shared" si="445"/>
        <v>OK</v>
      </c>
      <c r="X721" s="3"/>
      <c r="Y721" s="3"/>
      <c r="Z721" s="3"/>
      <c r="AA721" s="3"/>
      <c r="AB721" s="3"/>
      <c r="AC721" s="3"/>
    </row>
    <row r="722" spans="1:29" x14ac:dyDescent="0.2">
      <c r="A722" s="3">
        <f t="shared" si="425"/>
        <v>54</v>
      </c>
      <c r="B722" s="3" t="s">
        <v>354</v>
      </c>
      <c r="C722" s="3"/>
      <c r="D722" s="3" t="s">
        <v>615</v>
      </c>
      <c r="E722" s="3" t="s">
        <v>395</v>
      </c>
      <c r="F722" s="3"/>
      <c r="G722" s="3"/>
      <c r="H722" s="31">
        <f>SUM(I722:J722)</f>
        <v>56905340.492062181</v>
      </c>
      <c r="I722" s="94">
        <v>0</v>
      </c>
      <c r="J722" s="94">
        <f t="shared" si="424"/>
        <v>56905340.492062181</v>
      </c>
      <c r="K722" s="31">
        <f>+K$39</f>
        <v>38036476.375195511</v>
      </c>
      <c r="L722" s="31">
        <f t="shared" ref="L722:V722" si="463">+L$39</f>
        <v>5099900.9656802686</v>
      </c>
      <c r="M722" s="17">
        <f t="shared" si="441"/>
        <v>10956922.521470765</v>
      </c>
      <c r="N722" s="31">
        <f t="shared" si="463"/>
        <v>87790.730090504308</v>
      </c>
      <c r="O722" s="31">
        <f t="shared" si="463"/>
        <v>10869131.79138026</v>
      </c>
      <c r="P722" s="9">
        <f t="shared" si="419"/>
        <v>1645621.6706345179</v>
      </c>
      <c r="Q722" s="31">
        <f t="shared" si="463"/>
        <v>713143.33128456166</v>
      </c>
      <c r="R722" s="31">
        <f t="shared" si="463"/>
        <v>830965.62931467756</v>
      </c>
      <c r="S722" s="31">
        <f t="shared" si="463"/>
        <v>101512.71003527872</v>
      </c>
      <c r="T722" s="31">
        <f t="shared" si="463"/>
        <v>1166417.9590811178</v>
      </c>
      <c r="U722" s="31">
        <f t="shared" si="463"/>
        <v>0</v>
      </c>
      <c r="V722" s="31">
        <f t="shared" si="463"/>
        <v>1</v>
      </c>
      <c r="W722" s="27" t="str">
        <f t="shared" si="445"/>
        <v>OK</v>
      </c>
      <c r="X722" s="3"/>
      <c r="Y722" s="3"/>
      <c r="Z722" s="3"/>
      <c r="AA722" s="3"/>
      <c r="AB722" s="3"/>
      <c r="AC722" s="3"/>
    </row>
    <row r="723" spans="1:29" x14ac:dyDescent="0.2">
      <c r="A723" s="3">
        <f t="shared" si="425"/>
        <v>55</v>
      </c>
      <c r="B723" s="18" t="s">
        <v>355</v>
      </c>
      <c r="C723" s="18"/>
      <c r="D723" s="3"/>
      <c r="E723" s="3" t="s">
        <v>396</v>
      </c>
      <c r="F723" s="3"/>
      <c r="G723" s="3"/>
      <c r="H723" s="31">
        <f>SUM(I723:J723)</f>
        <v>0</v>
      </c>
      <c r="I723" s="94">
        <v>0</v>
      </c>
      <c r="J723" s="94">
        <f t="shared" si="424"/>
        <v>0</v>
      </c>
      <c r="K723" s="31">
        <v>0</v>
      </c>
      <c r="L723" s="31">
        <v>0</v>
      </c>
      <c r="M723" s="17">
        <f t="shared" si="441"/>
        <v>0</v>
      </c>
      <c r="N723" s="31">
        <v>0</v>
      </c>
      <c r="O723" s="31">
        <v>0</v>
      </c>
      <c r="P723" s="9">
        <f t="shared" si="419"/>
        <v>0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27" t="str">
        <f t="shared" si="445"/>
        <v>OK</v>
      </c>
      <c r="X723" s="3"/>
      <c r="Y723" s="3"/>
      <c r="Z723" s="3"/>
      <c r="AA723" s="3"/>
      <c r="AB723" s="3"/>
      <c r="AC723" s="3"/>
    </row>
    <row r="724" spans="1:29" x14ac:dyDescent="0.2">
      <c r="A724" s="3">
        <f t="shared" si="425"/>
        <v>56</v>
      </c>
      <c r="B724" s="3" t="s">
        <v>351</v>
      </c>
      <c r="C724" s="3"/>
      <c r="D724" s="3"/>
      <c r="E724" s="3" t="s">
        <v>323</v>
      </c>
      <c r="F724" s="3"/>
      <c r="G724" s="3"/>
      <c r="H724" s="31">
        <f ca="1">SUM(I724:J724)</f>
        <v>10442645.074391408</v>
      </c>
      <c r="I724" s="94">
        <v>0</v>
      </c>
      <c r="J724" s="94">
        <f t="shared" ca="1" si="424"/>
        <v>10442645.074391408</v>
      </c>
      <c r="K724" s="31">
        <f ca="1">K525</f>
        <v>4895582.7438465171</v>
      </c>
      <c r="L724" s="31">
        <f ca="1">L$525</f>
        <v>930213.17390158668</v>
      </c>
      <c r="M724" s="31">
        <f t="shared" ca="1" si="441"/>
        <v>3692883.6909506451</v>
      </c>
      <c r="N724" s="31">
        <f t="shared" ref="N724:V724" ca="1" si="464">N525</f>
        <v>72045.433164150381</v>
      </c>
      <c r="O724" s="31">
        <f t="shared" ca="1" si="464"/>
        <v>3620838.2577864947</v>
      </c>
      <c r="P724" s="9">
        <f t="shared" ca="1" si="419"/>
        <v>496635.88995006343</v>
      </c>
      <c r="Q724" s="31">
        <f t="shared" ca="1" si="464"/>
        <v>214477.19372613236</v>
      </c>
      <c r="R724" s="31">
        <f t="shared" ca="1" si="464"/>
        <v>251519.09712019787</v>
      </c>
      <c r="S724" s="31">
        <f ca="1">S525</f>
        <v>30639.599103733191</v>
      </c>
      <c r="T724" s="31">
        <f t="shared" ca="1" si="464"/>
        <v>418640.73420571716</v>
      </c>
      <c r="U724" s="31">
        <f t="shared" ca="1" si="464"/>
        <v>0</v>
      </c>
      <c r="V724" s="31">
        <f t="shared" ca="1" si="464"/>
        <v>8688.841536879565</v>
      </c>
      <c r="W724" s="27" t="str">
        <f t="shared" ca="1" si="445"/>
        <v>OK</v>
      </c>
      <c r="X724" s="3"/>
      <c r="Y724" s="3"/>
      <c r="Z724" s="3"/>
      <c r="AA724" s="3"/>
      <c r="AB724" s="3"/>
      <c r="AC724" s="3"/>
    </row>
    <row r="725" spans="1:29" x14ac:dyDescent="0.2">
      <c r="A725" s="3">
        <f t="shared" si="425"/>
        <v>57</v>
      </c>
      <c r="B725" s="3" t="s">
        <v>357</v>
      </c>
      <c r="C725" s="3"/>
      <c r="D725" s="3"/>
      <c r="E725" s="3" t="s">
        <v>394</v>
      </c>
      <c r="F725" s="3"/>
      <c r="G725" s="3"/>
      <c r="H725" s="31">
        <f ca="1">SUM(I725:J725)</f>
        <v>10442645.074391408</v>
      </c>
      <c r="I725" s="94">
        <v>0</v>
      </c>
      <c r="J725" s="94">
        <f t="shared" ca="1" si="424"/>
        <v>10442645.074391408</v>
      </c>
      <c r="K725" s="31">
        <f t="shared" ref="K725:V725" ca="1" si="465">K525</f>
        <v>4895582.7438465171</v>
      </c>
      <c r="L725" s="31">
        <f t="shared" ca="1" si="465"/>
        <v>930213.17390158668</v>
      </c>
      <c r="M725" s="31">
        <f t="shared" ca="1" si="441"/>
        <v>3692883.6909506451</v>
      </c>
      <c r="N725" s="31">
        <f t="shared" ca="1" si="465"/>
        <v>72045.433164150381</v>
      </c>
      <c r="O725" s="31">
        <f t="shared" ca="1" si="465"/>
        <v>3620838.2577864947</v>
      </c>
      <c r="P725" s="9">
        <f t="shared" ref="P725:P739" ca="1" si="466">SUM(Q725:S725)</f>
        <v>496635.88995006343</v>
      </c>
      <c r="Q725" s="31">
        <f t="shared" ca="1" si="465"/>
        <v>214477.19372613236</v>
      </c>
      <c r="R725" s="31">
        <f t="shared" ca="1" si="465"/>
        <v>251519.09712019787</v>
      </c>
      <c r="S725" s="31">
        <f ca="1">S525</f>
        <v>30639.599103733191</v>
      </c>
      <c r="T725" s="31">
        <f t="shared" ca="1" si="465"/>
        <v>418640.73420571716</v>
      </c>
      <c r="U725" s="31">
        <f t="shared" ca="1" si="465"/>
        <v>0</v>
      </c>
      <c r="V725" s="31">
        <f t="shared" ca="1" si="465"/>
        <v>8688.841536879565</v>
      </c>
      <c r="W725" s="27" t="str">
        <f t="shared" ca="1" si="445"/>
        <v>OK</v>
      </c>
      <c r="X725" s="3"/>
      <c r="Y725" s="3"/>
      <c r="Z725" s="3"/>
      <c r="AA725" s="3"/>
      <c r="AB725" s="3"/>
      <c r="AC725" s="3"/>
    </row>
    <row r="726" spans="1:29" x14ac:dyDescent="0.2">
      <c r="A726" s="3">
        <f t="shared" si="425"/>
        <v>58</v>
      </c>
      <c r="B726" s="3" t="s">
        <v>402</v>
      </c>
      <c r="C726" s="3"/>
      <c r="D726" s="3"/>
      <c r="E726" s="3" t="s">
        <v>422</v>
      </c>
      <c r="F726" s="3"/>
      <c r="G726" s="3"/>
      <c r="H726" s="31">
        <f t="shared" ref="H726:H738" si="467">SUM(I726:J726)</f>
        <v>0</v>
      </c>
      <c r="I726" s="94">
        <v>0</v>
      </c>
      <c r="J726" s="94">
        <f t="shared" si="424"/>
        <v>0</v>
      </c>
      <c r="K726" s="31">
        <f>SUM(K327:K333)-K332</f>
        <v>0</v>
      </c>
      <c r="L726" s="31">
        <f>SUM(L327:L333)-L332</f>
        <v>0</v>
      </c>
      <c r="M726" s="31">
        <f t="shared" si="441"/>
        <v>0</v>
      </c>
      <c r="N726" s="31">
        <f>SUM(N327:N333)-N332</f>
        <v>0</v>
      </c>
      <c r="O726" s="31">
        <f>SUM(O327:O333)-O332</f>
        <v>0</v>
      </c>
      <c r="P726" s="9">
        <f t="shared" si="466"/>
        <v>0</v>
      </c>
      <c r="Q726" s="31">
        <f t="shared" ref="Q726:V726" si="468">SUM(Q327:Q333)-Q332</f>
        <v>0</v>
      </c>
      <c r="R726" s="31">
        <f t="shared" si="468"/>
        <v>0</v>
      </c>
      <c r="S726" s="31">
        <f t="shared" si="468"/>
        <v>0</v>
      </c>
      <c r="T726" s="31">
        <f t="shared" si="468"/>
        <v>0</v>
      </c>
      <c r="U726" s="31">
        <f t="shared" si="468"/>
        <v>0</v>
      </c>
      <c r="V726" s="31">
        <f t="shared" si="468"/>
        <v>0</v>
      </c>
      <c r="W726" s="27" t="str">
        <f t="shared" si="445"/>
        <v>OK</v>
      </c>
      <c r="X726" s="3"/>
      <c r="Y726" s="3"/>
      <c r="Z726" s="3"/>
      <c r="AA726" s="3"/>
      <c r="AB726" s="3"/>
      <c r="AC726" s="3"/>
    </row>
    <row r="727" spans="1:29" x14ac:dyDescent="0.2">
      <c r="A727" s="3">
        <f t="shared" si="425"/>
        <v>59</v>
      </c>
      <c r="B727" s="3" t="s">
        <v>403</v>
      </c>
      <c r="C727" s="3"/>
      <c r="D727" s="3"/>
      <c r="E727" s="3" t="s">
        <v>423</v>
      </c>
      <c r="F727" s="3"/>
      <c r="G727" s="3"/>
      <c r="H727" s="31">
        <f t="shared" si="467"/>
        <v>0</v>
      </c>
      <c r="I727" s="94">
        <v>0</v>
      </c>
      <c r="J727" s="94">
        <f t="shared" si="424"/>
        <v>0</v>
      </c>
      <c r="K727" s="31">
        <f t="shared" ref="K727:V727" si="469">SUM(K458:K462)</f>
        <v>0</v>
      </c>
      <c r="L727" s="31">
        <f t="shared" si="469"/>
        <v>0</v>
      </c>
      <c r="M727" s="31">
        <f t="shared" si="441"/>
        <v>0</v>
      </c>
      <c r="N727" s="31">
        <f t="shared" si="469"/>
        <v>0</v>
      </c>
      <c r="O727" s="31">
        <f t="shared" si="469"/>
        <v>0</v>
      </c>
      <c r="P727" s="9">
        <f t="shared" si="466"/>
        <v>0</v>
      </c>
      <c r="Q727" s="31">
        <f t="shared" si="469"/>
        <v>0</v>
      </c>
      <c r="R727" s="31">
        <f t="shared" si="469"/>
        <v>0</v>
      </c>
      <c r="S727" s="31">
        <f>SUM(S458:S462)</f>
        <v>0</v>
      </c>
      <c r="T727" s="31">
        <f t="shared" si="469"/>
        <v>0</v>
      </c>
      <c r="U727" s="31">
        <f t="shared" si="469"/>
        <v>0</v>
      </c>
      <c r="V727" s="31">
        <f t="shared" si="469"/>
        <v>0</v>
      </c>
      <c r="W727" s="27" t="str">
        <f t="shared" si="445"/>
        <v>OK</v>
      </c>
      <c r="X727" s="3"/>
      <c r="Y727" s="3"/>
      <c r="Z727" s="3"/>
      <c r="AA727" s="3"/>
      <c r="AB727" s="3"/>
      <c r="AC727" s="3"/>
    </row>
    <row r="728" spans="1:29" x14ac:dyDescent="0.2">
      <c r="A728" s="3">
        <f t="shared" si="425"/>
        <v>60</v>
      </c>
      <c r="B728" s="3" t="s">
        <v>404</v>
      </c>
      <c r="C728" s="3"/>
      <c r="D728" s="3"/>
      <c r="E728" s="3" t="s">
        <v>360</v>
      </c>
      <c r="F728" s="3"/>
      <c r="G728" s="3"/>
      <c r="H728" s="31">
        <f t="shared" si="467"/>
        <v>8793325.974826403</v>
      </c>
      <c r="I728" s="94">
        <v>0</v>
      </c>
      <c r="J728" s="94">
        <f t="shared" si="424"/>
        <v>8793325.974826403</v>
      </c>
      <c r="K728" s="31">
        <f t="shared" ref="K728:V728" si="470">SUM(K471:K478)</f>
        <v>4122370.7783524687</v>
      </c>
      <c r="L728" s="31">
        <f t="shared" si="470"/>
        <v>783294.61605983356</v>
      </c>
      <c r="M728" s="31">
        <f t="shared" si="441"/>
        <v>3109626.9049000111</v>
      </c>
      <c r="N728" s="31">
        <f t="shared" si="470"/>
        <v>60666.524074779401</v>
      </c>
      <c r="O728" s="31">
        <f t="shared" si="470"/>
        <v>3048960.3808252318</v>
      </c>
      <c r="P728" s="9">
        <f t="shared" si="466"/>
        <v>418196.84955475037</v>
      </c>
      <c r="Q728" s="31">
        <f t="shared" si="470"/>
        <v>180602.50685191338</v>
      </c>
      <c r="R728" s="31">
        <f t="shared" si="470"/>
        <v>211793.98458113507</v>
      </c>
      <c r="S728" s="31">
        <f>SUM(S471:S478)</f>
        <v>25800.358121701909</v>
      </c>
      <c r="T728" s="31">
        <f t="shared" si="470"/>
        <v>352520.30649198988</v>
      </c>
      <c r="U728" s="31">
        <f t="shared" si="470"/>
        <v>0</v>
      </c>
      <c r="V728" s="31">
        <f t="shared" si="470"/>
        <v>7316.5194673483038</v>
      </c>
      <c r="W728" s="27" t="str">
        <f t="shared" si="445"/>
        <v>OK</v>
      </c>
      <c r="X728" s="3"/>
      <c r="Y728" s="3"/>
      <c r="Z728" s="3"/>
      <c r="AA728" s="3"/>
      <c r="AB728" s="3"/>
      <c r="AC728" s="3"/>
    </row>
    <row r="729" spans="1:29" x14ac:dyDescent="0.2">
      <c r="A729" s="3">
        <f t="shared" si="425"/>
        <v>61</v>
      </c>
      <c r="B729" s="3" t="s">
        <v>405</v>
      </c>
      <c r="C729" s="3"/>
      <c r="D729" s="3"/>
      <c r="E729" s="3" t="s">
        <v>424</v>
      </c>
      <c r="F729" s="3"/>
      <c r="G729" s="3"/>
      <c r="H729" s="31">
        <f t="shared" ca="1" si="467"/>
        <v>294568.21957191185</v>
      </c>
      <c r="I729" s="94">
        <v>0</v>
      </c>
      <c r="J729" s="94">
        <f t="shared" ca="1" si="424"/>
        <v>294568.21957191185</v>
      </c>
      <c r="K729" s="31">
        <f t="shared" ref="K729:V729" ca="1" si="471">SUM(K483:K490)</f>
        <v>138095.57658511988</v>
      </c>
      <c r="L729" s="31">
        <f t="shared" ca="1" si="471"/>
        <v>26239.639143772849</v>
      </c>
      <c r="M729" s="31">
        <f t="shared" ca="1" si="441"/>
        <v>104169.60130121808</v>
      </c>
      <c r="N729" s="31">
        <f t="shared" ca="1" si="471"/>
        <v>2032.2719793948147</v>
      </c>
      <c r="O729" s="31">
        <f t="shared" ca="1" si="471"/>
        <v>102137.32932182326</v>
      </c>
      <c r="P729" s="9">
        <f t="shared" ca="1" si="466"/>
        <v>14009.204453080387</v>
      </c>
      <c r="Q729" s="31">
        <f t="shared" ca="1" si="471"/>
        <v>6050.0155511000939</v>
      </c>
      <c r="R729" s="31">
        <f t="shared" ca="1" si="471"/>
        <v>7094.9009661088521</v>
      </c>
      <c r="S729" s="31">
        <f ca="1">SUM(S483:S490)</f>
        <v>864.28793587144185</v>
      </c>
      <c r="T729" s="31">
        <f t="shared" ca="1" si="471"/>
        <v>11809.101509891447</v>
      </c>
      <c r="U729" s="31">
        <f t="shared" ca="1" si="471"/>
        <v>0</v>
      </c>
      <c r="V729" s="31">
        <f t="shared" ca="1" si="471"/>
        <v>245.09657882921488</v>
      </c>
      <c r="W729" s="27" t="str">
        <f t="shared" ca="1" si="445"/>
        <v>OK</v>
      </c>
      <c r="X729" s="3"/>
      <c r="Y729" s="3"/>
      <c r="Z729" s="3"/>
      <c r="AA729" s="3"/>
      <c r="AB729" s="3"/>
      <c r="AC729" s="3"/>
    </row>
    <row r="730" spans="1:29" x14ac:dyDescent="0.2">
      <c r="A730" s="3">
        <f t="shared" si="425"/>
        <v>62</v>
      </c>
      <c r="B730" s="3" t="s">
        <v>406</v>
      </c>
      <c r="C730" s="3"/>
      <c r="D730" s="3"/>
      <c r="E730" s="3" t="s">
        <v>339</v>
      </c>
      <c r="F730" s="3"/>
      <c r="G730" s="3"/>
      <c r="H730" s="31">
        <f t="shared" si="467"/>
        <v>15700.196145589029</v>
      </c>
      <c r="I730" s="94">
        <v>0</v>
      </c>
      <c r="J730" s="94">
        <f t="shared" si="424"/>
        <v>15700.196145589029</v>
      </c>
      <c r="K730" s="31">
        <f t="shared" ref="K730:V730" si="472">SUM(K501:K503)</f>
        <v>7360.3582979028615</v>
      </c>
      <c r="L730" s="31">
        <f t="shared" si="472"/>
        <v>1398.546937430694</v>
      </c>
      <c r="M730" s="31">
        <f t="shared" si="441"/>
        <v>5552.1372102317555</v>
      </c>
      <c r="N730" s="31">
        <f t="shared" si="472"/>
        <v>108.3180960391883</v>
      </c>
      <c r="O730" s="31">
        <f t="shared" si="472"/>
        <v>5443.8191141925672</v>
      </c>
      <c r="P730" s="9">
        <f t="shared" si="466"/>
        <v>746.67680741888887</v>
      </c>
      <c r="Q730" s="31">
        <f t="shared" si="472"/>
        <v>322.45987355382954</v>
      </c>
      <c r="R730" s="31">
        <f t="shared" si="472"/>
        <v>378.15123764308368</v>
      </c>
      <c r="S730" s="31">
        <f>SUM(S501:S503)</f>
        <v>46.065696221975642</v>
      </c>
      <c r="T730" s="31">
        <f t="shared" si="472"/>
        <v>629.41348621352199</v>
      </c>
      <c r="U730" s="31">
        <f t="shared" si="472"/>
        <v>0</v>
      </c>
      <c r="V730" s="31">
        <f t="shared" si="472"/>
        <v>13.063406391306525</v>
      </c>
      <c r="W730" s="27" t="str">
        <f t="shared" si="445"/>
        <v>OK</v>
      </c>
      <c r="X730" s="3"/>
      <c r="Y730" s="3"/>
      <c r="Z730" s="3"/>
      <c r="AA730" s="3"/>
      <c r="AB730" s="3"/>
      <c r="AC730" s="3"/>
    </row>
    <row r="731" spans="1:29" x14ac:dyDescent="0.2">
      <c r="A731" s="3">
        <f t="shared" si="425"/>
        <v>63</v>
      </c>
      <c r="B731" s="3" t="s">
        <v>407</v>
      </c>
      <c r="C731" s="3"/>
      <c r="D731" s="3"/>
      <c r="E731" s="3" t="s">
        <v>425</v>
      </c>
      <c r="F731" s="3"/>
      <c r="G731" s="3"/>
      <c r="H731" s="31">
        <f t="shared" si="467"/>
        <v>0</v>
      </c>
      <c r="I731" s="94">
        <v>0</v>
      </c>
      <c r="J731" s="94">
        <f t="shared" si="424"/>
        <v>0</v>
      </c>
      <c r="K731" s="31">
        <f t="shared" ref="K731:V731" si="473">SUM(K511:K513)</f>
        <v>0</v>
      </c>
      <c r="L731" s="31">
        <f t="shared" si="473"/>
        <v>0</v>
      </c>
      <c r="M731" s="31">
        <f t="shared" si="441"/>
        <v>0</v>
      </c>
      <c r="N731" s="31">
        <f t="shared" si="473"/>
        <v>0</v>
      </c>
      <c r="O731" s="31">
        <f t="shared" si="473"/>
        <v>0</v>
      </c>
      <c r="P731" s="9">
        <f t="shared" si="466"/>
        <v>0</v>
      </c>
      <c r="Q731" s="31">
        <f t="shared" si="473"/>
        <v>0</v>
      </c>
      <c r="R731" s="31">
        <f t="shared" si="473"/>
        <v>0</v>
      </c>
      <c r="S731" s="31">
        <f>SUM(S511:S513)</f>
        <v>0</v>
      </c>
      <c r="T731" s="31">
        <f t="shared" si="473"/>
        <v>0</v>
      </c>
      <c r="U731" s="31">
        <f t="shared" si="473"/>
        <v>0</v>
      </c>
      <c r="V731" s="31">
        <f t="shared" si="473"/>
        <v>0</v>
      </c>
      <c r="W731" s="27" t="str">
        <f t="shared" si="445"/>
        <v>OK</v>
      </c>
      <c r="X731" s="3"/>
      <c r="Y731" s="3"/>
      <c r="Z731" s="3"/>
      <c r="AA731" s="3"/>
      <c r="AB731" s="3"/>
      <c r="AC731" s="3"/>
    </row>
    <row r="732" spans="1:29" ht="12.75" customHeight="1" x14ac:dyDescent="0.2">
      <c r="A732" s="3">
        <f t="shared" si="425"/>
        <v>64</v>
      </c>
      <c r="B732" s="3" t="s">
        <v>408</v>
      </c>
      <c r="C732" s="3"/>
      <c r="D732" s="3"/>
      <c r="E732" s="3" t="s">
        <v>426</v>
      </c>
      <c r="F732" s="3"/>
      <c r="G732" s="3"/>
      <c r="H732" s="31">
        <f t="shared" si="467"/>
        <v>0</v>
      </c>
      <c r="I732" s="94">
        <v>0</v>
      </c>
      <c r="J732" s="94">
        <f t="shared" si="424"/>
        <v>0</v>
      </c>
      <c r="K732" s="31">
        <f t="shared" ref="K732:V732" si="474">SUM(K518:K520)</f>
        <v>0</v>
      </c>
      <c r="L732" s="31">
        <f t="shared" si="474"/>
        <v>0</v>
      </c>
      <c r="M732" s="31">
        <f t="shared" si="441"/>
        <v>0</v>
      </c>
      <c r="N732" s="31">
        <f t="shared" si="474"/>
        <v>0</v>
      </c>
      <c r="O732" s="31">
        <f t="shared" si="474"/>
        <v>0</v>
      </c>
      <c r="P732" s="9">
        <f t="shared" si="466"/>
        <v>0</v>
      </c>
      <c r="Q732" s="31">
        <f t="shared" si="474"/>
        <v>0</v>
      </c>
      <c r="R732" s="31">
        <f t="shared" si="474"/>
        <v>0</v>
      </c>
      <c r="S732" s="31">
        <f>SUM(S518:S520)</f>
        <v>0</v>
      </c>
      <c r="T732" s="31">
        <f t="shared" si="474"/>
        <v>0</v>
      </c>
      <c r="U732" s="31">
        <f t="shared" si="474"/>
        <v>0</v>
      </c>
      <c r="V732" s="31">
        <f t="shared" si="474"/>
        <v>0</v>
      </c>
      <c r="W732" s="27" t="str">
        <f t="shared" si="445"/>
        <v>OK</v>
      </c>
      <c r="X732" s="3"/>
      <c r="Y732" s="3"/>
      <c r="Z732" s="3"/>
      <c r="AA732" s="3"/>
      <c r="AB732" s="3"/>
      <c r="AC732" s="3"/>
    </row>
    <row r="733" spans="1:29" ht="12.75" customHeight="1" x14ac:dyDescent="0.2">
      <c r="A733" s="3">
        <f t="shared" si="425"/>
        <v>65</v>
      </c>
      <c r="B733" s="3" t="s">
        <v>433</v>
      </c>
      <c r="C733" s="3"/>
      <c r="D733" s="3"/>
      <c r="E733" s="3" t="s">
        <v>434</v>
      </c>
      <c r="F733" s="3"/>
      <c r="G733" s="3"/>
      <c r="H733" s="31">
        <f t="shared" si="467"/>
        <v>1329631</v>
      </c>
      <c r="I733" s="94">
        <v>0</v>
      </c>
      <c r="J733" s="94">
        <f t="shared" si="424"/>
        <v>1329631</v>
      </c>
      <c r="K733" s="31">
        <f t="shared" ref="K733:V733" si="475">+K676</f>
        <v>935238</v>
      </c>
      <c r="L733" s="31">
        <f t="shared" si="475"/>
        <v>99366</v>
      </c>
      <c r="M733" s="31">
        <f t="shared" si="441"/>
        <v>72409</v>
      </c>
      <c r="N733" s="31">
        <f t="shared" si="475"/>
        <v>576</v>
      </c>
      <c r="O733" s="31">
        <f t="shared" si="475"/>
        <v>71833</v>
      </c>
      <c r="P733" s="9">
        <f t="shared" si="466"/>
        <v>1086</v>
      </c>
      <c r="Q733" s="31">
        <f t="shared" si="475"/>
        <v>469</v>
      </c>
      <c r="R733" s="31">
        <f t="shared" si="475"/>
        <v>550</v>
      </c>
      <c r="S733" s="31">
        <f>+S676</f>
        <v>67</v>
      </c>
      <c r="T733" s="31">
        <f t="shared" si="475"/>
        <v>123</v>
      </c>
      <c r="U733" s="31">
        <f t="shared" si="475"/>
        <v>221390</v>
      </c>
      <c r="V733" s="31">
        <f t="shared" si="475"/>
        <v>19</v>
      </c>
      <c r="W733" s="27" t="str">
        <f t="shared" si="445"/>
        <v>OK</v>
      </c>
      <c r="X733" s="3"/>
      <c r="Y733" s="3"/>
      <c r="Z733" s="3"/>
      <c r="AA733" s="3"/>
      <c r="AB733" s="3"/>
      <c r="AC733" s="3"/>
    </row>
    <row r="734" spans="1:29" ht="12.75" customHeight="1" x14ac:dyDescent="0.2">
      <c r="A734" s="3">
        <f t="shared" si="425"/>
        <v>66</v>
      </c>
      <c r="B734" s="3" t="s">
        <v>463</v>
      </c>
      <c r="C734" s="3"/>
      <c r="D734" s="3"/>
      <c r="E734" s="3" t="s">
        <v>461</v>
      </c>
      <c r="F734" s="3"/>
      <c r="G734" s="3"/>
      <c r="H734" s="31">
        <f t="shared" si="467"/>
        <v>6726455.2502995022</v>
      </c>
      <c r="I734" s="94">
        <v>0</v>
      </c>
      <c r="J734" s="94">
        <f t="shared" ref="J734:J738" si="476">SUM(K734:M734,P734,T734:V734)</f>
        <v>6726455.2502995022</v>
      </c>
      <c r="K734" s="31">
        <f>K669</f>
        <v>3260753.0515910774</v>
      </c>
      <c r="L734" s="31">
        <f>L669</f>
        <v>128972.63027239306</v>
      </c>
      <c r="M734" s="31">
        <f t="shared" ref="M734:M739" si="477">SUM(N734:O734)</f>
        <v>1920489.8482757821</v>
      </c>
      <c r="N734" s="31">
        <f>N669</f>
        <v>193175.39687988901</v>
      </c>
      <c r="O734" s="31">
        <f>O669</f>
        <v>1727314.451395893</v>
      </c>
      <c r="P734" s="9">
        <f t="shared" si="466"/>
        <v>544116.5308285245</v>
      </c>
      <c r="Q734" s="31">
        <f t="shared" ref="Q734:V734" si="478">Q669</f>
        <v>425992.24200444156</v>
      </c>
      <c r="R734" s="31">
        <f t="shared" si="478"/>
        <v>34860.174762492941</v>
      </c>
      <c r="S734" s="31">
        <f t="shared" si="478"/>
        <v>83264.114061590008</v>
      </c>
      <c r="T734" s="31">
        <f t="shared" si="478"/>
        <v>872123.18933172501</v>
      </c>
      <c r="U734" s="31">
        <f t="shared" si="478"/>
        <v>0</v>
      </c>
      <c r="V734" s="31">
        <f t="shared" si="478"/>
        <v>0</v>
      </c>
      <c r="W734" s="27" t="str">
        <f t="shared" si="445"/>
        <v>OK</v>
      </c>
      <c r="X734" s="3"/>
      <c r="Y734" s="3"/>
      <c r="Z734" s="3"/>
      <c r="AA734" s="3"/>
      <c r="AB734" s="3"/>
      <c r="AC734" s="3"/>
    </row>
    <row r="735" spans="1:29" ht="12.75" customHeight="1" x14ac:dyDescent="0.2">
      <c r="A735" s="3">
        <f t="shared" si="425"/>
        <v>67</v>
      </c>
      <c r="B735" s="3" t="s">
        <v>575</v>
      </c>
      <c r="C735" s="3"/>
      <c r="D735" s="3"/>
      <c r="E735" s="3" t="s">
        <v>576</v>
      </c>
      <c r="F735" s="3"/>
      <c r="G735" s="3"/>
      <c r="H735" s="31">
        <f>SUM(I735:J735)</f>
        <v>5405175</v>
      </c>
      <c r="I735" s="94">
        <v>0</v>
      </c>
      <c r="J735" s="94">
        <f t="shared" si="476"/>
        <v>5405175</v>
      </c>
      <c r="K735" s="31">
        <f t="shared" ref="K735:V735" si="479">K671</f>
        <v>2576796</v>
      </c>
      <c r="L735" s="31">
        <f t="shared" si="479"/>
        <v>95632</v>
      </c>
      <c r="M735" s="31">
        <f t="shared" si="477"/>
        <v>1558412</v>
      </c>
      <c r="N735" s="31">
        <f t="shared" si="479"/>
        <v>170419</v>
      </c>
      <c r="O735" s="31">
        <f t="shared" si="479"/>
        <v>1387993</v>
      </c>
      <c r="P735" s="9">
        <f t="shared" si="466"/>
        <v>578236</v>
      </c>
      <c r="Q735" s="31">
        <f t="shared" si="479"/>
        <v>535452</v>
      </c>
      <c r="R735" s="31">
        <f t="shared" si="479"/>
        <v>42784</v>
      </c>
      <c r="S735" s="31">
        <f>S671</f>
        <v>0</v>
      </c>
      <c r="T735" s="31">
        <f t="shared" si="479"/>
        <v>596099</v>
      </c>
      <c r="U735" s="31">
        <f t="shared" si="479"/>
        <v>0</v>
      </c>
      <c r="V735" s="31">
        <f t="shared" si="479"/>
        <v>0</v>
      </c>
      <c r="W735" s="27" t="str">
        <f t="shared" si="445"/>
        <v>OK</v>
      </c>
      <c r="X735" s="3"/>
      <c r="Y735" s="3"/>
      <c r="Z735" s="3"/>
      <c r="AA735" s="3"/>
      <c r="AB735" s="3"/>
      <c r="AC735" s="3"/>
    </row>
    <row r="736" spans="1:29" ht="12.75" customHeight="1" x14ac:dyDescent="0.2">
      <c r="A736" s="3">
        <f t="shared" ref="A736:A739" si="480">+A735+1</f>
        <v>68</v>
      </c>
      <c r="B736" s="3" t="s">
        <v>474</v>
      </c>
      <c r="C736" s="3"/>
      <c r="D736" s="3"/>
      <c r="E736" s="3" t="s">
        <v>475</v>
      </c>
      <c r="F736" s="3"/>
      <c r="G736" s="3"/>
      <c r="H736" s="31">
        <f t="shared" si="467"/>
        <v>0</v>
      </c>
      <c r="I736" s="94">
        <v>0</v>
      </c>
      <c r="J736" s="94">
        <f t="shared" si="476"/>
        <v>0</v>
      </c>
      <c r="K736" s="31">
        <v>0</v>
      </c>
      <c r="L736" s="31">
        <v>0</v>
      </c>
      <c r="M736" s="31">
        <f t="shared" si="477"/>
        <v>0</v>
      </c>
      <c r="N736" s="31">
        <v>0</v>
      </c>
      <c r="O736" s="31">
        <v>0</v>
      </c>
      <c r="P736" s="9">
        <f t="shared" si="466"/>
        <v>0</v>
      </c>
      <c r="Q736" s="31">
        <v>0</v>
      </c>
      <c r="R736" s="31">
        <v>0</v>
      </c>
      <c r="S736" s="31">
        <v>0</v>
      </c>
      <c r="T736" s="31">
        <v>0</v>
      </c>
      <c r="U736" s="31">
        <v>0</v>
      </c>
      <c r="V736" s="31">
        <v>0</v>
      </c>
      <c r="W736" s="27" t="str">
        <f t="shared" ref="W736:W768" si="481">IF((+K736+L736+M736+P736+T736+U736+V736)-H736=0,"OK",(+K736+L736+M736+P736+T736+U736+V736)-H736)</f>
        <v>OK</v>
      </c>
      <c r="X736" s="3"/>
      <c r="Y736" s="3"/>
      <c r="Z736" s="3"/>
      <c r="AA736" s="3"/>
      <c r="AB736" s="3"/>
      <c r="AC736" s="3"/>
    </row>
    <row r="737" spans="1:29" ht="12.75" customHeight="1" x14ac:dyDescent="0.2">
      <c r="A737" s="3">
        <f t="shared" si="480"/>
        <v>69</v>
      </c>
      <c r="B737" s="3" t="s">
        <v>477</v>
      </c>
      <c r="C737" s="3"/>
      <c r="D737" s="3"/>
      <c r="E737" s="3" t="s">
        <v>476</v>
      </c>
      <c r="F737" s="3"/>
      <c r="G737" s="3"/>
      <c r="H737" s="31">
        <f t="shared" ca="1" si="467"/>
        <v>24275502.986472655</v>
      </c>
      <c r="I737" s="94">
        <v>0</v>
      </c>
      <c r="J737" s="94">
        <f t="shared" ca="1" si="476"/>
        <v>24275502.986472655</v>
      </c>
      <c r="K737" s="31">
        <f ca="1">+K429-K332</f>
        <v>11380520.229516298</v>
      </c>
      <c r="L737" s="31">
        <f ca="1">+L429-L332</f>
        <v>2162420.777517444</v>
      </c>
      <c r="M737" s="31">
        <f t="shared" ca="1" si="477"/>
        <v>8584664.9416640345</v>
      </c>
      <c r="N737" s="31">
        <f t="shared" ref="N737:V737" ca="1" si="482">+N429-N332</f>
        <v>167480.47218678222</v>
      </c>
      <c r="O737" s="31">
        <f t="shared" ca="1" si="482"/>
        <v>8417184.469477253</v>
      </c>
      <c r="P737" s="9">
        <f t="shared" ca="1" si="466"/>
        <v>1154505.0074753107</v>
      </c>
      <c r="Q737" s="31">
        <f t="shared" ca="1" si="482"/>
        <v>498584.57505149243</v>
      </c>
      <c r="R737" s="31">
        <f t="shared" ca="1" si="482"/>
        <v>584694.06455931941</v>
      </c>
      <c r="S737" s="31">
        <f ca="1">+S429-S332</f>
        <v>71226.367864498912</v>
      </c>
      <c r="T737" s="31">
        <f t="shared" ca="1" si="482"/>
        <v>973193.50806934014</v>
      </c>
      <c r="U737" s="31">
        <f t="shared" ca="1" si="482"/>
        <v>0</v>
      </c>
      <c r="V737" s="31">
        <f t="shared" ca="1" si="482"/>
        <v>20198.522230231036</v>
      </c>
      <c r="W737" s="27" t="str">
        <f t="shared" ca="1" si="481"/>
        <v>OK</v>
      </c>
      <c r="X737" s="3"/>
      <c r="Y737" s="3"/>
      <c r="Z737" s="3"/>
      <c r="AA737" s="3"/>
      <c r="AB737" s="3"/>
      <c r="AC737" s="3"/>
    </row>
    <row r="738" spans="1:29" ht="12.75" customHeight="1" x14ac:dyDescent="0.2">
      <c r="A738" s="3">
        <f t="shared" si="480"/>
        <v>70</v>
      </c>
      <c r="B738" s="3" t="s">
        <v>639</v>
      </c>
      <c r="C738" s="3"/>
      <c r="D738" s="3"/>
      <c r="E738" s="3" t="s">
        <v>640</v>
      </c>
      <c r="F738" s="3"/>
      <c r="G738" s="3"/>
      <c r="H738" s="31">
        <f t="shared" si="467"/>
        <v>23098223685</v>
      </c>
      <c r="I738" s="94">
        <v>0</v>
      </c>
      <c r="J738" s="94">
        <f t="shared" si="476"/>
        <v>23098223685</v>
      </c>
      <c r="K738" s="31">
        <f>+Distribution!K738</f>
        <v>10406963633</v>
      </c>
      <c r="L738" s="31">
        <f>+Distribution!L738</f>
        <v>439655775</v>
      </c>
      <c r="M738" s="31">
        <f t="shared" si="477"/>
        <v>7833127601</v>
      </c>
      <c r="N738" s="31">
        <f>+Distribution!N738</f>
        <v>1070218509</v>
      </c>
      <c r="O738" s="31">
        <f>+Distribution!O738</f>
        <v>6762909092</v>
      </c>
      <c r="P738" s="9">
        <f t="shared" si="466"/>
        <v>2034106675</v>
      </c>
      <c r="Q738" s="31">
        <f>+Distribution!Q738</f>
        <v>1883007207.3428581</v>
      </c>
      <c r="R738" s="31">
        <f>+Distribution!R738</f>
        <v>96679116</v>
      </c>
      <c r="S738" s="31">
        <f>+Distribution!S738</f>
        <v>54420351.657141812</v>
      </c>
      <c r="T738" s="31">
        <f>+Distribution!T738</f>
        <v>2173288000</v>
      </c>
      <c r="U738" s="31">
        <f>+Distribution!U738</f>
        <v>211082001</v>
      </c>
      <c r="V738" s="31">
        <f>+Distribution!V738</f>
        <v>0</v>
      </c>
      <c r="W738" s="27" t="str">
        <f t="shared" si="481"/>
        <v>OK</v>
      </c>
      <c r="X738" s="3"/>
      <c r="Y738" s="3"/>
      <c r="Z738" s="3"/>
      <c r="AA738" s="3"/>
      <c r="AB738" s="3"/>
      <c r="AC738" s="3"/>
    </row>
    <row r="739" spans="1:29" ht="12.75" customHeight="1" x14ac:dyDescent="0.2">
      <c r="A739" s="3">
        <f t="shared" si="480"/>
        <v>71</v>
      </c>
      <c r="B739" s="3" t="s">
        <v>557</v>
      </c>
      <c r="C739" s="3"/>
      <c r="D739" s="3"/>
      <c r="E739" s="3" t="s">
        <v>489</v>
      </c>
      <c r="F739" s="3"/>
      <c r="G739" s="3"/>
      <c r="H739" s="31">
        <f>SUM(I739:J739)</f>
        <v>0</v>
      </c>
      <c r="I739" s="94">
        <v>0</v>
      </c>
      <c r="J739" s="94">
        <f t="shared" ref="J739" si="483">SUM(K739:M739,P739,T739:U739)</f>
        <v>0</v>
      </c>
      <c r="K739" s="31">
        <f>+K590</f>
        <v>0</v>
      </c>
      <c r="L739" s="31">
        <f t="shared" ref="L739:V739" si="484">+L590</f>
        <v>0</v>
      </c>
      <c r="M739" s="31">
        <f t="shared" si="477"/>
        <v>0</v>
      </c>
      <c r="N739" s="31">
        <f t="shared" si="484"/>
        <v>0</v>
      </c>
      <c r="O739" s="31">
        <f t="shared" si="484"/>
        <v>0</v>
      </c>
      <c r="P739" s="9">
        <f t="shared" si="466"/>
        <v>0</v>
      </c>
      <c r="Q739" s="31">
        <f t="shared" si="484"/>
        <v>0</v>
      </c>
      <c r="R739" s="31">
        <f t="shared" si="484"/>
        <v>0</v>
      </c>
      <c r="S739" s="31">
        <f>+S590</f>
        <v>0</v>
      </c>
      <c r="T739" s="31">
        <f t="shared" si="484"/>
        <v>0</v>
      </c>
      <c r="U739" s="31">
        <f t="shared" si="484"/>
        <v>0</v>
      </c>
      <c r="V739" s="31">
        <f t="shared" si="484"/>
        <v>0</v>
      </c>
      <c r="W739" s="27" t="str">
        <f t="shared" si="481"/>
        <v>OK</v>
      </c>
      <c r="X739" s="3"/>
      <c r="Y739" s="3"/>
      <c r="Z739" s="3"/>
      <c r="AA739" s="3"/>
      <c r="AB739" s="3"/>
      <c r="AC739" s="3"/>
    </row>
    <row r="740" spans="1:29" ht="14.1" customHeight="1" x14ac:dyDescent="0.2">
      <c r="A740" s="3"/>
      <c r="B740" s="7" t="s">
        <v>589</v>
      </c>
      <c r="C740" s="3"/>
      <c r="D740" s="3"/>
      <c r="E740" s="3"/>
      <c r="F740" s="3"/>
      <c r="G740" s="3"/>
      <c r="H740" s="5"/>
      <c r="I740" s="5"/>
      <c r="J740" s="5"/>
      <c r="K740" s="5"/>
      <c r="L740" s="2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27" t="str">
        <f t="shared" si="481"/>
        <v>OK</v>
      </c>
      <c r="X740" s="3"/>
      <c r="Y740" s="3"/>
      <c r="Z740" s="3"/>
      <c r="AA740" s="3"/>
      <c r="AB740" s="3"/>
      <c r="AC740" s="3"/>
    </row>
    <row r="741" spans="1:29" ht="12.75" customHeight="1" x14ac:dyDescent="0.2">
      <c r="A741" s="3">
        <v>1</v>
      </c>
      <c r="B741" s="3" t="str">
        <f t="shared" ref="B741:B772" si="485">B669</f>
        <v>Generation Demand</v>
      </c>
      <c r="C741" s="3"/>
      <c r="D741" s="3"/>
      <c r="E741" s="3" t="str">
        <f t="shared" ref="E741:E756" si="486">E669</f>
        <v>DEMANDG</v>
      </c>
      <c r="F741" s="3"/>
      <c r="G741" s="3"/>
      <c r="H741" s="29">
        <f t="shared" ref="H741:H774" si="487">SUM(I741:J741)</f>
        <v>0.99999999999999989</v>
      </c>
      <c r="I741" s="29">
        <v>0</v>
      </c>
      <c r="J741" s="29">
        <f>SUM(K741:M741,P741,T741:V741)</f>
        <v>0.99999999999999989</v>
      </c>
      <c r="K741" s="29">
        <f t="shared" ref="K741:V741" si="488">IF($H669&lt;&gt;0,K669/$H669,0)</f>
        <v>0.48476544186418086</v>
      </c>
      <c r="L741" s="29">
        <f t="shared" si="488"/>
        <v>1.9173937159048283E-2</v>
      </c>
      <c r="M741" s="29">
        <f t="shared" si="488"/>
        <v>0.28551291531899664</v>
      </c>
      <c r="N741" s="29">
        <f t="shared" si="488"/>
        <v>2.8718751510505878E-2</v>
      </c>
      <c r="O741" s="29">
        <f t="shared" si="488"/>
        <v>0.25679416380849074</v>
      </c>
      <c r="P741" s="29">
        <f t="shared" si="488"/>
        <v>8.0892016757904861E-2</v>
      </c>
      <c r="Q741" s="29">
        <f t="shared" si="488"/>
        <v>6.3330866876052411E-2</v>
      </c>
      <c r="R741" s="29">
        <f t="shared" si="488"/>
        <v>5.1825476369504958E-3</v>
      </c>
      <c r="S741" s="29">
        <f t="shared" si="488"/>
        <v>1.2378602244901962E-2</v>
      </c>
      <c r="T741" s="29">
        <f t="shared" si="488"/>
        <v>0.12965568889986934</v>
      </c>
      <c r="U741" s="29">
        <f t="shared" si="488"/>
        <v>0</v>
      </c>
      <c r="V741" s="29">
        <f t="shared" si="488"/>
        <v>0</v>
      </c>
      <c r="W741" s="27" t="str">
        <f t="shared" si="481"/>
        <v>OK</v>
      </c>
      <c r="X741" s="3"/>
      <c r="Y741" s="3"/>
      <c r="Z741" s="3"/>
      <c r="AA741" s="3"/>
      <c r="AB741" s="3"/>
      <c r="AC741" s="3"/>
    </row>
    <row r="742" spans="1:29" ht="12.75" customHeight="1" x14ac:dyDescent="0.2">
      <c r="A742" s="3">
        <f>+A741+1</f>
        <v>2</v>
      </c>
      <c r="B742" s="3" t="str">
        <f t="shared" si="485"/>
        <v>Retail Generation Demand</v>
      </c>
      <c r="C742" s="3"/>
      <c r="D742" s="3"/>
      <c r="E742" s="3" t="str">
        <f t="shared" si="486"/>
        <v>TDEMANDG</v>
      </c>
      <c r="F742" s="3"/>
      <c r="G742" s="3"/>
      <c r="H742" s="29">
        <f>SUM(I742:J742)</f>
        <v>0.99999999999999989</v>
      </c>
      <c r="I742" s="29">
        <v>0</v>
      </c>
      <c r="J742" s="29">
        <f t="shared" ref="J742:J805" si="489">SUM(K742:M742,P742,T742:V742)</f>
        <v>0.99999999999999989</v>
      </c>
      <c r="K742" s="29">
        <f t="shared" ref="K742:V742" si="490">IF($H670&lt;&gt;0,K670/$H670,0)</f>
        <v>0.48476544186418086</v>
      </c>
      <c r="L742" s="29">
        <f t="shared" si="490"/>
        <v>1.9173937159048283E-2</v>
      </c>
      <c r="M742" s="29">
        <f t="shared" si="490"/>
        <v>0.28551291531899664</v>
      </c>
      <c r="N742" s="29">
        <f t="shared" si="490"/>
        <v>2.8718751510505878E-2</v>
      </c>
      <c r="O742" s="29">
        <f t="shared" si="490"/>
        <v>0.25679416380849074</v>
      </c>
      <c r="P742" s="29">
        <f t="shared" si="490"/>
        <v>8.0892016757904861E-2</v>
      </c>
      <c r="Q742" s="29">
        <f t="shared" si="490"/>
        <v>6.3330866876052411E-2</v>
      </c>
      <c r="R742" s="29">
        <f t="shared" si="490"/>
        <v>5.1825476369504958E-3</v>
      </c>
      <c r="S742" s="29">
        <f t="shared" si="490"/>
        <v>1.2378602244901962E-2</v>
      </c>
      <c r="T742" s="29">
        <f t="shared" si="490"/>
        <v>0.12965568889986934</v>
      </c>
      <c r="U742" s="29">
        <f t="shared" si="490"/>
        <v>0</v>
      </c>
      <c r="V742" s="29">
        <f t="shared" si="490"/>
        <v>0</v>
      </c>
      <c r="W742" s="27" t="str">
        <f t="shared" si="481"/>
        <v>OK</v>
      </c>
      <c r="X742" s="3"/>
      <c r="Y742" s="3"/>
      <c r="Z742" s="3"/>
      <c r="AA742" s="3"/>
      <c r="AB742" s="3"/>
      <c r="AC742" s="3"/>
    </row>
    <row r="743" spans="1:29" x14ac:dyDescent="0.2">
      <c r="A743" s="3">
        <f t="shared" ref="A743:A807" si="491">+A742+1</f>
        <v>3</v>
      </c>
      <c r="B743" s="3" t="str">
        <f t="shared" si="485"/>
        <v>Transmission Demands</v>
      </c>
      <c r="C743" s="3"/>
      <c r="D743" s="3"/>
      <c r="E743" s="3" t="str">
        <f t="shared" si="486"/>
        <v>DEMANDT</v>
      </c>
      <c r="F743" s="3"/>
      <c r="G743" s="3"/>
      <c r="H743" s="29">
        <f t="shared" si="487"/>
        <v>1</v>
      </c>
      <c r="I743" s="29">
        <v>0</v>
      </c>
      <c r="J743" s="29">
        <f t="shared" si="489"/>
        <v>1</v>
      </c>
      <c r="K743" s="29">
        <f t="shared" ref="K743:V743" si="492">IF($H671&lt;&gt;0,K671/$H671,0)</f>
        <v>0.47672758051311936</v>
      </c>
      <c r="L743" s="29">
        <f t="shared" si="492"/>
        <v>1.7692674150235652E-2</v>
      </c>
      <c r="M743" s="29">
        <f t="shared" si="492"/>
        <v>0.28831850957647071</v>
      </c>
      <c r="N743" s="29">
        <f t="shared" si="492"/>
        <v>3.1528858917611362E-2</v>
      </c>
      <c r="O743" s="29">
        <f t="shared" si="492"/>
        <v>0.25678965065885934</v>
      </c>
      <c r="P743" s="29">
        <f t="shared" si="492"/>
        <v>0.10697821994662522</v>
      </c>
      <c r="Q743" s="29">
        <f t="shared" si="492"/>
        <v>9.9062842553663849E-2</v>
      </c>
      <c r="R743" s="29">
        <f t="shared" si="492"/>
        <v>7.9153773929613747E-3</v>
      </c>
      <c r="S743" s="29">
        <f t="shared" ref="S743:S773" si="493">IF($H671&lt;&gt;0,S671/$H671,0)</f>
        <v>0</v>
      </c>
      <c r="T743" s="29">
        <f t="shared" si="492"/>
        <v>0.11028301581354905</v>
      </c>
      <c r="U743" s="29">
        <f t="shared" si="492"/>
        <v>0</v>
      </c>
      <c r="V743" s="29">
        <f t="shared" si="492"/>
        <v>0</v>
      </c>
      <c r="W743" s="27" t="str">
        <f t="shared" si="481"/>
        <v>OK</v>
      </c>
      <c r="X743" s="3"/>
      <c r="Y743" s="3"/>
      <c r="Z743" s="3"/>
      <c r="AA743" s="3"/>
      <c r="AB743" s="3"/>
      <c r="AC743" s="3"/>
    </row>
    <row r="744" spans="1:29" x14ac:dyDescent="0.2">
      <c r="A744" s="3">
        <f t="shared" si="491"/>
        <v>4</v>
      </c>
      <c r="B744" s="3" t="str">
        <f t="shared" si="485"/>
        <v>Distribution Primary Demands</v>
      </c>
      <c r="C744" s="3"/>
      <c r="D744" s="3"/>
      <c r="E744" s="3" t="str">
        <f t="shared" si="486"/>
        <v>DEMANDDP</v>
      </c>
      <c r="F744" s="3"/>
      <c r="G744" s="3"/>
      <c r="H744" s="29">
        <f t="shared" si="487"/>
        <v>1</v>
      </c>
      <c r="I744" s="29">
        <v>0</v>
      </c>
      <c r="J744" s="29">
        <f t="shared" si="489"/>
        <v>1</v>
      </c>
      <c r="K744" s="29">
        <f t="shared" ref="K744:V744" si="494">IF($H672&lt;&gt;0,K672/$H672,0)</f>
        <v>0.56562884643019973</v>
      </c>
      <c r="L744" s="29">
        <f t="shared" si="494"/>
        <v>1.97312653517689E-2</v>
      </c>
      <c r="M744" s="29">
        <f t="shared" si="494"/>
        <v>0.29757757165355436</v>
      </c>
      <c r="N744" s="29">
        <f t="shared" si="494"/>
        <v>3.9958373888776655E-2</v>
      </c>
      <c r="O744" s="29">
        <f t="shared" si="494"/>
        <v>0.25761919776477776</v>
      </c>
      <c r="P744" s="29">
        <f t="shared" si="494"/>
        <v>0.10219418819302059</v>
      </c>
      <c r="Q744" s="29">
        <f t="shared" si="494"/>
        <v>8.313467748709566E-2</v>
      </c>
      <c r="R744" s="29">
        <f t="shared" si="494"/>
        <v>6.0161046668279891E-3</v>
      </c>
      <c r="S744" s="29">
        <f t="shared" si="493"/>
        <v>1.3043406039096929E-2</v>
      </c>
      <c r="T744" s="29">
        <f t="shared" si="494"/>
        <v>0</v>
      </c>
      <c r="U744" s="29">
        <f t="shared" si="494"/>
        <v>1.1073297789590332E-2</v>
      </c>
      <c r="V744" s="29">
        <f t="shared" si="494"/>
        <v>3.7948305818661151E-3</v>
      </c>
      <c r="W744" s="27" t="str">
        <f t="shared" si="481"/>
        <v>OK</v>
      </c>
      <c r="X744" s="3"/>
      <c r="Y744" s="3"/>
      <c r="Z744" s="3"/>
      <c r="AA744" s="3"/>
      <c r="AB744" s="3"/>
      <c r="AC744" s="3"/>
    </row>
    <row r="745" spans="1:29" x14ac:dyDescent="0.2">
      <c r="A745" s="3">
        <f t="shared" si="491"/>
        <v>5</v>
      </c>
      <c r="B745" s="3" t="str">
        <f t="shared" si="485"/>
        <v>Distribution Secondary Demand</v>
      </c>
      <c r="C745" s="3"/>
      <c r="D745" s="3"/>
      <c r="E745" s="3" t="str">
        <f t="shared" si="486"/>
        <v>DEMANDDS</v>
      </c>
      <c r="F745" s="3"/>
      <c r="G745" s="3"/>
      <c r="H745" s="29">
        <f t="shared" si="487"/>
        <v>1</v>
      </c>
      <c r="I745" s="29">
        <v>0</v>
      </c>
      <c r="J745" s="29">
        <f t="shared" si="489"/>
        <v>1</v>
      </c>
      <c r="K745" s="29">
        <f t="shared" ref="K745:V745" si="495">IF($H673&lt;&gt;0,K673/$H673,0)</f>
        <v>0.6326866876457008</v>
      </c>
      <c r="L745" s="29">
        <f t="shared" si="495"/>
        <v>2.2070495515312399E-2</v>
      </c>
      <c r="M745" s="29">
        <f t="shared" si="495"/>
        <v>0.33285672984214043</v>
      </c>
      <c r="N745" s="29">
        <f t="shared" si="495"/>
        <v>4.4695618653385512E-2</v>
      </c>
      <c r="O745" s="29">
        <f t="shared" si="495"/>
        <v>0.28816111118875493</v>
      </c>
      <c r="P745" s="29">
        <f t="shared" si="495"/>
        <v>0</v>
      </c>
      <c r="Q745" s="29">
        <f t="shared" si="495"/>
        <v>0</v>
      </c>
      <c r="R745" s="29">
        <f t="shared" si="495"/>
        <v>0</v>
      </c>
      <c r="S745" s="29">
        <f t="shared" si="493"/>
        <v>0</v>
      </c>
      <c r="T745" s="29">
        <f t="shared" si="495"/>
        <v>0</v>
      </c>
      <c r="U745" s="29">
        <f t="shared" si="495"/>
        <v>1.2386086996846474E-2</v>
      </c>
      <c r="V745" s="29">
        <f t="shared" si="495"/>
        <v>0</v>
      </c>
      <c r="W745" s="27" t="str">
        <f t="shared" si="481"/>
        <v>OK</v>
      </c>
      <c r="X745" s="3"/>
      <c r="Y745" s="3"/>
      <c r="Z745" s="3"/>
      <c r="AA745" s="3"/>
      <c r="AB745" s="3"/>
      <c r="AC745" s="3"/>
    </row>
    <row r="746" spans="1:29" x14ac:dyDescent="0.2">
      <c r="A746" s="3">
        <f t="shared" si="491"/>
        <v>6</v>
      </c>
      <c r="B746" s="3" t="str">
        <f t="shared" si="485"/>
        <v>Energy</v>
      </c>
      <c r="C746" s="3"/>
      <c r="D746" s="3"/>
      <c r="E746" s="3" t="str">
        <f t="shared" si="486"/>
        <v>ENERGY</v>
      </c>
      <c r="F746" s="3"/>
      <c r="G746" s="3"/>
      <c r="H746" s="29">
        <f t="shared" si="487"/>
        <v>1</v>
      </c>
      <c r="I746" s="29">
        <v>0</v>
      </c>
      <c r="J746" s="29">
        <f t="shared" si="489"/>
        <v>1</v>
      </c>
      <c r="K746" s="29">
        <f t="shared" ref="K746:V746" si="496">IF($H674&lt;&gt;0,K674/$H674,0)</f>
        <v>0.32875363724630779</v>
      </c>
      <c r="L746" s="29">
        <f t="shared" si="496"/>
        <v>1.7550231585104211E-2</v>
      </c>
      <c r="M746" s="29">
        <f t="shared" si="496"/>
        <v>0.24036729688455627</v>
      </c>
      <c r="N746" s="29">
        <f t="shared" si="496"/>
        <v>3.4196096835687147E-2</v>
      </c>
      <c r="O746" s="29">
        <f t="shared" si="496"/>
        <v>0.2061712000488691</v>
      </c>
      <c r="P746" s="29">
        <f t="shared" si="496"/>
        <v>0.11816105168974292</v>
      </c>
      <c r="Q746" s="29">
        <f t="shared" si="496"/>
        <v>9.8133850507322457E-2</v>
      </c>
      <c r="R746" s="29">
        <f t="shared" si="496"/>
        <v>6.8194859864634189E-3</v>
      </c>
      <c r="S746" s="29">
        <f t="shared" si="493"/>
        <v>1.3207715195957048E-2</v>
      </c>
      <c r="T746" s="29">
        <f t="shared" si="496"/>
        <v>0.28816991991888952</v>
      </c>
      <c r="U746" s="29">
        <f t="shared" si="496"/>
        <v>6.2248318684880741E-3</v>
      </c>
      <c r="V746" s="29">
        <f t="shared" si="496"/>
        <v>7.7303080691135042E-4</v>
      </c>
      <c r="W746" s="27" t="str">
        <f t="shared" si="481"/>
        <v>OK</v>
      </c>
      <c r="X746" s="3"/>
      <c r="Y746" s="3"/>
      <c r="Z746" s="3"/>
      <c r="AA746" s="3"/>
      <c r="AB746" s="3"/>
      <c r="AC746" s="3"/>
    </row>
    <row r="747" spans="1:29" x14ac:dyDescent="0.2">
      <c r="A747" s="3">
        <f t="shared" si="491"/>
        <v>7</v>
      </c>
      <c r="B747" s="3" t="str">
        <f t="shared" si="485"/>
        <v>Non-Coincident Peaks</v>
      </c>
      <c r="C747" s="3"/>
      <c r="D747" s="3"/>
      <c r="E747" s="3" t="str">
        <f t="shared" si="486"/>
        <v>NCP</v>
      </c>
      <c r="F747" s="3"/>
      <c r="G747" s="3"/>
      <c r="H747" s="29">
        <f t="shared" si="487"/>
        <v>1.0000000000000002</v>
      </c>
      <c r="I747" s="29">
        <v>0</v>
      </c>
      <c r="J747" s="29">
        <f t="shared" si="489"/>
        <v>1.0000000000000002</v>
      </c>
      <c r="K747" s="29">
        <f t="shared" ref="K747:V747" si="497">IF($H675&lt;&gt;0,K675/$H675,0)</f>
        <v>0.52568966682427709</v>
      </c>
      <c r="L747" s="29">
        <f t="shared" si="497"/>
        <v>1.9236199277309123E-2</v>
      </c>
      <c r="M747" s="29">
        <f t="shared" si="497"/>
        <v>0.20596377091126875</v>
      </c>
      <c r="N747" s="29">
        <f t="shared" si="497"/>
        <v>2.3904743886298763E-2</v>
      </c>
      <c r="O747" s="29">
        <f t="shared" si="497"/>
        <v>0.18205902702496998</v>
      </c>
      <c r="P747" s="29">
        <f t="shared" si="497"/>
        <v>6.7649878469483865E-2</v>
      </c>
      <c r="Q747" s="29">
        <f t="shared" si="497"/>
        <v>5.5103401282419626E-2</v>
      </c>
      <c r="R747" s="29">
        <f t="shared" si="497"/>
        <v>4.4334957432347289E-3</v>
      </c>
      <c r="S747" s="29">
        <f t="shared" si="493"/>
        <v>8.1129814438295183E-3</v>
      </c>
      <c r="T747" s="29">
        <f t="shared" si="497"/>
        <v>0.17243152124247765</v>
      </c>
      <c r="U747" s="29">
        <f t="shared" si="497"/>
        <v>5.3734293385046599E-3</v>
      </c>
      <c r="V747" s="29">
        <f t="shared" si="497"/>
        <v>3.6555339366789582E-3</v>
      </c>
      <c r="W747" s="27" t="str">
        <f t="shared" si="481"/>
        <v>OK</v>
      </c>
      <c r="X747" s="3"/>
      <c r="Y747" s="3"/>
      <c r="Z747" s="3"/>
      <c r="AA747" s="3"/>
      <c r="AB747" s="3"/>
      <c r="AC747" s="3"/>
    </row>
    <row r="748" spans="1:29" x14ac:dyDescent="0.2">
      <c r="A748" s="3">
        <f t="shared" si="491"/>
        <v>8</v>
      </c>
      <c r="B748" s="3" t="str">
        <f t="shared" si="485"/>
        <v>Customers</v>
      </c>
      <c r="C748" s="3"/>
      <c r="D748" s="3"/>
      <c r="E748" s="3" t="str">
        <f t="shared" si="486"/>
        <v>CUSTOMERS</v>
      </c>
      <c r="F748" s="3"/>
      <c r="G748" s="3"/>
      <c r="H748" s="29">
        <f t="shared" si="487"/>
        <v>1</v>
      </c>
      <c r="I748" s="29">
        <v>0</v>
      </c>
      <c r="J748" s="29">
        <f t="shared" si="489"/>
        <v>1</v>
      </c>
      <c r="K748" s="29">
        <f t="shared" ref="K748:V748" si="498">IF($H676&lt;&gt;0,K676/$H676,0)</f>
        <v>0.70338161489917128</v>
      </c>
      <c r="L748" s="29">
        <f t="shared" si="498"/>
        <v>7.4732012114639326E-2</v>
      </c>
      <c r="M748" s="29">
        <f t="shared" si="498"/>
        <v>5.4457966157527918E-2</v>
      </c>
      <c r="N748" s="29">
        <f t="shared" si="498"/>
        <v>4.3320289614186193E-4</v>
      </c>
      <c r="O748" s="29">
        <f t="shared" si="498"/>
        <v>5.4024763261386055E-2</v>
      </c>
      <c r="P748" s="29">
        <f t="shared" si="498"/>
        <v>8.1676796043413547E-4</v>
      </c>
      <c r="Q748" s="29">
        <f t="shared" si="498"/>
        <v>3.5272944147662021E-4</v>
      </c>
      <c r="R748" s="29">
        <f t="shared" si="498"/>
        <v>4.1364859874656954E-4</v>
      </c>
      <c r="S748" s="29">
        <f t="shared" si="493"/>
        <v>5.0389920210945741E-5</v>
      </c>
      <c r="T748" s="29">
        <f t="shared" si="498"/>
        <v>9.2506868446960095E-5</v>
      </c>
      <c r="U748" s="29">
        <f t="shared" si="498"/>
        <v>0.16650484232091459</v>
      </c>
      <c r="V748" s="29">
        <f t="shared" si="498"/>
        <v>1.4289678865790585E-5</v>
      </c>
      <c r="W748" s="27" t="str">
        <f t="shared" si="481"/>
        <v>OK</v>
      </c>
      <c r="X748" s="3"/>
      <c r="Y748" s="3"/>
      <c r="Z748" s="3"/>
      <c r="AA748" s="3"/>
      <c r="AB748" s="3"/>
      <c r="AC748" s="3"/>
    </row>
    <row r="749" spans="1:29" x14ac:dyDescent="0.2">
      <c r="A749" s="3">
        <f t="shared" si="491"/>
        <v>9</v>
      </c>
      <c r="B749" s="3" t="str">
        <f t="shared" si="485"/>
        <v>Distribution Customers</v>
      </c>
      <c r="C749" s="3"/>
      <c r="D749" s="3"/>
      <c r="E749" s="3" t="str">
        <f t="shared" si="486"/>
        <v>DCUSTOMERS</v>
      </c>
      <c r="F749" s="3"/>
      <c r="G749" s="3"/>
      <c r="H749" s="29">
        <f t="shared" si="487"/>
        <v>0.99999999999999989</v>
      </c>
      <c r="I749" s="29">
        <v>0</v>
      </c>
      <c r="J749" s="29">
        <f t="shared" si="489"/>
        <v>0.99999999999999989</v>
      </c>
      <c r="K749" s="29">
        <f t="shared" ref="K749:V749" si="499">IF($H677&lt;&gt;0,K677/$H677,0)</f>
        <v>0.70405992396582229</v>
      </c>
      <c r="L749" s="29">
        <f t="shared" si="499"/>
        <v>7.4804080249934124E-2</v>
      </c>
      <c r="M749" s="29">
        <f t="shared" si="499"/>
        <v>5.4510482929950692E-2</v>
      </c>
      <c r="N749" s="29">
        <f t="shared" si="499"/>
        <v>4.3362065720630859E-4</v>
      </c>
      <c r="O749" s="29">
        <f t="shared" si="499"/>
        <v>5.4076862272744379E-2</v>
      </c>
      <c r="P749" s="29">
        <f t="shared" si="499"/>
        <v>8.1755561410772764E-4</v>
      </c>
      <c r="Q749" s="29">
        <f t="shared" si="499"/>
        <v>3.5306959762110892E-4</v>
      </c>
      <c r="R749" s="29">
        <f t="shared" si="499"/>
        <v>4.1404750254074601E-4</v>
      </c>
      <c r="S749" s="29">
        <f t="shared" si="493"/>
        <v>5.0438513945872697E-5</v>
      </c>
      <c r="T749" s="29">
        <f t="shared" si="499"/>
        <v>0</v>
      </c>
      <c r="U749" s="29">
        <f t="shared" si="499"/>
        <v>0.16579365378100652</v>
      </c>
      <c r="V749" s="29">
        <f t="shared" si="499"/>
        <v>1.4303459178680319E-5</v>
      </c>
      <c r="W749" s="27" t="str">
        <f t="shared" si="481"/>
        <v>OK</v>
      </c>
      <c r="X749" s="3"/>
      <c r="Y749" s="3"/>
      <c r="Z749" s="3"/>
      <c r="AA749" s="3"/>
      <c r="AB749" s="3"/>
      <c r="AC749" s="3"/>
    </row>
    <row r="750" spans="1:29" x14ac:dyDescent="0.2">
      <c r="A750" s="3">
        <f t="shared" si="491"/>
        <v>10</v>
      </c>
      <c r="B750" s="3" t="str">
        <f t="shared" si="485"/>
        <v>Services Account 369</v>
      </c>
      <c r="C750" s="3"/>
      <c r="D750" s="3"/>
      <c r="E750" s="3" t="str">
        <f t="shared" si="486"/>
        <v>SERVICES</v>
      </c>
      <c r="F750" s="3"/>
      <c r="G750" s="3"/>
      <c r="H750" s="29">
        <f t="shared" si="487"/>
        <v>1</v>
      </c>
      <c r="I750" s="29">
        <v>0</v>
      </c>
      <c r="J750" s="29">
        <f t="shared" si="489"/>
        <v>1</v>
      </c>
      <c r="K750" s="29">
        <f t="shared" ref="K750:V750" si="500">IF($H678&lt;&gt;0,K678/$H678,0)</f>
        <v>0.80945094244580651</v>
      </c>
      <c r="L750" s="29">
        <f t="shared" si="500"/>
        <v>8.1788266900236981E-2</v>
      </c>
      <c r="M750" s="29">
        <f t="shared" si="500"/>
        <v>0.10876079065395647</v>
      </c>
      <c r="N750" s="29">
        <f t="shared" si="500"/>
        <v>4.4833035888931777E-4</v>
      </c>
      <c r="O750" s="29">
        <f t="shared" si="500"/>
        <v>0.10831246029506715</v>
      </c>
      <c r="P750" s="29">
        <f t="shared" si="500"/>
        <v>0</v>
      </c>
      <c r="Q750" s="29">
        <f t="shared" si="500"/>
        <v>0</v>
      </c>
      <c r="R750" s="29">
        <f t="shared" si="500"/>
        <v>0</v>
      </c>
      <c r="S750" s="29">
        <f t="shared" si="493"/>
        <v>0</v>
      </c>
      <c r="T750" s="29">
        <f t="shared" si="500"/>
        <v>0</v>
      </c>
      <c r="U750" s="29">
        <f t="shared" si="500"/>
        <v>0</v>
      </c>
      <c r="V750" s="29">
        <f t="shared" si="500"/>
        <v>0</v>
      </c>
      <c r="W750" s="27" t="str">
        <f t="shared" si="481"/>
        <v>OK</v>
      </c>
      <c r="X750" s="3"/>
      <c r="Y750" s="3"/>
      <c r="Z750" s="3"/>
      <c r="AA750" s="3"/>
      <c r="AB750" s="3"/>
      <c r="AC750" s="3"/>
    </row>
    <row r="751" spans="1:29" x14ac:dyDescent="0.2">
      <c r="A751" s="3">
        <f t="shared" si="491"/>
        <v>11</v>
      </c>
      <c r="B751" s="3" t="str">
        <f t="shared" si="485"/>
        <v>Meters Account 370</v>
      </c>
      <c r="C751" s="3"/>
      <c r="D751" s="3"/>
      <c r="E751" s="3" t="str">
        <f t="shared" si="486"/>
        <v>METERS</v>
      </c>
      <c r="F751" s="3"/>
      <c r="G751" s="3"/>
      <c r="H751" s="29">
        <f t="shared" si="487"/>
        <v>1</v>
      </c>
      <c r="I751" s="29">
        <v>0</v>
      </c>
      <c r="J751" s="29">
        <f t="shared" si="489"/>
        <v>1</v>
      </c>
      <c r="K751" s="29">
        <f t="shared" ref="K751:V751" si="501">IF($H679&lt;&gt;0,K679/$H679,0)</f>
        <v>0.46880677347274763</v>
      </c>
      <c r="L751" s="29">
        <f t="shared" si="501"/>
        <v>8.907830987981738E-2</v>
      </c>
      <c r="M751" s="29">
        <f t="shared" si="501"/>
        <v>0.35363489466923814</v>
      </c>
      <c r="N751" s="29">
        <f t="shared" si="501"/>
        <v>6.8991555923726654E-3</v>
      </c>
      <c r="O751" s="29">
        <f t="shared" si="501"/>
        <v>0.3467357390768655</v>
      </c>
      <c r="P751" s="29">
        <f t="shared" si="501"/>
        <v>4.75584381554792E-2</v>
      </c>
      <c r="Q751" s="29">
        <f t="shared" si="501"/>
        <v>2.0538588853517264E-2</v>
      </c>
      <c r="R751" s="29">
        <f t="shared" si="501"/>
        <v>2.4085765180030902E-2</v>
      </c>
      <c r="S751" s="29">
        <f t="shared" si="493"/>
        <v>2.9340841219310373E-3</v>
      </c>
      <c r="T751" s="29">
        <f t="shared" si="501"/>
        <v>4.0089530116498309E-2</v>
      </c>
      <c r="U751" s="29">
        <f t="shared" si="501"/>
        <v>0</v>
      </c>
      <c r="V751" s="29">
        <f t="shared" si="501"/>
        <v>8.3205370621924945E-4</v>
      </c>
      <c r="W751" s="27" t="str">
        <f t="shared" si="481"/>
        <v>OK</v>
      </c>
      <c r="X751" s="3"/>
      <c r="Y751" s="3"/>
      <c r="Z751" s="3"/>
      <c r="AA751" s="3"/>
      <c r="AB751" s="3"/>
      <c r="AC751" s="3"/>
    </row>
    <row r="752" spans="1:29" x14ac:dyDescent="0.2">
      <c r="A752" s="3">
        <f t="shared" si="491"/>
        <v>12</v>
      </c>
      <c r="B752" s="3" t="str">
        <f t="shared" si="485"/>
        <v>Non-Roadway Lighting Account 371</v>
      </c>
      <c r="C752" s="3"/>
      <c r="D752" s="3"/>
      <c r="E752" s="3" t="str">
        <f t="shared" si="486"/>
        <v>NROADLIGHT</v>
      </c>
      <c r="F752" s="3"/>
      <c r="G752" s="3"/>
      <c r="H752" s="29">
        <f t="shared" si="487"/>
        <v>1</v>
      </c>
      <c r="I752" s="29">
        <v>0</v>
      </c>
      <c r="J752" s="29">
        <f t="shared" si="489"/>
        <v>1</v>
      </c>
      <c r="K752" s="29">
        <f t="shared" ref="K752:V752" si="502">IF($H680&lt;&gt;0,K680/$H680,0)</f>
        <v>0</v>
      </c>
      <c r="L752" s="29">
        <f t="shared" si="502"/>
        <v>0</v>
      </c>
      <c r="M752" s="29">
        <f t="shared" si="502"/>
        <v>0</v>
      </c>
      <c r="N752" s="29">
        <f t="shared" si="502"/>
        <v>0</v>
      </c>
      <c r="O752" s="29">
        <f t="shared" si="502"/>
        <v>0</v>
      </c>
      <c r="P752" s="29">
        <f t="shared" si="502"/>
        <v>0</v>
      </c>
      <c r="Q752" s="29">
        <f t="shared" si="502"/>
        <v>0</v>
      </c>
      <c r="R752" s="29">
        <f t="shared" si="502"/>
        <v>0</v>
      </c>
      <c r="S752" s="29">
        <f t="shared" si="493"/>
        <v>0</v>
      </c>
      <c r="T752" s="29">
        <f t="shared" si="502"/>
        <v>0</v>
      </c>
      <c r="U752" s="29">
        <f t="shared" si="502"/>
        <v>1</v>
      </c>
      <c r="V752" s="29">
        <f t="shared" si="502"/>
        <v>0</v>
      </c>
      <c r="W752" s="27" t="str">
        <f t="shared" si="481"/>
        <v>OK</v>
      </c>
      <c r="X752" s="3"/>
      <c r="Y752" s="3"/>
      <c r="Z752" s="3"/>
      <c r="AA752" s="3"/>
      <c r="AB752" s="3"/>
      <c r="AC752" s="3"/>
    </row>
    <row r="753" spans="1:29" x14ac:dyDescent="0.2">
      <c r="A753" s="3">
        <f t="shared" si="491"/>
        <v>13</v>
      </c>
      <c r="B753" s="3" t="str">
        <f t="shared" si="485"/>
        <v>Roadway Lighting Account 373</v>
      </c>
      <c r="C753" s="3"/>
      <c r="D753" s="3"/>
      <c r="E753" s="3" t="str">
        <f t="shared" si="486"/>
        <v>ROADLIGHT</v>
      </c>
      <c r="F753" s="3"/>
      <c r="G753" s="3"/>
      <c r="H753" s="29">
        <f t="shared" si="487"/>
        <v>1</v>
      </c>
      <c r="I753" s="29">
        <v>0</v>
      </c>
      <c r="J753" s="29">
        <f t="shared" si="489"/>
        <v>1</v>
      </c>
      <c r="K753" s="29">
        <f t="shared" ref="K753:V753" si="503">IF($H681&lt;&gt;0,K681/$H681,0)</f>
        <v>0</v>
      </c>
      <c r="L753" s="29">
        <f t="shared" si="503"/>
        <v>0</v>
      </c>
      <c r="M753" s="29">
        <f t="shared" si="503"/>
        <v>0</v>
      </c>
      <c r="N753" s="29">
        <f t="shared" si="503"/>
        <v>0</v>
      </c>
      <c r="O753" s="29">
        <f t="shared" si="503"/>
        <v>0</v>
      </c>
      <c r="P753" s="29">
        <f t="shared" si="503"/>
        <v>0</v>
      </c>
      <c r="Q753" s="29">
        <f t="shared" si="503"/>
        <v>0</v>
      </c>
      <c r="R753" s="29">
        <f t="shared" si="503"/>
        <v>0</v>
      </c>
      <c r="S753" s="29">
        <f t="shared" si="493"/>
        <v>0</v>
      </c>
      <c r="T753" s="29">
        <f t="shared" si="503"/>
        <v>0</v>
      </c>
      <c r="U753" s="29">
        <f t="shared" si="503"/>
        <v>1</v>
      </c>
      <c r="V753" s="29">
        <f t="shared" si="503"/>
        <v>0</v>
      </c>
      <c r="W753" s="27" t="str">
        <f t="shared" si="481"/>
        <v>OK</v>
      </c>
      <c r="X753" s="3"/>
      <c r="Y753" s="3"/>
      <c r="Z753" s="3"/>
      <c r="AA753" s="3"/>
      <c r="AB753" s="3"/>
      <c r="AC753" s="3"/>
    </row>
    <row r="754" spans="1:29" x14ac:dyDescent="0.2">
      <c r="A754" s="3">
        <f t="shared" si="491"/>
        <v>14</v>
      </c>
      <c r="B754" s="3" t="str">
        <f t="shared" si="485"/>
        <v>Meter Reading Expense 902</v>
      </c>
      <c r="C754" s="3"/>
      <c r="D754" s="3"/>
      <c r="E754" s="3" t="str">
        <f t="shared" si="486"/>
        <v>METEREAD</v>
      </c>
      <c r="F754" s="3"/>
      <c r="G754" s="3"/>
      <c r="H754" s="29">
        <f t="shared" si="487"/>
        <v>1</v>
      </c>
      <c r="I754" s="29">
        <v>0</v>
      </c>
      <c r="J754" s="29">
        <f t="shared" si="489"/>
        <v>1</v>
      </c>
      <c r="K754" s="29">
        <f t="shared" ref="K754:V754" si="504">IF($H682&lt;&gt;0,K682/$H682,0)</f>
        <v>0.84474701071787928</v>
      </c>
      <c r="L754" s="29">
        <f t="shared" si="504"/>
        <v>8.8283856702332714E-2</v>
      </c>
      <c r="M754" s="29">
        <f t="shared" si="504"/>
        <v>6.5942145490740858E-2</v>
      </c>
      <c r="N754" s="29">
        <f t="shared" si="504"/>
        <v>5.2478407980330983E-4</v>
      </c>
      <c r="O754" s="29">
        <f t="shared" si="504"/>
        <v>6.5417361410937541E-2</v>
      </c>
      <c r="P754" s="29">
        <f t="shared" si="504"/>
        <v>1.0089222325994787E-3</v>
      </c>
      <c r="Q754" s="29">
        <f t="shared" si="504"/>
        <v>4.3536304038759954E-4</v>
      </c>
      <c r="R754" s="29">
        <f t="shared" si="504"/>
        <v>5.1123543746759619E-4</v>
      </c>
      <c r="S754" s="29">
        <f t="shared" si="493"/>
        <v>6.232375474428292E-5</v>
      </c>
      <c r="T754" s="29">
        <f t="shared" si="504"/>
        <v>0</v>
      </c>
      <c r="U754" s="29">
        <f t="shared" si="504"/>
        <v>0</v>
      </c>
      <c r="V754" s="29">
        <f t="shared" si="504"/>
        <v>1.8064856447618241E-5</v>
      </c>
      <c r="W754" s="27" t="str">
        <f t="shared" si="481"/>
        <v>OK</v>
      </c>
      <c r="X754" s="3"/>
      <c r="Y754" s="3"/>
      <c r="Z754" s="3"/>
      <c r="AA754" s="3"/>
      <c r="AB754" s="3"/>
      <c r="AC754" s="3"/>
    </row>
    <row r="755" spans="1:29" x14ac:dyDescent="0.2">
      <c r="A755" s="3">
        <f t="shared" si="491"/>
        <v>15</v>
      </c>
      <c r="B755" s="3" t="str">
        <f t="shared" si="485"/>
        <v>Billing 903</v>
      </c>
      <c r="C755" s="3"/>
      <c r="D755" s="3"/>
      <c r="E755" s="3" t="str">
        <f t="shared" si="486"/>
        <v>BILLING</v>
      </c>
      <c r="F755" s="3"/>
      <c r="G755" s="3"/>
      <c r="H755" s="29">
        <f t="shared" si="487"/>
        <v>1</v>
      </c>
      <c r="I755" s="29">
        <v>0</v>
      </c>
      <c r="J755" s="29">
        <f t="shared" si="489"/>
        <v>1</v>
      </c>
      <c r="K755" s="29">
        <f t="shared" ref="K755:V755" si="505">IF($H683&lt;&gt;0,K683/$H683,0)</f>
        <v>0.84188236600260902</v>
      </c>
      <c r="L755" s="29">
        <f t="shared" si="505"/>
        <v>8.9447267091601543E-2</v>
      </c>
      <c r="M755" s="29">
        <f t="shared" si="505"/>
        <v>6.5181119928705761E-2</v>
      </c>
      <c r="N755" s="29">
        <f t="shared" si="505"/>
        <v>5.1850357108832487E-4</v>
      </c>
      <c r="O755" s="29">
        <f t="shared" si="505"/>
        <v>6.4662616357617428E-2</v>
      </c>
      <c r="P755" s="29">
        <f t="shared" si="505"/>
        <v>9.9469869106353997E-4</v>
      </c>
      <c r="Q755" s="29">
        <f t="shared" si="505"/>
        <v>4.2218433132018118E-4</v>
      </c>
      <c r="R755" s="29">
        <f t="shared" si="505"/>
        <v>4.9509889600447691E-4</v>
      </c>
      <c r="S755" s="29">
        <f t="shared" si="493"/>
        <v>7.7415463738881839E-5</v>
      </c>
      <c r="T755" s="29">
        <f t="shared" si="505"/>
        <v>1.1177232652222281E-4</v>
      </c>
      <c r="U755" s="29">
        <f t="shared" si="505"/>
        <v>2.365672543090482E-3</v>
      </c>
      <c r="V755" s="29">
        <f t="shared" si="505"/>
        <v>1.7103416407427381E-5</v>
      </c>
      <c r="W755" s="27" t="str">
        <f t="shared" si="481"/>
        <v>OK</v>
      </c>
      <c r="X755" s="3"/>
      <c r="Y755" s="3"/>
      <c r="Z755" s="3"/>
      <c r="AA755" s="3"/>
      <c r="AB755" s="3"/>
      <c r="AC755" s="3"/>
    </row>
    <row r="756" spans="1:29" x14ac:dyDescent="0.2">
      <c r="A756" s="3">
        <f t="shared" si="491"/>
        <v>16</v>
      </c>
      <c r="B756" s="3" t="str">
        <f t="shared" si="485"/>
        <v>Customer Deposits</v>
      </c>
      <c r="C756" s="3"/>
      <c r="D756" s="3"/>
      <c r="E756" s="3" t="str">
        <f t="shared" si="486"/>
        <v>CUSTDEP</v>
      </c>
      <c r="F756" s="3"/>
      <c r="G756" s="3"/>
      <c r="H756" s="29">
        <f t="shared" si="487"/>
        <v>0</v>
      </c>
      <c r="I756" s="29">
        <v>0</v>
      </c>
      <c r="J756" s="29">
        <f t="shared" si="489"/>
        <v>0</v>
      </c>
      <c r="K756" s="29">
        <f t="shared" ref="K756:V756" si="506">IF($H684&lt;&gt;0,K684/$H684,0)</f>
        <v>0</v>
      </c>
      <c r="L756" s="29">
        <f t="shared" si="506"/>
        <v>0</v>
      </c>
      <c r="M756" s="29">
        <f t="shared" si="506"/>
        <v>0</v>
      </c>
      <c r="N756" s="29">
        <f t="shared" si="506"/>
        <v>0</v>
      </c>
      <c r="O756" s="29">
        <f t="shared" si="506"/>
        <v>0</v>
      </c>
      <c r="P756" s="29">
        <f t="shared" si="506"/>
        <v>0</v>
      </c>
      <c r="Q756" s="29">
        <f t="shared" si="506"/>
        <v>0</v>
      </c>
      <c r="R756" s="29">
        <f t="shared" si="506"/>
        <v>0</v>
      </c>
      <c r="S756" s="29">
        <f t="shared" si="493"/>
        <v>0</v>
      </c>
      <c r="T756" s="29">
        <f t="shared" si="506"/>
        <v>0</v>
      </c>
      <c r="U756" s="29">
        <f t="shared" si="506"/>
        <v>0</v>
      </c>
      <c r="V756" s="29">
        <f t="shared" si="506"/>
        <v>0</v>
      </c>
      <c r="W756" s="27" t="str">
        <f t="shared" si="481"/>
        <v>OK</v>
      </c>
      <c r="X756" s="3"/>
      <c r="Y756" s="3"/>
      <c r="Z756" s="3"/>
      <c r="AA756" s="3"/>
      <c r="AB756" s="3"/>
      <c r="AC756" s="3"/>
    </row>
    <row r="757" spans="1:29" x14ac:dyDescent="0.2">
      <c r="A757" s="3">
        <f t="shared" si="491"/>
        <v>17</v>
      </c>
      <c r="B757" s="3" t="str">
        <f t="shared" si="485"/>
        <v>Taxable Income</v>
      </c>
      <c r="C757" s="3"/>
      <c r="D757" s="3"/>
      <c r="E757" s="3" t="s">
        <v>370</v>
      </c>
      <c r="F757" s="3"/>
      <c r="G757" s="3"/>
      <c r="H757" s="29">
        <f t="shared" ca="1" si="487"/>
        <v>0.99999999999999989</v>
      </c>
      <c r="I757" s="29">
        <v>0</v>
      </c>
      <c r="J757" s="29">
        <f t="shared" ca="1" si="489"/>
        <v>0.99999999999999989</v>
      </c>
      <c r="K757" s="29">
        <f t="shared" ref="K757:V757" ca="1" si="507">IF($H685&lt;&gt;0,K685/$H685,0)</f>
        <v>0.46881296853406218</v>
      </c>
      <c r="L757" s="29">
        <f t="shared" ca="1" si="507"/>
        <v>8.9073872780097096E-2</v>
      </c>
      <c r="M757" s="29">
        <f t="shared" ca="1" si="507"/>
        <v>0.35363130789875702</v>
      </c>
      <c r="N757" s="29">
        <f t="shared" ca="1" si="507"/>
        <v>6.9012708526444188E-3</v>
      </c>
      <c r="O757" s="29">
        <f t="shared" ca="1" si="507"/>
        <v>0.3467300370461126</v>
      </c>
      <c r="P757" s="29">
        <f t="shared" ca="1" si="507"/>
        <v>4.7561933968067238E-2</v>
      </c>
      <c r="Q757" s="29">
        <f t="shared" ca="1" si="507"/>
        <v>2.0542594000229036E-2</v>
      </c>
      <c r="R757" s="29">
        <f t="shared" ca="1" si="507"/>
        <v>2.4084609011283491E-2</v>
      </c>
      <c r="S757" s="29">
        <f t="shared" ca="1" si="493"/>
        <v>2.9347309565547122E-3</v>
      </c>
      <c r="T757" s="29">
        <f t="shared" ca="1" si="507"/>
        <v>4.0086965028914887E-2</v>
      </c>
      <c r="U757" s="29">
        <f t="shared" ca="1" si="507"/>
        <v>7.0851363397720696E-7</v>
      </c>
      <c r="V757" s="29">
        <f t="shared" ca="1" si="507"/>
        <v>8.3224327646749135E-4</v>
      </c>
      <c r="W757" s="27" t="str">
        <f t="shared" ca="1" si="481"/>
        <v>OK</v>
      </c>
      <c r="X757" s="3"/>
      <c r="Y757" s="3"/>
      <c r="Z757" s="3"/>
      <c r="AA757" s="3"/>
      <c r="AB757" s="3"/>
      <c r="AC757" s="3"/>
    </row>
    <row r="758" spans="1:29" x14ac:dyDescent="0.2">
      <c r="A758" s="3">
        <f t="shared" si="491"/>
        <v>18</v>
      </c>
      <c r="B758" s="3" t="str">
        <f t="shared" si="485"/>
        <v>Large Cust Acct Rep Alloc to C&amp;I Cust</v>
      </c>
      <c r="C758" s="3"/>
      <c r="D758" s="3"/>
      <c r="E758" s="3" t="str">
        <f t="shared" ref="E758:E791" si="508">E686</f>
        <v>LCUST</v>
      </c>
      <c r="F758" s="3"/>
      <c r="G758" s="3"/>
      <c r="H758" s="29">
        <f t="shared" si="487"/>
        <v>1</v>
      </c>
      <c r="I758" s="29">
        <v>0</v>
      </c>
      <c r="J758" s="29">
        <f t="shared" si="489"/>
        <v>1</v>
      </c>
      <c r="K758" s="29">
        <f t="shared" ref="K758:V759" si="509">IF($H686&lt;&gt;0,K686/$H686,0)</f>
        <v>0</v>
      </c>
      <c r="L758" s="29">
        <f t="shared" si="509"/>
        <v>0</v>
      </c>
      <c r="M758" s="29">
        <f t="shared" si="509"/>
        <v>0.98332360090715265</v>
      </c>
      <c r="N758" s="29">
        <f t="shared" si="509"/>
        <v>7.8221546233551067E-3</v>
      </c>
      <c r="O758" s="29">
        <f t="shared" si="509"/>
        <v>0.97550144628379754</v>
      </c>
      <c r="P758" s="29">
        <f t="shared" si="509"/>
        <v>1.474802069611744E-2</v>
      </c>
      <c r="Q758" s="29">
        <f t="shared" si="509"/>
        <v>6.3690807610304601E-3</v>
      </c>
      <c r="R758" s="29">
        <f t="shared" si="509"/>
        <v>7.4690712549397723E-3</v>
      </c>
      <c r="S758" s="29">
        <f t="shared" si="493"/>
        <v>9.0986868014720861E-4</v>
      </c>
      <c r="T758" s="29">
        <f t="shared" si="509"/>
        <v>1.6703559351956218E-3</v>
      </c>
      <c r="U758" s="29">
        <f t="shared" si="509"/>
        <v>0</v>
      </c>
      <c r="V758" s="29">
        <f t="shared" si="509"/>
        <v>2.5802246153428302E-4</v>
      </c>
      <c r="W758" s="27" t="str">
        <f t="shared" si="481"/>
        <v>OK</v>
      </c>
      <c r="X758" s="3"/>
      <c r="Y758" s="3"/>
      <c r="Z758" s="3"/>
      <c r="AA758" s="3"/>
      <c r="AB758" s="3"/>
      <c r="AC758" s="3"/>
    </row>
    <row r="759" spans="1:29" x14ac:dyDescent="0.2">
      <c r="A759" s="3">
        <f t="shared" si="491"/>
        <v>19</v>
      </c>
      <c r="B759" s="3" t="str">
        <f t="shared" si="485"/>
        <v>Customers Excluding Large Cust Rep Alloc</v>
      </c>
      <c r="C759" s="3"/>
      <c r="D759" s="3"/>
      <c r="E759" s="3" t="str">
        <f t="shared" si="508"/>
        <v>XCUST</v>
      </c>
      <c r="F759" s="3"/>
      <c r="G759" s="3"/>
      <c r="H759" s="29">
        <f t="shared" ref="H759" si="510">SUM(I759:J759)</f>
        <v>1</v>
      </c>
      <c r="I759" s="29">
        <v>0</v>
      </c>
      <c r="J759" s="29">
        <f t="shared" si="489"/>
        <v>1</v>
      </c>
      <c r="K759" s="29">
        <f t="shared" si="509"/>
        <v>0.74461979913916787</v>
      </c>
      <c r="L759" s="29">
        <f t="shared" si="509"/>
        <v>7.9113435255263959E-2</v>
      </c>
      <c r="M759" s="29">
        <f t="shared" si="509"/>
        <v>0</v>
      </c>
      <c r="N759" s="29">
        <f t="shared" si="509"/>
        <v>0</v>
      </c>
      <c r="O759" s="29">
        <f t="shared" si="509"/>
        <v>0</v>
      </c>
      <c r="P759" s="29">
        <f t="shared" si="509"/>
        <v>0</v>
      </c>
      <c r="Q759" s="29">
        <f t="shared" si="509"/>
        <v>0</v>
      </c>
      <c r="R759" s="29">
        <f t="shared" si="509"/>
        <v>0</v>
      </c>
      <c r="S759" s="29">
        <f t="shared" si="493"/>
        <v>0</v>
      </c>
      <c r="T759" s="29">
        <f t="shared" si="509"/>
        <v>0</v>
      </c>
      <c r="U759" s="29">
        <f t="shared" si="509"/>
        <v>0.17626676560556817</v>
      </c>
      <c r="V759" s="29">
        <f t="shared" si="509"/>
        <v>0</v>
      </c>
      <c r="W759" s="27" t="str">
        <f t="shared" ref="W759" si="511">IF((+K759+L759+M759+P759+T759+U759+V759)-H759=0,"OK",(+K759+L759+M759+P759+T759+U759+V759)-H759)</f>
        <v>OK</v>
      </c>
      <c r="X759" s="3"/>
      <c r="Y759" s="3"/>
      <c r="Z759" s="3"/>
      <c r="AA759" s="3"/>
      <c r="AB759" s="3"/>
      <c r="AC759" s="3"/>
    </row>
    <row r="760" spans="1:29" x14ac:dyDescent="0.2">
      <c r="A760" s="3">
        <f t="shared" si="491"/>
        <v>20</v>
      </c>
      <c r="B760" s="3" t="str">
        <f t="shared" si="485"/>
        <v>Energy @ Meter</v>
      </c>
      <c r="C760" s="3"/>
      <c r="D760" s="3"/>
      <c r="E760" s="3" t="str">
        <f t="shared" si="508"/>
        <v>ENERGYM</v>
      </c>
      <c r="F760" s="3"/>
      <c r="G760" s="3"/>
      <c r="H760" s="29">
        <f t="shared" si="487"/>
        <v>1</v>
      </c>
      <c r="I760" s="29">
        <v>0</v>
      </c>
      <c r="J760" s="29">
        <f t="shared" si="489"/>
        <v>1</v>
      </c>
      <c r="K760" s="29">
        <f t="shared" ref="K760:V760" si="512">IF($H688&lt;&gt;0,K688/$H688,0)</f>
        <v>0.32875363724630779</v>
      </c>
      <c r="L760" s="29">
        <f t="shared" si="512"/>
        <v>1.7550231585104211E-2</v>
      </c>
      <c r="M760" s="29">
        <f t="shared" si="512"/>
        <v>0.24036729688455627</v>
      </c>
      <c r="N760" s="29">
        <f t="shared" si="512"/>
        <v>3.4196096835687147E-2</v>
      </c>
      <c r="O760" s="29">
        <f t="shared" si="512"/>
        <v>0.2061712000488691</v>
      </c>
      <c r="P760" s="29">
        <f t="shared" si="512"/>
        <v>0.11816105168974292</v>
      </c>
      <c r="Q760" s="29">
        <f t="shared" si="512"/>
        <v>9.8133850507322457E-2</v>
      </c>
      <c r="R760" s="29">
        <f t="shared" si="512"/>
        <v>6.8194859864634189E-3</v>
      </c>
      <c r="S760" s="29">
        <f t="shared" si="493"/>
        <v>1.3207715195957048E-2</v>
      </c>
      <c r="T760" s="29">
        <f t="shared" si="512"/>
        <v>0.28816991991888952</v>
      </c>
      <c r="U760" s="29">
        <f t="shared" si="512"/>
        <v>6.2248318684880741E-3</v>
      </c>
      <c r="V760" s="29">
        <f t="shared" si="512"/>
        <v>7.7303080691135042E-4</v>
      </c>
      <c r="W760" s="27" t="str">
        <f t="shared" si="481"/>
        <v>OK</v>
      </c>
      <c r="X760" s="3"/>
      <c r="Y760" s="3"/>
      <c r="Z760" s="3"/>
      <c r="AA760" s="3"/>
      <c r="AB760" s="3"/>
      <c r="AC760" s="3"/>
    </row>
    <row r="761" spans="1:29" x14ac:dyDescent="0.2">
      <c r="A761" s="3">
        <f t="shared" si="491"/>
        <v>21</v>
      </c>
      <c r="B761" s="3" t="str">
        <f t="shared" si="485"/>
        <v>Retail Energy @ Meter</v>
      </c>
      <c r="C761" s="3"/>
      <c r="D761" s="3"/>
      <c r="E761" s="3" t="str">
        <f t="shared" si="508"/>
        <v>TENERGYM</v>
      </c>
      <c r="F761" s="3"/>
      <c r="G761" s="3"/>
      <c r="H761" s="29">
        <f t="shared" si="487"/>
        <v>1</v>
      </c>
      <c r="I761" s="29">
        <v>0</v>
      </c>
      <c r="J761" s="29">
        <f t="shared" si="489"/>
        <v>1</v>
      </c>
      <c r="K761" s="29">
        <f t="shared" ref="K761:V761" si="513">IF($H689&lt;&gt;0,K689/$H689,0)</f>
        <v>0.32875363724630779</v>
      </c>
      <c r="L761" s="29">
        <f t="shared" si="513"/>
        <v>1.7550231585104211E-2</v>
      </c>
      <c r="M761" s="29">
        <f t="shared" si="513"/>
        <v>0.24036729688455627</v>
      </c>
      <c r="N761" s="29">
        <f t="shared" si="513"/>
        <v>3.4196096835687147E-2</v>
      </c>
      <c r="O761" s="29">
        <f t="shared" si="513"/>
        <v>0.2061712000488691</v>
      </c>
      <c r="P761" s="29">
        <f t="shared" si="513"/>
        <v>0.11816105168974292</v>
      </c>
      <c r="Q761" s="29">
        <f t="shared" si="513"/>
        <v>9.8133850507322457E-2</v>
      </c>
      <c r="R761" s="29">
        <f t="shared" si="513"/>
        <v>6.8194859864634189E-3</v>
      </c>
      <c r="S761" s="29">
        <f t="shared" si="493"/>
        <v>1.3207715195957048E-2</v>
      </c>
      <c r="T761" s="29">
        <f t="shared" si="513"/>
        <v>0.28816991991888952</v>
      </c>
      <c r="U761" s="29">
        <f t="shared" si="513"/>
        <v>6.2248318684880741E-3</v>
      </c>
      <c r="V761" s="29">
        <f t="shared" si="513"/>
        <v>7.7303080691135042E-4</v>
      </c>
      <c r="W761" s="27" t="str">
        <f t="shared" si="481"/>
        <v>OK</v>
      </c>
      <c r="X761" s="3"/>
      <c r="Y761" s="3"/>
      <c r="Z761" s="3"/>
      <c r="AA761" s="3"/>
      <c r="AB761" s="3"/>
      <c r="AC761" s="3"/>
    </row>
    <row r="762" spans="1:29" x14ac:dyDescent="0.2">
      <c r="A762" s="3">
        <f t="shared" si="491"/>
        <v>22</v>
      </c>
      <c r="B762" s="3" t="str">
        <f t="shared" si="485"/>
        <v>Retail Energy @ Source</v>
      </c>
      <c r="C762" s="3"/>
      <c r="D762" s="3"/>
      <c r="E762" s="3" t="str">
        <f t="shared" si="508"/>
        <v>TENERGY</v>
      </c>
      <c r="F762" s="3"/>
      <c r="G762" s="3"/>
      <c r="H762" s="29">
        <f t="shared" si="487"/>
        <v>1</v>
      </c>
      <c r="I762" s="29">
        <v>0</v>
      </c>
      <c r="J762" s="29">
        <f t="shared" si="489"/>
        <v>1</v>
      </c>
      <c r="K762" s="29">
        <f t="shared" ref="K762:V762" si="514">IF($H690&lt;&gt;0,K690/$H690,0)</f>
        <v>0.33485885624294592</v>
      </c>
      <c r="L762" s="29">
        <f t="shared" si="514"/>
        <v>1.7876153476543234E-2</v>
      </c>
      <c r="M762" s="29">
        <f t="shared" si="514"/>
        <v>0.24483111057617682</v>
      </c>
      <c r="N762" s="29">
        <f t="shared" si="514"/>
        <v>3.4831145809626547E-2</v>
      </c>
      <c r="O762" s="29">
        <f t="shared" si="514"/>
        <v>0.20999996476655028</v>
      </c>
      <c r="P762" s="29">
        <f t="shared" si="514"/>
        <v>0.11691171533474615</v>
      </c>
      <c r="Q762" s="29">
        <f t="shared" si="514"/>
        <v>9.7096265064899892E-2</v>
      </c>
      <c r="R762" s="29">
        <f t="shared" si="514"/>
        <v>6.7473824325135906E-3</v>
      </c>
      <c r="S762" s="29">
        <f t="shared" si="493"/>
        <v>1.3068067837332656E-2</v>
      </c>
      <c r="T762" s="29">
        <f t="shared" si="514"/>
        <v>0.27841687495119294</v>
      </c>
      <c r="U762" s="29">
        <f t="shared" si="514"/>
        <v>6.3404319941405178E-3</v>
      </c>
      <c r="V762" s="29">
        <f t="shared" si="514"/>
        <v>7.6485742425440924E-4</v>
      </c>
      <c r="W762" s="27" t="str">
        <f t="shared" si="481"/>
        <v>OK</v>
      </c>
      <c r="X762" s="3"/>
      <c r="Y762" s="3"/>
      <c r="Z762" s="3"/>
      <c r="AA762" s="3"/>
      <c r="AB762" s="3"/>
      <c r="AC762" s="3"/>
    </row>
    <row r="763" spans="1:29" x14ac:dyDescent="0.2">
      <c r="A763" s="3">
        <f t="shared" si="491"/>
        <v>23</v>
      </c>
      <c r="B763" s="3" t="str">
        <f t="shared" si="485"/>
        <v>Transmission Plant</v>
      </c>
      <c r="C763" s="3"/>
      <c r="D763" s="3"/>
      <c r="E763" s="3" t="str">
        <f t="shared" si="508"/>
        <v>TRANPLT</v>
      </c>
      <c r="F763" s="3"/>
      <c r="G763" s="3"/>
      <c r="H763" s="29">
        <f t="shared" si="487"/>
        <v>0</v>
      </c>
      <c r="I763" s="29">
        <v>0</v>
      </c>
      <c r="J763" s="29">
        <f t="shared" si="489"/>
        <v>0</v>
      </c>
      <c r="K763" s="29">
        <f t="shared" ref="K763:V763" si="515">IF($H691&lt;&gt;0,K691/$H691,0)</f>
        <v>0</v>
      </c>
      <c r="L763" s="29">
        <f t="shared" si="515"/>
        <v>0</v>
      </c>
      <c r="M763" s="29">
        <f t="shared" si="515"/>
        <v>0</v>
      </c>
      <c r="N763" s="29">
        <f t="shared" si="515"/>
        <v>0</v>
      </c>
      <c r="O763" s="29">
        <f t="shared" si="515"/>
        <v>0</v>
      </c>
      <c r="P763" s="29">
        <f t="shared" si="515"/>
        <v>0</v>
      </c>
      <c r="Q763" s="29">
        <f t="shared" si="515"/>
        <v>0</v>
      </c>
      <c r="R763" s="29">
        <f t="shared" si="515"/>
        <v>0</v>
      </c>
      <c r="S763" s="29">
        <f t="shared" si="493"/>
        <v>0</v>
      </c>
      <c r="T763" s="29">
        <f t="shared" si="515"/>
        <v>0</v>
      </c>
      <c r="U763" s="29">
        <f t="shared" si="515"/>
        <v>0</v>
      </c>
      <c r="V763" s="29">
        <f t="shared" si="515"/>
        <v>0</v>
      </c>
      <c r="W763" s="27" t="str">
        <f t="shared" si="481"/>
        <v>OK</v>
      </c>
      <c r="X763" s="3"/>
      <c r="Y763" s="3"/>
      <c r="Z763" s="3"/>
      <c r="AA763" s="3"/>
      <c r="AB763" s="3"/>
      <c r="AC763" s="3"/>
    </row>
    <row r="764" spans="1:29" x14ac:dyDescent="0.2">
      <c r="A764" s="3">
        <f t="shared" si="491"/>
        <v>24</v>
      </c>
      <c r="B764" s="3" t="str">
        <f t="shared" si="485"/>
        <v>Texas Transmission Plant</v>
      </c>
      <c r="C764" s="3"/>
      <c r="D764" s="3"/>
      <c r="E764" s="3" t="str">
        <f t="shared" si="508"/>
        <v>TTRANPLT</v>
      </c>
      <c r="F764" s="3"/>
      <c r="G764" s="3"/>
      <c r="H764" s="29">
        <f t="shared" si="487"/>
        <v>0</v>
      </c>
      <c r="I764" s="29">
        <v>0</v>
      </c>
      <c r="J764" s="29">
        <f t="shared" si="489"/>
        <v>0</v>
      </c>
      <c r="K764" s="29">
        <f t="shared" ref="K764:V764" si="516">IF($H692&lt;&gt;0,K692/$H692,0)</f>
        <v>0</v>
      </c>
      <c r="L764" s="29">
        <f t="shared" si="516"/>
        <v>0</v>
      </c>
      <c r="M764" s="29">
        <f t="shared" si="516"/>
        <v>0</v>
      </c>
      <c r="N764" s="29">
        <f t="shared" si="516"/>
        <v>0</v>
      </c>
      <c r="O764" s="29">
        <f t="shared" si="516"/>
        <v>0</v>
      </c>
      <c r="P764" s="29">
        <f t="shared" si="516"/>
        <v>0</v>
      </c>
      <c r="Q764" s="29">
        <f t="shared" si="516"/>
        <v>0</v>
      </c>
      <c r="R764" s="29">
        <f t="shared" si="516"/>
        <v>0</v>
      </c>
      <c r="S764" s="29">
        <f t="shared" si="493"/>
        <v>0</v>
      </c>
      <c r="T764" s="29">
        <f t="shared" si="516"/>
        <v>0</v>
      </c>
      <c r="U764" s="29">
        <f t="shared" si="516"/>
        <v>0</v>
      </c>
      <c r="V764" s="29">
        <f t="shared" si="516"/>
        <v>0</v>
      </c>
      <c r="W764" s="27" t="str">
        <f t="shared" si="481"/>
        <v>OK</v>
      </c>
      <c r="X764" s="3"/>
      <c r="Y764" s="3"/>
      <c r="Z764" s="3"/>
      <c r="AA764" s="3"/>
      <c r="AB764" s="3"/>
      <c r="AC764" s="3"/>
    </row>
    <row r="765" spans="1:29" x14ac:dyDescent="0.2">
      <c r="A765" s="3">
        <f t="shared" si="491"/>
        <v>25</v>
      </c>
      <c r="B765" s="3" t="str">
        <f t="shared" si="485"/>
        <v>Other Jurisdiction Transmission Plant</v>
      </c>
      <c r="C765" s="3"/>
      <c r="D765" s="3"/>
      <c r="E765" s="3" t="str">
        <f t="shared" si="508"/>
        <v>OTRANPLT</v>
      </c>
      <c r="F765" s="3"/>
      <c r="G765" s="3"/>
      <c r="H765" s="29">
        <f t="shared" si="487"/>
        <v>0</v>
      </c>
      <c r="I765" s="29">
        <v>0</v>
      </c>
      <c r="J765" s="29">
        <f t="shared" si="489"/>
        <v>0</v>
      </c>
      <c r="K765" s="29">
        <f t="shared" ref="K765:V765" si="517">IF($H693&lt;&gt;0,K693/$H693,0)</f>
        <v>0</v>
      </c>
      <c r="L765" s="29">
        <f t="shared" si="517"/>
        <v>0</v>
      </c>
      <c r="M765" s="29">
        <f t="shared" si="517"/>
        <v>0</v>
      </c>
      <c r="N765" s="29">
        <f t="shared" si="517"/>
        <v>0</v>
      </c>
      <c r="O765" s="29">
        <f t="shared" si="517"/>
        <v>0</v>
      </c>
      <c r="P765" s="29">
        <f t="shared" si="517"/>
        <v>0</v>
      </c>
      <c r="Q765" s="29">
        <f t="shared" si="517"/>
        <v>0</v>
      </c>
      <c r="R765" s="29">
        <f t="shared" si="517"/>
        <v>0</v>
      </c>
      <c r="S765" s="29">
        <f t="shared" si="493"/>
        <v>0</v>
      </c>
      <c r="T765" s="29">
        <f t="shared" si="517"/>
        <v>0</v>
      </c>
      <c r="U765" s="29">
        <f t="shared" si="517"/>
        <v>0</v>
      </c>
      <c r="V765" s="29">
        <f t="shared" si="517"/>
        <v>0</v>
      </c>
      <c r="W765" s="27" t="str">
        <f t="shared" si="481"/>
        <v>OK</v>
      </c>
      <c r="X765" s="3"/>
      <c r="Y765" s="3"/>
      <c r="Z765" s="3"/>
      <c r="AA765" s="3"/>
      <c r="AB765" s="3"/>
      <c r="AC765" s="3"/>
    </row>
    <row r="766" spans="1:29" x14ac:dyDescent="0.2">
      <c r="A766" s="3">
        <f t="shared" si="491"/>
        <v>26</v>
      </c>
      <c r="B766" s="3" t="str">
        <f t="shared" si="485"/>
        <v>Distribution Plant</v>
      </c>
      <c r="C766" s="3"/>
      <c r="D766" s="3"/>
      <c r="E766" s="3" t="str">
        <f t="shared" si="508"/>
        <v>DISTPLT</v>
      </c>
      <c r="F766" s="3"/>
      <c r="G766" s="3"/>
      <c r="H766" s="29">
        <f t="shared" si="487"/>
        <v>1</v>
      </c>
      <c r="I766" s="29">
        <v>0</v>
      </c>
      <c r="J766" s="29">
        <f t="shared" si="489"/>
        <v>1</v>
      </c>
      <c r="K766" s="29">
        <f t="shared" ref="K766:V766" si="518">IF($H694&lt;&gt;0,K694/$H694,0)</f>
        <v>0.46880677347274768</v>
      </c>
      <c r="L766" s="29">
        <f t="shared" si="518"/>
        <v>8.9078309879817394E-2</v>
      </c>
      <c r="M766" s="29">
        <f t="shared" si="518"/>
        <v>0.3536348946692382</v>
      </c>
      <c r="N766" s="29">
        <f t="shared" si="518"/>
        <v>6.8991555923726662E-3</v>
      </c>
      <c r="O766" s="29">
        <f t="shared" si="518"/>
        <v>0.34673573907686556</v>
      </c>
      <c r="P766" s="29">
        <f t="shared" si="518"/>
        <v>4.7558438155479207E-2</v>
      </c>
      <c r="Q766" s="29">
        <f t="shared" si="518"/>
        <v>2.0538588853517264E-2</v>
      </c>
      <c r="R766" s="29">
        <f t="shared" si="518"/>
        <v>2.4085765180030905E-2</v>
      </c>
      <c r="S766" s="29">
        <f t="shared" si="493"/>
        <v>2.9340841219310377E-3</v>
      </c>
      <c r="T766" s="29">
        <f t="shared" si="518"/>
        <v>4.0089530116498309E-2</v>
      </c>
      <c r="U766" s="29">
        <f t="shared" si="518"/>
        <v>0</v>
      </c>
      <c r="V766" s="29">
        <f t="shared" si="518"/>
        <v>8.3205370621924966E-4</v>
      </c>
      <c r="W766" s="27" t="str">
        <f t="shared" si="481"/>
        <v>OK</v>
      </c>
      <c r="X766" s="3"/>
      <c r="Y766" s="3"/>
      <c r="Z766" s="3"/>
      <c r="AA766" s="3"/>
      <c r="AB766" s="3"/>
      <c r="AC766" s="3"/>
    </row>
    <row r="767" spans="1:29" x14ac:dyDescent="0.2">
      <c r="A767" s="3">
        <f t="shared" si="491"/>
        <v>27</v>
      </c>
      <c r="B767" s="3" t="str">
        <f t="shared" si="485"/>
        <v>Texas Distribution Plant</v>
      </c>
      <c r="C767" s="3"/>
      <c r="D767" s="3"/>
      <c r="E767" s="3" t="str">
        <f t="shared" si="508"/>
        <v>TDISTPLT</v>
      </c>
      <c r="F767" s="3"/>
      <c r="G767" s="3"/>
      <c r="H767" s="29">
        <f t="shared" si="487"/>
        <v>1</v>
      </c>
      <c r="I767" s="29">
        <v>0</v>
      </c>
      <c r="J767" s="29">
        <f t="shared" si="489"/>
        <v>1</v>
      </c>
      <c r="K767" s="29">
        <f t="shared" ref="K767:V767" si="519">IF($H695&lt;&gt;0,K695/$H695,0)</f>
        <v>0.46880677347274768</v>
      </c>
      <c r="L767" s="29">
        <f t="shared" si="519"/>
        <v>8.9078309879817394E-2</v>
      </c>
      <c r="M767" s="29">
        <f t="shared" si="519"/>
        <v>0.3536348946692382</v>
      </c>
      <c r="N767" s="29">
        <f t="shared" si="519"/>
        <v>6.8991555923726662E-3</v>
      </c>
      <c r="O767" s="29">
        <f t="shared" si="519"/>
        <v>0.34673573907686556</v>
      </c>
      <c r="P767" s="29">
        <f t="shared" si="519"/>
        <v>4.7558438155479207E-2</v>
      </c>
      <c r="Q767" s="29">
        <f t="shared" si="519"/>
        <v>2.0538588853517264E-2</v>
      </c>
      <c r="R767" s="29">
        <f t="shared" si="519"/>
        <v>2.4085765180030905E-2</v>
      </c>
      <c r="S767" s="29">
        <f t="shared" si="493"/>
        <v>2.9340841219310377E-3</v>
      </c>
      <c r="T767" s="29">
        <f t="shared" si="519"/>
        <v>4.0089530116498309E-2</v>
      </c>
      <c r="U767" s="29">
        <f t="shared" si="519"/>
        <v>0</v>
      </c>
      <c r="V767" s="29">
        <f t="shared" si="519"/>
        <v>8.3205370621924966E-4</v>
      </c>
      <c r="W767" s="27" t="str">
        <f t="shared" si="481"/>
        <v>OK</v>
      </c>
      <c r="X767" s="3"/>
      <c r="Y767" s="3"/>
      <c r="Z767" s="3"/>
      <c r="AA767" s="3"/>
      <c r="AB767" s="3"/>
      <c r="AC767" s="3"/>
    </row>
    <row r="768" spans="1:29" x14ac:dyDescent="0.2">
      <c r="A768" s="3">
        <f t="shared" si="491"/>
        <v>28</v>
      </c>
      <c r="B768" s="3" t="str">
        <f t="shared" si="485"/>
        <v>Other Jurisdiction Distribution Plant</v>
      </c>
      <c r="C768" s="3"/>
      <c r="D768" s="3"/>
      <c r="E768" s="3" t="str">
        <f t="shared" si="508"/>
        <v>ODISTPLT</v>
      </c>
      <c r="F768" s="3"/>
      <c r="G768" s="3"/>
      <c r="H768" s="29">
        <f t="shared" si="487"/>
        <v>0</v>
      </c>
      <c r="I768" s="29">
        <v>0</v>
      </c>
      <c r="J768" s="29">
        <f t="shared" si="489"/>
        <v>0</v>
      </c>
      <c r="K768" s="29">
        <f t="shared" ref="K768:V768" si="520">IF($H696&lt;&gt;0,K696/$H696,0)</f>
        <v>0</v>
      </c>
      <c r="L768" s="29">
        <f t="shared" si="520"/>
        <v>0</v>
      </c>
      <c r="M768" s="29">
        <f t="shared" si="520"/>
        <v>0</v>
      </c>
      <c r="N768" s="29">
        <f t="shared" si="520"/>
        <v>0</v>
      </c>
      <c r="O768" s="29">
        <f t="shared" si="520"/>
        <v>0</v>
      </c>
      <c r="P768" s="29">
        <f t="shared" si="520"/>
        <v>0</v>
      </c>
      <c r="Q768" s="29">
        <f t="shared" si="520"/>
        <v>0</v>
      </c>
      <c r="R768" s="29">
        <f t="shared" si="520"/>
        <v>0</v>
      </c>
      <c r="S768" s="29">
        <f t="shared" si="493"/>
        <v>0</v>
      </c>
      <c r="T768" s="29">
        <f t="shared" si="520"/>
        <v>0</v>
      </c>
      <c r="U768" s="29">
        <f t="shared" si="520"/>
        <v>0</v>
      </c>
      <c r="V768" s="29">
        <f t="shared" si="520"/>
        <v>0</v>
      </c>
      <c r="W768" s="27" t="str">
        <f t="shared" si="481"/>
        <v>OK</v>
      </c>
      <c r="X768" s="3"/>
      <c r="Y768" s="3"/>
      <c r="Z768" s="3"/>
      <c r="AA768" s="3"/>
      <c r="AB768" s="3"/>
      <c r="AC768" s="3"/>
    </row>
    <row r="769" spans="1:29" x14ac:dyDescent="0.2">
      <c r="A769" s="3">
        <f t="shared" si="491"/>
        <v>29</v>
      </c>
      <c r="B769" s="3" t="str">
        <f t="shared" si="485"/>
        <v>General Plant</v>
      </c>
      <c r="C769" s="3"/>
      <c r="D769" s="3"/>
      <c r="E769" s="3" t="str">
        <f t="shared" si="508"/>
        <v>GENPLT</v>
      </c>
      <c r="F769" s="3"/>
      <c r="G769" s="3"/>
      <c r="H769" s="29">
        <f t="shared" ca="1" si="487"/>
        <v>1</v>
      </c>
      <c r="I769" s="29">
        <v>0</v>
      </c>
      <c r="J769" s="29">
        <f t="shared" ca="1" si="489"/>
        <v>1</v>
      </c>
      <c r="K769" s="29">
        <f t="shared" ref="K769:V769" ca="1" si="521">IF($H697&lt;&gt;0,K697/$H697,0)</f>
        <v>0.46880677347274763</v>
      </c>
      <c r="L769" s="29">
        <f t="shared" ca="1" si="521"/>
        <v>8.9078309879817408E-2</v>
      </c>
      <c r="M769" s="29">
        <f t="shared" ca="1" si="521"/>
        <v>0.3536348946692382</v>
      </c>
      <c r="N769" s="29">
        <f t="shared" ca="1" si="521"/>
        <v>6.8991555923726671E-3</v>
      </c>
      <c r="O769" s="29">
        <f t="shared" ca="1" si="521"/>
        <v>0.34673573907686556</v>
      </c>
      <c r="P769" s="29">
        <f t="shared" ca="1" si="521"/>
        <v>4.7558438155479207E-2</v>
      </c>
      <c r="Q769" s="29">
        <f t="shared" ca="1" si="521"/>
        <v>2.0538588853517264E-2</v>
      </c>
      <c r="R769" s="29">
        <f t="shared" ca="1" si="521"/>
        <v>2.4085765180030909E-2</v>
      </c>
      <c r="S769" s="29">
        <f t="shared" ca="1" si="493"/>
        <v>2.9340841219310373E-3</v>
      </c>
      <c r="T769" s="29">
        <f t="shared" ca="1" si="521"/>
        <v>4.0089530116498316E-2</v>
      </c>
      <c r="U769" s="29">
        <f t="shared" ca="1" si="521"/>
        <v>0</v>
      </c>
      <c r="V769" s="29">
        <f t="shared" ca="1" si="521"/>
        <v>8.3205370621924977E-4</v>
      </c>
      <c r="W769" s="27" t="str">
        <f t="shared" ref="W769:W800" ca="1" si="522">IF((+K769+L769+M769+P769+T769+U769+V769)-H769=0,"OK",(+K769+L769+M769+P769+T769+U769+V769)-H769)</f>
        <v>OK</v>
      </c>
      <c r="X769" s="3"/>
      <c r="Y769" s="3"/>
      <c r="Z769" s="3"/>
      <c r="AA769" s="3"/>
      <c r="AB769" s="3"/>
      <c r="AC769" s="3"/>
    </row>
    <row r="770" spans="1:29" x14ac:dyDescent="0.2">
      <c r="A770" s="3">
        <f t="shared" si="491"/>
        <v>30</v>
      </c>
      <c r="B770" s="3" t="str">
        <f t="shared" si="485"/>
        <v>Texas General Plant</v>
      </c>
      <c r="C770" s="3"/>
      <c r="D770" s="3"/>
      <c r="E770" s="3" t="str">
        <f t="shared" si="508"/>
        <v>TGENPLT</v>
      </c>
      <c r="F770" s="3"/>
      <c r="G770" s="3"/>
      <c r="H770" s="29">
        <f t="shared" ca="1" si="487"/>
        <v>1</v>
      </c>
      <c r="I770" s="29">
        <v>0</v>
      </c>
      <c r="J770" s="29">
        <f t="shared" ca="1" si="489"/>
        <v>1</v>
      </c>
      <c r="K770" s="29">
        <f t="shared" ref="K770:V770" ca="1" si="523">IF($H698&lt;&gt;0,K698/$H698,0)</f>
        <v>0.46880677347274763</v>
      </c>
      <c r="L770" s="29">
        <f t="shared" ca="1" si="523"/>
        <v>8.9078309879817408E-2</v>
      </c>
      <c r="M770" s="29">
        <f t="shared" ca="1" si="523"/>
        <v>0.3536348946692382</v>
      </c>
      <c r="N770" s="29">
        <f t="shared" ca="1" si="523"/>
        <v>6.8991555923726671E-3</v>
      </c>
      <c r="O770" s="29">
        <f t="shared" ca="1" si="523"/>
        <v>0.34673573907686556</v>
      </c>
      <c r="P770" s="29">
        <f t="shared" ca="1" si="523"/>
        <v>4.7558438155479207E-2</v>
      </c>
      <c r="Q770" s="29">
        <f t="shared" ca="1" si="523"/>
        <v>2.0538588853517264E-2</v>
      </c>
      <c r="R770" s="29">
        <f t="shared" ca="1" si="523"/>
        <v>2.4085765180030909E-2</v>
      </c>
      <c r="S770" s="29">
        <f t="shared" ca="1" si="493"/>
        <v>2.9340841219310373E-3</v>
      </c>
      <c r="T770" s="29">
        <f t="shared" ca="1" si="523"/>
        <v>4.0089530116498316E-2</v>
      </c>
      <c r="U770" s="29">
        <f t="shared" ca="1" si="523"/>
        <v>0</v>
      </c>
      <c r="V770" s="29">
        <f t="shared" ca="1" si="523"/>
        <v>8.3205370621924977E-4</v>
      </c>
      <c r="W770" s="27" t="str">
        <f t="shared" ca="1" si="522"/>
        <v>OK</v>
      </c>
      <c r="X770" s="3"/>
      <c r="Y770" s="3"/>
      <c r="Z770" s="3"/>
      <c r="AA770" s="3"/>
      <c r="AB770" s="3"/>
      <c r="AC770" s="3"/>
    </row>
    <row r="771" spans="1:29" x14ac:dyDescent="0.2">
      <c r="A771" s="3">
        <f t="shared" si="491"/>
        <v>31</v>
      </c>
      <c r="B771" s="3" t="str">
        <f t="shared" si="485"/>
        <v>Other Jurisdiction General Plant</v>
      </c>
      <c r="C771" s="3"/>
      <c r="D771" s="3"/>
      <c r="E771" s="3" t="str">
        <f t="shared" si="508"/>
        <v>OGENPLT</v>
      </c>
      <c r="F771" s="3"/>
      <c r="G771" s="3"/>
      <c r="H771" s="29">
        <f t="shared" si="487"/>
        <v>0</v>
      </c>
      <c r="I771" s="29">
        <v>0</v>
      </c>
      <c r="J771" s="29">
        <f t="shared" si="489"/>
        <v>0</v>
      </c>
      <c r="K771" s="29">
        <f t="shared" ref="K771:V771" si="524">IF($H699&lt;&gt;0,K699/$H699,0)</f>
        <v>0</v>
      </c>
      <c r="L771" s="29">
        <f t="shared" si="524"/>
        <v>0</v>
      </c>
      <c r="M771" s="29">
        <f t="shared" si="524"/>
        <v>0</v>
      </c>
      <c r="N771" s="29">
        <f t="shared" si="524"/>
        <v>0</v>
      </c>
      <c r="O771" s="29">
        <f t="shared" si="524"/>
        <v>0</v>
      </c>
      <c r="P771" s="29">
        <f t="shared" si="524"/>
        <v>0</v>
      </c>
      <c r="Q771" s="29">
        <f t="shared" si="524"/>
        <v>0</v>
      </c>
      <c r="R771" s="29">
        <f t="shared" si="524"/>
        <v>0</v>
      </c>
      <c r="S771" s="29">
        <f t="shared" si="493"/>
        <v>0</v>
      </c>
      <c r="T771" s="29">
        <f t="shared" si="524"/>
        <v>0</v>
      </c>
      <c r="U771" s="29">
        <f t="shared" si="524"/>
        <v>0</v>
      </c>
      <c r="V771" s="29">
        <f t="shared" si="524"/>
        <v>0</v>
      </c>
      <c r="W771" s="27" t="str">
        <f t="shared" si="522"/>
        <v>OK</v>
      </c>
      <c r="X771" s="3"/>
      <c r="Y771" s="3"/>
      <c r="Z771" s="3"/>
      <c r="AA771" s="3"/>
      <c r="AB771" s="3"/>
      <c r="AC771" s="3"/>
    </row>
    <row r="772" spans="1:29" x14ac:dyDescent="0.2">
      <c r="A772" s="3">
        <f t="shared" si="491"/>
        <v>32</v>
      </c>
      <c r="B772" s="3" t="str">
        <f t="shared" si="485"/>
        <v>Intangible Plant</v>
      </c>
      <c r="C772" s="3"/>
      <c r="D772" s="3"/>
      <c r="E772" s="3" t="str">
        <f t="shared" si="508"/>
        <v>INTANPLT</v>
      </c>
      <c r="F772" s="3"/>
      <c r="G772" s="3"/>
      <c r="H772" s="29">
        <f t="shared" ca="1" si="487"/>
        <v>1</v>
      </c>
      <c r="I772" s="29">
        <v>0</v>
      </c>
      <c r="J772" s="29">
        <f t="shared" ca="1" si="489"/>
        <v>1</v>
      </c>
      <c r="K772" s="29">
        <f t="shared" ref="K772:V772" ca="1" si="525">IF($H700&lt;&gt;0,K700/$H700,0)</f>
        <v>0.46880677347274768</v>
      </c>
      <c r="L772" s="29">
        <f t="shared" ca="1" si="525"/>
        <v>8.9078309879817394E-2</v>
      </c>
      <c r="M772" s="29">
        <f t="shared" ca="1" si="525"/>
        <v>0.3536348946692382</v>
      </c>
      <c r="N772" s="29">
        <f t="shared" ca="1" si="525"/>
        <v>6.8991555923726671E-3</v>
      </c>
      <c r="O772" s="29">
        <f t="shared" ca="1" si="525"/>
        <v>0.34673573907686556</v>
      </c>
      <c r="P772" s="29">
        <f t="shared" ca="1" si="525"/>
        <v>4.7558438155479214E-2</v>
      </c>
      <c r="Q772" s="29">
        <f t="shared" ca="1" si="525"/>
        <v>2.0538588853517267E-2</v>
      </c>
      <c r="R772" s="29">
        <f t="shared" ca="1" si="525"/>
        <v>2.4085765180030905E-2</v>
      </c>
      <c r="S772" s="29">
        <f t="shared" ca="1" si="493"/>
        <v>2.9340841219310373E-3</v>
      </c>
      <c r="T772" s="29">
        <f t="shared" ca="1" si="525"/>
        <v>4.0089530116498316E-2</v>
      </c>
      <c r="U772" s="29">
        <f t="shared" ca="1" si="525"/>
        <v>0</v>
      </c>
      <c r="V772" s="29">
        <f t="shared" ca="1" si="525"/>
        <v>8.3205370621924966E-4</v>
      </c>
      <c r="W772" s="27" t="str">
        <f t="shared" ca="1" si="522"/>
        <v>OK</v>
      </c>
      <c r="X772" s="3"/>
      <c r="Y772" s="3"/>
      <c r="Z772" s="3"/>
      <c r="AA772" s="3"/>
      <c r="AB772" s="3"/>
      <c r="AC772" s="3"/>
    </row>
    <row r="773" spans="1:29" x14ac:dyDescent="0.2">
      <c r="A773" s="3">
        <f t="shared" si="491"/>
        <v>33</v>
      </c>
      <c r="B773" s="3" t="str">
        <f t="shared" ref="B773:B804" si="526">B701</f>
        <v>Texas Intangible Plant</v>
      </c>
      <c r="C773" s="3"/>
      <c r="D773" s="3"/>
      <c r="E773" s="3" t="str">
        <f t="shared" si="508"/>
        <v>TINTANPLT</v>
      </c>
      <c r="F773" s="3"/>
      <c r="G773" s="3"/>
      <c r="H773" s="29">
        <f t="shared" ca="1" si="487"/>
        <v>1</v>
      </c>
      <c r="I773" s="29">
        <v>0</v>
      </c>
      <c r="J773" s="29">
        <f t="shared" ca="1" si="489"/>
        <v>1</v>
      </c>
      <c r="K773" s="29">
        <f t="shared" ref="K773:V773" ca="1" si="527">IF($H701&lt;&gt;0,K701/$H701,0)</f>
        <v>0.46880677347274768</v>
      </c>
      <c r="L773" s="29">
        <f t="shared" ca="1" si="527"/>
        <v>8.9078309879817394E-2</v>
      </c>
      <c r="M773" s="29">
        <f t="shared" ca="1" si="527"/>
        <v>0.3536348946692382</v>
      </c>
      <c r="N773" s="29">
        <f t="shared" ca="1" si="527"/>
        <v>6.8991555923726671E-3</v>
      </c>
      <c r="O773" s="29">
        <f t="shared" ca="1" si="527"/>
        <v>0.34673573907686556</v>
      </c>
      <c r="P773" s="29">
        <f t="shared" ca="1" si="527"/>
        <v>4.7558438155479214E-2</v>
      </c>
      <c r="Q773" s="29">
        <f t="shared" ca="1" si="527"/>
        <v>2.0538588853517267E-2</v>
      </c>
      <c r="R773" s="29">
        <f t="shared" ca="1" si="527"/>
        <v>2.4085765180030905E-2</v>
      </c>
      <c r="S773" s="29">
        <f t="shared" ca="1" si="493"/>
        <v>2.9340841219310373E-3</v>
      </c>
      <c r="T773" s="29">
        <f t="shared" ca="1" si="527"/>
        <v>4.0089530116498316E-2</v>
      </c>
      <c r="U773" s="29">
        <f t="shared" ca="1" si="527"/>
        <v>0</v>
      </c>
      <c r="V773" s="29">
        <f t="shared" ca="1" si="527"/>
        <v>8.3205370621924966E-4</v>
      </c>
      <c r="W773" s="27" t="str">
        <f t="shared" ca="1" si="522"/>
        <v>OK</v>
      </c>
      <c r="X773" s="3"/>
      <c r="Y773" s="3"/>
      <c r="Z773" s="3"/>
      <c r="AA773" s="3"/>
      <c r="AB773" s="3"/>
      <c r="AC773" s="3"/>
    </row>
    <row r="774" spans="1:29" x14ac:dyDescent="0.2">
      <c r="A774" s="3">
        <f t="shared" si="491"/>
        <v>34</v>
      </c>
      <c r="B774" s="3" t="str">
        <f t="shared" si="526"/>
        <v>Other Jurisdiction Intangible Plant</v>
      </c>
      <c r="C774" s="3"/>
      <c r="D774" s="3"/>
      <c r="E774" s="3" t="str">
        <f t="shared" si="508"/>
        <v>OINTANPLT</v>
      </c>
      <c r="F774" s="3"/>
      <c r="G774" s="3"/>
      <c r="H774" s="29">
        <f t="shared" si="487"/>
        <v>0</v>
      </c>
      <c r="I774" s="29">
        <v>0</v>
      </c>
      <c r="J774" s="29">
        <f t="shared" si="489"/>
        <v>0</v>
      </c>
      <c r="K774" s="29">
        <f t="shared" ref="K774:V774" si="528">IF($H702&lt;&gt;0,K702/$H702,0)</f>
        <v>0</v>
      </c>
      <c r="L774" s="29">
        <f t="shared" si="528"/>
        <v>0</v>
      </c>
      <c r="M774" s="29">
        <f t="shared" si="528"/>
        <v>0</v>
      </c>
      <c r="N774" s="29">
        <f t="shared" si="528"/>
        <v>0</v>
      </c>
      <c r="O774" s="29">
        <f t="shared" si="528"/>
        <v>0</v>
      </c>
      <c r="P774" s="29">
        <f t="shared" si="528"/>
        <v>0</v>
      </c>
      <c r="Q774" s="29">
        <f t="shared" si="528"/>
        <v>0</v>
      </c>
      <c r="R774" s="29">
        <f t="shared" si="528"/>
        <v>0</v>
      </c>
      <c r="S774" s="29">
        <f t="shared" si="528"/>
        <v>0</v>
      </c>
      <c r="T774" s="29">
        <f t="shared" si="528"/>
        <v>0</v>
      </c>
      <c r="U774" s="29">
        <f t="shared" si="528"/>
        <v>0</v>
      </c>
      <c r="V774" s="29">
        <f t="shared" si="528"/>
        <v>0</v>
      </c>
      <c r="W774" s="27" t="str">
        <f t="shared" si="522"/>
        <v>OK</v>
      </c>
      <c r="X774" s="3"/>
      <c r="Y774" s="3"/>
      <c r="Z774" s="3"/>
      <c r="AA774" s="3"/>
      <c r="AB774" s="3"/>
      <c r="AC774" s="3"/>
    </row>
    <row r="775" spans="1:29" x14ac:dyDescent="0.2">
      <c r="A775" s="3">
        <f t="shared" si="491"/>
        <v>35</v>
      </c>
      <c r="B775" s="3" t="str">
        <f t="shared" si="526"/>
        <v>Plant in Service</v>
      </c>
      <c r="C775" s="3"/>
      <c r="D775" s="3"/>
      <c r="E775" s="3" t="str">
        <f t="shared" si="508"/>
        <v>PLTSVC</v>
      </c>
      <c r="F775" s="3"/>
      <c r="G775" s="3"/>
      <c r="H775" s="29">
        <f t="shared" ref="H775:H806" ca="1" si="529">SUM(I775:J775)</f>
        <v>0.99999999999999989</v>
      </c>
      <c r="I775" s="29">
        <v>0</v>
      </c>
      <c r="J775" s="29">
        <f t="shared" ca="1" si="489"/>
        <v>0.99999999999999989</v>
      </c>
      <c r="K775" s="29">
        <f t="shared" ref="K775:V775" ca="1" si="530">IF($H703&lt;&gt;0,K703/$H703,0)</f>
        <v>0.46880677347274757</v>
      </c>
      <c r="L775" s="29">
        <f t="shared" ca="1" si="530"/>
        <v>8.907830987981738E-2</v>
      </c>
      <c r="M775" s="29">
        <f t="shared" ca="1" si="530"/>
        <v>0.3536348946692382</v>
      </c>
      <c r="N775" s="29">
        <f t="shared" ca="1" si="530"/>
        <v>6.8991555923726636E-3</v>
      </c>
      <c r="O775" s="29">
        <f t="shared" ca="1" si="530"/>
        <v>0.3467357390768655</v>
      </c>
      <c r="P775" s="29">
        <f t="shared" ca="1" si="530"/>
        <v>4.75584381554792E-2</v>
      </c>
      <c r="Q775" s="29">
        <f t="shared" ca="1" si="530"/>
        <v>2.053858885351726E-2</v>
      </c>
      <c r="R775" s="29">
        <f t="shared" ca="1" si="530"/>
        <v>2.4085765180030898E-2</v>
      </c>
      <c r="S775" s="29">
        <f t="shared" ca="1" si="530"/>
        <v>2.9340841219310364E-3</v>
      </c>
      <c r="T775" s="29">
        <f t="shared" ca="1" si="530"/>
        <v>4.0089530116498302E-2</v>
      </c>
      <c r="U775" s="29">
        <f t="shared" ca="1" si="530"/>
        <v>0</v>
      </c>
      <c r="V775" s="29">
        <f t="shared" ca="1" si="530"/>
        <v>8.3205370621924955E-4</v>
      </c>
      <c r="W775" s="27" t="str">
        <f t="shared" ca="1" si="522"/>
        <v>OK</v>
      </c>
      <c r="X775" s="3"/>
      <c r="Y775" s="3"/>
      <c r="Z775" s="3"/>
      <c r="AA775" s="3"/>
      <c r="AB775" s="3"/>
      <c r="AC775" s="3"/>
    </row>
    <row r="776" spans="1:29" x14ac:dyDescent="0.2">
      <c r="A776" s="3">
        <f t="shared" si="491"/>
        <v>36</v>
      </c>
      <c r="B776" s="3" t="str">
        <f t="shared" si="526"/>
        <v>Net Plant</v>
      </c>
      <c r="C776" s="3"/>
      <c r="D776" s="3"/>
      <c r="E776" s="3" t="str">
        <f t="shared" si="508"/>
        <v>NPLT</v>
      </c>
      <c r="F776" s="3"/>
      <c r="G776" s="3"/>
      <c r="H776" s="29">
        <f t="shared" ca="1" si="529"/>
        <v>1</v>
      </c>
      <c r="I776" s="29">
        <v>0</v>
      </c>
      <c r="J776" s="29">
        <f t="shared" ca="1" si="489"/>
        <v>1</v>
      </c>
      <c r="K776" s="29">
        <f t="shared" ref="K776:V776" ca="1" si="531">IF($H704&lt;&gt;0,K704/$H704,0)</f>
        <v>0.46880677347274768</v>
      </c>
      <c r="L776" s="29">
        <f t="shared" ca="1" si="531"/>
        <v>8.9078309879817394E-2</v>
      </c>
      <c r="M776" s="29">
        <f t="shared" ca="1" si="531"/>
        <v>0.35363489466923825</v>
      </c>
      <c r="N776" s="29">
        <f t="shared" ca="1" si="531"/>
        <v>6.8991555923726636E-3</v>
      </c>
      <c r="O776" s="29">
        <f t="shared" ca="1" si="531"/>
        <v>0.34673573907686556</v>
      </c>
      <c r="P776" s="29">
        <f t="shared" ca="1" si="531"/>
        <v>4.7558438155479187E-2</v>
      </c>
      <c r="Q776" s="29">
        <f t="shared" ca="1" si="531"/>
        <v>2.0538588853517257E-2</v>
      </c>
      <c r="R776" s="29">
        <f t="shared" ca="1" si="531"/>
        <v>2.4085765180030895E-2</v>
      </c>
      <c r="S776" s="29">
        <f t="shared" ca="1" si="531"/>
        <v>2.934084121931036E-3</v>
      </c>
      <c r="T776" s="29">
        <f t="shared" ca="1" si="531"/>
        <v>4.0089530116498288E-2</v>
      </c>
      <c r="U776" s="29">
        <f t="shared" ca="1" si="531"/>
        <v>0</v>
      </c>
      <c r="V776" s="29">
        <f t="shared" ca="1" si="531"/>
        <v>8.3205370621924966E-4</v>
      </c>
      <c r="W776" s="27" t="str">
        <f t="shared" ca="1" si="522"/>
        <v>OK</v>
      </c>
      <c r="X776" s="3"/>
      <c r="Y776" s="3"/>
      <c r="Z776" s="3"/>
      <c r="AA776" s="3"/>
      <c r="AB776" s="3"/>
      <c r="AC776" s="3"/>
    </row>
    <row r="777" spans="1:29" x14ac:dyDescent="0.2">
      <c r="A777" s="3">
        <f t="shared" si="491"/>
        <v>37</v>
      </c>
      <c r="B777" s="3" t="str">
        <f t="shared" si="526"/>
        <v>Plant excluding General</v>
      </c>
      <c r="C777" s="3"/>
      <c r="D777" s="3"/>
      <c r="E777" s="3" t="str">
        <f t="shared" si="508"/>
        <v>PLTXGENL</v>
      </c>
      <c r="F777" s="3"/>
      <c r="G777" s="3"/>
      <c r="H777" s="29">
        <f t="shared" ca="1" si="529"/>
        <v>1</v>
      </c>
      <c r="I777" s="29">
        <v>0</v>
      </c>
      <c r="J777" s="29">
        <f t="shared" ca="1" si="489"/>
        <v>1</v>
      </c>
      <c r="K777" s="29">
        <f t="shared" ref="K777:V777" ca="1" si="532">IF($H705&lt;&gt;0,K705/$H705,0)</f>
        <v>0.46880677347274768</v>
      </c>
      <c r="L777" s="29">
        <f t="shared" ca="1" si="532"/>
        <v>8.9078309879817394E-2</v>
      </c>
      <c r="M777" s="29">
        <f t="shared" ca="1" si="532"/>
        <v>0.3536348946692382</v>
      </c>
      <c r="N777" s="29">
        <f t="shared" ca="1" si="532"/>
        <v>6.8991555923726654E-3</v>
      </c>
      <c r="O777" s="29">
        <f t="shared" ca="1" si="532"/>
        <v>0.34673573907686556</v>
      </c>
      <c r="P777" s="29">
        <f t="shared" ca="1" si="532"/>
        <v>4.7558438155479207E-2</v>
      </c>
      <c r="Q777" s="29">
        <f t="shared" ca="1" si="532"/>
        <v>2.0538588853517264E-2</v>
      </c>
      <c r="R777" s="29">
        <f t="shared" ca="1" si="532"/>
        <v>2.4085765180030905E-2</v>
      </c>
      <c r="S777" s="29">
        <f t="shared" ca="1" si="532"/>
        <v>2.9340841219310373E-3</v>
      </c>
      <c r="T777" s="29">
        <f t="shared" ca="1" si="532"/>
        <v>4.0089530116498309E-2</v>
      </c>
      <c r="U777" s="29">
        <f t="shared" ca="1" si="532"/>
        <v>0</v>
      </c>
      <c r="V777" s="29">
        <f t="shared" ca="1" si="532"/>
        <v>8.3205370621924966E-4</v>
      </c>
      <c r="W777" s="27" t="str">
        <f t="shared" ca="1" si="522"/>
        <v>OK</v>
      </c>
      <c r="X777" s="3"/>
      <c r="Y777" s="3"/>
      <c r="Z777" s="3"/>
      <c r="AA777" s="3"/>
      <c r="AB777" s="3"/>
      <c r="AC777" s="3"/>
    </row>
    <row r="778" spans="1:29" x14ac:dyDescent="0.2">
      <c r="A778" s="3">
        <f t="shared" si="491"/>
        <v>38</v>
      </c>
      <c r="B778" s="3" t="str">
        <f t="shared" si="526"/>
        <v>Production, Transmission and Distribution Plant</v>
      </c>
      <c r="C778" s="3"/>
      <c r="D778" s="3"/>
      <c r="E778" s="3" t="str">
        <f t="shared" si="508"/>
        <v>PTDPLT</v>
      </c>
      <c r="F778" s="3"/>
      <c r="G778" s="3"/>
      <c r="H778" s="29">
        <f t="shared" si="529"/>
        <v>1</v>
      </c>
      <c r="I778" s="29">
        <v>0</v>
      </c>
      <c r="J778" s="29">
        <f t="shared" si="489"/>
        <v>1</v>
      </c>
      <c r="K778" s="29">
        <f t="shared" ref="K778:V778" si="533">IF($H706&lt;&gt;0,K706/$H706,0)</f>
        <v>0.46880677347274768</v>
      </c>
      <c r="L778" s="29">
        <f t="shared" si="533"/>
        <v>8.9078309879817394E-2</v>
      </c>
      <c r="M778" s="29">
        <f t="shared" si="533"/>
        <v>0.3536348946692382</v>
      </c>
      <c r="N778" s="29">
        <f t="shared" si="533"/>
        <v>6.8991555923726662E-3</v>
      </c>
      <c r="O778" s="29">
        <f t="shared" si="533"/>
        <v>0.34673573907686556</v>
      </c>
      <c r="P778" s="29">
        <f t="shared" si="533"/>
        <v>4.7558438155479207E-2</v>
      </c>
      <c r="Q778" s="29">
        <f t="shared" si="533"/>
        <v>2.0538588853517264E-2</v>
      </c>
      <c r="R778" s="29">
        <f t="shared" si="533"/>
        <v>2.4085765180030905E-2</v>
      </c>
      <c r="S778" s="29">
        <f t="shared" si="533"/>
        <v>2.9340841219310377E-3</v>
      </c>
      <c r="T778" s="29">
        <f t="shared" si="533"/>
        <v>4.0089530116498309E-2</v>
      </c>
      <c r="U778" s="29">
        <f t="shared" si="533"/>
        <v>0</v>
      </c>
      <c r="V778" s="29">
        <f t="shared" si="533"/>
        <v>8.3205370621924966E-4</v>
      </c>
      <c r="W778" s="27" t="str">
        <f t="shared" si="522"/>
        <v>OK</v>
      </c>
      <c r="X778" s="3"/>
      <c r="Y778" s="3"/>
      <c r="Z778" s="3"/>
      <c r="AA778" s="3"/>
      <c r="AB778" s="3"/>
      <c r="AC778" s="3"/>
    </row>
    <row r="779" spans="1:29" x14ac:dyDescent="0.2">
      <c r="A779" s="3">
        <f t="shared" si="491"/>
        <v>39</v>
      </c>
      <c r="B779" s="3" t="str">
        <f t="shared" si="526"/>
        <v>Accounts 352</v>
      </c>
      <c r="C779" s="3"/>
      <c r="D779" s="3"/>
      <c r="E779" s="3" t="str">
        <f t="shared" si="508"/>
        <v>PLT352</v>
      </c>
      <c r="F779" s="3"/>
      <c r="G779" s="3"/>
      <c r="H779" s="29">
        <f t="shared" si="529"/>
        <v>0</v>
      </c>
      <c r="I779" s="29">
        <v>0</v>
      </c>
      <c r="J779" s="29">
        <f t="shared" si="489"/>
        <v>0</v>
      </c>
      <c r="K779" s="29">
        <f t="shared" ref="K779:V779" si="534">IF($H707&lt;&gt;0,K707/$H707,0)</f>
        <v>0</v>
      </c>
      <c r="L779" s="29">
        <f t="shared" si="534"/>
        <v>0</v>
      </c>
      <c r="M779" s="29">
        <f t="shared" si="534"/>
        <v>0</v>
      </c>
      <c r="N779" s="29">
        <f t="shared" si="534"/>
        <v>0</v>
      </c>
      <c r="O779" s="29">
        <f t="shared" si="534"/>
        <v>0</v>
      </c>
      <c r="P779" s="29">
        <f t="shared" si="534"/>
        <v>0</v>
      </c>
      <c r="Q779" s="29">
        <f t="shared" si="534"/>
        <v>0</v>
      </c>
      <c r="R779" s="29">
        <f t="shared" si="534"/>
        <v>0</v>
      </c>
      <c r="S779" s="29">
        <f t="shared" si="534"/>
        <v>0</v>
      </c>
      <c r="T779" s="29">
        <f t="shared" si="534"/>
        <v>0</v>
      </c>
      <c r="U779" s="29">
        <f t="shared" si="534"/>
        <v>0</v>
      </c>
      <c r="V779" s="29">
        <f t="shared" si="534"/>
        <v>0</v>
      </c>
      <c r="W779" s="27" t="str">
        <f t="shared" si="522"/>
        <v>OK</v>
      </c>
      <c r="X779" s="3"/>
      <c r="Y779" s="3"/>
      <c r="Z779" s="3"/>
      <c r="AA779" s="3"/>
      <c r="AB779" s="3"/>
      <c r="AC779" s="3"/>
    </row>
    <row r="780" spans="1:29" x14ac:dyDescent="0.2">
      <c r="A780" s="3">
        <f t="shared" si="491"/>
        <v>40</v>
      </c>
      <c r="B780" s="3" t="str">
        <f t="shared" si="526"/>
        <v>Account 353</v>
      </c>
      <c r="C780" s="3"/>
      <c r="D780" s="3"/>
      <c r="E780" s="3" t="str">
        <f t="shared" si="508"/>
        <v>PLT353</v>
      </c>
      <c r="F780" s="3"/>
      <c r="G780" s="3"/>
      <c r="H780" s="29">
        <f t="shared" si="529"/>
        <v>0</v>
      </c>
      <c r="I780" s="29">
        <v>0</v>
      </c>
      <c r="J780" s="29">
        <f t="shared" si="489"/>
        <v>0</v>
      </c>
      <c r="K780" s="29">
        <f t="shared" ref="K780:V780" si="535">IF($H708&lt;&gt;0,K708/$H708,0)</f>
        <v>0</v>
      </c>
      <c r="L780" s="29">
        <f t="shared" si="535"/>
        <v>0</v>
      </c>
      <c r="M780" s="29">
        <f t="shared" si="535"/>
        <v>0</v>
      </c>
      <c r="N780" s="29">
        <f t="shared" si="535"/>
        <v>0</v>
      </c>
      <c r="O780" s="29">
        <f t="shared" si="535"/>
        <v>0</v>
      </c>
      <c r="P780" s="29">
        <f t="shared" si="535"/>
        <v>0</v>
      </c>
      <c r="Q780" s="29">
        <f t="shared" si="535"/>
        <v>0</v>
      </c>
      <c r="R780" s="29">
        <f t="shared" si="535"/>
        <v>0</v>
      </c>
      <c r="S780" s="29">
        <f t="shared" si="535"/>
        <v>0</v>
      </c>
      <c r="T780" s="29">
        <f t="shared" si="535"/>
        <v>0</v>
      </c>
      <c r="U780" s="29">
        <f t="shared" si="535"/>
        <v>0</v>
      </c>
      <c r="V780" s="29">
        <f t="shared" si="535"/>
        <v>0</v>
      </c>
      <c r="W780" s="27" t="str">
        <f t="shared" si="522"/>
        <v>OK</v>
      </c>
      <c r="X780" s="3"/>
      <c r="Y780" s="3"/>
      <c r="Z780" s="3"/>
      <c r="AA780" s="3"/>
      <c r="AB780" s="3"/>
      <c r="AC780" s="3"/>
    </row>
    <row r="781" spans="1:29" x14ac:dyDescent="0.2">
      <c r="A781" s="3">
        <f t="shared" si="491"/>
        <v>41</v>
      </c>
      <c r="B781" s="3" t="str">
        <f t="shared" si="526"/>
        <v>Accounts 352 through 353</v>
      </c>
      <c r="C781" s="3"/>
      <c r="D781" s="3"/>
      <c r="E781" s="3" t="str">
        <f t="shared" si="508"/>
        <v>PLT352_353</v>
      </c>
      <c r="F781" s="3"/>
      <c r="G781" s="3"/>
      <c r="H781" s="29">
        <f t="shared" si="529"/>
        <v>0</v>
      </c>
      <c r="I781" s="29">
        <v>0</v>
      </c>
      <c r="J781" s="29">
        <f t="shared" si="489"/>
        <v>0</v>
      </c>
      <c r="K781" s="29">
        <f t="shared" ref="K781:V781" si="536">IF($H709&lt;&gt;0,K709/$H709,0)</f>
        <v>0</v>
      </c>
      <c r="L781" s="29">
        <f t="shared" si="536"/>
        <v>0</v>
      </c>
      <c r="M781" s="29">
        <f t="shared" si="536"/>
        <v>0</v>
      </c>
      <c r="N781" s="29">
        <f t="shared" si="536"/>
        <v>0</v>
      </c>
      <c r="O781" s="29">
        <f t="shared" si="536"/>
        <v>0</v>
      </c>
      <c r="P781" s="29">
        <f t="shared" si="536"/>
        <v>0</v>
      </c>
      <c r="Q781" s="29">
        <f t="shared" si="536"/>
        <v>0</v>
      </c>
      <c r="R781" s="29">
        <f t="shared" si="536"/>
        <v>0</v>
      </c>
      <c r="S781" s="29">
        <f t="shared" si="536"/>
        <v>0</v>
      </c>
      <c r="T781" s="29">
        <f t="shared" si="536"/>
        <v>0</v>
      </c>
      <c r="U781" s="29">
        <f t="shared" si="536"/>
        <v>0</v>
      </c>
      <c r="V781" s="29">
        <f t="shared" si="536"/>
        <v>0</v>
      </c>
      <c r="W781" s="27" t="str">
        <f t="shared" si="522"/>
        <v>OK</v>
      </c>
      <c r="X781" s="3"/>
      <c r="Y781" s="3"/>
      <c r="Z781" s="3"/>
      <c r="AA781" s="3"/>
      <c r="AB781" s="3"/>
      <c r="AC781" s="3"/>
    </row>
    <row r="782" spans="1:29" x14ac:dyDescent="0.2">
      <c r="A782" s="3">
        <f t="shared" si="491"/>
        <v>42</v>
      </c>
      <c r="B782" s="3" t="str">
        <f t="shared" si="526"/>
        <v>Accounts 354 through 356</v>
      </c>
      <c r="C782" s="3"/>
      <c r="D782" s="3"/>
      <c r="E782" s="3" t="str">
        <f t="shared" si="508"/>
        <v>PLT354_356</v>
      </c>
      <c r="F782" s="3"/>
      <c r="G782" s="3"/>
      <c r="H782" s="29">
        <f t="shared" si="529"/>
        <v>0</v>
      </c>
      <c r="I782" s="29">
        <v>0</v>
      </c>
      <c r="J782" s="29">
        <f t="shared" si="489"/>
        <v>0</v>
      </c>
      <c r="K782" s="29">
        <f t="shared" ref="K782:V782" si="537">IF($H710&lt;&gt;0,K710/$H710,0)</f>
        <v>0</v>
      </c>
      <c r="L782" s="29">
        <f t="shared" si="537"/>
        <v>0</v>
      </c>
      <c r="M782" s="29">
        <f t="shared" si="537"/>
        <v>0</v>
      </c>
      <c r="N782" s="29">
        <f t="shared" si="537"/>
        <v>0</v>
      </c>
      <c r="O782" s="29">
        <f t="shared" si="537"/>
        <v>0</v>
      </c>
      <c r="P782" s="29">
        <f t="shared" si="537"/>
        <v>0</v>
      </c>
      <c r="Q782" s="29">
        <f t="shared" si="537"/>
        <v>0</v>
      </c>
      <c r="R782" s="29">
        <f t="shared" si="537"/>
        <v>0</v>
      </c>
      <c r="S782" s="29">
        <f t="shared" si="537"/>
        <v>0</v>
      </c>
      <c r="T782" s="29">
        <f t="shared" si="537"/>
        <v>0</v>
      </c>
      <c r="U782" s="29">
        <f t="shared" si="537"/>
        <v>0</v>
      </c>
      <c r="V782" s="29">
        <f t="shared" si="537"/>
        <v>0</v>
      </c>
      <c r="W782" s="27" t="str">
        <f t="shared" si="522"/>
        <v>OK</v>
      </c>
      <c r="X782" s="3"/>
      <c r="Y782" s="3"/>
      <c r="Z782" s="3"/>
      <c r="AA782" s="3"/>
      <c r="AB782" s="3"/>
      <c r="AC782" s="3"/>
    </row>
    <row r="783" spans="1:29" x14ac:dyDescent="0.2">
      <c r="A783" s="3">
        <f t="shared" si="491"/>
        <v>43</v>
      </c>
      <c r="B783" s="3" t="str">
        <f t="shared" si="526"/>
        <v>Accounts 357 through 358</v>
      </c>
      <c r="C783" s="3"/>
      <c r="D783" s="3"/>
      <c r="E783" s="3" t="str">
        <f t="shared" si="508"/>
        <v>PLT357_358</v>
      </c>
      <c r="F783" s="3"/>
      <c r="G783" s="3"/>
      <c r="H783" s="29">
        <f t="shared" si="529"/>
        <v>0</v>
      </c>
      <c r="I783" s="29">
        <v>0</v>
      </c>
      <c r="J783" s="29">
        <f t="shared" si="489"/>
        <v>0</v>
      </c>
      <c r="K783" s="29">
        <f t="shared" ref="K783:V783" si="538">IF($H711&lt;&gt;0,K711/$H711,0)</f>
        <v>0</v>
      </c>
      <c r="L783" s="29">
        <f t="shared" si="538"/>
        <v>0</v>
      </c>
      <c r="M783" s="29">
        <f t="shared" si="538"/>
        <v>0</v>
      </c>
      <c r="N783" s="29">
        <f t="shared" si="538"/>
        <v>0</v>
      </c>
      <c r="O783" s="29">
        <f t="shared" si="538"/>
        <v>0</v>
      </c>
      <c r="P783" s="29">
        <f t="shared" si="538"/>
        <v>0</v>
      </c>
      <c r="Q783" s="29">
        <f t="shared" si="538"/>
        <v>0</v>
      </c>
      <c r="R783" s="29">
        <f t="shared" si="538"/>
        <v>0</v>
      </c>
      <c r="S783" s="29">
        <f t="shared" si="538"/>
        <v>0</v>
      </c>
      <c r="T783" s="29">
        <f t="shared" si="538"/>
        <v>0</v>
      </c>
      <c r="U783" s="29">
        <f t="shared" si="538"/>
        <v>0</v>
      </c>
      <c r="V783" s="29">
        <f t="shared" si="538"/>
        <v>0</v>
      </c>
      <c r="W783" s="27" t="str">
        <f t="shared" si="522"/>
        <v>OK</v>
      </c>
      <c r="X783" s="3"/>
      <c r="Y783" s="3"/>
      <c r="Z783" s="3"/>
      <c r="AA783" s="3"/>
      <c r="AB783" s="3"/>
      <c r="AC783" s="3"/>
    </row>
    <row r="784" spans="1:29" x14ac:dyDescent="0.2">
      <c r="A784" s="3">
        <f t="shared" si="491"/>
        <v>44</v>
      </c>
      <c r="B784" s="3" t="str">
        <f t="shared" si="526"/>
        <v>Account 361</v>
      </c>
      <c r="C784" s="3"/>
      <c r="D784" s="3"/>
      <c r="E784" s="3" t="str">
        <f t="shared" si="508"/>
        <v>PLT361</v>
      </c>
      <c r="F784" s="3"/>
      <c r="G784" s="3"/>
      <c r="H784" s="29">
        <f t="shared" si="529"/>
        <v>0</v>
      </c>
      <c r="I784" s="29">
        <v>0</v>
      </c>
      <c r="J784" s="29">
        <f t="shared" si="489"/>
        <v>0</v>
      </c>
      <c r="K784" s="29">
        <f t="shared" ref="K784:V784" si="539">IF($H712&lt;&gt;0,K712/$H712,0)</f>
        <v>0</v>
      </c>
      <c r="L784" s="29">
        <f t="shared" si="539"/>
        <v>0</v>
      </c>
      <c r="M784" s="29">
        <f t="shared" si="539"/>
        <v>0</v>
      </c>
      <c r="N784" s="29">
        <f t="shared" si="539"/>
        <v>0</v>
      </c>
      <c r="O784" s="29">
        <f t="shared" si="539"/>
        <v>0</v>
      </c>
      <c r="P784" s="29">
        <f t="shared" si="539"/>
        <v>0</v>
      </c>
      <c r="Q784" s="29">
        <f t="shared" si="539"/>
        <v>0</v>
      </c>
      <c r="R784" s="29">
        <f t="shared" si="539"/>
        <v>0</v>
      </c>
      <c r="S784" s="29">
        <f t="shared" si="539"/>
        <v>0</v>
      </c>
      <c r="T784" s="29">
        <f t="shared" si="539"/>
        <v>0</v>
      </c>
      <c r="U784" s="29">
        <f t="shared" si="539"/>
        <v>0</v>
      </c>
      <c r="V784" s="29">
        <f t="shared" si="539"/>
        <v>0</v>
      </c>
      <c r="W784" s="27" t="str">
        <f t="shared" si="522"/>
        <v>OK</v>
      </c>
      <c r="X784" s="3"/>
      <c r="Y784" s="3"/>
      <c r="Z784" s="3"/>
      <c r="AA784" s="3"/>
      <c r="AB784" s="3"/>
      <c r="AC784" s="3"/>
    </row>
    <row r="785" spans="1:29" x14ac:dyDescent="0.2">
      <c r="A785" s="3">
        <f t="shared" si="491"/>
        <v>45</v>
      </c>
      <c r="B785" s="3" t="str">
        <f t="shared" si="526"/>
        <v>Account 362</v>
      </c>
      <c r="C785" s="3"/>
      <c r="D785" s="3"/>
      <c r="E785" s="3" t="str">
        <f t="shared" si="508"/>
        <v>PLT362</v>
      </c>
      <c r="F785" s="3"/>
      <c r="G785" s="3"/>
      <c r="H785" s="29">
        <f t="shared" si="529"/>
        <v>0</v>
      </c>
      <c r="I785" s="29">
        <v>0</v>
      </c>
      <c r="J785" s="29">
        <f t="shared" si="489"/>
        <v>0</v>
      </c>
      <c r="K785" s="29">
        <f t="shared" ref="K785:V785" si="540">IF($H713&lt;&gt;0,K713/$H713,0)</f>
        <v>0</v>
      </c>
      <c r="L785" s="29">
        <f t="shared" si="540"/>
        <v>0</v>
      </c>
      <c r="M785" s="29">
        <f t="shared" si="540"/>
        <v>0</v>
      </c>
      <c r="N785" s="29">
        <f t="shared" si="540"/>
        <v>0</v>
      </c>
      <c r="O785" s="29">
        <f t="shared" si="540"/>
        <v>0</v>
      </c>
      <c r="P785" s="29">
        <f t="shared" si="540"/>
        <v>0</v>
      </c>
      <c r="Q785" s="29">
        <f t="shared" si="540"/>
        <v>0</v>
      </c>
      <c r="R785" s="29">
        <f t="shared" si="540"/>
        <v>0</v>
      </c>
      <c r="S785" s="29">
        <f t="shared" si="540"/>
        <v>0</v>
      </c>
      <c r="T785" s="29">
        <f t="shared" si="540"/>
        <v>0</v>
      </c>
      <c r="U785" s="29">
        <f t="shared" si="540"/>
        <v>0</v>
      </c>
      <c r="V785" s="29">
        <f t="shared" si="540"/>
        <v>0</v>
      </c>
      <c r="W785" s="27" t="str">
        <f t="shared" si="522"/>
        <v>OK</v>
      </c>
      <c r="X785" s="3"/>
      <c r="Y785" s="3"/>
      <c r="Z785" s="3"/>
      <c r="AA785" s="3"/>
      <c r="AB785" s="3"/>
      <c r="AC785" s="3"/>
    </row>
    <row r="786" spans="1:29" x14ac:dyDescent="0.2">
      <c r="A786" s="3">
        <f t="shared" si="491"/>
        <v>46</v>
      </c>
      <c r="B786" s="3" t="str">
        <f t="shared" si="526"/>
        <v>Accounts 364 through 365</v>
      </c>
      <c r="C786" s="3"/>
      <c r="D786" s="3"/>
      <c r="E786" s="3" t="str">
        <f t="shared" si="508"/>
        <v>PLT364_365</v>
      </c>
      <c r="F786" s="3"/>
      <c r="G786" s="3"/>
      <c r="H786" s="29">
        <f t="shared" si="529"/>
        <v>0</v>
      </c>
      <c r="I786" s="29">
        <v>0</v>
      </c>
      <c r="J786" s="29">
        <f t="shared" si="489"/>
        <v>0</v>
      </c>
      <c r="K786" s="29">
        <f t="shared" ref="K786:V786" si="541">IF($H714&lt;&gt;0,K714/$H714,0)</f>
        <v>0</v>
      </c>
      <c r="L786" s="29">
        <f t="shared" si="541"/>
        <v>0</v>
      </c>
      <c r="M786" s="29">
        <f t="shared" si="541"/>
        <v>0</v>
      </c>
      <c r="N786" s="29">
        <f t="shared" si="541"/>
        <v>0</v>
      </c>
      <c r="O786" s="29">
        <f t="shared" si="541"/>
        <v>0</v>
      </c>
      <c r="P786" s="29">
        <f t="shared" si="541"/>
        <v>0</v>
      </c>
      <c r="Q786" s="29">
        <f t="shared" si="541"/>
        <v>0</v>
      </c>
      <c r="R786" s="29">
        <f t="shared" si="541"/>
        <v>0</v>
      </c>
      <c r="S786" s="29">
        <f t="shared" si="541"/>
        <v>0</v>
      </c>
      <c r="T786" s="29">
        <f t="shared" si="541"/>
        <v>0</v>
      </c>
      <c r="U786" s="29">
        <f t="shared" si="541"/>
        <v>0</v>
      </c>
      <c r="V786" s="29">
        <f t="shared" si="541"/>
        <v>0</v>
      </c>
      <c r="W786" s="27" t="str">
        <f t="shared" si="522"/>
        <v>OK</v>
      </c>
      <c r="X786" s="3"/>
      <c r="Y786" s="3"/>
      <c r="Z786" s="3"/>
      <c r="AA786" s="3"/>
      <c r="AB786" s="3"/>
      <c r="AC786" s="3"/>
    </row>
    <row r="787" spans="1:29" x14ac:dyDescent="0.2">
      <c r="A787" s="3">
        <f t="shared" si="491"/>
        <v>47</v>
      </c>
      <c r="B787" s="3" t="str">
        <f t="shared" si="526"/>
        <v>Accounts 366 through 367</v>
      </c>
      <c r="C787" s="3"/>
      <c r="D787" s="3"/>
      <c r="E787" s="3" t="str">
        <f t="shared" si="508"/>
        <v>PLT366_367</v>
      </c>
      <c r="F787" s="3"/>
      <c r="G787" s="3"/>
      <c r="H787" s="29">
        <f t="shared" si="529"/>
        <v>0</v>
      </c>
      <c r="I787" s="29">
        <v>0</v>
      </c>
      <c r="J787" s="29">
        <f t="shared" si="489"/>
        <v>0</v>
      </c>
      <c r="K787" s="29">
        <f t="shared" ref="K787:V787" si="542">IF($H715&lt;&gt;0,K715/$H715,0)</f>
        <v>0</v>
      </c>
      <c r="L787" s="29">
        <f t="shared" si="542"/>
        <v>0</v>
      </c>
      <c r="M787" s="29">
        <f t="shared" si="542"/>
        <v>0</v>
      </c>
      <c r="N787" s="29">
        <f t="shared" si="542"/>
        <v>0</v>
      </c>
      <c r="O787" s="29">
        <f t="shared" si="542"/>
        <v>0</v>
      </c>
      <c r="P787" s="29">
        <f t="shared" si="542"/>
        <v>0</v>
      </c>
      <c r="Q787" s="29">
        <f t="shared" si="542"/>
        <v>0</v>
      </c>
      <c r="R787" s="29">
        <f t="shared" si="542"/>
        <v>0</v>
      </c>
      <c r="S787" s="29">
        <f t="shared" si="542"/>
        <v>0</v>
      </c>
      <c r="T787" s="29">
        <f t="shared" si="542"/>
        <v>0</v>
      </c>
      <c r="U787" s="29">
        <f t="shared" si="542"/>
        <v>0</v>
      </c>
      <c r="V787" s="29">
        <f t="shared" si="542"/>
        <v>0</v>
      </c>
      <c r="W787" s="27" t="str">
        <f t="shared" si="522"/>
        <v>OK</v>
      </c>
      <c r="X787" s="3"/>
      <c r="Y787" s="3"/>
      <c r="Z787" s="3"/>
      <c r="AA787" s="3"/>
      <c r="AB787" s="3"/>
      <c r="AC787" s="3"/>
    </row>
    <row r="788" spans="1:29" x14ac:dyDescent="0.2">
      <c r="A788" s="3">
        <f t="shared" si="491"/>
        <v>48</v>
      </c>
      <c r="B788" s="3" t="str">
        <f t="shared" si="526"/>
        <v>Account 368</v>
      </c>
      <c r="C788" s="3"/>
      <c r="D788" s="3"/>
      <c r="E788" s="3" t="str">
        <f t="shared" si="508"/>
        <v>PLT368</v>
      </c>
      <c r="F788" s="3"/>
      <c r="G788" s="3"/>
      <c r="H788" s="29">
        <f t="shared" si="529"/>
        <v>0</v>
      </c>
      <c r="I788" s="29">
        <v>0</v>
      </c>
      <c r="J788" s="29">
        <f t="shared" si="489"/>
        <v>0</v>
      </c>
      <c r="K788" s="29">
        <f t="shared" ref="K788:V788" si="543">IF($H716&lt;&gt;0,K716/$H716,0)</f>
        <v>0</v>
      </c>
      <c r="L788" s="29">
        <f t="shared" si="543"/>
        <v>0</v>
      </c>
      <c r="M788" s="29">
        <f t="shared" si="543"/>
        <v>0</v>
      </c>
      <c r="N788" s="29">
        <f t="shared" si="543"/>
        <v>0</v>
      </c>
      <c r="O788" s="29">
        <f t="shared" si="543"/>
        <v>0</v>
      </c>
      <c r="P788" s="29">
        <f t="shared" si="543"/>
        <v>0</v>
      </c>
      <c r="Q788" s="29">
        <f t="shared" si="543"/>
        <v>0</v>
      </c>
      <c r="R788" s="29">
        <f t="shared" si="543"/>
        <v>0</v>
      </c>
      <c r="S788" s="29">
        <f t="shared" si="543"/>
        <v>0</v>
      </c>
      <c r="T788" s="29">
        <f t="shared" si="543"/>
        <v>0</v>
      </c>
      <c r="U788" s="29">
        <f t="shared" si="543"/>
        <v>0</v>
      </c>
      <c r="V788" s="29">
        <f t="shared" si="543"/>
        <v>0</v>
      </c>
      <c r="W788" s="27" t="str">
        <f t="shared" si="522"/>
        <v>OK</v>
      </c>
      <c r="X788" s="3"/>
      <c r="Y788" s="3"/>
      <c r="Z788" s="3"/>
      <c r="AA788" s="3"/>
      <c r="AB788" s="3"/>
      <c r="AC788" s="3"/>
    </row>
    <row r="789" spans="1:29" x14ac:dyDescent="0.2">
      <c r="A789" s="3">
        <f t="shared" si="491"/>
        <v>49</v>
      </c>
      <c r="B789" s="3" t="str">
        <f t="shared" si="526"/>
        <v>Account 370</v>
      </c>
      <c r="C789" s="3"/>
      <c r="D789" s="3"/>
      <c r="E789" s="3" t="str">
        <f t="shared" si="508"/>
        <v>PLT370</v>
      </c>
      <c r="F789" s="3"/>
      <c r="G789" s="3"/>
      <c r="H789" s="29">
        <f t="shared" si="529"/>
        <v>1</v>
      </c>
      <c r="I789" s="29">
        <v>0</v>
      </c>
      <c r="J789" s="29">
        <f t="shared" si="489"/>
        <v>1</v>
      </c>
      <c r="K789" s="29">
        <f t="shared" ref="K789:V789" si="544">IF($H717&lt;&gt;0,K717/$H717,0)</f>
        <v>0.46880677347274774</v>
      </c>
      <c r="L789" s="29">
        <f t="shared" si="544"/>
        <v>8.9078309879817394E-2</v>
      </c>
      <c r="M789" s="29">
        <f t="shared" si="544"/>
        <v>0.3536348946692382</v>
      </c>
      <c r="N789" s="29">
        <f t="shared" si="544"/>
        <v>6.8991555923726662E-3</v>
      </c>
      <c r="O789" s="29">
        <f t="shared" si="544"/>
        <v>0.34673573907686561</v>
      </c>
      <c r="P789" s="29">
        <f t="shared" si="544"/>
        <v>4.7558438155479207E-2</v>
      </c>
      <c r="Q789" s="29">
        <f t="shared" si="544"/>
        <v>2.0538588853517267E-2</v>
      </c>
      <c r="R789" s="29">
        <f t="shared" si="544"/>
        <v>2.4085765180030909E-2</v>
      </c>
      <c r="S789" s="29">
        <f t="shared" si="544"/>
        <v>2.9340841219310377E-3</v>
      </c>
      <c r="T789" s="29">
        <f t="shared" si="544"/>
        <v>4.0089530116498316E-2</v>
      </c>
      <c r="U789" s="29">
        <f t="shared" si="544"/>
        <v>0</v>
      </c>
      <c r="V789" s="29">
        <f t="shared" si="544"/>
        <v>8.3205370621924955E-4</v>
      </c>
      <c r="W789" s="27" t="str">
        <f t="shared" si="522"/>
        <v>OK</v>
      </c>
      <c r="X789" s="3"/>
      <c r="Y789" s="3"/>
      <c r="Z789" s="3"/>
      <c r="AA789" s="3"/>
      <c r="AB789" s="3"/>
      <c r="AC789" s="3"/>
    </row>
    <row r="790" spans="1:29" x14ac:dyDescent="0.2">
      <c r="A790" s="3">
        <f t="shared" si="491"/>
        <v>50</v>
      </c>
      <c r="B790" s="3" t="str">
        <f t="shared" si="526"/>
        <v>Account 371</v>
      </c>
      <c r="C790" s="3"/>
      <c r="D790" s="3"/>
      <c r="E790" s="3" t="str">
        <f t="shared" si="508"/>
        <v>PLT371</v>
      </c>
      <c r="F790" s="3"/>
      <c r="G790" s="3"/>
      <c r="H790" s="29">
        <f t="shared" si="529"/>
        <v>0</v>
      </c>
      <c r="I790" s="29">
        <v>0</v>
      </c>
      <c r="J790" s="29">
        <f t="shared" si="489"/>
        <v>0</v>
      </c>
      <c r="K790" s="29">
        <f t="shared" ref="K790:V790" si="545">IF($H718&lt;&gt;0,K718/$H718,0)</f>
        <v>0</v>
      </c>
      <c r="L790" s="29">
        <f t="shared" si="545"/>
        <v>0</v>
      </c>
      <c r="M790" s="29">
        <f t="shared" si="545"/>
        <v>0</v>
      </c>
      <c r="N790" s="29">
        <f t="shared" si="545"/>
        <v>0</v>
      </c>
      <c r="O790" s="29">
        <f t="shared" si="545"/>
        <v>0</v>
      </c>
      <c r="P790" s="29">
        <f t="shared" si="545"/>
        <v>0</v>
      </c>
      <c r="Q790" s="29">
        <f t="shared" si="545"/>
        <v>0</v>
      </c>
      <c r="R790" s="29">
        <f t="shared" si="545"/>
        <v>0</v>
      </c>
      <c r="S790" s="29">
        <f t="shared" si="545"/>
        <v>0</v>
      </c>
      <c r="T790" s="29">
        <f t="shared" si="545"/>
        <v>0</v>
      </c>
      <c r="U790" s="29">
        <f t="shared" si="545"/>
        <v>0</v>
      </c>
      <c r="V790" s="29">
        <f t="shared" si="545"/>
        <v>0</v>
      </c>
      <c r="W790" s="27" t="str">
        <f t="shared" si="522"/>
        <v>OK</v>
      </c>
      <c r="X790" s="3"/>
      <c r="Y790" s="3"/>
      <c r="Z790" s="3"/>
      <c r="AA790" s="3"/>
      <c r="AB790" s="3"/>
      <c r="AC790" s="3"/>
    </row>
    <row r="791" spans="1:29" x14ac:dyDescent="0.2">
      <c r="A791" s="3">
        <f t="shared" si="491"/>
        <v>51</v>
      </c>
      <c r="B791" s="3" t="str">
        <f t="shared" si="526"/>
        <v>Account 373</v>
      </c>
      <c r="C791" s="3"/>
      <c r="D791" s="3"/>
      <c r="E791" s="3" t="str">
        <f t="shared" si="508"/>
        <v>PLT373</v>
      </c>
      <c r="F791" s="3"/>
      <c r="G791" s="3"/>
      <c r="H791" s="29">
        <f t="shared" si="529"/>
        <v>0</v>
      </c>
      <c r="I791" s="29">
        <v>0</v>
      </c>
      <c r="J791" s="29">
        <f t="shared" si="489"/>
        <v>0</v>
      </c>
      <c r="K791" s="29">
        <f t="shared" ref="K791:V791" si="546">IF($H719&lt;&gt;0,K719/$H719,0)</f>
        <v>0</v>
      </c>
      <c r="L791" s="29">
        <f t="shared" si="546"/>
        <v>0</v>
      </c>
      <c r="M791" s="29">
        <f t="shared" si="546"/>
        <v>0</v>
      </c>
      <c r="N791" s="29">
        <f t="shared" si="546"/>
        <v>0</v>
      </c>
      <c r="O791" s="29">
        <f t="shared" si="546"/>
        <v>0</v>
      </c>
      <c r="P791" s="29">
        <f t="shared" si="546"/>
        <v>0</v>
      </c>
      <c r="Q791" s="29">
        <f t="shared" si="546"/>
        <v>0</v>
      </c>
      <c r="R791" s="29">
        <f t="shared" si="546"/>
        <v>0</v>
      </c>
      <c r="S791" s="29">
        <f t="shared" si="546"/>
        <v>0</v>
      </c>
      <c r="T791" s="29">
        <f t="shared" si="546"/>
        <v>0</v>
      </c>
      <c r="U791" s="29">
        <f t="shared" si="546"/>
        <v>0</v>
      </c>
      <c r="V791" s="29">
        <f t="shared" si="546"/>
        <v>0</v>
      </c>
      <c r="W791" s="27" t="str">
        <f t="shared" si="522"/>
        <v>OK</v>
      </c>
      <c r="X791" s="3"/>
      <c r="Y791" s="3"/>
      <c r="Z791" s="3"/>
      <c r="AA791" s="3"/>
      <c r="AB791" s="3"/>
      <c r="AC791" s="3"/>
    </row>
    <row r="792" spans="1:29" x14ac:dyDescent="0.2">
      <c r="A792" s="3">
        <f t="shared" si="491"/>
        <v>52</v>
      </c>
      <c r="B792" s="3" t="str">
        <f t="shared" si="526"/>
        <v>Rate base</v>
      </c>
      <c r="C792" s="3"/>
      <c r="D792" s="3"/>
      <c r="E792" s="3" t="s">
        <v>312</v>
      </c>
      <c r="F792" s="3"/>
      <c r="G792" s="3"/>
      <c r="H792" s="29">
        <f t="shared" ca="1" si="529"/>
        <v>0.99999999999999989</v>
      </c>
      <c r="I792" s="29">
        <v>0</v>
      </c>
      <c r="J792" s="29">
        <f t="shared" ca="1" si="489"/>
        <v>0.99999999999999989</v>
      </c>
      <c r="K792" s="29">
        <f t="shared" ref="K792:V792" ca="1" si="547">IF($H720&lt;&gt;0,K720/$H720,0)</f>
        <v>0.46881303202289587</v>
      </c>
      <c r="L792" s="29">
        <f t="shared" ca="1" si="547"/>
        <v>8.9073827307377507E-2</v>
      </c>
      <c r="M792" s="29">
        <f t="shared" ca="1" si="547"/>
        <v>0.35363127114046472</v>
      </c>
      <c r="N792" s="29">
        <f t="shared" ca="1" si="547"/>
        <v>6.9012925304617733E-3</v>
      </c>
      <c r="O792" s="29">
        <f t="shared" ca="1" si="547"/>
        <v>0.34672997861000288</v>
      </c>
      <c r="P792" s="29">
        <f t="shared" ca="1" si="547"/>
        <v>4.7561969794195975E-2</v>
      </c>
      <c r="Q792" s="29">
        <f t="shared" ca="1" si="547"/>
        <v>2.0542635046165589E-2</v>
      </c>
      <c r="R792" s="29">
        <f t="shared" ca="1" si="547"/>
        <v>2.4084597162521777E-2</v>
      </c>
      <c r="S792" s="29">
        <f t="shared" ca="1" si="547"/>
        <v>2.9347375855086131E-3</v>
      </c>
      <c r="T792" s="29">
        <f t="shared" ca="1" si="547"/>
        <v>4.0086938741133261E-2</v>
      </c>
      <c r="U792" s="29">
        <f t="shared" ca="1" si="547"/>
        <v>7.1577469274889326E-7</v>
      </c>
      <c r="V792" s="29">
        <f t="shared" ca="1" si="547"/>
        <v>8.3224521923986423E-4</v>
      </c>
      <c r="W792" s="27" t="str">
        <f t="shared" ca="1" si="522"/>
        <v>OK</v>
      </c>
      <c r="X792" s="3"/>
      <c r="Y792" s="3"/>
      <c r="Z792" s="3"/>
      <c r="AA792" s="3"/>
      <c r="AB792" s="3"/>
      <c r="AC792" s="3"/>
    </row>
    <row r="793" spans="1:29" x14ac:dyDescent="0.2">
      <c r="A793" s="3">
        <f t="shared" si="491"/>
        <v>53</v>
      </c>
      <c r="B793" s="3" t="str">
        <f t="shared" si="526"/>
        <v>Revenue - Curr tariff rev by func &amp; whsl rev req</v>
      </c>
      <c r="C793" s="3"/>
      <c r="D793" s="3"/>
      <c r="E793" s="3" t="s">
        <v>324</v>
      </c>
      <c r="F793" s="3"/>
      <c r="G793" s="3"/>
      <c r="H793" s="29">
        <f t="shared" si="529"/>
        <v>1</v>
      </c>
      <c r="I793" s="29">
        <v>0</v>
      </c>
      <c r="J793" s="29">
        <f t="shared" si="489"/>
        <v>1</v>
      </c>
      <c r="K793" s="29">
        <f t="shared" ref="K793:V793" si="548">IF($H721&lt;&gt;0,K721/$H721,0)</f>
        <v>0.66841663798675066</v>
      </c>
      <c r="L793" s="29">
        <f t="shared" si="548"/>
        <v>8.9620779378196708E-2</v>
      </c>
      <c r="M793" s="29">
        <f t="shared" si="548"/>
        <v>0.192546471503833</v>
      </c>
      <c r="N793" s="29">
        <f t="shared" si="548"/>
        <v>1.5427502819836459E-3</v>
      </c>
      <c r="O793" s="29">
        <f t="shared" si="548"/>
        <v>0.19100372122184936</v>
      </c>
      <c r="P793" s="29">
        <f t="shared" si="548"/>
        <v>2.8918580512914571E-2</v>
      </c>
      <c r="Q793" s="29">
        <f t="shared" si="548"/>
        <v>1.2532098483516484E-2</v>
      </c>
      <c r="R793" s="29">
        <f t="shared" si="548"/>
        <v>1.4602594802689746E-2</v>
      </c>
      <c r="S793" s="29">
        <f t="shared" si="548"/>
        <v>1.783887226708342E-3</v>
      </c>
      <c r="T793" s="29">
        <f t="shared" si="548"/>
        <v>2.0497513045261952E-2</v>
      </c>
      <c r="U793" s="29">
        <f t="shared" si="548"/>
        <v>0</v>
      </c>
      <c r="V793" s="29">
        <f t="shared" si="548"/>
        <v>1.7573043080894871E-8</v>
      </c>
      <c r="W793" s="27" t="str">
        <f t="shared" si="522"/>
        <v>OK</v>
      </c>
      <c r="X793" s="3"/>
      <c r="Y793" s="3"/>
      <c r="Z793" s="3"/>
      <c r="AA793" s="3"/>
      <c r="AB793" s="3"/>
      <c r="AC793" s="3"/>
    </row>
    <row r="794" spans="1:29" x14ac:dyDescent="0.2">
      <c r="A794" s="3">
        <f t="shared" si="491"/>
        <v>54</v>
      </c>
      <c r="B794" s="3" t="str">
        <f t="shared" si="526"/>
        <v>Retail Revenue</v>
      </c>
      <c r="C794" s="3"/>
      <c r="D794" s="3"/>
      <c r="E794" s="3" t="s">
        <v>395</v>
      </c>
      <c r="F794" s="3"/>
      <c r="G794" s="3"/>
      <c r="H794" s="29">
        <f t="shared" si="529"/>
        <v>1</v>
      </c>
      <c r="I794" s="29">
        <v>0</v>
      </c>
      <c r="J794" s="29">
        <f t="shared" si="489"/>
        <v>1</v>
      </c>
      <c r="K794" s="29">
        <f t="shared" ref="K794:V794" si="549">IF($H722&lt;&gt;0,K722/$H722,0)</f>
        <v>0.66841663798675066</v>
      </c>
      <c r="L794" s="29">
        <f t="shared" si="549"/>
        <v>8.9620779378196708E-2</v>
      </c>
      <c r="M794" s="29">
        <f t="shared" si="549"/>
        <v>0.192546471503833</v>
      </c>
      <c r="N794" s="29">
        <f t="shared" si="549"/>
        <v>1.5427502819836459E-3</v>
      </c>
      <c r="O794" s="29">
        <f t="shared" si="549"/>
        <v>0.19100372122184936</v>
      </c>
      <c r="P794" s="29">
        <f t="shared" si="549"/>
        <v>2.8918580512914571E-2</v>
      </c>
      <c r="Q794" s="29">
        <f t="shared" si="549"/>
        <v>1.2532098483516484E-2</v>
      </c>
      <c r="R794" s="29">
        <f t="shared" si="549"/>
        <v>1.4602594802689746E-2</v>
      </c>
      <c r="S794" s="29">
        <f t="shared" si="549"/>
        <v>1.783887226708342E-3</v>
      </c>
      <c r="T794" s="29">
        <f t="shared" si="549"/>
        <v>2.0497513045261952E-2</v>
      </c>
      <c r="U794" s="29">
        <f t="shared" si="549"/>
        <v>0</v>
      </c>
      <c r="V794" s="29">
        <f t="shared" si="549"/>
        <v>1.7573043080894871E-8</v>
      </c>
      <c r="W794" s="27" t="str">
        <f t="shared" si="522"/>
        <v>OK</v>
      </c>
      <c r="X794" s="3"/>
      <c r="Y794" s="3"/>
      <c r="Z794" s="3"/>
      <c r="AA794" s="3"/>
      <c r="AB794" s="3"/>
      <c r="AC794" s="3"/>
    </row>
    <row r="795" spans="1:29" x14ac:dyDescent="0.2">
      <c r="A795" s="3">
        <f t="shared" si="491"/>
        <v>55</v>
      </c>
      <c r="B795" s="3" t="str">
        <f t="shared" si="526"/>
        <v>Wholesale Revenue</v>
      </c>
      <c r="C795" s="3"/>
      <c r="D795" s="3"/>
      <c r="E795" s="3" t="str">
        <f t="shared" ref="E795:E806" si="550">E723</f>
        <v>OREVENUE</v>
      </c>
      <c r="F795" s="3"/>
      <c r="G795" s="3"/>
      <c r="H795" s="29">
        <f t="shared" si="529"/>
        <v>0</v>
      </c>
      <c r="I795" s="29">
        <v>0</v>
      </c>
      <c r="J795" s="29">
        <f t="shared" si="489"/>
        <v>0</v>
      </c>
      <c r="K795" s="29">
        <f t="shared" ref="K795:V795" si="551">IF($H723&lt;&gt;0,K723/$H723,0)</f>
        <v>0</v>
      </c>
      <c r="L795" s="29">
        <f t="shared" si="551"/>
        <v>0</v>
      </c>
      <c r="M795" s="29">
        <f t="shared" si="551"/>
        <v>0</v>
      </c>
      <c r="N795" s="29">
        <f t="shared" si="551"/>
        <v>0</v>
      </c>
      <c r="O795" s="29">
        <f t="shared" si="551"/>
        <v>0</v>
      </c>
      <c r="P795" s="29">
        <f t="shared" si="551"/>
        <v>0</v>
      </c>
      <c r="Q795" s="29">
        <f t="shared" si="551"/>
        <v>0</v>
      </c>
      <c r="R795" s="29">
        <f t="shared" si="551"/>
        <v>0</v>
      </c>
      <c r="S795" s="29">
        <f t="shared" si="551"/>
        <v>0</v>
      </c>
      <c r="T795" s="29">
        <f t="shared" si="551"/>
        <v>0</v>
      </c>
      <c r="U795" s="29">
        <f t="shared" si="551"/>
        <v>0</v>
      </c>
      <c r="V795" s="29">
        <f t="shared" si="551"/>
        <v>0</v>
      </c>
      <c r="W795" s="27" t="str">
        <f t="shared" si="522"/>
        <v>OK</v>
      </c>
      <c r="X795" s="3"/>
      <c r="Y795" s="3"/>
      <c r="Z795" s="3"/>
      <c r="AA795" s="3"/>
      <c r="AB795" s="3"/>
      <c r="AC795" s="3"/>
    </row>
    <row r="796" spans="1:29" x14ac:dyDescent="0.2">
      <c r="A796" s="3">
        <f t="shared" si="491"/>
        <v>56</v>
      </c>
      <c r="B796" s="18" t="str">
        <f t="shared" si="526"/>
        <v>Labor excluding A&amp;G</v>
      </c>
      <c r="C796" s="18"/>
      <c r="D796" s="18"/>
      <c r="E796" s="3" t="str">
        <f t="shared" si="550"/>
        <v>LABOR</v>
      </c>
      <c r="F796" s="3"/>
      <c r="G796" s="3"/>
      <c r="H796" s="29">
        <f t="shared" ca="1" si="529"/>
        <v>1</v>
      </c>
      <c r="I796" s="29">
        <v>0</v>
      </c>
      <c r="J796" s="29">
        <f t="shared" ca="1" si="489"/>
        <v>1</v>
      </c>
      <c r="K796" s="29">
        <f t="shared" ref="K796:V796" ca="1" si="552">IF($H724&lt;&gt;0,K724/$H724,0)</f>
        <v>0.46880677347274768</v>
      </c>
      <c r="L796" s="29">
        <f t="shared" ca="1" si="552"/>
        <v>8.9078309879817408E-2</v>
      </c>
      <c r="M796" s="29">
        <f t="shared" ca="1" si="552"/>
        <v>0.35363489466923825</v>
      </c>
      <c r="N796" s="29">
        <f t="shared" ca="1" si="552"/>
        <v>6.899155592372668E-3</v>
      </c>
      <c r="O796" s="29">
        <f t="shared" ca="1" si="552"/>
        <v>0.34673573907686556</v>
      </c>
      <c r="P796" s="29">
        <f t="shared" ca="1" si="552"/>
        <v>4.7558438155479214E-2</v>
      </c>
      <c r="Q796" s="29">
        <f t="shared" ca="1" si="552"/>
        <v>2.0538588853517267E-2</v>
      </c>
      <c r="R796" s="29">
        <f t="shared" ca="1" si="552"/>
        <v>2.4085765180030909E-2</v>
      </c>
      <c r="S796" s="29">
        <f t="shared" ca="1" si="552"/>
        <v>2.9340841219310377E-3</v>
      </c>
      <c r="T796" s="29">
        <f t="shared" ca="1" si="552"/>
        <v>4.0089530116498316E-2</v>
      </c>
      <c r="U796" s="29">
        <f t="shared" ca="1" si="552"/>
        <v>0</v>
      </c>
      <c r="V796" s="29">
        <f t="shared" ca="1" si="552"/>
        <v>8.3205370621924988E-4</v>
      </c>
      <c r="W796" s="27" t="str">
        <f t="shared" ca="1" si="522"/>
        <v>OK</v>
      </c>
      <c r="X796" s="3"/>
      <c r="Y796" s="3"/>
      <c r="Z796" s="3"/>
      <c r="AA796" s="3"/>
      <c r="AB796" s="3"/>
      <c r="AC796" s="3"/>
    </row>
    <row r="797" spans="1:29" x14ac:dyDescent="0.2">
      <c r="A797" s="3">
        <f t="shared" si="491"/>
        <v>57</v>
      </c>
      <c r="B797" s="3" t="str">
        <f t="shared" si="526"/>
        <v>Retail Labor excluding A&amp;G</v>
      </c>
      <c r="C797" s="3"/>
      <c r="D797" s="3"/>
      <c r="E797" s="3" t="str">
        <f t="shared" si="550"/>
        <v>TLABOR</v>
      </c>
      <c r="F797" s="3"/>
      <c r="G797" s="3"/>
      <c r="H797" s="29">
        <f t="shared" ca="1" si="529"/>
        <v>1</v>
      </c>
      <c r="I797" s="29">
        <v>0</v>
      </c>
      <c r="J797" s="29">
        <f t="shared" ca="1" si="489"/>
        <v>1</v>
      </c>
      <c r="K797" s="29">
        <f t="shared" ref="K797:V797" ca="1" si="553">IF($H725&lt;&gt;0,K725/$H725,0)</f>
        <v>0.46880677347274768</v>
      </c>
      <c r="L797" s="29">
        <f t="shared" ca="1" si="553"/>
        <v>8.9078309879817408E-2</v>
      </c>
      <c r="M797" s="29">
        <f t="shared" ca="1" si="553"/>
        <v>0.35363489466923825</v>
      </c>
      <c r="N797" s="29">
        <f t="shared" ca="1" si="553"/>
        <v>6.899155592372668E-3</v>
      </c>
      <c r="O797" s="29">
        <f t="shared" ca="1" si="553"/>
        <v>0.34673573907686556</v>
      </c>
      <c r="P797" s="29">
        <f t="shared" ca="1" si="553"/>
        <v>4.7558438155479214E-2</v>
      </c>
      <c r="Q797" s="29">
        <f t="shared" ca="1" si="553"/>
        <v>2.0538588853517267E-2</v>
      </c>
      <c r="R797" s="29">
        <f t="shared" ca="1" si="553"/>
        <v>2.4085765180030909E-2</v>
      </c>
      <c r="S797" s="29">
        <f t="shared" ca="1" si="553"/>
        <v>2.9340841219310377E-3</v>
      </c>
      <c r="T797" s="29">
        <f t="shared" ca="1" si="553"/>
        <v>4.0089530116498316E-2</v>
      </c>
      <c r="U797" s="29">
        <f t="shared" ca="1" si="553"/>
        <v>0</v>
      </c>
      <c r="V797" s="29">
        <f t="shared" ca="1" si="553"/>
        <v>8.3205370621924988E-4</v>
      </c>
      <c r="W797" s="27" t="str">
        <f t="shared" ca="1" si="522"/>
        <v>OK</v>
      </c>
      <c r="X797" s="3"/>
      <c r="Y797" s="3"/>
      <c r="Z797" s="3"/>
      <c r="AA797" s="3"/>
      <c r="AB797" s="3"/>
      <c r="AC797" s="3"/>
    </row>
    <row r="798" spans="1:29" x14ac:dyDescent="0.2">
      <c r="A798" s="3">
        <f t="shared" si="491"/>
        <v>58</v>
      </c>
      <c r="B798" s="3" t="str">
        <f t="shared" si="526"/>
        <v>Accounts 561 through 566 Labor</v>
      </c>
      <c r="C798" s="3"/>
      <c r="D798" s="3"/>
      <c r="E798" s="3" t="str">
        <f t="shared" si="550"/>
        <v>LAB561_566</v>
      </c>
      <c r="F798" s="3"/>
      <c r="G798" s="3"/>
      <c r="H798" s="29">
        <f t="shared" si="529"/>
        <v>0</v>
      </c>
      <c r="I798" s="29">
        <v>0</v>
      </c>
      <c r="J798" s="29">
        <f t="shared" si="489"/>
        <v>0</v>
      </c>
      <c r="K798" s="29">
        <f t="shared" ref="K798:V798" si="554">IF($H726&lt;&gt;0,K726/$H726,0)</f>
        <v>0</v>
      </c>
      <c r="L798" s="29">
        <f t="shared" si="554"/>
        <v>0</v>
      </c>
      <c r="M798" s="29">
        <f t="shared" si="554"/>
        <v>0</v>
      </c>
      <c r="N798" s="29">
        <f t="shared" si="554"/>
        <v>0</v>
      </c>
      <c r="O798" s="29">
        <f t="shared" si="554"/>
        <v>0</v>
      </c>
      <c r="P798" s="29">
        <f t="shared" si="554"/>
        <v>0</v>
      </c>
      <c r="Q798" s="29">
        <f t="shared" si="554"/>
        <v>0</v>
      </c>
      <c r="R798" s="29">
        <f t="shared" si="554"/>
        <v>0</v>
      </c>
      <c r="S798" s="29">
        <f t="shared" si="554"/>
        <v>0</v>
      </c>
      <c r="T798" s="29">
        <f t="shared" si="554"/>
        <v>0</v>
      </c>
      <c r="U798" s="29">
        <f t="shared" si="554"/>
        <v>0</v>
      </c>
      <c r="V798" s="29">
        <f t="shared" si="554"/>
        <v>0</v>
      </c>
      <c r="W798" s="27" t="str">
        <f t="shared" si="522"/>
        <v>OK</v>
      </c>
      <c r="X798" s="3"/>
      <c r="Y798" s="3"/>
      <c r="Z798" s="3"/>
      <c r="AA798" s="3"/>
      <c r="AB798" s="3"/>
      <c r="AC798" s="3"/>
    </row>
    <row r="799" spans="1:29" x14ac:dyDescent="0.2">
      <c r="A799" s="3">
        <f t="shared" si="491"/>
        <v>59</v>
      </c>
      <c r="B799" s="3" t="str">
        <f t="shared" si="526"/>
        <v>Accounts 569 through 573 Labor</v>
      </c>
      <c r="C799" s="3"/>
      <c r="D799" s="3"/>
      <c r="E799" s="3" t="str">
        <f t="shared" si="550"/>
        <v>LAB569_573</v>
      </c>
      <c r="F799" s="3"/>
      <c r="G799" s="3"/>
      <c r="H799" s="29">
        <f t="shared" si="529"/>
        <v>0</v>
      </c>
      <c r="I799" s="29">
        <v>0</v>
      </c>
      <c r="J799" s="29">
        <f t="shared" si="489"/>
        <v>0</v>
      </c>
      <c r="K799" s="29">
        <f t="shared" ref="K799:V799" si="555">IF($H727&lt;&gt;0,K727/$H727,0)</f>
        <v>0</v>
      </c>
      <c r="L799" s="29">
        <f t="shared" si="555"/>
        <v>0</v>
      </c>
      <c r="M799" s="29">
        <f t="shared" si="555"/>
        <v>0</v>
      </c>
      <c r="N799" s="29">
        <f t="shared" si="555"/>
        <v>0</v>
      </c>
      <c r="O799" s="29">
        <f t="shared" si="555"/>
        <v>0</v>
      </c>
      <c r="P799" s="29">
        <f t="shared" si="555"/>
        <v>0</v>
      </c>
      <c r="Q799" s="29">
        <f t="shared" si="555"/>
        <v>0</v>
      </c>
      <c r="R799" s="29">
        <f t="shared" si="555"/>
        <v>0</v>
      </c>
      <c r="S799" s="29">
        <f t="shared" si="555"/>
        <v>0</v>
      </c>
      <c r="T799" s="29">
        <f t="shared" si="555"/>
        <v>0</v>
      </c>
      <c r="U799" s="29">
        <f t="shared" si="555"/>
        <v>0</v>
      </c>
      <c r="V799" s="29">
        <f t="shared" si="555"/>
        <v>0</v>
      </c>
      <c r="W799" s="27" t="str">
        <f t="shared" si="522"/>
        <v>OK</v>
      </c>
      <c r="X799" s="3"/>
      <c r="Y799" s="3"/>
      <c r="Z799" s="3"/>
      <c r="AA799" s="3"/>
      <c r="AB799" s="3"/>
      <c r="AC799" s="3"/>
    </row>
    <row r="800" spans="1:29" x14ac:dyDescent="0.2">
      <c r="A800" s="3">
        <f t="shared" si="491"/>
        <v>60</v>
      </c>
      <c r="B800" s="3" t="str">
        <f t="shared" si="526"/>
        <v>Accounts 581 through 588 Labor</v>
      </c>
      <c r="C800" s="3"/>
      <c r="D800" s="3"/>
      <c r="E800" s="3" t="str">
        <f t="shared" si="550"/>
        <v>LAB581_588</v>
      </c>
      <c r="F800" s="3"/>
      <c r="G800" s="3"/>
      <c r="H800" s="29">
        <f t="shared" si="529"/>
        <v>0.99999999999999989</v>
      </c>
      <c r="I800" s="29">
        <v>0</v>
      </c>
      <c r="J800" s="29">
        <f t="shared" si="489"/>
        <v>0.99999999999999989</v>
      </c>
      <c r="K800" s="29">
        <f t="shared" ref="K800:V800" si="556">IF($H728&lt;&gt;0,K728/$H728,0)</f>
        <v>0.46880677347274757</v>
      </c>
      <c r="L800" s="29">
        <f t="shared" si="556"/>
        <v>8.907830987981738E-2</v>
      </c>
      <c r="M800" s="29">
        <f t="shared" si="556"/>
        <v>0.3536348946692382</v>
      </c>
      <c r="N800" s="29">
        <f t="shared" si="556"/>
        <v>6.8991555923726662E-3</v>
      </c>
      <c r="O800" s="29">
        <f t="shared" si="556"/>
        <v>0.3467357390768655</v>
      </c>
      <c r="P800" s="29">
        <f t="shared" si="556"/>
        <v>4.7558438155479207E-2</v>
      </c>
      <c r="Q800" s="29">
        <f t="shared" si="556"/>
        <v>2.0538588853517264E-2</v>
      </c>
      <c r="R800" s="29">
        <f t="shared" si="556"/>
        <v>2.4085765180030902E-2</v>
      </c>
      <c r="S800" s="29">
        <f t="shared" si="556"/>
        <v>2.9340841219310373E-3</v>
      </c>
      <c r="T800" s="29">
        <f t="shared" si="556"/>
        <v>4.0089530116498302E-2</v>
      </c>
      <c r="U800" s="29">
        <f t="shared" si="556"/>
        <v>0</v>
      </c>
      <c r="V800" s="29">
        <f t="shared" si="556"/>
        <v>8.3205370621924955E-4</v>
      </c>
      <c r="W800" s="27" t="str">
        <f t="shared" si="522"/>
        <v>OK</v>
      </c>
      <c r="X800" s="3"/>
      <c r="Y800" s="3"/>
      <c r="Z800" s="3"/>
      <c r="AA800" s="3"/>
      <c r="AB800" s="3"/>
      <c r="AC800" s="3"/>
    </row>
    <row r="801" spans="1:29" x14ac:dyDescent="0.2">
      <c r="A801" s="3">
        <f t="shared" si="491"/>
        <v>61</v>
      </c>
      <c r="B801" s="3" t="str">
        <f t="shared" si="526"/>
        <v>Accounts 591 through 598 Labor</v>
      </c>
      <c r="C801" s="3"/>
      <c r="D801" s="3"/>
      <c r="E801" s="3" t="str">
        <f t="shared" si="550"/>
        <v>LAB591_598</v>
      </c>
      <c r="F801" s="3"/>
      <c r="G801" s="3"/>
      <c r="H801" s="29">
        <f t="shared" ca="1" si="529"/>
        <v>1</v>
      </c>
      <c r="I801" s="29">
        <v>0</v>
      </c>
      <c r="J801" s="29">
        <f t="shared" ca="1" si="489"/>
        <v>1</v>
      </c>
      <c r="K801" s="29">
        <f t="shared" ref="K801:V801" ca="1" si="557">IF($H729&lt;&gt;0,K729/$H729,0)</f>
        <v>0.46880677347274768</v>
      </c>
      <c r="L801" s="29">
        <f t="shared" ca="1" si="557"/>
        <v>8.907830987981738E-2</v>
      </c>
      <c r="M801" s="29">
        <f t="shared" ca="1" si="557"/>
        <v>0.3536348946692382</v>
      </c>
      <c r="N801" s="29">
        <f t="shared" ca="1" si="557"/>
        <v>6.8991555923726645E-3</v>
      </c>
      <c r="O801" s="29">
        <f t="shared" ca="1" si="557"/>
        <v>0.3467357390768655</v>
      </c>
      <c r="P801" s="29">
        <f t="shared" ca="1" si="557"/>
        <v>4.75584381554792E-2</v>
      </c>
      <c r="Q801" s="29">
        <f t="shared" ca="1" si="557"/>
        <v>2.053858885351726E-2</v>
      </c>
      <c r="R801" s="29">
        <f t="shared" ca="1" si="557"/>
        <v>2.4085765180030905E-2</v>
      </c>
      <c r="S801" s="29">
        <f t="shared" ca="1" si="557"/>
        <v>2.9340841219310369E-3</v>
      </c>
      <c r="T801" s="29">
        <f t="shared" ca="1" si="557"/>
        <v>4.0089530116498309E-2</v>
      </c>
      <c r="U801" s="29">
        <f t="shared" ca="1" si="557"/>
        <v>0</v>
      </c>
      <c r="V801" s="29">
        <f t="shared" ca="1" si="557"/>
        <v>8.3205370621924934E-4</v>
      </c>
      <c r="W801" s="27" t="str">
        <f t="shared" ref="W801:W807" ca="1" si="558">IF((+K801+L801+M801+P801+T801+U801+V801)-H801=0,"OK",(+K801+L801+M801+P801+T801+U801+V801)-H801)</f>
        <v>OK</v>
      </c>
      <c r="X801" s="3"/>
      <c r="Y801" s="3"/>
      <c r="Z801" s="3"/>
      <c r="AA801" s="3"/>
      <c r="AB801" s="3"/>
      <c r="AC801" s="3"/>
    </row>
    <row r="802" spans="1:29" x14ac:dyDescent="0.2">
      <c r="A802" s="3">
        <f t="shared" si="491"/>
        <v>62</v>
      </c>
      <c r="B802" s="3" t="str">
        <f t="shared" si="526"/>
        <v>Accounts 902 through 903 Labor</v>
      </c>
      <c r="C802" s="3"/>
      <c r="D802" s="3"/>
      <c r="E802" s="3" t="str">
        <f t="shared" si="550"/>
        <v>LAB902_903</v>
      </c>
      <c r="F802" s="3"/>
      <c r="G802" s="3"/>
      <c r="H802" s="29">
        <f t="shared" si="529"/>
        <v>1</v>
      </c>
      <c r="I802" s="29">
        <v>0</v>
      </c>
      <c r="J802" s="29">
        <f t="shared" si="489"/>
        <v>1</v>
      </c>
      <c r="K802" s="29">
        <f t="shared" ref="K802:V802" si="559">IF($H730&lt;&gt;0,K730/$H730,0)</f>
        <v>0.46880677347274763</v>
      </c>
      <c r="L802" s="29">
        <f t="shared" si="559"/>
        <v>8.907830987981738E-2</v>
      </c>
      <c r="M802" s="29">
        <f t="shared" si="559"/>
        <v>0.3536348946692382</v>
      </c>
      <c r="N802" s="29">
        <f t="shared" si="559"/>
        <v>6.8991555923726645E-3</v>
      </c>
      <c r="O802" s="29">
        <f t="shared" si="559"/>
        <v>0.3467357390768655</v>
      </c>
      <c r="P802" s="29">
        <f t="shared" si="559"/>
        <v>4.7558438155479207E-2</v>
      </c>
      <c r="Q802" s="29">
        <f t="shared" si="559"/>
        <v>2.0538588853517264E-2</v>
      </c>
      <c r="R802" s="29">
        <f t="shared" si="559"/>
        <v>2.4085765180030905E-2</v>
      </c>
      <c r="S802" s="29">
        <f t="shared" si="559"/>
        <v>2.9340841219310373E-3</v>
      </c>
      <c r="T802" s="29">
        <f t="shared" si="559"/>
        <v>4.0089530116498309E-2</v>
      </c>
      <c r="U802" s="29">
        <f t="shared" si="559"/>
        <v>0</v>
      </c>
      <c r="V802" s="29">
        <f t="shared" si="559"/>
        <v>8.3205370621924945E-4</v>
      </c>
      <c r="W802" s="27" t="str">
        <f t="shared" si="558"/>
        <v>OK</v>
      </c>
      <c r="X802" s="3"/>
      <c r="Y802" s="3"/>
      <c r="Z802" s="3"/>
      <c r="AA802" s="3"/>
      <c r="AB802" s="3"/>
      <c r="AC802" s="3"/>
    </row>
    <row r="803" spans="1:29" x14ac:dyDescent="0.2">
      <c r="A803" s="3">
        <f t="shared" si="491"/>
        <v>63</v>
      </c>
      <c r="B803" s="3" t="str">
        <f t="shared" si="526"/>
        <v>Accounts 908 through 910 Labor</v>
      </c>
      <c r="C803" s="3"/>
      <c r="D803" s="3"/>
      <c r="E803" s="3" t="str">
        <f t="shared" si="550"/>
        <v>LAB908_910</v>
      </c>
      <c r="F803" s="3"/>
      <c r="G803" s="3"/>
      <c r="H803" s="29">
        <f t="shared" si="529"/>
        <v>0</v>
      </c>
      <c r="I803" s="29">
        <v>0</v>
      </c>
      <c r="J803" s="29">
        <f t="shared" si="489"/>
        <v>0</v>
      </c>
      <c r="K803" s="29">
        <f t="shared" ref="K803:V803" si="560">IF($H731&lt;&gt;0,K731/$H731,0)</f>
        <v>0</v>
      </c>
      <c r="L803" s="29">
        <f t="shared" si="560"/>
        <v>0</v>
      </c>
      <c r="M803" s="29">
        <f t="shared" si="560"/>
        <v>0</v>
      </c>
      <c r="N803" s="29">
        <f t="shared" si="560"/>
        <v>0</v>
      </c>
      <c r="O803" s="29">
        <f t="shared" si="560"/>
        <v>0</v>
      </c>
      <c r="P803" s="29">
        <f t="shared" si="560"/>
        <v>0</v>
      </c>
      <c r="Q803" s="29">
        <f t="shared" si="560"/>
        <v>0</v>
      </c>
      <c r="R803" s="29">
        <f t="shared" si="560"/>
        <v>0</v>
      </c>
      <c r="S803" s="29">
        <f t="shared" si="560"/>
        <v>0</v>
      </c>
      <c r="T803" s="29">
        <f t="shared" si="560"/>
        <v>0</v>
      </c>
      <c r="U803" s="29">
        <f t="shared" si="560"/>
        <v>0</v>
      </c>
      <c r="V803" s="29">
        <f t="shared" si="560"/>
        <v>0</v>
      </c>
      <c r="W803" s="27" t="str">
        <f t="shared" si="558"/>
        <v>OK</v>
      </c>
      <c r="X803" s="3"/>
      <c r="Y803" s="3"/>
      <c r="Z803" s="3"/>
      <c r="AA803" s="3"/>
      <c r="AB803" s="3"/>
      <c r="AC803" s="3"/>
    </row>
    <row r="804" spans="1:29" x14ac:dyDescent="0.2">
      <c r="A804" s="3">
        <f t="shared" si="491"/>
        <v>64</v>
      </c>
      <c r="B804" s="3" t="str">
        <f t="shared" si="526"/>
        <v>Accounts 912 through 916 Labor</v>
      </c>
      <c r="C804" s="3"/>
      <c r="D804" s="3"/>
      <c r="E804" s="3" t="str">
        <f t="shared" si="550"/>
        <v>LAB912_916</v>
      </c>
      <c r="F804" s="3"/>
      <c r="G804" s="3"/>
      <c r="H804" s="29">
        <f t="shared" si="529"/>
        <v>0</v>
      </c>
      <c r="I804" s="29">
        <v>0</v>
      </c>
      <c r="J804" s="29">
        <f t="shared" si="489"/>
        <v>0</v>
      </c>
      <c r="K804" s="29">
        <f t="shared" ref="K804:V804" si="561">IF($H732&lt;&gt;0,K732/$H732,0)</f>
        <v>0</v>
      </c>
      <c r="L804" s="29">
        <f t="shared" si="561"/>
        <v>0</v>
      </c>
      <c r="M804" s="29">
        <f t="shared" si="561"/>
        <v>0</v>
      </c>
      <c r="N804" s="29">
        <f t="shared" si="561"/>
        <v>0</v>
      </c>
      <c r="O804" s="29">
        <f t="shared" si="561"/>
        <v>0</v>
      </c>
      <c r="P804" s="29">
        <f t="shared" si="561"/>
        <v>0</v>
      </c>
      <c r="Q804" s="29">
        <f t="shared" si="561"/>
        <v>0</v>
      </c>
      <c r="R804" s="29">
        <f t="shared" si="561"/>
        <v>0</v>
      </c>
      <c r="S804" s="29">
        <f t="shared" si="561"/>
        <v>0</v>
      </c>
      <c r="T804" s="29">
        <f t="shared" si="561"/>
        <v>0</v>
      </c>
      <c r="U804" s="29">
        <f t="shared" si="561"/>
        <v>0</v>
      </c>
      <c r="V804" s="29">
        <f t="shared" si="561"/>
        <v>0</v>
      </c>
      <c r="W804" s="27" t="str">
        <f t="shared" si="558"/>
        <v>OK</v>
      </c>
      <c r="X804" s="3"/>
      <c r="Y804" s="3"/>
      <c r="Z804" s="3"/>
      <c r="AA804" s="3"/>
      <c r="AB804" s="3"/>
      <c r="AC804" s="3"/>
    </row>
    <row r="805" spans="1:29" x14ac:dyDescent="0.2">
      <c r="A805" s="3">
        <f t="shared" si="491"/>
        <v>65</v>
      </c>
      <c r="B805" s="3" t="str">
        <f t="shared" ref="B805:B806" si="562">B733</f>
        <v>Texas Retail Customers</v>
      </c>
      <c r="C805" s="3"/>
      <c r="D805" s="3"/>
      <c r="E805" s="3" t="str">
        <f t="shared" si="550"/>
        <v>TCUSTOMERS</v>
      </c>
      <c r="F805" s="3"/>
      <c r="G805" s="3"/>
      <c r="H805" s="29">
        <f t="shared" si="529"/>
        <v>1</v>
      </c>
      <c r="I805" s="29">
        <v>0</v>
      </c>
      <c r="J805" s="29">
        <f t="shared" si="489"/>
        <v>1</v>
      </c>
      <c r="K805" s="29">
        <f t="shared" ref="K805:V805" si="563">IF($H733&lt;&gt;0,K733/$H733,0)</f>
        <v>0.70338161489917128</v>
      </c>
      <c r="L805" s="29">
        <f t="shared" si="563"/>
        <v>7.4732012114639326E-2</v>
      </c>
      <c r="M805" s="29">
        <f t="shared" si="563"/>
        <v>5.4457966157527918E-2</v>
      </c>
      <c r="N805" s="29">
        <f t="shared" si="563"/>
        <v>4.3320289614186193E-4</v>
      </c>
      <c r="O805" s="29">
        <f t="shared" si="563"/>
        <v>5.4024763261386055E-2</v>
      </c>
      <c r="P805" s="29">
        <f t="shared" si="563"/>
        <v>8.1676796043413547E-4</v>
      </c>
      <c r="Q805" s="29">
        <f t="shared" si="563"/>
        <v>3.5272944147662021E-4</v>
      </c>
      <c r="R805" s="29">
        <f t="shared" si="563"/>
        <v>4.1364859874656954E-4</v>
      </c>
      <c r="S805" s="29">
        <f t="shared" si="563"/>
        <v>5.0389920210945741E-5</v>
      </c>
      <c r="T805" s="29">
        <f t="shared" si="563"/>
        <v>9.2506868446960095E-5</v>
      </c>
      <c r="U805" s="29">
        <f t="shared" si="563"/>
        <v>0.16650484232091459</v>
      </c>
      <c r="V805" s="29">
        <f t="shared" si="563"/>
        <v>1.4289678865790585E-5</v>
      </c>
      <c r="W805" s="27" t="str">
        <f t="shared" si="558"/>
        <v>OK</v>
      </c>
      <c r="X805" s="3"/>
      <c r="Y805" s="3"/>
      <c r="Z805" s="3"/>
      <c r="AA805" s="3"/>
      <c r="AB805" s="3"/>
      <c r="AC805" s="3"/>
    </row>
    <row r="806" spans="1:29" x14ac:dyDescent="0.2">
      <c r="A806" s="3">
        <f t="shared" si="491"/>
        <v>66</v>
      </c>
      <c r="B806" s="3" t="str">
        <f t="shared" si="562"/>
        <v>Texas Retail Generation Demand</v>
      </c>
      <c r="C806" s="3"/>
      <c r="D806" s="3"/>
      <c r="E806" s="3" t="str">
        <f t="shared" si="550"/>
        <v>TDEMANDG</v>
      </c>
      <c r="F806" s="3"/>
      <c r="G806" s="3"/>
      <c r="H806" s="29">
        <f t="shared" si="529"/>
        <v>0.99999999999999989</v>
      </c>
      <c r="I806" s="29">
        <v>0</v>
      </c>
      <c r="J806" s="29">
        <f t="shared" ref="J806:J812" si="564">SUM(K806:M806,P806,T806:V806)</f>
        <v>0.99999999999999989</v>
      </c>
      <c r="K806" s="29">
        <f t="shared" ref="K806:V806" si="565">IF($H734&lt;&gt;0,K734/$H734,0)</f>
        <v>0.48476544186418086</v>
      </c>
      <c r="L806" s="29">
        <f t="shared" si="565"/>
        <v>1.9173937159048283E-2</v>
      </c>
      <c r="M806" s="29">
        <f t="shared" si="565"/>
        <v>0.28551291531899664</v>
      </c>
      <c r="N806" s="29">
        <f t="shared" si="565"/>
        <v>2.8718751510505878E-2</v>
      </c>
      <c r="O806" s="29">
        <f t="shared" si="565"/>
        <v>0.25679416380849074</v>
      </c>
      <c r="P806" s="29">
        <f t="shared" si="565"/>
        <v>8.0892016757904861E-2</v>
      </c>
      <c r="Q806" s="29">
        <f t="shared" si="565"/>
        <v>6.3330866876052411E-2</v>
      </c>
      <c r="R806" s="29">
        <f t="shared" si="565"/>
        <v>5.1825476369504958E-3</v>
      </c>
      <c r="S806" s="29">
        <f t="shared" si="565"/>
        <v>1.2378602244901962E-2</v>
      </c>
      <c r="T806" s="29">
        <f t="shared" si="565"/>
        <v>0.12965568889986934</v>
      </c>
      <c r="U806" s="29">
        <f t="shared" si="565"/>
        <v>0</v>
      </c>
      <c r="V806" s="29">
        <f t="shared" si="565"/>
        <v>0</v>
      </c>
      <c r="W806" s="27" t="str">
        <f t="shared" si="558"/>
        <v>OK</v>
      </c>
      <c r="X806" s="3"/>
      <c r="Y806" s="3"/>
      <c r="Z806" s="3"/>
      <c r="AA806" s="3"/>
      <c r="AB806" s="3"/>
      <c r="AC806" s="3"/>
    </row>
    <row r="807" spans="1:29" x14ac:dyDescent="0.2">
      <c r="A807" s="3">
        <f t="shared" si="491"/>
        <v>67</v>
      </c>
      <c r="B807" s="3" t="s">
        <v>575</v>
      </c>
      <c r="C807" s="3"/>
      <c r="D807" s="3"/>
      <c r="E807" s="3" t="s">
        <v>576</v>
      </c>
      <c r="F807" s="3"/>
      <c r="G807" s="3"/>
      <c r="H807" s="29">
        <f t="shared" ref="H807:H812" si="566">SUM(I807:J807)</f>
        <v>1</v>
      </c>
      <c r="I807" s="29">
        <v>0</v>
      </c>
      <c r="J807" s="29">
        <f t="shared" si="564"/>
        <v>1</v>
      </c>
      <c r="K807" s="29">
        <f t="shared" ref="K807:V807" si="567">IF($H735&lt;&gt;0,K735/$H735,0)</f>
        <v>0.47672758051311936</v>
      </c>
      <c r="L807" s="29">
        <f t="shared" si="567"/>
        <v>1.7692674150235652E-2</v>
      </c>
      <c r="M807" s="29">
        <f t="shared" si="567"/>
        <v>0.28831850957647071</v>
      </c>
      <c r="N807" s="29">
        <f t="shared" si="567"/>
        <v>3.1528858917611362E-2</v>
      </c>
      <c r="O807" s="29">
        <f t="shared" si="567"/>
        <v>0.25678965065885934</v>
      </c>
      <c r="P807" s="29">
        <f t="shared" si="567"/>
        <v>0.10697821994662522</v>
      </c>
      <c r="Q807" s="29">
        <f t="shared" si="567"/>
        <v>9.9062842553663849E-2</v>
      </c>
      <c r="R807" s="29">
        <f t="shared" si="567"/>
        <v>7.9153773929613747E-3</v>
      </c>
      <c r="S807" s="29">
        <f t="shared" si="567"/>
        <v>0</v>
      </c>
      <c r="T807" s="29">
        <f t="shared" si="567"/>
        <v>0.11028301581354905</v>
      </c>
      <c r="U807" s="29">
        <f t="shared" si="567"/>
        <v>0</v>
      </c>
      <c r="V807" s="29">
        <f t="shared" si="567"/>
        <v>0</v>
      </c>
      <c r="W807" s="27" t="str">
        <f t="shared" si="558"/>
        <v>OK</v>
      </c>
      <c r="X807" s="3"/>
      <c r="Y807" s="3"/>
      <c r="Z807" s="3"/>
      <c r="AA807" s="3"/>
      <c r="AB807" s="3"/>
      <c r="AC807" s="3"/>
    </row>
    <row r="808" spans="1:29" x14ac:dyDescent="0.2">
      <c r="A808" s="3">
        <f t="shared" ref="A808:A812" si="568">+A807+1</f>
        <v>68</v>
      </c>
      <c r="B808" s="3" t="str">
        <f>B736</f>
        <v>Environmental Stranded Costs</v>
      </c>
      <c r="C808" s="3"/>
      <c r="D808" s="3"/>
      <c r="E808" s="3" t="str">
        <f>E736</f>
        <v>EECOM</v>
      </c>
      <c r="F808" s="3"/>
      <c r="G808" s="3"/>
      <c r="H808" s="29">
        <f t="shared" si="566"/>
        <v>0</v>
      </c>
      <c r="I808" s="29">
        <v>0</v>
      </c>
      <c r="J808" s="29">
        <f t="shared" si="564"/>
        <v>0</v>
      </c>
      <c r="K808" s="29">
        <f t="shared" ref="K808:V808" si="569">IF($H736&lt;&gt;0,K736/$H736,0)</f>
        <v>0</v>
      </c>
      <c r="L808" s="29">
        <f t="shared" si="569"/>
        <v>0</v>
      </c>
      <c r="M808" s="29">
        <f t="shared" si="569"/>
        <v>0</v>
      </c>
      <c r="N808" s="29">
        <f t="shared" si="569"/>
        <v>0</v>
      </c>
      <c r="O808" s="29">
        <f t="shared" si="569"/>
        <v>0</v>
      </c>
      <c r="P808" s="29">
        <f t="shared" si="569"/>
        <v>0</v>
      </c>
      <c r="Q808" s="29">
        <f t="shared" si="569"/>
        <v>0</v>
      </c>
      <c r="R808" s="29">
        <f t="shared" si="569"/>
        <v>0</v>
      </c>
      <c r="S808" s="29">
        <f t="shared" si="569"/>
        <v>0</v>
      </c>
      <c r="T808" s="29">
        <f t="shared" si="569"/>
        <v>0</v>
      </c>
      <c r="U808" s="29">
        <f t="shared" si="569"/>
        <v>0</v>
      </c>
      <c r="V808" s="29">
        <f t="shared" si="569"/>
        <v>0</v>
      </c>
      <c r="W808" s="27" t="str">
        <f>IF((+K808+L808+M808+P808+T808+U808+V808)-H808=0,"OK",(+K808+L808+M808+P808+T808+U808+V808)-H808)</f>
        <v>OK</v>
      </c>
      <c r="X808" s="3"/>
      <c r="Y808" s="3"/>
      <c r="Z808" s="3"/>
      <c r="AA808" s="3"/>
      <c r="AB808" s="3"/>
      <c r="AC808" s="3"/>
    </row>
    <row r="809" spans="1:29" x14ac:dyDescent="0.2">
      <c r="A809" s="3">
        <f t="shared" si="568"/>
        <v>69</v>
      </c>
      <c r="B809" s="3" t="str">
        <f>B737</f>
        <v>Total Retail O&amp;M</v>
      </c>
      <c r="C809" s="3"/>
      <c r="D809" s="3"/>
      <c r="E809" s="3" t="str">
        <f>E737</f>
        <v>O&amp;M</v>
      </c>
      <c r="F809" s="3"/>
      <c r="G809" s="3"/>
      <c r="H809" s="29">
        <f t="shared" ca="1" si="566"/>
        <v>1</v>
      </c>
      <c r="I809" s="29">
        <v>0</v>
      </c>
      <c r="J809" s="29">
        <f t="shared" ca="1" si="564"/>
        <v>1</v>
      </c>
      <c r="K809" s="29">
        <f t="shared" ref="K809:V809" ca="1" si="570">IF($H737&lt;&gt;0,K737/$H737,0)</f>
        <v>0.46880677347274774</v>
      </c>
      <c r="L809" s="29">
        <f t="shared" ca="1" si="570"/>
        <v>8.9078309879817408E-2</v>
      </c>
      <c r="M809" s="29">
        <f t="shared" ca="1" si="570"/>
        <v>0.3536348946692382</v>
      </c>
      <c r="N809" s="29">
        <f t="shared" ca="1" si="570"/>
        <v>6.899155592372668E-3</v>
      </c>
      <c r="O809" s="29">
        <f t="shared" ca="1" si="570"/>
        <v>0.34673573907686556</v>
      </c>
      <c r="P809" s="29">
        <f t="shared" ca="1" si="570"/>
        <v>4.7558438155479214E-2</v>
      </c>
      <c r="Q809" s="29">
        <f t="shared" ca="1" si="570"/>
        <v>2.0538588853517267E-2</v>
      </c>
      <c r="R809" s="29">
        <f t="shared" ca="1" si="570"/>
        <v>2.4085765180030909E-2</v>
      </c>
      <c r="S809" s="29">
        <f t="shared" ca="1" si="570"/>
        <v>2.9340841219310382E-3</v>
      </c>
      <c r="T809" s="29">
        <f t="shared" ca="1" si="570"/>
        <v>4.0089530116498309E-2</v>
      </c>
      <c r="U809" s="29">
        <f t="shared" ca="1" si="570"/>
        <v>0</v>
      </c>
      <c r="V809" s="29">
        <f t="shared" ca="1" si="570"/>
        <v>8.3205370621924966E-4</v>
      </c>
      <c r="W809" s="27" t="str">
        <f ca="1">IF((+K809+L809+M809+P809+T809+U809+V809)-H809=0,"OK",(+K809+L809+M809+P809+T809+U809+V809)-H809)</f>
        <v>OK</v>
      </c>
      <c r="X809" s="3"/>
      <c r="Y809" s="3"/>
      <c r="Z809" s="3"/>
      <c r="AA809" s="3"/>
      <c r="AB809" s="3"/>
      <c r="AC809" s="3"/>
    </row>
    <row r="810" spans="1:29" x14ac:dyDescent="0.2">
      <c r="A810" s="3">
        <f t="shared" si="568"/>
        <v>70</v>
      </c>
      <c r="B810" s="3" t="str">
        <f>B738</f>
        <v>Muni Franch Fee (MFF Total Inside City Limits KWH)</v>
      </c>
      <c r="C810" s="3"/>
      <c r="D810" s="3"/>
      <c r="E810" s="3" t="str">
        <f>E738</f>
        <v>MFF</v>
      </c>
      <c r="F810" s="3"/>
      <c r="G810" s="3"/>
      <c r="H810" s="29">
        <f t="shared" si="566"/>
        <v>1</v>
      </c>
      <c r="I810" s="29">
        <v>0</v>
      </c>
      <c r="J810" s="29">
        <f t="shared" si="564"/>
        <v>1</v>
      </c>
      <c r="K810" s="29">
        <f t="shared" ref="K810:V810" si="571">IF($H738&lt;&gt;0,K738/$H738,0)</f>
        <v>0.45055255221890889</v>
      </c>
      <c r="L810" s="29">
        <f t="shared" si="571"/>
        <v>1.9034181199202461E-2</v>
      </c>
      <c r="M810" s="29">
        <f t="shared" si="571"/>
        <v>0.33912251036372282</v>
      </c>
      <c r="N810" s="29">
        <f t="shared" si="571"/>
        <v>4.6333368470017913E-2</v>
      </c>
      <c r="O810" s="29">
        <f t="shared" si="571"/>
        <v>0.29278914189370486</v>
      </c>
      <c r="P810" s="29">
        <f t="shared" si="571"/>
        <v>8.8063337802073066E-2</v>
      </c>
      <c r="Q810" s="29">
        <f t="shared" si="571"/>
        <v>8.1521732277867062E-2</v>
      </c>
      <c r="R810" s="29">
        <f t="shared" si="571"/>
        <v>4.1855649732400625E-3</v>
      </c>
      <c r="S810" s="29">
        <f t="shared" si="571"/>
        <v>2.356040550965935E-3</v>
      </c>
      <c r="T810" s="29">
        <f t="shared" si="571"/>
        <v>9.4088966737790075E-2</v>
      </c>
      <c r="U810" s="29">
        <f t="shared" si="571"/>
        <v>9.1384516783027253E-3</v>
      </c>
      <c r="V810" s="29">
        <f t="shared" si="571"/>
        <v>0</v>
      </c>
      <c r="W810" s="27" t="str">
        <f>IF((+K810+L810+M810+P810+T810+U810+V810)-H810=0,"OK",(+K810+L810+M810+P810+T810+U810+V810)-H810)</f>
        <v>OK</v>
      </c>
      <c r="X810" s="3"/>
      <c r="Y810" s="3"/>
      <c r="Z810" s="3"/>
      <c r="AA810" s="3"/>
      <c r="AB810" s="3"/>
      <c r="AC810" s="3"/>
    </row>
    <row r="811" spans="1:29" x14ac:dyDescent="0.2">
      <c r="A811" s="3">
        <f t="shared" si="568"/>
        <v>71</v>
      </c>
      <c r="B811" s="3" t="str">
        <f>B739</f>
        <v>Excess Mitigation Credit</v>
      </c>
      <c r="C811" s="3"/>
      <c r="D811" s="3"/>
      <c r="E811" s="3" t="str">
        <f>E739</f>
        <v>EMC</v>
      </c>
      <c r="F811" s="3"/>
      <c r="G811" s="3"/>
      <c r="H811" s="29">
        <f t="shared" si="566"/>
        <v>0</v>
      </c>
      <c r="I811" s="29">
        <v>0</v>
      </c>
      <c r="J811" s="29">
        <f t="shared" si="564"/>
        <v>0</v>
      </c>
      <c r="K811" s="29">
        <f t="shared" ref="K811:V811" si="572">IF($H739&lt;&gt;0,K739/$H739,0)</f>
        <v>0</v>
      </c>
      <c r="L811" s="29">
        <f t="shared" si="572"/>
        <v>0</v>
      </c>
      <c r="M811" s="29">
        <f t="shared" si="572"/>
        <v>0</v>
      </c>
      <c r="N811" s="29">
        <f t="shared" si="572"/>
        <v>0</v>
      </c>
      <c r="O811" s="29">
        <f t="shared" si="572"/>
        <v>0</v>
      </c>
      <c r="P811" s="29">
        <f t="shared" si="572"/>
        <v>0</v>
      </c>
      <c r="Q811" s="29">
        <f t="shared" si="572"/>
        <v>0</v>
      </c>
      <c r="R811" s="29">
        <f t="shared" si="572"/>
        <v>0</v>
      </c>
      <c r="S811" s="29">
        <f t="shared" si="572"/>
        <v>0</v>
      </c>
      <c r="T811" s="29">
        <f t="shared" si="572"/>
        <v>0</v>
      </c>
      <c r="U811" s="29">
        <f t="shared" si="572"/>
        <v>0</v>
      </c>
      <c r="V811" s="29">
        <f t="shared" si="572"/>
        <v>0</v>
      </c>
      <c r="W811" s="27" t="str">
        <f>IF((+K811+L811+M811+P811+T811+U811+V811)-H811=0,"OK",(+K811+L811+M811+P811+T811+U811+V811)-H811)</f>
        <v>OK</v>
      </c>
      <c r="X811" s="3"/>
      <c r="Y811" s="3"/>
      <c r="Z811" s="3"/>
      <c r="AA811" s="3"/>
      <c r="AB811" s="3"/>
      <c r="AC811" s="3"/>
    </row>
    <row r="812" spans="1:29" x14ac:dyDescent="0.2">
      <c r="A812" s="3">
        <f t="shared" si="568"/>
        <v>72</v>
      </c>
      <c r="B812" s="3" t="s">
        <v>642</v>
      </c>
      <c r="C812" s="3"/>
      <c r="D812" s="3"/>
      <c r="E812" s="3" t="s">
        <v>643</v>
      </c>
      <c r="F812" s="3"/>
      <c r="G812" s="3"/>
      <c r="H812" s="29">
        <f t="shared" si="566"/>
        <v>0.99339614240202156</v>
      </c>
      <c r="I812" s="29">
        <v>0</v>
      </c>
      <c r="J812" s="29">
        <f t="shared" si="564"/>
        <v>0.99339614240202156</v>
      </c>
      <c r="K812" s="29">
        <f>+(K761+K807)/2</f>
        <v>0.40274060887971358</v>
      </c>
      <c r="L812" s="29">
        <f>+(L761+L807)/2</f>
        <v>1.7621452867669932E-2</v>
      </c>
      <c r="M812" s="29">
        <f>SUM(N812:O812)</f>
        <v>0.26434290323051346</v>
      </c>
      <c r="N812" s="29">
        <f t="shared" ref="N812:V812" si="573">+(N761+N807)/2</f>
        <v>3.2862477876649254E-2</v>
      </c>
      <c r="O812" s="29">
        <f t="shared" si="573"/>
        <v>0.23148042535386421</v>
      </c>
      <c r="P812" s="29">
        <f>SUM(Q812:R812)</f>
        <v>0.10596577822020554</v>
      </c>
      <c r="Q812" s="29">
        <f t="shared" si="573"/>
        <v>9.8598346530493153E-2</v>
      </c>
      <c r="R812" s="29">
        <f t="shared" si="573"/>
        <v>7.3674316897123972E-3</v>
      </c>
      <c r="S812" s="29">
        <f>+(S761+S807)/2</f>
        <v>6.6038575979785238E-3</v>
      </c>
      <c r="T812" s="29">
        <f t="shared" si="573"/>
        <v>0.19922646786621928</v>
      </c>
      <c r="U812" s="29">
        <f t="shared" si="573"/>
        <v>3.1124159342440371E-3</v>
      </c>
      <c r="V812" s="29">
        <f t="shared" si="573"/>
        <v>3.8651540345567521E-4</v>
      </c>
      <c r="W812" s="27" t="str">
        <f>IF((+K812+L812+M812+P812+T812+U812+V812)-H812=0,"OK",(+K812+L812+M812+P812+T812+U812+V812)-H812)</f>
        <v>OK</v>
      </c>
      <c r="X812" s="3"/>
      <c r="Y812" s="3"/>
      <c r="Z812" s="3"/>
      <c r="AA812" s="3"/>
      <c r="AB812" s="3"/>
      <c r="AC812" s="3"/>
    </row>
  </sheetData>
  <phoneticPr fontId="0" type="noConversion"/>
  <pageMargins left="0.7" right="0.7" top="0.75" bottom="0.75" header="0.3" footer="0.3"/>
  <pageSetup scale="65" fitToHeight="0" orientation="landscape" r:id="rId1"/>
  <headerFooter>
    <oddHeader>&amp;RDocket No. 56165
&amp;F
&amp;A
Page &amp;P of &amp;N</oddHeader>
    <oddFooter>&amp;LSponsored by: Earlyne Reynolds</oddFooter>
  </headerFooter>
  <rowBreaks count="14" manualBreakCount="14">
    <brk id="53" max="16383" man="1"/>
    <brk id="89" max="16383" man="1"/>
    <brk id="147" max="16383" man="1"/>
    <brk id="192" max="16383" man="1"/>
    <brk id="249" max="16383" man="1"/>
    <brk id="313" max="16383" man="1"/>
    <brk id="377" max="16383" man="1"/>
    <brk id="431" max="16383" man="1"/>
    <brk id="495" max="16383" man="1"/>
    <brk id="527" max="16383" man="1"/>
    <brk id="582" max="16383" man="1"/>
    <brk id="616" max="21" man="1"/>
    <brk id="666" max="16383" man="1"/>
    <brk id="739" max="16383" man="1"/>
  </rowBreaks>
  <colBreaks count="1" manualBreakCount="1">
    <brk id="10" max="811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5"/>
  <dimension ref="A1:AA812"/>
  <sheetViews>
    <sheetView showGridLines="0" zoomScale="130" zoomScaleNormal="130" workbookViewId="0">
      <pane xSplit="7" ySplit="13" topLeftCell="K25" activePane="bottomRight" state="frozen"/>
      <selection activeCell="K25" sqref="K25"/>
      <selection pane="topRight" activeCell="K25" sqref="K25"/>
      <selection pane="bottomLeft" activeCell="K25" sqref="K25"/>
      <selection pane="bottomRight" activeCell="K25" sqref="K25"/>
    </sheetView>
  </sheetViews>
  <sheetFormatPr defaultColWidth="3.5703125" defaultRowHeight="12.75" customHeight="1" x14ac:dyDescent="0.2"/>
  <cols>
    <col min="1" max="1" width="4.85546875" bestFit="1" customWidth="1"/>
    <col min="2" max="2" width="3.42578125" customWidth="1"/>
    <col min="3" max="3" width="29.28515625" customWidth="1"/>
    <col min="4" max="4" width="11.7109375" bestFit="1" customWidth="1"/>
    <col min="5" max="7" width="10.28515625" customWidth="1"/>
    <col min="8" max="8" width="12.42578125" bestFit="1" customWidth="1"/>
    <col min="9" max="9" width="10.42578125" customWidth="1"/>
    <col min="10" max="10" width="12.7109375" bestFit="1" customWidth="1"/>
    <col min="11" max="11" width="11.140625" bestFit="1" customWidth="1"/>
    <col min="12" max="12" width="10.42578125" customWidth="1"/>
    <col min="13" max="13" width="11.140625" bestFit="1" customWidth="1"/>
    <col min="14" max="14" width="10.42578125" customWidth="1"/>
    <col min="15" max="15" width="14.140625" bestFit="1" customWidth="1"/>
    <col min="16" max="19" width="10.42578125" customWidth="1"/>
    <col min="20" max="20" width="10.85546875" bestFit="1" customWidth="1"/>
    <col min="21" max="21" width="10.42578125" customWidth="1"/>
    <col min="22" max="22" width="10.42578125" style="132" customWidth="1"/>
    <col min="23" max="23" width="10.28515625" bestFit="1" customWidth="1"/>
    <col min="24" max="24" width="3.5703125" customWidth="1"/>
    <col min="25" max="25" width="10.140625" bestFit="1" customWidth="1"/>
    <col min="26" max="29" width="3.5703125" customWidth="1"/>
  </cols>
  <sheetData>
    <row r="1" spans="1:23" ht="8.25" customHeight="1" x14ac:dyDescent="0.2">
      <c r="A1" s="3"/>
      <c r="B1" s="3"/>
      <c r="C1" s="3"/>
      <c r="D1" s="130">
        <v>1</v>
      </c>
      <c r="E1" s="130">
        <v>2</v>
      </c>
      <c r="F1" s="130"/>
      <c r="G1" s="130"/>
      <c r="H1" s="130">
        <v>7</v>
      </c>
      <c r="I1" s="130">
        <v>13</v>
      </c>
      <c r="J1" s="130">
        <v>6</v>
      </c>
      <c r="K1" s="130">
        <f t="shared" ref="K1:R1" si="0">J1+1</f>
        <v>7</v>
      </c>
      <c r="L1" s="130">
        <f t="shared" si="0"/>
        <v>8</v>
      </c>
      <c r="M1" s="130">
        <f t="shared" si="0"/>
        <v>9</v>
      </c>
      <c r="N1" s="130">
        <f t="shared" si="0"/>
        <v>10</v>
      </c>
      <c r="O1" s="130">
        <f>N1+1</f>
        <v>11</v>
      </c>
      <c r="P1" s="130">
        <f t="shared" si="0"/>
        <v>12</v>
      </c>
      <c r="Q1" s="130">
        <f t="shared" si="0"/>
        <v>13</v>
      </c>
      <c r="R1" s="130">
        <f t="shared" si="0"/>
        <v>14</v>
      </c>
      <c r="S1" s="130">
        <f>R1+1</f>
        <v>15</v>
      </c>
      <c r="T1" s="130">
        <f>S1+1</f>
        <v>16</v>
      </c>
      <c r="U1" s="130">
        <f>T1+1</f>
        <v>17</v>
      </c>
      <c r="V1" s="130">
        <f>U1+1</f>
        <v>18</v>
      </c>
      <c r="W1" s="4"/>
    </row>
    <row r="2" spans="1:23" x14ac:dyDescent="0.2">
      <c r="A2" s="3"/>
      <c r="B2" s="3"/>
      <c r="C2" s="3"/>
      <c r="D2" s="3"/>
      <c r="E2" s="3"/>
      <c r="F2" s="3"/>
      <c r="G2" s="3"/>
      <c r="H2" s="5"/>
      <c r="I2" s="5"/>
      <c r="J2" s="5"/>
      <c r="K2" s="5"/>
      <c r="L2" s="2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spans="1:23" x14ac:dyDescent="0.2">
      <c r="A3" s="3"/>
      <c r="B3" s="3" t="str">
        <f>'II-I TOTAL COMPANY'!B4</f>
        <v>PUBLIC UTILITY COMMISION OF TEXAS</v>
      </c>
      <c r="C3" s="5"/>
      <c r="D3" s="5"/>
      <c r="E3" s="3"/>
      <c r="F3" s="3"/>
      <c r="G3" s="3"/>
      <c r="H3" s="5"/>
      <c r="I3" s="5"/>
      <c r="J3" s="5"/>
      <c r="K3" s="5"/>
      <c r="L3" s="23"/>
      <c r="M3" s="3"/>
      <c r="N3" s="3"/>
      <c r="O3" s="3"/>
      <c r="P3" s="3"/>
      <c r="Q3" s="3"/>
      <c r="R3" s="3"/>
      <c r="S3" s="3"/>
      <c r="T3" s="3"/>
      <c r="U3" s="3"/>
      <c r="V3" s="3"/>
      <c r="W3" s="4"/>
    </row>
    <row r="4" spans="1:23" x14ac:dyDescent="0.2">
      <c r="A4" s="3"/>
      <c r="B4" s="3" t="str">
        <f>'II-I TOTAL COMPANY'!B5</f>
        <v>AEP TEXAS INC</v>
      </c>
      <c r="C4" s="3"/>
      <c r="D4" s="3"/>
      <c r="E4" s="3"/>
      <c r="F4" s="3"/>
      <c r="G4" s="3"/>
      <c r="H4" s="5"/>
      <c r="I4" s="5"/>
      <c r="J4" s="5"/>
      <c r="K4" s="5"/>
      <c r="L4" s="23"/>
      <c r="M4" s="3"/>
      <c r="N4" s="3"/>
      <c r="O4" s="3"/>
      <c r="P4" s="3"/>
      <c r="Q4" s="3"/>
      <c r="R4" s="3"/>
      <c r="S4" s="3"/>
      <c r="T4" s="3"/>
      <c r="U4" s="3"/>
      <c r="V4" s="3"/>
      <c r="W4" s="4"/>
    </row>
    <row r="5" spans="1:23" x14ac:dyDescent="0.2">
      <c r="A5" s="3"/>
      <c r="B5" s="3" t="str">
        <f>'II-I TOTAL COMPANY'!B6</f>
        <v>II-I COST OF SERVICE</v>
      </c>
      <c r="C5" s="3"/>
      <c r="D5" s="3"/>
      <c r="E5" s="3"/>
      <c r="F5" s="3"/>
      <c r="G5" s="3"/>
      <c r="H5" s="3"/>
      <c r="I5" s="5"/>
      <c r="J5" s="5"/>
      <c r="K5" s="5"/>
      <c r="L5" s="23"/>
      <c r="M5" s="3"/>
      <c r="N5" s="3"/>
      <c r="O5" s="3"/>
      <c r="P5" s="3"/>
      <c r="Q5" s="3"/>
      <c r="R5" s="3"/>
      <c r="S5" s="3"/>
      <c r="T5" s="3"/>
      <c r="U5" s="3"/>
      <c r="V5" s="3"/>
      <c r="W5" s="4"/>
    </row>
    <row r="6" spans="1:23" x14ac:dyDescent="0.2">
      <c r="A6" s="3"/>
      <c r="B6" s="3" t="str">
        <f>'II-I TOTAL COMPANY'!B7</f>
        <v>TEST YEAR ENDING 09/30/2023</v>
      </c>
      <c r="C6" s="3"/>
      <c r="D6" s="3"/>
      <c r="E6" s="3"/>
      <c r="F6" s="3"/>
      <c r="G6" s="3"/>
      <c r="H6" s="5"/>
      <c r="I6" s="5"/>
      <c r="J6" s="5"/>
      <c r="K6" s="5"/>
      <c r="L6" s="23"/>
      <c r="M6" s="3"/>
      <c r="N6" s="3"/>
      <c r="O6" s="3"/>
      <c r="P6" s="3"/>
      <c r="Q6" s="3"/>
      <c r="R6" s="3"/>
      <c r="S6" s="3"/>
      <c r="T6" s="3"/>
      <c r="U6" s="3"/>
      <c r="V6" s="3"/>
      <c r="W6" s="4"/>
    </row>
    <row r="7" spans="1:23" x14ac:dyDescent="0.2">
      <c r="A7" s="3"/>
      <c r="B7" s="3" t="s">
        <v>858</v>
      </c>
      <c r="C7" s="3"/>
      <c r="D7" s="3"/>
      <c r="E7" s="3" t="s">
        <v>526</v>
      </c>
      <c r="F7" s="3"/>
      <c r="G7" s="3"/>
      <c r="H7" s="5"/>
      <c r="I7" s="5"/>
      <c r="J7" s="5"/>
      <c r="K7" s="5"/>
      <c r="L7" s="23"/>
      <c r="M7" s="3"/>
      <c r="N7" s="3"/>
      <c r="O7" s="3"/>
      <c r="P7" s="3"/>
      <c r="Q7" s="3"/>
      <c r="R7" s="3"/>
      <c r="S7" s="3"/>
      <c r="T7" s="3"/>
      <c r="U7" s="3"/>
      <c r="V7" s="3"/>
      <c r="W7" s="4"/>
    </row>
    <row r="8" spans="1:23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13"/>
      <c r="M8" s="4" t="s">
        <v>466</v>
      </c>
      <c r="N8" s="4"/>
      <c r="O8" s="42"/>
      <c r="P8" s="4" t="s">
        <v>466</v>
      </c>
      <c r="Q8" s="4"/>
      <c r="R8" s="42"/>
      <c r="S8" s="42"/>
      <c r="T8" s="4"/>
      <c r="U8" s="4"/>
      <c r="V8" s="42"/>
      <c r="W8" s="4"/>
    </row>
    <row r="9" spans="1:23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13" t="s">
        <v>317</v>
      </c>
      <c r="M9" s="13" t="s">
        <v>317</v>
      </c>
      <c r="N9" s="13" t="s">
        <v>317</v>
      </c>
      <c r="O9" s="13" t="s">
        <v>317</v>
      </c>
      <c r="P9" s="4" t="s">
        <v>320</v>
      </c>
      <c r="Q9" s="4" t="s">
        <v>320</v>
      </c>
      <c r="R9" s="4" t="s">
        <v>320</v>
      </c>
      <c r="S9" s="4" t="s">
        <v>800</v>
      </c>
      <c r="T9" s="4" t="s">
        <v>321</v>
      </c>
      <c r="U9" s="4" t="s">
        <v>318</v>
      </c>
      <c r="V9" s="4" t="s">
        <v>857</v>
      </c>
      <c r="W9" s="4"/>
    </row>
    <row r="10" spans="1:23" x14ac:dyDescent="0.2">
      <c r="A10" s="4" t="s">
        <v>0</v>
      </c>
      <c r="B10" s="4" t="s">
        <v>1</v>
      </c>
      <c r="C10" s="4" t="s">
        <v>2</v>
      </c>
      <c r="D10" s="4"/>
      <c r="E10" s="4" t="s">
        <v>3</v>
      </c>
      <c r="F10" s="4" t="s">
        <v>674</v>
      </c>
      <c r="G10" s="4" t="s">
        <v>646</v>
      </c>
      <c r="H10" s="4" t="s">
        <v>5</v>
      </c>
      <c r="I10" s="4" t="s">
        <v>315</v>
      </c>
      <c r="J10" s="4" t="s">
        <v>314</v>
      </c>
      <c r="K10" s="4" t="s">
        <v>316</v>
      </c>
      <c r="L10" s="13" t="s">
        <v>490</v>
      </c>
      <c r="M10" s="13" t="s">
        <v>491</v>
      </c>
      <c r="N10" s="13" t="s">
        <v>491</v>
      </c>
      <c r="O10" s="13" t="s">
        <v>491</v>
      </c>
      <c r="P10" s="4"/>
      <c r="Q10" s="4" t="s">
        <v>690</v>
      </c>
      <c r="R10" s="4" t="s">
        <v>364</v>
      </c>
      <c r="S10" s="4" t="s">
        <v>801</v>
      </c>
      <c r="T10" s="4"/>
      <c r="U10" s="4"/>
      <c r="V10" s="4"/>
      <c r="W10" s="4" t="s">
        <v>350</v>
      </c>
    </row>
    <row r="11" spans="1:23" x14ac:dyDescent="0.2">
      <c r="A11" s="4" t="s">
        <v>7</v>
      </c>
      <c r="B11" s="4" t="s">
        <v>7</v>
      </c>
      <c r="C11" s="4"/>
      <c r="D11" s="4" t="s">
        <v>8</v>
      </c>
      <c r="E11" s="4" t="s">
        <v>9</v>
      </c>
      <c r="F11" s="4" t="s">
        <v>645</v>
      </c>
      <c r="G11" s="4"/>
      <c r="H11" s="4"/>
      <c r="I11" s="4"/>
      <c r="J11" s="4"/>
      <c r="K11" s="4"/>
      <c r="L11" s="4"/>
      <c r="M11" s="4"/>
      <c r="N11" s="4" t="s">
        <v>690</v>
      </c>
      <c r="O11" s="4" t="s">
        <v>364</v>
      </c>
      <c r="P11" s="4"/>
      <c r="Q11" s="4"/>
      <c r="R11" s="4"/>
      <c r="S11" s="4"/>
      <c r="T11" s="4"/>
      <c r="U11" s="4"/>
      <c r="V11" s="4"/>
      <c r="W11" s="4" t="s">
        <v>4</v>
      </c>
    </row>
    <row r="12" spans="1:23" x14ac:dyDescent="0.2">
      <c r="A12" s="33">
        <v>-1</v>
      </c>
      <c r="B12" s="33">
        <f t="shared" ref="B12:P12" si="1">+A12-1</f>
        <v>-2</v>
      </c>
      <c r="C12" s="33">
        <f t="shared" si="1"/>
        <v>-3</v>
      </c>
      <c r="D12" s="33">
        <f t="shared" si="1"/>
        <v>-4</v>
      </c>
      <c r="E12" s="33">
        <f t="shared" si="1"/>
        <v>-5</v>
      </c>
      <c r="F12" s="33"/>
      <c r="G12" s="33"/>
      <c r="H12" s="33">
        <f>+E12-1</f>
        <v>-6</v>
      </c>
      <c r="I12" s="33">
        <f t="shared" si="1"/>
        <v>-7</v>
      </c>
      <c r="J12" s="33">
        <f t="shared" si="1"/>
        <v>-8</v>
      </c>
      <c r="K12" s="33">
        <f t="shared" si="1"/>
        <v>-9</v>
      </c>
      <c r="L12" s="33">
        <f t="shared" si="1"/>
        <v>-10</v>
      </c>
      <c r="M12" s="33">
        <f t="shared" si="1"/>
        <v>-11</v>
      </c>
      <c r="N12" s="33">
        <f t="shared" si="1"/>
        <v>-12</v>
      </c>
      <c r="O12" s="33">
        <f>+N12-1</f>
        <v>-13</v>
      </c>
      <c r="P12" s="33">
        <f t="shared" si="1"/>
        <v>-14</v>
      </c>
      <c r="Q12" s="33">
        <f t="shared" ref="Q12:V12" si="2">+P12-1</f>
        <v>-15</v>
      </c>
      <c r="R12" s="33">
        <f t="shared" si="2"/>
        <v>-16</v>
      </c>
      <c r="S12" s="33">
        <f t="shared" si="2"/>
        <v>-17</v>
      </c>
      <c r="T12" s="33">
        <f t="shared" si="2"/>
        <v>-18</v>
      </c>
      <c r="U12" s="33">
        <f t="shared" si="2"/>
        <v>-19</v>
      </c>
      <c r="V12" s="33">
        <f t="shared" si="2"/>
        <v>-20</v>
      </c>
      <c r="W12" s="33"/>
    </row>
    <row r="13" spans="1:23" x14ac:dyDescent="0.2">
      <c r="A13" s="3"/>
      <c r="B13" s="7" t="s">
        <v>465</v>
      </c>
      <c r="C13" s="3"/>
      <c r="D13" s="3"/>
      <c r="E13" s="3"/>
      <c r="F13" s="3"/>
      <c r="G13" s="3"/>
      <c r="H13" s="8"/>
      <c r="I13" s="9"/>
      <c r="J13" s="8"/>
      <c r="K13" s="27"/>
      <c r="L13" s="1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">
      <c r="A14" s="3"/>
      <c r="B14" s="3"/>
      <c r="C14" s="3"/>
      <c r="D14" s="3"/>
      <c r="E14" s="11"/>
      <c r="F14" s="11"/>
      <c r="G14" s="11"/>
      <c r="H14" s="8"/>
      <c r="I14" s="9"/>
      <c r="J14" s="8"/>
      <c r="K14" s="10"/>
      <c r="L14" s="2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</row>
    <row r="15" spans="1:23" x14ac:dyDescent="0.2">
      <c r="A15" s="3"/>
      <c r="B15" s="7" t="s">
        <v>492</v>
      </c>
      <c r="C15" s="3"/>
      <c r="D15" s="3"/>
      <c r="E15" s="3"/>
      <c r="F15" s="3"/>
      <c r="G15" s="3"/>
      <c r="H15" s="9"/>
      <c r="I15" s="12"/>
      <c r="J15" s="12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27"/>
    </row>
    <row r="16" spans="1:23" x14ac:dyDescent="0.2">
      <c r="A16" s="3"/>
      <c r="B16" s="3"/>
      <c r="C16" s="3"/>
      <c r="D16" s="3"/>
      <c r="E16" s="11"/>
      <c r="F16" s="11"/>
      <c r="G16" s="11"/>
      <c r="H16" s="9"/>
      <c r="I16" s="12"/>
      <c r="J16" s="12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27"/>
    </row>
    <row r="17" spans="1:27" x14ac:dyDescent="0.2">
      <c r="A17" s="3">
        <f t="shared" ref="A17:A53" si="3">+A16+1</f>
        <v>1</v>
      </c>
      <c r="B17" s="48" t="s">
        <v>487</v>
      </c>
      <c r="C17" s="3"/>
      <c r="D17" s="3"/>
      <c r="E17" s="11"/>
      <c r="F17" s="11"/>
      <c r="G17" s="11"/>
      <c r="H17" s="9"/>
      <c r="I17" s="12"/>
      <c r="J17" s="1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27"/>
    </row>
    <row r="18" spans="1:27" x14ac:dyDescent="0.2">
      <c r="A18" s="3">
        <f t="shared" si="3"/>
        <v>2</v>
      </c>
      <c r="B18" s="3" t="s">
        <v>478</v>
      </c>
      <c r="C18" s="3"/>
      <c r="D18" s="3"/>
      <c r="E18" s="11"/>
      <c r="F18" s="11"/>
      <c r="G18" s="11"/>
      <c r="H18" s="9"/>
      <c r="I18" s="12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27"/>
    </row>
    <row r="19" spans="1:27" x14ac:dyDescent="0.2">
      <c r="A19" s="3">
        <f t="shared" si="3"/>
        <v>3</v>
      </c>
      <c r="B19" s="3"/>
      <c r="C19" s="3" t="s">
        <v>467</v>
      </c>
      <c r="D19" s="3"/>
      <c r="E19" s="11"/>
      <c r="F19" s="11"/>
      <c r="G19" s="11"/>
      <c r="H19" s="9">
        <f>+I19+J19</f>
        <v>212.22859267176662</v>
      </c>
      <c r="I19" s="66">
        <v>0</v>
      </c>
      <c r="J19" s="66">
        <f>+K19+L19+M19+P19+T19+U19+V19</f>
        <v>212.22859267176662</v>
      </c>
      <c r="K19" s="9">
        <f t="shared" ref="K19:V19" si="4">+K96</f>
        <v>173.97812744980013</v>
      </c>
      <c r="L19" s="9">
        <f t="shared" si="4"/>
        <v>18.484610989049678</v>
      </c>
      <c r="M19" s="9">
        <f>SUM(N19:O19)</f>
        <v>12.231252678728206</v>
      </c>
      <c r="N19" s="9">
        <f t="shared" si="4"/>
        <v>9.7297318606077238E-2</v>
      </c>
      <c r="O19" s="9">
        <f t="shared" si="4"/>
        <v>12.133955360122128</v>
      </c>
      <c r="P19" s="9">
        <f>SUM(Q19:S19)</f>
        <v>0.18638681984416949</v>
      </c>
      <c r="Q19" s="9">
        <f t="shared" si="4"/>
        <v>7.9222990323351061E-2</v>
      </c>
      <c r="R19" s="9">
        <f t="shared" si="4"/>
        <v>9.2905425752330684E-2</v>
      </c>
      <c r="S19" s="9">
        <f>+S96</f>
        <v>1.4258403768487761E-2</v>
      </c>
      <c r="T19" s="9">
        <f t="shared" si="4"/>
        <v>2.0957609086603123E-2</v>
      </c>
      <c r="U19" s="9">
        <f t="shared" si="4"/>
        <v>7.3240476650955042</v>
      </c>
      <c r="V19" s="9">
        <f t="shared" si="4"/>
        <v>3.209460162353241E-3</v>
      </c>
      <c r="W19" s="27" t="str">
        <f t="shared" ref="W19:W82" si="5">IF((+K19+L19+M19+P19+T19+U19+V19)-H19=0,"OK",(+K19+L19+M19+P19+T19+U19+V19)-H19)</f>
        <v>OK</v>
      </c>
      <c r="Y19" s="143">
        <f>+'II-I TOTAL COMPANY'!M19-TDCustSvc!H19</f>
        <v>0</v>
      </c>
      <c r="Z19" s="143"/>
      <c r="AA19" s="143"/>
    </row>
    <row r="20" spans="1:27" x14ac:dyDescent="0.2">
      <c r="A20" s="3">
        <f t="shared" si="3"/>
        <v>4</v>
      </c>
      <c r="B20" s="3"/>
      <c r="C20" s="3" t="s">
        <v>321</v>
      </c>
      <c r="D20" s="3"/>
      <c r="E20" s="11"/>
      <c r="F20" s="11"/>
      <c r="G20" s="11"/>
      <c r="H20" s="9">
        <f>+I20+J20</f>
        <v>0</v>
      </c>
      <c r="I20" s="66">
        <v>0</v>
      </c>
      <c r="J20" s="66">
        <f t="shared" ref="J20:J36" si="6">+K20+L20+M20+P20+T20+U20+V20</f>
        <v>0</v>
      </c>
      <c r="K20" s="9">
        <f t="shared" ref="K20:V20" si="7">+K111</f>
        <v>0</v>
      </c>
      <c r="L20" s="9">
        <f t="shared" si="7"/>
        <v>0</v>
      </c>
      <c r="M20" s="9">
        <f>SUM(N20:O20)</f>
        <v>0</v>
      </c>
      <c r="N20" s="9">
        <f t="shared" si="7"/>
        <v>0</v>
      </c>
      <c r="O20" s="9">
        <f t="shared" si="7"/>
        <v>0</v>
      </c>
      <c r="P20" s="9">
        <f t="shared" ref="P20:P83" si="8">SUM(Q20:S20)</f>
        <v>0</v>
      </c>
      <c r="Q20" s="9">
        <f t="shared" si="7"/>
        <v>0</v>
      </c>
      <c r="R20" s="9">
        <f t="shared" si="7"/>
        <v>0</v>
      </c>
      <c r="S20" s="9">
        <f>+S111</f>
        <v>0</v>
      </c>
      <c r="T20" s="9">
        <f t="shared" si="7"/>
        <v>0</v>
      </c>
      <c r="U20" s="9">
        <f t="shared" si="7"/>
        <v>0</v>
      </c>
      <c r="V20" s="9">
        <f t="shared" si="7"/>
        <v>0</v>
      </c>
      <c r="W20" s="27" t="str">
        <f t="shared" si="5"/>
        <v>OK</v>
      </c>
      <c r="Y20" s="143">
        <f>+'II-I TOTAL COMPANY'!M20-TDCustSvc!H20</f>
        <v>0</v>
      </c>
    </row>
    <row r="21" spans="1:27" x14ac:dyDescent="0.2">
      <c r="A21" s="3">
        <f t="shared" si="3"/>
        <v>5</v>
      </c>
      <c r="B21" s="3"/>
      <c r="C21" s="3" t="s">
        <v>176</v>
      </c>
      <c r="D21" s="3"/>
      <c r="E21" s="11"/>
      <c r="F21" s="11"/>
      <c r="G21" s="11"/>
      <c r="H21" s="9">
        <f>+I21+J21</f>
        <v>0</v>
      </c>
      <c r="I21" s="66">
        <v>0</v>
      </c>
      <c r="J21" s="66">
        <f t="shared" si="6"/>
        <v>0</v>
      </c>
      <c r="K21" s="9">
        <f t="shared" ref="K21:V21" si="9">+K147</f>
        <v>0</v>
      </c>
      <c r="L21" s="9">
        <f t="shared" si="9"/>
        <v>0</v>
      </c>
      <c r="M21" s="9">
        <f>SUM(N21:O21)</f>
        <v>0</v>
      </c>
      <c r="N21" s="9">
        <f t="shared" si="9"/>
        <v>0</v>
      </c>
      <c r="O21" s="9">
        <f t="shared" si="9"/>
        <v>0</v>
      </c>
      <c r="P21" s="9">
        <f t="shared" si="8"/>
        <v>0</v>
      </c>
      <c r="Q21" s="9">
        <f t="shared" si="9"/>
        <v>0</v>
      </c>
      <c r="R21" s="9">
        <f t="shared" si="9"/>
        <v>0</v>
      </c>
      <c r="S21" s="9">
        <f>+S147</f>
        <v>0</v>
      </c>
      <c r="T21" s="9">
        <f t="shared" si="9"/>
        <v>0</v>
      </c>
      <c r="U21" s="9">
        <f t="shared" si="9"/>
        <v>0</v>
      </c>
      <c r="V21" s="9">
        <f t="shared" si="9"/>
        <v>0</v>
      </c>
      <c r="W21" s="27" t="str">
        <f t="shared" si="5"/>
        <v>OK</v>
      </c>
      <c r="Y21" s="143">
        <f>+'II-I TOTAL COMPANY'!M21-TDCustSvc!H21</f>
        <v>0</v>
      </c>
    </row>
    <row r="22" spans="1:27" x14ac:dyDescent="0.2">
      <c r="A22" s="3">
        <f t="shared" si="3"/>
        <v>6</v>
      </c>
      <c r="B22" s="3"/>
      <c r="C22" s="3" t="s">
        <v>468</v>
      </c>
      <c r="D22" s="3"/>
      <c r="E22" s="11"/>
      <c r="F22" s="11"/>
      <c r="G22" s="11"/>
      <c r="H22" s="9">
        <f>+I22+J22</f>
        <v>5449781.4208663134</v>
      </c>
      <c r="I22" s="66">
        <v>0</v>
      </c>
      <c r="J22" s="66">
        <f t="shared" si="6"/>
        <v>5449781.4208663134</v>
      </c>
      <c r="K22" s="9">
        <f t="shared" ref="K22:V22" si="10">+K162+K168</f>
        <v>4467554.3228024552</v>
      </c>
      <c r="L22" s="9">
        <f t="shared" si="10"/>
        <v>474663.13691230334</v>
      </c>
      <c r="M22" s="9">
        <f>SUM(N22:O22)</f>
        <v>314084.22759296739</v>
      </c>
      <c r="N22" s="9">
        <f t="shared" si="10"/>
        <v>2498.481060276335</v>
      </c>
      <c r="O22" s="9">
        <f t="shared" si="10"/>
        <v>311585.74653269106</v>
      </c>
      <c r="P22" s="9">
        <f t="shared" si="8"/>
        <v>4786.1949942442516</v>
      </c>
      <c r="Q22" s="9">
        <f t="shared" si="10"/>
        <v>2034.3535022041685</v>
      </c>
      <c r="R22" s="9">
        <f t="shared" si="10"/>
        <v>2385.7024013055284</v>
      </c>
      <c r="S22" s="9">
        <f>+S162+S168</f>
        <v>366.13909073455471</v>
      </c>
      <c r="T22" s="9">
        <f t="shared" si="10"/>
        <v>538.16682845648916</v>
      </c>
      <c r="U22" s="9">
        <f t="shared" si="10"/>
        <v>188072.95656202466</v>
      </c>
      <c r="V22" s="9">
        <f t="shared" si="10"/>
        <v>82.415173863281851</v>
      </c>
      <c r="W22" s="27" t="str">
        <f t="shared" si="5"/>
        <v>OK</v>
      </c>
      <c r="Y22" s="143">
        <f>+'II-I TOTAL COMPANY'!M22-TDCustSvc!H22</f>
        <v>0</v>
      </c>
    </row>
    <row r="23" spans="1:27" x14ac:dyDescent="0.2">
      <c r="A23" s="3">
        <f t="shared" si="3"/>
        <v>7</v>
      </c>
      <c r="B23" s="3"/>
      <c r="C23" s="3"/>
      <c r="D23" s="3"/>
      <c r="E23" s="11"/>
      <c r="F23" s="11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27" t="str">
        <f t="shared" si="5"/>
        <v>OK</v>
      </c>
      <c r="Y23" s="143">
        <f>+'II-I TOTAL COMPANY'!M23-TDCustSvc!H23</f>
        <v>0</v>
      </c>
    </row>
    <row r="24" spans="1:27" x14ac:dyDescent="0.2">
      <c r="A24" s="3">
        <f t="shared" si="3"/>
        <v>8</v>
      </c>
      <c r="B24" s="3" t="s">
        <v>479</v>
      </c>
      <c r="C24" s="3"/>
      <c r="D24" s="3"/>
      <c r="E24" s="11"/>
      <c r="F24" s="8"/>
      <c r="G24" s="8"/>
      <c r="H24" s="9">
        <f>+I24+J24</f>
        <v>5449993.6494589867</v>
      </c>
      <c r="I24" s="66">
        <v>0</v>
      </c>
      <c r="J24" s="66">
        <f t="shared" si="6"/>
        <v>5449993.6494589867</v>
      </c>
      <c r="K24" s="8">
        <f t="shared" ref="K24:V24" si="11">SUM(K19:K23)</f>
        <v>4467728.3009299049</v>
      </c>
      <c r="L24" s="8">
        <f t="shared" si="11"/>
        <v>474681.62152329239</v>
      </c>
      <c r="M24" s="9">
        <f>SUM(N24:O24)</f>
        <v>314096.45884564612</v>
      </c>
      <c r="N24" s="8">
        <f t="shared" si="11"/>
        <v>2498.5783575949413</v>
      </c>
      <c r="O24" s="8">
        <f t="shared" si="11"/>
        <v>311597.88048805116</v>
      </c>
      <c r="P24" s="9">
        <f t="shared" si="8"/>
        <v>4786.3813810640959</v>
      </c>
      <c r="Q24" s="8">
        <f t="shared" si="11"/>
        <v>2034.4327251944919</v>
      </c>
      <c r="R24" s="8">
        <f t="shared" si="11"/>
        <v>2385.7953067312806</v>
      </c>
      <c r="S24" s="8">
        <f>SUM(S19:S23)</f>
        <v>366.15334913832322</v>
      </c>
      <c r="T24" s="8">
        <f t="shared" si="11"/>
        <v>538.18778606557578</v>
      </c>
      <c r="U24" s="8">
        <f t="shared" si="11"/>
        <v>188080.28060968974</v>
      </c>
      <c r="V24" s="8">
        <f t="shared" si="11"/>
        <v>82.418383323444203</v>
      </c>
      <c r="W24" s="27" t="str">
        <f t="shared" si="5"/>
        <v>OK</v>
      </c>
      <c r="Y24" s="143">
        <f>+'II-I TOTAL COMPANY'!M24-TDCustSvc!H24</f>
        <v>0</v>
      </c>
    </row>
    <row r="25" spans="1:27" x14ac:dyDescent="0.2">
      <c r="A25" s="3">
        <f t="shared" si="3"/>
        <v>9</v>
      </c>
      <c r="B25" s="3"/>
      <c r="C25" s="3"/>
      <c r="D25" s="3"/>
      <c r="E25" s="11"/>
      <c r="F25" s="11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27" t="str">
        <f t="shared" si="5"/>
        <v>OK</v>
      </c>
      <c r="Y25" s="143">
        <f>+'II-I TOTAL COMPANY'!M25-TDCustSvc!H25</f>
        <v>0</v>
      </c>
    </row>
    <row r="26" spans="1:27" x14ac:dyDescent="0.2">
      <c r="A26" s="3">
        <f t="shared" si="3"/>
        <v>10</v>
      </c>
      <c r="B26" s="3"/>
      <c r="C26" s="3" t="s">
        <v>480</v>
      </c>
      <c r="D26" s="3"/>
      <c r="E26" s="11"/>
      <c r="F26" s="11"/>
      <c r="G26" s="11"/>
      <c r="H26" s="9">
        <f>+I26+J26</f>
        <v>-1030145.8374639414</v>
      </c>
      <c r="I26" s="66">
        <v>0</v>
      </c>
      <c r="J26" s="66">
        <f t="shared" si="6"/>
        <v>-1030145.8374639414</v>
      </c>
      <c r="K26" s="9">
        <f t="shared" ref="K26:V26" si="12">-K247</f>
        <v>-844480.19725301233</v>
      </c>
      <c r="L26" s="9">
        <f t="shared" si="12"/>
        <v>-89723.278224626061</v>
      </c>
      <c r="M26" s="9">
        <f>SUM(N26:O26)</f>
        <v>-59369.823242661267</v>
      </c>
      <c r="N26" s="9">
        <f t="shared" si="12"/>
        <v>-472.27579703866792</v>
      </c>
      <c r="O26" s="9">
        <f t="shared" si="12"/>
        <v>-58897.5474456226</v>
      </c>
      <c r="P26" s="9">
        <f t="shared" si="8"/>
        <v>-904.71130305033489</v>
      </c>
      <c r="Q26" s="9">
        <f t="shared" si="12"/>
        <v>-384.54400835266512</v>
      </c>
      <c r="R26" s="9">
        <f t="shared" si="12"/>
        <v>-450.95779231122788</v>
      </c>
      <c r="S26" s="9">
        <f>-S247</f>
        <v>-69.20950238644194</v>
      </c>
      <c r="T26" s="9">
        <f t="shared" si="12"/>
        <v>-101.72707405712718</v>
      </c>
      <c r="U26" s="9">
        <f t="shared" si="12"/>
        <v>-35550.521824618139</v>
      </c>
      <c r="V26" s="9">
        <f t="shared" si="12"/>
        <v>-15.578541916206053</v>
      </c>
      <c r="W26" s="27" t="str">
        <f t="shared" si="5"/>
        <v>OK</v>
      </c>
      <c r="Y26" s="143">
        <f>+'II-I TOTAL COMPANY'!M26-TDCustSvc!H26</f>
        <v>0</v>
      </c>
    </row>
    <row r="27" spans="1:27" x14ac:dyDescent="0.2">
      <c r="A27" s="3">
        <f t="shared" si="3"/>
        <v>11</v>
      </c>
      <c r="B27" s="3"/>
      <c r="C27" s="3"/>
      <c r="D27" s="3"/>
      <c r="E27" s="3"/>
      <c r="F27" s="3"/>
      <c r="G27" s="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27" t="str">
        <f t="shared" si="5"/>
        <v>OK</v>
      </c>
      <c r="Y27" s="143">
        <f>+'II-I TOTAL COMPANY'!M27-TDCustSvc!H27</f>
        <v>0</v>
      </c>
    </row>
    <row r="28" spans="1:27" x14ac:dyDescent="0.2">
      <c r="A28" s="3">
        <f t="shared" si="3"/>
        <v>12</v>
      </c>
      <c r="B28" s="3" t="s">
        <v>481</v>
      </c>
      <c r="C28" s="3"/>
      <c r="D28" s="3"/>
      <c r="E28" s="3"/>
      <c r="F28" s="9"/>
      <c r="G28" s="9"/>
      <c r="H28" s="9">
        <f>+I28+J28</f>
        <v>4419847.8119950444</v>
      </c>
      <c r="I28" s="66">
        <v>0</v>
      </c>
      <c r="J28" s="66">
        <f t="shared" si="6"/>
        <v>4419847.8119950444</v>
      </c>
      <c r="K28" s="9">
        <f t="shared" ref="K28:V28" si="13">+K24+K26</f>
        <v>3623248.1036768928</v>
      </c>
      <c r="L28" s="9">
        <f t="shared" si="13"/>
        <v>384958.3432986663</v>
      </c>
      <c r="M28" s="9">
        <f>SUM(N28:O28)</f>
        <v>254726.63560298484</v>
      </c>
      <c r="N28" s="9">
        <f t="shared" si="13"/>
        <v>2026.3025605562734</v>
      </c>
      <c r="O28" s="9">
        <f t="shared" si="13"/>
        <v>252700.33304242857</v>
      </c>
      <c r="P28" s="9">
        <f t="shared" si="8"/>
        <v>3881.6700780137608</v>
      </c>
      <c r="Q28" s="9">
        <f t="shared" si="13"/>
        <v>1649.8887168418269</v>
      </c>
      <c r="R28" s="9">
        <f t="shared" si="13"/>
        <v>1934.8375144200527</v>
      </c>
      <c r="S28" s="9">
        <f>+S24+S26</f>
        <v>296.94384675188127</v>
      </c>
      <c r="T28" s="9">
        <f t="shared" si="13"/>
        <v>436.46071200844858</v>
      </c>
      <c r="U28" s="9">
        <f t="shared" si="13"/>
        <v>152529.75878507161</v>
      </c>
      <c r="V28" s="9">
        <f t="shared" si="13"/>
        <v>66.839841407238154</v>
      </c>
      <c r="W28" s="27" t="str">
        <f t="shared" si="5"/>
        <v>OK</v>
      </c>
      <c r="Y28" s="143">
        <f>+'II-I TOTAL COMPANY'!M28-TDCustSvc!H28</f>
        <v>0</v>
      </c>
    </row>
    <row r="29" spans="1:27" x14ac:dyDescent="0.2">
      <c r="A29" s="3">
        <f t="shared" si="3"/>
        <v>13</v>
      </c>
      <c r="B29" s="3"/>
      <c r="C29" s="3"/>
      <c r="D29" s="3"/>
      <c r="E29" s="3"/>
      <c r="F29" s="3"/>
      <c r="G29" s="3"/>
      <c r="H29" s="9"/>
      <c r="I29" s="66"/>
      <c r="J29" s="66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27" t="str">
        <f t="shared" si="5"/>
        <v>OK</v>
      </c>
      <c r="Y29" s="143">
        <f>+'II-I TOTAL COMPANY'!M29-TDCustSvc!H29</f>
        <v>0</v>
      </c>
    </row>
    <row r="30" spans="1:27" x14ac:dyDescent="0.2">
      <c r="A30" s="3">
        <f t="shared" si="3"/>
        <v>14</v>
      </c>
      <c r="B30" s="3" t="s">
        <v>482</v>
      </c>
      <c r="C30" s="3"/>
      <c r="D30" s="3"/>
      <c r="E30" s="3"/>
      <c r="F30" s="11"/>
      <c r="G30" s="11"/>
      <c r="H30" s="9">
        <f t="shared" ref="H30:H36" si="14">+I30+J30</f>
        <v>0</v>
      </c>
      <c r="I30" s="66">
        <v>0</v>
      </c>
      <c r="J30" s="66">
        <f t="shared" si="6"/>
        <v>0</v>
      </c>
      <c r="K30" s="9">
        <f t="shared" ref="K30:V30" si="15">+K266</f>
        <v>0</v>
      </c>
      <c r="L30" s="9">
        <f t="shared" si="15"/>
        <v>0</v>
      </c>
      <c r="M30" s="9">
        <f>SUM(N30:O30)</f>
        <v>0</v>
      </c>
      <c r="N30" s="9">
        <f t="shared" si="15"/>
        <v>0</v>
      </c>
      <c r="O30" s="9">
        <f t="shared" si="15"/>
        <v>0</v>
      </c>
      <c r="P30" s="9">
        <f t="shared" si="8"/>
        <v>0</v>
      </c>
      <c r="Q30" s="9">
        <f t="shared" si="15"/>
        <v>0</v>
      </c>
      <c r="R30" s="9">
        <f t="shared" si="15"/>
        <v>0</v>
      </c>
      <c r="S30" s="9">
        <f>+S266</f>
        <v>0</v>
      </c>
      <c r="T30" s="9">
        <f t="shared" si="15"/>
        <v>0</v>
      </c>
      <c r="U30" s="9">
        <f t="shared" si="15"/>
        <v>0</v>
      </c>
      <c r="V30" s="9">
        <f t="shared" si="15"/>
        <v>0</v>
      </c>
      <c r="W30" s="27" t="str">
        <f t="shared" si="5"/>
        <v>OK</v>
      </c>
      <c r="Y30" s="143">
        <f>+'II-I TOTAL COMPANY'!M30-TDCustSvc!H30</f>
        <v>0</v>
      </c>
    </row>
    <row r="31" spans="1:27" x14ac:dyDescent="0.2">
      <c r="A31" s="3">
        <f t="shared" si="3"/>
        <v>15</v>
      </c>
      <c r="B31" s="3" t="s">
        <v>483</v>
      </c>
      <c r="C31" s="3"/>
      <c r="D31" s="3"/>
      <c r="E31" s="3"/>
      <c r="F31" s="11"/>
      <c r="G31" s="11"/>
      <c r="H31" s="9">
        <f t="shared" si="14"/>
        <v>-53243.141762141589</v>
      </c>
      <c r="I31" s="66">
        <v>0</v>
      </c>
      <c r="J31" s="66">
        <f t="shared" si="6"/>
        <v>-53243.141762141589</v>
      </c>
      <c r="K31" s="9">
        <f t="shared" ref="K31:V31" si="16">+K270</f>
        <v>-42154.099518528179</v>
      </c>
      <c r="L31" s="9">
        <f t="shared" si="16"/>
        <v>-4478.7361642256528</v>
      </c>
      <c r="M31" s="9">
        <f>SUM(N31:O31)</f>
        <v>-5881.3006217706788</v>
      </c>
      <c r="N31" s="9">
        <f t="shared" si="16"/>
        <v>-46.784642214916808</v>
      </c>
      <c r="O31" s="9">
        <f t="shared" si="16"/>
        <v>-5834.515979555762</v>
      </c>
      <c r="P31" s="9">
        <f t="shared" si="8"/>
        <v>-89.020643267060976</v>
      </c>
      <c r="Q31" s="9">
        <f t="shared" si="16"/>
        <v>-38.093745136798582</v>
      </c>
      <c r="R31" s="9">
        <f t="shared" si="16"/>
        <v>-44.672835448271258</v>
      </c>
      <c r="S31" s="9">
        <f>+S270</f>
        <v>-6.2540626819911243</v>
      </c>
      <c r="T31" s="9">
        <f t="shared" si="16"/>
        <v>-10.040336206636145</v>
      </c>
      <c r="U31" s="9">
        <f t="shared" si="16"/>
        <v>-628.40123473699191</v>
      </c>
      <c r="V31" s="9">
        <f t="shared" si="16"/>
        <v>-1.5432434063948253</v>
      </c>
      <c r="W31" s="27" t="str">
        <f t="shared" si="5"/>
        <v>OK</v>
      </c>
      <c r="Y31" s="143">
        <f>+'II-I TOTAL COMPANY'!M31-TDCustSvc!H31</f>
        <v>0</v>
      </c>
    </row>
    <row r="32" spans="1:27" x14ac:dyDescent="0.2">
      <c r="A32" s="3">
        <f t="shared" si="3"/>
        <v>16</v>
      </c>
      <c r="B32" s="3" t="s">
        <v>484</v>
      </c>
      <c r="C32" s="3"/>
      <c r="D32" s="3"/>
      <c r="E32" s="3"/>
      <c r="F32" s="11"/>
      <c r="G32" s="11"/>
      <c r="H32" s="9">
        <f t="shared" si="14"/>
        <v>9801291.5712137781</v>
      </c>
      <c r="I32" s="66">
        <v>0</v>
      </c>
      <c r="J32" s="66">
        <f t="shared" si="6"/>
        <v>9801291.5712137781</v>
      </c>
      <c r="K32" s="9">
        <f t="shared" ref="K32:V32" si="17">+K276</f>
        <v>8034781.4245112874</v>
      </c>
      <c r="L32" s="9">
        <f t="shared" si="17"/>
        <v>853669.43069891154</v>
      </c>
      <c r="M32" s="9">
        <f>SUM(N32:O32)</f>
        <v>564872.39667472476</v>
      </c>
      <c r="N32" s="9">
        <f t="shared" si="17"/>
        <v>4493.4538591147693</v>
      </c>
      <c r="O32" s="9">
        <f t="shared" si="17"/>
        <v>560378.94281560997</v>
      </c>
      <c r="P32" s="9">
        <f t="shared" si="8"/>
        <v>8607.8484681344635</v>
      </c>
      <c r="Q32" s="9">
        <f t="shared" si="17"/>
        <v>3658.7323957028243</v>
      </c>
      <c r="R32" s="9">
        <f t="shared" si="17"/>
        <v>4290.6243446408389</v>
      </c>
      <c r="S32" s="9">
        <f>+S276</f>
        <v>658.49172779080163</v>
      </c>
      <c r="T32" s="9">
        <f t="shared" si="17"/>
        <v>967.87918492682445</v>
      </c>
      <c r="U32" s="9">
        <f t="shared" si="17"/>
        <v>338244.3701075266</v>
      </c>
      <c r="V32" s="9">
        <f t="shared" si="17"/>
        <v>148.22156826941074</v>
      </c>
      <c r="W32" s="27" t="str">
        <f t="shared" si="5"/>
        <v>OK</v>
      </c>
      <c r="Y32" s="143">
        <f>+'II-I TOTAL COMPANY'!M32-TDCustSvc!H32</f>
        <v>0</v>
      </c>
    </row>
    <row r="33" spans="1:25" x14ac:dyDescent="0.2">
      <c r="A33" s="3">
        <f t="shared" si="3"/>
        <v>17</v>
      </c>
      <c r="B33" s="3" t="s">
        <v>485</v>
      </c>
      <c r="C33" s="3"/>
      <c r="D33" s="3"/>
      <c r="E33" s="3"/>
      <c r="F33" s="11"/>
      <c r="G33" s="11"/>
      <c r="H33" s="9">
        <f t="shared" si="14"/>
        <v>131995.35083913393</v>
      </c>
      <c r="I33" s="66">
        <v>0</v>
      </c>
      <c r="J33" s="66">
        <f t="shared" si="6"/>
        <v>131995.35083913393</v>
      </c>
      <c r="K33" s="9">
        <f t="shared" ref="K33:V33" si="18">+K253+K259+K292</f>
        <v>102713.12137915955</v>
      </c>
      <c r="L33" s="9">
        <f t="shared" si="18"/>
        <v>10040.576620546142</v>
      </c>
      <c r="M33" s="9">
        <f>SUM(N33:O33)</f>
        <v>12792.857511572523</v>
      </c>
      <c r="N33" s="9">
        <f t="shared" si="18"/>
        <v>914.17775228168318</v>
      </c>
      <c r="O33" s="9">
        <f t="shared" si="18"/>
        <v>11878.679759290841</v>
      </c>
      <c r="P33" s="9">
        <f t="shared" si="8"/>
        <v>2305.5417586715384</v>
      </c>
      <c r="Q33" s="9">
        <f t="shared" si="18"/>
        <v>1837.8940307368532</v>
      </c>
      <c r="R33" s="9">
        <f t="shared" si="18"/>
        <v>178.34039908263901</v>
      </c>
      <c r="S33" s="9">
        <f>+S253+S259+S292</f>
        <v>289.30732885204651</v>
      </c>
      <c r="T33" s="9">
        <f t="shared" si="18"/>
        <v>10.900395526078931</v>
      </c>
      <c r="U33" s="9">
        <f t="shared" si="18"/>
        <v>4048.6708145579469</v>
      </c>
      <c r="V33" s="9">
        <f t="shared" si="18"/>
        <v>83.682359100131279</v>
      </c>
      <c r="W33" s="27" t="str">
        <f t="shared" si="5"/>
        <v>OK</v>
      </c>
      <c r="Y33" s="143">
        <f>+'II-I TOTAL COMPANY'!M33-TDCustSvc!H33</f>
        <v>2.0076017036917619</v>
      </c>
    </row>
    <row r="34" spans="1:25" x14ac:dyDescent="0.2">
      <c r="A34" s="3">
        <f t="shared" si="3"/>
        <v>18</v>
      </c>
      <c r="B34" s="3" t="s">
        <v>486</v>
      </c>
      <c r="C34" s="3"/>
      <c r="D34" s="3"/>
      <c r="E34" s="3"/>
      <c r="F34" s="11"/>
      <c r="G34" s="11"/>
      <c r="H34" s="9">
        <f t="shared" si="14"/>
        <v>-944718.08472143172</v>
      </c>
      <c r="I34" s="66">
        <v>0</v>
      </c>
      <c r="J34" s="66">
        <f t="shared" si="6"/>
        <v>-944718.08472143172</v>
      </c>
      <c r="K34" s="9">
        <f>+K306</f>
        <v>-774449.29205178493</v>
      </c>
      <c r="L34" s="9">
        <f>+L306</f>
        <v>-82282.721995917265</v>
      </c>
      <c r="M34" s="9">
        <f>+M306</f>
        <v>-54446.412987636977</v>
      </c>
      <c r="N34" s="9">
        <f t="shared" ref="N34:V34" si="19">+N306</f>
        <v>-433.11099284452058</v>
      </c>
      <c r="O34" s="9">
        <f t="shared" si="19"/>
        <v>-54013.301994792455</v>
      </c>
      <c r="P34" s="9">
        <f t="shared" si="8"/>
        <v>-829.68556330594356</v>
      </c>
      <c r="Q34" s="9">
        <f t="shared" si="19"/>
        <v>-352.6546104931947</v>
      </c>
      <c r="R34" s="9">
        <f t="shared" si="19"/>
        <v>-413.56084386195545</v>
      </c>
      <c r="S34" s="9">
        <f>+S306</f>
        <v>-63.470108950793488</v>
      </c>
      <c r="T34" s="9">
        <f t="shared" si="19"/>
        <v>-93.291069159834734</v>
      </c>
      <c r="U34" s="9">
        <f t="shared" si="19"/>
        <v>-32602.394406293279</v>
      </c>
      <c r="V34" s="9">
        <f t="shared" si="19"/>
        <v>-14.286647333413001</v>
      </c>
      <c r="W34" s="27" t="str">
        <f t="shared" si="5"/>
        <v>OK</v>
      </c>
      <c r="Y34" s="143">
        <f>+'II-I TOTAL COMPANY'!M34-TDCustSvc!H34</f>
        <v>0</v>
      </c>
    </row>
    <row r="35" spans="1:25" x14ac:dyDescent="0.2">
      <c r="A35" s="3">
        <f t="shared" si="3"/>
        <v>19</v>
      </c>
      <c r="B35" s="3" t="s">
        <v>134</v>
      </c>
      <c r="C35" s="3"/>
      <c r="D35" s="3"/>
      <c r="E35" s="3"/>
      <c r="F35" s="11"/>
      <c r="G35" s="11"/>
      <c r="H35" s="9">
        <f t="shared" si="14"/>
        <v>0</v>
      </c>
      <c r="I35" s="66"/>
      <c r="J35" s="66"/>
      <c r="K35" s="9">
        <f>K271</f>
        <v>0</v>
      </c>
      <c r="L35" s="9">
        <f>L271</f>
        <v>0</v>
      </c>
      <c r="M35" s="9">
        <f>M271</f>
        <v>0</v>
      </c>
      <c r="N35" s="9"/>
      <c r="O35" s="9"/>
      <c r="P35" s="9"/>
      <c r="Q35" s="9"/>
      <c r="R35" s="9"/>
      <c r="S35" s="9"/>
      <c r="T35" s="9"/>
      <c r="U35" s="9"/>
      <c r="V35" s="9"/>
      <c r="W35" s="27" t="str">
        <f t="shared" si="5"/>
        <v>OK</v>
      </c>
      <c r="Y35" s="143">
        <f>+'II-I TOTAL COMPANY'!M35-TDCustSvc!H35</f>
        <v>0</v>
      </c>
    </row>
    <row r="36" spans="1:25" x14ac:dyDescent="0.2">
      <c r="A36" s="3">
        <f t="shared" si="3"/>
        <v>20</v>
      </c>
      <c r="B36" s="3" t="s">
        <v>138</v>
      </c>
      <c r="C36" s="1"/>
      <c r="D36" s="3"/>
      <c r="E36" s="3"/>
      <c r="F36" s="9"/>
      <c r="G36" s="9"/>
      <c r="H36" s="9">
        <f t="shared" si="14"/>
        <v>13355173.507564388</v>
      </c>
      <c r="I36" s="66">
        <v>0</v>
      </c>
      <c r="J36" s="66">
        <f t="shared" si="6"/>
        <v>13355173.507564388</v>
      </c>
      <c r="K36" s="9">
        <f t="shared" ref="K36:V36" si="20">SUM(K28:K35)</f>
        <v>10944139.257997027</v>
      </c>
      <c r="L36" s="9">
        <f t="shared" si="20"/>
        <v>1161906.8924579811</v>
      </c>
      <c r="M36" s="9">
        <f>SUM(N36:O36)</f>
        <v>772064.17617987457</v>
      </c>
      <c r="N36" s="9">
        <f t="shared" si="20"/>
        <v>6954.0385368932884</v>
      </c>
      <c r="O36" s="9">
        <f t="shared" si="20"/>
        <v>765110.13764298125</v>
      </c>
      <c r="P36" s="9">
        <f t="shared" si="8"/>
        <v>13876.35409824676</v>
      </c>
      <c r="Q36" s="9">
        <f t="shared" si="20"/>
        <v>6755.7667876515106</v>
      </c>
      <c r="R36" s="9">
        <f t="shared" si="20"/>
        <v>5945.5685788333039</v>
      </c>
      <c r="S36" s="9">
        <f>SUM(S28:S35)</f>
        <v>1175.0187317619448</v>
      </c>
      <c r="T36" s="9">
        <f t="shared" si="20"/>
        <v>1311.908887094881</v>
      </c>
      <c r="U36" s="9">
        <f t="shared" si="20"/>
        <v>461592.00406612584</v>
      </c>
      <c r="V36" s="9">
        <f t="shared" si="20"/>
        <v>282.91387803697239</v>
      </c>
      <c r="W36" s="27" t="str">
        <f t="shared" si="5"/>
        <v>OK</v>
      </c>
      <c r="Y36" s="143">
        <f>+'II-I TOTAL COMPANY'!M36-TDCustSvc!H36</f>
        <v>2.0076017025858164</v>
      </c>
    </row>
    <row r="37" spans="1:25" x14ac:dyDescent="0.2">
      <c r="A37" s="3">
        <f t="shared" si="3"/>
        <v>21</v>
      </c>
      <c r="B37" s="3"/>
      <c r="C37" s="1"/>
      <c r="D37" s="3"/>
      <c r="E37" s="3"/>
      <c r="F37" s="3"/>
      <c r="G37" s="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27" t="str">
        <f t="shared" si="5"/>
        <v>OK</v>
      </c>
      <c r="Y37" s="143">
        <f>+'II-I TOTAL COMPANY'!M37-TDCustSvc!H37</f>
        <v>0</v>
      </c>
    </row>
    <row r="38" spans="1:25" x14ac:dyDescent="0.2">
      <c r="A38" s="3">
        <f t="shared" si="3"/>
        <v>22</v>
      </c>
      <c r="B38" s="3"/>
      <c r="C38" s="1"/>
      <c r="D38" s="3"/>
      <c r="E38" s="3"/>
      <c r="F38" s="3"/>
      <c r="G38" s="3"/>
      <c r="H38" s="8"/>
      <c r="I38" s="8"/>
      <c r="J38" s="66"/>
      <c r="K38" s="8"/>
      <c r="L38" s="8"/>
      <c r="M38" s="8"/>
      <c r="N38" s="8"/>
      <c r="O38" s="8"/>
      <c r="P38" s="9"/>
      <c r="Q38" s="8"/>
      <c r="R38" s="8"/>
      <c r="S38" s="8"/>
      <c r="T38" s="8"/>
      <c r="U38" s="8"/>
      <c r="V38" s="8"/>
      <c r="W38" s="27" t="str">
        <f t="shared" si="5"/>
        <v>OK</v>
      </c>
      <c r="Y38" s="143">
        <f>+'II-I TOTAL COMPANY'!M38-TDCustSvc!H38</f>
        <v>0</v>
      </c>
    </row>
    <row r="39" spans="1:25" s="132" customFormat="1" x14ac:dyDescent="0.2">
      <c r="A39" s="3">
        <f t="shared" si="3"/>
        <v>23</v>
      </c>
      <c r="B39" s="3" t="s">
        <v>493</v>
      </c>
      <c r="C39" s="1"/>
      <c r="D39" s="3"/>
      <c r="E39" s="3"/>
      <c r="F39" s="11"/>
      <c r="G39" s="11"/>
      <c r="H39" s="9">
        <f>+I39+J39</f>
        <v>19273107.563460864</v>
      </c>
      <c r="I39" s="66">
        <v>0</v>
      </c>
      <c r="J39" s="66">
        <f t="shared" ref="J39:J43" si="21">+K39+L39+M39+P39+T39+U39+V39</f>
        <v>19273107.563460864</v>
      </c>
      <c r="K39" s="144">
        <f>+'[2]II-H-4.1 Functions'!$D$189</f>
        <v>15708279.328989297</v>
      </c>
      <c r="L39" s="144">
        <f>+'[2]II-H-4.1 Functions'!$D$191</f>
        <v>1667059.1296076565</v>
      </c>
      <c r="M39" s="145">
        <f>SUM(N39:O39)</f>
        <v>1746841.799300642</v>
      </c>
      <c r="N39" s="144">
        <f>+'[2]II-H-4.1 Functions'!$D$194</f>
        <v>13996.627843947808</v>
      </c>
      <c r="O39" s="144">
        <f>+'[2]II-H-4.1 Functions'!$D$193</f>
        <v>1732845.1714566941</v>
      </c>
      <c r="P39" s="145">
        <f t="shared" si="8"/>
        <v>95337.200156615378</v>
      </c>
      <c r="Q39" s="144">
        <f>+'[2]II-H-4.1 Functions'!$D$198</f>
        <v>41315.412650891303</v>
      </c>
      <c r="R39" s="144">
        <f>+'[2]II-H-4.1 Functions'!$D$197</f>
        <v>48140.819437943675</v>
      </c>
      <c r="S39" s="144">
        <f>+'[2]II-H-4.1 Functions'!$D$199+'[2]II-H-4.1 Functions'!$D$200</f>
        <v>5880.9680677803935</v>
      </c>
      <c r="T39" s="144">
        <f>+'[2]II-H-4.1 Functions'!$D$203</f>
        <v>11457.395054401524</v>
      </c>
      <c r="U39" s="144">
        <f>+'[2]II-H-4.1 Functions'!$D$205</f>
        <v>44131.710352257905</v>
      </c>
      <c r="V39" s="144">
        <v>1</v>
      </c>
      <c r="W39" s="27" t="str">
        <f t="shared" si="5"/>
        <v>OK</v>
      </c>
      <c r="Y39" s="146">
        <f>+'II-I TOTAL COMPANY'!M39-TDCustSvc!H39</f>
        <v>-0.9999999925494194</v>
      </c>
    </row>
    <row r="40" spans="1:25" x14ac:dyDescent="0.2">
      <c r="A40" s="3">
        <f t="shared" si="3"/>
        <v>24</v>
      </c>
      <c r="B40" s="3" t="s">
        <v>494</v>
      </c>
      <c r="C40" s="1"/>
      <c r="D40" s="3"/>
      <c r="E40" s="3"/>
      <c r="F40" s="11"/>
      <c r="G40" s="11"/>
      <c r="H40" s="9">
        <f>+I40+J40</f>
        <v>0</v>
      </c>
      <c r="I40" s="66">
        <v>0</v>
      </c>
      <c r="J40" s="66">
        <f t="shared" si="21"/>
        <v>0</v>
      </c>
      <c r="K40" s="13">
        <f t="shared" ref="K40:V40" si="22">+K664</f>
        <v>0</v>
      </c>
      <c r="L40" s="13">
        <f t="shared" si="22"/>
        <v>0</v>
      </c>
      <c r="M40" s="9">
        <f>SUM(N40:O40)</f>
        <v>0</v>
      </c>
      <c r="N40" s="13">
        <f t="shared" si="22"/>
        <v>0</v>
      </c>
      <c r="O40" s="13">
        <f t="shared" si="22"/>
        <v>0</v>
      </c>
      <c r="P40" s="9"/>
      <c r="Q40" s="13">
        <f t="shared" si="22"/>
        <v>0</v>
      </c>
      <c r="R40" s="13">
        <f t="shared" si="22"/>
        <v>0</v>
      </c>
      <c r="S40" s="13">
        <f>+S664</f>
        <v>0</v>
      </c>
      <c r="T40" s="13">
        <f t="shared" si="22"/>
        <v>0</v>
      </c>
      <c r="U40" s="13">
        <f t="shared" si="22"/>
        <v>0</v>
      </c>
      <c r="V40" s="13">
        <f t="shared" si="22"/>
        <v>0</v>
      </c>
      <c r="W40" s="27" t="str">
        <f t="shared" si="5"/>
        <v>OK</v>
      </c>
      <c r="Y40" s="143">
        <f>+'II-I TOTAL COMPANY'!M40-TDCustSvc!H40</f>
        <v>0</v>
      </c>
    </row>
    <row r="41" spans="1:25" x14ac:dyDescent="0.2">
      <c r="A41" s="3">
        <f t="shared" si="3"/>
        <v>25</v>
      </c>
      <c r="B41" s="3" t="s">
        <v>495</v>
      </c>
      <c r="C41" s="1"/>
      <c r="D41" s="3"/>
      <c r="E41" s="3"/>
      <c r="F41" s="11"/>
      <c r="G41" s="11"/>
      <c r="H41" s="9">
        <f>+I41+J41</f>
        <v>0</v>
      </c>
      <c r="I41" s="66">
        <v>0</v>
      </c>
      <c r="J41" s="66">
        <f t="shared" si="21"/>
        <v>0</v>
      </c>
      <c r="K41" s="13">
        <f>K666</f>
        <v>0</v>
      </c>
      <c r="L41" s="13">
        <f>L666</f>
        <v>0</v>
      </c>
      <c r="M41" s="9">
        <f>SUM(N41:O41)</f>
        <v>0</v>
      </c>
      <c r="N41" s="13">
        <f>N666</f>
        <v>0</v>
      </c>
      <c r="O41" s="13">
        <f>O666</f>
        <v>0</v>
      </c>
      <c r="P41" s="9"/>
      <c r="Q41" s="13">
        <f t="shared" ref="Q41:V41" si="23">Q666</f>
        <v>0</v>
      </c>
      <c r="R41" s="13">
        <f t="shared" si="23"/>
        <v>0</v>
      </c>
      <c r="S41" s="13">
        <f t="shared" si="23"/>
        <v>0</v>
      </c>
      <c r="T41" s="13">
        <f t="shared" si="23"/>
        <v>0</v>
      </c>
      <c r="U41" s="13">
        <f t="shared" si="23"/>
        <v>0</v>
      </c>
      <c r="V41" s="13">
        <f t="shared" si="23"/>
        <v>0</v>
      </c>
      <c r="W41" s="27" t="str">
        <f t="shared" si="5"/>
        <v>OK</v>
      </c>
      <c r="Y41" s="143">
        <f>+'II-I TOTAL COMPANY'!M41-TDCustSvc!H41</f>
        <v>0</v>
      </c>
    </row>
    <row r="42" spans="1:25" x14ac:dyDescent="0.2">
      <c r="A42" s="3">
        <f t="shared" si="3"/>
        <v>26</v>
      </c>
      <c r="B42" s="3" t="s">
        <v>517</v>
      </c>
      <c r="C42" s="1"/>
      <c r="D42" s="3"/>
      <c r="E42" s="3"/>
      <c r="F42" s="11"/>
      <c r="G42" s="11"/>
      <c r="H42" s="9">
        <f>+I42+J42</f>
        <v>0</v>
      </c>
      <c r="I42" s="66">
        <v>0</v>
      </c>
      <c r="J42" s="66">
        <f t="shared" si="21"/>
        <v>0</v>
      </c>
      <c r="K42" s="13">
        <v>0</v>
      </c>
      <c r="L42" s="13">
        <v>0</v>
      </c>
      <c r="M42" s="9">
        <f>SUM(N42:O42)</f>
        <v>0</v>
      </c>
      <c r="N42" s="13">
        <v>0</v>
      </c>
      <c r="O42" s="13">
        <v>0</v>
      </c>
      <c r="P42" s="9"/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27" t="str">
        <f t="shared" si="5"/>
        <v>OK</v>
      </c>
      <c r="Y42" s="143">
        <f>+'II-I TOTAL COMPANY'!M42-TDCustSvc!H42</f>
        <v>0</v>
      </c>
    </row>
    <row r="43" spans="1:25" x14ac:dyDescent="0.2">
      <c r="A43" s="3">
        <f t="shared" si="3"/>
        <v>27</v>
      </c>
      <c r="B43" s="3" t="s">
        <v>496</v>
      </c>
      <c r="C43" s="1"/>
      <c r="D43" s="3"/>
      <c r="E43" s="3"/>
      <c r="F43" s="13"/>
      <c r="G43" s="13"/>
      <c r="H43" s="9">
        <f>+I43+J43</f>
        <v>19273107.563460864</v>
      </c>
      <c r="I43" s="66">
        <v>0</v>
      </c>
      <c r="J43" s="66">
        <f t="shared" si="21"/>
        <v>19273107.563460864</v>
      </c>
      <c r="K43" s="13">
        <f t="shared" ref="K43:V43" si="24">SUM(K39:K42)</f>
        <v>15708279.328989297</v>
      </c>
      <c r="L43" s="13">
        <f t="shared" si="24"/>
        <v>1667059.1296076565</v>
      </c>
      <c r="M43" s="9">
        <f>SUM(N43:O43)</f>
        <v>1746841.799300642</v>
      </c>
      <c r="N43" s="13">
        <f t="shared" si="24"/>
        <v>13996.627843947808</v>
      </c>
      <c r="O43" s="13">
        <f t="shared" si="24"/>
        <v>1732845.1714566941</v>
      </c>
      <c r="P43" s="9">
        <f t="shared" si="8"/>
        <v>95337.200156615378</v>
      </c>
      <c r="Q43" s="13">
        <f t="shared" si="24"/>
        <v>41315.412650891303</v>
      </c>
      <c r="R43" s="13">
        <f t="shared" si="24"/>
        <v>48140.819437943675</v>
      </c>
      <c r="S43" s="13">
        <f>SUM(S39:S42)</f>
        <v>5880.9680677803935</v>
      </c>
      <c r="T43" s="13">
        <f t="shared" si="24"/>
        <v>11457.395054401524</v>
      </c>
      <c r="U43" s="13">
        <f t="shared" si="24"/>
        <v>44131.710352257905</v>
      </c>
      <c r="V43" s="13">
        <f t="shared" si="24"/>
        <v>1</v>
      </c>
      <c r="W43" s="27" t="str">
        <f t="shared" si="5"/>
        <v>OK</v>
      </c>
      <c r="Y43" s="143">
        <f>+'II-I TOTAL COMPANY'!M43-TDCustSvc!H43</f>
        <v>-0.9999999925494194</v>
      </c>
    </row>
    <row r="44" spans="1:25" x14ac:dyDescent="0.2">
      <c r="A44" s="3">
        <f t="shared" si="3"/>
        <v>28</v>
      </c>
      <c r="B44" s="3"/>
      <c r="C44" s="1"/>
      <c r="D44" s="3"/>
      <c r="E44" s="3"/>
      <c r="F44" s="3"/>
      <c r="G44" s="3"/>
      <c r="H44" s="6"/>
      <c r="I44" s="6"/>
      <c r="J44" s="6"/>
      <c r="K44" s="13"/>
      <c r="L44" s="13"/>
      <c r="M44" s="13"/>
      <c r="N44" s="13"/>
      <c r="O44" s="13"/>
      <c r="P44" s="9"/>
      <c r="Q44" s="13"/>
      <c r="R44" s="13"/>
      <c r="S44" s="13"/>
      <c r="T44" s="13"/>
      <c r="U44" s="13"/>
      <c r="V44" s="13"/>
      <c r="W44" s="27" t="str">
        <f t="shared" si="5"/>
        <v>OK</v>
      </c>
      <c r="Y44" s="143">
        <f>+'II-I TOTAL COMPANY'!M44-TDCustSvc!H44</f>
        <v>0</v>
      </c>
    </row>
    <row r="45" spans="1:25" x14ac:dyDescent="0.2">
      <c r="A45" s="3">
        <f t="shared" si="3"/>
        <v>29</v>
      </c>
      <c r="B45" s="3" t="s">
        <v>16</v>
      </c>
      <c r="C45" s="1"/>
      <c r="D45" s="3"/>
      <c r="E45" s="3"/>
      <c r="F45" s="11"/>
      <c r="G45" s="11"/>
      <c r="H45" s="9">
        <f t="shared" ref="H45:H50" si="25">+I45+J45</f>
        <v>16659108.336877266</v>
      </c>
      <c r="I45" s="66">
        <v>0</v>
      </c>
      <c r="J45" s="66">
        <f>+K45+L45+M45+P45+T45+U45+V45</f>
        <v>16659108.336877266</v>
      </c>
      <c r="K45" s="13">
        <f t="shared" ref="K45:V45" si="26">+K429</f>
        <v>13189486.710981425</v>
      </c>
      <c r="L45" s="13">
        <f t="shared" si="26"/>
        <v>1401340.125747008</v>
      </c>
      <c r="M45" s="9">
        <f t="shared" ref="M45:M52" si="27">SUM(N45:O45)</f>
        <v>1840184.8759700321</v>
      </c>
      <c r="N45" s="13">
        <f t="shared" si="26"/>
        <v>14638.325188287898</v>
      </c>
      <c r="O45" s="13">
        <f t="shared" si="26"/>
        <v>1825546.5507817441</v>
      </c>
      <c r="P45" s="9">
        <f t="shared" si="8"/>
        <v>27853.437857398545</v>
      </c>
      <c r="Q45" s="13">
        <f t="shared" si="26"/>
        <v>11919.052974491362</v>
      </c>
      <c r="R45" s="13">
        <f t="shared" si="26"/>
        <v>13977.567454094347</v>
      </c>
      <c r="S45" s="13">
        <f>+S429</f>
        <v>1956.8174288128375</v>
      </c>
      <c r="T45" s="13">
        <f t="shared" si="26"/>
        <v>3141.4947178033517</v>
      </c>
      <c r="U45" s="13">
        <f t="shared" si="26"/>
        <v>196618.83018245676</v>
      </c>
      <c r="V45" s="13">
        <f t="shared" si="26"/>
        <v>482.8614211414411</v>
      </c>
      <c r="W45" s="27" t="str">
        <f t="shared" si="5"/>
        <v>OK</v>
      </c>
      <c r="Y45" s="143">
        <f>+'II-I TOTAL COMPANY'!M45-TDCustSvc!H45</f>
        <v>0</v>
      </c>
    </row>
    <row r="46" spans="1:25" x14ac:dyDescent="0.2">
      <c r="A46" s="3">
        <f t="shared" si="3"/>
        <v>30</v>
      </c>
      <c r="B46" s="3" t="s">
        <v>18</v>
      </c>
      <c r="C46" s="1"/>
      <c r="D46" s="3"/>
      <c r="E46" s="3"/>
      <c r="F46" s="11"/>
      <c r="G46" s="11"/>
      <c r="H46" s="9">
        <f t="shared" si="25"/>
        <v>86884.012678476589</v>
      </c>
      <c r="I46" s="66">
        <v>0</v>
      </c>
      <c r="J46" s="66">
        <f t="shared" ref="J46:J52" si="28">+K46+L46+M46+P46+T46+U46+V46</f>
        <v>86884.012678476589</v>
      </c>
      <c r="K46" s="13">
        <f t="shared" ref="K46:V46" si="29">+K597</f>
        <v>71224.699937130397</v>
      </c>
      <c r="L46" s="13">
        <f t="shared" si="29"/>
        <v>7567.3930421485238</v>
      </c>
      <c r="M46" s="9">
        <f t="shared" si="27"/>
        <v>5007.3380755808312</v>
      </c>
      <c r="N46" s="13">
        <f t="shared" si="29"/>
        <v>39.832434248982295</v>
      </c>
      <c r="O46" s="13">
        <f t="shared" si="29"/>
        <v>4967.5056413318489</v>
      </c>
      <c r="P46" s="9">
        <f t="shared" si="8"/>
        <v>76.304679848146066</v>
      </c>
      <c r="Q46" s="13">
        <f t="shared" si="29"/>
        <v>32.433006358980364</v>
      </c>
      <c r="R46" s="13">
        <f t="shared" si="29"/>
        <v>38.034442425243498</v>
      </c>
      <c r="S46" s="13">
        <f>+S597</f>
        <v>5.8372310639222071</v>
      </c>
      <c r="T46" s="13">
        <f t="shared" si="29"/>
        <v>8.5798108099748926</v>
      </c>
      <c r="U46" s="13">
        <f t="shared" si="29"/>
        <v>2998.3832158567534</v>
      </c>
      <c r="V46" s="13">
        <f t="shared" si="29"/>
        <v>1.3139171019629572</v>
      </c>
      <c r="W46" s="27" t="str">
        <f t="shared" si="5"/>
        <v>OK</v>
      </c>
      <c r="Y46" s="143">
        <f>+'II-I TOTAL COMPANY'!M46-TDCustSvc!H46</f>
        <v>0</v>
      </c>
    </row>
    <row r="47" spans="1:25" x14ac:dyDescent="0.2">
      <c r="A47" s="3">
        <f t="shared" si="3"/>
        <v>31</v>
      </c>
      <c r="B47" s="3" t="s">
        <v>19</v>
      </c>
      <c r="C47" s="1"/>
      <c r="D47" s="3"/>
      <c r="E47" s="3"/>
      <c r="F47" s="11"/>
      <c r="G47" s="11"/>
      <c r="H47" s="9">
        <f t="shared" ca="1" si="25"/>
        <v>967600.53573187906</v>
      </c>
      <c r="I47" s="66">
        <v>0</v>
      </c>
      <c r="J47" s="66">
        <f t="shared" ca="1" si="28"/>
        <v>967600.53573187906</v>
      </c>
      <c r="K47" s="13">
        <f t="shared" ref="K47:V47" ca="1" si="30">+K611</f>
        <v>793134.9353420051</v>
      </c>
      <c r="L47" s="13">
        <f t="shared" ca="1" si="30"/>
        <v>84252.164876872805</v>
      </c>
      <c r="M47" s="9">
        <f t="shared" ca="1" si="27"/>
        <v>55808.28684682466</v>
      </c>
      <c r="N47" s="13">
        <f t="shared" ca="1" si="30"/>
        <v>458.70158146571873</v>
      </c>
      <c r="O47" s="13">
        <f t="shared" ca="1" si="30"/>
        <v>55349.585265358939</v>
      </c>
      <c r="P47" s="9">
        <f t="shared" ca="1" si="8"/>
        <v>888.78760930453063</v>
      </c>
      <c r="Q47" s="13">
        <f t="shared" ca="1" si="30"/>
        <v>393.35503753385694</v>
      </c>
      <c r="R47" s="13">
        <f t="shared" ca="1" si="30"/>
        <v>425.37968837079927</v>
      </c>
      <c r="S47" s="13">
        <f ca="1">+S611</f>
        <v>70.052883399874361</v>
      </c>
      <c r="T47" s="13">
        <f t="shared" ca="1" si="30"/>
        <v>95.425075476363418</v>
      </c>
      <c r="U47" s="13">
        <f t="shared" ca="1" si="30"/>
        <v>33404.832901309986</v>
      </c>
      <c r="V47" s="13">
        <f t="shared" ca="1" si="30"/>
        <v>16.103080085629237</v>
      </c>
      <c r="W47" s="27" t="str">
        <f t="shared" ca="1" si="5"/>
        <v>OK</v>
      </c>
      <c r="Y47" s="143">
        <f ca="1">+'II-I TOTAL COMPANY'!M47-TDCustSvc!H47</f>
        <v>0</v>
      </c>
    </row>
    <row r="48" spans="1:25" s="132" customFormat="1" x14ac:dyDescent="0.2">
      <c r="A48" s="3">
        <f t="shared" si="3"/>
        <v>32</v>
      </c>
      <c r="B48" s="3" t="s">
        <v>488</v>
      </c>
      <c r="C48" s="1"/>
      <c r="D48" s="3"/>
      <c r="E48" s="3"/>
      <c r="F48" s="11"/>
      <c r="G48" s="11"/>
      <c r="H48" s="9">
        <f t="shared" ca="1" si="25"/>
        <v>268487.49550560903</v>
      </c>
      <c r="I48" s="66">
        <v>0</v>
      </c>
      <c r="J48" s="66">
        <f t="shared" ca="1" si="28"/>
        <v>268487.49550560955</v>
      </c>
      <c r="K48" s="13">
        <f ca="1">(((+K52+SUM(K626:K634))*K638)+SUM(K643:K646))</f>
        <v>299076.16184651147</v>
      </c>
      <c r="L48" s="13">
        <f ca="1">(((+L52+SUM(L626:L634))*L638)+SUM(L643:L646))</f>
        <v>31385.753730580167</v>
      </c>
      <c r="M48" s="9">
        <f ca="1">SUM(N48:O48)</f>
        <v>-35786.238430592894</v>
      </c>
      <c r="N48" s="13">
        <f ca="1">(((+N52+SUM(N626:N634))*N638)+SUM(N643:N646))</f>
        <v>-270.70159796775908</v>
      </c>
      <c r="O48" s="13">
        <f ca="1">(((+O52+SUM(O626:O634))*O638)+SUM(O643:O646))</f>
        <v>-35515.536832625134</v>
      </c>
      <c r="P48" s="9">
        <f ca="1">SUM(Q48:S48)</f>
        <v>13906.247983759886</v>
      </c>
      <c r="Q48" s="13">
        <f t="shared" ref="Q48:V48" ca="1" si="31">(((+Q52+SUM(Q626:Q634))*Q638)+SUM(Q643:Q646))</f>
        <v>6052.8486514326005</v>
      </c>
      <c r="R48" s="13">
        <f t="shared" ca="1" si="31"/>
        <v>7050.6323306970935</v>
      </c>
      <c r="S48" s="13">
        <f t="shared" ca="1" si="31"/>
        <v>802.76700163019007</v>
      </c>
      <c r="T48" s="13">
        <f t="shared" ca="1" si="31"/>
        <v>1718.7056794559714</v>
      </c>
      <c r="U48" s="13">
        <f t="shared" ca="1" si="31"/>
        <v>-41706.98552560011</v>
      </c>
      <c r="V48" s="13">
        <f t="shared" ca="1" si="31"/>
        <v>-106.14977850547864</v>
      </c>
      <c r="W48" s="27" t="str">
        <f t="shared" ca="1" si="5"/>
        <v>OK</v>
      </c>
      <c r="Y48" s="146">
        <f ca="1">+'II-I TOTAL COMPANY'!M48-TDCustSvc!H48</f>
        <v>-0.20999999868217856</v>
      </c>
    </row>
    <row r="49" spans="1:25" x14ac:dyDescent="0.2">
      <c r="A49" s="3">
        <f t="shared" si="3"/>
        <v>33</v>
      </c>
      <c r="B49" s="3" t="s">
        <v>518</v>
      </c>
      <c r="C49" s="1"/>
      <c r="D49" s="3"/>
      <c r="E49" s="3"/>
      <c r="F49" s="11"/>
      <c r="G49" s="11"/>
      <c r="H49" s="9">
        <f t="shared" si="25"/>
        <v>0</v>
      </c>
      <c r="I49" s="66">
        <v>0</v>
      </c>
      <c r="J49" s="66">
        <f t="shared" si="28"/>
        <v>0</v>
      </c>
      <c r="K49" s="13">
        <f t="shared" ref="K49:V49" si="32">+K654</f>
        <v>0</v>
      </c>
      <c r="L49" s="13">
        <f t="shared" si="32"/>
        <v>0</v>
      </c>
      <c r="M49" s="9">
        <f t="shared" si="27"/>
        <v>0</v>
      </c>
      <c r="N49" s="13">
        <f t="shared" si="32"/>
        <v>0</v>
      </c>
      <c r="O49" s="13">
        <f t="shared" si="32"/>
        <v>0</v>
      </c>
      <c r="P49" s="9"/>
      <c r="Q49" s="13">
        <f t="shared" si="32"/>
        <v>0</v>
      </c>
      <c r="R49" s="13">
        <f t="shared" si="32"/>
        <v>0</v>
      </c>
      <c r="S49" s="13">
        <f>+S654</f>
        <v>0</v>
      </c>
      <c r="T49" s="13">
        <f t="shared" si="32"/>
        <v>0</v>
      </c>
      <c r="U49" s="13">
        <f t="shared" si="32"/>
        <v>0</v>
      </c>
      <c r="V49" s="13">
        <f t="shared" si="32"/>
        <v>0</v>
      </c>
      <c r="W49" s="27" t="str">
        <f t="shared" si="5"/>
        <v>OK</v>
      </c>
      <c r="Y49" s="143">
        <f>+'II-I TOTAL COMPANY'!M49-TDCustSvc!H49</f>
        <v>0</v>
      </c>
    </row>
    <row r="50" spans="1:25" x14ac:dyDescent="0.2">
      <c r="A50" s="3">
        <f t="shared" si="3"/>
        <v>34</v>
      </c>
      <c r="B50" s="3" t="s">
        <v>497</v>
      </c>
      <c r="C50" s="1"/>
      <c r="D50" s="3"/>
      <c r="E50" s="3"/>
      <c r="F50" s="13"/>
      <c r="G50" s="13"/>
      <c r="H50" s="9">
        <f t="shared" ca="1" si="25"/>
        <v>17982080.380793232</v>
      </c>
      <c r="I50" s="66">
        <v>0</v>
      </c>
      <c r="J50" s="66">
        <f t="shared" ca="1" si="28"/>
        <v>17982080.380793232</v>
      </c>
      <c r="K50" s="13">
        <f t="shared" ref="K50:V50" ca="1" si="33">SUM(K45:K49)</f>
        <v>14352922.508107072</v>
      </c>
      <c r="L50" s="13">
        <f t="shared" ca="1" si="33"/>
        <v>1524545.4373966097</v>
      </c>
      <c r="M50" s="9">
        <f t="shared" ca="1" si="27"/>
        <v>1865214.2624618446</v>
      </c>
      <c r="N50" s="13">
        <f t="shared" ca="1" si="33"/>
        <v>14866.15760603484</v>
      </c>
      <c r="O50" s="13">
        <f t="shared" ca="1" si="33"/>
        <v>1850348.1048558098</v>
      </c>
      <c r="P50" s="9">
        <f t="shared" ca="1" si="8"/>
        <v>42724.778130311104</v>
      </c>
      <c r="Q50" s="13">
        <f t="shared" ca="1" si="33"/>
        <v>18397.689669816798</v>
      </c>
      <c r="R50" s="13">
        <f t="shared" ca="1" si="33"/>
        <v>21491.613915587484</v>
      </c>
      <c r="S50" s="13">
        <f ca="1">SUM(S45:S49)</f>
        <v>2835.4745449068241</v>
      </c>
      <c r="T50" s="13">
        <f t="shared" ca="1" si="33"/>
        <v>4964.2052835456616</v>
      </c>
      <c r="U50" s="13">
        <f t="shared" ca="1" si="33"/>
        <v>191315.06077402338</v>
      </c>
      <c r="V50" s="13">
        <f t="shared" ca="1" si="33"/>
        <v>394.12863982355464</v>
      </c>
      <c r="W50" s="27" t="str">
        <f t="shared" ca="1" si="5"/>
        <v>OK</v>
      </c>
      <c r="Y50" s="143">
        <f ca="1">+'II-I TOTAL COMPANY'!M50-TDCustSvc!H50</f>
        <v>-0.21000000089406967</v>
      </c>
    </row>
    <row r="51" spans="1:25" x14ac:dyDescent="0.2">
      <c r="A51" s="3">
        <f t="shared" si="3"/>
        <v>35</v>
      </c>
      <c r="B51" s="3"/>
      <c r="C51" s="1"/>
      <c r="D51" s="3"/>
      <c r="E51" s="3"/>
      <c r="F51" s="13"/>
      <c r="G51" s="13"/>
      <c r="H51" s="9">
        <f>+I51+J51</f>
        <v>0</v>
      </c>
      <c r="I51" s="66">
        <f t="shared" ref="I51" si="34">+V51</f>
        <v>0</v>
      </c>
      <c r="J51" s="66">
        <f t="shared" ref="J51" si="35">+K51+L51+M51+P51+T51+U51</f>
        <v>0</v>
      </c>
      <c r="K51" s="13">
        <f t="shared" ref="K51:V51" si="36">+K650</f>
        <v>0</v>
      </c>
      <c r="L51" s="13">
        <f t="shared" si="36"/>
        <v>0</v>
      </c>
      <c r="M51" s="9">
        <f t="shared" si="27"/>
        <v>0</v>
      </c>
      <c r="N51" s="13">
        <f t="shared" si="36"/>
        <v>0</v>
      </c>
      <c r="O51" s="13">
        <f t="shared" si="36"/>
        <v>0</v>
      </c>
      <c r="P51" s="9"/>
      <c r="Q51" s="13">
        <f t="shared" si="36"/>
        <v>0</v>
      </c>
      <c r="R51" s="13">
        <f t="shared" si="36"/>
        <v>0</v>
      </c>
      <c r="S51" s="13">
        <f>+S650</f>
        <v>0</v>
      </c>
      <c r="T51" s="13">
        <f t="shared" si="36"/>
        <v>0</v>
      </c>
      <c r="U51" s="13">
        <f t="shared" si="36"/>
        <v>0</v>
      </c>
      <c r="V51" s="13">
        <f t="shared" si="36"/>
        <v>0</v>
      </c>
      <c r="W51" s="27" t="str">
        <f t="shared" si="5"/>
        <v>OK</v>
      </c>
      <c r="Y51" s="143">
        <f>+'II-I TOTAL COMPANY'!M51-TDCustSvc!H51</f>
        <v>0</v>
      </c>
    </row>
    <row r="52" spans="1:25" x14ac:dyDescent="0.2">
      <c r="A52" s="3">
        <f t="shared" si="3"/>
        <v>36</v>
      </c>
      <c r="B52" s="3" t="s">
        <v>498</v>
      </c>
      <c r="C52" s="1"/>
      <c r="D52" s="3"/>
      <c r="E52" s="3"/>
      <c r="F52" s="13"/>
      <c r="G52" s="13"/>
      <c r="H52" s="9">
        <f ca="1">+I52+J52</f>
        <v>1291027.1826676407</v>
      </c>
      <c r="I52" s="66">
        <v>0</v>
      </c>
      <c r="J52" s="66">
        <f t="shared" ca="1" si="28"/>
        <v>1291027.1826676389</v>
      </c>
      <c r="K52" s="13">
        <f ca="1">+K43-K50</f>
        <v>1355356.8208822254</v>
      </c>
      <c r="L52" s="13">
        <f ca="1">+L43-L50</f>
        <v>142513.69221104681</v>
      </c>
      <c r="M52" s="9">
        <f t="shared" ca="1" si="27"/>
        <v>-118372.46316120273</v>
      </c>
      <c r="N52" s="13">
        <f ca="1">+N43-N50</f>
        <v>-869.52976208703149</v>
      </c>
      <c r="O52" s="13">
        <f ca="1">+O43-O50</f>
        <v>-117502.93339911569</v>
      </c>
      <c r="P52" s="9">
        <f t="shared" ca="1" si="8"/>
        <v>52612.422026304266</v>
      </c>
      <c r="Q52" s="13">
        <f t="shared" ref="Q52:V52" ca="1" si="37">+Q43-Q50</f>
        <v>22917.722981074505</v>
      </c>
      <c r="R52" s="13">
        <f t="shared" ca="1" si="37"/>
        <v>26649.205522356191</v>
      </c>
      <c r="S52" s="13">
        <f t="shared" ca="1" si="37"/>
        <v>3045.4935228735694</v>
      </c>
      <c r="T52" s="13">
        <f t="shared" ca="1" si="37"/>
        <v>6493.1897708558627</v>
      </c>
      <c r="U52" s="13">
        <f t="shared" ca="1" si="37"/>
        <v>-147183.35042176547</v>
      </c>
      <c r="V52" s="13">
        <f t="shared" ca="1" si="37"/>
        <v>-393.12863982355464</v>
      </c>
      <c r="W52" s="27" t="str">
        <f t="shared" ca="1" si="5"/>
        <v>OK</v>
      </c>
      <c r="Y52" s="143">
        <f ca="1">+'II-I TOTAL COMPANY'!M52-TDCustSvc!H52</f>
        <v>-0.79000000073574483</v>
      </c>
    </row>
    <row r="53" spans="1:25" x14ac:dyDescent="0.2">
      <c r="A53" s="3">
        <f t="shared" si="3"/>
        <v>37</v>
      </c>
      <c r="B53" s="3" t="s">
        <v>499</v>
      </c>
      <c r="C53" s="1"/>
      <c r="D53" s="3"/>
      <c r="E53" s="3"/>
      <c r="F53" s="90"/>
      <c r="G53" s="90"/>
      <c r="H53" s="90"/>
      <c r="I53" s="90">
        <f>IF(I36&lt;&gt;0,I52/I36,0)</f>
        <v>0</v>
      </c>
      <c r="J53" s="90">
        <f t="shared" ref="J53:V53" ca="1" si="38">IF(J36&lt;&gt;0,J52/J36,0)</f>
        <v>9.666869411590942E-2</v>
      </c>
      <c r="K53" s="90">
        <f t="shared" ca="1" si="38"/>
        <v>0.12384316289577989</v>
      </c>
      <c r="L53" s="90">
        <f t="shared" ca="1" si="38"/>
        <v>0.12265500199380273</v>
      </c>
      <c r="M53" s="90">
        <f t="shared" ca="1" si="38"/>
        <v>-0.15331946075636135</v>
      </c>
      <c r="N53" s="90">
        <f t="shared" ca="1" si="38"/>
        <v>-0.12503953745351162</v>
      </c>
      <c r="O53" s="90">
        <f t="shared" ca="1" si="38"/>
        <v>-0.1535764952234176</v>
      </c>
      <c r="P53" s="9">
        <f t="shared" ca="1" si="8"/>
        <v>10.466384396429596</v>
      </c>
      <c r="Q53" s="90">
        <f t="shared" ca="1" si="38"/>
        <v>3.3923200284184665</v>
      </c>
      <c r="R53" s="90">
        <f t="shared" ca="1" si="38"/>
        <v>4.4821963062085395</v>
      </c>
      <c r="S53" s="90">
        <f ca="1">IF(S36&lt;&gt;0,S52/S36,0)</f>
        <v>2.59186806180259</v>
      </c>
      <c r="T53" s="90">
        <f t="shared" ca="1" si="38"/>
        <v>4.9494212858291711</v>
      </c>
      <c r="U53" s="90">
        <f t="shared" ca="1" si="38"/>
        <v>-0.31886026864685585</v>
      </c>
      <c r="V53" s="90">
        <f t="shared" ca="1" si="38"/>
        <v>-1.3895700081993818</v>
      </c>
      <c r="W53" s="27">
        <f t="shared" ca="1" si="5"/>
        <v>13.80055410954575</v>
      </c>
      <c r="Y53" s="143">
        <f ca="1">+'II-I TOTAL COMPANY'!M53-TDCustSvc!H53</f>
        <v>9.666862043119949E-2</v>
      </c>
    </row>
    <row r="54" spans="1:25" s="132" customFormat="1" x14ac:dyDescent="0.2">
      <c r="A54" s="3"/>
      <c r="B54" s="3"/>
      <c r="C54" s="1"/>
      <c r="D54" s="3"/>
      <c r="E54" s="3"/>
      <c r="F54" s="3"/>
      <c r="G54" s="3"/>
      <c r="H54" s="6"/>
      <c r="I54" s="6"/>
      <c r="J54" s="6"/>
      <c r="K54" s="13"/>
      <c r="L54" s="13"/>
      <c r="M54" s="9"/>
      <c r="N54" s="13"/>
      <c r="O54" s="13"/>
      <c r="P54" s="9"/>
      <c r="Q54" s="13"/>
      <c r="R54" s="13"/>
      <c r="S54" s="13"/>
      <c r="T54" s="13"/>
      <c r="U54" s="13"/>
      <c r="V54" s="13"/>
      <c r="W54" s="27" t="str">
        <f t="shared" si="5"/>
        <v>OK</v>
      </c>
      <c r="Y54" s="146">
        <f>+'II-I TOTAL COMPANY'!M54-TDCustSvc!H54</f>
        <v>0</v>
      </c>
    </row>
    <row r="55" spans="1:25" x14ac:dyDescent="0.2">
      <c r="A55" s="3"/>
      <c r="B55" s="64" t="s">
        <v>500</v>
      </c>
      <c r="C55" s="1"/>
      <c r="D55" s="3"/>
      <c r="E55" s="3"/>
      <c r="F55" s="3"/>
      <c r="G55" s="3"/>
      <c r="H55" s="6"/>
      <c r="I55" s="6"/>
      <c r="J55" s="6"/>
      <c r="K55" s="13"/>
      <c r="L55" s="13"/>
      <c r="M55" s="9"/>
      <c r="N55" s="13"/>
      <c r="O55" s="13"/>
      <c r="P55" s="9"/>
      <c r="Q55" s="13"/>
      <c r="R55" s="13"/>
      <c r="S55" s="13"/>
      <c r="T55" s="13"/>
      <c r="U55" s="13"/>
      <c r="V55" s="13"/>
      <c r="W55" s="27" t="str">
        <f t="shared" si="5"/>
        <v>OK</v>
      </c>
      <c r="Y55" s="143">
        <f>+'II-I TOTAL COMPANY'!M55-TDCustSvc!H55</f>
        <v>0</v>
      </c>
    </row>
    <row r="56" spans="1:25" x14ac:dyDescent="0.2">
      <c r="A56" s="3"/>
      <c r="B56" s="3"/>
      <c r="C56" s="1"/>
      <c r="D56" s="3"/>
      <c r="E56" s="3"/>
      <c r="F56" s="3"/>
      <c r="G56" s="3"/>
      <c r="H56" s="6"/>
      <c r="I56" s="6"/>
      <c r="J56" s="6"/>
      <c r="K56" s="13"/>
      <c r="L56" s="13"/>
      <c r="M56" s="13"/>
      <c r="N56" s="13"/>
      <c r="O56" s="13"/>
      <c r="P56" s="9"/>
      <c r="Q56" s="13"/>
      <c r="R56" s="13"/>
      <c r="S56" s="13"/>
      <c r="T56" s="13"/>
      <c r="U56" s="13"/>
      <c r="V56" s="13"/>
      <c r="W56" s="27" t="str">
        <f t="shared" si="5"/>
        <v>OK</v>
      </c>
      <c r="Y56" s="143">
        <f>+'II-I TOTAL COMPANY'!M56-TDCustSvc!H56</f>
        <v>0</v>
      </c>
    </row>
    <row r="57" spans="1:25" x14ac:dyDescent="0.2">
      <c r="A57" s="3">
        <v>1</v>
      </c>
      <c r="B57" s="3" t="s">
        <v>501</v>
      </c>
      <c r="C57" s="1"/>
      <c r="D57" s="3"/>
      <c r="E57" s="3"/>
      <c r="F57" s="11"/>
      <c r="G57" s="11"/>
      <c r="H57" s="9">
        <f>+I57+J57</f>
        <v>13355173.507564388</v>
      </c>
      <c r="I57" s="66">
        <v>0</v>
      </c>
      <c r="J57" s="66">
        <f>+K57+L57+M57+P57+T57+U57+V57</f>
        <v>13355173.507564388</v>
      </c>
      <c r="K57" s="13">
        <f t="shared" ref="K57:V57" si="39">+K36</f>
        <v>10944139.257997027</v>
      </c>
      <c r="L57" s="13">
        <f t="shared" si="39"/>
        <v>1161906.8924579811</v>
      </c>
      <c r="M57" s="9">
        <f>SUM(N57:O57)</f>
        <v>772064.17617987457</v>
      </c>
      <c r="N57" s="13">
        <f t="shared" si="39"/>
        <v>6954.0385368932884</v>
      </c>
      <c r="O57" s="13">
        <f t="shared" si="39"/>
        <v>765110.13764298125</v>
      </c>
      <c r="P57" s="9">
        <f t="shared" si="8"/>
        <v>13876.35409824676</v>
      </c>
      <c r="Q57" s="13">
        <f t="shared" si="39"/>
        <v>6755.7667876515106</v>
      </c>
      <c r="R57" s="13">
        <f t="shared" si="39"/>
        <v>5945.5685788333039</v>
      </c>
      <c r="S57" s="13">
        <f>+S36</f>
        <v>1175.0187317619448</v>
      </c>
      <c r="T57" s="13">
        <f t="shared" si="39"/>
        <v>1311.908887094881</v>
      </c>
      <c r="U57" s="13">
        <f t="shared" si="39"/>
        <v>461592.00406612584</v>
      </c>
      <c r="V57" s="13">
        <f t="shared" si="39"/>
        <v>282.91387803697239</v>
      </c>
      <c r="W57" s="27" t="str">
        <f t="shared" si="5"/>
        <v>OK</v>
      </c>
      <c r="Y57" s="143">
        <f>+'II-I TOTAL COMPANY'!M57-TDCustSvc!H57</f>
        <v>2.0076017025858164</v>
      </c>
    </row>
    <row r="58" spans="1:25" x14ac:dyDescent="0.2">
      <c r="A58" s="3">
        <f>+A57+1</f>
        <v>2</v>
      </c>
      <c r="B58" s="3" t="s">
        <v>502</v>
      </c>
      <c r="C58" s="1"/>
      <c r="D58" s="3"/>
      <c r="E58" s="3"/>
      <c r="F58" s="25"/>
      <c r="G58" s="25"/>
      <c r="H58" s="65">
        <f>'II-I TOTAL COMPANY'!$M$58</f>
        <v>7.1754999999999999E-2</v>
      </c>
      <c r="I58" s="65">
        <f>'II-I TOTAL COMPANY'!$M$58</f>
        <v>7.1754999999999999E-2</v>
      </c>
      <c r="J58" s="65">
        <f>'II-I TOTAL COMPANY'!$M$58</f>
        <v>7.1754999999999999E-2</v>
      </c>
      <c r="K58" s="65">
        <f>'II-I TOTAL COMPANY'!$M$58</f>
        <v>7.1754999999999999E-2</v>
      </c>
      <c r="L58" s="65">
        <f>'II-I TOTAL COMPANY'!$M$58</f>
        <v>7.1754999999999999E-2</v>
      </c>
      <c r="M58" s="65">
        <f>'II-I TOTAL COMPANY'!$M$58</f>
        <v>7.1754999999999999E-2</v>
      </c>
      <c r="N58" s="65">
        <f>'II-I TOTAL COMPANY'!$M$58</f>
        <v>7.1754999999999999E-2</v>
      </c>
      <c r="O58" s="65">
        <f>'II-I TOTAL COMPANY'!$M$58</f>
        <v>7.1754999999999999E-2</v>
      </c>
      <c r="P58" s="65">
        <f>'II-I TOTAL COMPANY'!$M$58</f>
        <v>7.1754999999999999E-2</v>
      </c>
      <c r="Q58" s="65">
        <f>'II-I TOTAL COMPANY'!$M$58</f>
        <v>7.1754999999999999E-2</v>
      </c>
      <c r="R58" s="65">
        <f>'II-I TOTAL COMPANY'!$M$58</f>
        <v>7.1754999999999999E-2</v>
      </c>
      <c r="S58" s="65">
        <f>'II-I TOTAL COMPANY'!$M$58</f>
        <v>7.1754999999999999E-2</v>
      </c>
      <c r="T58" s="65">
        <f>'II-I TOTAL COMPANY'!$M$58</f>
        <v>7.1754999999999999E-2</v>
      </c>
      <c r="U58" s="65">
        <f>'II-I TOTAL COMPANY'!$M$58</f>
        <v>7.1754999999999999E-2</v>
      </c>
      <c r="V58" s="65">
        <f>'II-I TOTAL COMPANY'!$M$58</f>
        <v>7.1754999999999999E-2</v>
      </c>
      <c r="W58" s="27">
        <f t="shared" si="5"/>
        <v>0.43052999999999997</v>
      </c>
      <c r="Y58" s="143">
        <f>+'II-I TOTAL COMPANY'!M58-TDCustSvc!H58</f>
        <v>0</v>
      </c>
    </row>
    <row r="59" spans="1:25" x14ac:dyDescent="0.2">
      <c r="A59" s="3">
        <f t="shared" ref="A59:A87" si="40">+A58+1</f>
        <v>3</v>
      </c>
      <c r="B59" s="3" t="s">
        <v>503</v>
      </c>
      <c r="C59" s="1"/>
      <c r="D59" s="3"/>
      <c r="E59" s="3"/>
      <c r="F59" s="11"/>
      <c r="G59" s="11"/>
      <c r="H59" s="9">
        <f>+I59+J59</f>
        <v>958300.47503528255</v>
      </c>
      <c r="I59" s="66">
        <v>0</v>
      </c>
      <c r="J59" s="66">
        <f>+K59+L59+M59+P59+T59+U59+V59</f>
        <v>958300.47503528255</v>
      </c>
      <c r="K59" s="13">
        <f t="shared" ref="K59:V59" si="41">+K57*K58</f>
        <v>785296.71245757665</v>
      </c>
      <c r="L59" s="13">
        <f t="shared" si="41"/>
        <v>83372.629068322436</v>
      </c>
      <c r="M59" s="9">
        <f>SUM(N59:O59)</f>
        <v>55399.4649617869</v>
      </c>
      <c r="N59" s="13">
        <f t="shared" si="41"/>
        <v>498.9870352147779</v>
      </c>
      <c r="O59" s="13">
        <f t="shared" si="41"/>
        <v>54900.477926572123</v>
      </c>
      <c r="P59" s="9">
        <f t="shared" si="8"/>
        <v>995.6977883196962</v>
      </c>
      <c r="Q59" s="13">
        <f t="shared" si="41"/>
        <v>484.76004584793412</v>
      </c>
      <c r="R59" s="13">
        <f t="shared" si="41"/>
        <v>426.6242733741837</v>
      </c>
      <c r="S59" s="13">
        <f>+S57*S58</f>
        <v>84.313469097578349</v>
      </c>
      <c r="T59" s="13">
        <f t="shared" si="41"/>
        <v>94.13602219349319</v>
      </c>
      <c r="U59" s="13">
        <f t="shared" si="41"/>
        <v>33121.534251764861</v>
      </c>
      <c r="V59" s="13">
        <f t="shared" si="41"/>
        <v>20.300485318542954</v>
      </c>
      <c r="W59" s="27" t="str">
        <f t="shared" si="5"/>
        <v>OK</v>
      </c>
      <c r="Y59" s="143">
        <f>+'II-I TOTAL COMPANY'!M59-TDCustSvc!H59</f>
        <v>0.14405546023044735</v>
      </c>
    </row>
    <row r="60" spans="1:25" x14ac:dyDescent="0.2">
      <c r="A60" s="3">
        <f t="shared" si="40"/>
        <v>4</v>
      </c>
      <c r="B60" s="3"/>
      <c r="C60" s="1"/>
      <c r="D60" s="3"/>
      <c r="E60" s="3"/>
      <c r="F60" s="3"/>
      <c r="G60" s="3"/>
      <c r="H60" s="6"/>
      <c r="I60" s="6"/>
      <c r="J60" s="6"/>
      <c r="K60" s="13"/>
      <c r="L60" s="13"/>
      <c r="M60" s="13"/>
      <c r="N60" s="13"/>
      <c r="O60" s="13"/>
      <c r="P60" s="9"/>
      <c r="Q60" s="13"/>
      <c r="R60" s="13"/>
      <c r="S60" s="13"/>
      <c r="T60" s="13"/>
      <c r="U60" s="13"/>
      <c r="V60" s="13"/>
      <c r="W60" s="27" t="str">
        <f t="shared" si="5"/>
        <v>OK</v>
      </c>
      <c r="Y60" s="143">
        <f>+'II-I TOTAL COMPANY'!M60-TDCustSvc!H60</f>
        <v>0</v>
      </c>
    </row>
    <row r="61" spans="1:25" x14ac:dyDescent="0.2">
      <c r="A61" s="3">
        <f t="shared" si="40"/>
        <v>5</v>
      </c>
      <c r="B61" s="3" t="s">
        <v>504</v>
      </c>
      <c r="C61" s="1"/>
      <c r="D61" s="3"/>
      <c r="E61" s="3"/>
      <c r="F61" s="11"/>
      <c r="G61" s="11"/>
      <c r="H61" s="9">
        <f t="shared" ref="H61:H66" si="42">+I61+J61</f>
        <v>16659108.336877266</v>
      </c>
      <c r="I61" s="66">
        <v>0</v>
      </c>
      <c r="J61" s="66">
        <f t="shared" ref="J61:J66" si="43">+K61+L61+M61+P61+T61+U61+V61</f>
        <v>16659108.336877266</v>
      </c>
      <c r="K61" s="13">
        <f>+K429-K70</f>
        <v>13189486.710981425</v>
      </c>
      <c r="L61" s="13">
        <f t="shared" ref="L61:V61" si="44">+L429</f>
        <v>1401340.125747008</v>
      </c>
      <c r="M61" s="9">
        <f t="shared" ref="M61:M66" si="45">SUM(N61:O61)</f>
        <v>1840184.8759700321</v>
      </c>
      <c r="N61" s="13">
        <f t="shared" si="44"/>
        <v>14638.325188287898</v>
      </c>
      <c r="O61" s="13">
        <f t="shared" si="44"/>
        <v>1825546.5507817441</v>
      </c>
      <c r="P61" s="9">
        <f t="shared" si="8"/>
        <v>27853.437857398545</v>
      </c>
      <c r="Q61" s="13">
        <f t="shared" si="44"/>
        <v>11919.052974491362</v>
      </c>
      <c r="R61" s="13">
        <f t="shared" si="44"/>
        <v>13977.567454094347</v>
      </c>
      <c r="S61" s="13">
        <f>+S429</f>
        <v>1956.8174288128375</v>
      </c>
      <c r="T61" s="13">
        <f t="shared" si="44"/>
        <v>3141.4947178033517</v>
      </c>
      <c r="U61" s="13">
        <f t="shared" si="44"/>
        <v>196618.83018245676</v>
      </c>
      <c r="V61" s="13">
        <f t="shared" si="44"/>
        <v>482.8614211414411</v>
      </c>
      <c r="W61" s="27" t="str">
        <f t="shared" si="5"/>
        <v>OK</v>
      </c>
      <c r="Y61" s="143">
        <f>+'II-I TOTAL COMPANY'!M61-TDCustSvc!H61</f>
        <v>0</v>
      </c>
    </row>
    <row r="62" spans="1:25" x14ac:dyDescent="0.2">
      <c r="A62" s="3">
        <f t="shared" si="40"/>
        <v>6</v>
      </c>
      <c r="B62" s="3" t="s">
        <v>18</v>
      </c>
      <c r="C62" s="1"/>
      <c r="D62" s="3"/>
      <c r="E62" s="3"/>
      <c r="F62" s="11"/>
      <c r="G62" s="11"/>
      <c r="H62" s="9">
        <f t="shared" si="42"/>
        <v>86884.012678476589</v>
      </c>
      <c r="I62" s="66">
        <v>0</v>
      </c>
      <c r="J62" s="66">
        <f t="shared" si="43"/>
        <v>86884.012678476589</v>
      </c>
      <c r="K62" s="13">
        <f>+K597-K71</f>
        <v>71224.699937130397</v>
      </c>
      <c r="L62" s="13">
        <f>+L597-L71</f>
        <v>7567.3930421485238</v>
      </c>
      <c r="M62" s="9">
        <f t="shared" si="45"/>
        <v>5007.3380755808312</v>
      </c>
      <c r="N62" s="13">
        <f>+N597-N71</f>
        <v>39.832434248982295</v>
      </c>
      <c r="O62" s="13">
        <f>+O597-O71</f>
        <v>4967.5056413318489</v>
      </c>
      <c r="P62" s="9">
        <f t="shared" si="8"/>
        <v>76.304679848146066</v>
      </c>
      <c r="Q62" s="13">
        <f t="shared" ref="Q62:V62" si="46">+Q597-Q71</f>
        <v>32.433006358980364</v>
      </c>
      <c r="R62" s="13">
        <f t="shared" si="46"/>
        <v>38.034442425243498</v>
      </c>
      <c r="S62" s="13">
        <f t="shared" si="46"/>
        <v>5.8372310639222071</v>
      </c>
      <c r="T62" s="13">
        <f t="shared" si="46"/>
        <v>8.5798108099748926</v>
      </c>
      <c r="U62" s="13">
        <f t="shared" si="46"/>
        <v>2998.3832158567534</v>
      </c>
      <c r="V62" s="13">
        <f t="shared" si="46"/>
        <v>1.3139171019629572</v>
      </c>
      <c r="W62" s="27" t="str">
        <f t="shared" si="5"/>
        <v>OK</v>
      </c>
      <c r="Y62" s="143">
        <f>+'II-I TOTAL COMPANY'!M62-TDCustSvc!H62</f>
        <v>0</v>
      </c>
    </row>
    <row r="63" spans="1:25" x14ac:dyDescent="0.2">
      <c r="A63" s="3">
        <f t="shared" si="40"/>
        <v>7</v>
      </c>
      <c r="B63" s="3" t="s">
        <v>293</v>
      </c>
      <c r="C63" s="1"/>
      <c r="D63" s="3"/>
      <c r="E63" s="3"/>
      <c r="F63" s="11"/>
      <c r="G63" s="11"/>
      <c r="H63" s="9">
        <f t="shared" ca="1" si="42"/>
        <v>967600.53573187906</v>
      </c>
      <c r="I63" s="66">
        <v>0</v>
      </c>
      <c r="J63" s="66">
        <f t="shared" ca="1" si="43"/>
        <v>967600.53573187906</v>
      </c>
      <c r="K63" s="13">
        <f ca="1">+K611-K68</f>
        <v>793134.9353420051</v>
      </c>
      <c r="L63" s="13">
        <f ca="1">+L611-L68</f>
        <v>84252.164876872805</v>
      </c>
      <c r="M63" s="9">
        <f t="shared" ca="1" si="45"/>
        <v>55808.28684682466</v>
      </c>
      <c r="N63" s="13">
        <f ca="1">+N611-N68</f>
        <v>458.70158146571873</v>
      </c>
      <c r="O63" s="13">
        <f ca="1">+O611-O68</f>
        <v>55349.585265358939</v>
      </c>
      <c r="P63" s="9">
        <f t="shared" ca="1" si="8"/>
        <v>888.78760930453063</v>
      </c>
      <c r="Q63" s="13">
        <f t="shared" ref="Q63:V63" ca="1" si="47">+Q611-Q68</f>
        <v>393.35503753385694</v>
      </c>
      <c r="R63" s="13">
        <f t="shared" ca="1" si="47"/>
        <v>425.37968837079927</v>
      </c>
      <c r="S63" s="13">
        <f t="shared" ca="1" si="47"/>
        <v>70.052883399874361</v>
      </c>
      <c r="T63" s="13">
        <f t="shared" ca="1" si="47"/>
        <v>95.425075476363418</v>
      </c>
      <c r="U63" s="13">
        <f t="shared" ca="1" si="47"/>
        <v>33404.832901309986</v>
      </c>
      <c r="V63" s="13">
        <f t="shared" ca="1" si="47"/>
        <v>16.103080085629237</v>
      </c>
      <c r="W63" s="27" t="str">
        <f t="shared" ca="1" si="5"/>
        <v>OK</v>
      </c>
      <c r="Y63" s="143">
        <f ca="1">+'II-I TOTAL COMPANY'!M63-TDCustSvc!H63</f>
        <v>0</v>
      </c>
    </row>
    <row r="64" spans="1:25" x14ac:dyDescent="0.2">
      <c r="A64" s="3">
        <f t="shared" si="40"/>
        <v>8</v>
      </c>
      <c r="B64" s="3" t="s">
        <v>304</v>
      </c>
      <c r="C64" s="1"/>
      <c r="D64" s="3"/>
      <c r="E64" s="3"/>
      <c r="F64" s="11"/>
      <c r="G64" s="11"/>
      <c r="H64" s="9">
        <f t="shared" ca="1" si="42"/>
        <v>180041.15550207128</v>
      </c>
      <c r="I64" s="66">
        <v>0</v>
      </c>
      <c r="J64" s="66">
        <f t="shared" ca="1" si="43"/>
        <v>180041.15550207128</v>
      </c>
      <c r="K64" s="13">
        <f ca="1">(((+K59+SUM(K626:K634))*K638)+SUM(K642:K645))</f>
        <v>147541.19631590915</v>
      </c>
      <c r="L64" s="13">
        <f ca="1">(((+L59+SUM(L626:L634))*L638)+SUM(L642:L645))</f>
        <v>15664.711629349636</v>
      </c>
      <c r="M64" s="9">
        <f t="shared" ca="1" si="45"/>
        <v>10406.299424885357</v>
      </c>
      <c r="N64" s="13">
        <f t="shared" ref="N64:V64" ca="1" si="48">(((+N59+SUM(N626:N634))*N638)+SUM(N642:N645))</f>
        <v>93.081348150443858</v>
      </c>
      <c r="O64" s="13">
        <f t="shared" ca="1" si="48"/>
        <v>10313.218076734913</v>
      </c>
      <c r="P64" s="9">
        <f t="shared" ca="1" si="8"/>
        <v>185.34660404246821</v>
      </c>
      <c r="Q64" s="13">
        <f t="shared" ca="1" si="48"/>
        <v>89.655972448322913</v>
      </c>
      <c r="R64" s="13">
        <f t="shared" ca="1" si="48"/>
        <v>80.072758182889473</v>
      </c>
      <c r="S64" s="13">
        <f ca="1">(((+S59+SUM(S626:S634))*S638)+SUM(S642:S645))</f>
        <v>15.617873411255825</v>
      </c>
      <c r="T64" s="13">
        <f t="shared" ca="1" si="48"/>
        <v>17.691391836860703</v>
      </c>
      <c r="U64" s="13">
        <f t="shared" ca="1" si="48"/>
        <v>6222.161033186424</v>
      </c>
      <c r="V64" s="13">
        <f t="shared" ca="1" si="48"/>
        <v>3.7491028614080575</v>
      </c>
      <c r="W64" s="27" t="str">
        <f t="shared" ca="1" si="5"/>
        <v>OK</v>
      </c>
      <c r="Y64" s="143">
        <f ca="1">+'II-I TOTAL COMPANY'!M64-TDCustSvc!H64</f>
        <v>3.8293223595246673E-2</v>
      </c>
    </row>
    <row r="65" spans="1:25" x14ac:dyDescent="0.2">
      <c r="A65" s="3">
        <f t="shared" si="40"/>
        <v>9</v>
      </c>
      <c r="B65" s="3" t="s">
        <v>518</v>
      </c>
      <c r="C65" s="1"/>
      <c r="D65" s="3"/>
      <c r="E65" s="3"/>
      <c r="F65" s="11"/>
      <c r="G65" s="11"/>
      <c r="H65" s="9">
        <f t="shared" si="42"/>
        <v>0</v>
      </c>
      <c r="I65" s="66">
        <v>0</v>
      </c>
      <c r="J65" s="66">
        <f t="shared" si="43"/>
        <v>0</v>
      </c>
      <c r="K65" s="13">
        <f>+K654-K68-K69</f>
        <v>0</v>
      </c>
      <c r="L65" s="13">
        <f>+L654-L68-L69</f>
        <v>0</v>
      </c>
      <c r="M65" s="9">
        <f t="shared" si="45"/>
        <v>0</v>
      </c>
      <c r="N65" s="13">
        <f>+N654-N68-N69</f>
        <v>0</v>
      </c>
      <c r="O65" s="13">
        <f>+O654-O68-O69</f>
        <v>0</v>
      </c>
      <c r="P65" s="9"/>
      <c r="Q65" s="13">
        <f t="shared" ref="Q65:V65" si="49">+Q654-Q68-Q69</f>
        <v>0</v>
      </c>
      <c r="R65" s="13">
        <f t="shared" si="49"/>
        <v>0</v>
      </c>
      <c r="S65" s="13">
        <f t="shared" si="49"/>
        <v>0</v>
      </c>
      <c r="T65" s="13">
        <f t="shared" si="49"/>
        <v>0</v>
      </c>
      <c r="U65" s="13">
        <f t="shared" si="49"/>
        <v>0</v>
      </c>
      <c r="V65" s="13">
        <f t="shared" si="49"/>
        <v>0</v>
      </c>
      <c r="W65" s="27" t="str">
        <f t="shared" si="5"/>
        <v>OK</v>
      </c>
      <c r="Y65" s="143">
        <f>+'II-I TOTAL COMPANY'!M65-TDCustSvc!H65</f>
        <v>0</v>
      </c>
    </row>
    <row r="66" spans="1:25" x14ac:dyDescent="0.2">
      <c r="A66" s="3">
        <f t="shared" si="40"/>
        <v>10</v>
      </c>
      <c r="B66" s="3" t="s">
        <v>505</v>
      </c>
      <c r="C66" s="1"/>
      <c r="D66" s="3"/>
      <c r="E66" s="3"/>
      <c r="F66" s="13"/>
      <c r="G66" s="13"/>
      <c r="H66" s="9">
        <f t="shared" ca="1" si="42"/>
        <v>17893634.04078969</v>
      </c>
      <c r="I66" s="66">
        <v>0</v>
      </c>
      <c r="J66" s="66">
        <f t="shared" ca="1" si="43"/>
        <v>17893634.04078969</v>
      </c>
      <c r="K66" s="13">
        <f t="shared" ref="K66:V66" ca="1" si="50">SUM(K61:K65)</f>
        <v>14201387.542576469</v>
      </c>
      <c r="L66" s="13">
        <f t="shared" ca="1" si="50"/>
        <v>1508824.3952953792</v>
      </c>
      <c r="M66" s="9">
        <f t="shared" ca="1" si="45"/>
        <v>1911406.8003173228</v>
      </c>
      <c r="N66" s="13">
        <f t="shared" ca="1" si="50"/>
        <v>15229.940552153044</v>
      </c>
      <c r="O66" s="13">
        <f t="shared" ca="1" si="50"/>
        <v>1896176.8597651697</v>
      </c>
      <c r="P66" s="9">
        <f t="shared" ca="1" si="8"/>
        <v>29003.876750593692</v>
      </c>
      <c r="Q66" s="13">
        <f t="shared" ca="1" si="50"/>
        <v>12434.496990832522</v>
      </c>
      <c r="R66" s="13">
        <f t="shared" ca="1" si="50"/>
        <v>14521.05434307328</v>
      </c>
      <c r="S66" s="13">
        <f ca="1">SUM(S61:S65)</f>
        <v>2048.3254166878901</v>
      </c>
      <c r="T66" s="13">
        <f t="shared" ca="1" si="50"/>
        <v>3263.1909959265504</v>
      </c>
      <c r="U66" s="13">
        <f t="shared" ca="1" si="50"/>
        <v>239244.20733280992</v>
      </c>
      <c r="V66" s="13">
        <f t="shared" ca="1" si="50"/>
        <v>504.02752119044135</v>
      </c>
      <c r="W66" s="27" t="str">
        <f t="shared" ca="1" si="5"/>
        <v>OK</v>
      </c>
      <c r="Y66" s="143">
        <f ca="1">+'II-I TOTAL COMPANY'!M66-TDCustSvc!H66</f>
        <v>3.8293223828077316E-2</v>
      </c>
    </row>
    <row r="67" spans="1:25" x14ac:dyDescent="0.2">
      <c r="A67" s="3">
        <f t="shared" si="40"/>
        <v>11</v>
      </c>
      <c r="B67" s="3"/>
      <c r="C67" s="1"/>
      <c r="D67" s="3"/>
      <c r="E67" s="3"/>
      <c r="F67" s="3"/>
      <c r="G67" s="3"/>
      <c r="H67" s="6"/>
      <c r="I67" s="6"/>
      <c r="J67" s="6"/>
      <c r="K67" s="13"/>
      <c r="L67" s="13"/>
      <c r="M67" s="13"/>
      <c r="N67" s="13"/>
      <c r="O67" s="13"/>
      <c r="P67" s="9"/>
      <c r="Q67" s="13"/>
      <c r="R67" s="13"/>
      <c r="S67" s="13"/>
      <c r="T67" s="13"/>
      <c r="U67" s="13"/>
      <c r="V67" s="13"/>
      <c r="W67" s="27" t="str">
        <f t="shared" si="5"/>
        <v>OK</v>
      </c>
      <c r="Y67" s="143">
        <f>+'II-I TOTAL COMPANY'!M67-TDCustSvc!H67</f>
        <v>0</v>
      </c>
    </row>
    <row r="68" spans="1:25" x14ac:dyDescent="0.2">
      <c r="A68" s="3">
        <f t="shared" si="40"/>
        <v>12</v>
      </c>
      <c r="B68" s="3" t="s">
        <v>510</v>
      </c>
      <c r="C68" s="1"/>
      <c r="D68" s="3"/>
      <c r="E68" s="3"/>
      <c r="F68" s="11"/>
      <c r="G68" s="11"/>
      <c r="H68" s="9">
        <f>+I68+J68</f>
        <v>0</v>
      </c>
      <c r="I68" s="66">
        <v>0</v>
      </c>
      <c r="J68" s="66">
        <f>+K68+L68+M68+P68+T68+U68+V68</f>
        <v>0</v>
      </c>
      <c r="K68" s="13">
        <f>K607</f>
        <v>0</v>
      </c>
      <c r="L68" s="13">
        <f t="shared" ref="L68:V68" si="51">L607</f>
        <v>0</v>
      </c>
      <c r="M68" s="13">
        <f t="shared" si="51"/>
        <v>0</v>
      </c>
      <c r="N68" s="13">
        <f t="shared" si="51"/>
        <v>0</v>
      </c>
      <c r="O68" s="13">
        <f t="shared" si="51"/>
        <v>0</v>
      </c>
      <c r="P68" s="9">
        <f t="shared" si="8"/>
        <v>0</v>
      </c>
      <c r="Q68" s="13">
        <f t="shared" si="51"/>
        <v>0</v>
      </c>
      <c r="R68" s="13">
        <f t="shared" si="51"/>
        <v>0</v>
      </c>
      <c r="S68" s="13">
        <f>S607</f>
        <v>0</v>
      </c>
      <c r="T68" s="13">
        <f t="shared" si="51"/>
        <v>0</v>
      </c>
      <c r="U68" s="13">
        <f t="shared" si="51"/>
        <v>0</v>
      </c>
      <c r="V68" s="13">
        <f t="shared" si="51"/>
        <v>0</v>
      </c>
      <c r="W68" s="27" t="str">
        <f t="shared" si="5"/>
        <v>OK</v>
      </c>
      <c r="Y68" s="143">
        <f>+'II-I TOTAL COMPANY'!M68-TDCustSvc!H68</f>
        <v>0</v>
      </c>
    </row>
    <row r="69" spans="1:25" x14ac:dyDescent="0.2">
      <c r="A69" s="3">
        <f t="shared" si="40"/>
        <v>13</v>
      </c>
      <c r="B69" s="3" t="s">
        <v>449</v>
      </c>
      <c r="C69" s="1"/>
      <c r="D69" s="3"/>
      <c r="E69" s="3"/>
      <c r="F69" s="11"/>
      <c r="G69" s="11"/>
      <c r="H69" s="9">
        <f>+I69+J69</f>
        <v>0</v>
      </c>
      <c r="I69" s="66">
        <v>0</v>
      </c>
      <c r="J69" s="66">
        <f t="shared" ref="J69:J71" si="52">+K69+L69+M69+P69+T69+U69+V69</f>
        <v>0</v>
      </c>
      <c r="K69" s="13">
        <f>K652</f>
        <v>0</v>
      </c>
      <c r="L69" s="13">
        <f>L652</f>
        <v>0</v>
      </c>
      <c r="M69" s="9">
        <f>SUM(N69:O69)</f>
        <v>0</v>
      </c>
      <c r="N69" s="13">
        <f>N652</f>
        <v>0</v>
      </c>
      <c r="O69" s="13">
        <f>O652</f>
        <v>0</v>
      </c>
      <c r="P69" s="9">
        <f t="shared" si="8"/>
        <v>0</v>
      </c>
      <c r="Q69" s="13">
        <f t="shared" ref="Q69:V69" si="53">Q652</f>
        <v>0</v>
      </c>
      <c r="R69" s="13">
        <f t="shared" si="53"/>
        <v>0</v>
      </c>
      <c r="S69" s="13">
        <f t="shared" si="53"/>
        <v>0</v>
      </c>
      <c r="T69" s="13">
        <f t="shared" si="53"/>
        <v>0</v>
      </c>
      <c r="U69" s="13">
        <f t="shared" si="53"/>
        <v>0</v>
      </c>
      <c r="V69" s="13">
        <f t="shared" si="53"/>
        <v>0</v>
      </c>
      <c r="W69" s="27" t="str">
        <f t="shared" si="5"/>
        <v>OK</v>
      </c>
      <c r="Y69" s="143">
        <f>+'II-I TOTAL COMPANY'!M69-TDCustSvc!H69</f>
        <v>0</v>
      </c>
    </row>
    <row r="70" spans="1:25" x14ac:dyDescent="0.2">
      <c r="A70" s="3">
        <f t="shared" si="40"/>
        <v>14</v>
      </c>
      <c r="B70" s="3" t="s">
        <v>541</v>
      </c>
      <c r="C70" s="1"/>
      <c r="D70" s="3"/>
      <c r="E70" s="3"/>
      <c r="F70" s="11"/>
      <c r="G70" s="11"/>
      <c r="H70" s="9">
        <f>+I70+J70</f>
        <v>0</v>
      </c>
      <c r="I70" s="66">
        <v>0</v>
      </c>
      <c r="J70" s="66">
        <f t="shared" si="52"/>
        <v>0</v>
      </c>
      <c r="K70" s="13">
        <v>0</v>
      </c>
      <c r="L70" s="13">
        <v>0</v>
      </c>
      <c r="M70" s="9">
        <f>SUM(N70:O70)</f>
        <v>0</v>
      </c>
      <c r="N70" s="13">
        <v>0</v>
      </c>
      <c r="O70" s="13">
        <v>0</v>
      </c>
      <c r="P70" s="9">
        <f t="shared" si="8"/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27" t="str">
        <f t="shared" si="5"/>
        <v>OK</v>
      </c>
      <c r="Y70" s="143">
        <f>+'II-I TOTAL COMPANY'!M70-TDCustSvc!H70</f>
        <v>0</v>
      </c>
    </row>
    <row r="71" spans="1:25" x14ac:dyDescent="0.2">
      <c r="A71" s="3">
        <f t="shared" si="40"/>
        <v>15</v>
      </c>
      <c r="B71" s="3" t="s">
        <v>557</v>
      </c>
      <c r="C71" s="1"/>
      <c r="D71" s="3"/>
      <c r="E71" s="3"/>
      <c r="F71" s="11"/>
      <c r="G71" s="11"/>
      <c r="H71" s="9">
        <f>+I71+J71</f>
        <v>0</v>
      </c>
      <c r="I71" s="66">
        <v>0</v>
      </c>
      <c r="J71" s="66">
        <f t="shared" si="52"/>
        <v>0</v>
      </c>
      <c r="K71" s="13">
        <f>K590</f>
        <v>0</v>
      </c>
      <c r="L71" s="13">
        <f t="shared" ref="L71:V71" si="54">L590</f>
        <v>0</v>
      </c>
      <c r="M71" s="13">
        <f t="shared" si="54"/>
        <v>0</v>
      </c>
      <c r="N71" s="13">
        <f t="shared" si="54"/>
        <v>0</v>
      </c>
      <c r="O71" s="13">
        <f t="shared" si="54"/>
        <v>0</v>
      </c>
      <c r="P71" s="9">
        <f t="shared" si="8"/>
        <v>0</v>
      </c>
      <c r="Q71" s="13">
        <f t="shared" si="54"/>
        <v>0</v>
      </c>
      <c r="R71" s="13">
        <f t="shared" si="54"/>
        <v>0</v>
      </c>
      <c r="S71" s="13">
        <f>S590</f>
        <v>0</v>
      </c>
      <c r="T71" s="13">
        <f t="shared" si="54"/>
        <v>0</v>
      </c>
      <c r="U71" s="13">
        <f t="shared" si="54"/>
        <v>0</v>
      </c>
      <c r="V71" s="13">
        <f t="shared" si="54"/>
        <v>0</v>
      </c>
      <c r="W71" s="27" t="str">
        <f t="shared" si="5"/>
        <v>OK</v>
      </c>
      <c r="Y71" s="143">
        <f>+'II-I TOTAL COMPANY'!M71-TDCustSvc!H71</f>
        <v>0</v>
      </c>
    </row>
    <row r="72" spans="1:25" x14ac:dyDescent="0.2">
      <c r="A72" s="3">
        <f t="shared" si="40"/>
        <v>16</v>
      </c>
      <c r="B72" s="3"/>
      <c r="C72" s="1"/>
      <c r="D72" s="3"/>
      <c r="E72" s="3"/>
      <c r="F72" s="3"/>
      <c r="G72" s="3"/>
      <c r="H72" s="9"/>
      <c r="I72" s="66"/>
      <c r="J72" s="66"/>
      <c r="K72" s="13"/>
      <c r="L72" s="13"/>
      <c r="M72" s="9"/>
      <c r="N72" s="13"/>
      <c r="O72" s="13"/>
      <c r="P72" s="9"/>
      <c r="Q72" s="13"/>
      <c r="R72" s="13"/>
      <c r="S72" s="13"/>
      <c r="T72" s="13"/>
      <c r="U72" s="13"/>
      <c r="V72" s="13"/>
      <c r="W72" s="27" t="str">
        <f t="shared" si="5"/>
        <v>OK</v>
      </c>
      <c r="Y72" s="143">
        <f>+'II-I TOTAL COMPANY'!M72-TDCustSvc!H72</f>
        <v>0</v>
      </c>
    </row>
    <row r="73" spans="1:25" x14ac:dyDescent="0.2">
      <c r="A73" s="3">
        <f t="shared" si="40"/>
        <v>17</v>
      </c>
      <c r="B73" s="3"/>
      <c r="C73" s="1"/>
      <c r="D73" s="3"/>
      <c r="E73" s="3"/>
      <c r="F73" s="3"/>
      <c r="G73" s="3"/>
      <c r="H73" s="6"/>
      <c r="I73" s="6"/>
      <c r="J73" s="6"/>
      <c r="K73" s="13"/>
      <c r="L73" s="13"/>
      <c r="M73" s="9"/>
      <c r="N73" s="13"/>
      <c r="O73" s="13"/>
      <c r="P73" s="9"/>
      <c r="Q73" s="13"/>
      <c r="R73" s="13"/>
      <c r="S73" s="13"/>
      <c r="T73" s="13"/>
      <c r="U73" s="13"/>
      <c r="V73" s="13"/>
      <c r="W73" s="27" t="str">
        <f t="shared" si="5"/>
        <v>OK</v>
      </c>
      <c r="Y73" s="143">
        <f>+'II-I TOTAL COMPANY'!M73-TDCustSvc!H73</f>
        <v>0</v>
      </c>
    </row>
    <row r="74" spans="1:25" x14ac:dyDescent="0.2">
      <c r="A74" s="3">
        <f t="shared" si="40"/>
        <v>18</v>
      </c>
      <c r="B74" s="3" t="s">
        <v>606</v>
      </c>
      <c r="C74" s="1"/>
      <c r="D74" s="3"/>
      <c r="E74" s="3"/>
      <c r="F74" s="13"/>
      <c r="G74" s="13"/>
      <c r="H74" s="9">
        <f ca="1">+I74+J74</f>
        <v>18851934.515824977</v>
      </c>
      <c r="I74" s="66">
        <v>0</v>
      </c>
      <c r="J74" s="66">
        <f ca="1">+K74+L74+M74+P74+T74+U74+V74</f>
        <v>18851934.515824977</v>
      </c>
      <c r="K74" s="13">
        <f ca="1">+K59+K66+K68+K69+K70+K71+K72</f>
        <v>14986684.255034046</v>
      </c>
      <c r="L74" s="13">
        <f t="shared" ref="L74:V74" ca="1" si="55">+L59+L66+L68+L69+L70+L71+L72</f>
        <v>1592197.0243637017</v>
      </c>
      <c r="M74" s="9">
        <f ca="1">SUM(N74:O74)</f>
        <v>1966806.2652791096</v>
      </c>
      <c r="N74" s="13">
        <f t="shared" ca="1" si="55"/>
        <v>15728.927587367822</v>
      </c>
      <c r="O74" s="13">
        <f t="shared" ca="1" si="55"/>
        <v>1951077.3376917418</v>
      </c>
      <c r="P74" s="9">
        <f t="shared" ca="1" si="8"/>
        <v>29999.574538913388</v>
      </c>
      <c r="Q74" s="13">
        <f t="shared" ca="1" si="55"/>
        <v>12919.257036680456</v>
      </c>
      <c r="R74" s="13">
        <f t="shared" ca="1" si="55"/>
        <v>14947.678616447463</v>
      </c>
      <c r="S74" s="13">
        <f ca="1">+S59+S66+S68+S69+S70+S71+S72</f>
        <v>2132.6388857854686</v>
      </c>
      <c r="T74" s="13">
        <f t="shared" ca="1" si="55"/>
        <v>3357.3270181200437</v>
      </c>
      <c r="U74" s="13">
        <f t="shared" ca="1" si="55"/>
        <v>272365.7415845748</v>
      </c>
      <c r="V74" s="13">
        <f t="shared" ca="1" si="55"/>
        <v>524.32800650898434</v>
      </c>
      <c r="W74" s="27" t="str">
        <f t="shared" ca="1" si="5"/>
        <v>OK</v>
      </c>
      <c r="Y74" s="143">
        <f ca="1">+'II-I TOTAL COMPANY'!M74-TDCustSvc!H74</f>
        <v>0.18234867975115776</v>
      </c>
    </row>
    <row r="75" spans="1:25" x14ac:dyDescent="0.2">
      <c r="A75" s="3">
        <f t="shared" si="40"/>
        <v>19</v>
      </c>
      <c r="B75" s="3" t="s">
        <v>607</v>
      </c>
      <c r="C75" s="1"/>
      <c r="D75" s="3"/>
      <c r="E75" s="3"/>
      <c r="F75" s="13"/>
      <c r="G75" s="13"/>
      <c r="H75" s="9">
        <f ca="1">+I75+J75</f>
        <v>18851934.515824977</v>
      </c>
      <c r="I75" s="66">
        <v>0</v>
      </c>
      <c r="J75" s="66">
        <f ca="1">+K75+L75+M75+P75+T75+U75+V75</f>
        <v>18851934.515824977</v>
      </c>
      <c r="K75" s="13">
        <f ca="1">+K74-K78</f>
        <v>14986684.255034046</v>
      </c>
      <c r="L75" s="13">
        <f t="shared" ref="L75:T75" ca="1" si="56">+L74-L78</f>
        <v>1592197.0243637017</v>
      </c>
      <c r="M75" s="9">
        <f ca="1">SUM(N75:O75)</f>
        <v>1966806.2652791096</v>
      </c>
      <c r="N75" s="13">
        <f t="shared" ca="1" si="56"/>
        <v>15728.927587367822</v>
      </c>
      <c r="O75" s="13">
        <f t="shared" ca="1" si="56"/>
        <v>1951077.3376917418</v>
      </c>
      <c r="P75" s="9">
        <f t="shared" ca="1" si="8"/>
        <v>29999.574538913388</v>
      </c>
      <c r="Q75" s="13">
        <f t="shared" ca="1" si="56"/>
        <v>12919.257036680456</v>
      </c>
      <c r="R75" s="13">
        <f t="shared" ca="1" si="56"/>
        <v>14947.678616447463</v>
      </c>
      <c r="S75" s="13">
        <f ca="1">+S74-S78</f>
        <v>2132.6388857854686</v>
      </c>
      <c r="T75" s="13">
        <f t="shared" ca="1" si="56"/>
        <v>3357.3270181200437</v>
      </c>
      <c r="U75" s="13">
        <f ca="1">+U74-U78</f>
        <v>272365.7415845748</v>
      </c>
      <c r="V75" s="13">
        <f ca="1">+V74-V78</f>
        <v>524.32800650898434</v>
      </c>
      <c r="W75" s="27" t="str">
        <f t="shared" ca="1" si="5"/>
        <v>OK</v>
      </c>
      <c r="Y75" s="143">
        <f ca="1">+'II-I TOTAL COMPANY'!M75-TDCustSvc!H75</f>
        <v>0.18234867975115776</v>
      </c>
    </row>
    <row r="76" spans="1:25" x14ac:dyDescent="0.2">
      <c r="A76" s="3">
        <f t="shared" si="40"/>
        <v>20</v>
      </c>
      <c r="B76" s="3"/>
      <c r="C76" s="1"/>
      <c r="D76" s="3"/>
      <c r="E76" s="3"/>
      <c r="F76" s="3"/>
      <c r="G76" s="3"/>
      <c r="H76" s="6"/>
      <c r="I76" s="6"/>
      <c r="J76" s="6"/>
      <c r="K76" s="13"/>
      <c r="L76" s="13"/>
      <c r="M76" s="13"/>
      <c r="N76" s="13"/>
      <c r="O76" s="13"/>
      <c r="P76" s="9"/>
      <c r="Q76" s="13"/>
      <c r="R76" s="13"/>
      <c r="S76" s="13"/>
      <c r="T76" s="13"/>
      <c r="U76" s="13"/>
      <c r="V76" s="13"/>
      <c r="W76" s="27" t="str">
        <f t="shared" si="5"/>
        <v>OK</v>
      </c>
      <c r="Y76" s="143">
        <f>+'II-I TOTAL COMPANY'!M76-TDCustSvc!H76</f>
        <v>0</v>
      </c>
    </row>
    <row r="77" spans="1:25" s="132" customFormat="1" x14ac:dyDescent="0.2">
      <c r="A77" s="3">
        <f t="shared" si="40"/>
        <v>21</v>
      </c>
      <c r="B77" s="3" t="s">
        <v>506</v>
      </c>
      <c r="C77" s="1"/>
      <c r="D77" s="3"/>
      <c r="E77" s="3"/>
      <c r="F77" s="11"/>
      <c r="G77" s="11"/>
      <c r="H77" s="9">
        <f ca="1">+I77+J77</f>
        <v>18851934.515824977</v>
      </c>
      <c r="I77" s="66">
        <v>0</v>
      </c>
      <c r="J77" s="66">
        <f t="shared" ref="J77:J81" ca="1" si="57">+K77+L77+M77+P77+T77+U77+V77</f>
        <v>18851934.515824977</v>
      </c>
      <c r="K77" s="13">
        <f ca="1">+K74-K80-K78</f>
        <v>14986684.255034046</v>
      </c>
      <c r="L77" s="13">
        <f ca="1">+L74-L80-L78</f>
        <v>1592197.0243637017</v>
      </c>
      <c r="M77" s="9">
        <f ca="1">SUM(N77:O77)</f>
        <v>1966806.2652791096</v>
      </c>
      <c r="N77" s="13">
        <f ca="1">+N74-N80-N78</f>
        <v>15728.927587367822</v>
      </c>
      <c r="O77" s="13">
        <f ca="1">+O74-O80-O78</f>
        <v>1951077.3376917418</v>
      </c>
      <c r="P77" s="9">
        <f t="shared" ca="1" si="8"/>
        <v>29999.574538913388</v>
      </c>
      <c r="Q77" s="13">
        <f t="shared" ref="Q77:V77" ca="1" si="58">+Q74-Q80-Q78</f>
        <v>12919.257036680456</v>
      </c>
      <c r="R77" s="13">
        <f t="shared" ca="1" si="58"/>
        <v>14947.678616447463</v>
      </c>
      <c r="S77" s="13">
        <f t="shared" ca="1" si="58"/>
        <v>2132.6388857854686</v>
      </c>
      <c r="T77" s="13">
        <f t="shared" ca="1" si="58"/>
        <v>3357.3270181200437</v>
      </c>
      <c r="U77" s="13">
        <f t="shared" ca="1" si="58"/>
        <v>272365.7415845748</v>
      </c>
      <c r="V77" s="13">
        <f t="shared" ca="1" si="58"/>
        <v>524.32800650898434</v>
      </c>
      <c r="W77" s="27" t="str">
        <f t="shared" ca="1" si="5"/>
        <v>OK</v>
      </c>
      <c r="Y77" s="146">
        <f ca="1">+'II-I TOTAL COMPANY'!M77-TDCustSvc!H77</f>
        <v>0.18234867975115776</v>
      </c>
    </row>
    <row r="78" spans="1:25" x14ac:dyDescent="0.2">
      <c r="A78" s="3">
        <f t="shared" si="40"/>
        <v>22</v>
      </c>
      <c r="B78" s="3" t="s">
        <v>507</v>
      </c>
      <c r="C78" s="1"/>
      <c r="D78" s="3"/>
      <c r="E78" s="3"/>
      <c r="F78" s="11"/>
      <c r="G78" s="11"/>
      <c r="H78" s="9">
        <f>+I78+J78</f>
        <v>0</v>
      </c>
      <c r="I78" s="66">
        <v>0</v>
      </c>
      <c r="J78" s="66">
        <f t="shared" si="57"/>
        <v>0</v>
      </c>
      <c r="K78" s="13">
        <f t="shared" ref="K78:V78" si="59">K40</f>
        <v>0</v>
      </c>
      <c r="L78" s="13">
        <f t="shared" si="59"/>
        <v>0</v>
      </c>
      <c r="M78" s="9">
        <f>SUM(N78:O78)</f>
        <v>0</v>
      </c>
      <c r="N78" s="13">
        <f t="shared" si="59"/>
        <v>0</v>
      </c>
      <c r="O78" s="13">
        <f t="shared" si="59"/>
        <v>0</v>
      </c>
      <c r="P78" s="9">
        <f t="shared" si="8"/>
        <v>0</v>
      </c>
      <c r="Q78" s="13">
        <f t="shared" si="59"/>
        <v>0</v>
      </c>
      <c r="R78" s="13">
        <f t="shared" si="59"/>
        <v>0</v>
      </c>
      <c r="S78" s="13">
        <f>S40</f>
        <v>0</v>
      </c>
      <c r="T78" s="13">
        <f t="shared" si="59"/>
        <v>0</v>
      </c>
      <c r="U78" s="13">
        <f t="shared" si="59"/>
        <v>0</v>
      </c>
      <c r="V78" s="13">
        <f t="shared" si="59"/>
        <v>0</v>
      </c>
      <c r="W78" s="27" t="str">
        <f t="shared" si="5"/>
        <v>OK</v>
      </c>
      <c r="Y78" s="143">
        <f>+'II-I TOTAL COMPANY'!M78-TDCustSvc!H78</f>
        <v>0</v>
      </c>
    </row>
    <row r="79" spans="1:25" x14ac:dyDescent="0.2">
      <c r="A79" s="3">
        <f t="shared" si="40"/>
        <v>23</v>
      </c>
      <c r="B79" s="3" t="s">
        <v>508</v>
      </c>
      <c r="C79" s="1"/>
      <c r="D79" s="3"/>
      <c r="E79" s="3"/>
      <c r="F79" s="11"/>
      <c r="G79" s="11"/>
      <c r="H79" s="9">
        <f>+I79+J79</f>
        <v>0</v>
      </c>
      <c r="I79" s="66">
        <v>0</v>
      </c>
      <c r="J79" s="66">
        <f t="shared" si="57"/>
        <v>0</v>
      </c>
      <c r="K79" s="13">
        <v>0</v>
      </c>
      <c r="L79" s="13">
        <v>0</v>
      </c>
      <c r="M79" s="9">
        <f>SUM(N79:O79)</f>
        <v>0</v>
      </c>
      <c r="N79" s="13">
        <v>0</v>
      </c>
      <c r="O79" s="13">
        <v>0</v>
      </c>
      <c r="P79" s="9">
        <f t="shared" si="8"/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27" t="str">
        <f t="shared" si="5"/>
        <v>OK</v>
      </c>
      <c r="Y79" s="143">
        <f>+'II-I TOTAL COMPANY'!M79-TDCustSvc!H79</f>
        <v>0</v>
      </c>
    </row>
    <row r="80" spans="1:25" x14ac:dyDescent="0.2">
      <c r="A80" s="3">
        <f t="shared" si="40"/>
        <v>24</v>
      </c>
      <c r="B80" s="3" t="s">
        <v>511</v>
      </c>
      <c r="C80" s="1"/>
      <c r="D80" s="3"/>
      <c r="E80" s="3"/>
      <c r="F80" s="11"/>
      <c r="G80" s="11"/>
      <c r="H80" s="9">
        <f>+I80+J80</f>
        <v>0</v>
      </c>
      <c r="I80" s="66">
        <v>0</v>
      </c>
      <c r="J80" s="66">
        <f t="shared" si="57"/>
        <v>0</v>
      </c>
      <c r="K80" s="13">
        <f>+K69+K68+K70+K71</f>
        <v>0</v>
      </c>
      <c r="L80" s="13">
        <f t="shared" ref="L80:V80" si="60">+L69+L68+L70+L71</f>
        <v>0</v>
      </c>
      <c r="M80" s="9">
        <f>SUM(N80:O80)</f>
        <v>0</v>
      </c>
      <c r="N80" s="13">
        <f t="shared" si="60"/>
        <v>0</v>
      </c>
      <c r="O80" s="13">
        <f t="shared" si="60"/>
        <v>0</v>
      </c>
      <c r="P80" s="9">
        <f t="shared" si="8"/>
        <v>0</v>
      </c>
      <c r="Q80" s="13">
        <f t="shared" si="60"/>
        <v>0</v>
      </c>
      <c r="R80" s="13">
        <f t="shared" si="60"/>
        <v>0</v>
      </c>
      <c r="S80" s="13">
        <f>+S69+S68+S70+S71</f>
        <v>0</v>
      </c>
      <c r="T80" s="13">
        <f t="shared" si="60"/>
        <v>0</v>
      </c>
      <c r="U80" s="13">
        <f t="shared" si="60"/>
        <v>0</v>
      </c>
      <c r="V80" s="13">
        <f t="shared" si="60"/>
        <v>0</v>
      </c>
      <c r="W80" s="27" t="str">
        <f t="shared" si="5"/>
        <v>OK</v>
      </c>
      <c r="Y80" s="143">
        <f>+'II-I TOTAL COMPANY'!M80-TDCustSvc!H80</f>
        <v>0</v>
      </c>
    </row>
    <row r="81" spans="1:25" x14ac:dyDescent="0.2">
      <c r="A81" s="3">
        <f t="shared" si="40"/>
        <v>25</v>
      </c>
      <c r="B81" s="3" t="s">
        <v>509</v>
      </c>
      <c r="C81" s="3"/>
      <c r="D81" s="3"/>
      <c r="E81" s="3"/>
      <c r="F81" s="13"/>
      <c r="G81" s="13"/>
      <c r="H81" s="9">
        <f ca="1">+I81+J81</f>
        <v>18851934.515824977</v>
      </c>
      <c r="I81" s="66">
        <v>0</v>
      </c>
      <c r="J81" s="66">
        <f t="shared" ca="1" si="57"/>
        <v>18851934.515824977</v>
      </c>
      <c r="K81" s="13">
        <f ca="1">SUM(K77:K80)</f>
        <v>14986684.255034046</v>
      </c>
      <c r="L81" s="13">
        <f t="shared" ref="L81:V81" ca="1" si="61">SUM(L77:L80)</f>
        <v>1592197.0243637017</v>
      </c>
      <c r="M81" s="9">
        <f ca="1">SUM(N81:O81)</f>
        <v>1966806.2652791096</v>
      </c>
      <c r="N81" s="13">
        <f t="shared" ca="1" si="61"/>
        <v>15728.927587367822</v>
      </c>
      <c r="O81" s="13">
        <f t="shared" ca="1" si="61"/>
        <v>1951077.3376917418</v>
      </c>
      <c r="P81" s="9">
        <f t="shared" ca="1" si="8"/>
        <v>29999.574538913388</v>
      </c>
      <c r="Q81" s="13">
        <f t="shared" ca="1" si="61"/>
        <v>12919.257036680456</v>
      </c>
      <c r="R81" s="13">
        <f t="shared" ca="1" si="61"/>
        <v>14947.678616447463</v>
      </c>
      <c r="S81" s="13">
        <f ca="1">SUM(S77:S80)</f>
        <v>2132.6388857854686</v>
      </c>
      <c r="T81" s="13">
        <f t="shared" ca="1" si="61"/>
        <v>3357.3270181200437</v>
      </c>
      <c r="U81" s="13">
        <f t="shared" ca="1" si="61"/>
        <v>272365.7415845748</v>
      </c>
      <c r="V81" s="13">
        <f t="shared" ca="1" si="61"/>
        <v>524.32800650898434</v>
      </c>
      <c r="W81" s="27" t="str">
        <f t="shared" ca="1" si="5"/>
        <v>OK</v>
      </c>
      <c r="Y81" s="143">
        <f ca="1">+'II-I TOTAL COMPANY'!M81-TDCustSvc!H81</f>
        <v>0.18234867975115776</v>
      </c>
    </row>
    <row r="82" spans="1:25" x14ac:dyDescent="0.2">
      <c r="A82" s="3">
        <f t="shared" si="40"/>
        <v>26</v>
      </c>
      <c r="B82" s="3"/>
      <c r="C82" s="3"/>
      <c r="D82" s="3"/>
      <c r="E82" s="3"/>
      <c r="F82" s="3"/>
      <c r="G82" s="3"/>
      <c r="H82" s="6"/>
      <c r="I82" s="6"/>
      <c r="J82" s="6"/>
      <c r="K82" s="13"/>
      <c r="L82" s="13"/>
      <c r="M82" s="13"/>
      <c r="N82" s="13"/>
      <c r="O82" s="13"/>
      <c r="P82" s="9"/>
      <c r="Q82" s="13"/>
      <c r="R82" s="13"/>
      <c r="S82" s="13"/>
      <c r="T82" s="13"/>
      <c r="U82" s="13"/>
      <c r="V82" s="13"/>
      <c r="W82" s="27" t="str">
        <f t="shared" si="5"/>
        <v>OK</v>
      </c>
      <c r="Y82" s="143">
        <f>+'II-I TOTAL COMPANY'!M82-TDCustSvc!H82</f>
        <v>0</v>
      </c>
    </row>
    <row r="83" spans="1:25" x14ac:dyDescent="0.2">
      <c r="A83" s="3">
        <f t="shared" si="40"/>
        <v>27</v>
      </c>
      <c r="B83" s="3" t="s">
        <v>512</v>
      </c>
      <c r="C83" s="3"/>
      <c r="D83" s="3"/>
      <c r="E83" s="3"/>
      <c r="F83" s="11"/>
      <c r="G83" s="11"/>
      <c r="H83" s="9">
        <f ca="1">+I83+J83</f>
        <v>-421173.04763589578</v>
      </c>
      <c r="I83" s="66">
        <v>0</v>
      </c>
      <c r="J83" s="66">
        <f ca="1">+K83+L83+M83+P83+T83+U83+V83</f>
        <v>-421173.04763589578</v>
      </c>
      <c r="K83" s="13">
        <f t="shared" ref="K83:L86" ca="1" si="62">+K77-K39</f>
        <v>-721595.0739552509</v>
      </c>
      <c r="L83" s="13">
        <f t="shared" ca="1" si="62"/>
        <v>-74862.105243954808</v>
      </c>
      <c r="M83" s="9">
        <f ca="1">SUM(N83:O83)</f>
        <v>219964.46597846763</v>
      </c>
      <c r="N83" s="13">
        <f t="shared" ref="N83:O86" ca="1" si="63">+N77-N39</f>
        <v>1732.2997434200133</v>
      </c>
      <c r="O83" s="13">
        <f t="shared" ca="1" si="63"/>
        <v>218232.16623504763</v>
      </c>
      <c r="P83" s="9">
        <f t="shared" ca="1" si="8"/>
        <v>-65337.625617701982</v>
      </c>
      <c r="Q83" s="13">
        <f t="shared" ref="Q83:V86" ca="1" si="64">+Q77-Q39</f>
        <v>-28396.155614210846</v>
      </c>
      <c r="R83" s="13">
        <f t="shared" ca="1" si="64"/>
        <v>-33193.140821496214</v>
      </c>
      <c r="S83" s="13">
        <f ca="1">+S77-S39</f>
        <v>-3748.329181994925</v>
      </c>
      <c r="T83" s="13">
        <f t="shared" ca="1" si="64"/>
        <v>-8100.0680362814801</v>
      </c>
      <c r="U83" s="13">
        <f t="shared" ca="1" si="64"/>
        <v>228234.03123231689</v>
      </c>
      <c r="V83" s="13">
        <f t="shared" ca="1" si="64"/>
        <v>523.32800650898434</v>
      </c>
      <c r="W83" s="27" t="str">
        <f ca="1">IF((+K83+L83+M83+P83+T83+U83+V83)-H83=0,"OK",(+K83+L83+M83+P83+T83+U83+V83)-H83)</f>
        <v>OK</v>
      </c>
      <c r="Y83" s="143">
        <f ca="1">+'II-I TOTAL COMPANY'!M83-TDCustSvc!H83</f>
        <v>1.1823486812645569</v>
      </c>
    </row>
    <row r="84" spans="1:25" x14ac:dyDescent="0.2">
      <c r="A84" s="3">
        <f t="shared" si="40"/>
        <v>28</v>
      </c>
      <c r="B84" s="3" t="s">
        <v>513</v>
      </c>
      <c r="C84" s="3"/>
      <c r="D84" s="3"/>
      <c r="E84" s="3"/>
      <c r="F84" s="11"/>
      <c r="G84" s="11"/>
      <c r="H84" s="9">
        <f>+I84+J84</f>
        <v>0</v>
      </c>
      <c r="I84" s="66">
        <v>0</v>
      </c>
      <c r="J84" s="66">
        <f t="shared" ref="J84:J87" si="65">+K84+L84+M84+P84+T84+U84+V84</f>
        <v>0</v>
      </c>
      <c r="K84" s="13">
        <f t="shared" si="62"/>
        <v>0</v>
      </c>
      <c r="L84" s="13">
        <f t="shared" si="62"/>
        <v>0</v>
      </c>
      <c r="M84" s="9">
        <f>SUM(N84:O84)</f>
        <v>0</v>
      </c>
      <c r="N84" s="13">
        <f t="shared" si="63"/>
        <v>0</v>
      </c>
      <c r="O84" s="13">
        <f t="shared" si="63"/>
        <v>0</v>
      </c>
      <c r="P84" s="9">
        <f t="shared" ref="P84:P147" si="66">SUM(Q84:S84)</f>
        <v>0</v>
      </c>
      <c r="Q84" s="13">
        <f t="shared" si="64"/>
        <v>0</v>
      </c>
      <c r="R84" s="13">
        <f t="shared" si="64"/>
        <v>0</v>
      </c>
      <c r="S84" s="13">
        <f>+S78-S40</f>
        <v>0</v>
      </c>
      <c r="T84" s="13">
        <f t="shared" si="64"/>
        <v>0</v>
      </c>
      <c r="U84" s="13">
        <f t="shared" si="64"/>
        <v>0</v>
      </c>
      <c r="V84" s="13">
        <f t="shared" si="64"/>
        <v>0</v>
      </c>
      <c r="W84" s="27" t="str">
        <f>IF((+K84+L84+M84+P84+T84+U84+V84)-H84=0,"OK",(+K84+L84+M84+P84+T84+U84+V84)-H84)</f>
        <v>OK</v>
      </c>
      <c r="Y84" s="143">
        <f>+'II-I TOTAL COMPANY'!M84-TDCustSvc!H84</f>
        <v>0</v>
      </c>
    </row>
    <row r="85" spans="1:25" x14ac:dyDescent="0.2">
      <c r="A85" s="3">
        <f t="shared" si="40"/>
        <v>29</v>
      </c>
      <c r="B85" s="3" t="s">
        <v>514</v>
      </c>
      <c r="C85" s="3"/>
      <c r="D85" s="3"/>
      <c r="E85" s="3"/>
      <c r="F85" s="11"/>
      <c r="G85" s="11"/>
      <c r="H85" s="9">
        <f>+I85+J85</f>
        <v>0</v>
      </c>
      <c r="I85" s="66">
        <v>0</v>
      </c>
      <c r="J85" s="66">
        <f t="shared" si="65"/>
        <v>0</v>
      </c>
      <c r="K85" s="13">
        <f t="shared" si="62"/>
        <v>0</v>
      </c>
      <c r="L85" s="13">
        <f t="shared" si="62"/>
        <v>0</v>
      </c>
      <c r="M85" s="9">
        <f>SUM(N85:O85)</f>
        <v>0</v>
      </c>
      <c r="N85" s="13">
        <f t="shared" si="63"/>
        <v>0</v>
      </c>
      <c r="O85" s="13">
        <f t="shared" si="63"/>
        <v>0</v>
      </c>
      <c r="P85" s="9">
        <f t="shared" si="66"/>
        <v>0</v>
      </c>
      <c r="Q85" s="13">
        <f t="shared" si="64"/>
        <v>0</v>
      </c>
      <c r="R85" s="13">
        <f t="shared" si="64"/>
        <v>0</v>
      </c>
      <c r="S85" s="13">
        <f>+S79-S41</f>
        <v>0</v>
      </c>
      <c r="T85" s="13">
        <f t="shared" si="64"/>
        <v>0</v>
      </c>
      <c r="U85" s="13">
        <f t="shared" si="64"/>
        <v>0</v>
      </c>
      <c r="V85" s="13">
        <f t="shared" si="64"/>
        <v>0</v>
      </c>
      <c r="W85" s="27" t="str">
        <f>IF((+K85+L85+M85+P85+T85+U85+V85)-H85=0,"OK",(+K85+L85+M85+P85+T85+U85+V85)-H85)</f>
        <v>OK</v>
      </c>
      <c r="Y85" s="143">
        <f>+'II-I TOTAL COMPANY'!M85-TDCustSvc!H85</f>
        <v>0</v>
      </c>
    </row>
    <row r="86" spans="1:25" x14ac:dyDescent="0.2">
      <c r="A86" s="3">
        <f t="shared" si="40"/>
        <v>30</v>
      </c>
      <c r="B86" s="3" t="s">
        <v>515</v>
      </c>
      <c r="C86" s="3"/>
      <c r="D86" s="3"/>
      <c r="E86" s="3"/>
      <c r="F86" s="11"/>
      <c r="G86" s="11"/>
      <c r="H86" s="9">
        <f>+I86+J86</f>
        <v>0</v>
      </c>
      <c r="I86" s="66">
        <v>0</v>
      </c>
      <c r="J86" s="66">
        <f t="shared" si="65"/>
        <v>0</v>
      </c>
      <c r="K86" s="13">
        <f t="shared" si="62"/>
        <v>0</v>
      </c>
      <c r="L86" s="13">
        <f t="shared" si="62"/>
        <v>0</v>
      </c>
      <c r="M86" s="9">
        <f>SUM(N86:O86)</f>
        <v>0</v>
      </c>
      <c r="N86" s="13">
        <f t="shared" si="63"/>
        <v>0</v>
      </c>
      <c r="O86" s="13">
        <f t="shared" si="63"/>
        <v>0</v>
      </c>
      <c r="P86" s="9">
        <f t="shared" si="66"/>
        <v>0</v>
      </c>
      <c r="Q86" s="13">
        <f t="shared" si="64"/>
        <v>0</v>
      </c>
      <c r="R86" s="13">
        <f t="shared" si="64"/>
        <v>0</v>
      </c>
      <c r="S86" s="13">
        <f>+S80-S42</f>
        <v>0</v>
      </c>
      <c r="T86" s="13">
        <f t="shared" si="64"/>
        <v>0</v>
      </c>
      <c r="U86" s="13">
        <f t="shared" si="64"/>
        <v>0</v>
      </c>
      <c r="V86" s="13">
        <f t="shared" si="64"/>
        <v>0</v>
      </c>
      <c r="W86" s="27" t="str">
        <f>IF((+K86+L86+M86+P86+T86+U86+V86)-H86=0,"OK",(+K86+L86+M86+P86+T86+U86+V86)-H86)</f>
        <v>OK</v>
      </c>
      <c r="Y86" s="143">
        <f>+'II-I TOTAL COMPANY'!M86-TDCustSvc!H86</f>
        <v>0</v>
      </c>
    </row>
    <row r="87" spans="1:25" x14ac:dyDescent="0.2">
      <c r="A87" s="3">
        <f t="shared" si="40"/>
        <v>31</v>
      </c>
      <c r="B87" s="3" t="s">
        <v>516</v>
      </c>
      <c r="C87" s="3"/>
      <c r="D87" s="3"/>
      <c r="E87" s="3"/>
      <c r="F87" s="13"/>
      <c r="G87" s="13"/>
      <c r="H87" s="9">
        <f ca="1">+I87+J87</f>
        <v>-421173.04763589578</v>
      </c>
      <c r="I87" s="66">
        <v>0</v>
      </c>
      <c r="J87" s="66">
        <f t="shared" ca="1" si="65"/>
        <v>-421173.04763589578</v>
      </c>
      <c r="K87" s="13">
        <f ca="1">SUM(K83:K86)</f>
        <v>-721595.0739552509</v>
      </c>
      <c r="L87" s="13">
        <f t="shared" ref="L87:V87" ca="1" si="67">SUM(L83:L86)</f>
        <v>-74862.105243954808</v>
      </c>
      <c r="M87" s="9">
        <f ca="1">SUM(N87:O87)</f>
        <v>219964.46597846763</v>
      </c>
      <c r="N87" s="13">
        <f t="shared" ca="1" si="67"/>
        <v>1732.2997434200133</v>
      </c>
      <c r="O87" s="13">
        <f t="shared" ca="1" si="67"/>
        <v>218232.16623504763</v>
      </c>
      <c r="P87" s="9">
        <f t="shared" ca="1" si="66"/>
        <v>-65337.625617701982</v>
      </c>
      <c r="Q87" s="13">
        <f t="shared" ca="1" si="67"/>
        <v>-28396.155614210846</v>
      </c>
      <c r="R87" s="13">
        <f t="shared" ca="1" si="67"/>
        <v>-33193.140821496214</v>
      </c>
      <c r="S87" s="13">
        <f ca="1">SUM(S83:S86)</f>
        <v>-3748.329181994925</v>
      </c>
      <c r="T87" s="13">
        <f t="shared" ca="1" si="67"/>
        <v>-8100.0680362814801</v>
      </c>
      <c r="U87" s="13">
        <f t="shared" ca="1" si="67"/>
        <v>228234.03123231689</v>
      </c>
      <c r="V87" s="13">
        <f t="shared" ca="1" si="67"/>
        <v>523.32800650898434</v>
      </c>
      <c r="W87" s="27" t="str">
        <f ca="1">IF((+K87+L87+M87+P87+T87+U87+V87)-H87=0,"OK",(+K87+L87+M87+P87+T87+U87+V87)-H87)</f>
        <v>OK</v>
      </c>
      <c r="Y87" s="143">
        <f ca="1">+'II-I TOTAL COMPANY'!M87-TDCustSvc!H87</f>
        <v>1.1823486812645569</v>
      </c>
    </row>
    <row r="88" spans="1:25" x14ac:dyDescent="0.2">
      <c r="A88" s="3"/>
      <c r="B88" s="69"/>
      <c r="C88" s="4"/>
      <c r="D88" s="3"/>
      <c r="E88" s="3"/>
      <c r="F88" s="3"/>
      <c r="G88" s="3"/>
      <c r="H88" s="6"/>
      <c r="I88" s="6"/>
      <c r="J88" s="6"/>
      <c r="K88" s="13"/>
      <c r="L88" s="13"/>
      <c r="M88" s="3"/>
      <c r="N88" s="3"/>
      <c r="O88" s="3"/>
      <c r="P88" s="9"/>
      <c r="Q88" s="3"/>
      <c r="R88" s="3"/>
      <c r="S88" s="3"/>
      <c r="T88" s="3"/>
      <c r="U88" s="3"/>
      <c r="V88" s="3"/>
      <c r="W88" s="4"/>
    </row>
    <row r="89" spans="1:25" x14ac:dyDescent="0.2">
      <c r="A89" s="3"/>
      <c r="B89" s="4"/>
      <c r="C89" s="4"/>
      <c r="D89" s="3"/>
      <c r="E89" s="3"/>
      <c r="F89" s="3"/>
      <c r="G89" s="3"/>
      <c r="H89" s="6"/>
      <c r="I89" s="6"/>
      <c r="J89" s="6"/>
      <c r="K89" s="13"/>
      <c r="L89" s="13"/>
      <c r="M89" s="3"/>
      <c r="N89" s="3"/>
      <c r="O89" s="3"/>
      <c r="P89" s="9"/>
      <c r="Q89" s="3"/>
      <c r="R89" s="3"/>
      <c r="S89" s="3"/>
      <c r="T89" s="3"/>
      <c r="U89" s="3"/>
      <c r="V89" s="3"/>
      <c r="W89" s="4"/>
    </row>
    <row r="90" spans="1:25" x14ac:dyDescent="0.2">
      <c r="A90" s="3"/>
      <c r="B90" s="7" t="s">
        <v>22</v>
      </c>
      <c r="C90" s="3"/>
      <c r="D90" s="3"/>
      <c r="E90" s="1"/>
      <c r="F90" s="3"/>
      <c r="G90" s="3"/>
      <c r="H90" s="5"/>
      <c r="I90" s="8"/>
      <c r="J90" s="8"/>
      <c r="K90" s="8"/>
      <c r="L90" s="8"/>
      <c r="M90" s="3"/>
      <c r="N90" s="3"/>
      <c r="O90" s="3"/>
      <c r="P90" s="9"/>
      <c r="Q90" s="3"/>
      <c r="R90" s="3"/>
      <c r="S90" s="3"/>
      <c r="T90" s="3"/>
      <c r="U90" s="3"/>
      <c r="V90" s="3"/>
      <c r="W90" s="4"/>
    </row>
    <row r="91" spans="1:25" x14ac:dyDescent="0.2">
      <c r="A91" s="3"/>
      <c r="B91" s="3"/>
      <c r="C91" s="3"/>
      <c r="D91" s="3"/>
      <c r="E91" s="1"/>
      <c r="F91" s="3"/>
      <c r="G91" s="3"/>
      <c r="H91" s="5"/>
      <c r="I91" s="5"/>
      <c r="J91" s="5"/>
      <c r="K91" s="5"/>
      <c r="L91" s="5"/>
      <c r="M91" s="3"/>
      <c r="N91" s="3"/>
      <c r="O91" s="3"/>
      <c r="P91" s="9"/>
      <c r="Q91" s="3"/>
      <c r="R91" s="3"/>
      <c r="S91" s="3"/>
      <c r="T91" s="3"/>
      <c r="U91" s="3"/>
      <c r="V91" s="3"/>
      <c r="W91" s="4"/>
    </row>
    <row r="92" spans="1:25" x14ac:dyDescent="0.2">
      <c r="A92" s="3">
        <v>1</v>
      </c>
      <c r="B92" s="3" t="s">
        <v>23</v>
      </c>
      <c r="C92" s="3"/>
      <c r="D92" s="1"/>
      <c r="E92" s="1"/>
      <c r="F92" s="3"/>
      <c r="G92" s="3"/>
      <c r="H92" s="5"/>
      <c r="I92" s="5"/>
      <c r="J92" s="5"/>
      <c r="K92" s="5"/>
      <c r="L92" s="5"/>
      <c r="M92" s="3"/>
      <c r="N92" s="3"/>
      <c r="O92" s="3"/>
      <c r="P92" s="9"/>
      <c r="Q92" s="3"/>
      <c r="R92" s="3"/>
      <c r="S92" s="3"/>
      <c r="T92" s="3"/>
      <c r="U92" s="3"/>
      <c r="V92" s="3"/>
      <c r="W92" s="27"/>
    </row>
    <row r="93" spans="1:25" x14ac:dyDescent="0.2">
      <c r="A93" s="3">
        <f>+A92+1</f>
        <v>2</v>
      </c>
      <c r="B93" s="3" t="s">
        <v>24</v>
      </c>
      <c r="C93" s="3" t="s">
        <v>25</v>
      </c>
      <c r="D93" s="1" t="s">
        <v>323</v>
      </c>
      <c r="E93" s="4" t="s">
        <v>592</v>
      </c>
      <c r="F93" s="11"/>
      <c r="G93" s="11"/>
      <c r="H93" s="14">
        <f>'II-I TOTAL COMPANY'!M93</f>
        <v>212.22859267176671</v>
      </c>
      <c r="I93" s="66">
        <v>0</v>
      </c>
      <c r="J93" s="66">
        <f>SUM(K93:V93)-M93-P93</f>
        <v>212.22859267176662</v>
      </c>
      <c r="K93" s="66">
        <f t="shared" ref="K93:L95" si="68">VLOOKUP($D93,$E$741:$V$815,K$1,FALSE)*$H93</f>
        <v>173.97812744980013</v>
      </c>
      <c r="L93" s="66">
        <f t="shared" si="68"/>
        <v>18.484610989049678</v>
      </c>
      <c r="M93" s="9">
        <f>SUM(N93:O93)</f>
        <v>12.231252678728206</v>
      </c>
      <c r="N93" s="12">
        <f t="shared" ref="N93:O95" si="69">VLOOKUP($D93,$E$741:$V$815,N$1,FALSE)*$H93</f>
        <v>9.7297318606077238E-2</v>
      </c>
      <c r="O93" s="12">
        <f t="shared" si="69"/>
        <v>12.133955360122128</v>
      </c>
      <c r="P93" s="9">
        <f t="shared" si="66"/>
        <v>0.18638681984416949</v>
      </c>
      <c r="Q93" s="12">
        <f t="shared" ref="Q93:V95" si="70">VLOOKUP($D93,$E$741:$V$815,Q$1,FALSE)*$H93</f>
        <v>7.9222990323351061E-2</v>
      </c>
      <c r="R93" s="12">
        <f t="shared" si="70"/>
        <v>9.2905425752330684E-2</v>
      </c>
      <c r="S93" s="12">
        <f t="shared" si="70"/>
        <v>1.4258403768487761E-2</v>
      </c>
      <c r="T93" s="12">
        <f t="shared" si="70"/>
        <v>2.0957609086603123E-2</v>
      </c>
      <c r="U93" s="12">
        <f t="shared" si="70"/>
        <v>7.3240476650955042</v>
      </c>
      <c r="V93" s="12">
        <f t="shared" si="70"/>
        <v>3.209460162353241E-3</v>
      </c>
      <c r="W93" s="27">
        <f t="shared" ref="W93:W124" si="71">IF((+K93+L93+M93+P93+T93+U93+V93)-H93=0,"OK",(+K93+L93+M93+P93+T93+U93+V93)-H93)</f>
        <v>-8.5265128291212022E-14</v>
      </c>
    </row>
    <row r="94" spans="1:25" x14ac:dyDescent="0.2">
      <c r="A94" s="3">
        <f>+A93+1</f>
        <v>3</v>
      </c>
      <c r="B94" s="3" t="s">
        <v>469</v>
      </c>
      <c r="C94" s="3" t="s">
        <v>29</v>
      </c>
      <c r="D94" s="1" t="s">
        <v>323</v>
      </c>
      <c r="E94" s="4" t="s">
        <v>592</v>
      </c>
      <c r="F94" s="11"/>
      <c r="G94" s="11"/>
      <c r="H94" s="14">
        <f>'II-I TOTAL COMPANY'!M94</f>
        <v>0</v>
      </c>
      <c r="I94" s="66">
        <v>0</v>
      </c>
      <c r="J94" s="66">
        <f t="shared" ref="J94:J96" si="72">SUM(K94:V94)-M94-P94</f>
        <v>0</v>
      </c>
      <c r="K94" s="66">
        <f t="shared" si="68"/>
        <v>0</v>
      </c>
      <c r="L94" s="66">
        <f t="shared" si="68"/>
        <v>0</v>
      </c>
      <c r="M94" s="9">
        <f>SUM(N94:O94)</f>
        <v>0</v>
      </c>
      <c r="N94" s="12">
        <f t="shared" si="69"/>
        <v>0</v>
      </c>
      <c r="O94" s="12">
        <f t="shared" si="69"/>
        <v>0</v>
      </c>
      <c r="P94" s="9">
        <f t="shared" si="66"/>
        <v>0</v>
      </c>
      <c r="Q94" s="12">
        <f t="shared" si="70"/>
        <v>0</v>
      </c>
      <c r="R94" s="12">
        <f t="shared" si="70"/>
        <v>0</v>
      </c>
      <c r="S94" s="12">
        <f t="shared" si="70"/>
        <v>0</v>
      </c>
      <c r="T94" s="12">
        <f t="shared" si="70"/>
        <v>0</v>
      </c>
      <c r="U94" s="12">
        <f t="shared" si="70"/>
        <v>0</v>
      </c>
      <c r="V94" s="12">
        <f t="shared" si="70"/>
        <v>0</v>
      </c>
      <c r="W94" s="27" t="str">
        <f t="shared" si="71"/>
        <v>OK</v>
      </c>
    </row>
    <row r="95" spans="1:25" x14ac:dyDescent="0.2">
      <c r="A95" s="3">
        <f>+A94+1</f>
        <v>4</v>
      </c>
      <c r="B95" s="3" t="s">
        <v>28</v>
      </c>
      <c r="C95" s="3" t="s">
        <v>29</v>
      </c>
      <c r="D95" s="1" t="s">
        <v>323</v>
      </c>
      <c r="E95" s="4" t="s">
        <v>592</v>
      </c>
      <c r="F95" s="11"/>
      <c r="G95" s="11"/>
      <c r="H95" s="14">
        <f>'II-I TOTAL COMPANY'!M95</f>
        <v>0</v>
      </c>
      <c r="I95" s="66">
        <v>0</v>
      </c>
      <c r="J95" s="66">
        <f t="shared" si="72"/>
        <v>0</v>
      </c>
      <c r="K95" s="66">
        <f t="shared" si="68"/>
        <v>0</v>
      </c>
      <c r="L95" s="66">
        <f t="shared" si="68"/>
        <v>0</v>
      </c>
      <c r="M95" s="9">
        <f>SUM(N95:O95)</f>
        <v>0</v>
      </c>
      <c r="N95" s="12">
        <f t="shared" si="69"/>
        <v>0</v>
      </c>
      <c r="O95" s="12">
        <f t="shared" si="69"/>
        <v>0</v>
      </c>
      <c r="P95" s="9">
        <f t="shared" si="66"/>
        <v>0</v>
      </c>
      <c r="Q95" s="12">
        <f t="shared" si="70"/>
        <v>0</v>
      </c>
      <c r="R95" s="12">
        <f t="shared" si="70"/>
        <v>0</v>
      </c>
      <c r="S95" s="12">
        <f t="shared" si="70"/>
        <v>0</v>
      </c>
      <c r="T95" s="12">
        <f t="shared" si="70"/>
        <v>0</v>
      </c>
      <c r="U95" s="12">
        <f t="shared" si="70"/>
        <v>0</v>
      </c>
      <c r="V95" s="12">
        <f t="shared" si="70"/>
        <v>0</v>
      </c>
      <c r="W95" s="27" t="str">
        <f t="shared" si="71"/>
        <v>OK</v>
      </c>
    </row>
    <row r="96" spans="1:25" x14ac:dyDescent="0.2">
      <c r="A96" s="3">
        <f>+A95+1</f>
        <v>5</v>
      </c>
      <c r="B96" s="3"/>
      <c r="C96" s="3" t="s">
        <v>30</v>
      </c>
      <c r="D96" s="3"/>
      <c r="E96" s="27"/>
      <c r="F96" s="66"/>
      <c r="G96" s="66"/>
      <c r="H96" s="8">
        <f t="shared" ref="H96:V96" si="73">SUM(H93:H95)</f>
        <v>212.22859267176671</v>
      </c>
      <c r="I96" s="8">
        <f t="shared" si="73"/>
        <v>0</v>
      </c>
      <c r="J96" s="66">
        <f t="shared" si="72"/>
        <v>212.22859267176662</v>
      </c>
      <c r="K96" s="66">
        <f t="shared" si="73"/>
        <v>173.97812744980013</v>
      </c>
      <c r="L96" s="66">
        <f t="shared" si="73"/>
        <v>18.484610989049678</v>
      </c>
      <c r="M96" s="9">
        <f>SUM(N96:O96)</f>
        <v>12.231252678728206</v>
      </c>
      <c r="N96" s="8">
        <f t="shared" si="73"/>
        <v>9.7297318606077238E-2</v>
      </c>
      <c r="O96" s="8">
        <f t="shared" si="73"/>
        <v>12.133955360122128</v>
      </c>
      <c r="P96" s="9">
        <f t="shared" si="66"/>
        <v>0.18638681984416949</v>
      </c>
      <c r="Q96" s="8">
        <f t="shared" si="73"/>
        <v>7.9222990323351061E-2</v>
      </c>
      <c r="R96" s="8">
        <f t="shared" si="73"/>
        <v>9.2905425752330684E-2</v>
      </c>
      <c r="S96" s="8">
        <f>SUM(S93:S95)</f>
        <v>1.4258403768487761E-2</v>
      </c>
      <c r="T96" s="8">
        <f t="shared" si="73"/>
        <v>2.0957609086603123E-2</v>
      </c>
      <c r="U96" s="8">
        <f t="shared" si="73"/>
        <v>7.3240476650955042</v>
      </c>
      <c r="V96" s="8">
        <f t="shared" si="73"/>
        <v>3.209460162353241E-3</v>
      </c>
      <c r="W96" s="27">
        <f t="shared" si="71"/>
        <v>-8.5265128291212022E-14</v>
      </c>
    </row>
    <row r="97" spans="1:23" x14ac:dyDescent="0.2">
      <c r="A97" s="3">
        <f>+A96+1</f>
        <v>6</v>
      </c>
      <c r="B97" s="3"/>
      <c r="C97" s="3"/>
      <c r="D97" s="3"/>
      <c r="E97" s="4"/>
      <c r="F97" s="4"/>
      <c r="G97" s="4"/>
      <c r="H97" s="8"/>
      <c r="I97" s="8"/>
      <c r="J97" s="8"/>
      <c r="K97" s="8"/>
      <c r="L97" s="8"/>
      <c r="M97" s="3"/>
      <c r="N97" s="3"/>
      <c r="O97" s="3"/>
      <c r="P97" s="9"/>
      <c r="Q97" s="3"/>
      <c r="R97" s="3"/>
      <c r="S97" s="3"/>
      <c r="T97" s="3"/>
      <c r="U97" s="3"/>
      <c r="V97" s="3"/>
      <c r="W97" s="27" t="str">
        <f t="shared" si="71"/>
        <v>OK</v>
      </c>
    </row>
    <row r="98" spans="1:23" x14ac:dyDescent="0.2">
      <c r="A98" s="3">
        <f>1+A97</f>
        <v>7</v>
      </c>
      <c r="B98" s="7" t="s">
        <v>32</v>
      </c>
      <c r="C98" s="3"/>
      <c r="D98" s="3"/>
      <c r="E98" s="4"/>
      <c r="F98" s="4"/>
      <c r="G98" s="4"/>
      <c r="H98" s="8"/>
      <c r="I98" s="8"/>
      <c r="J98" s="8"/>
      <c r="K98" s="8"/>
      <c r="L98" s="8"/>
      <c r="M98" s="3"/>
      <c r="N98" s="3"/>
      <c r="O98" s="3"/>
      <c r="P98" s="9"/>
      <c r="Q98" s="3"/>
      <c r="R98" s="3"/>
      <c r="S98" s="3"/>
      <c r="T98" s="3"/>
      <c r="U98" s="3"/>
      <c r="V98" s="3"/>
      <c r="W98" s="27" t="str">
        <f t="shared" si="71"/>
        <v>OK</v>
      </c>
    </row>
    <row r="99" spans="1:23" x14ac:dyDescent="0.2">
      <c r="A99" s="3">
        <f>1+A98</f>
        <v>8</v>
      </c>
      <c r="B99" s="3"/>
      <c r="C99" s="3"/>
      <c r="D99" s="3"/>
      <c r="E99" s="4"/>
      <c r="F99" s="4"/>
      <c r="G99" s="4"/>
      <c r="H99" s="8"/>
      <c r="I99" s="8"/>
      <c r="J99" s="8"/>
      <c r="K99" s="8"/>
      <c r="L99" s="8"/>
      <c r="M99" s="3"/>
      <c r="N99" s="3"/>
      <c r="O99" s="3"/>
      <c r="P99" s="9"/>
      <c r="Q99" s="3"/>
      <c r="R99" s="3"/>
      <c r="S99" s="3"/>
      <c r="T99" s="3"/>
      <c r="U99" s="3"/>
      <c r="V99" s="3"/>
      <c r="W99" s="27" t="str">
        <f t="shared" si="71"/>
        <v>OK</v>
      </c>
    </row>
    <row r="100" spans="1:23" x14ac:dyDescent="0.2">
      <c r="A100" s="3">
        <f>1+A99</f>
        <v>9</v>
      </c>
      <c r="B100" s="3" t="s">
        <v>33</v>
      </c>
      <c r="C100" s="3"/>
      <c r="D100" s="3"/>
      <c r="E100" s="4"/>
      <c r="F100" s="4"/>
      <c r="G100" s="4"/>
      <c r="H100" s="8"/>
      <c r="I100" s="8"/>
      <c r="J100" s="8"/>
      <c r="K100" s="8"/>
      <c r="L100" s="8"/>
      <c r="M100" s="3"/>
      <c r="N100" s="3"/>
      <c r="O100" s="3"/>
      <c r="P100" s="9"/>
      <c r="Q100" s="3"/>
      <c r="R100" s="3"/>
      <c r="S100" s="3"/>
      <c r="T100" s="3"/>
      <c r="U100" s="3"/>
      <c r="V100" s="3"/>
      <c r="W100" s="27" t="str">
        <f t="shared" si="71"/>
        <v>OK</v>
      </c>
    </row>
    <row r="101" spans="1:23" x14ac:dyDescent="0.2">
      <c r="A101" s="3">
        <f t="shared" ref="A101:A147" si="74">+A100+1</f>
        <v>10</v>
      </c>
      <c r="B101" s="3" t="s">
        <v>34</v>
      </c>
      <c r="C101" s="3" t="s">
        <v>35</v>
      </c>
      <c r="D101" s="1" t="s">
        <v>368</v>
      </c>
      <c r="E101" s="4" t="s">
        <v>592</v>
      </c>
      <c r="F101" s="11"/>
      <c r="G101" s="11"/>
      <c r="H101" s="14">
        <f>'II-I TOTAL COMPANY'!M101</f>
        <v>0</v>
      </c>
      <c r="I101" s="66">
        <v>0</v>
      </c>
      <c r="J101" s="66">
        <f>SUM(K101:V101)-M101-P101</f>
        <v>0</v>
      </c>
      <c r="K101" s="12">
        <f t="shared" ref="K101:L109" si="75">VLOOKUP($D101,$E$741:$V$815,K$1,FALSE)*$H101</f>
        <v>0</v>
      </c>
      <c r="L101" s="12">
        <f t="shared" si="75"/>
        <v>0</v>
      </c>
      <c r="M101" s="9">
        <f t="shared" ref="M101:M109" si="76">SUM(N101:O101)</f>
        <v>0</v>
      </c>
      <c r="N101" s="12">
        <f t="shared" ref="N101:O109" si="77">VLOOKUP($D101,$E$741:$V$815,N$1,FALSE)*$H101</f>
        <v>0</v>
      </c>
      <c r="O101" s="12">
        <f t="shared" si="77"/>
        <v>0</v>
      </c>
      <c r="P101" s="9">
        <f t="shared" si="66"/>
        <v>0</v>
      </c>
      <c r="Q101" s="12">
        <f t="shared" ref="Q101:V109" si="78">VLOOKUP($D101,$E$741:$V$815,Q$1,FALSE)*$H101</f>
        <v>0</v>
      </c>
      <c r="R101" s="12">
        <f t="shared" si="78"/>
        <v>0</v>
      </c>
      <c r="S101" s="12">
        <f t="shared" si="78"/>
        <v>0</v>
      </c>
      <c r="T101" s="12">
        <f t="shared" si="78"/>
        <v>0</v>
      </c>
      <c r="U101" s="12">
        <f t="shared" si="78"/>
        <v>0</v>
      </c>
      <c r="V101" s="12">
        <f t="shared" si="78"/>
        <v>0</v>
      </c>
      <c r="W101" s="27" t="str">
        <f t="shared" si="71"/>
        <v>OK</v>
      </c>
    </row>
    <row r="102" spans="1:23" x14ac:dyDescent="0.2">
      <c r="A102" s="3">
        <f t="shared" si="74"/>
        <v>11</v>
      </c>
      <c r="B102" s="3" t="s">
        <v>36</v>
      </c>
      <c r="C102" s="3" t="s">
        <v>31</v>
      </c>
      <c r="D102" s="1" t="s">
        <v>368</v>
      </c>
      <c r="E102" s="4" t="s">
        <v>592</v>
      </c>
      <c r="F102" s="11"/>
      <c r="G102" s="11"/>
      <c r="H102" s="14">
        <f>'II-I TOTAL COMPANY'!M102</f>
        <v>0</v>
      </c>
      <c r="I102" s="66">
        <v>0</v>
      </c>
      <c r="J102" s="66">
        <f t="shared" ref="J102:J109" si="79">SUM(K102:V102)-M102-P102</f>
        <v>0</v>
      </c>
      <c r="K102" s="12">
        <f t="shared" si="75"/>
        <v>0</v>
      </c>
      <c r="L102" s="12">
        <f t="shared" si="75"/>
        <v>0</v>
      </c>
      <c r="M102" s="9">
        <f t="shared" si="76"/>
        <v>0</v>
      </c>
      <c r="N102" s="12">
        <f t="shared" si="77"/>
        <v>0</v>
      </c>
      <c r="O102" s="12">
        <f t="shared" si="77"/>
        <v>0</v>
      </c>
      <c r="P102" s="9">
        <f t="shared" si="66"/>
        <v>0</v>
      </c>
      <c r="Q102" s="12">
        <f t="shared" si="78"/>
        <v>0</v>
      </c>
      <c r="R102" s="12">
        <f t="shared" si="78"/>
        <v>0</v>
      </c>
      <c r="S102" s="12">
        <f t="shared" si="78"/>
        <v>0</v>
      </c>
      <c r="T102" s="12">
        <f t="shared" si="78"/>
        <v>0</v>
      </c>
      <c r="U102" s="12">
        <f t="shared" si="78"/>
        <v>0</v>
      </c>
      <c r="V102" s="12">
        <f t="shared" si="78"/>
        <v>0</v>
      </c>
      <c r="W102" s="27" t="str">
        <f t="shared" si="71"/>
        <v>OK</v>
      </c>
    </row>
    <row r="103" spans="1:23" x14ac:dyDescent="0.2">
      <c r="A103" s="3">
        <f t="shared" si="74"/>
        <v>12</v>
      </c>
      <c r="B103" s="3" t="s">
        <v>37</v>
      </c>
      <c r="C103" s="3" t="s">
        <v>38</v>
      </c>
      <c r="D103" s="1" t="s">
        <v>368</v>
      </c>
      <c r="E103" s="4" t="s">
        <v>592</v>
      </c>
      <c r="F103" s="11"/>
      <c r="G103" s="11"/>
      <c r="H103" s="14">
        <f>'II-I TOTAL COMPANY'!M103</f>
        <v>0</v>
      </c>
      <c r="I103" s="66">
        <v>0</v>
      </c>
      <c r="J103" s="66">
        <f t="shared" si="79"/>
        <v>0</v>
      </c>
      <c r="K103" s="12">
        <f t="shared" si="75"/>
        <v>0</v>
      </c>
      <c r="L103" s="12">
        <f t="shared" si="75"/>
        <v>0</v>
      </c>
      <c r="M103" s="9">
        <f t="shared" si="76"/>
        <v>0</v>
      </c>
      <c r="N103" s="12">
        <f t="shared" si="77"/>
        <v>0</v>
      </c>
      <c r="O103" s="12">
        <f t="shared" si="77"/>
        <v>0</v>
      </c>
      <c r="P103" s="9">
        <f t="shared" si="66"/>
        <v>0</v>
      </c>
      <c r="Q103" s="12">
        <f t="shared" si="78"/>
        <v>0</v>
      </c>
      <c r="R103" s="12">
        <f t="shared" si="78"/>
        <v>0</v>
      </c>
      <c r="S103" s="12">
        <f t="shared" si="78"/>
        <v>0</v>
      </c>
      <c r="T103" s="12">
        <f t="shared" si="78"/>
        <v>0</v>
      </c>
      <c r="U103" s="12">
        <f t="shared" si="78"/>
        <v>0</v>
      </c>
      <c r="V103" s="12">
        <f t="shared" si="78"/>
        <v>0</v>
      </c>
      <c r="W103" s="27" t="str">
        <f t="shared" si="71"/>
        <v>OK</v>
      </c>
    </row>
    <row r="104" spans="1:23" x14ac:dyDescent="0.2">
      <c r="A104" s="3">
        <f t="shared" si="74"/>
        <v>13</v>
      </c>
      <c r="B104" s="3" t="s">
        <v>39</v>
      </c>
      <c r="C104" s="3" t="s">
        <v>40</v>
      </c>
      <c r="D104" s="1" t="s">
        <v>368</v>
      </c>
      <c r="E104" s="4" t="s">
        <v>592</v>
      </c>
      <c r="F104" s="11"/>
      <c r="G104" s="11"/>
      <c r="H104" s="14">
        <f>'II-I TOTAL COMPANY'!M104</f>
        <v>0</v>
      </c>
      <c r="I104" s="66">
        <v>0</v>
      </c>
      <c r="J104" s="66">
        <f t="shared" si="79"/>
        <v>0</v>
      </c>
      <c r="K104" s="12">
        <f t="shared" si="75"/>
        <v>0</v>
      </c>
      <c r="L104" s="12">
        <f t="shared" si="75"/>
        <v>0</v>
      </c>
      <c r="M104" s="9">
        <f t="shared" si="76"/>
        <v>0</v>
      </c>
      <c r="N104" s="12">
        <f t="shared" si="77"/>
        <v>0</v>
      </c>
      <c r="O104" s="12">
        <f t="shared" si="77"/>
        <v>0</v>
      </c>
      <c r="P104" s="9">
        <f t="shared" si="66"/>
        <v>0</v>
      </c>
      <c r="Q104" s="12">
        <f t="shared" si="78"/>
        <v>0</v>
      </c>
      <c r="R104" s="12">
        <f t="shared" si="78"/>
        <v>0</v>
      </c>
      <c r="S104" s="12">
        <f t="shared" si="78"/>
        <v>0</v>
      </c>
      <c r="T104" s="12">
        <f t="shared" si="78"/>
        <v>0</v>
      </c>
      <c r="U104" s="12">
        <f t="shared" si="78"/>
        <v>0</v>
      </c>
      <c r="V104" s="12">
        <f t="shared" si="78"/>
        <v>0</v>
      </c>
      <c r="W104" s="27" t="str">
        <f t="shared" si="71"/>
        <v>OK</v>
      </c>
    </row>
    <row r="105" spans="1:23" x14ac:dyDescent="0.2">
      <c r="A105" s="3">
        <f t="shared" si="74"/>
        <v>14</v>
      </c>
      <c r="B105" s="3" t="s">
        <v>41</v>
      </c>
      <c r="C105" s="3" t="s">
        <v>42</v>
      </c>
      <c r="D105" s="1" t="s">
        <v>368</v>
      </c>
      <c r="E105" s="4" t="s">
        <v>592</v>
      </c>
      <c r="F105" s="11"/>
      <c r="G105" s="11"/>
      <c r="H105" s="14">
        <f>'II-I TOTAL COMPANY'!M105</f>
        <v>0</v>
      </c>
      <c r="I105" s="66">
        <v>0</v>
      </c>
      <c r="J105" s="66">
        <f t="shared" si="79"/>
        <v>0</v>
      </c>
      <c r="K105" s="12">
        <f t="shared" si="75"/>
        <v>0</v>
      </c>
      <c r="L105" s="12">
        <f t="shared" si="75"/>
        <v>0</v>
      </c>
      <c r="M105" s="9">
        <f t="shared" si="76"/>
        <v>0</v>
      </c>
      <c r="N105" s="12">
        <f t="shared" si="77"/>
        <v>0</v>
      </c>
      <c r="O105" s="12">
        <f t="shared" si="77"/>
        <v>0</v>
      </c>
      <c r="P105" s="9">
        <f t="shared" si="66"/>
        <v>0</v>
      </c>
      <c r="Q105" s="12">
        <f t="shared" si="78"/>
        <v>0</v>
      </c>
      <c r="R105" s="12">
        <f t="shared" si="78"/>
        <v>0</v>
      </c>
      <c r="S105" s="12">
        <f t="shared" si="78"/>
        <v>0</v>
      </c>
      <c r="T105" s="12">
        <f t="shared" si="78"/>
        <v>0</v>
      </c>
      <c r="U105" s="12">
        <f t="shared" si="78"/>
        <v>0</v>
      </c>
      <c r="V105" s="12">
        <f t="shared" si="78"/>
        <v>0</v>
      </c>
      <c r="W105" s="27" t="str">
        <f t="shared" si="71"/>
        <v>OK</v>
      </c>
    </row>
    <row r="106" spans="1:23" x14ac:dyDescent="0.2">
      <c r="A106" s="3">
        <f t="shared" si="74"/>
        <v>15</v>
      </c>
      <c r="B106" s="3" t="s">
        <v>43</v>
      </c>
      <c r="C106" s="3" t="s">
        <v>44</v>
      </c>
      <c r="D106" s="1" t="s">
        <v>368</v>
      </c>
      <c r="E106" s="4" t="s">
        <v>592</v>
      </c>
      <c r="F106" s="11"/>
      <c r="G106" s="11"/>
      <c r="H106" s="14">
        <f>'II-I TOTAL COMPANY'!M106</f>
        <v>0</v>
      </c>
      <c r="I106" s="66">
        <v>0</v>
      </c>
      <c r="J106" s="66">
        <f t="shared" si="79"/>
        <v>0</v>
      </c>
      <c r="K106" s="12">
        <f t="shared" si="75"/>
        <v>0</v>
      </c>
      <c r="L106" s="12">
        <f t="shared" si="75"/>
        <v>0</v>
      </c>
      <c r="M106" s="9">
        <f t="shared" si="76"/>
        <v>0</v>
      </c>
      <c r="N106" s="12">
        <f t="shared" si="77"/>
        <v>0</v>
      </c>
      <c r="O106" s="12">
        <f t="shared" si="77"/>
        <v>0</v>
      </c>
      <c r="P106" s="9">
        <f t="shared" si="66"/>
        <v>0</v>
      </c>
      <c r="Q106" s="12">
        <f t="shared" si="78"/>
        <v>0</v>
      </c>
      <c r="R106" s="12">
        <f t="shared" si="78"/>
        <v>0</v>
      </c>
      <c r="S106" s="12">
        <f t="shared" si="78"/>
        <v>0</v>
      </c>
      <c r="T106" s="12">
        <f t="shared" si="78"/>
        <v>0</v>
      </c>
      <c r="U106" s="12">
        <f t="shared" si="78"/>
        <v>0</v>
      </c>
      <c r="V106" s="12">
        <f t="shared" si="78"/>
        <v>0</v>
      </c>
      <c r="W106" s="27" t="str">
        <f t="shared" si="71"/>
        <v>OK</v>
      </c>
    </row>
    <row r="107" spans="1:23" x14ac:dyDescent="0.2">
      <c r="A107" s="3">
        <f t="shared" si="74"/>
        <v>16</v>
      </c>
      <c r="B107" s="3" t="s">
        <v>45</v>
      </c>
      <c r="C107" s="3" t="s">
        <v>46</v>
      </c>
      <c r="D107" s="1" t="s">
        <v>368</v>
      </c>
      <c r="E107" s="4" t="s">
        <v>592</v>
      </c>
      <c r="F107" s="11"/>
      <c r="G107" s="11"/>
      <c r="H107" s="14">
        <f>'II-I TOTAL COMPANY'!M107</f>
        <v>0</v>
      </c>
      <c r="I107" s="66">
        <v>0</v>
      </c>
      <c r="J107" s="66">
        <f t="shared" si="79"/>
        <v>0</v>
      </c>
      <c r="K107" s="12">
        <f t="shared" si="75"/>
        <v>0</v>
      </c>
      <c r="L107" s="12">
        <f t="shared" si="75"/>
        <v>0</v>
      </c>
      <c r="M107" s="9">
        <f t="shared" si="76"/>
        <v>0</v>
      </c>
      <c r="N107" s="12">
        <f t="shared" si="77"/>
        <v>0</v>
      </c>
      <c r="O107" s="12">
        <f t="shared" si="77"/>
        <v>0</v>
      </c>
      <c r="P107" s="9">
        <f t="shared" si="66"/>
        <v>0</v>
      </c>
      <c r="Q107" s="12">
        <f t="shared" si="78"/>
        <v>0</v>
      </c>
      <c r="R107" s="12">
        <f t="shared" si="78"/>
        <v>0</v>
      </c>
      <c r="S107" s="12">
        <f t="shared" si="78"/>
        <v>0</v>
      </c>
      <c r="T107" s="12">
        <f t="shared" si="78"/>
        <v>0</v>
      </c>
      <c r="U107" s="12">
        <f t="shared" si="78"/>
        <v>0</v>
      </c>
      <c r="V107" s="12">
        <f t="shared" si="78"/>
        <v>0</v>
      </c>
      <c r="W107" s="27" t="str">
        <f t="shared" si="71"/>
        <v>OK</v>
      </c>
    </row>
    <row r="108" spans="1:23" x14ac:dyDescent="0.2">
      <c r="A108" s="3">
        <f t="shared" si="74"/>
        <v>17</v>
      </c>
      <c r="B108" s="3" t="s">
        <v>47</v>
      </c>
      <c r="C108" s="3" t="s">
        <v>48</v>
      </c>
      <c r="D108" s="1" t="s">
        <v>368</v>
      </c>
      <c r="E108" s="4" t="s">
        <v>592</v>
      </c>
      <c r="F108" s="11"/>
      <c r="G108" s="11"/>
      <c r="H108" s="14">
        <f>'II-I TOTAL COMPANY'!M108</f>
        <v>0</v>
      </c>
      <c r="I108" s="66">
        <v>0</v>
      </c>
      <c r="J108" s="66">
        <f t="shared" si="79"/>
        <v>0</v>
      </c>
      <c r="K108" s="12">
        <f t="shared" si="75"/>
        <v>0</v>
      </c>
      <c r="L108" s="12">
        <f t="shared" si="75"/>
        <v>0</v>
      </c>
      <c r="M108" s="9">
        <f t="shared" si="76"/>
        <v>0</v>
      </c>
      <c r="N108" s="12">
        <f t="shared" si="77"/>
        <v>0</v>
      </c>
      <c r="O108" s="12">
        <f t="shared" si="77"/>
        <v>0</v>
      </c>
      <c r="P108" s="9">
        <f t="shared" si="66"/>
        <v>0</v>
      </c>
      <c r="Q108" s="12">
        <f t="shared" si="78"/>
        <v>0</v>
      </c>
      <c r="R108" s="12">
        <f t="shared" si="78"/>
        <v>0</v>
      </c>
      <c r="S108" s="12">
        <f t="shared" si="78"/>
        <v>0</v>
      </c>
      <c r="T108" s="12">
        <f t="shared" si="78"/>
        <v>0</v>
      </c>
      <c r="U108" s="12">
        <f t="shared" si="78"/>
        <v>0</v>
      </c>
      <c r="V108" s="12">
        <f t="shared" si="78"/>
        <v>0</v>
      </c>
      <c r="W108" s="27" t="str">
        <f t="shared" si="71"/>
        <v>OK</v>
      </c>
    </row>
    <row r="109" spans="1:23" x14ac:dyDescent="0.2">
      <c r="A109" s="3">
        <f t="shared" si="74"/>
        <v>18</v>
      </c>
      <c r="B109" s="3" t="s">
        <v>49</v>
      </c>
      <c r="C109" s="3" t="s">
        <v>50</v>
      </c>
      <c r="D109" s="1" t="s">
        <v>368</v>
      </c>
      <c r="E109" s="4" t="s">
        <v>592</v>
      </c>
      <c r="F109" s="11"/>
      <c r="G109" s="11"/>
      <c r="H109" s="14">
        <f>'II-I TOTAL COMPANY'!M109</f>
        <v>0</v>
      </c>
      <c r="I109" s="66">
        <v>0</v>
      </c>
      <c r="J109" s="66">
        <f t="shared" si="79"/>
        <v>0</v>
      </c>
      <c r="K109" s="12">
        <f t="shared" si="75"/>
        <v>0</v>
      </c>
      <c r="L109" s="12">
        <f t="shared" si="75"/>
        <v>0</v>
      </c>
      <c r="M109" s="9">
        <f t="shared" si="76"/>
        <v>0</v>
      </c>
      <c r="N109" s="12">
        <f t="shared" si="77"/>
        <v>0</v>
      </c>
      <c r="O109" s="12">
        <f t="shared" si="77"/>
        <v>0</v>
      </c>
      <c r="P109" s="9">
        <f t="shared" si="66"/>
        <v>0</v>
      </c>
      <c r="Q109" s="12">
        <f t="shared" si="78"/>
        <v>0</v>
      </c>
      <c r="R109" s="12">
        <f t="shared" si="78"/>
        <v>0</v>
      </c>
      <c r="S109" s="12">
        <f t="shared" si="78"/>
        <v>0</v>
      </c>
      <c r="T109" s="12">
        <f t="shared" si="78"/>
        <v>0</v>
      </c>
      <c r="U109" s="12">
        <f t="shared" si="78"/>
        <v>0</v>
      </c>
      <c r="V109" s="12">
        <f t="shared" si="78"/>
        <v>0</v>
      </c>
      <c r="W109" s="27" t="str">
        <f t="shared" si="71"/>
        <v>OK</v>
      </c>
    </row>
    <row r="110" spans="1:23" x14ac:dyDescent="0.2">
      <c r="A110" s="3">
        <f t="shared" si="74"/>
        <v>19</v>
      </c>
      <c r="B110" s="3"/>
      <c r="C110" s="3"/>
      <c r="D110" s="1"/>
      <c r="E110" s="4"/>
      <c r="F110" s="4"/>
      <c r="G110" s="4"/>
      <c r="H110" s="14"/>
      <c r="I110" s="66"/>
      <c r="J110" s="66"/>
      <c r="K110" s="12"/>
      <c r="L110" s="12"/>
      <c r="M110" s="12"/>
      <c r="N110" s="12"/>
      <c r="O110" s="12"/>
      <c r="P110" s="9"/>
      <c r="Q110" s="12"/>
      <c r="R110" s="12"/>
      <c r="S110" s="12"/>
      <c r="T110" s="12"/>
      <c r="U110" s="12"/>
      <c r="V110" s="12"/>
      <c r="W110" s="27" t="str">
        <f t="shared" si="71"/>
        <v>OK</v>
      </c>
    </row>
    <row r="111" spans="1:23" x14ac:dyDescent="0.2">
      <c r="A111" s="3">
        <f t="shared" si="74"/>
        <v>20</v>
      </c>
      <c r="B111" s="3"/>
      <c r="C111" s="3" t="s">
        <v>51</v>
      </c>
      <c r="D111" s="3"/>
      <c r="E111" s="4"/>
      <c r="F111" s="8"/>
      <c r="G111" s="8"/>
      <c r="H111" s="8">
        <f>SUM(H101:H109)</f>
        <v>0</v>
      </c>
      <c r="I111" s="8">
        <f>SUM(I101:I109)</f>
        <v>0</v>
      </c>
      <c r="J111" s="66">
        <f>SUM(K111:V111)-M111-P111</f>
        <v>0</v>
      </c>
      <c r="K111" s="8">
        <f>SUM(K101:K109)</f>
        <v>0</v>
      </c>
      <c r="L111" s="8">
        <f>SUM(L101:L109)</f>
        <v>0</v>
      </c>
      <c r="M111" s="9">
        <f>SUM(N111:O111)</f>
        <v>0</v>
      </c>
      <c r="N111" s="8">
        <f>SUM(N101:N109)</f>
        <v>0</v>
      </c>
      <c r="O111" s="8">
        <f>SUM(O101:O109)</f>
        <v>0</v>
      </c>
      <c r="P111" s="9">
        <f t="shared" si="66"/>
        <v>0</v>
      </c>
      <c r="Q111" s="8">
        <f t="shared" ref="Q111:V111" si="80">SUM(Q101:Q109)</f>
        <v>0</v>
      </c>
      <c r="R111" s="8">
        <f t="shared" si="80"/>
        <v>0</v>
      </c>
      <c r="S111" s="8">
        <f t="shared" si="80"/>
        <v>0</v>
      </c>
      <c r="T111" s="8">
        <f t="shared" si="80"/>
        <v>0</v>
      </c>
      <c r="U111" s="8">
        <f t="shared" si="80"/>
        <v>0</v>
      </c>
      <c r="V111" s="8">
        <f t="shared" si="80"/>
        <v>0</v>
      </c>
      <c r="W111" s="27" t="str">
        <f t="shared" si="71"/>
        <v>OK</v>
      </c>
    </row>
    <row r="112" spans="1:23" x14ac:dyDescent="0.2">
      <c r="A112" s="3">
        <f t="shared" si="74"/>
        <v>21</v>
      </c>
      <c r="B112" s="3"/>
      <c r="C112" s="3"/>
      <c r="D112" s="3"/>
      <c r="E112" s="4"/>
      <c r="F112" s="4"/>
      <c r="G112" s="4"/>
      <c r="H112" s="8"/>
      <c r="I112" s="8"/>
      <c r="J112" s="8"/>
      <c r="K112" s="8"/>
      <c r="L112" s="8"/>
      <c r="M112" s="3"/>
      <c r="N112" s="3"/>
      <c r="O112" s="3"/>
      <c r="P112" s="9"/>
      <c r="Q112" s="3"/>
      <c r="R112" s="3"/>
      <c r="S112" s="3"/>
      <c r="T112" s="3"/>
      <c r="U112" s="3"/>
      <c r="V112" s="3"/>
      <c r="W112" s="27" t="str">
        <f t="shared" si="71"/>
        <v>OK</v>
      </c>
    </row>
    <row r="113" spans="1:23" x14ac:dyDescent="0.2">
      <c r="A113" s="3">
        <f t="shared" si="74"/>
        <v>22</v>
      </c>
      <c r="B113" s="3" t="s">
        <v>52</v>
      </c>
      <c r="C113" s="3"/>
      <c r="D113" s="3"/>
      <c r="E113" s="4"/>
      <c r="F113" s="4"/>
      <c r="G113" s="4"/>
      <c r="H113" s="8"/>
      <c r="I113" s="8"/>
      <c r="J113" s="8"/>
      <c r="K113" s="8"/>
      <c r="L113" s="8"/>
      <c r="M113" s="3"/>
      <c r="N113" s="3"/>
      <c r="O113" s="3"/>
      <c r="P113" s="9"/>
      <c r="Q113" s="3"/>
      <c r="R113" s="3"/>
      <c r="S113" s="3"/>
      <c r="T113" s="3"/>
      <c r="U113" s="3"/>
      <c r="V113" s="3"/>
      <c r="W113" s="27" t="str">
        <f t="shared" si="71"/>
        <v>OK</v>
      </c>
    </row>
    <row r="114" spans="1:23" x14ac:dyDescent="0.2">
      <c r="A114" s="3">
        <f t="shared" si="74"/>
        <v>23</v>
      </c>
      <c r="B114" s="3" t="s">
        <v>53</v>
      </c>
      <c r="C114" s="3" t="s">
        <v>35</v>
      </c>
      <c r="D114" s="1" t="s">
        <v>368</v>
      </c>
      <c r="E114" s="4" t="s">
        <v>592</v>
      </c>
      <c r="F114" s="11"/>
      <c r="G114" s="11"/>
      <c r="H114" s="14">
        <f>'II-I TOTAL COMPANY'!M114</f>
        <v>0</v>
      </c>
      <c r="I114" s="66">
        <v>0</v>
      </c>
      <c r="J114" s="66">
        <f>SUM(K114:V114)-M114-P114</f>
        <v>0</v>
      </c>
      <c r="K114" s="12">
        <f t="shared" ref="K114:L117" si="81">VLOOKUP($D114,$E$741:$V$815,K$1,FALSE)*$H114</f>
        <v>0</v>
      </c>
      <c r="L114" s="12">
        <f t="shared" si="81"/>
        <v>0</v>
      </c>
      <c r="M114" s="9">
        <f>SUM(N114:O114)</f>
        <v>0</v>
      </c>
      <c r="N114" s="12">
        <f t="shared" ref="N114:O117" si="82">VLOOKUP($D114,$E$741:$V$815,N$1,FALSE)*$H114</f>
        <v>0</v>
      </c>
      <c r="O114" s="12">
        <f t="shared" si="82"/>
        <v>0</v>
      </c>
      <c r="P114" s="9">
        <f t="shared" si="66"/>
        <v>0</v>
      </c>
      <c r="Q114" s="12">
        <f t="shared" ref="Q114:V117" si="83">VLOOKUP($D114,$E$741:$V$815,Q$1,FALSE)*$H114</f>
        <v>0</v>
      </c>
      <c r="R114" s="12">
        <f t="shared" si="83"/>
        <v>0</v>
      </c>
      <c r="S114" s="12">
        <f t="shared" si="83"/>
        <v>0</v>
      </c>
      <c r="T114" s="12">
        <f t="shared" si="83"/>
        <v>0</v>
      </c>
      <c r="U114" s="12">
        <f t="shared" si="83"/>
        <v>0</v>
      </c>
      <c r="V114" s="12">
        <f t="shared" si="83"/>
        <v>0</v>
      </c>
      <c r="W114" s="27" t="str">
        <f t="shared" si="71"/>
        <v>OK</v>
      </c>
    </row>
    <row r="115" spans="1:23" x14ac:dyDescent="0.2">
      <c r="A115" s="3">
        <f t="shared" si="74"/>
        <v>24</v>
      </c>
      <c r="B115" s="3" t="s">
        <v>54</v>
      </c>
      <c r="C115" s="3" t="s">
        <v>31</v>
      </c>
      <c r="D115" s="1" t="s">
        <v>368</v>
      </c>
      <c r="E115" s="4" t="s">
        <v>592</v>
      </c>
      <c r="F115" s="11"/>
      <c r="G115" s="11"/>
      <c r="H115" s="14">
        <f>'II-I TOTAL COMPANY'!M115</f>
        <v>0</v>
      </c>
      <c r="I115" s="66">
        <v>0</v>
      </c>
      <c r="J115" s="66">
        <f t="shared" ref="J115:J117" si="84">SUM(K115:V115)-M115-P115</f>
        <v>0</v>
      </c>
      <c r="K115" s="12">
        <f t="shared" si="81"/>
        <v>0</v>
      </c>
      <c r="L115" s="12">
        <f t="shared" si="81"/>
        <v>0</v>
      </c>
      <c r="M115" s="9">
        <f>SUM(N115:O115)</f>
        <v>0</v>
      </c>
      <c r="N115" s="12">
        <f t="shared" si="82"/>
        <v>0</v>
      </c>
      <c r="O115" s="12">
        <f t="shared" si="82"/>
        <v>0</v>
      </c>
      <c r="P115" s="9">
        <f t="shared" si="66"/>
        <v>0</v>
      </c>
      <c r="Q115" s="12">
        <f t="shared" si="83"/>
        <v>0</v>
      </c>
      <c r="R115" s="12">
        <f t="shared" si="83"/>
        <v>0</v>
      </c>
      <c r="S115" s="12">
        <f t="shared" si="83"/>
        <v>0</v>
      </c>
      <c r="T115" s="12">
        <f t="shared" si="83"/>
        <v>0</v>
      </c>
      <c r="U115" s="12">
        <f t="shared" si="83"/>
        <v>0</v>
      </c>
      <c r="V115" s="12">
        <f t="shared" si="83"/>
        <v>0</v>
      </c>
      <c r="W115" s="27" t="str">
        <f t="shared" si="71"/>
        <v>OK</v>
      </c>
    </row>
    <row r="116" spans="1:23" x14ac:dyDescent="0.2">
      <c r="A116" s="3">
        <f t="shared" si="74"/>
        <v>25</v>
      </c>
      <c r="B116" s="3" t="s">
        <v>55</v>
      </c>
      <c r="C116" s="3" t="s">
        <v>38</v>
      </c>
      <c r="D116" s="1" t="s">
        <v>368</v>
      </c>
      <c r="E116" s="4" t="s">
        <v>592</v>
      </c>
      <c r="F116" s="11"/>
      <c r="G116" s="11"/>
      <c r="H116" s="14">
        <f>'II-I TOTAL COMPANY'!M116</f>
        <v>0</v>
      </c>
      <c r="I116" s="66">
        <v>0</v>
      </c>
      <c r="J116" s="66">
        <f t="shared" si="84"/>
        <v>0</v>
      </c>
      <c r="K116" s="12">
        <f t="shared" si="81"/>
        <v>0</v>
      </c>
      <c r="L116" s="12">
        <f t="shared" si="81"/>
        <v>0</v>
      </c>
      <c r="M116" s="9">
        <f>SUM(N116:O116)</f>
        <v>0</v>
      </c>
      <c r="N116" s="12">
        <f t="shared" si="82"/>
        <v>0</v>
      </c>
      <c r="O116" s="12">
        <f t="shared" si="82"/>
        <v>0</v>
      </c>
      <c r="P116" s="9">
        <f t="shared" si="66"/>
        <v>0</v>
      </c>
      <c r="Q116" s="12">
        <f t="shared" si="83"/>
        <v>0</v>
      </c>
      <c r="R116" s="12">
        <f t="shared" si="83"/>
        <v>0</v>
      </c>
      <c r="S116" s="12">
        <f t="shared" si="83"/>
        <v>0</v>
      </c>
      <c r="T116" s="12">
        <f t="shared" si="83"/>
        <v>0</v>
      </c>
      <c r="U116" s="12">
        <f t="shared" si="83"/>
        <v>0</v>
      </c>
      <c r="V116" s="12">
        <f t="shared" si="83"/>
        <v>0</v>
      </c>
      <c r="W116" s="27" t="str">
        <f t="shared" si="71"/>
        <v>OK</v>
      </c>
    </row>
    <row r="117" spans="1:23" x14ac:dyDescent="0.2">
      <c r="A117" s="3">
        <f t="shared" si="74"/>
        <v>26</v>
      </c>
      <c r="B117" s="3" t="s">
        <v>56</v>
      </c>
      <c r="C117" s="3" t="s">
        <v>57</v>
      </c>
      <c r="D117" s="1" t="s">
        <v>368</v>
      </c>
      <c r="E117" s="4" t="s">
        <v>592</v>
      </c>
      <c r="F117" s="11"/>
      <c r="G117" s="11"/>
      <c r="H117" s="14">
        <f>'II-I TOTAL COMPANY'!M117</f>
        <v>0</v>
      </c>
      <c r="I117" s="66">
        <v>0</v>
      </c>
      <c r="J117" s="66">
        <f t="shared" si="84"/>
        <v>0</v>
      </c>
      <c r="K117" s="12">
        <f t="shared" si="81"/>
        <v>0</v>
      </c>
      <c r="L117" s="12">
        <f t="shared" si="81"/>
        <v>0</v>
      </c>
      <c r="M117" s="9">
        <f>SUM(N117:O117)</f>
        <v>0</v>
      </c>
      <c r="N117" s="12">
        <f t="shared" si="82"/>
        <v>0</v>
      </c>
      <c r="O117" s="12">
        <f t="shared" si="82"/>
        <v>0</v>
      </c>
      <c r="P117" s="9">
        <f t="shared" si="66"/>
        <v>0</v>
      </c>
      <c r="Q117" s="12">
        <f t="shared" si="83"/>
        <v>0</v>
      </c>
      <c r="R117" s="12">
        <f t="shared" si="83"/>
        <v>0</v>
      </c>
      <c r="S117" s="12">
        <f t="shared" si="83"/>
        <v>0</v>
      </c>
      <c r="T117" s="12">
        <f t="shared" si="83"/>
        <v>0</v>
      </c>
      <c r="U117" s="12">
        <f t="shared" si="83"/>
        <v>0</v>
      </c>
      <c r="V117" s="12">
        <f t="shared" si="83"/>
        <v>0</v>
      </c>
      <c r="W117" s="27" t="str">
        <f t="shared" si="71"/>
        <v>OK</v>
      </c>
    </row>
    <row r="118" spans="1:23" x14ac:dyDescent="0.2">
      <c r="A118" s="3">
        <f t="shared" si="74"/>
        <v>27</v>
      </c>
      <c r="B118" s="3" t="s">
        <v>58</v>
      </c>
      <c r="C118" s="3" t="s">
        <v>59</v>
      </c>
      <c r="D118" s="1" t="s">
        <v>368</v>
      </c>
      <c r="E118" s="4"/>
      <c r="F118" s="4"/>
      <c r="G118" s="4"/>
      <c r="H118" s="10"/>
      <c r="I118" s="10"/>
      <c r="J118" s="10"/>
      <c r="K118" s="10"/>
      <c r="L118" s="10"/>
      <c r="M118" s="3"/>
      <c r="N118" s="3"/>
      <c r="O118" s="3"/>
      <c r="P118" s="9"/>
      <c r="Q118" s="3"/>
      <c r="R118" s="3"/>
      <c r="S118" s="3"/>
      <c r="T118" s="3"/>
      <c r="U118" s="3"/>
      <c r="V118" s="3"/>
      <c r="W118" s="27" t="str">
        <f t="shared" si="71"/>
        <v>OK</v>
      </c>
    </row>
    <row r="119" spans="1:23" x14ac:dyDescent="0.2">
      <c r="A119" s="3">
        <f t="shared" si="74"/>
        <v>28</v>
      </c>
      <c r="B119" s="3"/>
      <c r="C119" s="3" t="s">
        <v>60</v>
      </c>
      <c r="D119" s="1" t="s">
        <v>368</v>
      </c>
      <c r="E119" s="4" t="s">
        <v>592</v>
      </c>
      <c r="F119" s="11"/>
      <c r="G119" s="11"/>
      <c r="H119" s="14">
        <f>'II-I TOTAL COMPANY'!M119</f>
        <v>0</v>
      </c>
      <c r="I119" s="66">
        <v>0</v>
      </c>
      <c r="J119" s="66">
        <f>SUM(K119:V119)-M119-P119</f>
        <v>0</v>
      </c>
      <c r="K119" s="12">
        <f>VLOOKUP($D119,$E$741:$V$815,K$1,FALSE)*$H119</f>
        <v>0</v>
      </c>
      <c r="L119" s="12">
        <f>VLOOKUP($D119,$E$741:$V$815,L$1,FALSE)*$H119</f>
        <v>0</v>
      </c>
      <c r="M119" s="9">
        <f>SUM(N119:O119)</f>
        <v>0</v>
      </c>
      <c r="N119" s="12">
        <f>VLOOKUP($D119,$E$741:$V$815,N$1,FALSE)*$H119</f>
        <v>0</v>
      </c>
      <c r="O119" s="12">
        <f>VLOOKUP($D119,$E$741:$V$815,O$1,FALSE)*$H119</f>
        <v>0</v>
      </c>
      <c r="P119" s="9">
        <f t="shared" si="66"/>
        <v>0</v>
      </c>
      <c r="Q119" s="12">
        <f t="shared" ref="Q119:V120" si="85">VLOOKUP($D119,$E$741:$V$815,Q$1,FALSE)*$H119</f>
        <v>0</v>
      </c>
      <c r="R119" s="12">
        <f t="shared" si="85"/>
        <v>0</v>
      </c>
      <c r="S119" s="12">
        <f t="shared" si="85"/>
        <v>0</v>
      </c>
      <c r="T119" s="12">
        <f t="shared" si="85"/>
        <v>0</v>
      </c>
      <c r="U119" s="12">
        <f t="shared" si="85"/>
        <v>0</v>
      </c>
      <c r="V119" s="12">
        <f t="shared" si="85"/>
        <v>0</v>
      </c>
      <c r="W119" s="27" t="str">
        <f t="shared" si="71"/>
        <v>OK</v>
      </c>
    </row>
    <row r="120" spans="1:23" x14ac:dyDescent="0.2">
      <c r="A120" s="3">
        <f t="shared" si="74"/>
        <v>29</v>
      </c>
      <c r="B120" s="3"/>
      <c r="C120" s="3" t="s">
        <v>61</v>
      </c>
      <c r="D120" s="1" t="s">
        <v>369</v>
      </c>
      <c r="E120" s="4" t="s">
        <v>592</v>
      </c>
      <c r="F120" s="11"/>
      <c r="G120" s="11"/>
      <c r="H120" s="14">
        <f>'II-I TOTAL COMPANY'!M120</f>
        <v>0</v>
      </c>
      <c r="I120" s="66">
        <v>0</v>
      </c>
      <c r="J120" s="66">
        <f>SUM(K120:V120)-M120-P120</f>
        <v>0</v>
      </c>
      <c r="K120" s="12">
        <f>VLOOKUP($D120,$E$741:$V$815,K$1,FALSE)*$H120</f>
        <v>0</v>
      </c>
      <c r="L120" s="12">
        <f>VLOOKUP($D120,$E$741:$V$815,L$1,FALSE)*$H120</f>
        <v>0</v>
      </c>
      <c r="M120" s="9">
        <f>SUM(N120:O120)</f>
        <v>0</v>
      </c>
      <c r="N120" s="12">
        <f>VLOOKUP($D120,$E$741:$V$815,N$1,FALSE)*$H120</f>
        <v>0</v>
      </c>
      <c r="O120" s="12">
        <f>VLOOKUP($D120,$E$741:$V$815,O$1,FALSE)*$H120</f>
        <v>0</v>
      </c>
      <c r="P120" s="9">
        <f t="shared" si="66"/>
        <v>0</v>
      </c>
      <c r="Q120" s="12">
        <f t="shared" si="85"/>
        <v>0</v>
      </c>
      <c r="R120" s="12">
        <f t="shared" si="85"/>
        <v>0</v>
      </c>
      <c r="S120" s="12">
        <f t="shared" si="85"/>
        <v>0</v>
      </c>
      <c r="T120" s="12">
        <f t="shared" si="85"/>
        <v>0</v>
      </c>
      <c r="U120" s="12">
        <f t="shared" si="85"/>
        <v>0</v>
      </c>
      <c r="V120" s="12">
        <f t="shared" si="85"/>
        <v>0</v>
      </c>
      <c r="W120" s="27" t="str">
        <f t="shared" si="71"/>
        <v>OK</v>
      </c>
    </row>
    <row r="121" spans="1:23" x14ac:dyDescent="0.2">
      <c r="A121" s="3">
        <f t="shared" si="74"/>
        <v>30</v>
      </c>
      <c r="B121" s="3"/>
      <c r="C121" s="3" t="s">
        <v>62</v>
      </c>
      <c r="D121" s="3"/>
      <c r="E121" s="4"/>
      <c r="F121" s="8"/>
      <c r="G121" s="8"/>
      <c r="H121" s="8">
        <f>SUM(H119:H120)</f>
        <v>0</v>
      </c>
      <c r="I121" s="66">
        <v>0</v>
      </c>
      <c r="J121" s="66">
        <f>SUM(K121:V121)-M121-P121</f>
        <v>0</v>
      </c>
      <c r="K121" s="8">
        <f t="shared" ref="K121:V121" si="86">SUM(K119:K120)</f>
        <v>0</v>
      </c>
      <c r="L121" s="8">
        <f t="shared" si="86"/>
        <v>0</v>
      </c>
      <c r="M121" s="9">
        <f>SUM(N121:O121)</f>
        <v>0</v>
      </c>
      <c r="N121" s="8">
        <f t="shared" si="86"/>
        <v>0</v>
      </c>
      <c r="O121" s="8">
        <f t="shared" si="86"/>
        <v>0</v>
      </c>
      <c r="P121" s="9">
        <f t="shared" si="66"/>
        <v>0</v>
      </c>
      <c r="Q121" s="8">
        <f t="shared" si="86"/>
        <v>0</v>
      </c>
      <c r="R121" s="8">
        <f t="shared" si="86"/>
        <v>0</v>
      </c>
      <c r="S121" s="8">
        <f>SUM(S119:S120)</f>
        <v>0</v>
      </c>
      <c r="T121" s="8">
        <f t="shared" si="86"/>
        <v>0</v>
      </c>
      <c r="U121" s="8">
        <f t="shared" si="86"/>
        <v>0</v>
      </c>
      <c r="V121" s="8">
        <f t="shared" si="86"/>
        <v>0</v>
      </c>
      <c r="W121" s="27" t="str">
        <f t="shared" si="71"/>
        <v>OK</v>
      </c>
    </row>
    <row r="122" spans="1:23" x14ac:dyDescent="0.2">
      <c r="A122" s="3">
        <f t="shared" si="74"/>
        <v>31</v>
      </c>
      <c r="B122" s="3" t="s">
        <v>63</v>
      </c>
      <c r="C122" s="3" t="s">
        <v>44</v>
      </c>
      <c r="D122" s="3"/>
      <c r="E122" s="4"/>
      <c r="F122" s="4"/>
      <c r="G122" s="4"/>
      <c r="H122" s="10"/>
      <c r="I122" s="10"/>
      <c r="J122" s="10"/>
      <c r="K122" s="10"/>
      <c r="L122" s="10"/>
      <c r="M122" s="3"/>
      <c r="N122" s="3"/>
      <c r="O122" s="3"/>
      <c r="P122" s="9"/>
      <c r="Q122" s="3"/>
      <c r="R122" s="3"/>
      <c r="S122" s="3"/>
      <c r="T122" s="3"/>
      <c r="U122" s="3"/>
      <c r="V122" s="3"/>
      <c r="W122" s="27" t="str">
        <f t="shared" si="71"/>
        <v>OK</v>
      </c>
    </row>
    <row r="123" spans="1:23" x14ac:dyDescent="0.2">
      <c r="A123" s="3">
        <f t="shared" si="74"/>
        <v>32</v>
      </c>
      <c r="B123" s="3"/>
      <c r="C123" s="3" t="s">
        <v>60</v>
      </c>
      <c r="D123" s="1" t="s">
        <v>368</v>
      </c>
      <c r="E123" s="4" t="s">
        <v>592</v>
      </c>
      <c r="F123" s="11"/>
      <c r="G123" s="11"/>
      <c r="H123" s="14">
        <f>'II-I TOTAL COMPANY'!M123</f>
        <v>0</v>
      </c>
      <c r="I123" s="66">
        <v>0</v>
      </c>
      <c r="J123" s="66">
        <f t="shared" ref="J123:J125" si="87">SUM(K123:V123)-M123-P123</f>
        <v>0</v>
      </c>
      <c r="K123" s="12">
        <f>VLOOKUP($D123,$E$741:$V$815,K$1,FALSE)*$H123</f>
        <v>0</v>
      </c>
      <c r="L123" s="12">
        <f>VLOOKUP($D123,$E$741:$V$815,L$1,FALSE)*$H123</f>
        <v>0</v>
      </c>
      <c r="M123" s="9">
        <f>SUM(N123:O123)</f>
        <v>0</v>
      </c>
      <c r="N123" s="12">
        <f>VLOOKUP($D123,$E$741:$V$815,N$1,FALSE)*$H123</f>
        <v>0</v>
      </c>
      <c r="O123" s="12">
        <f>VLOOKUP($D123,$E$741:$V$815,O$1,FALSE)*$H123</f>
        <v>0</v>
      </c>
      <c r="P123" s="9">
        <f t="shared" si="66"/>
        <v>0</v>
      </c>
      <c r="Q123" s="12">
        <f t="shared" ref="Q123:V124" si="88">VLOOKUP($D123,$E$741:$V$815,Q$1,FALSE)*$H123</f>
        <v>0</v>
      </c>
      <c r="R123" s="12">
        <f t="shared" si="88"/>
        <v>0</v>
      </c>
      <c r="S123" s="12">
        <f t="shared" si="88"/>
        <v>0</v>
      </c>
      <c r="T123" s="12">
        <f t="shared" si="88"/>
        <v>0</v>
      </c>
      <c r="U123" s="12">
        <f t="shared" si="88"/>
        <v>0</v>
      </c>
      <c r="V123" s="12">
        <f t="shared" si="88"/>
        <v>0</v>
      </c>
      <c r="W123" s="27" t="str">
        <f t="shared" si="71"/>
        <v>OK</v>
      </c>
    </row>
    <row r="124" spans="1:23" x14ac:dyDescent="0.2">
      <c r="A124" s="3">
        <f t="shared" si="74"/>
        <v>33</v>
      </c>
      <c r="B124" s="3"/>
      <c r="C124" s="3" t="s">
        <v>61</v>
      </c>
      <c r="D124" s="1" t="s">
        <v>369</v>
      </c>
      <c r="E124" s="4" t="s">
        <v>592</v>
      </c>
      <c r="F124" s="11"/>
      <c r="G124" s="11"/>
      <c r="H124" s="14">
        <f>'II-I TOTAL COMPANY'!M124</f>
        <v>0</v>
      </c>
      <c r="I124" s="66">
        <f>V124</f>
        <v>0</v>
      </c>
      <c r="J124" s="66">
        <f t="shared" si="87"/>
        <v>0</v>
      </c>
      <c r="K124" s="12">
        <f>VLOOKUP($D124,$E$741:$V$815,K$1,FALSE)*$H124</f>
        <v>0</v>
      </c>
      <c r="L124" s="12">
        <f>VLOOKUP($D124,$E$741:$V$815,L$1,FALSE)*$H124</f>
        <v>0</v>
      </c>
      <c r="M124" s="9">
        <f>SUM(N124:O124)</f>
        <v>0</v>
      </c>
      <c r="N124" s="12">
        <f>VLOOKUP($D124,$E$741:$V$815,N$1,FALSE)*$H124</f>
        <v>0</v>
      </c>
      <c r="O124" s="12">
        <f>VLOOKUP($D124,$E$741:$V$815,O$1,FALSE)*$H124</f>
        <v>0</v>
      </c>
      <c r="P124" s="9">
        <f t="shared" si="66"/>
        <v>0</v>
      </c>
      <c r="Q124" s="12">
        <f t="shared" si="88"/>
        <v>0</v>
      </c>
      <c r="R124" s="12">
        <f t="shared" si="88"/>
        <v>0</v>
      </c>
      <c r="S124" s="12">
        <f t="shared" si="88"/>
        <v>0</v>
      </c>
      <c r="T124" s="12">
        <f t="shared" si="88"/>
        <v>0</v>
      </c>
      <c r="U124" s="12">
        <f t="shared" si="88"/>
        <v>0</v>
      </c>
      <c r="V124" s="12">
        <f t="shared" si="88"/>
        <v>0</v>
      </c>
      <c r="W124" s="27" t="str">
        <f t="shared" si="71"/>
        <v>OK</v>
      </c>
    </row>
    <row r="125" spans="1:23" x14ac:dyDescent="0.2">
      <c r="A125" s="3">
        <f t="shared" si="74"/>
        <v>34</v>
      </c>
      <c r="B125" s="3"/>
      <c r="C125" s="3" t="s">
        <v>432</v>
      </c>
      <c r="D125" s="3"/>
      <c r="E125" s="4"/>
      <c r="F125" s="8"/>
      <c r="G125" s="8"/>
      <c r="H125" s="8">
        <f t="shared" ref="H125:V125" si="89">SUM(H123:H124)</f>
        <v>0</v>
      </c>
      <c r="I125" s="8">
        <v>0</v>
      </c>
      <c r="J125" s="66">
        <f t="shared" si="87"/>
        <v>0</v>
      </c>
      <c r="K125" s="8">
        <f t="shared" si="89"/>
        <v>0</v>
      </c>
      <c r="L125" s="8">
        <f t="shared" si="89"/>
        <v>0</v>
      </c>
      <c r="M125" s="9">
        <f>SUM(N125:O125)</f>
        <v>0</v>
      </c>
      <c r="N125" s="8">
        <f t="shared" si="89"/>
        <v>0</v>
      </c>
      <c r="O125" s="8">
        <f t="shared" si="89"/>
        <v>0</v>
      </c>
      <c r="P125" s="9">
        <f t="shared" si="66"/>
        <v>0</v>
      </c>
      <c r="Q125" s="8">
        <f t="shared" si="89"/>
        <v>0</v>
      </c>
      <c r="R125" s="8">
        <f t="shared" si="89"/>
        <v>0</v>
      </c>
      <c r="S125" s="8">
        <f>SUM(S123:S124)</f>
        <v>0</v>
      </c>
      <c r="T125" s="8">
        <f t="shared" si="89"/>
        <v>0</v>
      </c>
      <c r="U125" s="8">
        <f t="shared" si="89"/>
        <v>0</v>
      </c>
      <c r="V125" s="8">
        <f t="shared" si="89"/>
        <v>0</v>
      </c>
      <c r="W125" s="27" t="str">
        <f t="shared" ref="W125:W156" si="90">IF((+K125+L125+M125+P125+T125+U125+V125)-H125=0,"OK",(+K125+L125+M125+P125+T125+U125+V125)-H125)</f>
        <v>OK</v>
      </c>
    </row>
    <row r="126" spans="1:23" x14ac:dyDescent="0.2">
      <c r="A126" s="3">
        <f t="shared" si="74"/>
        <v>35</v>
      </c>
      <c r="B126" s="3"/>
      <c r="C126" s="3"/>
      <c r="D126" s="3"/>
      <c r="E126" s="4"/>
      <c r="F126" s="4"/>
      <c r="G126" s="4"/>
      <c r="H126" s="8"/>
      <c r="I126" s="8"/>
      <c r="J126" s="8"/>
      <c r="K126" s="8"/>
      <c r="L126" s="8"/>
      <c r="M126" s="3"/>
      <c r="N126" s="3"/>
      <c r="O126" s="3"/>
      <c r="P126" s="9"/>
      <c r="Q126" s="3"/>
      <c r="R126" s="3"/>
      <c r="S126" s="3"/>
      <c r="T126" s="3"/>
      <c r="U126" s="3"/>
      <c r="V126" s="3"/>
      <c r="W126" s="27" t="str">
        <f t="shared" si="90"/>
        <v>OK</v>
      </c>
    </row>
    <row r="127" spans="1:23" x14ac:dyDescent="0.2">
      <c r="A127" s="3">
        <f t="shared" si="74"/>
        <v>36</v>
      </c>
      <c r="B127" s="3" t="s">
        <v>64</v>
      </c>
      <c r="C127" s="3" t="s">
        <v>65</v>
      </c>
      <c r="D127" s="3"/>
      <c r="E127" s="4"/>
      <c r="F127" s="4"/>
      <c r="G127" s="4"/>
      <c r="H127" s="14">
        <f>'II-I TOTAL COMPANY'!M127</f>
        <v>0</v>
      </c>
      <c r="I127" s="66">
        <f>V127</f>
        <v>0</v>
      </c>
      <c r="J127" s="66">
        <f>SUM(K127:U127)-M127-P127</f>
        <v>0</v>
      </c>
      <c r="K127" s="12"/>
      <c r="L127" s="12"/>
      <c r="M127" s="12"/>
      <c r="N127" s="12"/>
      <c r="O127" s="12"/>
      <c r="P127" s="9"/>
      <c r="Q127" s="12"/>
      <c r="R127" s="12"/>
      <c r="S127" s="12"/>
      <c r="T127" s="12"/>
      <c r="U127" s="12"/>
      <c r="V127" s="12"/>
      <c r="W127" s="27" t="str">
        <f t="shared" si="90"/>
        <v>OK</v>
      </c>
    </row>
    <row r="128" spans="1:23" x14ac:dyDescent="0.2">
      <c r="A128" s="3">
        <f t="shared" si="74"/>
        <v>37</v>
      </c>
      <c r="B128" s="3"/>
      <c r="C128" s="3" t="s">
        <v>60</v>
      </c>
      <c r="D128" s="1" t="s">
        <v>368</v>
      </c>
      <c r="E128" s="4" t="s">
        <v>592</v>
      </c>
      <c r="F128" s="11"/>
      <c r="G128" s="11"/>
      <c r="H128" s="14">
        <f>'II-I TOTAL COMPANY'!M128</f>
        <v>0</v>
      </c>
      <c r="I128" s="66">
        <v>0</v>
      </c>
      <c r="J128" s="66">
        <f t="shared" ref="J128:J130" si="91">SUM(K128:V128)-M128-P128</f>
        <v>0</v>
      </c>
      <c r="K128" s="12">
        <f>VLOOKUP($D128,$E$741:$V$815,K$1,FALSE)*$H128</f>
        <v>0</v>
      </c>
      <c r="L128" s="12">
        <f>VLOOKUP($D128,$E$741:$V$815,L$1,FALSE)*$H128</f>
        <v>0</v>
      </c>
      <c r="M128" s="9">
        <f>SUM(N128:O128)</f>
        <v>0</v>
      </c>
      <c r="N128" s="12">
        <f>VLOOKUP($D128,$E$741:$V$815,N$1,FALSE)*$H128</f>
        <v>0</v>
      </c>
      <c r="O128" s="12">
        <f>VLOOKUP($D128,$E$741:$V$815,O$1,FALSE)*$H128</f>
        <v>0</v>
      </c>
      <c r="P128" s="9">
        <f t="shared" si="66"/>
        <v>0</v>
      </c>
      <c r="Q128" s="12">
        <f t="shared" ref="Q128:V129" si="92">VLOOKUP($D128,$E$741:$V$815,Q$1,FALSE)*$H128</f>
        <v>0</v>
      </c>
      <c r="R128" s="12">
        <f t="shared" si="92"/>
        <v>0</v>
      </c>
      <c r="S128" s="12">
        <f t="shared" si="92"/>
        <v>0</v>
      </c>
      <c r="T128" s="12">
        <f t="shared" si="92"/>
        <v>0</v>
      </c>
      <c r="U128" s="12">
        <f t="shared" si="92"/>
        <v>0</v>
      </c>
      <c r="V128" s="12">
        <f t="shared" si="92"/>
        <v>0</v>
      </c>
      <c r="W128" s="27" t="str">
        <f t="shared" si="90"/>
        <v>OK</v>
      </c>
    </row>
    <row r="129" spans="1:23" x14ac:dyDescent="0.2">
      <c r="A129" s="3">
        <f t="shared" si="74"/>
        <v>38</v>
      </c>
      <c r="B129" s="3"/>
      <c r="C129" s="3" t="s">
        <v>61</v>
      </c>
      <c r="D129" s="1" t="s">
        <v>369</v>
      </c>
      <c r="E129" s="4" t="s">
        <v>592</v>
      </c>
      <c r="F129" s="11"/>
      <c r="G129" s="11"/>
      <c r="H129" s="14">
        <f>'II-I TOTAL COMPANY'!M129</f>
        <v>0</v>
      </c>
      <c r="I129" s="66">
        <v>0</v>
      </c>
      <c r="J129" s="66">
        <f t="shared" si="91"/>
        <v>0</v>
      </c>
      <c r="K129" s="12">
        <f>VLOOKUP($D129,$E$741:$V$815,K$1,FALSE)*$H129</f>
        <v>0</v>
      </c>
      <c r="L129" s="12">
        <f>VLOOKUP($D129,$E$741:$V$815,L$1,FALSE)*$H129</f>
        <v>0</v>
      </c>
      <c r="M129" s="9">
        <f>SUM(N129:O129)</f>
        <v>0</v>
      </c>
      <c r="N129" s="12">
        <f>VLOOKUP($D129,$E$741:$V$815,N$1,FALSE)*$H129</f>
        <v>0</v>
      </c>
      <c r="O129" s="12">
        <f>VLOOKUP($D129,$E$741:$V$815,O$1,FALSE)*$H129</f>
        <v>0</v>
      </c>
      <c r="P129" s="9">
        <f t="shared" si="66"/>
        <v>0</v>
      </c>
      <c r="Q129" s="12">
        <f t="shared" si="92"/>
        <v>0</v>
      </c>
      <c r="R129" s="12">
        <f t="shared" si="92"/>
        <v>0</v>
      </c>
      <c r="S129" s="12">
        <f t="shared" si="92"/>
        <v>0</v>
      </c>
      <c r="T129" s="12">
        <f t="shared" si="92"/>
        <v>0</v>
      </c>
      <c r="U129" s="12">
        <f t="shared" si="92"/>
        <v>0</v>
      </c>
      <c r="V129" s="12">
        <f t="shared" si="92"/>
        <v>0</v>
      </c>
      <c r="W129" s="27" t="str">
        <f t="shared" si="90"/>
        <v>OK</v>
      </c>
    </row>
    <row r="130" spans="1:23" x14ac:dyDescent="0.2">
      <c r="A130" s="3">
        <f t="shared" si="74"/>
        <v>39</v>
      </c>
      <c r="B130" s="3"/>
      <c r="C130" s="3" t="s">
        <v>359</v>
      </c>
      <c r="D130" s="3"/>
      <c r="E130" s="4"/>
      <c r="F130" s="66"/>
      <c r="G130" s="66"/>
      <c r="H130" s="66">
        <f>'II-I TOTAL COMPANY'!M130</f>
        <v>0</v>
      </c>
      <c r="I130" s="66">
        <v>0</v>
      </c>
      <c r="J130" s="66">
        <f t="shared" si="91"/>
        <v>0</v>
      </c>
      <c r="K130" s="66">
        <f t="shared" ref="K130:V130" si="93">+K129+K128</f>
        <v>0</v>
      </c>
      <c r="L130" s="12">
        <f t="shared" si="93"/>
        <v>0</v>
      </c>
      <c r="M130" s="9">
        <f>SUM(N130:O130)</f>
        <v>0</v>
      </c>
      <c r="N130" s="3">
        <f t="shared" si="93"/>
        <v>0</v>
      </c>
      <c r="O130" s="3">
        <f t="shared" si="93"/>
        <v>0</v>
      </c>
      <c r="P130" s="9">
        <f t="shared" si="66"/>
        <v>0</v>
      </c>
      <c r="Q130" s="3">
        <f t="shared" si="93"/>
        <v>0</v>
      </c>
      <c r="R130" s="3">
        <f t="shared" si="93"/>
        <v>0</v>
      </c>
      <c r="S130" s="3">
        <f>+S129+S128</f>
        <v>0</v>
      </c>
      <c r="T130" s="3">
        <f t="shared" si="93"/>
        <v>0</v>
      </c>
      <c r="U130" s="3">
        <f t="shared" si="93"/>
        <v>0</v>
      </c>
      <c r="V130" s="3">
        <f t="shared" si="93"/>
        <v>0</v>
      </c>
      <c r="W130" s="27" t="str">
        <f t="shared" si="90"/>
        <v>OK</v>
      </c>
    </row>
    <row r="131" spans="1:23" x14ac:dyDescent="0.2">
      <c r="A131" s="3">
        <f t="shared" si="74"/>
        <v>40</v>
      </c>
      <c r="B131" s="3"/>
      <c r="C131" s="3"/>
      <c r="D131" s="3"/>
      <c r="E131" s="4"/>
      <c r="F131" s="4"/>
      <c r="G131" s="4"/>
      <c r="H131" s="8"/>
      <c r="I131" s="8"/>
      <c r="J131" s="8"/>
      <c r="K131" s="8"/>
      <c r="L131" s="8"/>
      <c r="M131" s="3"/>
      <c r="N131" s="3"/>
      <c r="O131" s="3"/>
      <c r="P131" s="9"/>
      <c r="Q131" s="3"/>
      <c r="R131" s="3"/>
      <c r="S131" s="3"/>
      <c r="T131" s="3"/>
      <c r="U131" s="3"/>
      <c r="V131" s="3"/>
      <c r="W131" s="27" t="str">
        <f t="shared" si="90"/>
        <v>OK</v>
      </c>
    </row>
    <row r="132" spans="1:23" x14ac:dyDescent="0.2">
      <c r="A132" s="3">
        <f t="shared" si="74"/>
        <v>41</v>
      </c>
      <c r="B132" s="3" t="s">
        <v>66</v>
      </c>
      <c r="C132" s="3" t="s">
        <v>67</v>
      </c>
      <c r="D132" s="3"/>
      <c r="E132" s="4"/>
      <c r="F132" s="4"/>
      <c r="G132" s="4"/>
      <c r="H132" s="10"/>
      <c r="I132" s="10"/>
      <c r="J132" s="10"/>
      <c r="K132" s="10"/>
      <c r="L132" s="10"/>
      <c r="M132" s="3"/>
      <c r="N132" s="3"/>
      <c r="O132" s="3"/>
      <c r="P132" s="9"/>
      <c r="Q132" s="3"/>
      <c r="R132" s="3"/>
      <c r="S132" s="3"/>
      <c r="T132" s="3"/>
      <c r="U132" s="3"/>
      <c r="V132" s="3"/>
      <c r="W132" s="27" t="str">
        <f t="shared" si="90"/>
        <v>OK</v>
      </c>
    </row>
    <row r="133" spans="1:23" x14ac:dyDescent="0.2">
      <c r="A133" s="3">
        <f t="shared" si="74"/>
        <v>42</v>
      </c>
      <c r="B133" s="3"/>
      <c r="C133" s="3" t="s">
        <v>60</v>
      </c>
      <c r="D133" s="1" t="s">
        <v>368</v>
      </c>
      <c r="E133" s="4" t="s">
        <v>592</v>
      </c>
      <c r="F133" s="11"/>
      <c r="G133" s="11"/>
      <c r="H133" s="14">
        <f>'II-I TOTAL COMPANY'!M133</f>
        <v>0</v>
      </c>
      <c r="I133" s="66">
        <v>0</v>
      </c>
      <c r="J133" s="66">
        <f t="shared" ref="J133:J135" si="94">SUM(K133:V133)-M133-P133</f>
        <v>0</v>
      </c>
      <c r="K133" s="12">
        <f>VLOOKUP($D133,$E$741:$V$815,K$1,FALSE)*$H133</f>
        <v>0</v>
      </c>
      <c r="L133" s="12">
        <f>VLOOKUP($D133,$E$741:$V$815,L$1,FALSE)*$H133</f>
        <v>0</v>
      </c>
      <c r="M133" s="9">
        <f>SUM(N133:O133)</f>
        <v>0</v>
      </c>
      <c r="N133" s="12">
        <f>VLOOKUP($D133,$E$741:$V$815,N$1,FALSE)*$H133</f>
        <v>0</v>
      </c>
      <c r="O133" s="12">
        <f>VLOOKUP($D133,$E$741:$V$815,O$1,FALSE)*$H133</f>
        <v>0</v>
      </c>
      <c r="P133" s="9">
        <f t="shared" si="66"/>
        <v>0</v>
      </c>
      <c r="Q133" s="12">
        <f t="shared" ref="Q133:V134" si="95">VLOOKUP($D133,$E$741:$V$815,Q$1,FALSE)*$H133</f>
        <v>0</v>
      </c>
      <c r="R133" s="12">
        <f t="shared" si="95"/>
        <v>0</v>
      </c>
      <c r="S133" s="12">
        <f t="shared" si="95"/>
        <v>0</v>
      </c>
      <c r="T133" s="12">
        <f t="shared" si="95"/>
        <v>0</v>
      </c>
      <c r="U133" s="12">
        <f t="shared" si="95"/>
        <v>0</v>
      </c>
      <c r="V133" s="12">
        <f t="shared" si="95"/>
        <v>0</v>
      </c>
      <c r="W133" s="27" t="str">
        <f t="shared" si="90"/>
        <v>OK</v>
      </c>
    </row>
    <row r="134" spans="1:23" x14ac:dyDescent="0.2">
      <c r="A134" s="3">
        <f t="shared" si="74"/>
        <v>43</v>
      </c>
      <c r="B134" s="3"/>
      <c r="C134" s="3" t="s">
        <v>61</v>
      </c>
      <c r="D134" s="1" t="s">
        <v>369</v>
      </c>
      <c r="E134" s="4" t="s">
        <v>592</v>
      </c>
      <c r="F134" s="11"/>
      <c r="G134" s="11"/>
      <c r="H134" s="14">
        <f>'II-I TOTAL COMPANY'!M134</f>
        <v>0</v>
      </c>
      <c r="I134" s="66">
        <v>0</v>
      </c>
      <c r="J134" s="66">
        <f t="shared" si="94"/>
        <v>0</v>
      </c>
      <c r="K134" s="12">
        <f>VLOOKUP($D134,$E$741:$V$815,K$1,FALSE)*$H134</f>
        <v>0</v>
      </c>
      <c r="L134" s="12">
        <f>VLOOKUP($D134,$E$741:$V$815,L$1,FALSE)*$H134</f>
        <v>0</v>
      </c>
      <c r="M134" s="9">
        <f>SUM(N134:O134)</f>
        <v>0</v>
      </c>
      <c r="N134" s="12">
        <f>VLOOKUP($D134,$E$741:$V$815,N$1,FALSE)*$H134</f>
        <v>0</v>
      </c>
      <c r="O134" s="12">
        <f>VLOOKUP($D134,$E$741:$V$815,O$1,FALSE)*$H134</f>
        <v>0</v>
      </c>
      <c r="P134" s="9">
        <f t="shared" si="66"/>
        <v>0</v>
      </c>
      <c r="Q134" s="12">
        <f t="shared" si="95"/>
        <v>0</v>
      </c>
      <c r="R134" s="12">
        <f t="shared" si="95"/>
        <v>0</v>
      </c>
      <c r="S134" s="12">
        <f t="shared" si="95"/>
        <v>0</v>
      </c>
      <c r="T134" s="12">
        <f t="shared" si="95"/>
        <v>0</v>
      </c>
      <c r="U134" s="12">
        <f t="shared" si="95"/>
        <v>0</v>
      </c>
      <c r="V134" s="12">
        <f t="shared" si="95"/>
        <v>0</v>
      </c>
      <c r="W134" s="27" t="str">
        <f t="shared" si="90"/>
        <v>OK</v>
      </c>
    </row>
    <row r="135" spans="1:23" x14ac:dyDescent="0.2">
      <c r="A135" s="3">
        <f t="shared" si="74"/>
        <v>44</v>
      </c>
      <c r="B135" s="3"/>
      <c r="C135" s="3" t="s">
        <v>68</v>
      </c>
      <c r="D135" s="3"/>
      <c r="E135" s="4"/>
      <c r="F135" s="8"/>
      <c r="G135" s="8"/>
      <c r="H135" s="8">
        <f t="shared" ref="H135:V135" si="96">SUM(H133:H134)</f>
        <v>0</v>
      </c>
      <c r="I135" s="8">
        <f t="shared" si="96"/>
        <v>0</v>
      </c>
      <c r="J135" s="66">
        <f t="shared" si="94"/>
        <v>0</v>
      </c>
      <c r="K135" s="8">
        <f t="shared" si="96"/>
        <v>0</v>
      </c>
      <c r="L135" s="8">
        <f t="shared" si="96"/>
        <v>0</v>
      </c>
      <c r="M135" s="9">
        <f>SUM(N135:O135)</f>
        <v>0</v>
      </c>
      <c r="N135" s="8">
        <f t="shared" si="96"/>
        <v>0</v>
      </c>
      <c r="O135" s="8">
        <f t="shared" si="96"/>
        <v>0</v>
      </c>
      <c r="P135" s="9">
        <f t="shared" si="66"/>
        <v>0</v>
      </c>
      <c r="Q135" s="8">
        <f t="shared" si="96"/>
        <v>0</v>
      </c>
      <c r="R135" s="8">
        <f t="shared" si="96"/>
        <v>0</v>
      </c>
      <c r="S135" s="8">
        <f>SUM(S133:S134)</f>
        <v>0</v>
      </c>
      <c r="T135" s="8">
        <f t="shared" si="96"/>
        <v>0</v>
      </c>
      <c r="U135" s="8">
        <f t="shared" si="96"/>
        <v>0</v>
      </c>
      <c r="V135" s="8">
        <f t="shared" si="96"/>
        <v>0</v>
      </c>
      <c r="W135" s="27" t="str">
        <f t="shared" si="90"/>
        <v>OK</v>
      </c>
    </row>
    <row r="136" spans="1:23" x14ac:dyDescent="0.2">
      <c r="A136" s="3">
        <f t="shared" si="74"/>
        <v>45</v>
      </c>
      <c r="B136" s="3" t="s">
        <v>69</v>
      </c>
      <c r="C136" s="3" t="s">
        <v>70</v>
      </c>
      <c r="D136" s="1"/>
      <c r="E136" s="4"/>
      <c r="F136" s="4"/>
      <c r="G136" s="4"/>
      <c r="H136" s="14"/>
      <c r="I136" s="66"/>
      <c r="J136" s="66"/>
      <c r="K136" s="12"/>
      <c r="L136" s="12"/>
      <c r="M136" s="3"/>
      <c r="N136" s="3"/>
      <c r="O136" s="3"/>
      <c r="P136" s="9"/>
      <c r="Q136" s="3"/>
      <c r="R136" s="3"/>
      <c r="S136" s="3"/>
      <c r="T136" s="3"/>
      <c r="U136" s="3"/>
      <c r="V136" s="3"/>
      <c r="W136" s="27" t="str">
        <f t="shared" si="90"/>
        <v>OK</v>
      </c>
    </row>
    <row r="137" spans="1:23" x14ac:dyDescent="0.2">
      <c r="A137" s="3">
        <f t="shared" si="74"/>
        <v>46</v>
      </c>
      <c r="B137" s="3"/>
      <c r="C137" s="3" t="s">
        <v>60</v>
      </c>
      <c r="D137" s="1" t="s">
        <v>368</v>
      </c>
      <c r="E137" s="4" t="s">
        <v>592</v>
      </c>
      <c r="F137" s="11"/>
      <c r="G137" s="11"/>
      <c r="H137" s="14">
        <f>'II-I TOTAL COMPANY'!M137</f>
        <v>0</v>
      </c>
      <c r="I137" s="66">
        <v>0</v>
      </c>
      <c r="J137" s="66">
        <f t="shared" ref="J137:J147" si="97">SUM(K137:V137)-M137-P137</f>
        <v>0</v>
      </c>
      <c r="K137" s="12">
        <f>VLOOKUP($D137,$E$741:$V$815,K$1,FALSE)*$H137</f>
        <v>0</v>
      </c>
      <c r="L137" s="12">
        <f>VLOOKUP($D137,$E$741:$V$815,L$1,FALSE)*$H137</f>
        <v>0</v>
      </c>
      <c r="M137" s="9">
        <f>SUM(N137:O137)</f>
        <v>0</v>
      </c>
      <c r="N137" s="12">
        <f>VLOOKUP($D137,$E$741:$V$815,N$1,FALSE)*$H137</f>
        <v>0</v>
      </c>
      <c r="O137" s="12">
        <f>VLOOKUP($D137,$E$741:$V$815,O$1,FALSE)*$H137</f>
        <v>0</v>
      </c>
      <c r="P137" s="9">
        <f t="shared" si="66"/>
        <v>0</v>
      </c>
      <c r="Q137" s="12">
        <f t="shared" ref="Q137:V138" si="98">VLOOKUP($D137,$E$741:$V$815,Q$1,FALSE)*$H137</f>
        <v>0</v>
      </c>
      <c r="R137" s="12">
        <f t="shared" si="98"/>
        <v>0</v>
      </c>
      <c r="S137" s="12">
        <f t="shared" si="98"/>
        <v>0</v>
      </c>
      <c r="T137" s="12">
        <f t="shared" si="98"/>
        <v>0</v>
      </c>
      <c r="U137" s="12">
        <f t="shared" si="98"/>
        <v>0</v>
      </c>
      <c r="V137" s="12">
        <f t="shared" si="98"/>
        <v>0</v>
      </c>
      <c r="W137" s="27" t="str">
        <f t="shared" si="90"/>
        <v>OK</v>
      </c>
    </row>
    <row r="138" spans="1:23" x14ac:dyDescent="0.2">
      <c r="A138" s="3">
        <f t="shared" si="74"/>
        <v>47</v>
      </c>
      <c r="B138" s="3"/>
      <c r="C138" s="3" t="s">
        <v>61</v>
      </c>
      <c r="D138" s="1" t="s">
        <v>369</v>
      </c>
      <c r="E138" s="4" t="s">
        <v>592</v>
      </c>
      <c r="F138" s="11"/>
      <c r="G138" s="11"/>
      <c r="H138" s="14">
        <f>'II-I TOTAL COMPANY'!M138</f>
        <v>0</v>
      </c>
      <c r="I138" s="66">
        <v>0</v>
      </c>
      <c r="J138" s="66">
        <f t="shared" si="97"/>
        <v>0</v>
      </c>
      <c r="K138" s="12">
        <f>VLOOKUP($D138,$E$741:$V$815,K$1,FALSE)*$H138</f>
        <v>0</v>
      </c>
      <c r="L138" s="12">
        <f>VLOOKUP($D138,$E$741:$V$815,L$1,FALSE)*$H138</f>
        <v>0</v>
      </c>
      <c r="M138" s="9">
        <f>SUM(N138:O138)</f>
        <v>0</v>
      </c>
      <c r="N138" s="12">
        <f>VLOOKUP($D138,$E$741:$V$815,N$1,FALSE)*$H138</f>
        <v>0</v>
      </c>
      <c r="O138" s="12">
        <f>VLOOKUP($D138,$E$741:$V$815,O$1,FALSE)*$H138</f>
        <v>0</v>
      </c>
      <c r="P138" s="9">
        <f t="shared" si="66"/>
        <v>0</v>
      </c>
      <c r="Q138" s="12">
        <f t="shared" si="98"/>
        <v>0</v>
      </c>
      <c r="R138" s="12">
        <f t="shared" si="98"/>
        <v>0</v>
      </c>
      <c r="S138" s="12">
        <f t="shared" si="98"/>
        <v>0</v>
      </c>
      <c r="T138" s="12">
        <f t="shared" si="98"/>
        <v>0</v>
      </c>
      <c r="U138" s="12">
        <f t="shared" si="98"/>
        <v>0</v>
      </c>
      <c r="V138" s="12">
        <f t="shared" si="98"/>
        <v>0</v>
      </c>
      <c r="W138" s="27" t="str">
        <f t="shared" si="90"/>
        <v>OK</v>
      </c>
    </row>
    <row r="139" spans="1:23" x14ac:dyDescent="0.2">
      <c r="A139" s="3">
        <f t="shared" si="74"/>
        <v>48</v>
      </c>
      <c r="B139" s="3"/>
      <c r="C139" s="3" t="s">
        <v>71</v>
      </c>
      <c r="D139" s="3"/>
      <c r="E139" s="4"/>
      <c r="F139" s="8"/>
      <c r="G139" s="8"/>
      <c r="H139" s="8">
        <f t="shared" ref="H139:V139" si="99">SUM(H137:H138)</f>
        <v>0</v>
      </c>
      <c r="I139" s="8">
        <f t="shared" si="99"/>
        <v>0</v>
      </c>
      <c r="J139" s="66">
        <f t="shared" si="97"/>
        <v>0</v>
      </c>
      <c r="K139" s="8">
        <f t="shared" si="99"/>
        <v>0</v>
      </c>
      <c r="L139" s="8">
        <f t="shared" si="99"/>
        <v>0</v>
      </c>
      <c r="M139" s="9">
        <f>SUM(N139:O139)</f>
        <v>0</v>
      </c>
      <c r="N139" s="8">
        <f t="shared" si="99"/>
        <v>0</v>
      </c>
      <c r="O139" s="8">
        <f t="shared" si="99"/>
        <v>0</v>
      </c>
      <c r="P139" s="9">
        <f t="shared" si="66"/>
        <v>0</v>
      </c>
      <c r="Q139" s="8">
        <f t="shared" si="99"/>
        <v>0</v>
      </c>
      <c r="R139" s="8">
        <f t="shared" si="99"/>
        <v>0</v>
      </c>
      <c r="S139" s="8">
        <f>SUM(S137:S138)</f>
        <v>0</v>
      </c>
      <c r="T139" s="8">
        <f t="shared" si="99"/>
        <v>0</v>
      </c>
      <c r="U139" s="8">
        <f t="shared" si="99"/>
        <v>0</v>
      </c>
      <c r="V139" s="8">
        <f t="shared" si="99"/>
        <v>0</v>
      </c>
      <c r="W139" s="27" t="str">
        <f t="shared" si="90"/>
        <v>OK</v>
      </c>
    </row>
    <row r="140" spans="1:23" x14ac:dyDescent="0.2">
      <c r="A140" s="3">
        <f t="shared" si="74"/>
        <v>49</v>
      </c>
      <c r="B140" s="3"/>
      <c r="C140" s="3"/>
      <c r="D140" s="3"/>
      <c r="E140" s="4"/>
      <c r="F140" s="4"/>
      <c r="G140" s="4"/>
      <c r="H140" s="8"/>
      <c r="I140" s="8"/>
      <c r="J140" s="8"/>
      <c r="K140" s="8"/>
      <c r="L140" s="8"/>
      <c r="M140" s="3"/>
      <c r="N140" s="3"/>
      <c r="O140" s="3"/>
      <c r="P140" s="9"/>
      <c r="Q140" s="3"/>
      <c r="R140" s="3"/>
      <c r="S140" s="3"/>
      <c r="T140" s="3"/>
      <c r="U140" s="3"/>
      <c r="V140" s="3"/>
      <c r="W140" s="27" t="str">
        <f t="shared" si="90"/>
        <v>OK</v>
      </c>
    </row>
    <row r="141" spans="1:23" x14ac:dyDescent="0.2">
      <c r="A141" s="3">
        <f t="shared" si="74"/>
        <v>50</v>
      </c>
      <c r="B141" s="3" t="s">
        <v>72</v>
      </c>
      <c r="C141" s="3" t="s">
        <v>73</v>
      </c>
      <c r="D141" s="1" t="s">
        <v>343</v>
      </c>
      <c r="E141" s="4" t="s">
        <v>592</v>
      </c>
      <c r="F141" s="11"/>
      <c r="G141" s="11"/>
      <c r="H141" s="14">
        <f>'II-I TOTAL COMPANY'!M141</f>
        <v>0</v>
      </c>
      <c r="I141" s="66">
        <v>0</v>
      </c>
      <c r="J141" s="66">
        <f t="shared" si="97"/>
        <v>0</v>
      </c>
      <c r="K141" s="12">
        <f t="shared" ref="K141:L146" si="100">VLOOKUP($D141,$E$741:$V$815,K$1,FALSE)*$H141</f>
        <v>0</v>
      </c>
      <c r="L141" s="12">
        <f t="shared" si="100"/>
        <v>0</v>
      </c>
      <c r="M141" s="9">
        <f t="shared" ref="M141:M146" si="101">SUM(N141:O141)</f>
        <v>0</v>
      </c>
      <c r="N141" s="12">
        <f t="shared" ref="N141:O146" si="102">VLOOKUP($D141,$E$741:$V$815,N$1,FALSE)*$H141</f>
        <v>0</v>
      </c>
      <c r="O141" s="12">
        <f t="shared" si="102"/>
        <v>0</v>
      </c>
      <c r="P141" s="9">
        <f t="shared" si="66"/>
        <v>0</v>
      </c>
      <c r="Q141" s="12">
        <f t="shared" ref="Q141:V146" si="103">VLOOKUP($D141,$E$741:$V$815,Q$1,FALSE)*$H141</f>
        <v>0</v>
      </c>
      <c r="R141" s="12">
        <f t="shared" si="103"/>
        <v>0</v>
      </c>
      <c r="S141" s="12">
        <f t="shared" si="103"/>
        <v>0</v>
      </c>
      <c r="T141" s="12">
        <f t="shared" si="103"/>
        <v>0</v>
      </c>
      <c r="U141" s="12">
        <f t="shared" si="103"/>
        <v>0</v>
      </c>
      <c r="V141" s="12">
        <f t="shared" si="103"/>
        <v>0</v>
      </c>
      <c r="W141" s="27" t="str">
        <f t="shared" si="90"/>
        <v>OK</v>
      </c>
    </row>
    <row r="142" spans="1:23" x14ac:dyDescent="0.2">
      <c r="A142" s="3">
        <f t="shared" si="74"/>
        <v>51</v>
      </c>
      <c r="B142" s="3" t="s">
        <v>74</v>
      </c>
      <c r="C142" s="3" t="s">
        <v>75</v>
      </c>
      <c r="D142" s="1" t="s">
        <v>344</v>
      </c>
      <c r="E142" s="4" t="s">
        <v>592</v>
      </c>
      <c r="F142" s="11"/>
      <c r="G142" s="11"/>
      <c r="H142" s="14">
        <f>'II-I TOTAL COMPANY'!M142</f>
        <v>0</v>
      </c>
      <c r="I142" s="66">
        <v>0</v>
      </c>
      <c r="J142" s="66">
        <f t="shared" si="97"/>
        <v>0</v>
      </c>
      <c r="K142" s="12">
        <f t="shared" si="100"/>
        <v>0</v>
      </c>
      <c r="L142" s="12">
        <f t="shared" si="100"/>
        <v>0</v>
      </c>
      <c r="M142" s="9">
        <f t="shared" si="101"/>
        <v>0</v>
      </c>
      <c r="N142" s="12">
        <f t="shared" si="102"/>
        <v>0</v>
      </c>
      <c r="O142" s="12">
        <f t="shared" si="102"/>
        <v>0</v>
      </c>
      <c r="P142" s="9">
        <f t="shared" si="66"/>
        <v>0</v>
      </c>
      <c r="Q142" s="12">
        <f t="shared" si="103"/>
        <v>0</v>
      </c>
      <c r="R142" s="12">
        <f t="shared" si="103"/>
        <v>0</v>
      </c>
      <c r="S142" s="12">
        <f t="shared" si="103"/>
        <v>0</v>
      </c>
      <c r="T142" s="12">
        <f t="shared" si="103"/>
        <v>0</v>
      </c>
      <c r="U142" s="12">
        <f t="shared" si="103"/>
        <v>0</v>
      </c>
      <c r="V142" s="12">
        <f t="shared" si="103"/>
        <v>0</v>
      </c>
      <c r="W142" s="27" t="str">
        <f t="shared" si="90"/>
        <v>OK</v>
      </c>
    </row>
    <row r="143" spans="1:23" x14ac:dyDescent="0.2">
      <c r="A143" s="3">
        <f t="shared" si="74"/>
        <v>52</v>
      </c>
      <c r="B143" s="3" t="s">
        <v>76</v>
      </c>
      <c r="C143" s="3" t="s">
        <v>77</v>
      </c>
      <c r="D143" s="1" t="s">
        <v>368</v>
      </c>
      <c r="E143" s="4" t="s">
        <v>592</v>
      </c>
      <c r="F143" s="11"/>
      <c r="G143" s="11"/>
      <c r="H143" s="14">
        <f>'II-I TOTAL COMPANY'!M143</f>
        <v>0</v>
      </c>
      <c r="I143" s="66">
        <v>0</v>
      </c>
      <c r="J143" s="66">
        <f t="shared" si="97"/>
        <v>0</v>
      </c>
      <c r="K143" s="12">
        <f t="shared" si="100"/>
        <v>0</v>
      </c>
      <c r="L143" s="12">
        <f t="shared" si="100"/>
        <v>0</v>
      </c>
      <c r="M143" s="9">
        <f t="shared" si="101"/>
        <v>0</v>
      </c>
      <c r="N143" s="12">
        <f t="shared" si="102"/>
        <v>0</v>
      </c>
      <c r="O143" s="12">
        <f t="shared" si="102"/>
        <v>0</v>
      </c>
      <c r="P143" s="9">
        <f t="shared" si="66"/>
        <v>0</v>
      </c>
      <c r="Q143" s="12">
        <f t="shared" si="103"/>
        <v>0</v>
      </c>
      <c r="R143" s="12">
        <f t="shared" si="103"/>
        <v>0</v>
      </c>
      <c r="S143" s="12">
        <f t="shared" si="103"/>
        <v>0</v>
      </c>
      <c r="T143" s="12">
        <f t="shared" si="103"/>
        <v>0</v>
      </c>
      <c r="U143" s="12">
        <f t="shared" si="103"/>
        <v>0</v>
      </c>
      <c r="V143" s="12">
        <f t="shared" si="103"/>
        <v>0</v>
      </c>
      <c r="W143" s="27" t="str">
        <f t="shared" si="90"/>
        <v>OK</v>
      </c>
    </row>
    <row r="144" spans="1:23" x14ac:dyDescent="0.2">
      <c r="A144" s="3">
        <f t="shared" si="74"/>
        <v>53</v>
      </c>
      <c r="B144" s="3" t="s">
        <v>78</v>
      </c>
      <c r="C144" s="3" t="s">
        <v>79</v>
      </c>
      <c r="D144" s="1" t="s">
        <v>368</v>
      </c>
      <c r="E144" s="4" t="s">
        <v>592</v>
      </c>
      <c r="F144" s="11"/>
      <c r="G144" s="11"/>
      <c r="H144" s="14">
        <f>'II-I TOTAL COMPANY'!M144</f>
        <v>0</v>
      </c>
      <c r="I144" s="66">
        <v>0</v>
      </c>
      <c r="J144" s="66">
        <f t="shared" si="97"/>
        <v>0</v>
      </c>
      <c r="K144" s="12">
        <f t="shared" si="100"/>
        <v>0</v>
      </c>
      <c r="L144" s="12">
        <f t="shared" si="100"/>
        <v>0</v>
      </c>
      <c r="M144" s="9">
        <f t="shared" si="101"/>
        <v>0</v>
      </c>
      <c r="N144" s="12">
        <f t="shared" si="102"/>
        <v>0</v>
      </c>
      <c r="O144" s="12">
        <f t="shared" si="102"/>
        <v>0</v>
      </c>
      <c r="P144" s="9">
        <f t="shared" si="66"/>
        <v>0</v>
      </c>
      <c r="Q144" s="12">
        <f t="shared" si="103"/>
        <v>0</v>
      </c>
      <c r="R144" s="12">
        <f t="shared" si="103"/>
        <v>0</v>
      </c>
      <c r="S144" s="12">
        <f t="shared" si="103"/>
        <v>0</v>
      </c>
      <c r="T144" s="12">
        <f t="shared" si="103"/>
        <v>0</v>
      </c>
      <c r="U144" s="12">
        <f t="shared" si="103"/>
        <v>0</v>
      </c>
      <c r="V144" s="12">
        <f t="shared" si="103"/>
        <v>0</v>
      </c>
      <c r="W144" s="27" t="str">
        <f t="shared" si="90"/>
        <v>OK</v>
      </c>
    </row>
    <row r="145" spans="1:23" x14ac:dyDescent="0.2">
      <c r="A145" s="3">
        <f t="shared" si="74"/>
        <v>54</v>
      </c>
      <c r="B145" s="3" t="s">
        <v>80</v>
      </c>
      <c r="C145" s="3" t="s">
        <v>81</v>
      </c>
      <c r="D145" s="1" t="s">
        <v>372</v>
      </c>
      <c r="E145" s="4" t="s">
        <v>592</v>
      </c>
      <c r="F145" s="11"/>
      <c r="G145" s="11"/>
      <c r="H145" s="14">
        <f>'II-I TOTAL COMPANY'!M145</f>
        <v>0</v>
      </c>
      <c r="I145" s="66">
        <v>0</v>
      </c>
      <c r="J145" s="66">
        <f t="shared" si="97"/>
        <v>0</v>
      </c>
      <c r="K145" s="12">
        <f t="shared" si="100"/>
        <v>0</v>
      </c>
      <c r="L145" s="12">
        <f t="shared" si="100"/>
        <v>0</v>
      </c>
      <c r="M145" s="9">
        <f t="shared" si="101"/>
        <v>0</v>
      </c>
      <c r="N145" s="12">
        <f t="shared" si="102"/>
        <v>0</v>
      </c>
      <c r="O145" s="12">
        <f t="shared" si="102"/>
        <v>0</v>
      </c>
      <c r="P145" s="9">
        <f t="shared" si="66"/>
        <v>0</v>
      </c>
      <c r="Q145" s="12">
        <f t="shared" si="103"/>
        <v>0</v>
      </c>
      <c r="R145" s="12">
        <f t="shared" si="103"/>
        <v>0</v>
      </c>
      <c r="S145" s="12">
        <f t="shared" si="103"/>
        <v>0</v>
      </c>
      <c r="T145" s="12">
        <f t="shared" si="103"/>
        <v>0</v>
      </c>
      <c r="U145" s="12">
        <f t="shared" si="103"/>
        <v>0</v>
      </c>
      <c r="V145" s="12">
        <f t="shared" si="103"/>
        <v>0</v>
      </c>
      <c r="W145" s="27" t="str">
        <f t="shared" si="90"/>
        <v>OK</v>
      </c>
    </row>
    <row r="146" spans="1:23" x14ac:dyDescent="0.2">
      <c r="A146" s="3">
        <f t="shared" si="74"/>
        <v>55</v>
      </c>
      <c r="B146" s="3"/>
      <c r="C146" s="3" t="s">
        <v>817</v>
      </c>
      <c r="D146" s="1" t="s">
        <v>344</v>
      </c>
      <c r="E146" s="4" t="s">
        <v>592</v>
      </c>
      <c r="F146" s="11"/>
      <c r="G146" s="4"/>
      <c r="H146" s="14">
        <f>'II-I TOTAL COMPANY'!M146</f>
        <v>0</v>
      </c>
      <c r="I146" s="66">
        <v>0</v>
      </c>
      <c r="J146" s="66">
        <f t="shared" si="97"/>
        <v>0</v>
      </c>
      <c r="K146" s="12">
        <f t="shared" si="100"/>
        <v>0</v>
      </c>
      <c r="L146" s="12">
        <f t="shared" si="100"/>
        <v>0</v>
      </c>
      <c r="M146" s="9">
        <f t="shared" si="101"/>
        <v>0</v>
      </c>
      <c r="N146" s="12">
        <f t="shared" si="102"/>
        <v>0</v>
      </c>
      <c r="O146" s="12">
        <f t="shared" si="102"/>
        <v>0</v>
      </c>
      <c r="P146" s="9">
        <f>SUM(Q146:S146)</f>
        <v>0</v>
      </c>
      <c r="Q146" s="12">
        <f t="shared" si="103"/>
        <v>0</v>
      </c>
      <c r="R146" s="12">
        <f t="shared" si="103"/>
        <v>0</v>
      </c>
      <c r="S146" s="12">
        <f t="shared" si="103"/>
        <v>0</v>
      </c>
      <c r="T146" s="12">
        <f t="shared" si="103"/>
        <v>0</v>
      </c>
      <c r="U146" s="12">
        <f t="shared" si="103"/>
        <v>0</v>
      </c>
      <c r="V146" s="12">
        <f t="shared" si="103"/>
        <v>0</v>
      </c>
      <c r="W146" s="27" t="str">
        <f t="shared" si="90"/>
        <v>OK</v>
      </c>
    </row>
    <row r="147" spans="1:23" x14ac:dyDescent="0.2">
      <c r="A147" s="3">
        <f t="shared" si="74"/>
        <v>56</v>
      </c>
      <c r="B147" s="3"/>
      <c r="C147" s="3" t="s">
        <v>82</v>
      </c>
      <c r="D147" s="3"/>
      <c r="E147" s="4"/>
      <c r="F147" s="8"/>
      <c r="G147" s="8"/>
      <c r="H147" s="8">
        <f>SUM(H140:H145,H139,H135,H130,H125,H121,H114:H117)</f>
        <v>0</v>
      </c>
      <c r="I147" s="8">
        <f>SUM(I140:I145,I139,I135,I130,I125,I121,I114:I117)</f>
        <v>0</v>
      </c>
      <c r="J147" s="66">
        <f t="shared" si="97"/>
        <v>0</v>
      </c>
      <c r="K147" s="8">
        <f>SUM(K114:K117,K121,K125,K130,K135,K139,K141:K146)</f>
        <v>0</v>
      </c>
      <c r="L147" s="8">
        <f>SUM(L114:L117,L121,L125,L130,L135,L139,L141:L146)</f>
        <v>0</v>
      </c>
      <c r="M147" s="8">
        <f>SUM(M114:M117,M121,M125,M130,M135,M139,M141:M146)</f>
        <v>0</v>
      </c>
      <c r="N147" s="8">
        <f>SUM(N140:N145,N139,N135,N130,N125,N121,N114:N117)</f>
        <v>0</v>
      </c>
      <c r="O147" s="8">
        <f>SUM(O140:O145,O139,O135,O130,O125,O121,O114:O117)</f>
        <v>0</v>
      </c>
      <c r="P147" s="9">
        <f t="shared" si="66"/>
        <v>0</v>
      </c>
      <c r="Q147" s="8">
        <f t="shared" ref="Q147:V147" si="104">SUM(Q140:Q145,Q139,Q135,Q130,Q125,Q121,Q114:Q117)</f>
        <v>0</v>
      </c>
      <c r="R147" s="8">
        <f t="shared" si="104"/>
        <v>0</v>
      </c>
      <c r="S147" s="8">
        <f t="shared" si="104"/>
        <v>0</v>
      </c>
      <c r="T147" s="8">
        <f t="shared" si="104"/>
        <v>0</v>
      </c>
      <c r="U147" s="8">
        <f t="shared" si="104"/>
        <v>0</v>
      </c>
      <c r="V147" s="8">
        <f t="shared" si="104"/>
        <v>0</v>
      </c>
      <c r="W147" s="27" t="str">
        <f t="shared" si="90"/>
        <v>OK</v>
      </c>
    </row>
    <row r="148" spans="1:23" x14ac:dyDescent="0.2">
      <c r="A148" s="3"/>
      <c r="B148" s="7" t="s">
        <v>83</v>
      </c>
      <c r="C148" s="3"/>
      <c r="D148" s="3"/>
      <c r="E148" s="4"/>
      <c r="F148" s="4"/>
      <c r="G148" s="4"/>
      <c r="H148" s="8"/>
      <c r="I148" s="8"/>
      <c r="J148" s="8"/>
      <c r="K148" s="8"/>
      <c r="L148" s="8"/>
      <c r="M148" s="3"/>
      <c r="N148" s="3"/>
      <c r="O148" s="3"/>
      <c r="P148" s="9"/>
      <c r="Q148" s="3"/>
      <c r="R148" s="3"/>
      <c r="S148" s="3"/>
      <c r="T148" s="3"/>
      <c r="U148" s="3"/>
      <c r="V148" s="3"/>
      <c r="W148" s="27" t="str">
        <f t="shared" si="90"/>
        <v>OK</v>
      </c>
    </row>
    <row r="149" spans="1:23" x14ac:dyDescent="0.2">
      <c r="A149" s="3"/>
      <c r="B149" s="3"/>
      <c r="C149" s="3"/>
      <c r="D149" s="3"/>
      <c r="E149" s="4"/>
      <c r="F149" s="4"/>
      <c r="G149" s="4"/>
      <c r="H149" s="8"/>
      <c r="I149" s="8"/>
      <c r="J149" s="8"/>
      <c r="K149" s="8"/>
      <c r="L149" s="8"/>
      <c r="M149" s="3"/>
      <c r="N149" s="3"/>
      <c r="O149" s="3"/>
      <c r="P149" s="9"/>
      <c r="Q149" s="3"/>
      <c r="R149" s="3"/>
      <c r="S149" s="3"/>
      <c r="T149" s="3"/>
      <c r="U149" s="3"/>
      <c r="V149" s="3"/>
      <c r="W149" s="27" t="str">
        <f t="shared" si="90"/>
        <v>OK</v>
      </c>
    </row>
    <row r="150" spans="1:23" x14ac:dyDescent="0.2">
      <c r="A150" s="3">
        <v>1</v>
      </c>
      <c r="B150" s="3" t="s">
        <v>84</v>
      </c>
      <c r="C150" s="3"/>
      <c r="D150" s="1"/>
      <c r="E150" s="4"/>
      <c r="F150" s="4"/>
      <c r="G150" s="4"/>
      <c r="H150" s="8"/>
      <c r="I150" s="8"/>
      <c r="J150" s="8"/>
      <c r="K150" s="8"/>
      <c r="L150" s="8"/>
      <c r="M150" s="3"/>
      <c r="N150" s="3"/>
      <c r="O150" s="3"/>
      <c r="P150" s="9"/>
      <c r="Q150" s="3"/>
      <c r="R150" s="3"/>
      <c r="S150" s="3"/>
      <c r="T150" s="3"/>
      <c r="U150" s="3"/>
      <c r="V150" s="3"/>
      <c r="W150" s="27" t="str">
        <f t="shared" si="90"/>
        <v>OK</v>
      </c>
    </row>
    <row r="151" spans="1:23" x14ac:dyDescent="0.2">
      <c r="A151" s="3">
        <f t="shared" ref="A151:A191" si="105">+A150+1</f>
        <v>2</v>
      </c>
      <c r="B151" s="3" t="s">
        <v>85</v>
      </c>
      <c r="C151" s="3" t="s">
        <v>35</v>
      </c>
      <c r="D151" s="1" t="s">
        <v>323</v>
      </c>
      <c r="E151" s="4" t="s">
        <v>592</v>
      </c>
      <c r="F151" s="11"/>
      <c r="G151" s="11"/>
      <c r="H151" s="14">
        <f>'II-I TOTAL COMPANY'!M151</f>
        <v>485709.69917673239</v>
      </c>
      <c r="I151" s="66">
        <v>0</v>
      </c>
      <c r="J151" s="66">
        <f t="shared" ref="J151:J160" si="106">SUM(K151:V151)-M151-P151</f>
        <v>485709.69917673222</v>
      </c>
      <c r="K151" s="12">
        <f t="shared" ref="K151:L160" si="107">VLOOKUP($D151,$E$741:$V$815,K$1,FALSE)*$H151</f>
        <v>398169.08213525207</v>
      </c>
      <c r="L151" s="12">
        <f t="shared" si="107"/>
        <v>42304.171788840336</v>
      </c>
      <c r="M151" s="9">
        <f t="shared" ref="M151:M160" si="108">SUM(N151:O151)</f>
        <v>27992.637487484048</v>
      </c>
      <c r="N151" s="12">
        <f t="shared" ref="N151:O160" si="109">VLOOKUP($D151,$E$741:$V$815,N$1,FALSE)*$H151</f>
        <v>222.67617551396665</v>
      </c>
      <c r="O151" s="12">
        <f t="shared" si="109"/>
        <v>27769.961311970081</v>
      </c>
      <c r="P151" s="9">
        <f t="shared" ref="P151:P211" si="110">SUM(Q151:S151)</f>
        <v>426.56781095011615</v>
      </c>
      <c r="Q151" s="12">
        <f t="shared" ref="Q151:V160" si="111">VLOOKUP($D151,$E$741:$V$815,Q$1,FALSE)*$H151</f>
        <v>181.3109831875874</v>
      </c>
      <c r="R151" s="12">
        <f t="shared" si="111"/>
        <v>212.62482036923896</v>
      </c>
      <c r="S151" s="12">
        <f t="shared" si="111"/>
        <v>32.632007393289783</v>
      </c>
      <c r="T151" s="12">
        <f t="shared" si="111"/>
        <v>47.963914177487425</v>
      </c>
      <c r="U151" s="12">
        <f t="shared" si="111"/>
        <v>16761.930818960904</v>
      </c>
      <c r="V151" s="12">
        <f t="shared" si="111"/>
        <v>7.3452210673009812</v>
      </c>
      <c r="W151" s="27">
        <f t="shared" si="90"/>
        <v>-1.7462298274040222E-10</v>
      </c>
    </row>
    <row r="152" spans="1:23" x14ac:dyDescent="0.2">
      <c r="A152" s="3">
        <f t="shared" si="105"/>
        <v>3</v>
      </c>
      <c r="B152" s="3" t="s">
        <v>86</v>
      </c>
      <c r="C152" s="3" t="s">
        <v>31</v>
      </c>
      <c r="D152" s="1" t="s">
        <v>323</v>
      </c>
      <c r="E152" s="4" t="s">
        <v>592</v>
      </c>
      <c r="F152" s="11"/>
      <c r="G152" s="11"/>
      <c r="H152" s="14">
        <f>'II-I TOTAL COMPANY'!M152</f>
        <v>4848618.1197975753</v>
      </c>
      <c r="I152" s="66">
        <v>0</v>
      </c>
      <c r="J152" s="66">
        <f t="shared" si="106"/>
        <v>4848618.1197975734</v>
      </c>
      <c r="K152" s="12">
        <f t="shared" si="107"/>
        <v>3974740.116691981</v>
      </c>
      <c r="L152" s="12">
        <f t="shared" si="107"/>
        <v>422303.22809297248</v>
      </c>
      <c r="M152" s="9">
        <f t="shared" si="108"/>
        <v>279437.71675301529</v>
      </c>
      <c r="N152" s="12">
        <f t="shared" si="109"/>
        <v>2222.8745715275286</v>
      </c>
      <c r="O152" s="12">
        <f t="shared" si="109"/>
        <v>277214.84218148777</v>
      </c>
      <c r="P152" s="9">
        <f t="shared" si="110"/>
        <v>4258.2316577181473</v>
      </c>
      <c r="Q152" s="12">
        <f t="shared" si="111"/>
        <v>1809.944746608352</v>
      </c>
      <c r="R152" s="12">
        <f t="shared" si="111"/>
        <v>2122.5364832294108</v>
      </c>
      <c r="S152" s="12">
        <f t="shared" si="111"/>
        <v>325.75042788038428</v>
      </c>
      <c r="T152" s="12">
        <f t="shared" si="111"/>
        <v>478.80185174717207</v>
      </c>
      <c r="U152" s="12">
        <f t="shared" si="111"/>
        <v>167326.7007625376</v>
      </c>
      <c r="V152" s="12">
        <f t="shared" si="111"/>
        <v>73.323987602470538</v>
      </c>
      <c r="W152" s="27">
        <f t="shared" si="90"/>
        <v>-9.3132257461547852E-10</v>
      </c>
    </row>
    <row r="153" spans="1:23" x14ac:dyDescent="0.2">
      <c r="A153" s="3">
        <f t="shared" si="105"/>
        <v>4</v>
      </c>
      <c r="B153" s="3" t="s">
        <v>87</v>
      </c>
      <c r="C153" s="3" t="s">
        <v>88</v>
      </c>
      <c r="D153" s="1" t="s">
        <v>323</v>
      </c>
      <c r="E153" s="4" t="s">
        <v>592</v>
      </c>
      <c r="F153" s="11"/>
      <c r="G153" s="11"/>
      <c r="H153" s="14">
        <f>'II-I TOTAL COMPANY'!M153</f>
        <v>115439.09681188221</v>
      </c>
      <c r="I153" s="66">
        <v>0</v>
      </c>
      <c r="J153" s="66">
        <f t="shared" si="106"/>
        <v>115439.09681188216</v>
      </c>
      <c r="K153" s="12">
        <f t="shared" si="107"/>
        <v>94633.233180268202</v>
      </c>
      <c r="L153" s="12">
        <f t="shared" si="107"/>
        <v>10054.473672146054</v>
      </c>
      <c r="M153" s="9">
        <f t="shared" si="108"/>
        <v>6653.0373892364605</v>
      </c>
      <c r="N153" s="12">
        <f t="shared" si="109"/>
        <v>52.923663304288155</v>
      </c>
      <c r="O153" s="12">
        <f t="shared" si="109"/>
        <v>6600.1137259321722</v>
      </c>
      <c r="P153" s="9">
        <f t="shared" si="110"/>
        <v>101.38278669042083</v>
      </c>
      <c r="Q153" s="12">
        <f t="shared" si="111"/>
        <v>43.092357794637394</v>
      </c>
      <c r="R153" s="12">
        <f t="shared" si="111"/>
        <v>50.534747946802916</v>
      </c>
      <c r="S153" s="12">
        <f t="shared" si="111"/>
        <v>7.7556809489805048</v>
      </c>
      <c r="T153" s="12">
        <f t="shared" si="111"/>
        <v>11.399630152736762</v>
      </c>
      <c r="U153" s="12">
        <f t="shared" si="111"/>
        <v>3983.8244075501343</v>
      </c>
      <c r="V153" s="12">
        <f t="shared" si="111"/>
        <v>1.7457458381622823</v>
      </c>
      <c r="W153" s="27">
        <f t="shared" si="90"/>
        <v>-4.3655745685100555E-11</v>
      </c>
    </row>
    <row r="154" spans="1:23" x14ac:dyDescent="0.2">
      <c r="A154" s="3">
        <f t="shared" si="105"/>
        <v>5</v>
      </c>
      <c r="B154" s="3" t="s">
        <v>89</v>
      </c>
      <c r="C154" s="3" t="s">
        <v>90</v>
      </c>
      <c r="D154" s="1" t="s">
        <v>323</v>
      </c>
      <c r="E154" s="4" t="s">
        <v>592</v>
      </c>
      <c r="F154" s="11"/>
      <c r="G154" s="11"/>
      <c r="H154" s="14">
        <f>'II-I TOTAL COMPANY'!M154</f>
        <v>9.0009901734431959E-3</v>
      </c>
      <c r="I154" s="66">
        <v>0</v>
      </c>
      <c r="J154" s="66">
        <f t="shared" si="106"/>
        <v>9.0009901734431942E-3</v>
      </c>
      <c r="K154" s="12">
        <f t="shared" si="107"/>
        <v>7.378720255623806E-3</v>
      </c>
      <c r="L154" s="12">
        <f t="shared" si="107"/>
        <v>7.8396506228394815E-4</v>
      </c>
      <c r="M154" s="9">
        <f t="shared" si="108"/>
        <v>5.1874907044407569E-4</v>
      </c>
      <c r="N154" s="12">
        <f t="shared" si="109"/>
        <v>4.1265514587383827E-6</v>
      </c>
      <c r="O154" s="12">
        <f t="shared" si="109"/>
        <v>5.146225189853373E-4</v>
      </c>
      <c r="P154" s="9">
        <f t="shared" si="110"/>
        <v>7.9049948584043035E-6</v>
      </c>
      <c r="Q154" s="12">
        <f t="shared" si="111"/>
        <v>3.3599872120630229E-6</v>
      </c>
      <c r="R154" s="12">
        <f t="shared" si="111"/>
        <v>3.9402835109481084E-6</v>
      </c>
      <c r="S154" s="12">
        <f t="shared" si="111"/>
        <v>6.0472413539317183E-7</v>
      </c>
      <c r="T154" s="12">
        <f t="shared" si="111"/>
        <v>8.8884928780133057E-7</v>
      </c>
      <c r="U154" s="12">
        <f t="shared" si="111"/>
        <v>3.1062582206023464E-4</v>
      </c>
      <c r="V154" s="12">
        <f t="shared" si="111"/>
        <v>1.3611888492366191E-7</v>
      </c>
      <c r="W154" s="27">
        <f t="shared" si="90"/>
        <v>-1.7347234759768071E-18</v>
      </c>
    </row>
    <row r="155" spans="1:23" x14ac:dyDescent="0.2">
      <c r="A155" s="3">
        <f t="shared" si="105"/>
        <v>6</v>
      </c>
      <c r="B155" s="3" t="s">
        <v>91</v>
      </c>
      <c r="C155" s="3" t="s">
        <v>92</v>
      </c>
      <c r="D155" s="1" t="s">
        <v>323</v>
      </c>
      <c r="E155" s="4" t="s">
        <v>592</v>
      </c>
      <c r="F155" s="11"/>
      <c r="G155" s="11"/>
      <c r="H155" s="14">
        <f>'II-I TOTAL COMPANY'!M155</f>
        <v>0</v>
      </c>
      <c r="I155" s="66">
        <v>0</v>
      </c>
      <c r="J155" s="66">
        <f t="shared" si="106"/>
        <v>0</v>
      </c>
      <c r="K155" s="12">
        <f t="shared" si="107"/>
        <v>0</v>
      </c>
      <c r="L155" s="12">
        <f t="shared" si="107"/>
        <v>0</v>
      </c>
      <c r="M155" s="9">
        <f t="shared" si="108"/>
        <v>0</v>
      </c>
      <c r="N155" s="12">
        <f t="shared" si="109"/>
        <v>0</v>
      </c>
      <c r="O155" s="12">
        <f t="shared" si="109"/>
        <v>0</v>
      </c>
      <c r="P155" s="9">
        <f t="shared" si="110"/>
        <v>0</v>
      </c>
      <c r="Q155" s="12">
        <f t="shared" si="111"/>
        <v>0</v>
      </c>
      <c r="R155" s="12">
        <f t="shared" si="111"/>
        <v>0</v>
      </c>
      <c r="S155" s="12">
        <f t="shared" si="111"/>
        <v>0</v>
      </c>
      <c r="T155" s="12">
        <f t="shared" si="111"/>
        <v>0</v>
      </c>
      <c r="U155" s="12">
        <f t="shared" si="111"/>
        <v>0</v>
      </c>
      <c r="V155" s="12">
        <f t="shared" si="111"/>
        <v>0</v>
      </c>
      <c r="W155" s="27" t="str">
        <f t="shared" si="90"/>
        <v>OK</v>
      </c>
    </row>
    <row r="156" spans="1:23" x14ac:dyDescent="0.2">
      <c r="A156" s="3">
        <f t="shared" si="105"/>
        <v>7</v>
      </c>
      <c r="B156" s="3" t="s">
        <v>93</v>
      </c>
      <c r="C156" s="3" t="s">
        <v>94</v>
      </c>
      <c r="D156" s="1" t="s">
        <v>323</v>
      </c>
      <c r="E156" s="4" t="s">
        <v>592</v>
      </c>
      <c r="F156" s="11"/>
      <c r="G156" s="11"/>
      <c r="H156" s="14">
        <f>'II-I TOTAL COMPANY'!M156</f>
        <v>1.9097911965133514</v>
      </c>
      <c r="I156" s="66">
        <v>0</v>
      </c>
      <c r="J156" s="66">
        <f t="shared" si="106"/>
        <v>1.9097911965133507</v>
      </c>
      <c r="K156" s="12">
        <f t="shared" si="107"/>
        <v>1.5655849761176301</v>
      </c>
      <c r="L156" s="12">
        <f t="shared" si="107"/>
        <v>0.16633831894865739</v>
      </c>
      <c r="M156" s="9">
        <f t="shared" si="108"/>
        <v>0.11006593595186666</v>
      </c>
      <c r="N156" s="12">
        <f t="shared" si="109"/>
        <v>8.7555385529803199E-4</v>
      </c>
      <c r="O156" s="12">
        <f t="shared" si="109"/>
        <v>0.10919038209656863</v>
      </c>
      <c r="P156" s="9">
        <f t="shared" si="110"/>
        <v>1.677247646998458E-3</v>
      </c>
      <c r="Q156" s="12">
        <f t="shared" si="111"/>
        <v>7.1290756620620999E-4</v>
      </c>
      <c r="R156" s="12">
        <f t="shared" si="111"/>
        <v>8.3603232710749572E-4</v>
      </c>
      <c r="S156" s="12">
        <f t="shared" si="111"/>
        <v>1.2830775368475252E-4</v>
      </c>
      <c r="T156" s="12">
        <f t="shared" si="111"/>
        <v>1.8859220065349584E-4</v>
      </c>
      <c r="U156" s="12">
        <f t="shared" si="111"/>
        <v>6.5907244530790027E-2</v>
      </c>
      <c r="V156" s="12">
        <f t="shared" si="111"/>
        <v>2.8881116754622575E-5</v>
      </c>
      <c r="W156" s="27">
        <f t="shared" si="90"/>
        <v>-6.6613381477509392E-16</v>
      </c>
    </row>
    <row r="157" spans="1:23" x14ac:dyDescent="0.2">
      <c r="A157" s="3">
        <f t="shared" si="105"/>
        <v>8</v>
      </c>
      <c r="B157" s="3" t="s">
        <v>95</v>
      </c>
      <c r="C157" s="3" t="s">
        <v>96</v>
      </c>
      <c r="D157" s="1" t="s">
        <v>323</v>
      </c>
      <c r="E157" s="4" t="s">
        <v>592</v>
      </c>
      <c r="F157" s="11"/>
      <c r="G157" s="11"/>
      <c r="H157" s="14">
        <f>'II-I TOTAL COMPANY'!M157</f>
        <v>1.7705601055130839E-2</v>
      </c>
      <c r="I157" s="66">
        <v>0</v>
      </c>
      <c r="J157" s="66">
        <f t="shared" si="106"/>
        <v>1.7705601055130832E-2</v>
      </c>
      <c r="K157" s="12">
        <f t="shared" si="107"/>
        <v>1.4514478365829829E-2</v>
      </c>
      <c r="L157" s="12">
        <f t="shared" si="107"/>
        <v>1.5421161857185517E-3</v>
      </c>
      <c r="M157" s="9">
        <f t="shared" si="108"/>
        <v>1.0204170776790518E-3</v>
      </c>
      <c r="N157" s="12">
        <f t="shared" si="109"/>
        <v>8.1172262666675951E-6</v>
      </c>
      <c r="O157" s="12">
        <f t="shared" si="109"/>
        <v>1.0122998514123843E-3</v>
      </c>
      <c r="P157" s="9">
        <f t="shared" si="110"/>
        <v>1.5549698711894762E-5</v>
      </c>
      <c r="Q157" s="12">
        <f t="shared" si="111"/>
        <v>6.6093387483803838E-6</v>
      </c>
      <c r="R157" s="12">
        <f t="shared" si="111"/>
        <v>7.7508236921305146E-6</v>
      </c>
      <c r="S157" s="12">
        <f t="shared" si="111"/>
        <v>1.1895362713838649E-6</v>
      </c>
      <c r="T157" s="12">
        <f t="shared" si="111"/>
        <v>1.7484310708815431E-6</v>
      </c>
      <c r="U157" s="12">
        <f t="shared" si="111"/>
        <v>6.1102354039307884E-4</v>
      </c>
      <c r="V157" s="12">
        <f t="shared" si="111"/>
        <v>2.677557275463268E-7</v>
      </c>
      <c r="W157" s="27">
        <f t="shared" ref="W157:W188" si="112">IF((+K157+L157+M157+P157+T157+U157+V157)-H157=0,"OK",(+K157+L157+M157+P157+T157+U157+V157)-H157)</f>
        <v>-3.4694469519536142E-18</v>
      </c>
    </row>
    <row r="158" spans="1:23" x14ac:dyDescent="0.2">
      <c r="A158" s="3">
        <f t="shared" si="105"/>
        <v>9</v>
      </c>
      <c r="B158" s="3" t="s">
        <v>97</v>
      </c>
      <c r="C158" s="3" t="s">
        <v>98</v>
      </c>
      <c r="D158" s="1" t="s">
        <v>323</v>
      </c>
      <c r="E158" s="4" t="s">
        <v>592</v>
      </c>
      <c r="F158" s="11"/>
      <c r="G158" s="11"/>
      <c r="H158" s="14">
        <f>'II-I TOTAL COMPANY'!M158</f>
        <v>1.0573233309317223E-3</v>
      </c>
      <c r="I158" s="66">
        <v>0</v>
      </c>
      <c r="J158" s="66">
        <f t="shared" si="106"/>
        <v>1.0573233309317221E-3</v>
      </c>
      <c r="K158" s="12">
        <f t="shared" si="107"/>
        <v>8.6675942628044328E-4</v>
      </c>
      <c r="L158" s="12">
        <f t="shared" si="107"/>
        <v>9.2090373949500049E-5</v>
      </c>
      <c r="M158" s="9">
        <f t="shared" si="108"/>
        <v>6.0936128638150676E-5</v>
      </c>
      <c r="N158" s="12">
        <f t="shared" si="109"/>
        <v>4.8473546238139997E-7</v>
      </c>
      <c r="O158" s="12">
        <f t="shared" si="109"/>
        <v>6.0451393175769273E-5</v>
      </c>
      <c r="P158" s="9">
        <f t="shared" si="110"/>
        <v>9.2857955998510944E-7</v>
      </c>
      <c r="Q158" s="12">
        <f t="shared" si="111"/>
        <v>3.9468911780707731E-7</v>
      </c>
      <c r="R158" s="12">
        <f t="shared" si="111"/>
        <v>4.628550422044617E-7</v>
      </c>
      <c r="S158" s="12">
        <f t="shared" si="111"/>
        <v>7.103539997357041E-8</v>
      </c>
      <c r="T158" s="12">
        <f t="shared" si="111"/>
        <v>1.0441085609083439E-7</v>
      </c>
      <c r="U158" s="12">
        <f t="shared" si="111"/>
        <v>3.6488422109730504E-5</v>
      </c>
      <c r="V158" s="12">
        <f t="shared" si="111"/>
        <v>1.5989537821608675E-8</v>
      </c>
      <c r="W158" s="27">
        <f t="shared" si="112"/>
        <v>-2.1684043449710089E-19</v>
      </c>
    </row>
    <row r="159" spans="1:23" x14ac:dyDescent="0.2">
      <c r="A159" s="3">
        <f t="shared" si="105"/>
        <v>10</v>
      </c>
      <c r="B159" s="3" t="s">
        <v>99</v>
      </c>
      <c r="C159" s="3" t="s">
        <v>100</v>
      </c>
      <c r="D159" s="1" t="s">
        <v>323</v>
      </c>
      <c r="E159" s="4" t="s">
        <v>592</v>
      </c>
      <c r="F159" s="11"/>
      <c r="G159" s="11"/>
      <c r="H159" s="14">
        <f>'II-I TOTAL COMPANY'!M159</f>
        <v>0.35884573015707283</v>
      </c>
      <c r="I159" s="66">
        <v>0</v>
      </c>
      <c r="J159" s="66">
        <f t="shared" si="106"/>
        <v>0.35884573015707266</v>
      </c>
      <c r="K159" s="12">
        <f t="shared" si="107"/>
        <v>0.29417010870274313</v>
      </c>
      <c r="L159" s="12">
        <f t="shared" si="107"/>
        <v>3.1254618633285616E-2</v>
      </c>
      <c r="M159" s="9">
        <f t="shared" si="108"/>
        <v>2.0681156779954336E-2</v>
      </c>
      <c r="N159" s="12">
        <f t="shared" si="109"/>
        <v>1.6451471923730059E-4</v>
      </c>
      <c r="O159" s="12">
        <f t="shared" si="109"/>
        <v>2.0516642060717037E-2</v>
      </c>
      <c r="P159" s="9">
        <f t="shared" si="110"/>
        <v>3.1515128860171512E-4</v>
      </c>
      <c r="Q159" s="12">
        <f t="shared" si="111"/>
        <v>1.339538252123159E-4</v>
      </c>
      <c r="R159" s="12">
        <f t="shared" si="111"/>
        <v>1.5708870760506132E-4</v>
      </c>
      <c r="S159" s="12">
        <f t="shared" si="111"/>
        <v>2.4108755784337909E-5</v>
      </c>
      <c r="T159" s="12">
        <f t="shared" si="111"/>
        <v>3.5436075979921808E-5</v>
      </c>
      <c r="U159" s="12">
        <f t="shared" si="111"/>
        <v>1.2383831975699837E-2</v>
      </c>
      <c r="V159" s="12">
        <f t="shared" si="111"/>
        <v>5.4267008081748442E-6</v>
      </c>
      <c r="W159" s="27">
        <f t="shared" si="112"/>
        <v>-1.1102230246251565E-16</v>
      </c>
    </row>
    <row r="160" spans="1:23" x14ac:dyDescent="0.2">
      <c r="A160" s="3">
        <f t="shared" si="105"/>
        <v>11</v>
      </c>
      <c r="B160" s="3" t="s">
        <v>101</v>
      </c>
      <c r="C160" s="3" t="s">
        <v>807</v>
      </c>
      <c r="D160" s="1" t="s">
        <v>323</v>
      </c>
      <c r="E160" s="4" t="s">
        <v>592</v>
      </c>
      <c r="F160" s="11"/>
      <c r="G160" s="11"/>
      <c r="H160" s="14">
        <f>'II-I TOTAL COMPANY'!M160</f>
        <v>6.232584838290002E-2</v>
      </c>
      <c r="I160" s="66">
        <v>0</v>
      </c>
      <c r="J160" s="66">
        <f t="shared" si="106"/>
        <v>6.2325848382899986E-2</v>
      </c>
      <c r="K160" s="12">
        <f t="shared" si="107"/>
        <v>5.109271214057113E-2</v>
      </c>
      <c r="L160" s="12">
        <f t="shared" si="107"/>
        <v>5.4284347241664588E-3</v>
      </c>
      <c r="M160" s="9">
        <f t="shared" si="108"/>
        <v>3.5919910243496973E-3</v>
      </c>
      <c r="N160" s="12">
        <f t="shared" si="109"/>
        <v>2.8573614191957153E-5</v>
      </c>
      <c r="O160" s="12">
        <f t="shared" si="109"/>
        <v>3.56341741015774E-3</v>
      </c>
      <c r="P160" s="9">
        <f t="shared" si="110"/>
        <v>5.4736812452717217E-5</v>
      </c>
      <c r="Q160" s="12">
        <f t="shared" si="111"/>
        <v>2.326566850004844E-5</v>
      </c>
      <c r="R160" s="12">
        <f t="shared" si="111"/>
        <v>2.7283832995792416E-5</v>
      </c>
      <c r="S160" s="12">
        <f t="shared" si="111"/>
        <v>4.187310956876359E-6</v>
      </c>
      <c r="T160" s="12">
        <f t="shared" si="111"/>
        <v>6.1546879709082716E-6</v>
      </c>
      <c r="U160" s="12">
        <f t="shared" si="111"/>
        <v>2.1508764609765121E-3</v>
      </c>
      <c r="V160" s="12">
        <f t="shared" si="111"/>
        <v>9.425324125819196E-7</v>
      </c>
      <c r="W160" s="27">
        <f t="shared" si="112"/>
        <v>-1.3877787807814457E-17</v>
      </c>
    </row>
    <row r="161" spans="1:23" x14ac:dyDescent="0.2">
      <c r="A161" s="3">
        <f t="shared" si="105"/>
        <v>12</v>
      </c>
      <c r="B161" s="3"/>
      <c r="C161" s="3"/>
      <c r="D161" s="1"/>
      <c r="E161" s="4"/>
      <c r="F161" s="4"/>
      <c r="G161" s="4"/>
      <c r="H161" s="14"/>
      <c r="I161" s="66"/>
      <c r="J161" s="66"/>
      <c r="K161" s="12"/>
      <c r="L161" s="12"/>
      <c r="M161" s="12"/>
      <c r="N161" s="12"/>
      <c r="O161" s="12"/>
      <c r="P161" s="9"/>
      <c r="Q161" s="12"/>
      <c r="R161" s="12"/>
      <c r="S161" s="12"/>
      <c r="T161" s="12"/>
      <c r="U161" s="12"/>
      <c r="V161" s="12"/>
      <c r="W161" s="27" t="str">
        <f t="shared" si="112"/>
        <v>OK</v>
      </c>
    </row>
    <row r="162" spans="1:23" x14ac:dyDescent="0.2">
      <c r="A162" s="3">
        <f t="shared" si="105"/>
        <v>13</v>
      </c>
      <c r="B162" s="3"/>
      <c r="C162" s="3" t="s">
        <v>103</v>
      </c>
      <c r="D162" s="3"/>
      <c r="E162" s="4"/>
      <c r="F162" s="8"/>
      <c r="G162" s="8"/>
      <c r="H162" s="8">
        <f>SUM(H151:H160)</f>
        <v>5449769.2745128796</v>
      </c>
      <c r="I162" s="8">
        <f>SUM(I151:I160)</f>
        <v>0</v>
      </c>
      <c r="J162" s="66">
        <f>SUM(K162:U162)-M162-P162</f>
        <v>5449686.8595227022</v>
      </c>
      <c r="K162" s="8">
        <f>SUM(K151:K160)</f>
        <v>4467544.3656152561</v>
      </c>
      <c r="L162" s="8">
        <f>SUM(L151:L160)</f>
        <v>474662.07899350277</v>
      </c>
      <c r="M162" s="9">
        <f>SUM(N162:O162)</f>
        <v>314083.52756892191</v>
      </c>
      <c r="N162" s="8">
        <f>SUM(N151:N160)</f>
        <v>2498.4754917164851</v>
      </c>
      <c r="O162" s="8">
        <f>SUM(O151:O160)</f>
        <v>311585.05207720544</v>
      </c>
      <c r="P162" s="9">
        <f t="shared" si="110"/>
        <v>4786.1843268777047</v>
      </c>
      <c r="Q162" s="8">
        <f t="shared" ref="Q162:V162" si="113">SUM(Q151:Q160)</f>
        <v>2034.3489680816517</v>
      </c>
      <c r="R162" s="8">
        <f t="shared" si="113"/>
        <v>2385.6970841042826</v>
      </c>
      <c r="S162" s="8">
        <f t="shared" si="113"/>
        <v>366.13827469177073</v>
      </c>
      <c r="T162" s="8">
        <f t="shared" si="113"/>
        <v>538.16562900205213</v>
      </c>
      <c r="U162" s="8">
        <f t="shared" si="113"/>
        <v>188072.53738913941</v>
      </c>
      <c r="V162" s="8">
        <f t="shared" si="113"/>
        <v>82.414990178147917</v>
      </c>
      <c r="W162" s="27">
        <f t="shared" si="112"/>
        <v>-9.3132257461547852E-10</v>
      </c>
    </row>
    <row r="163" spans="1:23" x14ac:dyDescent="0.2">
      <c r="A163" s="3">
        <f t="shared" si="105"/>
        <v>14</v>
      </c>
      <c r="B163" s="3"/>
      <c r="C163" s="3"/>
      <c r="D163" s="3"/>
      <c r="E163" s="4"/>
      <c r="F163" s="4"/>
      <c r="G163" s="4"/>
      <c r="H163" s="8"/>
      <c r="I163" s="8"/>
      <c r="J163" s="8"/>
      <c r="K163" s="8"/>
      <c r="L163" s="8"/>
      <c r="M163" s="3"/>
      <c r="N163" s="3"/>
      <c r="O163" s="3"/>
      <c r="P163" s="9"/>
      <c r="Q163" s="3"/>
      <c r="R163" s="3"/>
      <c r="S163" s="3"/>
      <c r="T163" s="3"/>
      <c r="U163" s="3"/>
      <c r="V163" s="3"/>
      <c r="W163" s="27" t="str">
        <f t="shared" si="112"/>
        <v>OK</v>
      </c>
    </row>
    <row r="164" spans="1:23" x14ac:dyDescent="0.2">
      <c r="A164" s="3">
        <f t="shared" si="105"/>
        <v>15</v>
      </c>
      <c r="B164" s="3"/>
      <c r="C164" s="3"/>
      <c r="D164" s="3"/>
      <c r="E164" s="4"/>
      <c r="F164" s="4"/>
      <c r="G164" s="4"/>
      <c r="H164" s="5"/>
      <c r="I164" s="5"/>
      <c r="J164" s="5"/>
      <c r="K164" s="5"/>
      <c r="L164" s="5"/>
      <c r="M164" s="3"/>
      <c r="N164" s="3"/>
      <c r="O164" s="3"/>
      <c r="P164" s="9"/>
      <c r="Q164" s="3"/>
      <c r="R164" s="3"/>
      <c r="S164" s="3"/>
      <c r="T164" s="3"/>
      <c r="U164" s="3"/>
      <c r="V164" s="3"/>
      <c r="W164" s="27" t="str">
        <f t="shared" si="112"/>
        <v>OK</v>
      </c>
    </row>
    <row r="165" spans="1:23" x14ac:dyDescent="0.2">
      <c r="A165" s="3">
        <f t="shared" si="105"/>
        <v>16</v>
      </c>
      <c r="B165" s="3"/>
      <c r="C165" s="3"/>
      <c r="D165" s="3"/>
      <c r="E165" s="4"/>
      <c r="F165" s="4"/>
      <c r="G165" s="4"/>
      <c r="H165" s="8"/>
      <c r="I165" s="8"/>
      <c r="J165" s="8"/>
      <c r="K165" s="8"/>
      <c r="L165" s="8"/>
      <c r="M165" s="3"/>
      <c r="N165" s="3"/>
      <c r="O165" s="3"/>
      <c r="P165" s="9"/>
      <c r="Q165" s="3"/>
      <c r="R165" s="3"/>
      <c r="S165" s="3"/>
      <c r="T165" s="3"/>
      <c r="U165" s="3"/>
      <c r="V165" s="3"/>
      <c r="W165" s="27" t="str">
        <f t="shared" si="112"/>
        <v>OK</v>
      </c>
    </row>
    <row r="166" spans="1:23" x14ac:dyDescent="0.2">
      <c r="A166" s="3">
        <f t="shared" si="105"/>
        <v>17</v>
      </c>
      <c r="B166" s="7" t="s">
        <v>104</v>
      </c>
      <c r="C166" s="3"/>
      <c r="D166" s="3"/>
      <c r="E166" s="4"/>
      <c r="F166" s="4"/>
      <c r="G166" s="4"/>
      <c r="H166" s="8"/>
      <c r="I166" s="8"/>
      <c r="J166" s="8"/>
      <c r="K166" s="8"/>
      <c r="L166" s="8"/>
      <c r="M166" s="3"/>
      <c r="N166" s="3"/>
      <c r="O166" s="3"/>
      <c r="P166" s="9"/>
      <c r="Q166" s="3"/>
      <c r="R166" s="3"/>
      <c r="S166" s="3"/>
      <c r="T166" s="3"/>
      <c r="U166" s="3"/>
      <c r="V166" s="3"/>
      <c r="W166" s="27" t="str">
        <f t="shared" si="112"/>
        <v>OK</v>
      </c>
    </row>
    <row r="167" spans="1:23" x14ac:dyDescent="0.2">
      <c r="A167" s="3">
        <f t="shared" si="105"/>
        <v>18</v>
      </c>
      <c r="B167" s="3"/>
      <c r="C167" s="3"/>
      <c r="D167" s="3"/>
      <c r="E167" s="4"/>
      <c r="F167" s="4"/>
      <c r="G167" s="4"/>
      <c r="H167" s="8"/>
      <c r="I167" s="8"/>
      <c r="J167" s="8"/>
      <c r="K167" s="8"/>
      <c r="L167" s="8"/>
      <c r="M167" s="3"/>
      <c r="N167" s="3"/>
      <c r="O167" s="3"/>
      <c r="P167" s="9"/>
      <c r="Q167" s="3"/>
      <c r="R167" s="3"/>
      <c r="S167" s="3"/>
      <c r="T167" s="3"/>
      <c r="U167" s="3"/>
      <c r="V167" s="3"/>
      <c r="W167" s="27" t="str">
        <f t="shared" si="112"/>
        <v>OK</v>
      </c>
    </row>
    <row r="168" spans="1:23" x14ac:dyDescent="0.2">
      <c r="A168" s="3">
        <f t="shared" si="105"/>
        <v>19</v>
      </c>
      <c r="B168" s="3" t="s">
        <v>105</v>
      </c>
      <c r="C168" s="3" t="s">
        <v>106</v>
      </c>
      <c r="D168" s="1" t="s">
        <v>323</v>
      </c>
      <c r="E168" s="4" t="s">
        <v>592</v>
      </c>
      <c r="F168" s="11"/>
      <c r="G168" s="11"/>
      <c r="H168" s="14">
        <f>'II-I TOTAL COMPANY'!M168</f>
        <v>12.146353435972758</v>
      </c>
      <c r="I168" s="66">
        <v>0</v>
      </c>
      <c r="J168" s="66">
        <f>SUM(K168:V168)-M168-P168</f>
        <v>12.146353435972754</v>
      </c>
      <c r="K168" s="12">
        <f>VLOOKUP($D168,$E$741:$V$815,K$1,FALSE)*$H168</f>
        <v>9.9571871986272207</v>
      </c>
      <c r="L168" s="12">
        <f>VLOOKUP($D168,$E$741:$V$815,L$1,FALSE)*$H168</f>
        <v>1.0579188005393199</v>
      </c>
      <c r="M168" s="9">
        <f>SUM(N168:O168)</f>
        <v>0.70002404544185304</v>
      </c>
      <c r="N168" s="12">
        <f>VLOOKUP($D168,$E$741:$V$815,N$1,FALSE)*$H168</f>
        <v>5.5685598499427879E-3</v>
      </c>
      <c r="O168" s="12">
        <f>VLOOKUP($D168,$E$741:$V$815,O$1,FALSE)*$H168</f>
        <v>0.69445548559191028</v>
      </c>
      <c r="P168" s="9">
        <f t="shared" si="110"/>
        <v>1.0667366546295902E-2</v>
      </c>
      <c r="Q168" s="12">
        <f t="shared" ref="Q168:V168" si="114">VLOOKUP($D168,$E$741:$V$815,Q$1,FALSE)*$H168</f>
        <v>4.5341225167068872E-3</v>
      </c>
      <c r="R168" s="12">
        <f t="shared" si="114"/>
        <v>5.3172012456050924E-3</v>
      </c>
      <c r="S168" s="12">
        <f t="shared" si="114"/>
        <v>8.1604278398392173E-4</v>
      </c>
      <c r="T168" s="12">
        <f t="shared" si="114"/>
        <v>1.1994544370019765E-3</v>
      </c>
      <c r="U168" s="12">
        <f t="shared" si="114"/>
        <v>0.41917288524712376</v>
      </c>
      <c r="V168" s="12">
        <f t="shared" si="114"/>
        <v>1.8368513393908498E-4</v>
      </c>
      <c r="W168" s="27">
        <f t="shared" si="112"/>
        <v>-5.3290705182007514E-15</v>
      </c>
    </row>
    <row r="169" spans="1:23" x14ac:dyDescent="0.2">
      <c r="A169" s="3">
        <f t="shared" si="105"/>
        <v>20</v>
      </c>
      <c r="B169" s="3"/>
      <c r="C169" s="3"/>
      <c r="D169" s="1"/>
      <c r="E169" s="4"/>
      <c r="F169" s="4"/>
      <c r="G169" s="4"/>
      <c r="H169" s="8"/>
      <c r="I169" s="8"/>
      <c r="J169" s="8"/>
      <c r="K169" s="8"/>
      <c r="L169" s="8"/>
      <c r="M169" s="3"/>
      <c r="N169" s="3"/>
      <c r="O169" s="3"/>
      <c r="P169" s="9">
        <f t="shared" si="110"/>
        <v>0</v>
      </c>
      <c r="Q169" s="3"/>
      <c r="R169" s="3"/>
      <c r="S169" s="3"/>
      <c r="T169" s="3"/>
      <c r="U169" s="3"/>
      <c r="V169" s="3"/>
      <c r="W169" s="27" t="str">
        <f t="shared" si="112"/>
        <v>OK</v>
      </c>
    </row>
    <row r="170" spans="1:23" x14ac:dyDescent="0.2">
      <c r="A170" s="3">
        <f t="shared" si="105"/>
        <v>21</v>
      </c>
      <c r="B170" s="3"/>
      <c r="C170" s="3"/>
      <c r="D170" s="3"/>
      <c r="E170" s="4"/>
      <c r="F170" s="4"/>
      <c r="G170" s="4"/>
      <c r="H170" s="8"/>
      <c r="I170" s="8"/>
      <c r="J170" s="8"/>
      <c r="K170" s="8"/>
      <c r="L170" s="8"/>
      <c r="M170" s="3"/>
      <c r="N170" s="3"/>
      <c r="O170" s="3"/>
      <c r="P170" s="9"/>
      <c r="Q170" s="3"/>
      <c r="R170" s="3"/>
      <c r="S170" s="3"/>
      <c r="T170" s="3"/>
      <c r="U170" s="3"/>
      <c r="V170" s="3"/>
      <c r="W170" s="27" t="str">
        <f t="shared" si="112"/>
        <v>OK</v>
      </c>
    </row>
    <row r="171" spans="1:23" x14ac:dyDescent="0.2">
      <c r="A171" s="3">
        <f t="shared" si="105"/>
        <v>22</v>
      </c>
      <c r="B171" s="3" t="s">
        <v>107</v>
      </c>
      <c r="C171" s="3"/>
      <c r="D171" s="3"/>
      <c r="E171" s="4"/>
      <c r="F171" s="8"/>
      <c r="G171" s="8"/>
      <c r="H171" s="8">
        <f>H96+H111+H147+H162+H168</f>
        <v>5449993.6494589867</v>
      </c>
      <c r="I171" s="66">
        <v>0</v>
      </c>
      <c r="J171" s="66">
        <f>SUM(K171:V171)-M171-P171</f>
        <v>5449993.6494589867</v>
      </c>
      <c r="K171" s="8">
        <f>K96+K111+K147+K162+K168</f>
        <v>4467728.3009299049</v>
      </c>
      <c r="L171" s="8">
        <f>L96+L111+L147+L162+L168</f>
        <v>474681.62152329239</v>
      </c>
      <c r="M171" s="9">
        <f>SUM(N171:O171)</f>
        <v>314096.45884564612</v>
      </c>
      <c r="N171" s="8">
        <f>N96+N111+N147+N162+N168</f>
        <v>2498.5783575949413</v>
      </c>
      <c r="O171" s="8">
        <f>O96+O111+O147+O162+O168</f>
        <v>311597.88048805116</v>
      </c>
      <c r="P171" s="9">
        <f t="shared" si="110"/>
        <v>4786.3813810640959</v>
      </c>
      <c r="Q171" s="8">
        <f t="shared" ref="Q171:V171" si="115">Q96+Q111+Q147+Q162+Q168</f>
        <v>2034.4327251944919</v>
      </c>
      <c r="R171" s="8">
        <f t="shared" si="115"/>
        <v>2385.7953067312806</v>
      </c>
      <c r="S171" s="8">
        <f t="shared" si="115"/>
        <v>366.15334913832322</v>
      </c>
      <c r="T171" s="8">
        <f t="shared" si="115"/>
        <v>538.18778606557578</v>
      </c>
      <c r="U171" s="8">
        <f t="shared" si="115"/>
        <v>188080.28060968974</v>
      </c>
      <c r="V171" s="8">
        <f t="shared" si="115"/>
        <v>82.418383323444203</v>
      </c>
      <c r="W171" s="27" t="str">
        <f t="shared" si="112"/>
        <v>OK</v>
      </c>
    </row>
    <row r="172" spans="1:23" x14ac:dyDescent="0.2">
      <c r="A172" s="3">
        <f t="shared" si="105"/>
        <v>23</v>
      </c>
      <c r="B172" s="3"/>
      <c r="C172" s="3"/>
      <c r="D172" s="3"/>
      <c r="E172" s="4"/>
      <c r="F172" s="4"/>
      <c r="G172" s="4"/>
      <c r="H172" s="8"/>
      <c r="I172" s="8"/>
      <c r="J172" s="8"/>
      <c r="K172" s="8"/>
      <c r="L172" s="8"/>
      <c r="M172" s="3"/>
      <c r="N172" s="3"/>
      <c r="O172" s="3"/>
      <c r="P172" s="9"/>
      <c r="Q172" s="3"/>
      <c r="R172" s="3"/>
      <c r="S172" s="3"/>
      <c r="T172" s="3"/>
      <c r="U172" s="3"/>
      <c r="V172" s="3"/>
      <c r="W172" s="27" t="str">
        <f t="shared" si="112"/>
        <v>OK</v>
      </c>
    </row>
    <row r="173" spans="1:23" x14ac:dyDescent="0.2">
      <c r="A173" s="3">
        <f t="shared" si="105"/>
        <v>24</v>
      </c>
      <c r="B173" s="3"/>
      <c r="C173" s="3"/>
      <c r="D173" s="3"/>
      <c r="E173" s="4"/>
      <c r="F173" s="4"/>
      <c r="G173" s="4"/>
      <c r="H173" s="8"/>
      <c r="I173" s="8"/>
      <c r="J173" s="8"/>
      <c r="K173" s="8"/>
      <c r="L173" s="8"/>
      <c r="M173" s="3"/>
      <c r="N173" s="3"/>
      <c r="O173" s="3"/>
      <c r="P173" s="9"/>
      <c r="Q173" s="3"/>
      <c r="R173" s="3"/>
      <c r="S173" s="3"/>
      <c r="T173" s="3"/>
      <c r="U173" s="3"/>
      <c r="V173" s="3"/>
      <c r="W173" s="27" t="str">
        <f t="shared" si="112"/>
        <v>OK</v>
      </c>
    </row>
    <row r="174" spans="1:23" x14ac:dyDescent="0.2">
      <c r="A174" s="3">
        <f t="shared" si="105"/>
        <v>25</v>
      </c>
      <c r="B174" s="7" t="s">
        <v>108</v>
      </c>
      <c r="C174" s="3"/>
      <c r="D174" s="3"/>
      <c r="E174" s="4"/>
      <c r="F174" s="4"/>
      <c r="G174" s="4"/>
      <c r="H174" s="8"/>
      <c r="I174" s="8"/>
      <c r="J174" s="8"/>
      <c r="K174" s="8"/>
      <c r="L174" s="8"/>
      <c r="M174" s="3"/>
      <c r="N174" s="3"/>
      <c r="O174" s="3"/>
      <c r="P174" s="9"/>
      <c r="Q174" s="3"/>
      <c r="R174" s="3"/>
      <c r="S174" s="3"/>
      <c r="T174" s="3"/>
      <c r="U174" s="3"/>
      <c r="V174" s="3"/>
      <c r="W174" s="27" t="str">
        <f t="shared" si="112"/>
        <v>OK</v>
      </c>
    </row>
    <row r="175" spans="1:23" x14ac:dyDescent="0.2">
      <c r="A175" s="3">
        <f t="shared" si="105"/>
        <v>26</v>
      </c>
      <c r="B175" s="3"/>
      <c r="C175" s="3"/>
      <c r="D175" s="3"/>
      <c r="E175" s="4"/>
      <c r="F175" s="4"/>
      <c r="G175" s="4"/>
      <c r="H175" s="8"/>
      <c r="I175" s="8"/>
      <c r="J175" s="8"/>
      <c r="K175" s="8"/>
      <c r="L175" s="8"/>
      <c r="M175" s="3"/>
      <c r="N175" s="3"/>
      <c r="O175" s="3"/>
      <c r="P175" s="9"/>
      <c r="Q175" s="3"/>
      <c r="R175" s="3"/>
      <c r="S175" s="3"/>
      <c r="T175" s="3"/>
      <c r="U175" s="3"/>
      <c r="V175" s="3"/>
      <c r="W175" s="27" t="str">
        <f t="shared" si="112"/>
        <v>OK</v>
      </c>
    </row>
    <row r="176" spans="1:23" x14ac:dyDescent="0.2">
      <c r="A176" s="3">
        <f t="shared" si="105"/>
        <v>27</v>
      </c>
      <c r="B176" s="3" t="s">
        <v>109</v>
      </c>
      <c r="C176" s="3"/>
      <c r="D176" s="3"/>
      <c r="E176" s="4"/>
      <c r="F176" s="4"/>
      <c r="G176" s="4"/>
      <c r="H176" s="8"/>
      <c r="I176" s="8"/>
      <c r="J176" s="8"/>
      <c r="K176" s="8"/>
      <c r="L176" s="8"/>
      <c r="M176" s="3"/>
      <c r="N176" s="3"/>
      <c r="O176" s="3"/>
      <c r="P176" s="9"/>
      <c r="Q176" s="3"/>
      <c r="R176" s="3"/>
      <c r="S176" s="3"/>
      <c r="T176" s="3"/>
      <c r="U176" s="3"/>
      <c r="V176" s="3"/>
      <c r="W176" s="27" t="str">
        <f t="shared" si="112"/>
        <v>OK</v>
      </c>
    </row>
    <row r="177" spans="1:23" x14ac:dyDescent="0.2">
      <c r="A177" s="3">
        <f t="shared" si="105"/>
        <v>28</v>
      </c>
      <c r="B177" s="3" t="s">
        <v>110</v>
      </c>
      <c r="C177" s="3"/>
      <c r="D177" s="1" t="s">
        <v>367</v>
      </c>
      <c r="E177" s="4" t="s">
        <v>592</v>
      </c>
      <c r="F177" s="11"/>
      <c r="G177" s="11"/>
      <c r="H177" s="14">
        <f>'II-I TOTAL COMPANY'!M177</f>
        <v>0</v>
      </c>
      <c r="I177" s="66">
        <v>0</v>
      </c>
      <c r="J177" s="66">
        <f>SUM(K177:V177)-M177-P177</f>
        <v>0</v>
      </c>
      <c r="K177" s="12">
        <f>VLOOKUP($D177,$E$741:$V$815,K$1,FALSE)*$H177</f>
        <v>0</v>
      </c>
      <c r="L177" s="12">
        <f>VLOOKUP($D177,$E$741:$V$815,L$1,FALSE)*$H177</f>
        <v>0</v>
      </c>
      <c r="M177" s="9">
        <f>SUM(N177:O177)</f>
        <v>0</v>
      </c>
      <c r="N177" s="12">
        <f>VLOOKUP($D177,$E$741:$V$815,N$1,FALSE)*$H177</f>
        <v>0</v>
      </c>
      <c r="O177" s="12">
        <f>VLOOKUP($D177,$E$741:$V$815,O$1,FALSE)*$H177</f>
        <v>0</v>
      </c>
      <c r="P177" s="9">
        <f t="shared" si="110"/>
        <v>0</v>
      </c>
      <c r="Q177" s="12">
        <f t="shared" ref="Q177:V177" si="116">VLOOKUP($D177,$E$741:$V$815,Q$1,FALSE)*$H177</f>
        <v>0</v>
      </c>
      <c r="R177" s="12">
        <f t="shared" si="116"/>
        <v>0</v>
      </c>
      <c r="S177" s="12">
        <f t="shared" si="116"/>
        <v>0</v>
      </c>
      <c r="T177" s="12">
        <f t="shared" si="116"/>
        <v>0</v>
      </c>
      <c r="U177" s="12">
        <f t="shared" si="116"/>
        <v>0</v>
      </c>
      <c r="V177" s="12">
        <f t="shared" si="116"/>
        <v>0</v>
      </c>
      <c r="W177" s="27" t="str">
        <f t="shared" si="112"/>
        <v>OK</v>
      </c>
    </row>
    <row r="178" spans="1:23" x14ac:dyDescent="0.2">
      <c r="A178" s="3">
        <f t="shared" si="105"/>
        <v>29</v>
      </c>
      <c r="B178" s="3"/>
      <c r="C178" s="3"/>
      <c r="D178" s="3"/>
      <c r="E178" s="4"/>
      <c r="F178" s="4"/>
      <c r="G178" s="4"/>
      <c r="H178" s="8"/>
      <c r="I178" s="8"/>
      <c r="J178" s="8"/>
      <c r="K178" s="8"/>
      <c r="L178" s="8"/>
      <c r="M178" s="3"/>
      <c r="N178" s="3"/>
      <c r="O178" s="3"/>
      <c r="P178" s="9"/>
      <c r="Q178" s="3"/>
      <c r="R178" s="3"/>
      <c r="S178" s="3"/>
      <c r="T178" s="3"/>
      <c r="U178" s="3"/>
      <c r="V178" s="3"/>
      <c r="W178" s="27" t="str">
        <f t="shared" si="112"/>
        <v>OK</v>
      </c>
    </row>
    <row r="179" spans="1:23" x14ac:dyDescent="0.2">
      <c r="A179" s="3">
        <f t="shared" si="105"/>
        <v>30</v>
      </c>
      <c r="B179" s="3"/>
      <c r="C179" s="3"/>
      <c r="D179" s="3"/>
      <c r="E179" s="4"/>
      <c r="F179" s="4"/>
      <c r="G179" s="4"/>
      <c r="H179" s="8"/>
      <c r="I179" s="8"/>
      <c r="J179" s="8"/>
      <c r="K179" s="8"/>
      <c r="L179" s="8"/>
      <c r="M179" s="3"/>
      <c r="N179" s="3"/>
      <c r="O179" s="3"/>
      <c r="P179" s="9"/>
      <c r="Q179" s="3"/>
      <c r="R179" s="3"/>
      <c r="S179" s="3"/>
      <c r="T179" s="3"/>
      <c r="U179" s="3"/>
      <c r="V179" s="3"/>
      <c r="W179" s="27" t="str">
        <f t="shared" si="112"/>
        <v>OK</v>
      </c>
    </row>
    <row r="180" spans="1:23" x14ac:dyDescent="0.2">
      <c r="A180" s="3">
        <f t="shared" si="105"/>
        <v>31</v>
      </c>
      <c r="B180" s="3"/>
      <c r="C180" s="3"/>
      <c r="D180" s="3"/>
      <c r="E180" s="4"/>
      <c r="F180" s="4"/>
      <c r="G180" s="4"/>
      <c r="H180" s="8"/>
      <c r="I180" s="8"/>
      <c r="J180" s="8"/>
      <c r="K180" s="8"/>
      <c r="L180" s="8"/>
      <c r="M180" s="3"/>
      <c r="N180" s="3"/>
      <c r="O180" s="3"/>
      <c r="P180" s="9"/>
      <c r="Q180" s="3"/>
      <c r="R180" s="3"/>
      <c r="S180" s="3"/>
      <c r="T180" s="3"/>
      <c r="U180" s="3"/>
      <c r="V180" s="3"/>
      <c r="W180" s="27" t="str">
        <f t="shared" si="112"/>
        <v>OK</v>
      </c>
    </row>
    <row r="181" spans="1:23" x14ac:dyDescent="0.2">
      <c r="A181" s="3">
        <f t="shared" si="105"/>
        <v>32</v>
      </c>
      <c r="B181" s="3"/>
      <c r="C181" s="3"/>
      <c r="D181" s="3"/>
      <c r="E181" s="4"/>
      <c r="F181" s="4"/>
      <c r="G181" s="4"/>
      <c r="H181" s="8"/>
      <c r="I181" s="8"/>
      <c r="J181" s="8"/>
      <c r="K181" s="8"/>
      <c r="L181" s="8"/>
      <c r="M181" s="3"/>
      <c r="N181" s="3"/>
      <c r="O181" s="3"/>
      <c r="P181" s="9"/>
      <c r="Q181" s="3"/>
      <c r="R181" s="3"/>
      <c r="S181" s="3"/>
      <c r="T181" s="3"/>
      <c r="U181" s="3"/>
      <c r="V181" s="3"/>
      <c r="W181" s="27" t="str">
        <f t="shared" si="112"/>
        <v>OK</v>
      </c>
    </row>
    <row r="182" spans="1:23" x14ac:dyDescent="0.2">
      <c r="A182" s="3">
        <f t="shared" si="105"/>
        <v>33</v>
      </c>
      <c r="B182" s="3"/>
      <c r="C182" s="3"/>
      <c r="D182" s="3"/>
      <c r="E182" s="4"/>
      <c r="F182" s="4"/>
      <c r="G182" s="4"/>
      <c r="H182" s="8"/>
      <c r="I182" s="8"/>
      <c r="J182" s="8"/>
      <c r="K182" s="8"/>
      <c r="L182" s="8"/>
      <c r="M182" s="3"/>
      <c r="N182" s="3"/>
      <c r="O182" s="3"/>
      <c r="P182" s="9"/>
      <c r="Q182" s="3"/>
      <c r="R182" s="3"/>
      <c r="S182" s="3"/>
      <c r="T182" s="3"/>
      <c r="U182" s="3"/>
      <c r="V182" s="3"/>
      <c r="W182" s="27" t="str">
        <f t="shared" si="112"/>
        <v>OK</v>
      </c>
    </row>
    <row r="183" spans="1:23" x14ac:dyDescent="0.2">
      <c r="A183" s="3">
        <f t="shared" si="105"/>
        <v>34</v>
      </c>
      <c r="B183" s="7" t="s">
        <v>111</v>
      </c>
      <c r="C183" s="3"/>
      <c r="D183" s="3"/>
      <c r="E183" s="4"/>
      <c r="F183" s="4"/>
      <c r="G183" s="4"/>
      <c r="H183" s="8"/>
      <c r="I183" s="8"/>
      <c r="J183" s="8"/>
      <c r="K183" s="8"/>
      <c r="L183" s="8"/>
      <c r="M183" s="3"/>
      <c r="N183" s="3"/>
      <c r="O183" s="3"/>
      <c r="P183" s="9"/>
      <c r="Q183" s="3"/>
      <c r="R183" s="3"/>
      <c r="S183" s="3"/>
      <c r="T183" s="3"/>
      <c r="U183" s="3"/>
      <c r="V183" s="3"/>
      <c r="W183" s="27" t="str">
        <f t="shared" si="112"/>
        <v>OK</v>
      </c>
    </row>
    <row r="184" spans="1:23" x14ac:dyDescent="0.2">
      <c r="A184" s="3">
        <f t="shared" si="105"/>
        <v>35</v>
      </c>
      <c r="B184" s="3"/>
      <c r="C184" s="3"/>
      <c r="D184" s="3"/>
      <c r="E184" s="4"/>
      <c r="F184" s="4"/>
      <c r="G184" s="4"/>
      <c r="H184" s="8"/>
      <c r="I184" s="8"/>
      <c r="J184" s="8"/>
      <c r="K184" s="8"/>
      <c r="L184" s="8"/>
      <c r="M184" s="3"/>
      <c r="N184" s="3"/>
      <c r="O184" s="3"/>
      <c r="P184" s="9"/>
      <c r="Q184" s="3"/>
      <c r="R184" s="3"/>
      <c r="S184" s="3"/>
      <c r="T184" s="3"/>
      <c r="U184" s="3"/>
      <c r="V184" s="3"/>
      <c r="W184" s="27" t="str">
        <f t="shared" si="112"/>
        <v>OK</v>
      </c>
    </row>
    <row r="185" spans="1:23" x14ac:dyDescent="0.2">
      <c r="A185" s="3">
        <f t="shared" si="105"/>
        <v>36</v>
      </c>
      <c r="B185" s="3" t="s">
        <v>112</v>
      </c>
      <c r="C185" s="3"/>
      <c r="D185" s="3"/>
      <c r="E185" s="4"/>
      <c r="F185" s="4"/>
      <c r="G185" s="4"/>
      <c r="H185" s="8"/>
      <c r="I185" s="8"/>
      <c r="J185" s="8"/>
      <c r="K185" s="8"/>
      <c r="L185" s="8"/>
      <c r="M185" s="3"/>
      <c r="N185" s="3"/>
      <c r="O185" s="3"/>
      <c r="P185" s="9"/>
      <c r="Q185" s="3"/>
      <c r="R185" s="3"/>
      <c r="S185" s="3"/>
      <c r="T185" s="3"/>
      <c r="U185" s="3"/>
      <c r="V185" s="3"/>
      <c r="W185" s="27" t="str">
        <f t="shared" si="112"/>
        <v>OK</v>
      </c>
    </row>
    <row r="186" spans="1:23" x14ac:dyDescent="0.2">
      <c r="A186" s="3">
        <f t="shared" si="105"/>
        <v>37</v>
      </c>
      <c r="B186" s="3"/>
      <c r="C186" s="3"/>
      <c r="D186" s="3"/>
      <c r="E186" s="4"/>
      <c r="F186" s="4"/>
      <c r="G186" s="4"/>
      <c r="H186" s="8"/>
      <c r="I186" s="8"/>
      <c r="J186" s="8"/>
      <c r="K186" s="8"/>
      <c r="L186" s="8"/>
      <c r="M186" s="3"/>
      <c r="N186" s="3"/>
      <c r="O186" s="3"/>
      <c r="P186" s="9"/>
      <c r="Q186" s="3"/>
      <c r="R186" s="3"/>
      <c r="S186" s="3"/>
      <c r="T186" s="3"/>
      <c r="U186" s="3"/>
      <c r="V186" s="3"/>
      <c r="W186" s="27" t="str">
        <f t="shared" si="112"/>
        <v>OK</v>
      </c>
    </row>
    <row r="187" spans="1:23" x14ac:dyDescent="0.2">
      <c r="A187" s="3">
        <f t="shared" si="105"/>
        <v>38</v>
      </c>
      <c r="B187" s="3" t="s">
        <v>23</v>
      </c>
      <c r="C187" s="3"/>
      <c r="D187" s="1"/>
      <c r="E187" s="4"/>
      <c r="F187" s="4"/>
      <c r="G187" s="4"/>
      <c r="H187" s="8"/>
      <c r="I187" s="8"/>
      <c r="J187" s="8"/>
      <c r="K187" s="8"/>
      <c r="L187" s="8"/>
      <c r="M187" s="3"/>
      <c r="N187" s="3"/>
      <c r="O187" s="3"/>
      <c r="P187" s="9"/>
      <c r="Q187" s="3"/>
      <c r="R187" s="3"/>
      <c r="S187" s="3"/>
      <c r="T187" s="3"/>
      <c r="U187" s="3"/>
      <c r="V187" s="3"/>
      <c r="W187" s="27" t="str">
        <f t="shared" si="112"/>
        <v>OK</v>
      </c>
    </row>
    <row r="188" spans="1:23" x14ac:dyDescent="0.2">
      <c r="A188" s="3">
        <f t="shared" si="105"/>
        <v>39</v>
      </c>
      <c r="B188" s="3" t="s">
        <v>24</v>
      </c>
      <c r="C188" s="3" t="s">
        <v>25</v>
      </c>
      <c r="D188" s="1" t="s">
        <v>323</v>
      </c>
      <c r="E188" s="4" t="s">
        <v>592</v>
      </c>
      <c r="F188" s="11"/>
      <c r="G188" s="11"/>
      <c r="H188" s="14">
        <f>'II-I TOTAL COMPANY'!M188</f>
        <v>0</v>
      </c>
      <c r="I188" s="66">
        <v>0</v>
      </c>
      <c r="J188" s="66">
        <f>SUM(K188:V188)-M188-P188</f>
        <v>0</v>
      </c>
      <c r="K188" s="12">
        <f t="shared" ref="K188:L190" si="117">VLOOKUP($D188,$E$741:$V$815,K$1,FALSE)*$H188</f>
        <v>0</v>
      </c>
      <c r="L188" s="12">
        <f t="shared" si="117"/>
        <v>0</v>
      </c>
      <c r="M188" s="9">
        <f>SUM(N188:O188)</f>
        <v>0</v>
      </c>
      <c r="N188" s="12">
        <f t="shared" ref="N188:O190" si="118">VLOOKUP($D188,$E$741:$V$815,N$1,FALSE)*$H188</f>
        <v>0</v>
      </c>
      <c r="O188" s="12">
        <f t="shared" si="118"/>
        <v>0</v>
      </c>
      <c r="P188" s="9">
        <f t="shared" si="110"/>
        <v>0</v>
      </c>
      <c r="Q188" s="12">
        <f t="shared" ref="Q188:V190" si="119">VLOOKUP($D188,$E$741:$V$815,Q$1,FALSE)*$H188</f>
        <v>0</v>
      </c>
      <c r="R188" s="12">
        <f t="shared" si="119"/>
        <v>0</v>
      </c>
      <c r="S188" s="12">
        <f t="shared" si="119"/>
        <v>0</v>
      </c>
      <c r="T188" s="12">
        <f t="shared" si="119"/>
        <v>0</v>
      </c>
      <c r="U188" s="12">
        <f t="shared" si="119"/>
        <v>0</v>
      </c>
      <c r="V188" s="12">
        <f t="shared" si="119"/>
        <v>0</v>
      </c>
      <c r="W188" s="27" t="str">
        <f t="shared" si="112"/>
        <v>OK</v>
      </c>
    </row>
    <row r="189" spans="1:23" x14ac:dyDescent="0.2">
      <c r="A189" s="3">
        <f t="shared" si="105"/>
        <v>40</v>
      </c>
      <c r="B189" s="3" t="s">
        <v>26</v>
      </c>
      <c r="C189" s="3" t="s">
        <v>27</v>
      </c>
      <c r="D189" s="1" t="s">
        <v>323</v>
      </c>
      <c r="E189" s="4" t="s">
        <v>592</v>
      </c>
      <c r="F189" s="11"/>
      <c r="G189" s="11"/>
      <c r="H189" s="14">
        <f>'II-I TOTAL COMPANY'!M189</f>
        <v>0</v>
      </c>
      <c r="I189" s="66">
        <v>0</v>
      </c>
      <c r="J189" s="66">
        <f t="shared" ref="J189:J191" si="120">SUM(K189:V189)-M189-P189</f>
        <v>0</v>
      </c>
      <c r="K189" s="12">
        <f t="shared" si="117"/>
        <v>0</v>
      </c>
      <c r="L189" s="12">
        <f t="shared" si="117"/>
        <v>0</v>
      </c>
      <c r="M189" s="9">
        <f>SUM(N189:O189)</f>
        <v>0</v>
      </c>
      <c r="N189" s="12">
        <f t="shared" si="118"/>
        <v>0</v>
      </c>
      <c r="O189" s="12">
        <f t="shared" si="118"/>
        <v>0</v>
      </c>
      <c r="P189" s="9">
        <f t="shared" si="110"/>
        <v>0</v>
      </c>
      <c r="Q189" s="12">
        <f t="shared" si="119"/>
        <v>0</v>
      </c>
      <c r="R189" s="12">
        <f t="shared" si="119"/>
        <v>0</v>
      </c>
      <c r="S189" s="12">
        <f t="shared" si="119"/>
        <v>0</v>
      </c>
      <c r="T189" s="12">
        <f t="shared" si="119"/>
        <v>0</v>
      </c>
      <c r="U189" s="12">
        <f t="shared" si="119"/>
        <v>0</v>
      </c>
      <c r="V189" s="12">
        <f t="shared" si="119"/>
        <v>0</v>
      </c>
      <c r="W189" s="27" t="str">
        <f t="shared" ref="W189:W220" si="121">IF((+K189+L189+M189+P189+T189+U189+V189)-H189=0,"OK",(+K189+L189+M189+P189+T189+U189+V189)-H189)</f>
        <v>OK</v>
      </c>
    </row>
    <row r="190" spans="1:23" x14ac:dyDescent="0.2">
      <c r="A190" s="3">
        <f t="shared" si="105"/>
        <v>41</v>
      </c>
      <c r="B190" s="3" t="s">
        <v>28</v>
      </c>
      <c r="C190" s="3" t="s">
        <v>29</v>
      </c>
      <c r="D190" s="1" t="s">
        <v>323</v>
      </c>
      <c r="E190" s="4" t="s">
        <v>592</v>
      </c>
      <c r="F190" s="11"/>
      <c r="G190" s="11"/>
      <c r="H190" s="14">
        <f>'II-I TOTAL COMPANY'!M190</f>
        <v>0</v>
      </c>
      <c r="I190" s="66">
        <v>0</v>
      </c>
      <c r="J190" s="66">
        <f t="shared" si="120"/>
        <v>0</v>
      </c>
      <c r="K190" s="12">
        <f t="shared" si="117"/>
        <v>0</v>
      </c>
      <c r="L190" s="12">
        <f t="shared" si="117"/>
        <v>0</v>
      </c>
      <c r="M190" s="9">
        <f>SUM(N190:O190)</f>
        <v>0</v>
      </c>
      <c r="N190" s="12">
        <f t="shared" si="118"/>
        <v>0</v>
      </c>
      <c r="O190" s="12">
        <f t="shared" si="118"/>
        <v>0</v>
      </c>
      <c r="P190" s="9">
        <f t="shared" si="110"/>
        <v>0</v>
      </c>
      <c r="Q190" s="12">
        <f t="shared" si="119"/>
        <v>0</v>
      </c>
      <c r="R190" s="12">
        <f t="shared" si="119"/>
        <v>0</v>
      </c>
      <c r="S190" s="12">
        <f t="shared" si="119"/>
        <v>0</v>
      </c>
      <c r="T190" s="12">
        <f t="shared" si="119"/>
        <v>0</v>
      </c>
      <c r="U190" s="12">
        <f t="shared" si="119"/>
        <v>0</v>
      </c>
      <c r="V190" s="12">
        <f t="shared" si="119"/>
        <v>0</v>
      </c>
      <c r="W190" s="27" t="str">
        <f t="shared" si="121"/>
        <v>OK</v>
      </c>
    </row>
    <row r="191" spans="1:23" x14ac:dyDescent="0.2">
      <c r="A191" s="3">
        <f t="shared" si="105"/>
        <v>42</v>
      </c>
      <c r="B191" s="3"/>
      <c r="C191" s="3" t="s">
        <v>30</v>
      </c>
      <c r="D191" s="3"/>
      <c r="E191" s="4"/>
      <c r="F191" s="8"/>
      <c r="G191" s="8"/>
      <c r="H191" s="8">
        <f t="shared" ref="H191:V191" si="122">SUM(H188:H190)</f>
        <v>0</v>
      </c>
      <c r="I191" s="8">
        <f t="shared" si="122"/>
        <v>0</v>
      </c>
      <c r="J191" s="66">
        <f t="shared" si="120"/>
        <v>0</v>
      </c>
      <c r="K191" s="8">
        <f t="shared" si="122"/>
        <v>0</v>
      </c>
      <c r="L191" s="8">
        <f t="shared" si="122"/>
        <v>0</v>
      </c>
      <c r="M191" s="9">
        <f>SUM(N191:O191)</f>
        <v>0</v>
      </c>
      <c r="N191" s="8">
        <f t="shared" si="122"/>
        <v>0</v>
      </c>
      <c r="O191" s="8">
        <f t="shared" si="122"/>
        <v>0</v>
      </c>
      <c r="P191" s="9">
        <f t="shared" si="110"/>
        <v>0</v>
      </c>
      <c r="Q191" s="8">
        <f t="shared" si="122"/>
        <v>0</v>
      </c>
      <c r="R191" s="8">
        <f t="shared" si="122"/>
        <v>0</v>
      </c>
      <c r="S191" s="8">
        <f>SUM(S188:S190)</f>
        <v>0</v>
      </c>
      <c r="T191" s="8">
        <f t="shared" si="122"/>
        <v>0</v>
      </c>
      <c r="U191" s="8">
        <f t="shared" si="122"/>
        <v>0</v>
      </c>
      <c r="V191" s="8">
        <f t="shared" si="122"/>
        <v>0</v>
      </c>
      <c r="W191" s="27" t="str">
        <f t="shared" si="121"/>
        <v>OK</v>
      </c>
    </row>
    <row r="192" spans="1:23" x14ac:dyDescent="0.2">
      <c r="A192" s="3"/>
      <c r="B192" s="3"/>
      <c r="C192" s="3"/>
      <c r="D192" s="3"/>
      <c r="E192" s="4"/>
      <c r="F192" s="4"/>
      <c r="G192" s="4"/>
      <c r="H192" s="8"/>
      <c r="I192" s="8"/>
      <c r="J192" s="8"/>
      <c r="K192" s="8"/>
      <c r="L192" s="8"/>
      <c r="M192" s="3"/>
      <c r="N192" s="3"/>
      <c r="O192" s="3"/>
      <c r="P192" s="9"/>
      <c r="Q192" s="3"/>
      <c r="R192" s="3"/>
      <c r="S192" s="3"/>
      <c r="T192" s="3"/>
      <c r="U192" s="3"/>
      <c r="V192" s="3"/>
      <c r="W192" s="27" t="str">
        <f t="shared" si="121"/>
        <v>OK</v>
      </c>
    </row>
    <row r="193" spans="1:23" x14ac:dyDescent="0.2">
      <c r="A193" s="3"/>
      <c r="B193" s="7" t="s">
        <v>113</v>
      </c>
      <c r="C193" s="3"/>
      <c r="D193" s="3"/>
      <c r="E193" s="4"/>
      <c r="F193" s="4"/>
      <c r="G193" s="4"/>
      <c r="H193" s="8"/>
      <c r="I193" s="8"/>
      <c r="J193" s="8"/>
      <c r="K193" s="8"/>
      <c r="L193" s="8"/>
      <c r="M193" s="8"/>
      <c r="N193" s="8"/>
      <c r="O193" s="8"/>
      <c r="P193" s="9"/>
      <c r="Q193" s="8"/>
      <c r="R193" s="8"/>
      <c r="S193" s="8"/>
      <c r="T193" s="8"/>
      <c r="U193" s="8"/>
      <c r="V193" s="8"/>
      <c r="W193" s="27" t="str">
        <f t="shared" si="121"/>
        <v>OK</v>
      </c>
    </row>
    <row r="194" spans="1:23" x14ac:dyDescent="0.2">
      <c r="A194" s="3"/>
      <c r="B194" s="3"/>
      <c r="C194" s="3"/>
      <c r="D194" s="3"/>
      <c r="E194" s="4"/>
      <c r="F194" s="4"/>
      <c r="G194" s="4"/>
      <c r="H194" s="8"/>
      <c r="I194" s="8"/>
      <c r="J194" s="8"/>
      <c r="K194" s="8"/>
      <c r="L194" s="8"/>
      <c r="M194" s="8"/>
      <c r="N194" s="8"/>
      <c r="O194" s="8"/>
      <c r="P194" s="9"/>
      <c r="Q194" s="8"/>
      <c r="R194" s="8"/>
      <c r="S194" s="8"/>
      <c r="T194" s="8"/>
      <c r="U194" s="8"/>
      <c r="V194" s="8"/>
      <c r="W194" s="27" t="str">
        <f t="shared" si="121"/>
        <v>OK</v>
      </c>
    </row>
    <row r="195" spans="1:23" x14ac:dyDescent="0.2">
      <c r="A195" s="3">
        <v>1</v>
      </c>
      <c r="B195" s="3" t="s">
        <v>112</v>
      </c>
      <c r="C195" s="3"/>
      <c r="D195" s="3"/>
      <c r="E195" s="4"/>
      <c r="F195" s="4"/>
      <c r="G195" s="4"/>
      <c r="H195" s="8"/>
      <c r="I195" s="8"/>
      <c r="J195" s="8"/>
      <c r="K195" s="8"/>
      <c r="L195" s="8"/>
      <c r="M195" s="8"/>
      <c r="N195" s="8"/>
      <c r="O195" s="8"/>
      <c r="P195" s="9"/>
      <c r="Q195" s="8"/>
      <c r="R195" s="8"/>
      <c r="S195" s="8"/>
      <c r="T195" s="8"/>
      <c r="U195" s="8"/>
      <c r="V195" s="8"/>
      <c r="W195" s="27" t="str">
        <f t="shared" si="121"/>
        <v>OK</v>
      </c>
    </row>
    <row r="196" spans="1:23" x14ac:dyDescent="0.2">
      <c r="A196" s="3">
        <f t="shared" ref="A196:A249" si="123">+A195+1</f>
        <v>2</v>
      </c>
      <c r="B196" s="3"/>
      <c r="C196" s="3"/>
      <c r="D196" s="3"/>
      <c r="E196" s="4"/>
      <c r="F196" s="4"/>
      <c r="G196" s="4"/>
      <c r="H196" s="8"/>
      <c r="I196" s="8"/>
      <c r="J196" s="8"/>
      <c r="K196" s="8"/>
      <c r="L196" s="8"/>
      <c r="M196" s="8"/>
      <c r="N196" s="8"/>
      <c r="O196" s="8"/>
      <c r="P196" s="9"/>
      <c r="Q196" s="8"/>
      <c r="R196" s="8"/>
      <c r="S196" s="8"/>
      <c r="T196" s="8"/>
      <c r="U196" s="8"/>
      <c r="V196" s="8"/>
      <c r="W196" s="27" t="str">
        <f t="shared" si="121"/>
        <v>OK</v>
      </c>
    </row>
    <row r="197" spans="1:23" x14ac:dyDescent="0.2">
      <c r="A197" s="3">
        <f t="shared" si="123"/>
        <v>3</v>
      </c>
      <c r="B197" s="3" t="s">
        <v>33</v>
      </c>
      <c r="C197" s="3"/>
      <c r="D197" s="3"/>
      <c r="E197" s="4"/>
      <c r="F197" s="4"/>
      <c r="G197" s="4"/>
      <c r="H197" s="8"/>
      <c r="I197" s="8"/>
      <c r="J197" s="8"/>
      <c r="K197" s="8"/>
      <c r="L197" s="8"/>
      <c r="M197" s="8"/>
      <c r="N197" s="8"/>
      <c r="O197" s="8"/>
      <c r="P197" s="9"/>
      <c r="Q197" s="8"/>
      <c r="R197" s="8"/>
      <c r="S197" s="8"/>
      <c r="T197" s="8"/>
      <c r="U197" s="8"/>
      <c r="V197" s="8"/>
      <c r="W197" s="27" t="str">
        <f t="shared" si="121"/>
        <v>OK</v>
      </c>
    </row>
    <row r="198" spans="1:23" x14ac:dyDescent="0.2">
      <c r="A198" s="3">
        <f t="shared" si="123"/>
        <v>4</v>
      </c>
      <c r="B198" s="3" t="s">
        <v>34</v>
      </c>
      <c r="C198" s="3" t="s">
        <v>35</v>
      </c>
      <c r="D198" s="3" t="str">
        <f t="shared" ref="D198:D206" si="124">B198</f>
        <v>A350</v>
      </c>
      <c r="E198" s="4" t="s">
        <v>592</v>
      </c>
      <c r="F198" s="11"/>
      <c r="G198" s="11"/>
      <c r="H198" s="14">
        <f>'II-I TOTAL COMPANY'!M198</f>
        <v>0</v>
      </c>
      <c r="I198" s="66">
        <v>0</v>
      </c>
      <c r="J198" s="66">
        <f t="shared" ref="J198:J208" si="125">SUM(K198:V198)-M198-P198</f>
        <v>0</v>
      </c>
      <c r="K198" s="12">
        <f t="shared" ref="K198:L206" si="126">IF($H101&lt;&gt;0,(K101/$H101)*$H198,0)</f>
        <v>0</v>
      </c>
      <c r="L198" s="12">
        <f t="shared" si="126"/>
        <v>0</v>
      </c>
      <c r="M198" s="9">
        <f t="shared" ref="M198:M206" si="127">SUM(N198:O198)</f>
        <v>0</v>
      </c>
      <c r="N198" s="12">
        <f t="shared" ref="N198:O206" si="128">IF($H101&lt;&gt;0,(N101/$H101)*$H198,0)</f>
        <v>0</v>
      </c>
      <c r="O198" s="12">
        <f t="shared" si="128"/>
        <v>0</v>
      </c>
      <c r="P198" s="9">
        <f t="shared" si="110"/>
        <v>0</v>
      </c>
      <c r="Q198" s="12">
        <f t="shared" ref="Q198:V206" si="129">IF($H101&lt;&gt;0,(Q101/$H101)*$H198,0)</f>
        <v>0</v>
      </c>
      <c r="R198" s="12">
        <f t="shared" si="129"/>
        <v>0</v>
      </c>
      <c r="S198" s="12">
        <f t="shared" ref="S198:S206" si="130">IF($H101&lt;&gt;0,(S101/$H101)*$H198,0)</f>
        <v>0</v>
      </c>
      <c r="T198" s="12">
        <f t="shared" si="129"/>
        <v>0</v>
      </c>
      <c r="U198" s="12">
        <f t="shared" si="129"/>
        <v>0</v>
      </c>
      <c r="V198" s="12">
        <f t="shared" si="129"/>
        <v>0</v>
      </c>
      <c r="W198" s="27" t="str">
        <f t="shared" si="121"/>
        <v>OK</v>
      </c>
    </row>
    <row r="199" spans="1:23" x14ac:dyDescent="0.2">
      <c r="A199" s="3">
        <f t="shared" si="123"/>
        <v>5</v>
      </c>
      <c r="B199" s="3" t="s">
        <v>36</v>
      </c>
      <c r="C199" s="3" t="s">
        <v>31</v>
      </c>
      <c r="D199" s="3" t="str">
        <f t="shared" si="124"/>
        <v>A352</v>
      </c>
      <c r="E199" s="4" t="s">
        <v>592</v>
      </c>
      <c r="F199" s="11"/>
      <c r="G199" s="11"/>
      <c r="H199" s="14">
        <f>'II-I TOTAL COMPANY'!M199</f>
        <v>0</v>
      </c>
      <c r="I199" s="66">
        <v>0</v>
      </c>
      <c r="J199" s="66">
        <f t="shared" si="125"/>
        <v>0</v>
      </c>
      <c r="K199" s="12">
        <f t="shared" si="126"/>
        <v>0</v>
      </c>
      <c r="L199" s="12">
        <f t="shared" si="126"/>
        <v>0</v>
      </c>
      <c r="M199" s="9">
        <f t="shared" si="127"/>
        <v>0</v>
      </c>
      <c r="N199" s="12">
        <f t="shared" si="128"/>
        <v>0</v>
      </c>
      <c r="O199" s="12">
        <f t="shared" si="128"/>
        <v>0</v>
      </c>
      <c r="P199" s="9">
        <f t="shared" si="110"/>
        <v>0</v>
      </c>
      <c r="Q199" s="12">
        <f t="shared" si="129"/>
        <v>0</v>
      </c>
      <c r="R199" s="12">
        <f t="shared" si="129"/>
        <v>0</v>
      </c>
      <c r="S199" s="12">
        <f t="shared" si="130"/>
        <v>0</v>
      </c>
      <c r="T199" s="12">
        <f t="shared" si="129"/>
        <v>0</v>
      </c>
      <c r="U199" s="12">
        <f t="shared" si="129"/>
        <v>0</v>
      </c>
      <c r="V199" s="12">
        <f t="shared" si="129"/>
        <v>0</v>
      </c>
      <c r="W199" s="27" t="str">
        <f t="shared" si="121"/>
        <v>OK</v>
      </c>
    </row>
    <row r="200" spans="1:23" x14ac:dyDescent="0.2">
      <c r="A200" s="3">
        <f t="shared" si="123"/>
        <v>6</v>
      </c>
      <c r="B200" s="3" t="s">
        <v>37</v>
      </c>
      <c r="C200" s="3" t="s">
        <v>38</v>
      </c>
      <c r="D200" s="3" t="str">
        <f t="shared" si="124"/>
        <v>A353</v>
      </c>
      <c r="E200" s="4" t="s">
        <v>592</v>
      </c>
      <c r="F200" s="11"/>
      <c r="G200" s="11"/>
      <c r="H200" s="14">
        <f>'II-I TOTAL COMPANY'!M200</f>
        <v>0</v>
      </c>
      <c r="I200" s="66">
        <v>0</v>
      </c>
      <c r="J200" s="66">
        <f t="shared" si="125"/>
        <v>0</v>
      </c>
      <c r="K200" s="12">
        <f t="shared" si="126"/>
        <v>0</v>
      </c>
      <c r="L200" s="12">
        <f t="shared" si="126"/>
        <v>0</v>
      </c>
      <c r="M200" s="9">
        <f t="shared" si="127"/>
        <v>0</v>
      </c>
      <c r="N200" s="12">
        <f t="shared" si="128"/>
        <v>0</v>
      </c>
      <c r="O200" s="12">
        <f t="shared" si="128"/>
        <v>0</v>
      </c>
      <c r="P200" s="9">
        <f t="shared" si="110"/>
        <v>0</v>
      </c>
      <c r="Q200" s="12">
        <f t="shared" si="129"/>
        <v>0</v>
      </c>
      <c r="R200" s="12">
        <f t="shared" si="129"/>
        <v>0</v>
      </c>
      <c r="S200" s="12">
        <f t="shared" si="130"/>
        <v>0</v>
      </c>
      <c r="T200" s="12">
        <f t="shared" si="129"/>
        <v>0</v>
      </c>
      <c r="U200" s="12">
        <f t="shared" si="129"/>
        <v>0</v>
      </c>
      <c r="V200" s="12">
        <f t="shared" si="129"/>
        <v>0</v>
      </c>
      <c r="W200" s="27" t="str">
        <f t="shared" si="121"/>
        <v>OK</v>
      </c>
    </row>
    <row r="201" spans="1:23" x14ac:dyDescent="0.2">
      <c r="A201" s="3">
        <f t="shared" si="123"/>
        <v>7</v>
      </c>
      <c r="B201" s="3" t="s">
        <v>39</v>
      </c>
      <c r="C201" s="3" t="s">
        <v>40</v>
      </c>
      <c r="D201" s="3" t="str">
        <f t="shared" si="124"/>
        <v>A354</v>
      </c>
      <c r="E201" s="4" t="s">
        <v>592</v>
      </c>
      <c r="F201" s="11"/>
      <c r="G201" s="11"/>
      <c r="H201" s="14">
        <f>'II-I TOTAL COMPANY'!M201</f>
        <v>0</v>
      </c>
      <c r="I201" s="66">
        <v>0</v>
      </c>
      <c r="J201" s="66">
        <f t="shared" si="125"/>
        <v>0</v>
      </c>
      <c r="K201" s="12">
        <f t="shared" si="126"/>
        <v>0</v>
      </c>
      <c r="L201" s="12">
        <f t="shared" si="126"/>
        <v>0</v>
      </c>
      <c r="M201" s="9">
        <f t="shared" si="127"/>
        <v>0</v>
      </c>
      <c r="N201" s="12">
        <f t="shared" si="128"/>
        <v>0</v>
      </c>
      <c r="O201" s="12">
        <f t="shared" si="128"/>
        <v>0</v>
      </c>
      <c r="P201" s="9">
        <f t="shared" si="110"/>
        <v>0</v>
      </c>
      <c r="Q201" s="12">
        <f t="shared" si="129"/>
        <v>0</v>
      </c>
      <c r="R201" s="12">
        <f t="shared" si="129"/>
        <v>0</v>
      </c>
      <c r="S201" s="12">
        <f t="shared" si="130"/>
        <v>0</v>
      </c>
      <c r="T201" s="12">
        <f t="shared" si="129"/>
        <v>0</v>
      </c>
      <c r="U201" s="12">
        <f t="shared" si="129"/>
        <v>0</v>
      </c>
      <c r="V201" s="12">
        <f t="shared" si="129"/>
        <v>0</v>
      </c>
      <c r="W201" s="27" t="str">
        <f t="shared" si="121"/>
        <v>OK</v>
      </c>
    </row>
    <row r="202" spans="1:23" x14ac:dyDescent="0.2">
      <c r="A202" s="3">
        <f t="shared" si="123"/>
        <v>8</v>
      </c>
      <c r="B202" s="3" t="s">
        <v>41</v>
      </c>
      <c r="C202" s="3" t="s">
        <v>42</v>
      </c>
      <c r="D202" s="3" t="str">
        <f t="shared" si="124"/>
        <v>A355</v>
      </c>
      <c r="E202" s="4" t="s">
        <v>592</v>
      </c>
      <c r="F202" s="11"/>
      <c r="G202" s="11"/>
      <c r="H202" s="14">
        <f>'II-I TOTAL COMPANY'!M202</f>
        <v>0</v>
      </c>
      <c r="I202" s="66">
        <v>0</v>
      </c>
      <c r="J202" s="66">
        <f t="shared" si="125"/>
        <v>0</v>
      </c>
      <c r="K202" s="12">
        <f t="shared" si="126"/>
        <v>0</v>
      </c>
      <c r="L202" s="12">
        <f t="shared" si="126"/>
        <v>0</v>
      </c>
      <c r="M202" s="9">
        <f t="shared" si="127"/>
        <v>0</v>
      </c>
      <c r="N202" s="12">
        <f t="shared" si="128"/>
        <v>0</v>
      </c>
      <c r="O202" s="12">
        <f t="shared" si="128"/>
        <v>0</v>
      </c>
      <c r="P202" s="9">
        <f t="shared" si="110"/>
        <v>0</v>
      </c>
      <c r="Q202" s="12">
        <f t="shared" si="129"/>
        <v>0</v>
      </c>
      <c r="R202" s="12">
        <f t="shared" si="129"/>
        <v>0</v>
      </c>
      <c r="S202" s="12">
        <f t="shared" si="130"/>
        <v>0</v>
      </c>
      <c r="T202" s="12">
        <f t="shared" si="129"/>
        <v>0</v>
      </c>
      <c r="U202" s="12">
        <f t="shared" si="129"/>
        <v>0</v>
      </c>
      <c r="V202" s="12">
        <f t="shared" si="129"/>
        <v>0</v>
      </c>
      <c r="W202" s="27" t="str">
        <f t="shared" si="121"/>
        <v>OK</v>
      </c>
    </row>
    <row r="203" spans="1:23" x14ac:dyDescent="0.2">
      <c r="A203" s="3">
        <f t="shared" si="123"/>
        <v>9</v>
      </c>
      <c r="B203" s="3" t="s">
        <v>43</v>
      </c>
      <c r="C203" s="3" t="s">
        <v>44</v>
      </c>
      <c r="D203" s="3" t="str">
        <f t="shared" si="124"/>
        <v>A356</v>
      </c>
      <c r="E203" s="4" t="s">
        <v>592</v>
      </c>
      <c r="F203" s="11"/>
      <c r="G203" s="11"/>
      <c r="H203" s="14">
        <f>'II-I TOTAL COMPANY'!M203</f>
        <v>0</v>
      </c>
      <c r="I203" s="66">
        <v>0</v>
      </c>
      <c r="J203" s="66">
        <f t="shared" si="125"/>
        <v>0</v>
      </c>
      <c r="K203" s="12">
        <f t="shared" si="126"/>
        <v>0</v>
      </c>
      <c r="L203" s="12">
        <f t="shared" si="126"/>
        <v>0</v>
      </c>
      <c r="M203" s="9">
        <f t="shared" si="127"/>
        <v>0</v>
      </c>
      <c r="N203" s="12">
        <f t="shared" si="128"/>
        <v>0</v>
      </c>
      <c r="O203" s="12">
        <f t="shared" si="128"/>
        <v>0</v>
      </c>
      <c r="P203" s="9">
        <f t="shared" si="110"/>
        <v>0</v>
      </c>
      <c r="Q203" s="12">
        <f t="shared" si="129"/>
        <v>0</v>
      </c>
      <c r="R203" s="12">
        <f t="shared" si="129"/>
        <v>0</v>
      </c>
      <c r="S203" s="12">
        <f t="shared" si="130"/>
        <v>0</v>
      </c>
      <c r="T203" s="12">
        <f t="shared" si="129"/>
        <v>0</v>
      </c>
      <c r="U203" s="12">
        <f t="shared" si="129"/>
        <v>0</v>
      </c>
      <c r="V203" s="12">
        <f t="shared" si="129"/>
        <v>0</v>
      </c>
      <c r="W203" s="27" t="str">
        <f t="shared" si="121"/>
        <v>OK</v>
      </c>
    </row>
    <row r="204" spans="1:23" x14ac:dyDescent="0.2">
      <c r="A204" s="3">
        <f t="shared" si="123"/>
        <v>10</v>
      </c>
      <c r="B204" s="3" t="s">
        <v>45</v>
      </c>
      <c r="C204" s="3" t="s">
        <v>46</v>
      </c>
      <c r="D204" s="3" t="str">
        <f t="shared" si="124"/>
        <v>A357</v>
      </c>
      <c r="E204" s="4" t="s">
        <v>592</v>
      </c>
      <c r="F204" s="11"/>
      <c r="G204" s="11"/>
      <c r="H204" s="14">
        <f>'II-I TOTAL COMPANY'!M204</f>
        <v>0</v>
      </c>
      <c r="I204" s="66">
        <v>0</v>
      </c>
      <c r="J204" s="66">
        <f t="shared" si="125"/>
        <v>0</v>
      </c>
      <c r="K204" s="12">
        <f t="shared" si="126"/>
        <v>0</v>
      </c>
      <c r="L204" s="12">
        <f t="shared" si="126"/>
        <v>0</v>
      </c>
      <c r="M204" s="9">
        <f t="shared" si="127"/>
        <v>0</v>
      </c>
      <c r="N204" s="12">
        <f t="shared" si="128"/>
        <v>0</v>
      </c>
      <c r="O204" s="12">
        <f t="shared" si="128"/>
        <v>0</v>
      </c>
      <c r="P204" s="9">
        <f t="shared" si="110"/>
        <v>0</v>
      </c>
      <c r="Q204" s="12">
        <f t="shared" si="129"/>
        <v>0</v>
      </c>
      <c r="R204" s="12">
        <f t="shared" si="129"/>
        <v>0</v>
      </c>
      <c r="S204" s="12">
        <f t="shared" si="130"/>
        <v>0</v>
      </c>
      <c r="T204" s="12">
        <f t="shared" si="129"/>
        <v>0</v>
      </c>
      <c r="U204" s="12">
        <f t="shared" si="129"/>
        <v>0</v>
      </c>
      <c r="V204" s="12">
        <f t="shared" si="129"/>
        <v>0</v>
      </c>
      <c r="W204" s="27" t="str">
        <f t="shared" si="121"/>
        <v>OK</v>
      </c>
    </row>
    <row r="205" spans="1:23" x14ac:dyDescent="0.2">
      <c r="A205" s="3">
        <f t="shared" si="123"/>
        <v>11</v>
      </c>
      <c r="B205" s="3" t="s">
        <v>47</v>
      </c>
      <c r="C205" s="3" t="s">
        <v>48</v>
      </c>
      <c r="D205" s="3" t="str">
        <f t="shared" si="124"/>
        <v>A358</v>
      </c>
      <c r="E205" s="4" t="s">
        <v>592</v>
      </c>
      <c r="F205" s="11"/>
      <c r="G205" s="11"/>
      <c r="H205" s="14">
        <f>'II-I TOTAL COMPANY'!M205</f>
        <v>0</v>
      </c>
      <c r="I205" s="66">
        <v>0</v>
      </c>
      <c r="J205" s="66">
        <f t="shared" si="125"/>
        <v>0</v>
      </c>
      <c r="K205" s="12">
        <f t="shared" si="126"/>
        <v>0</v>
      </c>
      <c r="L205" s="12">
        <f t="shared" si="126"/>
        <v>0</v>
      </c>
      <c r="M205" s="9">
        <f t="shared" si="127"/>
        <v>0</v>
      </c>
      <c r="N205" s="12">
        <f t="shared" si="128"/>
        <v>0</v>
      </c>
      <c r="O205" s="12">
        <f t="shared" si="128"/>
        <v>0</v>
      </c>
      <c r="P205" s="9">
        <f t="shared" si="110"/>
        <v>0</v>
      </c>
      <c r="Q205" s="12">
        <f t="shared" si="129"/>
        <v>0</v>
      </c>
      <c r="R205" s="12">
        <f t="shared" si="129"/>
        <v>0</v>
      </c>
      <c r="S205" s="12">
        <f t="shared" si="130"/>
        <v>0</v>
      </c>
      <c r="T205" s="12">
        <f t="shared" si="129"/>
        <v>0</v>
      </c>
      <c r="U205" s="12">
        <f t="shared" si="129"/>
        <v>0</v>
      </c>
      <c r="V205" s="12">
        <f t="shared" si="129"/>
        <v>0</v>
      </c>
      <c r="W205" s="27" t="str">
        <f t="shared" si="121"/>
        <v>OK</v>
      </c>
    </row>
    <row r="206" spans="1:23" x14ac:dyDescent="0.2">
      <c r="A206" s="3">
        <f t="shared" si="123"/>
        <v>12</v>
      </c>
      <c r="B206" s="3" t="s">
        <v>49</v>
      </c>
      <c r="C206" s="3" t="s">
        <v>50</v>
      </c>
      <c r="D206" s="3" t="str">
        <f t="shared" si="124"/>
        <v>A359</v>
      </c>
      <c r="E206" s="4" t="s">
        <v>592</v>
      </c>
      <c r="F206" s="11"/>
      <c r="G206" s="11"/>
      <c r="H206" s="14">
        <f>'II-I TOTAL COMPANY'!M206</f>
        <v>0</v>
      </c>
      <c r="I206" s="66">
        <v>0</v>
      </c>
      <c r="J206" s="66">
        <f t="shared" si="125"/>
        <v>0</v>
      </c>
      <c r="K206" s="12">
        <f t="shared" si="126"/>
        <v>0</v>
      </c>
      <c r="L206" s="12">
        <f t="shared" si="126"/>
        <v>0</v>
      </c>
      <c r="M206" s="9">
        <f t="shared" si="127"/>
        <v>0</v>
      </c>
      <c r="N206" s="12">
        <f t="shared" si="128"/>
        <v>0</v>
      </c>
      <c r="O206" s="12">
        <f t="shared" si="128"/>
        <v>0</v>
      </c>
      <c r="P206" s="9">
        <f t="shared" si="110"/>
        <v>0</v>
      </c>
      <c r="Q206" s="12">
        <f t="shared" si="129"/>
        <v>0</v>
      </c>
      <c r="R206" s="12">
        <f t="shared" si="129"/>
        <v>0</v>
      </c>
      <c r="S206" s="12">
        <f t="shared" si="130"/>
        <v>0</v>
      </c>
      <c r="T206" s="12">
        <f t="shared" si="129"/>
        <v>0</v>
      </c>
      <c r="U206" s="12">
        <f t="shared" si="129"/>
        <v>0</v>
      </c>
      <c r="V206" s="12">
        <f t="shared" si="129"/>
        <v>0</v>
      </c>
      <c r="W206" s="27" t="str">
        <f t="shared" si="121"/>
        <v>OK</v>
      </c>
    </row>
    <row r="207" spans="1:23" x14ac:dyDescent="0.2">
      <c r="A207" s="3">
        <f t="shared" si="123"/>
        <v>13</v>
      </c>
      <c r="B207" s="3"/>
      <c r="C207" s="3"/>
      <c r="D207" s="3"/>
      <c r="E207" s="4"/>
      <c r="F207" s="4"/>
      <c r="G207" s="4"/>
      <c r="H207" s="14"/>
      <c r="I207" s="66"/>
      <c r="J207" s="66"/>
      <c r="K207" s="12"/>
      <c r="L207" s="12"/>
      <c r="M207" s="12"/>
      <c r="N207" s="12"/>
      <c r="O207" s="12"/>
      <c r="P207" s="9"/>
      <c r="Q207" s="12"/>
      <c r="R207" s="12"/>
      <c r="S207" s="12"/>
      <c r="T207" s="12"/>
      <c r="U207" s="12"/>
      <c r="V207" s="12"/>
      <c r="W207" s="27" t="str">
        <f t="shared" si="121"/>
        <v>OK</v>
      </c>
    </row>
    <row r="208" spans="1:23" x14ac:dyDescent="0.2">
      <c r="A208" s="3">
        <f t="shared" si="123"/>
        <v>14</v>
      </c>
      <c r="B208" s="3"/>
      <c r="C208" s="3" t="s">
        <v>51</v>
      </c>
      <c r="D208" s="3"/>
      <c r="E208" s="4"/>
      <c r="F208" s="8"/>
      <c r="G208" s="8"/>
      <c r="H208" s="8">
        <f>SUM(H198:H206)</f>
        <v>0</v>
      </c>
      <c r="I208" s="8">
        <f>SUM(I198:I206)</f>
        <v>0</v>
      </c>
      <c r="J208" s="66">
        <f t="shared" si="125"/>
        <v>0</v>
      </c>
      <c r="K208" s="8">
        <f>SUM(K198:K206)</f>
        <v>0</v>
      </c>
      <c r="L208" s="8">
        <f>SUM(L198:L206)</f>
        <v>0</v>
      </c>
      <c r="M208" s="9">
        <f>SUM(N208:O208)</f>
        <v>0</v>
      </c>
      <c r="N208" s="8">
        <f>SUM(N198:N206)</f>
        <v>0</v>
      </c>
      <c r="O208" s="8">
        <f>SUM(O198:O206)</f>
        <v>0</v>
      </c>
      <c r="P208" s="9">
        <f t="shared" si="110"/>
        <v>0</v>
      </c>
      <c r="Q208" s="8">
        <f t="shared" ref="Q208:V208" si="131">SUM(Q198:Q206)</f>
        <v>0</v>
      </c>
      <c r="R208" s="8">
        <f t="shared" si="131"/>
        <v>0</v>
      </c>
      <c r="S208" s="8">
        <f t="shared" si="131"/>
        <v>0</v>
      </c>
      <c r="T208" s="8">
        <f t="shared" si="131"/>
        <v>0</v>
      </c>
      <c r="U208" s="8">
        <f t="shared" si="131"/>
        <v>0</v>
      </c>
      <c r="V208" s="8">
        <f t="shared" si="131"/>
        <v>0</v>
      </c>
      <c r="W208" s="27" t="str">
        <f t="shared" si="121"/>
        <v>OK</v>
      </c>
    </row>
    <row r="209" spans="1:23" x14ac:dyDescent="0.2">
      <c r="A209" s="3">
        <f t="shared" si="123"/>
        <v>15</v>
      </c>
      <c r="B209" s="3"/>
      <c r="C209" s="3"/>
      <c r="D209" s="3"/>
      <c r="E209" s="4"/>
      <c r="F209" s="4"/>
      <c r="G209" s="4"/>
      <c r="H209" s="8"/>
      <c r="I209" s="8"/>
      <c r="J209" s="8"/>
      <c r="K209" s="8"/>
      <c r="L209" s="8"/>
      <c r="M209" s="8"/>
      <c r="N209" s="8"/>
      <c r="O209" s="8"/>
      <c r="P209" s="9"/>
      <c r="Q209" s="8"/>
      <c r="R209" s="8"/>
      <c r="S209" s="8"/>
      <c r="T209" s="8"/>
      <c r="U209" s="8"/>
      <c r="V209" s="8"/>
      <c r="W209" s="27" t="str">
        <f t="shared" si="121"/>
        <v>OK</v>
      </c>
    </row>
    <row r="210" spans="1:23" x14ac:dyDescent="0.2">
      <c r="A210" s="3">
        <f t="shared" si="123"/>
        <v>16</v>
      </c>
      <c r="B210" s="3" t="s">
        <v>52</v>
      </c>
      <c r="C210" s="3"/>
      <c r="D210" s="3"/>
      <c r="E210" s="4"/>
      <c r="F210" s="4"/>
      <c r="G210" s="4"/>
      <c r="H210" s="8"/>
      <c r="I210" s="8"/>
      <c r="J210" s="8"/>
      <c r="K210" s="8"/>
      <c r="L210" s="8"/>
      <c r="M210" s="8"/>
      <c r="N210" s="8"/>
      <c r="O210" s="8"/>
      <c r="P210" s="9">
        <f t="shared" si="110"/>
        <v>0</v>
      </c>
      <c r="Q210" s="8"/>
      <c r="R210" s="8"/>
      <c r="S210" s="8"/>
      <c r="T210" s="8"/>
      <c r="U210" s="8"/>
      <c r="V210" s="8"/>
      <c r="W210" s="27" t="str">
        <f t="shared" si="121"/>
        <v>OK</v>
      </c>
    </row>
    <row r="211" spans="1:23" x14ac:dyDescent="0.2">
      <c r="A211" s="3">
        <f t="shared" si="123"/>
        <v>17</v>
      </c>
      <c r="B211" s="3" t="s">
        <v>53</v>
      </c>
      <c r="C211" s="3" t="s">
        <v>35</v>
      </c>
      <c r="D211" s="3" t="str">
        <f t="shared" ref="D211:D224" si="132">B211</f>
        <v>A360</v>
      </c>
      <c r="E211" s="4" t="s">
        <v>592</v>
      </c>
      <c r="F211" s="11"/>
      <c r="G211" s="11"/>
      <c r="H211" s="14">
        <f>'II-I TOTAL COMPANY'!M211</f>
        <v>0</v>
      </c>
      <c r="I211" s="66">
        <v>0</v>
      </c>
      <c r="J211" s="66">
        <f t="shared" ref="J211:J225" si="133">SUM(K211:V211)-M211-P211</f>
        <v>0</v>
      </c>
      <c r="K211" s="12">
        <f t="shared" ref="K211:L214" si="134">IF($H114&lt;&gt;0,(K114/$H114)*$H211,0)</f>
        <v>0</v>
      </c>
      <c r="L211" s="12">
        <f t="shared" si="134"/>
        <v>0</v>
      </c>
      <c r="M211" s="9">
        <f t="shared" ref="M211:M224" si="135">SUM(N211:O211)</f>
        <v>0</v>
      </c>
      <c r="N211" s="12">
        <f t="shared" ref="N211:O214" si="136">IF($H114&lt;&gt;0,(N114/$H114)*$H211,0)</f>
        <v>0</v>
      </c>
      <c r="O211" s="12">
        <f t="shared" si="136"/>
        <v>0</v>
      </c>
      <c r="P211" s="9">
        <f t="shared" si="110"/>
        <v>0</v>
      </c>
      <c r="Q211" s="12">
        <f t="shared" ref="Q211:V214" si="137">IF($H114&lt;&gt;0,(Q114/$H114)*$H211,0)</f>
        <v>0</v>
      </c>
      <c r="R211" s="12">
        <f t="shared" si="137"/>
        <v>0</v>
      </c>
      <c r="S211" s="12">
        <f>IF($H114&lt;&gt;0,(S114/$H114)*$H211,0)</f>
        <v>0</v>
      </c>
      <c r="T211" s="12">
        <f t="shared" si="137"/>
        <v>0</v>
      </c>
      <c r="U211" s="12">
        <f t="shared" si="137"/>
        <v>0</v>
      </c>
      <c r="V211" s="12">
        <f t="shared" si="137"/>
        <v>0</v>
      </c>
      <c r="W211" s="27" t="str">
        <f t="shared" si="121"/>
        <v>OK</v>
      </c>
    </row>
    <row r="212" spans="1:23" x14ac:dyDescent="0.2">
      <c r="A212" s="3">
        <f t="shared" si="123"/>
        <v>18</v>
      </c>
      <c r="B212" s="3" t="s">
        <v>54</v>
      </c>
      <c r="C212" s="3" t="s">
        <v>31</v>
      </c>
      <c r="D212" s="3" t="str">
        <f t="shared" si="132"/>
        <v>A361</v>
      </c>
      <c r="E212" s="4" t="s">
        <v>592</v>
      </c>
      <c r="F212" s="11"/>
      <c r="G212" s="11"/>
      <c r="H212" s="14">
        <f>'II-I TOTAL COMPANY'!M212</f>
        <v>0</v>
      </c>
      <c r="I212" s="66">
        <v>0</v>
      </c>
      <c r="J212" s="66">
        <f t="shared" si="133"/>
        <v>0</v>
      </c>
      <c r="K212" s="12">
        <f t="shared" si="134"/>
        <v>0</v>
      </c>
      <c r="L212" s="12">
        <f t="shared" si="134"/>
        <v>0</v>
      </c>
      <c r="M212" s="9">
        <f t="shared" si="135"/>
        <v>0</v>
      </c>
      <c r="N212" s="12">
        <f t="shared" si="136"/>
        <v>0</v>
      </c>
      <c r="O212" s="12">
        <f t="shared" si="136"/>
        <v>0</v>
      </c>
      <c r="P212" s="9">
        <f t="shared" ref="P212:P270" si="138">SUM(Q212:S212)</f>
        <v>0</v>
      </c>
      <c r="Q212" s="12">
        <f t="shared" si="137"/>
        <v>0</v>
      </c>
      <c r="R212" s="12">
        <f t="shared" si="137"/>
        <v>0</v>
      </c>
      <c r="S212" s="12">
        <f>IF($H115&lt;&gt;0,(S115/$H115)*$H212,0)</f>
        <v>0</v>
      </c>
      <c r="T212" s="12">
        <f t="shared" si="137"/>
        <v>0</v>
      </c>
      <c r="U212" s="12">
        <f t="shared" si="137"/>
        <v>0</v>
      </c>
      <c r="V212" s="12">
        <f t="shared" si="137"/>
        <v>0</v>
      </c>
      <c r="W212" s="27" t="str">
        <f t="shared" si="121"/>
        <v>OK</v>
      </c>
    </row>
    <row r="213" spans="1:23" x14ac:dyDescent="0.2">
      <c r="A213" s="3">
        <f t="shared" si="123"/>
        <v>19</v>
      </c>
      <c r="B213" s="3" t="s">
        <v>55</v>
      </c>
      <c r="C213" s="3" t="s">
        <v>38</v>
      </c>
      <c r="D213" s="3" t="str">
        <f t="shared" si="132"/>
        <v>A362</v>
      </c>
      <c r="E213" s="4" t="s">
        <v>592</v>
      </c>
      <c r="F213" s="11"/>
      <c r="G213" s="11"/>
      <c r="H213" s="14">
        <f>'II-I TOTAL COMPANY'!M213</f>
        <v>0</v>
      </c>
      <c r="I213" s="66">
        <v>0</v>
      </c>
      <c r="J213" s="66">
        <f t="shared" si="133"/>
        <v>0</v>
      </c>
      <c r="K213" s="12">
        <f t="shared" si="134"/>
        <v>0</v>
      </c>
      <c r="L213" s="12">
        <f t="shared" si="134"/>
        <v>0</v>
      </c>
      <c r="M213" s="9">
        <f t="shared" si="135"/>
        <v>0</v>
      </c>
      <c r="N213" s="12">
        <f t="shared" si="136"/>
        <v>0</v>
      </c>
      <c r="O213" s="12">
        <f t="shared" si="136"/>
        <v>0</v>
      </c>
      <c r="P213" s="9">
        <f t="shared" si="138"/>
        <v>0</v>
      </c>
      <c r="Q213" s="12">
        <f t="shared" si="137"/>
        <v>0</v>
      </c>
      <c r="R213" s="12">
        <f t="shared" si="137"/>
        <v>0</v>
      </c>
      <c r="S213" s="12">
        <f>IF($H116&lt;&gt;0,(S116/$H116)*$H213,0)</f>
        <v>0</v>
      </c>
      <c r="T213" s="12">
        <f t="shared" si="137"/>
        <v>0</v>
      </c>
      <c r="U213" s="12">
        <f t="shared" si="137"/>
        <v>0</v>
      </c>
      <c r="V213" s="12">
        <f t="shared" si="137"/>
        <v>0</v>
      </c>
      <c r="W213" s="27" t="str">
        <f t="shared" si="121"/>
        <v>OK</v>
      </c>
    </row>
    <row r="214" spans="1:23" x14ac:dyDescent="0.2">
      <c r="A214" s="3">
        <f t="shared" si="123"/>
        <v>20</v>
      </c>
      <c r="B214" s="3" t="s">
        <v>56</v>
      </c>
      <c r="C214" s="3" t="s">
        <v>57</v>
      </c>
      <c r="D214" s="3" t="str">
        <f t="shared" si="132"/>
        <v>A363</v>
      </c>
      <c r="E214" s="4" t="s">
        <v>592</v>
      </c>
      <c r="F214" s="11"/>
      <c r="G214" s="11"/>
      <c r="H214" s="14">
        <f>'II-I TOTAL COMPANY'!M214</f>
        <v>0</v>
      </c>
      <c r="I214" s="66">
        <v>0</v>
      </c>
      <c r="J214" s="66">
        <f t="shared" si="133"/>
        <v>0</v>
      </c>
      <c r="K214" s="12">
        <f t="shared" si="134"/>
        <v>0</v>
      </c>
      <c r="L214" s="12">
        <f t="shared" si="134"/>
        <v>0</v>
      </c>
      <c r="M214" s="9">
        <f t="shared" si="135"/>
        <v>0</v>
      </c>
      <c r="N214" s="12">
        <f t="shared" si="136"/>
        <v>0</v>
      </c>
      <c r="O214" s="12">
        <f t="shared" si="136"/>
        <v>0</v>
      </c>
      <c r="P214" s="9">
        <f t="shared" si="138"/>
        <v>0</v>
      </c>
      <c r="Q214" s="12">
        <f t="shared" si="137"/>
        <v>0</v>
      </c>
      <c r="R214" s="12">
        <f t="shared" si="137"/>
        <v>0</v>
      </c>
      <c r="S214" s="12">
        <f>IF($H117&lt;&gt;0,(S117/$H117)*$H214,0)</f>
        <v>0</v>
      </c>
      <c r="T214" s="12">
        <f t="shared" si="137"/>
        <v>0</v>
      </c>
      <c r="U214" s="12">
        <f t="shared" si="137"/>
        <v>0</v>
      </c>
      <c r="V214" s="12">
        <f t="shared" si="137"/>
        <v>0</v>
      </c>
      <c r="W214" s="27" t="str">
        <f t="shared" si="121"/>
        <v>OK</v>
      </c>
    </row>
    <row r="215" spans="1:23" x14ac:dyDescent="0.2">
      <c r="A215" s="3">
        <f t="shared" si="123"/>
        <v>21</v>
      </c>
      <c r="B215" s="3" t="s">
        <v>58</v>
      </c>
      <c r="C215" s="3" t="s">
        <v>59</v>
      </c>
      <c r="D215" s="3" t="str">
        <f t="shared" si="132"/>
        <v>A364</v>
      </c>
      <c r="E215" s="4" t="s">
        <v>592</v>
      </c>
      <c r="F215" s="11"/>
      <c r="G215" s="11"/>
      <c r="H215" s="14">
        <f>'II-I TOTAL COMPANY'!M215</f>
        <v>0</v>
      </c>
      <c r="I215" s="66">
        <v>0</v>
      </c>
      <c r="J215" s="66">
        <f t="shared" si="133"/>
        <v>0</v>
      </c>
      <c r="K215" s="12">
        <f>IF($H121&lt;&gt;0,(K121/$H121)*$H215,0)</f>
        <v>0</v>
      </c>
      <c r="L215" s="12">
        <f>IF($H121&lt;&gt;0,(L121/$H121)*$H215,0)</f>
        <v>0</v>
      </c>
      <c r="M215" s="9">
        <f t="shared" si="135"/>
        <v>0</v>
      </c>
      <c r="N215" s="12">
        <f>IF($H121&lt;&gt;0,(N121/$H121)*$H215,0)</f>
        <v>0</v>
      </c>
      <c r="O215" s="12">
        <f>IF($H121&lt;&gt;0,(O121/$H121)*$H215,0)</f>
        <v>0</v>
      </c>
      <c r="P215" s="9">
        <f t="shared" si="138"/>
        <v>0</v>
      </c>
      <c r="Q215" s="12">
        <f t="shared" ref="Q215:V215" si="139">IF($H121&lt;&gt;0,(Q121/$H121)*$H215,0)</f>
        <v>0</v>
      </c>
      <c r="R215" s="12">
        <f t="shared" si="139"/>
        <v>0</v>
      </c>
      <c r="S215" s="12">
        <f t="shared" si="139"/>
        <v>0</v>
      </c>
      <c r="T215" s="12">
        <f t="shared" si="139"/>
        <v>0</v>
      </c>
      <c r="U215" s="12">
        <f t="shared" si="139"/>
        <v>0</v>
      </c>
      <c r="V215" s="12">
        <f t="shared" si="139"/>
        <v>0</v>
      </c>
      <c r="W215" s="27" t="str">
        <f t="shared" si="121"/>
        <v>OK</v>
      </c>
    </row>
    <row r="216" spans="1:23" x14ac:dyDescent="0.2">
      <c r="A216" s="3">
        <f t="shared" si="123"/>
        <v>22</v>
      </c>
      <c r="B216" s="3" t="s">
        <v>63</v>
      </c>
      <c r="C216" s="3" t="s">
        <v>44</v>
      </c>
      <c r="D216" s="3" t="str">
        <f t="shared" si="132"/>
        <v>A365</v>
      </c>
      <c r="E216" s="4" t="s">
        <v>592</v>
      </c>
      <c r="F216" s="11"/>
      <c r="G216" s="11"/>
      <c r="H216" s="14">
        <f>'II-I TOTAL COMPANY'!M216</f>
        <v>0</v>
      </c>
      <c r="I216" s="66">
        <v>0</v>
      </c>
      <c r="J216" s="66">
        <f t="shared" si="133"/>
        <v>0</v>
      </c>
      <c r="K216" s="12">
        <f>IF($H125&lt;&gt;0,(K125/$H125)*$H216,0)</f>
        <v>0</v>
      </c>
      <c r="L216" s="12">
        <f>IF($H125&lt;&gt;0,(L125/$H125)*$H216,0)</f>
        <v>0</v>
      </c>
      <c r="M216" s="9">
        <f t="shared" si="135"/>
        <v>0</v>
      </c>
      <c r="N216" s="12">
        <f>IF($H125&lt;&gt;0,(N125/$H125)*$H216,0)</f>
        <v>0</v>
      </c>
      <c r="O216" s="12">
        <f>IF($H125&lt;&gt;0,(O125/$H125)*$H216,0)</f>
        <v>0</v>
      </c>
      <c r="P216" s="9">
        <f t="shared" si="138"/>
        <v>0</v>
      </c>
      <c r="Q216" s="12">
        <f t="shared" ref="Q216:V216" si="140">IF($H125&lt;&gt;0,(Q125/$H125)*$H216,0)</f>
        <v>0</v>
      </c>
      <c r="R216" s="12">
        <f t="shared" si="140"/>
        <v>0</v>
      </c>
      <c r="S216" s="12">
        <f t="shared" si="140"/>
        <v>0</v>
      </c>
      <c r="T216" s="12">
        <f t="shared" si="140"/>
        <v>0</v>
      </c>
      <c r="U216" s="12">
        <f t="shared" si="140"/>
        <v>0</v>
      </c>
      <c r="V216" s="12">
        <f t="shared" si="140"/>
        <v>0</v>
      </c>
      <c r="W216" s="27" t="str">
        <f t="shared" si="121"/>
        <v>OK</v>
      </c>
    </row>
    <row r="217" spans="1:23" x14ac:dyDescent="0.2">
      <c r="A217" s="3">
        <f t="shared" si="123"/>
        <v>23</v>
      </c>
      <c r="B217" s="3" t="s">
        <v>64</v>
      </c>
      <c r="C217" s="3" t="s">
        <v>65</v>
      </c>
      <c r="D217" s="3" t="str">
        <f t="shared" si="132"/>
        <v>A366</v>
      </c>
      <c r="E217" s="4" t="s">
        <v>592</v>
      </c>
      <c r="F217" s="11"/>
      <c r="G217" s="11"/>
      <c r="H217" s="14">
        <f>'II-I TOTAL COMPANY'!M217</f>
        <v>0</v>
      </c>
      <c r="I217" s="66">
        <v>0</v>
      </c>
      <c r="J217" s="66">
        <f t="shared" si="133"/>
        <v>0</v>
      </c>
      <c r="K217" s="12">
        <f>IF($H127&lt;&gt;0,(K130/$H130)*$H217,0)</f>
        <v>0</v>
      </c>
      <c r="L217" s="12">
        <f>IF($H127&lt;&gt;0,(L130/$H130)*$H217,0)</f>
        <v>0</v>
      </c>
      <c r="M217" s="9">
        <f t="shared" si="135"/>
        <v>0</v>
      </c>
      <c r="N217" s="12">
        <f>IF($H127&lt;&gt;0,(N130/$H130)*$H217,0)</f>
        <v>0</v>
      </c>
      <c r="O217" s="12">
        <f>IF($H127&lt;&gt;0,(O130/$H130)*$H217,0)</f>
        <v>0</v>
      </c>
      <c r="P217" s="9">
        <f t="shared" si="138"/>
        <v>0</v>
      </c>
      <c r="Q217" s="12">
        <f t="shared" ref="Q217:V217" si="141">IF($H127&lt;&gt;0,(Q130/$H130)*$H217,0)</f>
        <v>0</v>
      </c>
      <c r="R217" s="12">
        <f t="shared" si="141"/>
        <v>0</v>
      </c>
      <c r="S217" s="12">
        <f t="shared" si="141"/>
        <v>0</v>
      </c>
      <c r="T217" s="12">
        <f t="shared" si="141"/>
        <v>0</v>
      </c>
      <c r="U217" s="12">
        <f t="shared" si="141"/>
        <v>0</v>
      </c>
      <c r="V217" s="12">
        <f t="shared" si="141"/>
        <v>0</v>
      </c>
      <c r="W217" s="27" t="str">
        <f t="shared" si="121"/>
        <v>OK</v>
      </c>
    </row>
    <row r="218" spans="1:23" x14ac:dyDescent="0.2">
      <c r="A218" s="3">
        <f t="shared" si="123"/>
        <v>24</v>
      </c>
      <c r="B218" s="3" t="s">
        <v>66</v>
      </c>
      <c r="C218" s="3" t="s">
        <v>67</v>
      </c>
      <c r="D218" s="3" t="str">
        <f t="shared" si="132"/>
        <v>A367</v>
      </c>
      <c r="E218" s="4" t="s">
        <v>592</v>
      </c>
      <c r="F218" s="11"/>
      <c r="G218" s="11"/>
      <c r="H218" s="14">
        <f>'II-I TOTAL COMPANY'!M218</f>
        <v>0</v>
      </c>
      <c r="I218" s="66">
        <v>0</v>
      </c>
      <c r="J218" s="66">
        <f t="shared" si="133"/>
        <v>0</v>
      </c>
      <c r="K218" s="12">
        <f>IF($H135&lt;&gt;0,(K135/$H135)*$H218,0)</f>
        <v>0</v>
      </c>
      <c r="L218" s="12">
        <f>IF($H135&lt;&gt;0,(L135/$H135)*$H218,0)</f>
        <v>0</v>
      </c>
      <c r="M218" s="9">
        <f t="shared" si="135"/>
        <v>0</v>
      </c>
      <c r="N218" s="12">
        <f>IF($H135&lt;&gt;0,(N135/$H135)*$H218,0)</f>
        <v>0</v>
      </c>
      <c r="O218" s="12">
        <f>IF($H135&lt;&gt;0,(O135/$H135)*$H218,0)</f>
        <v>0</v>
      </c>
      <c r="P218" s="9">
        <f t="shared" si="138"/>
        <v>0</v>
      </c>
      <c r="Q218" s="12">
        <f t="shared" ref="Q218:V218" si="142">IF($H135&lt;&gt;0,(Q135/$H135)*$H218,0)</f>
        <v>0</v>
      </c>
      <c r="R218" s="12">
        <f t="shared" si="142"/>
        <v>0</v>
      </c>
      <c r="S218" s="12">
        <f t="shared" si="142"/>
        <v>0</v>
      </c>
      <c r="T218" s="12">
        <f t="shared" si="142"/>
        <v>0</v>
      </c>
      <c r="U218" s="12">
        <f t="shared" si="142"/>
        <v>0</v>
      </c>
      <c r="V218" s="12">
        <f t="shared" si="142"/>
        <v>0</v>
      </c>
      <c r="W218" s="27" t="str">
        <f t="shared" si="121"/>
        <v>OK</v>
      </c>
    </row>
    <row r="219" spans="1:23" x14ac:dyDescent="0.2">
      <c r="A219" s="3">
        <f t="shared" si="123"/>
        <v>25</v>
      </c>
      <c r="B219" s="3" t="s">
        <v>69</v>
      </c>
      <c r="C219" s="3" t="s">
        <v>70</v>
      </c>
      <c r="D219" s="3" t="str">
        <f t="shared" si="132"/>
        <v>A368</v>
      </c>
      <c r="E219" s="4" t="s">
        <v>592</v>
      </c>
      <c r="F219" s="11"/>
      <c r="G219" s="11"/>
      <c r="H219" s="14">
        <f>'II-I TOTAL COMPANY'!M219</f>
        <v>0</v>
      </c>
      <c r="I219" s="66">
        <v>0</v>
      </c>
      <c r="J219" s="66">
        <f t="shared" si="133"/>
        <v>0</v>
      </c>
      <c r="K219" s="12">
        <f>IF($H139&lt;&gt;0,(K139/$H139)*$H219,0)</f>
        <v>0</v>
      </c>
      <c r="L219" s="12">
        <f>IF($H139&lt;&gt;0,(L139/$H139)*$H219,0)</f>
        <v>0</v>
      </c>
      <c r="M219" s="9">
        <f t="shared" si="135"/>
        <v>0</v>
      </c>
      <c r="N219" s="12">
        <f>IF($H139&lt;&gt;0,(N139/$H139)*$H219,0)</f>
        <v>0</v>
      </c>
      <c r="O219" s="12">
        <f>IF($H139&lt;&gt;0,(O139/$H139)*$H219,0)</f>
        <v>0</v>
      </c>
      <c r="P219" s="9">
        <f t="shared" si="138"/>
        <v>0</v>
      </c>
      <c r="Q219" s="12">
        <f t="shared" ref="Q219:V219" si="143">IF($H139&lt;&gt;0,(Q139/$H139)*$H219,0)</f>
        <v>0</v>
      </c>
      <c r="R219" s="12">
        <f t="shared" si="143"/>
        <v>0</v>
      </c>
      <c r="S219" s="12">
        <f t="shared" si="143"/>
        <v>0</v>
      </c>
      <c r="T219" s="12">
        <f t="shared" si="143"/>
        <v>0</v>
      </c>
      <c r="U219" s="12">
        <f t="shared" si="143"/>
        <v>0</v>
      </c>
      <c r="V219" s="12">
        <f t="shared" si="143"/>
        <v>0</v>
      </c>
      <c r="W219" s="27" t="str">
        <f t="shared" si="121"/>
        <v>OK</v>
      </c>
    </row>
    <row r="220" spans="1:23" x14ac:dyDescent="0.2">
      <c r="A220" s="3">
        <f t="shared" si="123"/>
        <v>26</v>
      </c>
      <c r="B220" s="3" t="s">
        <v>72</v>
      </c>
      <c r="C220" s="3" t="s">
        <v>73</v>
      </c>
      <c r="D220" s="3" t="str">
        <f t="shared" si="132"/>
        <v>A369</v>
      </c>
      <c r="E220" s="4" t="s">
        <v>592</v>
      </c>
      <c r="F220" s="11"/>
      <c r="G220" s="11"/>
      <c r="H220" s="14">
        <f>'II-I TOTAL COMPANY'!M220</f>
        <v>0</v>
      </c>
      <c r="I220" s="66">
        <v>0</v>
      </c>
      <c r="J220" s="66">
        <f t="shared" si="133"/>
        <v>0</v>
      </c>
      <c r="K220" s="12">
        <f t="shared" ref="K220:L225" si="144">IF($H141&lt;&gt;0,(K141/$H141)*$H220,0)</f>
        <v>0</v>
      </c>
      <c r="L220" s="12">
        <f t="shared" si="144"/>
        <v>0</v>
      </c>
      <c r="M220" s="9">
        <f t="shared" si="135"/>
        <v>0</v>
      </c>
      <c r="N220" s="12">
        <f t="shared" ref="N220:O225" si="145">IF($H141&lt;&gt;0,(N141/$H141)*$H220,0)</f>
        <v>0</v>
      </c>
      <c r="O220" s="12">
        <f t="shared" si="145"/>
        <v>0</v>
      </c>
      <c r="P220" s="9">
        <f t="shared" si="138"/>
        <v>0</v>
      </c>
      <c r="Q220" s="12">
        <f t="shared" ref="Q220:V225" si="146">IF($H141&lt;&gt;0,(Q141/$H141)*$H220,0)</f>
        <v>0</v>
      </c>
      <c r="R220" s="12">
        <f t="shared" si="146"/>
        <v>0</v>
      </c>
      <c r="S220" s="12">
        <f t="shared" ref="S220:S225" si="147">IF($H141&lt;&gt;0,(S141/$H141)*$H220,0)</f>
        <v>0</v>
      </c>
      <c r="T220" s="12">
        <f t="shared" si="146"/>
        <v>0</v>
      </c>
      <c r="U220" s="12">
        <f t="shared" si="146"/>
        <v>0</v>
      </c>
      <c r="V220" s="12">
        <f t="shared" si="146"/>
        <v>0</v>
      </c>
      <c r="W220" s="27" t="str">
        <f t="shared" si="121"/>
        <v>OK</v>
      </c>
    </row>
    <row r="221" spans="1:23" x14ac:dyDescent="0.2">
      <c r="A221" s="3">
        <f t="shared" si="123"/>
        <v>27</v>
      </c>
      <c r="B221" s="3" t="s">
        <v>74</v>
      </c>
      <c r="C221" s="3" t="s">
        <v>75</v>
      </c>
      <c r="D221" s="3" t="str">
        <f t="shared" si="132"/>
        <v>A370</v>
      </c>
      <c r="E221" s="4" t="s">
        <v>592</v>
      </c>
      <c r="F221" s="11"/>
      <c r="G221" s="11"/>
      <c r="H221" s="14">
        <f>'II-I TOTAL COMPANY'!M221</f>
        <v>0</v>
      </c>
      <c r="I221" s="66">
        <v>0</v>
      </c>
      <c r="J221" s="66">
        <f t="shared" si="133"/>
        <v>0</v>
      </c>
      <c r="K221" s="12">
        <f t="shared" si="144"/>
        <v>0</v>
      </c>
      <c r="L221" s="12">
        <f t="shared" si="144"/>
        <v>0</v>
      </c>
      <c r="M221" s="9">
        <f t="shared" si="135"/>
        <v>0</v>
      </c>
      <c r="N221" s="12">
        <f t="shared" si="145"/>
        <v>0</v>
      </c>
      <c r="O221" s="12">
        <f t="shared" si="145"/>
        <v>0</v>
      </c>
      <c r="P221" s="9">
        <f t="shared" si="138"/>
        <v>0</v>
      </c>
      <c r="Q221" s="12">
        <f t="shared" si="146"/>
        <v>0</v>
      </c>
      <c r="R221" s="12">
        <f t="shared" si="146"/>
        <v>0</v>
      </c>
      <c r="S221" s="12">
        <f t="shared" si="147"/>
        <v>0</v>
      </c>
      <c r="T221" s="12">
        <f t="shared" si="146"/>
        <v>0</v>
      </c>
      <c r="U221" s="12">
        <f t="shared" si="146"/>
        <v>0</v>
      </c>
      <c r="V221" s="12">
        <f t="shared" si="146"/>
        <v>0</v>
      </c>
      <c r="W221" s="27" t="str">
        <f t="shared" ref="W221:W252" si="148">IF((+K221+L221+M221+P221+T221+U221+V221)-H221=0,"OK",(+K221+L221+M221+P221+T221+U221+V221)-H221)</f>
        <v>OK</v>
      </c>
    </row>
    <row r="222" spans="1:23" x14ac:dyDescent="0.2">
      <c r="A222" s="3">
        <f t="shared" si="123"/>
        <v>28</v>
      </c>
      <c r="B222" s="3" t="s">
        <v>76</v>
      </c>
      <c r="C222" s="3" t="s">
        <v>77</v>
      </c>
      <c r="D222" s="3" t="str">
        <f t="shared" si="132"/>
        <v>A371</v>
      </c>
      <c r="E222" s="4" t="s">
        <v>592</v>
      </c>
      <c r="F222" s="11"/>
      <c r="G222" s="11"/>
      <c r="H222" s="14">
        <f>'II-I TOTAL COMPANY'!M222</f>
        <v>0</v>
      </c>
      <c r="I222" s="66">
        <v>0</v>
      </c>
      <c r="J222" s="66">
        <f t="shared" si="133"/>
        <v>0</v>
      </c>
      <c r="K222" s="12">
        <f t="shared" si="144"/>
        <v>0</v>
      </c>
      <c r="L222" s="12">
        <f t="shared" si="144"/>
        <v>0</v>
      </c>
      <c r="M222" s="9">
        <f t="shared" si="135"/>
        <v>0</v>
      </c>
      <c r="N222" s="12">
        <f t="shared" si="145"/>
        <v>0</v>
      </c>
      <c r="O222" s="12">
        <f t="shared" si="145"/>
        <v>0</v>
      </c>
      <c r="P222" s="9">
        <f t="shared" si="138"/>
        <v>0</v>
      </c>
      <c r="Q222" s="12">
        <f t="shared" si="146"/>
        <v>0</v>
      </c>
      <c r="R222" s="12">
        <f t="shared" si="146"/>
        <v>0</v>
      </c>
      <c r="S222" s="12">
        <f t="shared" si="147"/>
        <v>0</v>
      </c>
      <c r="T222" s="12">
        <f t="shared" si="146"/>
        <v>0</v>
      </c>
      <c r="U222" s="12">
        <f t="shared" si="146"/>
        <v>0</v>
      </c>
      <c r="V222" s="12">
        <f t="shared" si="146"/>
        <v>0</v>
      </c>
      <c r="W222" s="27" t="str">
        <f t="shared" si="148"/>
        <v>OK</v>
      </c>
    </row>
    <row r="223" spans="1:23" x14ac:dyDescent="0.2">
      <c r="A223" s="3">
        <f t="shared" si="123"/>
        <v>29</v>
      </c>
      <c r="B223" s="3" t="s">
        <v>78</v>
      </c>
      <c r="C223" s="3" t="s">
        <v>79</v>
      </c>
      <c r="D223" s="3" t="str">
        <f t="shared" si="132"/>
        <v>A372</v>
      </c>
      <c r="E223" s="4" t="s">
        <v>592</v>
      </c>
      <c r="F223" s="11"/>
      <c r="G223" s="11"/>
      <c r="H223" s="14">
        <f>'II-I TOTAL COMPANY'!M223</f>
        <v>0</v>
      </c>
      <c r="I223" s="66">
        <v>0</v>
      </c>
      <c r="J223" s="66">
        <f t="shared" si="133"/>
        <v>0</v>
      </c>
      <c r="K223" s="12">
        <f t="shared" si="144"/>
        <v>0</v>
      </c>
      <c r="L223" s="12">
        <f t="shared" si="144"/>
        <v>0</v>
      </c>
      <c r="M223" s="9">
        <f t="shared" si="135"/>
        <v>0</v>
      </c>
      <c r="N223" s="12">
        <f t="shared" si="145"/>
        <v>0</v>
      </c>
      <c r="O223" s="12">
        <f t="shared" si="145"/>
        <v>0</v>
      </c>
      <c r="P223" s="9">
        <f t="shared" si="138"/>
        <v>0</v>
      </c>
      <c r="Q223" s="12">
        <f t="shared" si="146"/>
        <v>0</v>
      </c>
      <c r="R223" s="12">
        <f t="shared" si="146"/>
        <v>0</v>
      </c>
      <c r="S223" s="12">
        <f t="shared" si="147"/>
        <v>0</v>
      </c>
      <c r="T223" s="12">
        <f t="shared" si="146"/>
        <v>0</v>
      </c>
      <c r="U223" s="12">
        <f t="shared" si="146"/>
        <v>0</v>
      </c>
      <c r="V223" s="12">
        <f t="shared" si="146"/>
        <v>0</v>
      </c>
      <c r="W223" s="27" t="str">
        <f t="shared" si="148"/>
        <v>OK</v>
      </c>
    </row>
    <row r="224" spans="1:23" x14ac:dyDescent="0.2">
      <c r="A224" s="3">
        <f t="shared" si="123"/>
        <v>30</v>
      </c>
      <c r="B224" s="3" t="s">
        <v>80</v>
      </c>
      <c r="C224" s="3" t="s">
        <v>81</v>
      </c>
      <c r="D224" s="3" t="str">
        <f t="shared" si="132"/>
        <v>A373</v>
      </c>
      <c r="E224" s="4" t="s">
        <v>592</v>
      </c>
      <c r="F224" s="11"/>
      <c r="G224" s="11"/>
      <c r="H224" s="14">
        <f>'II-I TOTAL COMPANY'!M224</f>
        <v>0</v>
      </c>
      <c r="I224" s="66">
        <v>0</v>
      </c>
      <c r="J224" s="66">
        <f t="shared" si="133"/>
        <v>0</v>
      </c>
      <c r="K224" s="12">
        <f t="shared" si="144"/>
        <v>0</v>
      </c>
      <c r="L224" s="12">
        <f t="shared" si="144"/>
        <v>0</v>
      </c>
      <c r="M224" s="9">
        <f t="shared" si="135"/>
        <v>0</v>
      </c>
      <c r="N224" s="12">
        <f t="shared" si="145"/>
        <v>0</v>
      </c>
      <c r="O224" s="12">
        <f t="shared" si="145"/>
        <v>0</v>
      </c>
      <c r="P224" s="9">
        <f t="shared" si="138"/>
        <v>0</v>
      </c>
      <c r="Q224" s="12">
        <f t="shared" si="146"/>
        <v>0</v>
      </c>
      <c r="R224" s="12">
        <f t="shared" si="146"/>
        <v>0</v>
      </c>
      <c r="S224" s="12">
        <f t="shared" si="147"/>
        <v>0</v>
      </c>
      <c r="T224" s="12">
        <f t="shared" si="146"/>
        <v>0</v>
      </c>
      <c r="U224" s="12">
        <f t="shared" si="146"/>
        <v>0</v>
      </c>
      <c r="V224" s="12">
        <f t="shared" si="146"/>
        <v>0</v>
      </c>
      <c r="W224" s="27" t="str">
        <f t="shared" si="148"/>
        <v>OK</v>
      </c>
    </row>
    <row r="225" spans="1:23" x14ac:dyDescent="0.2">
      <c r="A225" s="3">
        <f t="shared" si="123"/>
        <v>31</v>
      </c>
      <c r="B225" s="3" t="s">
        <v>818</v>
      </c>
      <c r="C225" s="3" t="s">
        <v>817</v>
      </c>
      <c r="D225" s="3" t="str">
        <f>B225</f>
        <v>A370.16</v>
      </c>
      <c r="E225" s="4" t="s">
        <v>592</v>
      </c>
      <c r="F225" s="4"/>
      <c r="G225" s="4"/>
      <c r="H225" s="14">
        <f>'II-I TOTAL COMPANY'!M225</f>
        <v>0</v>
      </c>
      <c r="I225" s="66">
        <v>0</v>
      </c>
      <c r="J225" s="66">
        <f t="shared" si="133"/>
        <v>0</v>
      </c>
      <c r="K225" s="12">
        <f t="shared" si="144"/>
        <v>0</v>
      </c>
      <c r="L225" s="12">
        <f t="shared" si="144"/>
        <v>0</v>
      </c>
      <c r="M225" s="9">
        <f>SUM(N225:O225)</f>
        <v>0</v>
      </c>
      <c r="N225" s="12">
        <f t="shared" si="145"/>
        <v>0</v>
      </c>
      <c r="O225" s="12">
        <f t="shared" si="145"/>
        <v>0</v>
      </c>
      <c r="P225" s="9">
        <f>SUM(Q225:S225)</f>
        <v>0</v>
      </c>
      <c r="Q225" s="12">
        <f t="shared" si="146"/>
        <v>0</v>
      </c>
      <c r="R225" s="12">
        <f t="shared" si="146"/>
        <v>0</v>
      </c>
      <c r="S225" s="12">
        <f t="shared" si="147"/>
        <v>0</v>
      </c>
      <c r="T225" s="12">
        <f t="shared" si="146"/>
        <v>0</v>
      </c>
      <c r="U225" s="12">
        <f t="shared" si="146"/>
        <v>0</v>
      </c>
      <c r="V225" s="12">
        <f t="shared" si="146"/>
        <v>0</v>
      </c>
      <c r="W225" s="27" t="str">
        <f t="shared" si="148"/>
        <v>OK</v>
      </c>
    </row>
    <row r="226" spans="1:23" x14ac:dyDescent="0.2">
      <c r="A226" s="3">
        <f t="shared" si="123"/>
        <v>32</v>
      </c>
      <c r="B226" s="3"/>
      <c r="C226" s="3" t="s">
        <v>82</v>
      </c>
      <c r="D226" s="3"/>
      <c r="E226" s="4"/>
      <c r="F226" s="8"/>
      <c r="G226" s="8"/>
      <c r="H226" s="8">
        <f>SUM(H211:H225)</f>
        <v>0</v>
      </c>
      <c r="I226" s="8">
        <f t="shared" ref="I226:V226" si="149">SUM(I211:I225)</f>
        <v>0</v>
      </c>
      <c r="J226" s="8">
        <f t="shared" si="149"/>
        <v>0</v>
      </c>
      <c r="K226" s="8">
        <f t="shared" si="149"/>
        <v>0</v>
      </c>
      <c r="L226" s="8">
        <f t="shared" si="149"/>
        <v>0</v>
      </c>
      <c r="M226" s="8">
        <f t="shared" si="149"/>
        <v>0</v>
      </c>
      <c r="N226" s="8">
        <f t="shared" si="149"/>
        <v>0</v>
      </c>
      <c r="O226" s="8">
        <f t="shared" si="149"/>
        <v>0</v>
      </c>
      <c r="P226" s="8">
        <f t="shared" si="149"/>
        <v>0</v>
      </c>
      <c r="Q226" s="8">
        <f t="shared" si="149"/>
        <v>0</v>
      </c>
      <c r="R226" s="8">
        <f t="shared" si="149"/>
        <v>0</v>
      </c>
      <c r="S226" s="8">
        <f t="shared" si="149"/>
        <v>0</v>
      </c>
      <c r="T226" s="8">
        <f t="shared" si="149"/>
        <v>0</v>
      </c>
      <c r="U226" s="8">
        <f t="shared" si="149"/>
        <v>0</v>
      </c>
      <c r="V226" s="8">
        <f t="shared" si="149"/>
        <v>0</v>
      </c>
      <c r="W226" s="27" t="str">
        <f t="shared" si="148"/>
        <v>OK</v>
      </c>
    </row>
    <row r="227" spans="1:23" x14ac:dyDescent="0.2">
      <c r="A227" s="3">
        <f t="shared" si="123"/>
        <v>33</v>
      </c>
      <c r="B227" s="3"/>
      <c r="C227" s="3"/>
      <c r="D227" s="3"/>
      <c r="E227" s="4"/>
      <c r="F227" s="4"/>
      <c r="G227" s="4"/>
      <c r="H227" s="8"/>
      <c r="I227" s="8"/>
      <c r="J227" s="8"/>
      <c r="K227" s="8"/>
      <c r="L227" s="8"/>
      <c r="M227" s="8"/>
      <c r="N227" s="8"/>
      <c r="O227" s="8"/>
      <c r="P227" s="9"/>
      <c r="Q227" s="8"/>
      <c r="R227" s="8"/>
      <c r="S227" s="8"/>
      <c r="T227" s="8"/>
      <c r="U227" s="8"/>
      <c r="V227" s="8"/>
      <c r="W227" s="27" t="str">
        <f t="shared" si="148"/>
        <v>OK</v>
      </c>
    </row>
    <row r="228" spans="1:23" x14ac:dyDescent="0.2">
      <c r="A228" s="3">
        <f t="shared" si="123"/>
        <v>34</v>
      </c>
      <c r="B228" s="7" t="s">
        <v>113</v>
      </c>
      <c r="C228" s="3"/>
      <c r="D228" s="3"/>
      <c r="E228" s="4"/>
      <c r="F228" s="4"/>
      <c r="G228" s="4"/>
      <c r="H228" s="8"/>
      <c r="I228" s="8"/>
      <c r="J228" s="8"/>
      <c r="K228" s="8"/>
      <c r="L228" s="8"/>
      <c r="M228" s="8"/>
      <c r="N228" s="8"/>
      <c r="O228" s="8"/>
      <c r="P228" s="9"/>
      <c r="Q228" s="8"/>
      <c r="R228" s="8"/>
      <c r="S228" s="8"/>
      <c r="T228" s="8"/>
      <c r="U228" s="8"/>
      <c r="V228" s="8"/>
      <c r="W228" s="27" t="str">
        <f t="shared" si="148"/>
        <v>OK</v>
      </c>
    </row>
    <row r="229" spans="1:23" x14ac:dyDescent="0.2">
      <c r="A229" s="3">
        <f t="shared" si="123"/>
        <v>35</v>
      </c>
      <c r="B229" s="3"/>
      <c r="C229" s="3"/>
      <c r="D229" s="3"/>
      <c r="E229" s="4"/>
      <c r="F229" s="4"/>
      <c r="G229" s="4"/>
      <c r="H229" s="8"/>
      <c r="I229" s="8"/>
      <c r="J229" s="8"/>
      <c r="K229" s="8"/>
      <c r="L229" s="8"/>
      <c r="M229" s="8"/>
      <c r="N229" s="8"/>
      <c r="O229" s="8"/>
      <c r="P229" s="9"/>
      <c r="Q229" s="8"/>
      <c r="R229" s="8"/>
      <c r="S229" s="8"/>
      <c r="T229" s="8"/>
      <c r="U229" s="8"/>
      <c r="V229" s="8"/>
      <c r="W229" s="27" t="str">
        <f t="shared" si="148"/>
        <v>OK</v>
      </c>
    </row>
    <row r="230" spans="1:23" x14ac:dyDescent="0.2">
      <c r="A230" s="3">
        <f t="shared" si="123"/>
        <v>36</v>
      </c>
      <c r="B230" s="3" t="s">
        <v>112</v>
      </c>
      <c r="C230" s="3"/>
      <c r="D230" s="3"/>
      <c r="E230" s="4"/>
      <c r="F230" s="4"/>
      <c r="G230" s="4"/>
      <c r="H230" s="8"/>
      <c r="I230" s="8"/>
      <c r="J230" s="8"/>
      <c r="K230" s="8"/>
      <c r="L230" s="8"/>
      <c r="M230" s="8"/>
      <c r="N230" s="8"/>
      <c r="O230" s="8"/>
      <c r="P230" s="9"/>
      <c r="Q230" s="8"/>
      <c r="R230" s="8"/>
      <c r="S230" s="8"/>
      <c r="T230" s="8"/>
      <c r="U230" s="8"/>
      <c r="V230" s="8"/>
      <c r="W230" s="27" t="str">
        <f t="shared" si="148"/>
        <v>OK</v>
      </c>
    </row>
    <row r="231" spans="1:23" x14ac:dyDescent="0.2">
      <c r="A231" s="3">
        <f t="shared" si="123"/>
        <v>37</v>
      </c>
      <c r="B231" s="3"/>
      <c r="C231" s="3"/>
      <c r="D231" s="3"/>
      <c r="E231" s="4"/>
      <c r="F231" s="4"/>
      <c r="G231" s="4"/>
      <c r="H231" s="8"/>
      <c r="I231" s="8"/>
      <c r="J231" s="8"/>
      <c r="K231" s="8"/>
      <c r="L231" s="8"/>
      <c r="M231" s="8"/>
      <c r="N231" s="8"/>
      <c r="O231" s="8"/>
      <c r="P231" s="9"/>
      <c r="Q231" s="8"/>
      <c r="R231" s="8"/>
      <c r="S231" s="8"/>
      <c r="T231" s="8"/>
      <c r="U231" s="8"/>
      <c r="V231" s="8"/>
      <c r="W231" s="27" t="str">
        <f t="shared" si="148"/>
        <v>OK</v>
      </c>
    </row>
    <row r="232" spans="1:23" x14ac:dyDescent="0.2">
      <c r="A232" s="3">
        <f t="shared" si="123"/>
        <v>38</v>
      </c>
      <c r="B232" s="3" t="s">
        <v>84</v>
      </c>
      <c r="C232" s="3"/>
      <c r="D232" s="3"/>
      <c r="E232" s="4"/>
      <c r="F232" s="4"/>
      <c r="G232" s="4"/>
      <c r="H232" s="8"/>
      <c r="I232" s="8"/>
      <c r="J232" s="8"/>
      <c r="K232" s="8"/>
      <c r="L232" s="8"/>
      <c r="M232" s="8"/>
      <c r="N232" s="8"/>
      <c r="O232" s="8"/>
      <c r="P232" s="9"/>
      <c r="Q232" s="8"/>
      <c r="R232" s="8"/>
      <c r="S232" s="8"/>
      <c r="T232" s="8"/>
      <c r="U232" s="8"/>
      <c r="V232" s="8"/>
      <c r="W232" s="27" t="str">
        <f t="shared" si="148"/>
        <v>OK</v>
      </c>
    </row>
    <row r="233" spans="1:23" x14ac:dyDescent="0.2">
      <c r="A233" s="3">
        <f t="shared" si="123"/>
        <v>39</v>
      </c>
      <c r="B233" s="3" t="s">
        <v>85</v>
      </c>
      <c r="C233" s="3" t="s">
        <v>35</v>
      </c>
      <c r="D233" s="3" t="str">
        <f t="shared" ref="D233:D243" si="150">B233</f>
        <v>A389</v>
      </c>
      <c r="E233" s="4" t="s">
        <v>592</v>
      </c>
      <c r="F233" s="11"/>
      <c r="G233" s="11"/>
      <c r="H233" s="14">
        <f>'II-I TOTAL COMPANY'!M233</f>
        <v>26918.369196563639</v>
      </c>
      <c r="I233" s="66">
        <v>0</v>
      </c>
      <c r="J233" s="66">
        <f t="shared" ref="J233:J249" si="151">SUM(K233:V233)-M233-P233</f>
        <v>26918.369196563628</v>
      </c>
      <c r="K233" s="12">
        <f t="shared" ref="K233:L240" si="152">IF($H151&lt;&gt;0,(K151/$H151)*$H233,0)</f>
        <v>22066.807341382053</v>
      </c>
      <c r="L233" s="12">
        <f t="shared" si="152"/>
        <v>2344.5266106421777</v>
      </c>
      <c r="M233" s="9">
        <f t="shared" ref="M233:M242" si="153">SUM(N233:O233)</f>
        <v>1551.371430199679</v>
      </c>
      <c r="N233" s="12">
        <f t="shared" ref="N233:O240" si="154">IF($H151&lt;&gt;0,(N151/$H151)*$H233,0)</f>
        <v>12.340868452747795</v>
      </c>
      <c r="O233" s="12">
        <f t="shared" si="154"/>
        <v>1539.0305617469312</v>
      </c>
      <c r="P233" s="9">
        <f t="shared" si="138"/>
        <v>23.640684635262168</v>
      </c>
      <c r="Q233" s="12">
        <f t="shared" ref="Q233:V240" si="155">IF($H151&lt;&gt;0,(Q151/$H151)*$H233,0)</f>
        <v>10.048380736699157</v>
      </c>
      <c r="R233" s="12">
        <f t="shared" si="155"/>
        <v>11.783815362866816</v>
      </c>
      <c r="S233" s="12">
        <f t="shared" ref="S233:S240" si="156">IF($H151&lt;&gt;0,(S151/$H151)*$H233,0)</f>
        <v>1.8084885356961957</v>
      </c>
      <c r="T233" s="12">
        <f t="shared" si="155"/>
        <v>2.6581934685066084</v>
      </c>
      <c r="U233" s="12">
        <f t="shared" si="155"/>
        <v>928.95785897796327</v>
      </c>
      <c r="V233" s="12">
        <f t="shared" si="155"/>
        <v>0.40707725798994449</v>
      </c>
      <c r="W233" s="27">
        <f t="shared" si="148"/>
        <v>-7.2759576141834259E-12</v>
      </c>
    </row>
    <row r="234" spans="1:23" x14ac:dyDescent="0.2">
      <c r="A234" s="3">
        <f t="shared" si="123"/>
        <v>40</v>
      </c>
      <c r="B234" s="3" t="s">
        <v>86</v>
      </c>
      <c r="C234" s="3" t="s">
        <v>31</v>
      </c>
      <c r="D234" s="3" t="str">
        <f t="shared" si="150"/>
        <v>A390</v>
      </c>
      <c r="E234" s="4" t="s">
        <v>592</v>
      </c>
      <c r="F234" s="11"/>
      <c r="G234" s="11"/>
      <c r="H234" s="14">
        <f>'II-I TOTAL COMPANY'!M234</f>
        <v>1010618.0345590548</v>
      </c>
      <c r="I234" s="66">
        <v>0</v>
      </c>
      <c r="J234" s="66">
        <f t="shared" si="151"/>
        <v>1010618.0345590543</v>
      </c>
      <c r="K234" s="12">
        <f t="shared" si="152"/>
        <v>828471.93682103814</v>
      </c>
      <c r="L234" s="12">
        <f t="shared" si="152"/>
        <v>88022.452545939406</v>
      </c>
      <c r="M234" s="9">
        <f t="shared" si="153"/>
        <v>58244.388217233383</v>
      </c>
      <c r="N234" s="12">
        <f t="shared" si="154"/>
        <v>463.32317271508282</v>
      </c>
      <c r="O234" s="12">
        <f t="shared" si="154"/>
        <v>57781.065044518298</v>
      </c>
      <c r="P234" s="9">
        <f t="shared" si="138"/>
        <v>887.56128082116811</v>
      </c>
      <c r="Q234" s="12">
        <f t="shared" si="155"/>
        <v>377.25445833919059</v>
      </c>
      <c r="R234" s="12">
        <f t="shared" si="155"/>
        <v>442.40927950224915</v>
      </c>
      <c r="S234" s="12">
        <f t="shared" si="156"/>
        <v>67.897542979728257</v>
      </c>
      <c r="T234" s="12">
        <f t="shared" si="155"/>
        <v>99.798700248260559</v>
      </c>
      <c r="U234" s="12">
        <f t="shared" si="155"/>
        <v>34876.613764118571</v>
      </c>
      <c r="V234" s="12">
        <f t="shared" si="155"/>
        <v>15.28322965553224</v>
      </c>
      <c r="W234" s="27">
        <f t="shared" si="148"/>
        <v>-3.4924596548080444E-10</v>
      </c>
    </row>
    <row r="235" spans="1:23" x14ac:dyDescent="0.2">
      <c r="A235" s="3">
        <f t="shared" si="123"/>
        <v>41</v>
      </c>
      <c r="B235" s="3" t="s">
        <v>87</v>
      </c>
      <c r="C235" s="3" t="s">
        <v>88</v>
      </c>
      <c r="D235" s="3" t="str">
        <f t="shared" si="150"/>
        <v>A391</v>
      </c>
      <c r="E235" s="4" t="s">
        <v>592</v>
      </c>
      <c r="F235" s="11"/>
      <c r="G235" s="11"/>
      <c r="H235" s="14">
        <f>'II-I TOTAL COMPANY'!M235</f>
        <v>-7394.8079950164292</v>
      </c>
      <c r="I235" s="66">
        <v>0</v>
      </c>
      <c r="J235" s="66">
        <f t="shared" si="151"/>
        <v>-7394.8079950164256</v>
      </c>
      <c r="K235" s="12">
        <f t="shared" si="152"/>
        <v>-6062.0241204422791</v>
      </c>
      <c r="L235" s="12">
        <f t="shared" si="152"/>
        <v>-644.07037433451967</v>
      </c>
      <c r="M235" s="9">
        <f t="shared" si="153"/>
        <v>-426.18086450590658</v>
      </c>
      <c r="N235" s="12">
        <f t="shared" si="154"/>
        <v>-3.3901887604496981</v>
      </c>
      <c r="O235" s="12">
        <f t="shared" si="154"/>
        <v>-422.79067574545689</v>
      </c>
      <c r="P235" s="9">
        <f t="shared" si="138"/>
        <v>-6.4943876232597262</v>
      </c>
      <c r="Q235" s="12">
        <f t="shared" si="155"/>
        <v>-2.7604141122411598</v>
      </c>
      <c r="R235" s="12">
        <f t="shared" si="155"/>
        <v>-3.2371594066793992</v>
      </c>
      <c r="S235" s="12">
        <f t="shared" si="156"/>
        <v>-0.49681410433916701</v>
      </c>
      <c r="T235" s="12">
        <f t="shared" si="155"/>
        <v>-0.7302385285555294</v>
      </c>
      <c r="U235" s="12">
        <f t="shared" si="155"/>
        <v>-255.19618043876648</v>
      </c>
      <c r="V235" s="12">
        <f t="shared" si="155"/>
        <v>-0.11182914313983376</v>
      </c>
      <c r="W235" s="27">
        <f t="shared" si="148"/>
        <v>2.7284841053187847E-12</v>
      </c>
    </row>
    <row r="236" spans="1:23" x14ac:dyDescent="0.2">
      <c r="A236" s="3">
        <f t="shared" si="123"/>
        <v>42</v>
      </c>
      <c r="B236" s="3" t="s">
        <v>89</v>
      </c>
      <c r="C236" s="3" t="s">
        <v>90</v>
      </c>
      <c r="D236" s="3" t="str">
        <f t="shared" si="150"/>
        <v>A392</v>
      </c>
      <c r="E236" s="4" t="s">
        <v>592</v>
      </c>
      <c r="F236" s="11"/>
      <c r="G236" s="11"/>
      <c r="H236" s="14">
        <f>'II-I TOTAL COMPANY'!M236</f>
        <v>5.7827980516797113E-3</v>
      </c>
      <c r="I236" s="66">
        <v>0</v>
      </c>
      <c r="J236" s="66">
        <f t="shared" si="151"/>
        <v>5.7827980516797087E-3</v>
      </c>
      <c r="K236" s="12">
        <f t="shared" si="152"/>
        <v>4.7405505723142373E-3</v>
      </c>
      <c r="L236" s="12">
        <f t="shared" si="152"/>
        <v>5.0366810177577951E-4</v>
      </c>
      <c r="M236" s="9">
        <f t="shared" si="153"/>
        <v>3.3327679022752727E-4</v>
      </c>
      <c r="N236" s="12">
        <f t="shared" si="154"/>
        <v>2.6511542925748964E-6</v>
      </c>
      <c r="O236" s="12">
        <f t="shared" si="154"/>
        <v>3.3062563593495235E-4</v>
      </c>
      <c r="P236" s="9">
        <f t="shared" si="138"/>
        <v>5.0786622343607905E-6</v>
      </c>
      <c r="Q236" s="12">
        <f t="shared" si="155"/>
        <v>2.1586655611417121E-6</v>
      </c>
      <c r="R236" s="12">
        <f t="shared" si="155"/>
        <v>2.5314841335350573E-6</v>
      </c>
      <c r="S236" s="12">
        <f t="shared" si="156"/>
        <v>3.885125396840209E-7</v>
      </c>
      <c r="T236" s="12">
        <f t="shared" si="155"/>
        <v>5.7105227654839096E-7</v>
      </c>
      <c r="U236" s="12">
        <f t="shared" si="155"/>
        <v>1.9956542158118927E-4</v>
      </c>
      <c r="V236" s="12">
        <f t="shared" si="155"/>
        <v>8.7451270067574694E-8</v>
      </c>
      <c r="W236" s="27">
        <f t="shared" si="148"/>
        <v>-2.6020852139652106E-18</v>
      </c>
    </row>
    <row r="237" spans="1:23" x14ac:dyDescent="0.2">
      <c r="A237" s="3">
        <f t="shared" si="123"/>
        <v>43</v>
      </c>
      <c r="B237" s="3" t="s">
        <v>91</v>
      </c>
      <c r="C237" s="3" t="s">
        <v>114</v>
      </c>
      <c r="D237" s="3" t="str">
        <f t="shared" si="150"/>
        <v>A393</v>
      </c>
      <c r="E237" s="4" t="s">
        <v>592</v>
      </c>
      <c r="F237" s="11"/>
      <c r="G237" s="11"/>
      <c r="H237" s="14">
        <f>'II-I TOTAL COMPANY'!M237</f>
        <v>0</v>
      </c>
      <c r="I237" s="66">
        <v>0</v>
      </c>
      <c r="J237" s="66">
        <f t="shared" si="151"/>
        <v>0</v>
      </c>
      <c r="K237" s="12">
        <f t="shared" si="152"/>
        <v>0</v>
      </c>
      <c r="L237" s="12">
        <f t="shared" si="152"/>
        <v>0</v>
      </c>
      <c r="M237" s="9">
        <f t="shared" si="153"/>
        <v>0</v>
      </c>
      <c r="N237" s="12">
        <f t="shared" si="154"/>
        <v>0</v>
      </c>
      <c r="O237" s="12">
        <f t="shared" si="154"/>
        <v>0</v>
      </c>
      <c r="P237" s="9">
        <f t="shared" si="138"/>
        <v>0</v>
      </c>
      <c r="Q237" s="12">
        <f t="shared" si="155"/>
        <v>0</v>
      </c>
      <c r="R237" s="12">
        <f t="shared" si="155"/>
        <v>0</v>
      </c>
      <c r="S237" s="12">
        <f t="shared" si="156"/>
        <v>0</v>
      </c>
      <c r="T237" s="12">
        <f t="shared" si="155"/>
        <v>0</v>
      </c>
      <c r="U237" s="12">
        <f t="shared" si="155"/>
        <v>0</v>
      </c>
      <c r="V237" s="12">
        <f t="shared" si="155"/>
        <v>0</v>
      </c>
      <c r="W237" s="27" t="str">
        <f t="shared" si="148"/>
        <v>OK</v>
      </c>
    </row>
    <row r="238" spans="1:23" x14ac:dyDescent="0.2">
      <c r="A238" s="3">
        <f t="shared" si="123"/>
        <v>44</v>
      </c>
      <c r="B238" s="3" t="s">
        <v>93</v>
      </c>
      <c r="C238" s="3" t="s">
        <v>94</v>
      </c>
      <c r="D238" s="3" t="str">
        <f t="shared" si="150"/>
        <v>A394</v>
      </c>
      <c r="E238" s="4" t="s">
        <v>592</v>
      </c>
      <c r="F238" s="11"/>
      <c r="G238" s="11"/>
      <c r="H238" s="14">
        <f>'II-I TOTAL COMPANY'!M238</f>
        <v>0.90955474829951188</v>
      </c>
      <c r="I238" s="66">
        <v>0</v>
      </c>
      <c r="J238" s="66">
        <f t="shared" si="151"/>
        <v>0.90955474829951166</v>
      </c>
      <c r="K238" s="12">
        <f t="shared" si="152"/>
        <v>0.74562352758453165</v>
      </c>
      <c r="L238" s="12">
        <f t="shared" si="152"/>
        <v>7.9220078142638095E-2</v>
      </c>
      <c r="M238" s="9">
        <f t="shared" si="153"/>
        <v>5.2419863937911086E-2</v>
      </c>
      <c r="N238" s="12">
        <f t="shared" si="154"/>
        <v>4.1699017564441964E-4</v>
      </c>
      <c r="O238" s="12">
        <f t="shared" si="154"/>
        <v>5.2002873762266665E-2</v>
      </c>
      <c r="P238" s="9">
        <f t="shared" si="138"/>
        <v>7.9880385048730965E-4</v>
      </c>
      <c r="Q238" s="12">
        <f t="shared" si="155"/>
        <v>3.3952845898825134E-4</v>
      </c>
      <c r="R238" s="12">
        <f t="shared" si="155"/>
        <v>3.9816770243824787E-4</v>
      </c>
      <c r="S238" s="12">
        <f t="shared" si="156"/>
        <v>6.110768906081036E-5</v>
      </c>
      <c r="T238" s="12">
        <f t="shared" si="155"/>
        <v>8.9818683796326853E-5</v>
      </c>
      <c r="U238" s="12">
        <f t="shared" si="155"/>
        <v>3.1388901215881178E-2</v>
      </c>
      <c r="V238" s="12">
        <f t="shared" si="155"/>
        <v>1.375488426604856E-5</v>
      </c>
      <c r="W238" s="27">
        <f t="shared" si="148"/>
        <v>-1.1102230246251565E-16</v>
      </c>
    </row>
    <row r="239" spans="1:23" x14ac:dyDescent="0.2">
      <c r="A239" s="3">
        <f t="shared" si="123"/>
        <v>45</v>
      </c>
      <c r="B239" s="3" t="s">
        <v>95</v>
      </c>
      <c r="C239" s="3" t="s">
        <v>96</v>
      </c>
      <c r="D239" s="3" t="str">
        <f t="shared" si="150"/>
        <v>A395</v>
      </c>
      <c r="E239" s="4" t="s">
        <v>592</v>
      </c>
      <c r="F239" s="11"/>
      <c r="G239" s="11"/>
      <c r="H239" s="14">
        <f>'II-I TOTAL COMPANY'!M239</f>
        <v>3.3862592851863012E-3</v>
      </c>
      <c r="I239" s="66">
        <v>0</v>
      </c>
      <c r="J239" s="66">
        <f t="shared" si="151"/>
        <v>3.3862592851863008E-3</v>
      </c>
      <c r="K239" s="12">
        <f t="shared" si="152"/>
        <v>2.7759457011872534E-3</v>
      </c>
      <c r="L239" s="12">
        <f t="shared" si="152"/>
        <v>2.9493521493370952E-4</v>
      </c>
      <c r="M239" s="9">
        <f t="shared" si="153"/>
        <v>1.9515840175626426E-4</v>
      </c>
      <c r="N239" s="12">
        <f t="shared" si="154"/>
        <v>1.5524484444144819E-6</v>
      </c>
      <c r="O239" s="12">
        <f t="shared" si="154"/>
        <v>1.9360595331184978E-4</v>
      </c>
      <c r="P239" s="9">
        <f t="shared" si="138"/>
        <v>2.9739352807649712E-6</v>
      </c>
      <c r="Q239" s="12">
        <f t="shared" si="155"/>
        <v>1.2640595840805412E-6</v>
      </c>
      <c r="R239" s="12">
        <f t="shared" si="155"/>
        <v>1.4823726465763279E-6</v>
      </c>
      <c r="S239" s="12">
        <f t="shared" si="156"/>
        <v>2.2750305010810255E-7</v>
      </c>
      <c r="T239" s="12">
        <f t="shared" si="155"/>
        <v>3.3439367180167734E-7</v>
      </c>
      <c r="U239" s="12">
        <f t="shared" si="155"/>
        <v>1.1686042911962472E-4</v>
      </c>
      <c r="V239" s="12">
        <f t="shared" si="155"/>
        <v>5.120923688172767E-8</v>
      </c>
      <c r="W239" s="27">
        <f t="shared" si="148"/>
        <v>-1.3010426069826053E-18</v>
      </c>
    </row>
    <row r="240" spans="1:23" x14ac:dyDescent="0.2">
      <c r="A240" s="3">
        <f t="shared" si="123"/>
        <v>46</v>
      </c>
      <c r="B240" s="3" t="s">
        <v>97</v>
      </c>
      <c r="C240" s="3" t="s">
        <v>98</v>
      </c>
      <c r="D240" s="3" t="str">
        <f t="shared" si="150"/>
        <v>A396</v>
      </c>
      <c r="E240" s="4" t="s">
        <v>592</v>
      </c>
      <c r="F240" s="11"/>
      <c r="G240" s="11"/>
      <c r="H240" s="14">
        <f>'II-I TOTAL COMPANY'!M240</f>
        <v>-1.8419700316474108E-2</v>
      </c>
      <c r="I240" s="66">
        <v>0</v>
      </c>
      <c r="J240" s="66">
        <f t="shared" si="151"/>
        <v>-1.8419700316474101E-2</v>
      </c>
      <c r="K240" s="12">
        <f t="shared" si="152"/>
        <v>-1.5099873814848962E-2</v>
      </c>
      <c r="L240" s="12">
        <f t="shared" si="152"/>
        <v>-1.6043125509081987E-3</v>
      </c>
      <c r="M240" s="9">
        <f t="shared" si="153"/>
        <v>-1.0615723640296107E-3</v>
      </c>
      <c r="N240" s="12">
        <f t="shared" si="154"/>
        <v>-8.4446088425617778E-6</v>
      </c>
      <c r="O240" s="12">
        <f t="shared" si="154"/>
        <v>-1.053127755187049E-3</v>
      </c>
      <c r="P240" s="9">
        <f t="shared" si="138"/>
        <v>-1.6176846490142974E-5</v>
      </c>
      <c r="Q240" s="12">
        <f t="shared" si="155"/>
        <v>-6.875905463822002E-6</v>
      </c>
      <c r="R240" s="12">
        <f t="shared" si="155"/>
        <v>-8.063428582307253E-6</v>
      </c>
      <c r="S240" s="12">
        <f t="shared" si="156"/>
        <v>-1.2375124440137169E-6</v>
      </c>
      <c r="T240" s="12">
        <f t="shared" si="155"/>
        <v>-1.8189484925911168E-6</v>
      </c>
      <c r="U240" s="12">
        <f t="shared" si="155"/>
        <v>-6.3566723689902733E-4</v>
      </c>
      <c r="V240" s="12">
        <f t="shared" si="155"/>
        <v>-2.7855480557061415E-7</v>
      </c>
      <c r="W240" s="27">
        <f t="shared" si="148"/>
        <v>6.9388939039072284E-18</v>
      </c>
    </row>
    <row r="241" spans="1:23" x14ac:dyDescent="0.2">
      <c r="A241" s="3">
        <f t="shared" si="123"/>
        <v>47</v>
      </c>
      <c r="B241" s="3" t="s">
        <v>105</v>
      </c>
      <c r="C241" s="3" t="s">
        <v>106</v>
      </c>
      <c r="D241" s="3" t="str">
        <f t="shared" si="150"/>
        <v>A397</v>
      </c>
      <c r="E241" s="4" t="s">
        <v>592</v>
      </c>
      <c r="F241" s="11"/>
      <c r="G241" s="11"/>
      <c r="H241" s="14">
        <f>'II-I TOTAL COMPANY'!M241</f>
        <v>3.0848297426143807</v>
      </c>
      <c r="I241" s="66">
        <v>0</v>
      </c>
      <c r="J241" s="66">
        <f t="shared" si="151"/>
        <v>3.0848297426143798</v>
      </c>
      <c r="K241" s="12">
        <f>IF($H168&lt;&gt;0,(K168/$H168)*$H241,0)</f>
        <v>2.5288435236978155</v>
      </c>
      <c r="L241" s="12">
        <f>IF($H168&lt;&gt;0,(L168/$H168)*$H241,0)</f>
        <v>0.26868141112289828</v>
      </c>
      <c r="M241" s="9">
        <f t="shared" si="153"/>
        <v>0.17778628024513152</v>
      </c>
      <c r="N241" s="12">
        <f>IF($H168&lt;&gt;0,(N168/$H168)*$H241,0)</f>
        <v>1.4142564794596771E-3</v>
      </c>
      <c r="O241" s="12">
        <f>IF($H168&lt;&gt;0,(O168/$H168)*$H241,0)</f>
        <v>0.17637202376567185</v>
      </c>
      <c r="P241" s="9">
        <f t="shared" si="138"/>
        <v>2.7092089630724498E-3</v>
      </c>
      <c r="Q241" s="12">
        <f t="shared" ref="Q241:V241" si="157">IF($H168&lt;&gt;0,(Q168/$H168)*$H241,0)</f>
        <v>1.1515386959489384E-3</v>
      </c>
      <c r="R241" s="12">
        <f t="shared" si="157"/>
        <v>1.3504185133729554E-3</v>
      </c>
      <c r="S241" s="12">
        <f t="shared" si="157"/>
        <v>2.0725175375055585E-4</v>
      </c>
      <c r="T241" s="12">
        <f t="shared" si="157"/>
        <v>3.0462745396624092E-4</v>
      </c>
      <c r="U241" s="12">
        <f t="shared" si="157"/>
        <v>0.10645804031012492</v>
      </c>
      <c r="V241" s="12">
        <f t="shared" si="157"/>
        <v>4.6650821371065722E-5</v>
      </c>
      <c r="W241" s="27">
        <f t="shared" si="148"/>
        <v>-4.4408920985006262E-16</v>
      </c>
    </row>
    <row r="242" spans="1:23" x14ac:dyDescent="0.2">
      <c r="A242" s="3">
        <f t="shared" si="123"/>
        <v>48</v>
      </c>
      <c r="B242" s="3" t="s">
        <v>99</v>
      </c>
      <c r="C242" s="3" t="s">
        <v>100</v>
      </c>
      <c r="D242" s="3" t="str">
        <f t="shared" si="150"/>
        <v>A398</v>
      </c>
      <c r="E242" s="4" t="s">
        <v>592</v>
      </c>
      <c r="F242" s="11"/>
      <c r="G242" s="11"/>
      <c r="H242" s="14">
        <f>'II-I TOTAL COMPANY'!M242</f>
        <v>0.20265776874182295</v>
      </c>
      <c r="I242" s="66">
        <v>0</v>
      </c>
      <c r="J242" s="66">
        <f t="shared" si="151"/>
        <v>0.2026577687418229</v>
      </c>
      <c r="K242" s="12">
        <f>IF($H159&lt;&gt;0,(K159/$H159)*$H242,0)</f>
        <v>0.16613227593412513</v>
      </c>
      <c r="L242" s="12">
        <f>IF($H159&lt;&gt;0,(L159/$H159)*$H242,0)</f>
        <v>1.7651014747551191E-2</v>
      </c>
      <c r="M242" s="9">
        <f t="shared" si="153"/>
        <v>1.1679662695696038E-2</v>
      </c>
      <c r="N242" s="12">
        <f>IF($H159&lt;&gt;0,(N159/$H159)*$H242,0)</f>
        <v>9.2909523853677275E-5</v>
      </c>
      <c r="O242" s="12">
        <f>IF($H159&lt;&gt;0,(O159/$H159)*$H242,0)</f>
        <v>1.158675317184236E-2</v>
      </c>
      <c r="P242" s="9">
        <f t="shared" si="138"/>
        <v>1.779813763875018E-4</v>
      </c>
      <c r="Q242" s="12">
        <f t="shared" ref="Q242:V243" si="158">IF($H159&lt;&gt;0,(Q159/$H159)*$H242,0)</f>
        <v>7.5650289387803172E-5</v>
      </c>
      <c r="R242" s="12">
        <f t="shared" si="158"/>
        <v>8.8715691179726551E-5</v>
      </c>
      <c r="S242" s="12">
        <f>IF($H159&lt;&gt;0,(S159/$H159)*$H242,0)</f>
        <v>1.3615395819972079E-5</v>
      </c>
      <c r="T242" s="12">
        <f t="shared" si="158"/>
        <v>2.0012488619868048E-5</v>
      </c>
      <c r="U242" s="12">
        <f t="shared" si="158"/>
        <v>6.993756775566037E-3</v>
      </c>
      <c r="V242" s="12">
        <f t="shared" si="158"/>
        <v>3.0647238771178254E-6</v>
      </c>
      <c r="W242" s="27">
        <f t="shared" si="148"/>
        <v>-5.5511151231257827E-17</v>
      </c>
    </row>
    <row r="243" spans="1:23" x14ac:dyDescent="0.2">
      <c r="A243" s="3">
        <f t="shared" si="123"/>
        <v>49</v>
      </c>
      <c r="B243" s="3" t="s">
        <v>101</v>
      </c>
      <c r="C243" s="3" t="s">
        <v>819</v>
      </c>
      <c r="D243" s="3" t="str">
        <f t="shared" si="150"/>
        <v>A399</v>
      </c>
      <c r="E243" s="4" t="s">
        <v>592</v>
      </c>
      <c r="F243" s="11"/>
      <c r="G243" s="11"/>
      <c r="H243" s="14">
        <f>'II-I TOTAL COMPANY'!M243</f>
        <v>5.3911723242613237E-2</v>
      </c>
      <c r="I243" s="66">
        <v>0</v>
      </c>
      <c r="J243" s="66">
        <f t="shared" si="151"/>
        <v>5.3911723242613216E-2</v>
      </c>
      <c r="K243" s="12">
        <f>IF($H160&lt;&gt;0,(K160/$H160)*$H243,0)</f>
        <v>4.4195084834059171E-2</v>
      </c>
      <c r="L243" s="12">
        <f>IF($H160&lt;&gt;0,(L160/$H160)*$H243,0)</f>
        <v>4.6955842252144626E-3</v>
      </c>
      <c r="M243" s="9">
        <f>SUM(N243:O243)</f>
        <v>3.1070644206075892E-3</v>
      </c>
      <c r="N243" s="12">
        <f>IF($H160&lt;&gt;0,(N160/$H160)*$H243,0)</f>
        <v>2.4716114105566591E-5</v>
      </c>
      <c r="O243" s="12">
        <f>IF($H160&lt;&gt;0,(O160/$H160)*$H243,0)</f>
        <v>3.0823483065020225E-3</v>
      </c>
      <c r="P243" s="9">
        <f>SUM(Q243:S243)</f>
        <v>4.7347223675231236E-5</v>
      </c>
      <c r="Q243" s="12">
        <f t="shared" si="158"/>
        <v>2.0124752631095016E-5</v>
      </c>
      <c r="R243" s="12">
        <f t="shared" si="158"/>
        <v>2.3600456177190316E-5</v>
      </c>
      <c r="S243" s="12">
        <f>IF($H160&lt;&gt;0,(S160/$H160)*$H243,0)</f>
        <v>3.6220148669459051E-6</v>
      </c>
      <c r="T243" s="12">
        <f t="shared" si="158"/>
        <v>5.3237917034641493E-6</v>
      </c>
      <c r="U243" s="12">
        <f t="shared" si="158"/>
        <v>1.8605034588671833E-3</v>
      </c>
      <c r="V243" s="12">
        <f t="shared" si="158"/>
        <v>8.1528848612111989E-7</v>
      </c>
      <c r="W243" s="27">
        <f t="shared" si="148"/>
        <v>-1.3877787807814457E-17</v>
      </c>
    </row>
    <row r="244" spans="1:23" x14ac:dyDescent="0.2">
      <c r="A244" s="3">
        <f t="shared" si="123"/>
        <v>50</v>
      </c>
      <c r="B244" s="3"/>
      <c r="C244" s="3"/>
      <c r="D244" s="3"/>
      <c r="E244" s="4"/>
      <c r="F244" s="4"/>
      <c r="G244" s="4"/>
      <c r="H244" s="14"/>
      <c r="I244" s="66"/>
      <c r="J244" s="66"/>
      <c r="K244" s="12"/>
      <c r="L244" s="12"/>
      <c r="M244" s="12"/>
      <c r="N244" s="12"/>
      <c r="O244" s="12"/>
      <c r="P244" s="9"/>
      <c r="Q244" s="12"/>
      <c r="R244" s="12"/>
      <c r="S244" s="12"/>
      <c r="T244" s="12"/>
      <c r="U244" s="12"/>
      <c r="V244" s="12"/>
      <c r="W244" s="27" t="str">
        <f t="shared" si="148"/>
        <v>OK</v>
      </c>
    </row>
    <row r="245" spans="1:23" x14ac:dyDescent="0.2">
      <c r="A245" s="3">
        <f t="shared" si="123"/>
        <v>51</v>
      </c>
      <c r="B245" s="3"/>
      <c r="C245" s="3" t="s">
        <v>103</v>
      </c>
      <c r="D245" s="3"/>
      <c r="E245" s="4"/>
      <c r="F245" s="8"/>
      <c r="G245" s="8"/>
      <c r="H245" s="8">
        <f>SUM(H233:H243)</f>
        <v>1030145.8374639419</v>
      </c>
      <c r="I245" s="8">
        <f>SUM(I233:I243)</f>
        <v>0</v>
      </c>
      <c r="J245" s="66">
        <f t="shared" si="151"/>
        <v>1030145.8374639413</v>
      </c>
      <c r="K245" s="8">
        <f>SUM(K233:K243)</f>
        <v>844480.19725301233</v>
      </c>
      <c r="L245" s="8">
        <f>SUM(L233:L243)</f>
        <v>89723.278224626061</v>
      </c>
      <c r="M245" s="9">
        <f>SUM(N245:O245)</f>
        <v>59369.823242661267</v>
      </c>
      <c r="N245" s="8">
        <f>SUM(N233:N243)</f>
        <v>472.27579703866792</v>
      </c>
      <c r="O245" s="8">
        <f>SUM(O233:O243)</f>
        <v>58897.5474456226</v>
      </c>
      <c r="P245" s="9">
        <f t="shared" si="138"/>
        <v>904.71130305033489</v>
      </c>
      <c r="Q245" s="8">
        <f t="shared" ref="Q245:V245" si="159">SUM(Q233:Q243)</f>
        <v>384.54400835266512</v>
      </c>
      <c r="R245" s="8">
        <f t="shared" si="159"/>
        <v>450.95779231122788</v>
      </c>
      <c r="S245" s="8">
        <f t="shared" si="159"/>
        <v>69.20950238644194</v>
      </c>
      <c r="T245" s="8">
        <f t="shared" si="159"/>
        <v>101.72707405712718</v>
      </c>
      <c r="U245" s="8">
        <f t="shared" si="159"/>
        <v>35550.521824618139</v>
      </c>
      <c r="V245" s="8">
        <f t="shared" si="159"/>
        <v>15.578541916206053</v>
      </c>
      <c r="W245" s="27">
        <f t="shared" si="148"/>
        <v>-4.6566128730773926E-10</v>
      </c>
    </row>
    <row r="246" spans="1:23" x14ac:dyDescent="0.2">
      <c r="A246" s="3">
        <f t="shared" si="123"/>
        <v>52</v>
      </c>
      <c r="B246" s="3"/>
      <c r="C246" s="3"/>
      <c r="D246" s="3"/>
      <c r="E246" s="4"/>
      <c r="F246" s="12"/>
      <c r="G246" s="12"/>
      <c r="H246" s="14"/>
      <c r="I246" s="14"/>
      <c r="J246" s="14"/>
      <c r="K246" s="12"/>
      <c r="L246" s="12"/>
      <c r="M246" s="12"/>
      <c r="N246" s="12"/>
      <c r="O246" s="12"/>
      <c r="P246" s="9"/>
      <c r="Q246" s="12"/>
      <c r="R246" s="12"/>
      <c r="S246" s="12"/>
      <c r="T246" s="12"/>
      <c r="U246" s="12"/>
      <c r="V246" s="12"/>
      <c r="W246" s="27" t="str">
        <f t="shared" si="148"/>
        <v>OK</v>
      </c>
    </row>
    <row r="247" spans="1:23" x14ac:dyDescent="0.2">
      <c r="A247" s="3">
        <f t="shared" si="123"/>
        <v>53</v>
      </c>
      <c r="B247" s="3" t="s">
        <v>116</v>
      </c>
      <c r="C247" s="3"/>
      <c r="D247" s="3"/>
      <c r="E247" s="4"/>
      <c r="F247" s="8"/>
      <c r="G247" s="8"/>
      <c r="H247" s="8">
        <f>H191+H208+H226+H245+H246</f>
        <v>1030145.8374639419</v>
      </c>
      <c r="I247" s="8">
        <f>I191+I208+I226+I245+I246</f>
        <v>0</v>
      </c>
      <c r="J247" s="66">
        <f t="shared" si="151"/>
        <v>1030145.8374639413</v>
      </c>
      <c r="K247" s="8">
        <f>K191+K208+K226+K245+K246</f>
        <v>844480.19725301233</v>
      </c>
      <c r="L247" s="8">
        <f>L191+L208+L226+L245+L246</f>
        <v>89723.278224626061</v>
      </c>
      <c r="M247" s="9">
        <f>SUM(N247:O247)</f>
        <v>59369.823242661267</v>
      </c>
      <c r="N247" s="8">
        <f>N191+N208+N226+N245+N246</f>
        <v>472.27579703866792</v>
      </c>
      <c r="O247" s="8">
        <f>O191+O208+O226+O245+O246</f>
        <v>58897.5474456226</v>
      </c>
      <c r="P247" s="9">
        <f t="shared" si="138"/>
        <v>904.71130305033489</v>
      </c>
      <c r="Q247" s="8">
        <f t="shared" ref="Q247:V247" si="160">Q191+Q208+Q226+Q245+Q246</f>
        <v>384.54400835266512</v>
      </c>
      <c r="R247" s="8">
        <f t="shared" si="160"/>
        <v>450.95779231122788</v>
      </c>
      <c r="S247" s="8">
        <f t="shared" si="160"/>
        <v>69.20950238644194</v>
      </c>
      <c r="T247" s="8">
        <f t="shared" si="160"/>
        <v>101.72707405712718</v>
      </c>
      <c r="U247" s="8">
        <f t="shared" si="160"/>
        <v>35550.521824618139</v>
      </c>
      <c r="V247" s="8">
        <f t="shared" si="160"/>
        <v>15.578541916206053</v>
      </c>
      <c r="W247" s="27">
        <f t="shared" si="148"/>
        <v>-4.6566128730773926E-10</v>
      </c>
    </row>
    <row r="248" spans="1:23" x14ac:dyDescent="0.2">
      <c r="A248" s="3">
        <f t="shared" si="123"/>
        <v>54</v>
      </c>
      <c r="B248" s="3"/>
      <c r="C248" s="3"/>
      <c r="D248" s="3"/>
      <c r="E248" s="4"/>
      <c r="F248" s="8"/>
      <c r="G248" s="8"/>
      <c r="H248" s="8"/>
      <c r="I248" s="8"/>
      <c r="J248" s="66"/>
      <c r="K248" s="8"/>
      <c r="L248" s="8"/>
      <c r="M248" s="8"/>
      <c r="N248" s="8"/>
      <c r="O248" s="8"/>
      <c r="P248" s="9"/>
      <c r="Q248" s="8"/>
      <c r="R248" s="8"/>
      <c r="S248" s="8"/>
      <c r="T248" s="8"/>
      <c r="U248" s="8"/>
      <c r="V248" s="8"/>
      <c r="W248" s="27" t="str">
        <f t="shared" si="148"/>
        <v>OK</v>
      </c>
    </row>
    <row r="249" spans="1:23" x14ac:dyDescent="0.2">
      <c r="A249" s="3">
        <f t="shared" si="123"/>
        <v>55</v>
      </c>
      <c r="B249" s="3" t="s">
        <v>117</v>
      </c>
      <c r="C249" s="3"/>
      <c r="D249" s="8"/>
      <c r="E249" s="4"/>
      <c r="F249" s="8"/>
      <c r="G249" s="8"/>
      <c r="H249" s="8">
        <f>H171-H247</f>
        <v>4419847.8119950444</v>
      </c>
      <c r="I249" s="8">
        <f>I171-I247</f>
        <v>0</v>
      </c>
      <c r="J249" s="66">
        <f t="shared" si="151"/>
        <v>4419847.8119950453</v>
      </c>
      <c r="K249" s="8">
        <f>K171-K247</f>
        <v>3623248.1036768928</v>
      </c>
      <c r="L249" s="8">
        <f>L171-L247</f>
        <v>384958.3432986663</v>
      </c>
      <c r="M249" s="9">
        <f>SUM(N249:O249)</f>
        <v>254726.63560298484</v>
      </c>
      <c r="N249" s="8">
        <f>N171-N247</f>
        <v>2026.3025605562734</v>
      </c>
      <c r="O249" s="8">
        <f>O171-O247</f>
        <v>252700.33304242857</v>
      </c>
      <c r="P249" s="9">
        <f t="shared" si="138"/>
        <v>3881.6700780137608</v>
      </c>
      <c r="Q249" s="8">
        <f t="shared" ref="Q249:V249" si="161">Q171-Q247</f>
        <v>1649.8887168418269</v>
      </c>
      <c r="R249" s="8">
        <f t="shared" si="161"/>
        <v>1934.8375144200527</v>
      </c>
      <c r="S249" s="8">
        <f t="shared" si="161"/>
        <v>296.94384675188127</v>
      </c>
      <c r="T249" s="8">
        <f t="shared" si="161"/>
        <v>436.46071200844858</v>
      </c>
      <c r="U249" s="8">
        <f t="shared" si="161"/>
        <v>152529.75878507161</v>
      </c>
      <c r="V249" s="8">
        <f t="shared" si="161"/>
        <v>66.839841407238154</v>
      </c>
      <c r="W249" s="27" t="str">
        <f t="shared" si="148"/>
        <v>OK</v>
      </c>
    </row>
    <row r="250" spans="1:23" x14ac:dyDescent="0.2">
      <c r="A250" s="3"/>
      <c r="B250" s="3"/>
      <c r="C250" s="3"/>
      <c r="D250" s="3"/>
      <c r="E250" s="4"/>
      <c r="F250" s="4"/>
      <c r="G250" s="4"/>
      <c r="H250" s="8"/>
      <c r="I250" s="8"/>
      <c r="J250" s="8"/>
      <c r="K250" s="8"/>
      <c r="L250" s="8"/>
      <c r="M250" s="3"/>
      <c r="N250" s="3"/>
      <c r="O250" s="3"/>
      <c r="P250" s="9"/>
      <c r="Q250" s="3"/>
      <c r="R250" s="3"/>
      <c r="S250" s="3"/>
      <c r="T250" s="3"/>
      <c r="U250" s="3"/>
      <c r="V250" s="3"/>
      <c r="W250" s="27" t="str">
        <f t="shared" si="148"/>
        <v>OK</v>
      </c>
    </row>
    <row r="251" spans="1:23" x14ac:dyDescent="0.2">
      <c r="A251" s="3"/>
      <c r="B251" s="7" t="s">
        <v>118</v>
      </c>
      <c r="C251" s="3"/>
      <c r="D251" s="3"/>
      <c r="E251" s="4"/>
      <c r="F251" s="4"/>
      <c r="G251" s="4"/>
      <c r="H251" s="8"/>
      <c r="I251" s="8"/>
      <c r="J251" s="8"/>
      <c r="K251" s="8"/>
      <c r="L251" s="8"/>
      <c r="M251" s="3"/>
      <c r="N251" s="3"/>
      <c r="O251" s="3"/>
      <c r="P251" s="9"/>
      <c r="Q251" s="3"/>
      <c r="R251" s="3"/>
      <c r="S251" s="3"/>
      <c r="T251" s="3"/>
      <c r="U251" s="3"/>
      <c r="V251" s="3"/>
      <c r="W251" s="27" t="str">
        <f t="shared" si="148"/>
        <v>OK</v>
      </c>
    </row>
    <row r="252" spans="1:23" x14ac:dyDescent="0.2">
      <c r="A252" s="3"/>
      <c r="B252" s="3"/>
      <c r="C252" s="3"/>
      <c r="D252" s="3"/>
      <c r="E252" s="4"/>
      <c r="F252" s="4"/>
      <c r="G252" s="4"/>
      <c r="H252" s="5"/>
      <c r="I252" s="8"/>
      <c r="J252" s="8"/>
      <c r="K252" s="8"/>
      <c r="L252" s="8"/>
      <c r="M252" s="3"/>
      <c r="N252" s="3"/>
      <c r="O252" s="3"/>
      <c r="P252" s="9"/>
      <c r="Q252" s="3"/>
      <c r="R252" s="3"/>
      <c r="S252" s="3"/>
      <c r="T252" s="3"/>
      <c r="U252" s="3"/>
      <c r="V252" s="3"/>
      <c r="W252" s="27" t="str">
        <f t="shared" si="148"/>
        <v>OK</v>
      </c>
    </row>
    <row r="253" spans="1:23" x14ac:dyDescent="0.2">
      <c r="A253" s="3">
        <f t="shared" ref="A253:A308" si="162">+A252+1</f>
        <v>1</v>
      </c>
      <c r="B253" s="3" t="s">
        <v>119</v>
      </c>
      <c r="C253" s="3" t="s">
        <v>120</v>
      </c>
      <c r="D253" s="1" t="s">
        <v>368</v>
      </c>
      <c r="E253" s="4" t="s">
        <v>592</v>
      </c>
      <c r="F253" s="11"/>
      <c r="G253" s="11"/>
      <c r="H253" s="14">
        <f>'II-I TOTAL COMPANY'!M253</f>
        <v>21611.785972273858</v>
      </c>
      <c r="I253" s="66">
        <v>0</v>
      </c>
      <c r="J253" s="66">
        <f t="shared" ref="J253" si="163">SUM(K253:V253)-M253-P253</f>
        <v>21611.78597227385</v>
      </c>
      <c r="K253" s="12">
        <f>VLOOKUP($D253,$E$741:$V$815,K$1,FALSE)*$H253</f>
        <v>12224.249568793635</v>
      </c>
      <c r="L253" s="12">
        <f>VLOOKUP($D253,$E$741:$V$815,L$1,FALSE)*$H253</f>
        <v>426.42788374457234</v>
      </c>
      <c r="M253" s="9">
        <f>SUM(N253:O253)</f>
        <v>6431.1827887256059</v>
      </c>
      <c r="N253" s="12">
        <f>VLOOKUP($D253,$E$741:$V$815,N$1,FALSE)*$H253</f>
        <v>863.57182428433725</v>
      </c>
      <c r="O253" s="12">
        <f>VLOOKUP($D253,$E$741:$V$815,O$1,FALSE)*$H253</f>
        <v>5567.6109644412691</v>
      </c>
      <c r="P253" s="9">
        <f t="shared" si="138"/>
        <v>2208.5989228378367</v>
      </c>
      <c r="Q253" s="12">
        <f t="shared" ref="Q253:V253" si="164">VLOOKUP($D253,$E$741:$V$815,Q$1,FALSE)*$H253</f>
        <v>1796.6888567251253</v>
      </c>
      <c r="R253" s="12">
        <f t="shared" si="164"/>
        <v>130.01876644628442</v>
      </c>
      <c r="S253" s="12">
        <f t="shared" si="164"/>
        <v>281.89129966642713</v>
      </c>
      <c r="T253" s="12">
        <f t="shared" si="164"/>
        <v>0</v>
      </c>
      <c r="U253" s="12">
        <f t="shared" si="164"/>
        <v>239.31374183587945</v>
      </c>
      <c r="V253" s="12">
        <f t="shared" si="164"/>
        <v>82.013066336329942</v>
      </c>
      <c r="W253" s="27">
        <f>IF((+K253+L253+M253+P253+T253+U253+V253)-H253=0,"OK",(+K253+L253+M253+P253+T253+U253+V253)-H253)</f>
        <v>3.637978807091713E-12</v>
      </c>
    </row>
    <row r="254" spans="1:23" x14ac:dyDescent="0.2">
      <c r="A254" s="3">
        <f t="shared" si="162"/>
        <v>2</v>
      </c>
      <c r="B254" s="3"/>
      <c r="C254" s="3"/>
      <c r="D254" s="1"/>
      <c r="E254" s="4"/>
      <c r="F254" s="4"/>
      <c r="G254" s="4"/>
      <c r="H254" s="14"/>
      <c r="I254" s="66"/>
      <c r="J254" s="66"/>
      <c r="K254" s="12"/>
      <c r="L254" s="12"/>
      <c r="M254" s="3"/>
      <c r="N254" s="3"/>
      <c r="O254" s="3"/>
      <c r="P254" s="9"/>
      <c r="Q254" s="3"/>
      <c r="R254" s="3"/>
      <c r="S254" s="3"/>
      <c r="T254" s="3"/>
      <c r="U254" s="3"/>
      <c r="V254" s="3"/>
      <c r="W254" s="27" t="str">
        <f>IF((+K254+L254+M254+P254+T254+U254+V254)-H254=0,"OK",(+K254+L254+M254+P254+T254+U254+V254)-H254)</f>
        <v>OK</v>
      </c>
    </row>
    <row r="255" spans="1:23" x14ac:dyDescent="0.2">
      <c r="A255" s="3">
        <f t="shared" si="162"/>
        <v>3</v>
      </c>
      <c r="B255" s="7" t="s">
        <v>121</v>
      </c>
      <c r="C255" s="3"/>
      <c r="D255" s="1"/>
      <c r="E255" s="4"/>
      <c r="F255" s="4"/>
      <c r="G255" s="4"/>
      <c r="H255" s="14"/>
      <c r="I255" s="66"/>
      <c r="J255" s="66"/>
      <c r="K255" s="12"/>
      <c r="L255" s="12"/>
      <c r="M255" s="3"/>
      <c r="N255" s="3"/>
      <c r="O255" s="3"/>
      <c r="P255" s="9">
        <f t="shared" si="138"/>
        <v>0</v>
      </c>
      <c r="Q255" s="3"/>
      <c r="R255" s="3"/>
      <c r="S255" s="3"/>
      <c r="T255" s="3"/>
      <c r="U255" s="3"/>
      <c r="V255" s="3"/>
      <c r="W255" s="27" t="str">
        <f>IF((+K255+L255+M255+P255+T255+U255+V255)-H255=0,"OK",(+K255+L255+M255+P255+T255+U255+V255)-H255)</f>
        <v>OK</v>
      </c>
    </row>
    <row r="256" spans="1:23" x14ac:dyDescent="0.2">
      <c r="A256" s="3">
        <f t="shared" si="162"/>
        <v>4</v>
      </c>
      <c r="B256" s="3" t="s">
        <v>122</v>
      </c>
      <c r="C256" s="3" t="s">
        <v>123</v>
      </c>
      <c r="D256" s="1" t="s">
        <v>361</v>
      </c>
      <c r="E256" s="4" t="s">
        <v>592</v>
      </c>
      <c r="F256" s="11"/>
      <c r="G256" s="11"/>
      <c r="H256" s="14">
        <f>'II-I TOTAL COMPANY'!M256</f>
        <v>0</v>
      </c>
      <c r="I256" s="66">
        <v>0</v>
      </c>
      <c r="J256" s="66">
        <f t="shared" ref="J256:J259" si="165">SUM(K256:V256)-M256-P256</f>
        <v>0</v>
      </c>
      <c r="K256" s="12">
        <f>VLOOKUP($D256,$E$741:$V$815,K$1,FALSE)*$H256</f>
        <v>0</v>
      </c>
      <c r="L256" s="12">
        <f>VLOOKUP($D256,$E$741:$V$815,L$1,FALSE)*$H256</f>
        <v>0</v>
      </c>
      <c r="M256" s="9">
        <f>SUM(N256:O256)</f>
        <v>0</v>
      </c>
      <c r="N256" s="12">
        <f>VLOOKUP($D256,$E$741:$V$815,N$1,FALSE)*$H256</f>
        <v>0</v>
      </c>
      <c r="O256" s="12">
        <f>VLOOKUP($D256,$E$741:$V$815,O$1,FALSE)*$H256</f>
        <v>0</v>
      </c>
      <c r="P256" s="9">
        <f t="shared" si="138"/>
        <v>0</v>
      </c>
      <c r="Q256" s="12">
        <f t="shared" ref="Q256:V257" si="166">VLOOKUP($D256,$E$741:$V$815,Q$1,FALSE)*$H256</f>
        <v>0</v>
      </c>
      <c r="R256" s="12">
        <f t="shared" si="166"/>
        <v>0</v>
      </c>
      <c r="S256" s="12">
        <f t="shared" si="166"/>
        <v>0</v>
      </c>
      <c r="T256" s="12">
        <f t="shared" si="166"/>
        <v>0</v>
      </c>
      <c r="U256" s="12">
        <f t="shared" si="166"/>
        <v>0</v>
      </c>
      <c r="V256" s="12">
        <f t="shared" si="166"/>
        <v>0</v>
      </c>
      <c r="W256" s="27" t="str">
        <f>IF((+K256+L256+M256+P256+T256+U256+V256)-H256=0,"OK",(+K256+L256+M256+P256+T256+U256+V256)-H256)</f>
        <v>OK</v>
      </c>
    </row>
    <row r="257" spans="1:23" x14ac:dyDescent="0.2">
      <c r="A257" s="3">
        <f t="shared" si="162"/>
        <v>5</v>
      </c>
      <c r="B257" s="3" t="s">
        <v>528</v>
      </c>
      <c r="C257" s="3" t="s">
        <v>529</v>
      </c>
      <c r="D257" s="1" t="s">
        <v>331</v>
      </c>
      <c r="E257" s="4" t="s">
        <v>592</v>
      </c>
      <c r="F257" s="11"/>
      <c r="G257" s="11"/>
      <c r="H257" s="14">
        <f>'II-I TOTAL COMPANY'!M257</f>
        <v>0</v>
      </c>
      <c r="I257" s="66">
        <v>0</v>
      </c>
      <c r="J257" s="66">
        <f t="shared" si="165"/>
        <v>0</v>
      </c>
      <c r="K257" s="12">
        <f>VLOOKUP($D257,$E$741:$V$815,K$1,FALSE)*$H257</f>
        <v>0</v>
      </c>
      <c r="L257" s="12">
        <f>VLOOKUP($D257,$E$741:$V$815,L$1,FALSE)*$H257</f>
        <v>0</v>
      </c>
      <c r="M257" s="9">
        <f>SUM(N257:O257)</f>
        <v>0</v>
      </c>
      <c r="N257" s="12">
        <f>VLOOKUP($D257,$E$741:$V$815,N$1,FALSE)*$H257</f>
        <v>0</v>
      </c>
      <c r="O257" s="12">
        <f>VLOOKUP($D257,$E$741:$V$815,O$1,FALSE)*$H257</f>
        <v>0</v>
      </c>
      <c r="P257" s="9">
        <f t="shared" si="138"/>
        <v>0</v>
      </c>
      <c r="Q257" s="12">
        <f t="shared" si="166"/>
        <v>0</v>
      </c>
      <c r="R257" s="12">
        <f t="shared" si="166"/>
        <v>0</v>
      </c>
      <c r="S257" s="12">
        <f t="shared" si="166"/>
        <v>0</v>
      </c>
      <c r="T257" s="12">
        <f t="shared" si="166"/>
        <v>0</v>
      </c>
      <c r="U257" s="12">
        <f t="shared" si="166"/>
        <v>0</v>
      </c>
      <c r="V257" s="12">
        <f t="shared" si="166"/>
        <v>0</v>
      </c>
      <c r="W257" s="27" t="str">
        <f>IF((+K257+L257+M257+P257+T257+U257+V257)-H257=0,"OK",(+K257+L257+M257+P257+T257+U257+V257)-H257)</f>
        <v>OK</v>
      </c>
    </row>
    <row r="258" spans="1:23" x14ac:dyDescent="0.2">
      <c r="A258" s="3">
        <f t="shared" si="162"/>
        <v>6</v>
      </c>
      <c r="B258" s="3"/>
      <c r="C258" s="3"/>
      <c r="D258" s="1"/>
      <c r="E258" s="4"/>
      <c r="F258" s="4"/>
      <c r="G258" s="4"/>
      <c r="H258" s="14"/>
      <c r="I258" s="66">
        <v>0</v>
      </c>
      <c r="J258" s="66">
        <f t="shared" si="165"/>
        <v>0</v>
      </c>
      <c r="K258" s="12"/>
      <c r="L258" s="12"/>
      <c r="M258" s="9"/>
      <c r="N258" s="12"/>
      <c r="O258" s="12"/>
      <c r="P258" s="9"/>
      <c r="Q258" s="12"/>
      <c r="R258" s="12"/>
      <c r="S258" s="12"/>
      <c r="T258" s="12"/>
      <c r="U258" s="12"/>
      <c r="V258" s="12"/>
      <c r="W258" s="27"/>
    </row>
    <row r="259" spans="1:23" x14ac:dyDescent="0.2">
      <c r="A259" s="3">
        <f t="shared" si="162"/>
        <v>7</v>
      </c>
      <c r="B259" s="3"/>
      <c r="C259" s="3" t="s">
        <v>124</v>
      </c>
      <c r="D259" s="1"/>
      <c r="E259" s="4"/>
      <c r="F259" s="15"/>
      <c r="G259" s="15"/>
      <c r="H259" s="15">
        <f>SUM(H256:H258)</f>
        <v>0</v>
      </c>
      <c r="I259" s="15">
        <f t="shared" ref="I259:V259" si="167">SUM(I256:I258)</f>
        <v>0</v>
      </c>
      <c r="J259" s="66">
        <f t="shared" si="165"/>
        <v>0</v>
      </c>
      <c r="K259" s="15">
        <f t="shared" si="167"/>
        <v>0</v>
      </c>
      <c r="L259" s="15">
        <f t="shared" si="167"/>
        <v>0</v>
      </c>
      <c r="M259" s="15">
        <f t="shared" si="167"/>
        <v>0</v>
      </c>
      <c r="N259" s="15">
        <f t="shared" si="167"/>
        <v>0</v>
      </c>
      <c r="O259" s="15">
        <f t="shared" si="167"/>
        <v>0</v>
      </c>
      <c r="P259" s="9">
        <f t="shared" si="138"/>
        <v>0</v>
      </c>
      <c r="Q259" s="15">
        <f t="shared" si="167"/>
        <v>0</v>
      </c>
      <c r="R259" s="15">
        <f t="shared" si="167"/>
        <v>0</v>
      </c>
      <c r="S259" s="15">
        <f>SUM(S256:S258)</f>
        <v>0</v>
      </c>
      <c r="T259" s="15">
        <f t="shared" si="167"/>
        <v>0</v>
      </c>
      <c r="U259" s="15">
        <f t="shared" si="167"/>
        <v>0</v>
      </c>
      <c r="V259" s="15">
        <f t="shared" si="167"/>
        <v>0</v>
      </c>
      <c r="W259" s="27" t="str">
        <f>IF((+K259+L259+M259+P259+T259+U259+V259)-H259=0,"OK",(+K259+L259+M259+P259+T259+U259+V259)-H259)</f>
        <v>OK</v>
      </c>
    </row>
    <row r="260" spans="1:23" x14ac:dyDescent="0.2">
      <c r="A260" s="3">
        <f t="shared" si="162"/>
        <v>8</v>
      </c>
      <c r="B260" s="7" t="s">
        <v>125</v>
      </c>
      <c r="C260" s="3"/>
      <c r="D260" s="1"/>
      <c r="E260" s="4"/>
      <c r="F260" s="4"/>
      <c r="G260" s="4"/>
      <c r="H260" s="14"/>
      <c r="I260" s="66"/>
      <c r="J260" s="66"/>
      <c r="K260" s="12"/>
      <c r="L260" s="12"/>
      <c r="M260" s="3"/>
      <c r="N260" s="3"/>
      <c r="O260" s="3"/>
      <c r="P260" s="9"/>
      <c r="Q260" s="3"/>
      <c r="R260" s="3"/>
      <c r="S260" s="3"/>
      <c r="T260" s="3"/>
      <c r="U260" s="3"/>
      <c r="V260" s="3"/>
      <c r="W260" s="27" t="str">
        <f>IF((+K260+L260+M260+P260+T260+U260+V260)-H260=0,"OK",(+K260+L260+M260+P260+T260+U260+V260)-H260)</f>
        <v>OK</v>
      </c>
    </row>
    <row r="261" spans="1:23" x14ac:dyDescent="0.2">
      <c r="A261" s="3">
        <f t="shared" si="162"/>
        <v>9</v>
      </c>
      <c r="B261" s="3"/>
      <c r="C261" s="3"/>
      <c r="D261" s="1"/>
      <c r="E261" s="4"/>
      <c r="F261" s="4"/>
      <c r="G261" s="4"/>
      <c r="H261" s="14"/>
      <c r="I261" s="66"/>
      <c r="J261" s="66"/>
      <c r="K261" s="12"/>
      <c r="L261" s="12"/>
      <c r="M261" s="3"/>
      <c r="N261" s="3"/>
      <c r="O261" s="3"/>
      <c r="P261" s="9"/>
      <c r="Q261" s="3"/>
      <c r="R261" s="3"/>
      <c r="S261" s="3"/>
      <c r="T261" s="3"/>
      <c r="U261" s="3"/>
      <c r="V261" s="3"/>
      <c r="W261" s="27" t="str">
        <f>IF((+K261+L261+M261+P261+T261+U261+V261)-H261=0,"OK",(+K261+L261+M261+P261+T261+U261+V261)-H261)</f>
        <v>OK</v>
      </c>
    </row>
    <row r="262" spans="1:23" x14ac:dyDescent="0.2">
      <c r="A262" s="3">
        <f t="shared" si="162"/>
        <v>10</v>
      </c>
      <c r="B262" s="3"/>
      <c r="C262" s="3" t="s">
        <v>126</v>
      </c>
      <c r="D262" s="1"/>
      <c r="E262" s="4"/>
      <c r="F262" s="4"/>
      <c r="G262" s="4"/>
      <c r="H262" s="8"/>
      <c r="I262" s="8"/>
      <c r="J262" s="8"/>
      <c r="K262" s="8"/>
      <c r="L262" s="8"/>
      <c r="M262" s="3"/>
      <c r="N262" s="3"/>
      <c r="O262" s="3"/>
      <c r="P262" s="9"/>
      <c r="Q262" s="3"/>
      <c r="R262" s="3"/>
      <c r="S262" s="3"/>
      <c r="T262" s="3"/>
      <c r="U262" s="3"/>
      <c r="V262" s="3"/>
      <c r="W262" s="27" t="str">
        <f>IF((+K262+L262+M262+P262+T262+U262+V262)-H262=0,"OK",(+K262+L262+M262+P262+T262+U262+V262)-H262)</f>
        <v>OK</v>
      </c>
    </row>
    <row r="263" spans="1:23" x14ac:dyDescent="0.2">
      <c r="A263" s="3">
        <f t="shared" si="162"/>
        <v>11</v>
      </c>
      <c r="B263" s="3"/>
      <c r="C263" s="3"/>
      <c r="D263" s="1"/>
      <c r="E263" s="4"/>
      <c r="F263" s="4"/>
      <c r="G263" s="4"/>
      <c r="H263" s="14"/>
      <c r="I263" s="66"/>
      <c r="J263" s="66"/>
      <c r="K263" s="12"/>
      <c r="L263" s="12"/>
      <c r="M263" s="9"/>
      <c r="N263" s="12"/>
      <c r="O263" s="12"/>
      <c r="P263" s="9"/>
      <c r="Q263" s="12"/>
      <c r="R263" s="12"/>
      <c r="S263" s="12"/>
      <c r="T263" s="12"/>
      <c r="U263" s="12"/>
      <c r="V263" s="12"/>
      <c r="W263" s="27"/>
    </row>
    <row r="264" spans="1:23" x14ac:dyDescent="0.2">
      <c r="A264" s="3">
        <f t="shared" si="162"/>
        <v>12</v>
      </c>
      <c r="B264" s="3" t="s">
        <v>127</v>
      </c>
      <c r="C264" s="3" t="s">
        <v>558</v>
      </c>
      <c r="D264" s="1" t="s">
        <v>313</v>
      </c>
      <c r="E264" s="4" t="s">
        <v>592</v>
      </c>
      <c r="F264" s="11"/>
      <c r="G264" s="11"/>
      <c r="H264" s="14">
        <f>'II-I TOTAL COMPANY'!M264</f>
        <v>0</v>
      </c>
      <c r="I264" s="66">
        <v>0</v>
      </c>
      <c r="J264" s="66">
        <f t="shared" ref="J264:J266" si="168">SUM(K264:V264)-M264-P264</f>
        <v>0</v>
      </c>
      <c r="K264" s="12">
        <f>VLOOKUP($D264,$E$741:$V$815,K$1,FALSE)*$H264</f>
        <v>0</v>
      </c>
      <c r="L264" s="12">
        <f>VLOOKUP($D264,$E$741:$V$815,L$1,FALSE)*$H264</f>
        <v>0</v>
      </c>
      <c r="M264" s="9">
        <f>SUM(N264:O264)</f>
        <v>0</v>
      </c>
      <c r="N264" s="12">
        <f>VLOOKUP($D264,$E$741:$V$815,N$1,FALSE)*$H264</f>
        <v>0</v>
      </c>
      <c r="O264" s="12">
        <f>VLOOKUP($D264,$E$741:$V$815,O$1,FALSE)*$H264</f>
        <v>0</v>
      </c>
      <c r="P264" s="9">
        <f t="shared" si="138"/>
        <v>0</v>
      </c>
      <c r="Q264" s="12">
        <f t="shared" ref="Q264:V265" si="169">VLOOKUP($D264,$E$741:$V$815,Q$1,FALSE)*$H264</f>
        <v>0</v>
      </c>
      <c r="R264" s="12">
        <f t="shared" si="169"/>
        <v>0</v>
      </c>
      <c r="S264" s="12">
        <f t="shared" si="169"/>
        <v>0</v>
      </c>
      <c r="T264" s="12">
        <f t="shared" si="169"/>
        <v>0</v>
      </c>
      <c r="U264" s="12">
        <f t="shared" si="169"/>
        <v>0</v>
      </c>
      <c r="V264" s="12">
        <f t="shared" si="169"/>
        <v>0</v>
      </c>
      <c r="W264" s="27" t="str">
        <f t="shared" ref="W264:W327" si="170">IF((+K264+L264+M264+P264+T264+U264+V264)-H264=0,"OK",(+K264+L264+M264+P264+T264+U264+V264)-H264)</f>
        <v>OK</v>
      </c>
    </row>
    <row r="265" spans="1:23" x14ac:dyDescent="0.2">
      <c r="A265" s="3">
        <f t="shared" si="162"/>
        <v>13</v>
      </c>
      <c r="B265" s="3" t="s">
        <v>128</v>
      </c>
      <c r="C265" s="3" t="s">
        <v>559</v>
      </c>
      <c r="D265" s="1" t="s">
        <v>313</v>
      </c>
      <c r="E265" s="4" t="s">
        <v>592</v>
      </c>
      <c r="F265" s="11"/>
      <c r="G265" s="11"/>
      <c r="H265" s="14">
        <f>'II-I TOTAL COMPANY'!M265</f>
        <v>0</v>
      </c>
      <c r="I265" s="66">
        <v>0</v>
      </c>
      <c r="J265" s="66">
        <f t="shared" si="168"/>
        <v>0</v>
      </c>
      <c r="K265" s="12">
        <f>VLOOKUP($D265,$E$741:$V$815,K$1,FALSE)*$H265</f>
        <v>0</v>
      </c>
      <c r="L265" s="12">
        <f>VLOOKUP($D265,$E$741:$V$815,L$1,FALSE)*$H265</f>
        <v>0</v>
      </c>
      <c r="M265" s="9">
        <f>SUM(N265:O265)</f>
        <v>0</v>
      </c>
      <c r="N265" s="12">
        <f>VLOOKUP($D265,$E$741:$V$815,N$1,FALSE)*$H265</f>
        <v>0</v>
      </c>
      <c r="O265" s="12">
        <f>VLOOKUP($D265,$E$741:$V$815,O$1,FALSE)*$H265</f>
        <v>0</v>
      </c>
      <c r="P265" s="9">
        <f t="shared" si="138"/>
        <v>0</v>
      </c>
      <c r="Q265" s="12">
        <f t="shared" si="169"/>
        <v>0</v>
      </c>
      <c r="R265" s="12">
        <f t="shared" si="169"/>
        <v>0</v>
      </c>
      <c r="S265" s="12">
        <f t="shared" si="169"/>
        <v>0</v>
      </c>
      <c r="T265" s="12">
        <f t="shared" si="169"/>
        <v>0</v>
      </c>
      <c r="U265" s="12">
        <f t="shared" si="169"/>
        <v>0</v>
      </c>
      <c r="V265" s="12">
        <f t="shared" si="169"/>
        <v>0</v>
      </c>
      <c r="W265" s="27" t="str">
        <f t="shared" si="170"/>
        <v>OK</v>
      </c>
    </row>
    <row r="266" spans="1:23" x14ac:dyDescent="0.2">
      <c r="A266" s="3">
        <f t="shared" si="162"/>
        <v>14</v>
      </c>
      <c r="B266" s="3"/>
      <c r="C266" s="3" t="s">
        <v>129</v>
      </c>
      <c r="D266" s="1"/>
      <c r="E266" s="4"/>
      <c r="F266" s="15"/>
      <c r="G266" s="15"/>
      <c r="H266" s="15">
        <f t="shared" ref="H266:V266" si="171">SUM(H263:H265)</f>
        <v>0</v>
      </c>
      <c r="I266" s="15">
        <f t="shared" si="171"/>
        <v>0</v>
      </c>
      <c r="J266" s="66">
        <f t="shared" si="168"/>
        <v>0</v>
      </c>
      <c r="K266" s="15">
        <f t="shared" si="171"/>
        <v>0</v>
      </c>
      <c r="L266" s="15">
        <f t="shared" si="171"/>
        <v>0</v>
      </c>
      <c r="M266" s="9">
        <f>SUM(N266:O266)</f>
        <v>0</v>
      </c>
      <c r="N266" s="15">
        <f t="shared" si="171"/>
        <v>0</v>
      </c>
      <c r="O266" s="15">
        <f t="shared" si="171"/>
        <v>0</v>
      </c>
      <c r="P266" s="9">
        <f t="shared" si="138"/>
        <v>0</v>
      </c>
      <c r="Q266" s="15">
        <f t="shared" si="171"/>
        <v>0</v>
      </c>
      <c r="R266" s="15">
        <f t="shared" si="171"/>
        <v>0</v>
      </c>
      <c r="S266" s="15">
        <f>SUM(S263:S265)</f>
        <v>0</v>
      </c>
      <c r="T266" s="15">
        <f t="shared" si="171"/>
        <v>0</v>
      </c>
      <c r="U266" s="15">
        <f t="shared" si="171"/>
        <v>0</v>
      </c>
      <c r="V266" s="15">
        <f t="shared" si="171"/>
        <v>0</v>
      </c>
      <c r="W266" s="27" t="str">
        <f t="shared" si="170"/>
        <v>OK</v>
      </c>
    </row>
    <row r="267" spans="1:23" x14ac:dyDescent="0.2">
      <c r="A267" s="3">
        <f t="shared" si="162"/>
        <v>15</v>
      </c>
      <c r="B267" s="3"/>
      <c r="C267" s="3"/>
      <c r="D267" s="1"/>
      <c r="E267" s="4"/>
      <c r="F267" s="4"/>
      <c r="G267" s="4"/>
      <c r="H267" s="14"/>
      <c r="I267" s="66"/>
      <c r="J267" s="66"/>
      <c r="K267" s="12"/>
      <c r="L267" s="12"/>
      <c r="M267" s="3"/>
      <c r="N267" s="3"/>
      <c r="O267" s="3"/>
      <c r="P267" s="9"/>
      <c r="Q267" s="3"/>
      <c r="R267" s="3"/>
      <c r="S267" s="3"/>
      <c r="T267" s="3"/>
      <c r="U267" s="3"/>
      <c r="V267" s="3"/>
      <c r="W267" s="27" t="str">
        <f t="shared" si="170"/>
        <v>OK</v>
      </c>
    </row>
    <row r="268" spans="1:23" x14ac:dyDescent="0.2">
      <c r="A268" s="3">
        <f t="shared" si="162"/>
        <v>16</v>
      </c>
      <c r="B268" s="7" t="s">
        <v>130</v>
      </c>
      <c r="C268" s="3"/>
      <c r="D268" s="1"/>
      <c r="E268" s="4"/>
      <c r="F268" s="4"/>
      <c r="G268" s="4"/>
      <c r="H268" s="14"/>
      <c r="I268" s="66"/>
      <c r="J268" s="66"/>
      <c r="K268" s="12"/>
      <c r="L268" s="12"/>
      <c r="M268" s="3"/>
      <c r="N268" s="3"/>
      <c r="O268" s="3"/>
      <c r="P268" s="9"/>
      <c r="Q268" s="3"/>
      <c r="R268" s="3"/>
      <c r="S268" s="3"/>
      <c r="T268" s="3"/>
      <c r="U268" s="3"/>
      <c r="V268" s="3"/>
      <c r="W268" s="27" t="str">
        <f t="shared" si="170"/>
        <v>OK</v>
      </c>
    </row>
    <row r="269" spans="1:23" x14ac:dyDescent="0.2">
      <c r="A269" s="3">
        <f t="shared" si="162"/>
        <v>17</v>
      </c>
      <c r="B269" s="3"/>
      <c r="C269" s="3"/>
      <c r="D269" s="1"/>
      <c r="E269" s="4"/>
      <c r="F269" s="4"/>
      <c r="G269" s="4"/>
      <c r="H269" s="14"/>
      <c r="I269" s="66"/>
      <c r="J269" s="66"/>
      <c r="K269" s="12"/>
      <c r="L269" s="12"/>
      <c r="M269" s="3"/>
      <c r="N269" s="3"/>
      <c r="O269" s="3"/>
      <c r="P269" s="9"/>
      <c r="Q269" s="3"/>
      <c r="R269" s="3"/>
      <c r="S269" s="3"/>
      <c r="T269" s="3"/>
      <c r="U269" s="3"/>
      <c r="V269" s="3"/>
      <c r="W269" s="27" t="str">
        <f t="shared" si="170"/>
        <v>OK</v>
      </c>
    </row>
    <row r="270" spans="1:23" x14ac:dyDescent="0.2">
      <c r="A270" s="3">
        <f t="shared" si="162"/>
        <v>18</v>
      </c>
      <c r="B270" s="3"/>
      <c r="C270" s="3" t="s">
        <v>560</v>
      </c>
      <c r="D270" s="1" t="s">
        <v>476</v>
      </c>
      <c r="E270" s="4" t="s">
        <v>592</v>
      </c>
      <c r="F270" s="11"/>
      <c r="G270" s="1"/>
      <c r="H270" s="14">
        <f>'II-I TOTAL COMPANY'!M270</f>
        <v>-53243.141762141597</v>
      </c>
      <c r="I270" s="66">
        <v>0</v>
      </c>
      <c r="J270" s="66">
        <f t="shared" ref="J270:J271" si="172">SUM(K270:V270)-M270-P270</f>
        <v>-53243.141762141589</v>
      </c>
      <c r="K270" s="12">
        <f>VLOOKUP($D270,$E$741:$V$815,K$1,FALSE)*$H270</f>
        <v>-42154.099518528179</v>
      </c>
      <c r="L270" s="12">
        <f>VLOOKUP($D270,$E$741:$V$815,L$1,FALSE)*$H270</f>
        <v>-4478.7361642256528</v>
      </c>
      <c r="M270" s="9">
        <f>SUM(N270:O270)</f>
        <v>-5881.3006217706788</v>
      </c>
      <c r="N270" s="12">
        <f>VLOOKUP($D270,$E$741:$V$815,N$1,FALSE)*$H270</f>
        <v>-46.784642214916808</v>
      </c>
      <c r="O270" s="12">
        <f>VLOOKUP($D270,$E$741:$V$815,O$1,FALSE)*$H270</f>
        <v>-5834.515979555762</v>
      </c>
      <c r="P270" s="9">
        <f t="shared" si="138"/>
        <v>-89.020643267060976</v>
      </c>
      <c r="Q270" s="12">
        <f t="shared" ref="Q270:V270" si="173">VLOOKUP($D270,$E$741:$V$815,Q$1,FALSE)*$H270</f>
        <v>-38.093745136798582</v>
      </c>
      <c r="R270" s="12">
        <f t="shared" si="173"/>
        <v>-44.672835448271258</v>
      </c>
      <c r="S270" s="12">
        <f t="shared" si="173"/>
        <v>-6.2540626819911243</v>
      </c>
      <c r="T270" s="12">
        <f t="shared" si="173"/>
        <v>-10.040336206636145</v>
      </c>
      <c r="U270" s="12">
        <f t="shared" si="173"/>
        <v>-628.40123473699191</v>
      </c>
      <c r="V270" s="12">
        <f t="shared" si="173"/>
        <v>-1.5432434063948253</v>
      </c>
      <c r="W270" s="27">
        <f t="shared" si="170"/>
        <v>7.2759576141834259E-12</v>
      </c>
    </row>
    <row r="271" spans="1:23" x14ac:dyDescent="0.2">
      <c r="A271" s="3">
        <f t="shared" si="162"/>
        <v>19</v>
      </c>
      <c r="B271" s="3"/>
      <c r="C271" s="3"/>
      <c r="D271" s="1"/>
      <c r="E271" s="4"/>
      <c r="F271" s="4"/>
      <c r="G271" s="4"/>
      <c r="H271" s="14"/>
      <c r="I271" s="66">
        <v>0</v>
      </c>
      <c r="J271" s="66">
        <f t="shared" si="172"/>
        <v>0</v>
      </c>
      <c r="K271" s="12"/>
      <c r="L271" s="12"/>
      <c r="M271" s="3"/>
      <c r="N271" s="3"/>
      <c r="O271" s="3"/>
      <c r="P271" s="9"/>
      <c r="Q271" s="3"/>
      <c r="R271" s="3"/>
      <c r="S271" s="3"/>
      <c r="T271" s="3"/>
      <c r="U271" s="3"/>
      <c r="V271" s="3"/>
      <c r="W271" s="27" t="str">
        <f t="shared" si="170"/>
        <v>OK</v>
      </c>
    </row>
    <row r="272" spans="1:23" x14ac:dyDescent="0.2">
      <c r="A272" s="3">
        <f t="shared" si="162"/>
        <v>20</v>
      </c>
      <c r="B272" s="3"/>
      <c r="C272" s="3"/>
      <c r="D272" s="1"/>
      <c r="E272" s="4"/>
      <c r="F272" s="4"/>
      <c r="G272" s="4"/>
      <c r="H272" s="14"/>
      <c r="I272" s="66"/>
      <c r="J272" s="66"/>
      <c r="K272" s="12"/>
      <c r="L272" s="12"/>
      <c r="M272" s="3"/>
      <c r="N272" s="3"/>
      <c r="O272" s="3"/>
      <c r="P272" s="9"/>
      <c r="Q272" s="3"/>
      <c r="R272" s="3"/>
      <c r="S272" s="3"/>
      <c r="T272" s="3"/>
      <c r="U272" s="3"/>
      <c r="V272" s="3"/>
      <c r="W272" s="27" t="str">
        <f t="shared" si="170"/>
        <v>OK</v>
      </c>
    </row>
    <row r="273" spans="1:23" x14ac:dyDescent="0.2">
      <c r="A273" s="3">
        <f t="shared" si="162"/>
        <v>21</v>
      </c>
      <c r="B273" s="3"/>
      <c r="C273" s="3"/>
      <c r="D273" s="1"/>
      <c r="E273" s="4"/>
      <c r="F273" s="4"/>
      <c r="G273" s="4"/>
      <c r="H273" s="14"/>
      <c r="I273" s="66"/>
      <c r="J273" s="66"/>
      <c r="K273" s="12"/>
      <c r="L273" s="12"/>
      <c r="M273" s="3"/>
      <c r="N273" s="3"/>
      <c r="O273" s="3"/>
      <c r="P273" s="9"/>
      <c r="Q273" s="3"/>
      <c r="R273" s="3"/>
      <c r="S273" s="3"/>
      <c r="T273" s="3"/>
      <c r="U273" s="3"/>
      <c r="V273" s="3"/>
      <c r="W273" s="27" t="str">
        <f t="shared" si="170"/>
        <v>OK</v>
      </c>
    </row>
    <row r="274" spans="1:23" x14ac:dyDescent="0.2">
      <c r="A274" s="3">
        <f t="shared" si="162"/>
        <v>22</v>
      </c>
      <c r="B274" s="7" t="s">
        <v>131</v>
      </c>
      <c r="C274" s="3"/>
      <c r="D274" s="1"/>
      <c r="E274" s="4"/>
      <c r="F274" s="4"/>
      <c r="G274" s="4"/>
      <c r="H274" s="14"/>
      <c r="I274" s="66"/>
      <c r="J274" s="66"/>
      <c r="K274" s="12"/>
      <c r="L274" s="12"/>
      <c r="M274" s="3"/>
      <c r="N274" s="3"/>
      <c r="O274" s="3"/>
      <c r="P274" s="9"/>
      <c r="Q274" s="3"/>
      <c r="R274" s="3"/>
      <c r="S274" s="3"/>
      <c r="T274" s="3"/>
      <c r="U274" s="3"/>
      <c r="V274" s="3"/>
      <c r="W274" s="27" t="str">
        <f t="shared" si="170"/>
        <v>OK</v>
      </c>
    </row>
    <row r="275" spans="1:23" x14ac:dyDescent="0.2">
      <c r="A275" s="3">
        <f t="shared" si="162"/>
        <v>23</v>
      </c>
      <c r="B275" s="3"/>
      <c r="C275" s="3"/>
      <c r="D275" s="1"/>
      <c r="E275" s="4"/>
      <c r="F275" s="4"/>
      <c r="G275" s="4"/>
      <c r="H275" s="14"/>
      <c r="I275" s="66"/>
      <c r="J275" s="66"/>
      <c r="K275" s="12"/>
      <c r="L275" s="12"/>
      <c r="M275" s="3"/>
      <c r="N275" s="3"/>
      <c r="O275" s="3"/>
      <c r="P275" s="9"/>
      <c r="Q275" s="3"/>
      <c r="R275" s="3"/>
      <c r="S275" s="3"/>
      <c r="T275" s="3"/>
      <c r="U275" s="3"/>
      <c r="V275" s="3"/>
      <c r="W275" s="27" t="str">
        <f t="shared" si="170"/>
        <v>OK</v>
      </c>
    </row>
    <row r="276" spans="1:23" x14ac:dyDescent="0.2">
      <c r="A276" s="3">
        <f t="shared" si="162"/>
        <v>24</v>
      </c>
      <c r="B276" s="3" t="s">
        <v>132</v>
      </c>
      <c r="C276" s="3" t="s">
        <v>561</v>
      </c>
      <c r="D276" s="1" t="s">
        <v>313</v>
      </c>
      <c r="E276" s="4" t="s">
        <v>592</v>
      </c>
      <c r="F276" s="11"/>
      <c r="G276" s="11"/>
      <c r="H276" s="14">
        <f>'II-I TOTAL COMPANY'!M276</f>
        <v>9801291.5712137818</v>
      </c>
      <c r="I276" s="66">
        <v>0</v>
      </c>
      <c r="J276" s="66">
        <f t="shared" ref="J276" si="174">SUM(K276:V276)-M276-P276</f>
        <v>9801291.57121378</v>
      </c>
      <c r="K276" s="12">
        <f>VLOOKUP($D276,$E$741:$V$815,K$1,FALSE)*$H276</f>
        <v>8034781.4245112874</v>
      </c>
      <c r="L276" s="12">
        <f>VLOOKUP($D276,$E$741:$V$815,L$1,FALSE)*$H276</f>
        <v>853669.43069891154</v>
      </c>
      <c r="M276" s="9">
        <f>SUM(N276:O276)</f>
        <v>564872.39667472476</v>
      </c>
      <c r="N276" s="12">
        <f>VLOOKUP($D276,$E$741:$V$815,N$1,FALSE)*$H276</f>
        <v>4493.4538591147693</v>
      </c>
      <c r="O276" s="12">
        <f>VLOOKUP($D276,$E$741:$V$815,O$1,FALSE)*$H276</f>
        <v>560378.94281560997</v>
      </c>
      <c r="P276" s="9">
        <f t="shared" ref="P276:P339" si="175">SUM(Q276:S276)</f>
        <v>8607.8484681344635</v>
      </c>
      <c r="Q276" s="12">
        <f t="shared" ref="Q276:V276" si="176">VLOOKUP($D276,$E$741:$V$815,Q$1,FALSE)*$H276</f>
        <v>3658.7323957028243</v>
      </c>
      <c r="R276" s="12">
        <f t="shared" si="176"/>
        <v>4290.6243446408389</v>
      </c>
      <c r="S276" s="12">
        <f t="shared" si="176"/>
        <v>658.49172779080163</v>
      </c>
      <c r="T276" s="12">
        <f t="shared" si="176"/>
        <v>967.87918492682445</v>
      </c>
      <c r="U276" s="12">
        <f t="shared" si="176"/>
        <v>338244.3701075266</v>
      </c>
      <c r="V276" s="12">
        <f t="shared" si="176"/>
        <v>148.22156826941074</v>
      </c>
      <c r="W276" s="27">
        <f t="shared" si="170"/>
        <v>-3.7252902984619141E-9</v>
      </c>
    </row>
    <row r="277" spans="1:23" x14ac:dyDescent="0.2">
      <c r="A277" s="3">
        <f t="shared" si="162"/>
        <v>25</v>
      </c>
      <c r="B277" s="3"/>
      <c r="C277" s="3"/>
      <c r="D277" s="1"/>
      <c r="E277" s="4"/>
      <c r="F277" s="4"/>
      <c r="G277" s="4"/>
      <c r="H277" s="14"/>
      <c r="I277" s="66"/>
      <c r="J277" s="66"/>
      <c r="K277" s="12"/>
      <c r="L277" s="12"/>
      <c r="M277" s="3"/>
      <c r="N277" s="3"/>
      <c r="O277" s="3"/>
      <c r="P277" s="9"/>
      <c r="Q277" s="3"/>
      <c r="R277" s="3"/>
      <c r="S277" s="3"/>
      <c r="T277" s="3"/>
      <c r="U277" s="3"/>
      <c r="V277" s="3"/>
      <c r="W277" s="27" t="str">
        <f t="shared" si="170"/>
        <v>OK</v>
      </c>
    </row>
    <row r="278" spans="1:23" x14ac:dyDescent="0.2">
      <c r="A278" s="3">
        <f t="shared" si="162"/>
        <v>26</v>
      </c>
      <c r="B278" s="3"/>
      <c r="C278" s="3"/>
      <c r="D278" s="1"/>
      <c r="E278" s="4"/>
      <c r="F278" s="4"/>
      <c r="G278" s="4"/>
      <c r="H278" s="14"/>
      <c r="I278" s="66"/>
      <c r="J278" s="66"/>
      <c r="K278" s="12"/>
      <c r="L278" s="12"/>
      <c r="M278" s="3"/>
      <c r="N278" s="3"/>
      <c r="O278" s="3"/>
      <c r="P278" s="9"/>
      <c r="Q278" s="3"/>
      <c r="R278" s="3"/>
      <c r="S278" s="3"/>
      <c r="T278" s="3"/>
      <c r="U278" s="3"/>
      <c r="V278" s="3"/>
      <c r="W278" s="27" t="str">
        <f t="shared" si="170"/>
        <v>OK</v>
      </c>
    </row>
    <row r="279" spans="1:23" x14ac:dyDescent="0.2">
      <c r="A279" s="3">
        <f t="shared" si="162"/>
        <v>27</v>
      </c>
      <c r="B279" s="3"/>
      <c r="C279" s="3"/>
      <c r="D279" s="1"/>
      <c r="E279" s="4"/>
      <c r="F279" s="4"/>
      <c r="G279" s="4"/>
      <c r="H279" s="14"/>
      <c r="I279" s="66"/>
      <c r="J279" s="66"/>
      <c r="K279" s="12"/>
      <c r="L279" s="12"/>
      <c r="M279" s="3"/>
      <c r="N279" s="3"/>
      <c r="O279" s="3"/>
      <c r="P279" s="9"/>
      <c r="Q279" s="3"/>
      <c r="R279" s="3"/>
      <c r="S279" s="3"/>
      <c r="T279" s="3"/>
      <c r="U279" s="3"/>
      <c r="V279" s="3"/>
      <c r="W279" s="27" t="str">
        <f t="shared" si="170"/>
        <v>OK</v>
      </c>
    </row>
    <row r="280" spans="1:23" x14ac:dyDescent="0.2">
      <c r="A280" s="3">
        <f t="shared" si="162"/>
        <v>28</v>
      </c>
      <c r="B280" s="7" t="s">
        <v>133</v>
      </c>
      <c r="C280" s="3"/>
      <c r="D280" s="1"/>
      <c r="E280" s="4"/>
      <c r="F280" s="4"/>
      <c r="G280" s="4"/>
      <c r="H280" s="14"/>
      <c r="I280" s="76"/>
      <c r="J280" s="76"/>
      <c r="K280" s="45"/>
      <c r="L280" s="45"/>
      <c r="M280" s="45"/>
      <c r="N280" s="45"/>
      <c r="O280" s="45"/>
      <c r="P280" s="9"/>
      <c r="Q280" s="45"/>
      <c r="R280" s="45"/>
      <c r="S280" s="45"/>
      <c r="T280" s="45"/>
      <c r="U280" s="45"/>
      <c r="V280" s="45"/>
      <c r="W280" s="27" t="str">
        <f t="shared" si="170"/>
        <v>OK</v>
      </c>
    </row>
    <row r="281" spans="1:23" x14ac:dyDescent="0.2">
      <c r="A281" s="3">
        <f t="shared" si="162"/>
        <v>29</v>
      </c>
      <c r="B281" s="7" t="s">
        <v>584</v>
      </c>
      <c r="C281" s="3"/>
      <c r="D281" s="1"/>
      <c r="E281" s="4"/>
      <c r="F281" s="4"/>
      <c r="G281" s="4"/>
      <c r="H281" s="47"/>
      <c r="I281" s="46"/>
      <c r="J281" s="46"/>
      <c r="K281" s="46"/>
      <c r="L281" s="46"/>
      <c r="M281" s="46"/>
      <c r="N281" s="46"/>
      <c r="O281" s="46"/>
      <c r="P281" s="9"/>
      <c r="Q281" s="46"/>
      <c r="R281" s="46"/>
      <c r="S281" s="46"/>
      <c r="T281" s="46"/>
      <c r="U281" s="46"/>
      <c r="V281" s="46"/>
      <c r="W281" s="27" t="str">
        <f t="shared" si="170"/>
        <v>OK</v>
      </c>
    </row>
    <row r="282" spans="1:23" x14ac:dyDescent="0.2">
      <c r="A282" s="3">
        <f t="shared" si="162"/>
        <v>30</v>
      </c>
      <c r="B282" s="140" t="s">
        <v>803</v>
      </c>
      <c r="C282" s="140" t="s">
        <v>804</v>
      </c>
      <c r="D282" s="1" t="s">
        <v>313</v>
      </c>
      <c r="E282" s="4" t="s">
        <v>592</v>
      </c>
      <c r="F282" s="4"/>
      <c r="G282" s="11"/>
      <c r="H282" s="14">
        <f>'II-I TOTAL COMPANY'!M282</f>
        <v>-1031.1407533303036</v>
      </c>
      <c r="I282" s="66">
        <v>0</v>
      </c>
      <c r="J282" s="66">
        <f t="shared" ref="J282:J292" si="177">SUM(K282:V282)-M282-P282</f>
        <v>-1031.1407533303036</v>
      </c>
      <c r="K282" s="12">
        <f t="shared" ref="K282:L291" si="178">VLOOKUP($D282,$E$741:$V$815,K$1,FALSE)*$H282</f>
        <v>-845.2957970608453</v>
      </c>
      <c r="L282" s="12">
        <f t="shared" si="178"/>
        <v>-89.809933055273589</v>
      </c>
      <c r="M282" s="9">
        <f t="shared" ref="M282:M291" si="179">SUM(N282:O282)</f>
        <v>-59.427162676534707</v>
      </c>
      <c r="N282" s="12">
        <f t="shared" ref="N282:O291" si="180">VLOOKUP($D282,$E$741:$V$815,N$1,FALSE)*$H282</f>
        <v>-0.47273192146948551</v>
      </c>
      <c r="O282" s="12">
        <f t="shared" si="180"/>
        <v>-58.954430755065218</v>
      </c>
      <c r="P282" s="9">
        <f t="shared" ref="P282:P291" si="181">SUM(Q282:S282)</f>
        <v>-0.90558507411958256</v>
      </c>
      <c r="Q282" s="12">
        <f t="shared" ref="Q282:V291" si="182">VLOOKUP($D282,$E$741:$V$815,Q$1,FALSE)*$H282</f>
        <v>-0.38491540133539703</v>
      </c>
      <c r="R282" s="12">
        <f t="shared" si="182"/>
        <v>-0.45139332779204344</v>
      </c>
      <c r="S282" s="12">
        <f t="shared" si="182"/>
        <v>-6.9276344992142094E-2</v>
      </c>
      <c r="T282" s="12">
        <f t="shared" si="182"/>
        <v>-0.10182532216563499</v>
      </c>
      <c r="U282" s="12">
        <f t="shared" si="182"/>
        <v>-35.584856553677312</v>
      </c>
      <c r="V282" s="12">
        <f t="shared" si="182"/>
        <v>-1.5593587687361493E-2</v>
      </c>
      <c r="W282" s="27" t="str">
        <f t="shared" si="170"/>
        <v>OK</v>
      </c>
    </row>
    <row r="283" spans="1:23" x14ac:dyDescent="0.2">
      <c r="A283" s="3">
        <f t="shared" si="162"/>
        <v>31</v>
      </c>
      <c r="B283" s="140" t="s">
        <v>666</v>
      </c>
      <c r="C283" s="140" t="s">
        <v>667</v>
      </c>
      <c r="D283" s="1" t="s">
        <v>323</v>
      </c>
      <c r="E283" s="4" t="s">
        <v>592</v>
      </c>
      <c r="F283" s="11"/>
      <c r="G283" s="11"/>
      <c r="H283" s="14">
        <f>'II-I TOTAL COMPANY'!M283</f>
        <v>-12298.378013479556</v>
      </c>
      <c r="I283" s="66">
        <v>0</v>
      </c>
      <c r="J283" s="66">
        <f t="shared" si="177"/>
        <v>-12298.378013479554</v>
      </c>
      <c r="K283" s="12">
        <f t="shared" si="178"/>
        <v>-10081.812024094947</v>
      </c>
      <c r="L283" s="12">
        <f t="shared" si="178"/>
        <v>-1071.1597834842237</v>
      </c>
      <c r="M283" s="9">
        <f t="shared" si="179"/>
        <v>-708.78559353230469</v>
      </c>
      <c r="N283" s="12">
        <f t="shared" si="180"/>
        <v>-5.6382563199962368</v>
      </c>
      <c r="O283" s="12">
        <f t="shared" si="180"/>
        <v>-703.14733721230846</v>
      </c>
      <c r="P283" s="9">
        <f t="shared" si="181"/>
        <v>-10.800880024300579</v>
      </c>
      <c r="Q283" s="12">
        <f t="shared" si="182"/>
        <v>-4.5908718994413791</v>
      </c>
      <c r="R283" s="12">
        <f t="shared" si="182"/>
        <v>-5.3837516944408499</v>
      </c>
      <c r="S283" s="12">
        <f t="shared" si="182"/>
        <v>-0.82625643041834984</v>
      </c>
      <c r="T283" s="12">
        <f t="shared" si="182"/>
        <v>-1.2144668895034689</v>
      </c>
      <c r="U283" s="12">
        <f t="shared" si="182"/>
        <v>-424.41928130483046</v>
      </c>
      <c r="V283" s="12">
        <f t="shared" si="182"/>
        <v>-0.18598414944432023</v>
      </c>
      <c r="W283" s="27">
        <f t="shared" si="170"/>
        <v>3.637978807091713E-12</v>
      </c>
    </row>
    <row r="284" spans="1:23" x14ac:dyDescent="0.2">
      <c r="A284" s="3">
        <f t="shared" si="162"/>
        <v>32</v>
      </c>
      <c r="B284" s="140" t="s">
        <v>662</v>
      </c>
      <c r="C284" s="140" t="s">
        <v>663</v>
      </c>
      <c r="D284" s="1" t="s">
        <v>323</v>
      </c>
      <c r="E284" s="4" t="s">
        <v>592</v>
      </c>
      <c r="F284" s="11"/>
      <c r="G284" s="11"/>
      <c r="H284" s="14">
        <f>'II-I TOTAL COMPANY'!M284</f>
        <v>-197758.26254940327</v>
      </c>
      <c r="I284" s="66">
        <v>0</v>
      </c>
      <c r="J284" s="66">
        <f t="shared" si="177"/>
        <v>-197758.26254940321</v>
      </c>
      <c r="K284" s="12">
        <f t="shared" si="178"/>
        <v>-162115.81942345973</v>
      </c>
      <c r="L284" s="12">
        <f t="shared" si="178"/>
        <v>-17224.27928808656</v>
      </c>
      <c r="M284" s="9">
        <f t="shared" si="179"/>
        <v>-11397.292174900274</v>
      </c>
      <c r="N284" s="12">
        <f t="shared" si="180"/>
        <v>-90.66331937663216</v>
      </c>
      <c r="O284" s="12">
        <f t="shared" si="180"/>
        <v>-11306.628855523642</v>
      </c>
      <c r="P284" s="9">
        <f t="shared" si="181"/>
        <v>-173.67845298535551</v>
      </c>
      <c r="Q284" s="12">
        <f t="shared" si="182"/>
        <v>-73.82134858965361</v>
      </c>
      <c r="R284" s="12">
        <f t="shared" si="182"/>
        <v>-86.570877876992498</v>
      </c>
      <c r="S284" s="12">
        <f t="shared" si="182"/>
        <v>-13.286226518709405</v>
      </c>
      <c r="T284" s="12">
        <f t="shared" si="182"/>
        <v>-19.528661562422819</v>
      </c>
      <c r="U284" s="12">
        <f t="shared" si="182"/>
        <v>-6824.673918082216</v>
      </c>
      <c r="V284" s="12">
        <f t="shared" si="182"/>
        <v>-2.9906303266597405</v>
      </c>
      <c r="W284" s="27">
        <f t="shared" si="170"/>
        <v>8.7311491370201111E-11</v>
      </c>
    </row>
    <row r="285" spans="1:23" x14ac:dyDescent="0.2">
      <c r="A285" s="3">
        <f t="shared" si="162"/>
        <v>33</v>
      </c>
      <c r="B285" s="140" t="s">
        <v>666</v>
      </c>
      <c r="C285" s="140" t="s">
        <v>650</v>
      </c>
      <c r="D285" s="1" t="s">
        <v>323</v>
      </c>
      <c r="E285" s="4" t="s">
        <v>592</v>
      </c>
      <c r="F285" s="11"/>
      <c r="G285" s="11"/>
      <c r="H285" s="14">
        <f>'II-I TOTAL COMPANY'!M285</f>
        <v>0</v>
      </c>
      <c r="I285" s="66">
        <v>0</v>
      </c>
      <c r="J285" s="66">
        <f t="shared" si="177"/>
        <v>0</v>
      </c>
      <c r="K285" s="12">
        <f t="shared" si="178"/>
        <v>0</v>
      </c>
      <c r="L285" s="12">
        <f t="shared" si="178"/>
        <v>0</v>
      </c>
      <c r="M285" s="9">
        <f t="shared" si="179"/>
        <v>0</v>
      </c>
      <c r="N285" s="12">
        <f t="shared" si="180"/>
        <v>0</v>
      </c>
      <c r="O285" s="12">
        <f t="shared" si="180"/>
        <v>0</v>
      </c>
      <c r="P285" s="9">
        <f t="shared" si="181"/>
        <v>0</v>
      </c>
      <c r="Q285" s="12">
        <f t="shared" si="182"/>
        <v>0</v>
      </c>
      <c r="R285" s="12">
        <f t="shared" si="182"/>
        <v>0</v>
      </c>
      <c r="S285" s="12">
        <f t="shared" si="182"/>
        <v>0</v>
      </c>
      <c r="T285" s="12">
        <f t="shared" si="182"/>
        <v>0</v>
      </c>
      <c r="U285" s="12">
        <f t="shared" si="182"/>
        <v>0</v>
      </c>
      <c r="V285" s="12">
        <f t="shared" si="182"/>
        <v>0</v>
      </c>
      <c r="W285" s="27" t="str">
        <f t="shared" si="170"/>
        <v>OK</v>
      </c>
    </row>
    <row r="286" spans="1:23" x14ac:dyDescent="0.2">
      <c r="A286" s="3">
        <f t="shared" si="162"/>
        <v>34</v>
      </c>
      <c r="B286" s="140" t="s">
        <v>676</v>
      </c>
      <c r="C286" s="140" t="s">
        <v>651</v>
      </c>
      <c r="D286" s="1" t="s">
        <v>323</v>
      </c>
      <c r="E286" s="4" t="s">
        <v>592</v>
      </c>
      <c r="F286" s="11"/>
      <c r="G286" s="11"/>
      <c r="H286" s="14">
        <f>'II-I TOTAL COMPANY'!M286</f>
        <v>0</v>
      </c>
      <c r="I286" s="66">
        <v>0</v>
      </c>
      <c r="J286" s="66">
        <f t="shared" si="177"/>
        <v>0</v>
      </c>
      <c r="K286" s="12">
        <f t="shared" si="178"/>
        <v>0</v>
      </c>
      <c r="L286" s="12">
        <f t="shared" si="178"/>
        <v>0</v>
      </c>
      <c r="M286" s="9">
        <f t="shared" si="179"/>
        <v>0</v>
      </c>
      <c r="N286" s="12">
        <f t="shared" si="180"/>
        <v>0</v>
      </c>
      <c r="O286" s="12">
        <f t="shared" si="180"/>
        <v>0</v>
      </c>
      <c r="P286" s="9">
        <f t="shared" si="181"/>
        <v>0</v>
      </c>
      <c r="Q286" s="12">
        <f t="shared" si="182"/>
        <v>0</v>
      </c>
      <c r="R286" s="12">
        <f t="shared" si="182"/>
        <v>0</v>
      </c>
      <c r="S286" s="12">
        <f t="shared" si="182"/>
        <v>0</v>
      </c>
      <c r="T286" s="12">
        <f t="shared" si="182"/>
        <v>0</v>
      </c>
      <c r="U286" s="12">
        <f t="shared" si="182"/>
        <v>0</v>
      </c>
      <c r="V286" s="12">
        <f t="shared" si="182"/>
        <v>0</v>
      </c>
      <c r="W286" s="27" t="str">
        <f t="shared" si="170"/>
        <v>OK</v>
      </c>
    </row>
    <row r="287" spans="1:23" x14ac:dyDescent="0.2">
      <c r="A287" s="3">
        <f t="shared" si="162"/>
        <v>35</v>
      </c>
      <c r="B287" s="140" t="s">
        <v>664</v>
      </c>
      <c r="C287" s="140" t="s">
        <v>665</v>
      </c>
      <c r="D287" s="1" t="s">
        <v>313</v>
      </c>
      <c r="E287" s="4" t="s">
        <v>592</v>
      </c>
      <c r="F287" s="11"/>
      <c r="G287" s="11"/>
      <c r="H287" s="14">
        <f>'II-I TOTAL COMPANY'!M287</f>
        <v>-58961.721743289934</v>
      </c>
      <c r="I287" s="66">
        <v>0</v>
      </c>
      <c r="J287" s="66">
        <f t="shared" si="177"/>
        <v>-58961.721743289934</v>
      </c>
      <c r="K287" s="66">
        <f t="shared" si="178"/>
        <v>-48334.910065482443</v>
      </c>
      <c r="L287" s="66">
        <f t="shared" si="178"/>
        <v>-5135.4272105781938</v>
      </c>
      <c r="M287" s="66">
        <f t="shared" si="179"/>
        <v>-3398.1081810706564</v>
      </c>
      <c r="N287" s="66">
        <f t="shared" si="180"/>
        <v>-27.031312575739165</v>
      </c>
      <c r="O287" s="66">
        <f t="shared" si="180"/>
        <v>-3371.0768684949171</v>
      </c>
      <c r="P287" s="66">
        <f t="shared" si="181"/>
        <v>-51.782314861152166</v>
      </c>
      <c r="Q287" s="66">
        <f t="shared" si="182"/>
        <v>-22.00987082989873</v>
      </c>
      <c r="R287" s="66">
        <f t="shared" si="182"/>
        <v>-25.811149160862051</v>
      </c>
      <c r="S287" s="66">
        <f t="shared" si="182"/>
        <v>-3.9612948703913839</v>
      </c>
      <c r="T287" s="66">
        <f t="shared" si="182"/>
        <v>-5.822479901565714</v>
      </c>
      <c r="U287" s="66">
        <f t="shared" si="182"/>
        <v>-2034.7798335158168</v>
      </c>
      <c r="V287" s="66">
        <f t="shared" si="182"/>
        <v>-0.89165788010250679</v>
      </c>
      <c r="W287" s="27">
        <f t="shared" si="170"/>
        <v>7.2759576141834259E-12</v>
      </c>
    </row>
    <row r="288" spans="1:23" s="132" customFormat="1" x14ac:dyDescent="0.2">
      <c r="A288" s="3">
        <f t="shared" si="162"/>
        <v>36</v>
      </c>
      <c r="B288" s="3" t="s">
        <v>675</v>
      </c>
      <c r="C288" s="3" t="s">
        <v>802</v>
      </c>
      <c r="D288" s="1" t="s">
        <v>313</v>
      </c>
      <c r="E288" s="4" t="s">
        <v>592</v>
      </c>
      <c r="F288" s="11"/>
      <c r="G288" s="11"/>
      <c r="H288" s="14">
        <f>'II-I TOTAL COMPANY'!M288</f>
        <v>310038.71051141666</v>
      </c>
      <c r="I288" s="66">
        <v>0</v>
      </c>
      <c r="J288" s="66">
        <f t="shared" si="177"/>
        <v>310038.71051141666</v>
      </c>
      <c r="K288" s="66">
        <f t="shared" si="178"/>
        <v>254159.69456646504</v>
      </c>
      <c r="L288" s="66">
        <f t="shared" si="178"/>
        <v>27003.642078584668</v>
      </c>
      <c r="M288" s="66">
        <f t="shared" si="179"/>
        <v>17868.288908258335</v>
      </c>
      <c r="N288" s="66">
        <f t="shared" si="180"/>
        <v>142.1388834420693</v>
      </c>
      <c r="O288" s="66">
        <f t="shared" si="180"/>
        <v>17726.150024816267</v>
      </c>
      <c r="P288" s="66">
        <f t="shared" si="181"/>
        <v>272.28720010495368</v>
      </c>
      <c r="Q288" s="66">
        <f t="shared" si="182"/>
        <v>115.73461169154601</v>
      </c>
      <c r="R288" s="66">
        <f t="shared" si="182"/>
        <v>135.72289217558702</v>
      </c>
      <c r="S288" s="66">
        <f t="shared" si="182"/>
        <v>20.829696237820645</v>
      </c>
      <c r="T288" s="66">
        <f t="shared" si="182"/>
        <v>30.616374611983108</v>
      </c>
      <c r="U288" s="66">
        <f t="shared" si="182"/>
        <v>10699.492774389229</v>
      </c>
      <c r="V288" s="66">
        <f t="shared" si="182"/>
        <v>4.6886090024293674</v>
      </c>
      <c r="W288" s="27">
        <f t="shared" si="170"/>
        <v>-5.8207660913467407E-11</v>
      </c>
    </row>
    <row r="289" spans="1:23" x14ac:dyDescent="0.2">
      <c r="A289" s="3">
        <f t="shared" si="162"/>
        <v>37</v>
      </c>
      <c r="B289" s="140" t="s">
        <v>675</v>
      </c>
      <c r="C289" s="140" t="s">
        <v>661</v>
      </c>
      <c r="D289" s="1" t="s">
        <v>313</v>
      </c>
      <c r="E289" s="4" t="s">
        <v>592</v>
      </c>
      <c r="F289" s="11"/>
      <c r="G289" s="11"/>
      <c r="H289" s="14">
        <f>'II-I TOTAL COMPANY'!M289</f>
        <v>70394.357414946455</v>
      </c>
      <c r="I289" s="66">
        <v>0</v>
      </c>
      <c r="J289" s="66">
        <f t="shared" si="177"/>
        <v>70394.35741494644</v>
      </c>
      <c r="K289" s="66">
        <f t="shared" si="178"/>
        <v>57707.014553998873</v>
      </c>
      <c r="L289" s="66">
        <f t="shared" si="178"/>
        <v>6131.1828734211531</v>
      </c>
      <c r="M289" s="66">
        <f t="shared" si="179"/>
        <v>4056.99892676835</v>
      </c>
      <c r="N289" s="66">
        <f t="shared" si="180"/>
        <v>32.27266474911363</v>
      </c>
      <c r="O289" s="66">
        <f t="shared" si="180"/>
        <v>4024.7262620192364</v>
      </c>
      <c r="P289" s="66">
        <f t="shared" si="181"/>
        <v>61.82286867367597</v>
      </c>
      <c r="Q289" s="66">
        <f t="shared" si="182"/>
        <v>26.277569040510922</v>
      </c>
      <c r="R289" s="66">
        <f t="shared" si="182"/>
        <v>30.815912520855029</v>
      </c>
      <c r="S289" s="66">
        <f t="shared" si="182"/>
        <v>4.7293871123100226</v>
      </c>
      <c r="T289" s="66">
        <f t="shared" si="182"/>
        <v>6.9514545897534594</v>
      </c>
      <c r="U289" s="66">
        <f t="shared" si="182"/>
        <v>2429.3221877893784</v>
      </c>
      <c r="V289" s="66">
        <f t="shared" si="182"/>
        <v>1.0645497052659005</v>
      </c>
      <c r="W289" s="27">
        <f t="shared" si="170"/>
        <v>-1.4551915228366852E-11</v>
      </c>
    </row>
    <row r="290" spans="1:23" x14ac:dyDescent="0.2">
      <c r="A290" s="3">
        <f t="shared" si="162"/>
        <v>38</v>
      </c>
      <c r="B290" s="140" t="s">
        <v>675</v>
      </c>
      <c r="C290" s="140" t="s">
        <v>660</v>
      </c>
      <c r="D290" s="1" t="s">
        <v>331</v>
      </c>
      <c r="E290" s="4" t="s">
        <v>592</v>
      </c>
      <c r="F290" s="4"/>
      <c r="G290" s="11"/>
      <c r="H290" s="14">
        <f>'II-I TOTAL COMPANY'!M290</f>
        <v>2.0076017036985956</v>
      </c>
      <c r="I290" s="66">
        <v>0</v>
      </c>
      <c r="J290" s="66">
        <f t="shared" si="177"/>
        <v>0</v>
      </c>
      <c r="K290" s="12">
        <f t="shared" si="178"/>
        <v>0</v>
      </c>
      <c r="L290" s="12">
        <f t="shared" si="178"/>
        <v>0</v>
      </c>
      <c r="M290" s="9">
        <f t="shared" si="179"/>
        <v>0</v>
      </c>
      <c r="N290" s="12">
        <f t="shared" si="180"/>
        <v>0</v>
      </c>
      <c r="O290" s="12">
        <f t="shared" si="180"/>
        <v>0</v>
      </c>
      <c r="P290" s="9">
        <f t="shared" si="181"/>
        <v>0</v>
      </c>
      <c r="Q290" s="12">
        <f t="shared" si="182"/>
        <v>0</v>
      </c>
      <c r="R290" s="12">
        <f t="shared" si="182"/>
        <v>0</v>
      </c>
      <c r="S290" s="12">
        <f t="shared" si="182"/>
        <v>0</v>
      </c>
      <c r="T290" s="12">
        <f t="shared" si="182"/>
        <v>0</v>
      </c>
      <c r="U290" s="12">
        <f t="shared" si="182"/>
        <v>0</v>
      </c>
      <c r="V290" s="12">
        <f t="shared" si="182"/>
        <v>0</v>
      </c>
      <c r="W290" s="27">
        <f t="shared" si="170"/>
        <v>-2.0076017036985956</v>
      </c>
    </row>
    <row r="291" spans="1:23" x14ac:dyDescent="0.2">
      <c r="A291" s="3">
        <f t="shared" si="162"/>
        <v>39</v>
      </c>
      <c r="B291" s="140" t="s">
        <v>675</v>
      </c>
      <c r="C291" s="140" t="s">
        <v>659</v>
      </c>
      <c r="D291" s="1" t="s">
        <v>331</v>
      </c>
      <c r="E291" s="4" t="s">
        <v>592</v>
      </c>
      <c r="F291" s="4"/>
      <c r="G291" s="11"/>
      <c r="H291" s="14">
        <f>'II-I TOTAL COMPANY'!M291</f>
        <v>0</v>
      </c>
      <c r="I291" s="66">
        <v>0</v>
      </c>
      <c r="J291" s="66">
        <f t="shared" si="177"/>
        <v>0</v>
      </c>
      <c r="K291" s="12">
        <f t="shared" si="178"/>
        <v>0</v>
      </c>
      <c r="L291" s="12">
        <f t="shared" si="178"/>
        <v>0</v>
      </c>
      <c r="M291" s="9">
        <f t="shared" si="179"/>
        <v>0</v>
      </c>
      <c r="N291" s="12">
        <f t="shared" si="180"/>
        <v>0</v>
      </c>
      <c r="O291" s="12">
        <f t="shared" si="180"/>
        <v>0</v>
      </c>
      <c r="P291" s="9">
        <f t="shared" si="181"/>
        <v>0</v>
      </c>
      <c r="Q291" s="12">
        <f t="shared" si="182"/>
        <v>0</v>
      </c>
      <c r="R291" s="12">
        <f t="shared" si="182"/>
        <v>0</v>
      </c>
      <c r="S291" s="12">
        <f t="shared" si="182"/>
        <v>0</v>
      </c>
      <c r="T291" s="12">
        <f t="shared" si="182"/>
        <v>0</v>
      </c>
      <c r="U291" s="12">
        <f t="shared" si="182"/>
        <v>0</v>
      </c>
      <c r="V291" s="12">
        <f t="shared" si="182"/>
        <v>0</v>
      </c>
      <c r="W291" s="27" t="str">
        <f t="shared" si="170"/>
        <v>OK</v>
      </c>
    </row>
    <row r="292" spans="1:23" x14ac:dyDescent="0.2">
      <c r="A292" s="3">
        <f t="shared" si="162"/>
        <v>40</v>
      </c>
      <c r="B292" s="3"/>
      <c r="C292" s="3" t="s">
        <v>135</v>
      </c>
      <c r="D292" s="28"/>
      <c r="E292" s="4"/>
      <c r="F292" s="8"/>
      <c r="G292" s="8"/>
      <c r="H292" s="8">
        <f t="shared" ref="H292:V292" si="183">SUM(H282:H291)</f>
        <v>110385.57246856377</v>
      </c>
      <c r="I292" s="8">
        <f t="shared" si="183"/>
        <v>0</v>
      </c>
      <c r="J292" s="66">
        <f t="shared" si="177"/>
        <v>110383.56486686008</v>
      </c>
      <c r="K292" s="8">
        <f t="shared" si="183"/>
        <v>90488.871810365919</v>
      </c>
      <c r="L292" s="8">
        <f t="shared" si="183"/>
        <v>9614.1487368015696</v>
      </c>
      <c r="M292" s="9">
        <f>SUM(N292:O292)</f>
        <v>6361.6747228469167</v>
      </c>
      <c r="N292" s="8">
        <f t="shared" si="183"/>
        <v>50.605927997345887</v>
      </c>
      <c r="O292" s="8">
        <f t="shared" si="183"/>
        <v>6311.0687948495706</v>
      </c>
      <c r="P292" s="9">
        <f t="shared" si="175"/>
        <v>96.942835833701807</v>
      </c>
      <c r="Q292" s="8">
        <f t="shared" si="183"/>
        <v>41.20517401172782</v>
      </c>
      <c r="R292" s="8">
        <f t="shared" si="183"/>
        <v>48.3216326363546</v>
      </c>
      <c r="S292" s="8">
        <f>SUM(S282:S291)</f>
        <v>7.4160291856193874</v>
      </c>
      <c r="T292" s="8">
        <f t="shared" si="183"/>
        <v>10.900395526078931</v>
      </c>
      <c r="U292" s="8">
        <f t="shared" si="183"/>
        <v>3809.3570727220676</v>
      </c>
      <c r="V292" s="8">
        <f t="shared" si="183"/>
        <v>1.6692927638013384</v>
      </c>
      <c r="W292" s="27">
        <f t="shared" si="170"/>
        <v>-2.0076017037063139</v>
      </c>
    </row>
    <row r="293" spans="1:23" x14ac:dyDescent="0.2">
      <c r="A293" s="3">
        <f t="shared" si="162"/>
        <v>41</v>
      </c>
      <c r="B293" s="3"/>
      <c r="C293" s="3"/>
      <c r="D293" s="28"/>
      <c r="E293" s="4"/>
      <c r="F293" s="4"/>
      <c r="G293" s="4"/>
      <c r="H293" s="8"/>
      <c r="I293" s="8"/>
      <c r="J293" s="8"/>
      <c r="K293" s="10"/>
      <c r="L293" s="10"/>
      <c r="M293" s="3"/>
      <c r="N293" s="3"/>
      <c r="O293" s="3"/>
      <c r="P293" s="9"/>
      <c r="Q293" s="3"/>
      <c r="R293" s="3"/>
      <c r="S293" s="3"/>
      <c r="T293" s="3"/>
      <c r="U293" s="3"/>
      <c r="V293" s="3"/>
      <c r="W293" s="27" t="str">
        <f t="shared" si="170"/>
        <v>OK</v>
      </c>
    </row>
    <row r="294" spans="1:23" x14ac:dyDescent="0.2">
      <c r="A294" s="3">
        <f t="shared" si="162"/>
        <v>42</v>
      </c>
      <c r="B294" s="3"/>
      <c r="C294" s="3"/>
      <c r="D294" s="28"/>
      <c r="E294" s="4"/>
      <c r="F294" s="4"/>
      <c r="G294" s="4"/>
      <c r="H294" s="8"/>
      <c r="I294" s="8"/>
      <c r="J294" s="8"/>
      <c r="K294" s="10"/>
      <c r="L294" s="10"/>
      <c r="M294" s="3"/>
      <c r="N294" s="3"/>
      <c r="O294" s="3"/>
      <c r="P294" s="9"/>
      <c r="Q294" s="3"/>
      <c r="R294" s="3"/>
      <c r="S294" s="3"/>
      <c r="T294" s="3"/>
      <c r="U294" s="3"/>
      <c r="V294" s="3"/>
      <c r="W294" s="27" t="str">
        <f t="shared" si="170"/>
        <v>OK</v>
      </c>
    </row>
    <row r="295" spans="1:23" x14ac:dyDescent="0.2">
      <c r="A295" s="3">
        <f t="shared" si="162"/>
        <v>43</v>
      </c>
      <c r="B295" s="3" t="s">
        <v>136</v>
      </c>
      <c r="C295" s="3"/>
      <c r="D295" s="1"/>
      <c r="E295" s="4"/>
      <c r="F295" s="4"/>
      <c r="G295" s="4"/>
      <c r="H295" s="8"/>
      <c r="I295" s="8"/>
      <c r="J295" s="8"/>
      <c r="K295" s="12"/>
      <c r="L295" s="12"/>
      <c r="M295" s="12"/>
      <c r="N295" s="12"/>
      <c r="O295" s="12"/>
      <c r="P295" s="9"/>
      <c r="Q295" s="12"/>
      <c r="R295" s="12"/>
      <c r="S295" s="12"/>
      <c r="T295" s="12"/>
      <c r="U295" s="12"/>
      <c r="V295" s="12"/>
      <c r="W295" s="27" t="str">
        <f t="shared" si="170"/>
        <v>OK</v>
      </c>
    </row>
    <row r="296" spans="1:23" x14ac:dyDescent="0.2">
      <c r="A296" s="3">
        <f t="shared" si="162"/>
        <v>44</v>
      </c>
      <c r="B296" s="3" t="s">
        <v>542</v>
      </c>
      <c r="C296" s="3" t="s">
        <v>562</v>
      </c>
      <c r="D296" s="1" t="s">
        <v>323</v>
      </c>
      <c r="E296" s="4" t="s">
        <v>605</v>
      </c>
      <c r="F296" s="11"/>
      <c r="G296" s="11"/>
      <c r="H296" s="14">
        <f>'II-I TOTAL COMPANY'!M296</f>
        <v>0</v>
      </c>
      <c r="I296" s="66">
        <v>0</v>
      </c>
      <c r="J296" s="66">
        <f t="shared" ref="J296:J308" si="184">SUM(K296:V296)-M296-P296</f>
        <v>0</v>
      </c>
      <c r="K296" s="12">
        <f t="shared" ref="K296:L304" si="185">VLOOKUP($D296,$E$741:$V$815,K$1,FALSE)*$H296</f>
        <v>0</v>
      </c>
      <c r="L296" s="12">
        <f t="shared" si="185"/>
        <v>0</v>
      </c>
      <c r="M296" s="9">
        <f t="shared" ref="M296:M304" si="186">SUM(N296:O296)</f>
        <v>0</v>
      </c>
      <c r="N296" s="12"/>
      <c r="O296" s="12">
        <f t="shared" ref="O296:O304" si="187">VLOOKUP($D296,$E$741:$V$815,O$1,FALSE)*$H296</f>
        <v>0</v>
      </c>
      <c r="P296" s="9">
        <f t="shared" si="175"/>
        <v>0</v>
      </c>
      <c r="Q296" s="12">
        <f t="shared" ref="Q296:V304" si="188">VLOOKUP($D296,$E$741:$V$815,Q$1,FALSE)*$H296</f>
        <v>0</v>
      </c>
      <c r="R296" s="12">
        <f t="shared" si="188"/>
        <v>0</v>
      </c>
      <c r="S296" s="12">
        <f t="shared" si="188"/>
        <v>0</v>
      </c>
      <c r="T296" s="12">
        <f t="shared" si="188"/>
        <v>0</v>
      </c>
      <c r="U296" s="12">
        <f t="shared" si="188"/>
        <v>0</v>
      </c>
      <c r="V296" s="12">
        <f t="shared" si="188"/>
        <v>0</v>
      </c>
      <c r="W296" s="27" t="str">
        <f t="shared" si="170"/>
        <v>OK</v>
      </c>
    </row>
    <row r="297" spans="1:23" x14ac:dyDescent="0.2">
      <c r="A297" s="3">
        <f t="shared" si="162"/>
        <v>45</v>
      </c>
      <c r="B297" s="3" t="s">
        <v>542</v>
      </c>
      <c r="C297" s="3" t="s">
        <v>563</v>
      </c>
      <c r="D297" s="1" t="s">
        <v>395</v>
      </c>
      <c r="E297" s="4" t="s">
        <v>605</v>
      </c>
      <c r="F297" s="11"/>
      <c r="G297" s="11"/>
      <c r="H297" s="14">
        <f>'II-I TOTAL COMPANY'!M297</f>
        <v>0</v>
      </c>
      <c r="I297" s="66">
        <v>0</v>
      </c>
      <c r="J297" s="66">
        <f t="shared" si="184"/>
        <v>0</v>
      </c>
      <c r="K297" s="12">
        <f t="shared" si="185"/>
        <v>0</v>
      </c>
      <c r="L297" s="12">
        <f t="shared" si="185"/>
        <v>0</v>
      </c>
      <c r="M297" s="9">
        <f t="shared" si="186"/>
        <v>0</v>
      </c>
      <c r="N297" s="12">
        <f t="shared" ref="N297:N304" si="189">VLOOKUP($D297,$E$741:$V$815,N$1,FALSE)*$H297</f>
        <v>0</v>
      </c>
      <c r="O297" s="12">
        <f t="shared" si="187"/>
        <v>0</v>
      </c>
      <c r="P297" s="9">
        <f t="shared" si="175"/>
        <v>0</v>
      </c>
      <c r="Q297" s="12">
        <f t="shared" si="188"/>
        <v>0</v>
      </c>
      <c r="R297" s="12">
        <f t="shared" si="188"/>
        <v>0</v>
      </c>
      <c r="S297" s="12">
        <f t="shared" si="188"/>
        <v>0</v>
      </c>
      <c r="T297" s="12">
        <f t="shared" si="188"/>
        <v>0</v>
      </c>
      <c r="U297" s="12">
        <f t="shared" si="188"/>
        <v>0</v>
      </c>
      <c r="V297" s="12">
        <f t="shared" si="188"/>
        <v>0</v>
      </c>
      <c r="W297" s="27" t="str">
        <f t="shared" si="170"/>
        <v>OK</v>
      </c>
    </row>
    <row r="298" spans="1:23" x14ac:dyDescent="0.2">
      <c r="A298" s="3">
        <f t="shared" si="162"/>
        <v>46</v>
      </c>
      <c r="B298" s="3" t="s">
        <v>542</v>
      </c>
      <c r="C298" s="3" t="s">
        <v>564</v>
      </c>
      <c r="D298" s="28" t="s">
        <v>323</v>
      </c>
      <c r="E298" s="4" t="s">
        <v>605</v>
      </c>
      <c r="F298" s="11"/>
      <c r="G298" s="11"/>
      <c r="H298" s="14">
        <f>'II-I TOTAL COMPANY'!M298</f>
        <v>178986.36130948566</v>
      </c>
      <c r="I298" s="66">
        <v>0</v>
      </c>
      <c r="J298" s="66">
        <f t="shared" si="184"/>
        <v>178986.36130948557</v>
      </c>
      <c r="K298" s="12">
        <f t="shared" si="185"/>
        <v>146727.22269726603</v>
      </c>
      <c r="L298" s="12">
        <f t="shared" si="185"/>
        <v>15589.290865572759</v>
      </c>
      <c r="M298" s="9">
        <f t="shared" si="186"/>
        <v>10315.421610547668</v>
      </c>
      <c r="N298" s="12">
        <f t="shared" si="189"/>
        <v>82.057242161547009</v>
      </c>
      <c r="O298" s="12">
        <f t="shared" si="187"/>
        <v>10233.364368386121</v>
      </c>
      <c r="P298" s="9">
        <f t="shared" si="175"/>
        <v>157.19229091600431</v>
      </c>
      <c r="Q298" s="12">
        <f t="shared" si="188"/>
        <v>66.813969746120719</v>
      </c>
      <c r="R298" s="12">
        <f t="shared" si="188"/>
        <v>78.353269425088271</v>
      </c>
      <c r="S298" s="12">
        <f t="shared" si="188"/>
        <v>12.025051744795313</v>
      </c>
      <c r="T298" s="12">
        <f t="shared" si="188"/>
        <v>17.674933169628126</v>
      </c>
      <c r="U298" s="12">
        <f t="shared" si="188"/>
        <v>6176.8521627061218</v>
      </c>
      <c r="V298" s="12">
        <f t="shared" si="188"/>
        <v>2.70674930741214</v>
      </c>
      <c r="W298" s="27">
        <f t="shared" si="170"/>
        <v>-8.7311491370201111E-11</v>
      </c>
    </row>
    <row r="299" spans="1:23" x14ac:dyDescent="0.2">
      <c r="A299" s="3">
        <f t="shared" si="162"/>
        <v>47</v>
      </c>
      <c r="B299" s="3" t="s">
        <v>543</v>
      </c>
      <c r="C299" s="3" t="s">
        <v>565</v>
      </c>
      <c r="D299" s="1" t="s">
        <v>313</v>
      </c>
      <c r="E299" s="4" t="s">
        <v>605</v>
      </c>
      <c r="F299" s="11"/>
      <c r="G299" s="11"/>
      <c r="H299" s="14">
        <f>'II-I TOTAL COMPANY'!M299</f>
        <v>-529661.7177225406</v>
      </c>
      <c r="I299" s="66">
        <v>0</v>
      </c>
      <c r="J299" s="66">
        <f t="shared" si="184"/>
        <v>-529661.71772254049</v>
      </c>
      <c r="K299" s="12">
        <f t="shared" si="185"/>
        <v>-434199.52359449974</v>
      </c>
      <c r="L299" s="12">
        <f t="shared" si="185"/>
        <v>-46132.289172906858</v>
      </c>
      <c r="M299" s="9">
        <f t="shared" si="186"/>
        <v>-30525.699775680841</v>
      </c>
      <c r="N299" s="12">
        <f t="shared" si="189"/>
        <v>-242.82621042677235</v>
      </c>
      <c r="O299" s="12">
        <f t="shared" si="187"/>
        <v>-30282.873565254071</v>
      </c>
      <c r="P299" s="9">
        <f t="shared" si="175"/>
        <v>-465.16806202540386</v>
      </c>
      <c r="Q299" s="12">
        <f t="shared" si="188"/>
        <v>-197.71786925374343</v>
      </c>
      <c r="R299" s="12">
        <f t="shared" si="188"/>
        <v>-231.86530509500832</v>
      </c>
      <c r="S299" s="12">
        <f t="shared" si="188"/>
        <v>-35.584887676652123</v>
      </c>
      <c r="T299" s="12">
        <f t="shared" si="188"/>
        <v>-52.304183373329494</v>
      </c>
      <c r="U299" s="12">
        <f t="shared" si="188"/>
        <v>-18278.723041696525</v>
      </c>
      <c r="V299" s="12">
        <f t="shared" si="188"/>
        <v>-8.0098923578275567</v>
      </c>
      <c r="W299" s="27">
        <f t="shared" si="170"/>
        <v>1.1641532182693481E-10</v>
      </c>
    </row>
    <row r="300" spans="1:23" x14ac:dyDescent="0.2">
      <c r="A300" s="3">
        <f t="shared" si="162"/>
        <v>48</v>
      </c>
      <c r="B300" s="3" t="s">
        <v>544</v>
      </c>
      <c r="C300" s="3" t="s">
        <v>566</v>
      </c>
      <c r="D300" s="1" t="s">
        <v>377</v>
      </c>
      <c r="E300" s="4" t="s">
        <v>605</v>
      </c>
      <c r="F300" s="11"/>
      <c r="G300" s="11"/>
      <c r="H300" s="14">
        <f>'II-I TOTAL COMPANY'!M300</f>
        <v>0</v>
      </c>
      <c r="I300" s="66">
        <v>0</v>
      </c>
      <c r="J300" s="66">
        <f t="shared" si="184"/>
        <v>0</v>
      </c>
      <c r="K300" s="12">
        <f t="shared" si="185"/>
        <v>0</v>
      </c>
      <c r="L300" s="12">
        <f t="shared" si="185"/>
        <v>0</v>
      </c>
      <c r="M300" s="9">
        <f t="shared" si="186"/>
        <v>0</v>
      </c>
      <c r="N300" s="12">
        <f t="shared" si="189"/>
        <v>0</v>
      </c>
      <c r="O300" s="12">
        <f t="shared" si="187"/>
        <v>0</v>
      </c>
      <c r="P300" s="9">
        <f t="shared" si="175"/>
        <v>0</v>
      </c>
      <c r="Q300" s="12">
        <f t="shared" si="188"/>
        <v>0</v>
      </c>
      <c r="R300" s="12">
        <f t="shared" si="188"/>
        <v>0</v>
      </c>
      <c r="S300" s="12">
        <f t="shared" si="188"/>
        <v>0</v>
      </c>
      <c r="T300" s="12">
        <f t="shared" si="188"/>
        <v>0</v>
      </c>
      <c r="U300" s="12">
        <f t="shared" si="188"/>
        <v>0</v>
      </c>
      <c r="V300" s="12">
        <f t="shared" si="188"/>
        <v>0</v>
      </c>
      <c r="W300" s="27" t="str">
        <f t="shared" si="170"/>
        <v>OK</v>
      </c>
    </row>
    <row r="301" spans="1:23" x14ac:dyDescent="0.2">
      <c r="A301" s="3">
        <f t="shared" si="162"/>
        <v>49</v>
      </c>
      <c r="B301" s="3" t="s">
        <v>544</v>
      </c>
      <c r="C301" s="3" t="s">
        <v>568</v>
      </c>
      <c r="D301" s="28" t="s">
        <v>395</v>
      </c>
      <c r="E301" s="4" t="s">
        <v>605</v>
      </c>
      <c r="F301" s="11"/>
      <c r="G301" s="11"/>
      <c r="H301" s="14">
        <f>'II-I TOTAL COMPANY'!M301</f>
        <v>0</v>
      </c>
      <c r="I301" s="66">
        <v>0</v>
      </c>
      <c r="J301" s="66">
        <f t="shared" si="184"/>
        <v>0</v>
      </c>
      <c r="K301" s="12">
        <f t="shared" si="185"/>
        <v>0</v>
      </c>
      <c r="L301" s="12">
        <f t="shared" si="185"/>
        <v>0</v>
      </c>
      <c r="M301" s="9">
        <f t="shared" si="186"/>
        <v>0</v>
      </c>
      <c r="N301" s="12">
        <f t="shared" si="189"/>
        <v>0</v>
      </c>
      <c r="O301" s="12">
        <f t="shared" si="187"/>
        <v>0</v>
      </c>
      <c r="P301" s="9">
        <f t="shared" si="175"/>
        <v>0</v>
      </c>
      <c r="Q301" s="12">
        <f t="shared" si="188"/>
        <v>0</v>
      </c>
      <c r="R301" s="12">
        <f t="shared" si="188"/>
        <v>0</v>
      </c>
      <c r="S301" s="12">
        <f t="shared" si="188"/>
        <v>0</v>
      </c>
      <c r="T301" s="12">
        <f t="shared" si="188"/>
        <v>0</v>
      </c>
      <c r="U301" s="12">
        <f t="shared" si="188"/>
        <v>0</v>
      </c>
      <c r="V301" s="12">
        <f t="shared" si="188"/>
        <v>0</v>
      </c>
      <c r="W301" s="27" t="str">
        <f t="shared" si="170"/>
        <v>OK</v>
      </c>
    </row>
    <row r="302" spans="1:23" x14ac:dyDescent="0.2">
      <c r="A302" s="3">
        <f t="shared" si="162"/>
        <v>50</v>
      </c>
      <c r="B302" s="3" t="s">
        <v>544</v>
      </c>
      <c r="C302" s="3" t="s">
        <v>567</v>
      </c>
      <c r="D302" s="28" t="s">
        <v>323</v>
      </c>
      <c r="E302" s="4" t="s">
        <v>605</v>
      </c>
      <c r="F302" s="11"/>
      <c r="G302" s="11"/>
      <c r="H302" s="14">
        <f>'II-I TOTAL COMPANY'!M302</f>
        <v>-594042.72830837697</v>
      </c>
      <c r="I302" s="66">
        <v>0</v>
      </c>
      <c r="J302" s="66">
        <f t="shared" si="184"/>
        <v>-594042.72830837686</v>
      </c>
      <c r="K302" s="12">
        <f t="shared" si="185"/>
        <v>-486976.99115455127</v>
      </c>
      <c r="L302" s="12">
        <f t="shared" si="185"/>
        <v>-51739.723688583166</v>
      </c>
      <c r="M302" s="9">
        <f t="shared" si="186"/>
        <v>-34236.134822503802</v>
      </c>
      <c r="N302" s="12">
        <f t="shared" si="189"/>
        <v>-272.34202457929524</v>
      </c>
      <c r="O302" s="12">
        <f t="shared" si="187"/>
        <v>-33963.792797924507</v>
      </c>
      <c r="P302" s="9">
        <f t="shared" si="175"/>
        <v>-521.70979219654407</v>
      </c>
      <c r="Q302" s="12">
        <f t="shared" si="188"/>
        <v>-221.75071098557197</v>
      </c>
      <c r="R302" s="12">
        <f t="shared" si="188"/>
        <v>-260.04880819203538</v>
      </c>
      <c r="S302" s="12">
        <f t="shared" si="188"/>
        <v>-39.910273018936678</v>
      </c>
      <c r="T302" s="12">
        <f t="shared" si="188"/>
        <v>-58.661818956133366</v>
      </c>
      <c r="U302" s="12">
        <f t="shared" si="188"/>
        <v>-20500.523527302874</v>
      </c>
      <c r="V302" s="12">
        <f t="shared" si="188"/>
        <v>-8.9835042829975844</v>
      </c>
      <c r="W302" s="27">
        <f t="shared" si="170"/>
        <v>2.3283064365386963E-10</v>
      </c>
    </row>
    <row r="303" spans="1:23" x14ac:dyDescent="0.2">
      <c r="A303" s="3">
        <f t="shared" si="162"/>
        <v>51</v>
      </c>
      <c r="B303" s="3" t="s">
        <v>544</v>
      </c>
      <c r="C303" s="3" t="s">
        <v>546</v>
      </c>
      <c r="D303" s="1" t="s">
        <v>313</v>
      </c>
      <c r="E303" s="4" t="s">
        <v>605</v>
      </c>
      <c r="F303" s="11"/>
      <c r="G303" s="11"/>
      <c r="H303" s="14">
        <f>'II-I TOTAL COMPANY'!M303</f>
        <v>0</v>
      </c>
      <c r="I303" s="66">
        <v>0</v>
      </c>
      <c r="J303" s="66">
        <f t="shared" si="184"/>
        <v>0</v>
      </c>
      <c r="K303" s="12">
        <f t="shared" si="185"/>
        <v>0</v>
      </c>
      <c r="L303" s="12">
        <f t="shared" si="185"/>
        <v>0</v>
      </c>
      <c r="M303" s="9">
        <f t="shared" si="186"/>
        <v>0</v>
      </c>
      <c r="N303" s="12">
        <f t="shared" si="189"/>
        <v>0</v>
      </c>
      <c r="O303" s="12">
        <f t="shared" si="187"/>
        <v>0</v>
      </c>
      <c r="P303" s="9">
        <f t="shared" si="175"/>
        <v>0</v>
      </c>
      <c r="Q303" s="12">
        <f t="shared" si="188"/>
        <v>0</v>
      </c>
      <c r="R303" s="12">
        <f t="shared" si="188"/>
        <v>0</v>
      </c>
      <c r="S303" s="12">
        <f t="shared" si="188"/>
        <v>0</v>
      </c>
      <c r="T303" s="12">
        <f t="shared" si="188"/>
        <v>0</v>
      </c>
      <c r="U303" s="12">
        <f t="shared" si="188"/>
        <v>0</v>
      </c>
      <c r="V303" s="12">
        <f t="shared" si="188"/>
        <v>0</v>
      </c>
      <c r="W303" s="27" t="str">
        <f t="shared" si="170"/>
        <v>OK</v>
      </c>
    </row>
    <row r="304" spans="1:23" x14ac:dyDescent="0.2">
      <c r="A304" s="3">
        <f t="shared" si="162"/>
        <v>52</v>
      </c>
      <c r="B304" s="3"/>
      <c r="C304" s="3" t="s">
        <v>545</v>
      </c>
      <c r="D304" s="1" t="s">
        <v>331</v>
      </c>
      <c r="E304" s="4" t="s">
        <v>592</v>
      </c>
      <c r="F304" s="11"/>
      <c r="G304" s="11"/>
      <c r="H304" s="14">
        <f>'II-I TOTAL COMPANY'!M304</f>
        <v>0</v>
      </c>
      <c r="I304" s="66">
        <v>0</v>
      </c>
      <c r="J304" s="66">
        <f t="shared" si="184"/>
        <v>0</v>
      </c>
      <c r="K304" s="12">
        <f t="shared" si="185"/>
        <v>0</v>
      </c>
      <c r="L304" s="12">
        <f t="shared" si="185"/>
        <v>0</v>
      </c>
      <c r="M304" s="9">
        <f t="shared" si="186"/>
        <v>0</v>
      </c>
      <c r="N304" s="12">
        <f t="shared" si="189"/>
        <v>0</v>
      </c>
      <c r="O304" s="12">
        <f t="shared" si="187"/>
        <v>0</v>
      </c>
      <c r="P304" s="9">
        <f t="shared" si="175"/>
        <v>0</v>
      </c>
      <c r="Q304" s="12">
        <f t="shared" si="188"/>
        <v>0</v>
      </c>
      <c r="R304" s="12">
        <f t="shared" si="188"/>
        <v>0</v>
      </c>
      <c r="S304" s="12">
        <f t="shared" si="188"/>
        <v>0</v>
      </c>
      <c r="T304" s="12">
        <f t="shared" si="188"/>
        <v>0</v>
      </c>
      <c r="U304" s="12">
        <f t="shared" si="188"/>
        <v>0</v>
      </c>
      <c r="V304" s="12">
        <f t="shared" si="188"/>
        <v>0</v>
      </c>
      <c r="W304" s="27" t="str">
        <f t="shared" si="170"/>
        <v>OK</v>
      </c>
    </row>
    <row r="305" spans="1:23" x14ac:dyDescent="0.2">
      <c r="A305" s="3">
        <f t="shared" si="162"/>
        <v>53</v>
      </c>
      <c r="B305" s="3"/>
      <c r="C305" s="3"/>
      <c r="D305" s="28"/>
      <c r="E305" s="4"/>
      <c r="F305" s="4"/>
      <c r="G305" s="4"/>
      <c r="H305" s="14"/>
      <c r="I305" s="66"/>
      <c r="J305" s="66"/>
      <c r="K305" s="12"/>
      <c r="L305" s="12"/>
      <c r="M305" s="12"/>
      <c r="N305" s="12"/>
      <c r="O305" s="12"/>
      <c r="P305" s="9">
        <f t="shared" si="175"/>
        <v>0</v>
      </c>
      <c r="Q305" s="12"/>
      <c r="R305" s="12"/>
      <c r="S305" s="12"/>
      <c r="T305" s="12"/>
      <c r="U305" s="12"/>
      <c r="V305" s="12"/>
      <c r="W305" s="27" t="str">
        <f t="shared" si="170"/>
        <v>OK</v>
      </c>
    </row>
    <row r="306" spans="1:23" x14ac:dyDescent="0.2">
      <c r="A306" s="3">
        <f t="shared" si="162"/>
        <v>54</v>
      </c>
      <c r="B306" s="3"/>
      <c r="C306" s="3" t="s">
        <v>137</v>
      </c>
      <c r="D306" s="28"/>
      <c r="E306" s="4"/>
      <c r="F306" s="8"/>
      <c r="G306" s="8"/>
      <c r="H306" s="8">
        <f>SUM(H296:H304)</f>
        <v>-944718.08472143195</v>
      </c>
      <c r="I306" s="8">
        <f>SUM(I296:I304)</f>
        <v>0</v>
      </c>
      <c r="J306" s="66">
        <f t="shared" si="184"/>
        <v>-944718.08472143172</v>
      </c>
      <c r="K306" s="8">
        <f>SUM(K296:K304)</f>
        <v>-774449.29205178493</v>
      </c>
      <c r="L306" s="8">
        <f>SUM(L296:L304)</f>
        <v>-82282.721995917265</v>
      </c>
      <c r="M306" s="9">
        <f>SUM(N306:O306)</f>
        <v>-54446.412987636977</v>
      </c>
      <c r="N306" s="8">
        <f>SUM(N296:N304)</f>
        <v>-433.11099284452058</v>
      </c>
      <c r="O306" s="8">
        <f>SUM(O296:O304)</f>
        <v>-54013.301994792455</v>
      </c>
      <c r="P306" s="9">
        <f t="shared" si="175"/>
        <v>-829.68556330594356</v>
      </c>
      <c r="Q306" s="8">
        <f t="shared" ref="Q306:V306" si="190">SUM(Q296:Q304)</f>
        <v>-352.6546104931947</v>
      </c>
      <c r="R306" s="8">
        <f t="shared" si="190"/>
        <v>-413.56084386195545</v>
      </c>
      <c r="S306" s="8">
        <f t="shared" si="190"/>
        <v>-63.470108950793488</v>
      </c>
      <c r="T306" s="8">
        <f t="shared" si="190"/>
        <v>-93.291069159834734</v>
      </c>
      <c r="U306" s="8">
        <f t="shared" si="190"/>
        <v>-32602.394406293279</v>
      </c>
      <c r="V306" s="8">
        <f t="shared" si="190"/>
        <v>-14.286647333413001</v>
      </c>
      <c r="W306" s="27">
        <f t="shared" si="170"/>
        <v>2.3283064365386963E-10</v>
      </c>
    </row>
    <row r="307" spans="1:23" x14ac:dyDescent="0.2">
      <c r="A307" s="3">
        <f t="shared" si="162"/>
        <v>55</v>
      </c>
      <c r="B307" s="3"/>
      <c r="C307" s="3"/>
      <c r="D307" s="3"/>
      <c r="E307" s="4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9">
        <f t="shared" si="175"/>
        <v>0</v>
      </c>
      <c r="Q307" s="8"/>
      <c r="R307" s="8"/>
      <c r="S307" s="8"/>
      <c r="T307" s="8"/>
      <c r="U307" s="8"/>
      <c r="V307" s="8"/>
      <c r="W307" s="27" t="str">
        <f t="shared" si="170"/>
        <v>OK</v>
      </c>
    </row>
    <row r="308" spans="1:23" x14ac:dyDescent="0.2">
      <c r="A308" s="3">
        <f t="shared" si="162"/>
        <v>56</v>
      </c>
      <c r="B308" s="3"/>
      <c r="C308" s="3" t="s">
        <v>138</v>
      </c>
      <c r="D308" s="3"/>
      <c r="E308" s="4"/>
      <c r="F308" s="8"/>
      <c r="G308" s="8"/>
      <c r="H308" s="8">
        <f>H249+H253+H259+H266+H270+H276+H292+H306</f>
        <v>13355175.515166093</v>
      </c>
      <c r="I308" s="8">
        <f>I249+I253+I259+I266+I270+I276+I292+I306</f>
        <v>0</v>
      </c>
      <c r="J308" s="66">
        <f t="shared" si="184"/>
        <v>13355173.507564388</v>
      </c>
      <c r="K308" s="8">
        <f>K249+K253+K259+K266+K270+K276+K292+K306</f>
        <v>10944139.257997027</v>
      </c>
      <c r="L308" s="8">
        <f>L249+L253+L259+L266+L270+L276+L292+L306</f>
        <v>1161906.8924579811</v>
      </c>
      <c r="M308" s="9">
        <f>SUM(N308:O308)</f>
        <v>772064.17617987457</v>
      </c>
      <c r="N308" s="8">
        <f>N249+N253+N259+N266+N270+N276+N292+N306</f>
        <v>6954.0385368932884</v>
      </c>
      <c r="O308" s="8">
        <f>O249+O253+O259+O266+O270+O276+O292+O306</f>
        <v>765110.13764298125</v>
      </c>
      <c r="P308" s="9">
        <f t="shared" si="175"/>
        <v>13876.35409824676</v>
      </c>
      <c r="Q308" s="8">
        <f t="shared" ref="Q308:V308" si="191">Q249+Q253+Q259+Q266+Q270+Q276+Q292+Q306</f>
        <v>6755.7667876515106</v>
      </c>
      <c r="R308" s="8">
        <f t="shared" si="191"/>
        <v>5945.5685788333039</v>
      </c>
      <c r="S308" s="8">
        <f t="shared" si="191"/>
        <v>1175.0187317619448</v>
      </c>
      <c r="T308" s="8">
        <f t="shared" si="191"/>
        <v>1311.908887094881</v>
      </c>
      <c r="U308" s="8">
        <f t="shared" si="191"/>
        <v>461592.00406612584</v>
      </c>
      <c r="V308" s="8">
        <f t="shared" si="191"/>
        <v>282.91387803697239</v>
      </c>
      <c r="W308" s="27">
        <f t="shared" si="170"/>
        <v>-2.0076017044484615</v>
      </c>
    </row>
    <row r="309" spans="1:23" x14ac:dyDescent="0.2">
      <c r="A309" s="3"/>
      <c r="B309" s="3"/>
      <c r="C309" s="3"/>
      <c r="D309" s="3"/>
      <c r="E309" s="4"/>
      <c r="F309" s="4"/>
      <c r="G309" s="4"/>
      <c r="H309" s="8"/>
      <c r="I309" s="8"/>
      <c r="J309" s="8"/>
      <c r="K309" s="8"/>
      <c r="L309" s="8"/>
      <c r="M309" s="8"/>
      <c r="N309" s="8"/>
      <c r="O309" s="8"/>
      <c r="P309" s="9"/>
      <c r="Q309" s="8"/>
      <c r="R309" s="8"/>
      <c r="S309" s="8"/>
      <c r="T309" s="8"/>
      <c r="U309" s="8"/>
      <c r="V309" s="8"/>
      <c r="W309" s="27" t="str">
        <f t="shared" si="170"/>
        <v>OK</v>
      </c>
    </row>
    <row r="310" spans="1:23" x14ac:dyDescent="0.2">
      <c r="A310" s="3"/>
      <c r="B310" s="3"/>
      <c r="C310" s="3"/>
      <c r="D310" s="3"/>
      <c r="E310" s="4"/>
      <c r="F310" s="4"/>
      <c r="G310" s="4"/>
      <c r="H310" s="8"/>
      <c r="I310" s="8"/>
      <c r="J310" s="8"/>
      <c r="K310" s="8"/>
      <c r="L310" s="8"/>
      <c r="M310" s="8"/>
      <c r="N310" s="8"/>
      <c r="O310" s="8"/>
      <c r="P310" s="9"/>
      <c r="Q310" s="8"/>
      <c r="R310" s="8"/>
      <c r="S310" s="8"/>
      <c r="T310" s="8"/>
      <c r="U310" s="8"/>
      <c r="V310" s="8"/>
      <c r="W310" s="27" t="str">
        <f t="shared" si="170"/>
        <v>OK</v>
      </c>
    </row>
    <row r="311" spans="1:23" x14ac:dyDescent="0.2">
      <c r="A311" s="3"/>
      <c r="B311" s="3"/>
      <c r="C311" s="18"/>
      <c r="D311" s="19"/>
      <c r="E311" s="4"/>
      <c r="F311" s="4"/>
      <c r="G311" s="4"/>
      <c r="H311" s="20"/>
      <c r="I311" s="20"/>
      <c r="J311" s="66"/>
      <c r="K311" s="20"/>
      <c r="L311" s="20"/>
      <c r="M311" s="9"/>
      <c r="N311" s="20"/>
      <c r="O311" s="20"/>
      <c r="P311" s="9"/>
      <c r="Q311" s="20"/>
      <c r="R311" s="20"/>
      <c r="S311" s="20"/>
      <c r="T311" s="20"/>
      <c r="U311" s="20"/>
      <c r="V311" s="20"/>
      <c r="W311" s="27" t="str">
        <f t="shared" si="170"/>
        <v>OK</v>
      </c>
    </row>
    <row r="312" spans="1:23" x14ac:dyDescent="0.2">
      <c r="A312" s="3"/>
      <c r="B312" s="3"/>
      <c r="C312" s="18"/>
      <c r="D312" s="21"/>
      <c r="E312" s="4"/>
      <c r="F312" s="4"/>
      <c r="G312" s="4"/>
      <c r="H312" s="8"/>
      <c r="I312" s="8"/>
      <c r="J312" s="8"/>
      <c r="K312" s="8"/>
      <c r="L312" s="8"/>
      <c r="M312" s="8"/>
      <c r="N312" s="8"/>
      <c r="O312" s="8"/>
      <c r="P312" s="9"/>
      <c r="Q312" s="8"/>
      <c r="R312" s="8"/>
      <c r="S312" s="8"/>
      <c r="T312" s="8"/>
      <c r="U312" s="8"/>
      <c r="V312" s="8"/>
      <c r="W312" s="27" t="str">
        <f t="shared" si="170"/>
        <v>OK</v>
      </c>
    </row>
    <row r="313" spans="1:23" x14ac:dyDescent="0.2">
      <c r="A313" s="3"/>
      <c r="B313" s="3"/>
      <c r="C313" s="18"/>
      <c r="D313" s="18"/>
      <c r="E313" s="4"/>
      <c r="F313" s="4"/>
      <c r="G313" s="4"/>
      <c r="H313" s="22"/>
      <c r="I313" s="22"/>
      <c r="J313" s="66"/>
      <c r="K313" s="22"/>
      <c r="L313" s="22"/>
      <c r="M313" s="9"/>
      <c r="N313" s="22"/>
      <c r="O313" s="22"/>
      <c r="P313" s="9"/>
      <c r="Q313" s="22"/>
      <c r="R313" s="22"/>
      <c r="S313" s="22"/>
      <c r="T313" s="22"/>
      <c r="U313" s="22"/>
      <c r="V313" s="22"/>
      <c r="W313" s="27" t="str">
        <f t="shared" si="170"/>
        <v>OK</v>
      </c>
    </row>
    <row r="314" spans="1:23" x14ac:dyDescent="0.2">
      <c r="A314" s="3"/>
      <c r="B314" s="3"/>
      <c r="C314" s="18"/>
      <c r="D314" s="18"/>
      <c r="E314" s="40"/>
      <c r="F314" s="40"/>
      <c r="G314" s="40"/>
      <c r="H314" s="22"/>
      <c r="I314" s="22"/>
      <c r="J314" s="22"/>
      <c r="K314" s="22"/>
      <c r="L314" s="22"/>
      <c r="M314" s="3"/>
      <c r="N314" s="3"/>
      <c r="O314" s="3"/>
      <c r="P314" s="9"/>
      <c r="Q314" s="3"/>
      <c r="R314" s="3"/>
      <c r="S314" s="3"/>
      <c r="T314" s="3"/>
      <c r="U314" s="3"/>
      <c r="V314" s="3"/>
      <c r="W314" s="27" t="str">
        <f t="shared" si="170"/>
        <v>OK</v>
      </c>
    </row>
    <row r="315" spans="1:23" x14ac:dyDescent="0.2">
      <c r="A315" s="3"/>
      <c r="B315" s="7" t="s">
        <v>139</v>
      </c>
      <c r="C315" s="18"/>
      <c r="D315" s="18"/>
      <c r="E315" s="40"/>
      <c r="F315" s="40"/>
      <c r="G315" s="40"/>
      <c r="H315" s="22"/>
      <c r="I315" s="22"/>
      <c r="J315" s="22"/>
      <c r="K315" s="22"/>
      <c r="L315" s="22"/>
      <c r="M315" s="3"/>
      <c r="N315" s="3"/>
      <c r="O315" s="3"/>
      <c r="P315" s="9"/>
      <c r="Q315" s="3"/>
      <c r="R315" s="3"/>
      <c r="S315" s="3"/>
      <c r="T315" s="3"/>
      <c r="U315" s="3"/>
      <c r="V315" s="3"/>
      <c r="W315" s="27" t="str">
        <f t="shared" si="170"/>
        <v>OK</v>
      </c>
    </row>
    <row r="316" spans="1:23" x14ac:dyDescent="0.2">
      <c r="A316" s="3">
        <v>1</v>
      </c>
      <c r="B316" s="3" t="s">
        <v>147</v>
      </c>
      <c r="C316" s="3" t="s">
        <v>148</v>
      </c>
      <c r="D316" s="1" t="s">
        <v>366</v>
      </c>
      <c r="E316" s="4" t="s">
        <v>592</v>
      </c>
      <c r="F316" s="11"/>
      <c r="G316" s="11"/>
      <c r="H316" s="14">
        <f>'II-I TOTAL COMPANY'!M316</f>
        <v>0</v>
      </c>
      <c r="I316" s="66">
        <v>0</v>
      </c>
      <c r="J316" s="66">
        <f t="shared" ref="J316:J318" si="192">SUM(K316:V316)-M316-P316</f>
        <v>0</v>
      </c>
      <c r="K316" s="12">
        <f>VLOOKUP($D316,$E$741:$V$815,K$1,FALSE)*$H316</f>
        <v>0</v>
      </c>
      <c r="L316" s="12">
        <f>VLOOKUP($D316,$E$741:$V$815,L$1,FALSE)*$H316</f>
        <v>0</v>
      </c>
      <c r="M316" s="9">
        <f>SUM(N316:O316)</f>
        <v>0</v>
      </c>
      <c r="N316" s="12">
        <f>VLOOKUP($D316,$E$741:$V$815,N$1,FALSE)*$H316</f>
        <v>0</v>
      </c>
      <c r="O316" s="12">
        <f>VLOOKUP($D316,$E$741:$V$815,O$1,FALSE)*$H316</f>
        <v>0</v>
      </c>
      <c r="P316" s="9">
        <f t="shared" si="175"/>
        <v>0</v>
      </c>
      <c r="Q316" s="12">
        <f t="shared" ref="Q316:V317" si="193">VLOOKUP($D316,$E$741:$V$815,Q$1,FALSE)*$H316</f>
        <v>0</v>
      </c>
      <c r="R316" s="12">
        <f t="shared" si="193"/>
        <v>0</v>
      </c>
      <c r="S316" s="12">
        <f t="shared" si="193"/>
        <v>0</v>
      </c>
      <c r="T316" s="12">
        <f t="shared" si="193"/>
        <v>0</v>
      </c>
      <c r="U316" s="12">
        <f t="shared" si="193"/>
        <v>0</v>
      </c>
      <c r="V316" s="12">
        <f t="shared" si="193"/>
        <v>0</v>
      </c>
      <c r="W316" s="27" t="str">
        <f t="shared" si="170"/>
        <v>OK</v>
      </c>
    </row>
    <row r="317" spans="1:23" x14ac:dyDescent="0.2">
      <c r="A317" s="3">
        <f>+A316+1</f>
        <v>2</v>
      </c>
      <c r="B317" s="3" t="s">
        <v>149</v>
      </c>
      <c r="C317" s="3" t="s">
        <v>150</v>
      </c>
      <c r="D317" s="1" t="s">
        <v>366</v>
      </c>
      <c r="E317" s="4" t="s">
        <v>592</v>
      </c>
      <c r="F317" s="11"/>
      <c r="G317" s="11"/>
      <c r="H317" s="14">
        <f>'II-I TOTAL COMPANY'!M317</f>
        <v>0</v>
      </c>
      <c r="I317" s="66">
        <v>0</v>
      </c>
      <c r="J317" s="66">
        <f t="shared" si="192"/>
        <v>0</v>
      </c>
      <c r="K317" s="12">
        <f>VLOOKUP($D317,$E$741:$V$815,K$1,FALSE)*$H317</f>
        <v>0</v>
      </c>
      <c r="L317" s="12">
        <f>VLOOKUP($D317,$E$741:$V$815,L$1,FALSE)*$H317</f>
        <v>0</v>
      </c>
      <c r="M317" s="9">
        <f>SUM(N317:O317)</f>
        <v>0</v>
      </c>
      <c r="N317" s="12">
        <f>VLOOKUP($D317,$E$741:$V$815,N$1,FALSE)*$H317</f>
        <v>0</v>
      </c>
      <c r="O317" s="12">
        <f>VLOOKUP($D317,$E$741:$V$815,O$1,FALSE)*$H317</f>
        <v>0</v>
      </c>
      <c r="P317" s="9">
        <f t="shared" si="175"/>
        <v>0</v>
      </c>
      <c r="Q317" s="12">
        <f t="shared" si="193"/>
        <v>0</v>
      </c>
      <c r="R317" s="12">
        <f t="shared" si="193"/>
        <v>0</v>
      </c>
      <c r="S317" s="12">
        <f t="shared" si="193"/>
        <v>0</v>
      </c>
      <c r="T317" s="12">
        <f t="shared" si="193"/>
        <v>0</v>
      </c>
      <c r="U317" s="12">
        <f t="shared" si="193"/>
        <v>0</v>
      </c>
      <c r="V317" s="12">
        <f t="shared" si="193"/>
        <v>0</v>
      </c>
      <c r="W317" s="27" t="str">
        <f t="shared" si="170"/>
        <v>OK</v>
      </c>
    </row>
    <row r="318" spans="1:23" x14ac:dyDescent="0.2">
      <c r="A318" s="3">
        <f>+A317+1</f>
        <v>3</v>
      </c>
      <c r="B318" s="3"/>
      <c r="C318" s="3" t="s">
        <v>135</v>
      </c>
      <c r="D318" s="3"/>
      <c r="E318" s="4"/>
      <c r="F318" s="4"/>
      <c r="G318" s="4"/>
      <c r="H318" s="8">
        <f t="shared" ref="H318:V318" si="194">SUM(H316:H317)</f>
        <v>0</v>
      </c>
      <c r="I318" s="8">
        <v>0</v>
      </c>
      <c r="J318" s="66">
        <f t="shared" si="192"/>
        <v>0</v>
      </c>
      <c r="K318" s="8">
        <f t="shared" si="194"/>
        <v>0</v>
      </c>
      <c r="L318" s="8">
        <f t="shared" si="194"/>
        <v>0</v>
      </c>
      <c r="M318" s="9">
        <f>SUM(N318:O318)</f>
        <v>0</v>
      </c>
      <c r="N318" s="8">
        <f t="shared" si="194"/>
        <v>0</v>
      </c>
      <c r="O318" s="8">
        <f t="shared" si="194"/>
        <v>0</v>
      </c>
      <c r="P318" s="9">
        <f t="shared" si="175"/>
        <v>0</v>
      </c>
      <c r="Q318" s="8">
        <f t="shared" si="194"/>
        <v>0</v>
      </c>
      <c r="R318" s="8">
        <f t="shared" si="194"/>
        <v>0</v>
      </c>
      <c r="S318" s="8">
        <f>SUM(S316:S317)</f>
        <v>0</v>
      </c>
      <c r="T318" s="8">
        <f t="shared" si="194"/>
        <v>0</v>
      </c>
      <c r="U318" s="8">
        <f t="shared" si="194"/>
        <v>0</v>
      </c>
      <c r="V318" s="8">
        <f t="shared" si="194"/>
        <v>0</v>
      </c>
      <c r="W318" s="27" t="str">
        <f t="shared" si="170"/>
        <v>OK</v>
      </c>
    </row>
    <row r="319" spans="1:23" x14ac:dyDescent="0.2">
      <c r="A319" s="3">
        <f>+A318+1</f>
        <v>4</v>
      </c>
      <c r="B319" s="3"/>
      <c r="C319" s="3"/>
      <c r="D319" s="3"/>
      <c r="E319" s="4"/>
      <c r="F319" s="4"/>
      <c r="G319" s="4"/>
      <c r="H319" s="8"/>
      <c r="I319" s="8"/>
      <c r="J319" s="8"/>
      <c r="K319" s="8"/>
      <c r="L319" s="8"/>
      <c r="M319" s="8"/>
      <c r="N319" s="8"/>
      <c r="O319" s="8"/>
      <c r="P319" s="9">
        <f t="shared" si="175"/>
        <v>0</v>
      </c>
      <c r="Q319" s="8"/>
      <c r="R319" s="8"/>
      <c r="S319" s="8"/>
      <c r="T319" s="8"/>
      <c r="U319" s="8"/>
      <c r="V319" s="8"/>
      <c r="W319" s="27" t="str">
        <f t="shared" si="170"/>
        <v>OK</v>
      </c>
    </row>
    <row r="320" spans="1:23" x14ac:dyDescent="0.2">
      <c r="A320" s="3">
        <f>+A319+1</f>
        <v>5</v>
      </c>
      <c r="B320" s="3"/>
      <c r="C320" s="3" t="s">
        <v>151</v>
      </c>
      <c r="D320" s="3"/>
      <c r="E320" s="4"/>
      <c r="F320" s="8"/>
      <c r="G320" s="8"/>
      <c r="H320" s="8">
        <f t="shared" ref="H320:V320" si="195">+H318</f>
        <v>0</v>
      </c>
      <c r="I320" s="8">
        <v>0</v>
      </c>
      <c r="J320" s="66">
        <f t="shared" ref="J320" si="196">SUM(K320:V320)-M320-P320</f>
        <v>0</v>
      </c>
      <c r="K320" s="8">
        <f t="shared" si="195"/>
        <v>0</v>
      </c>
      <c r="L320" s="8">
        <f>+L318</f>
        <v>0</v>
      </c>
      <c r="M320" s="9">
        <f>SUM(N320:O320)</f>
        <v>0</v>
      </c>
      <c r="N320" s="8">
        <f t="shared" si="195"/>
        <v>0</v>
      </c>
      <c r="O320" s="8">
        <f t="shared" si="195"/>
        <v>0</v>
      </c>
      <c r="P320" s="9">
        <f t="shared" si="175"/>
        <v>0</v>
      </c>
      <c r="Q320" s="8">
        <f t="shared" si="195"/>
        <v>0</v>
      </c>
      <c r="R320" s="8">
        <f t="shared" si="195"/>
        <v>0</v>
      </c>
      <c r="S320" s="8">
        <f>+S318</f>
        <v>0</v>
      </c>
      <c r="T320" s="8">
        <f t="shared" si="195"/>
        <v>0</v>
      </c>
      <c r="U320" s="8">
        <f t="shared" si="195"/>
        <v>0</v>
      </c>
      <c r="V320" s="8">
        <f t="shared" si="195"/>
        <v>0</v>
      </c>
      <c r="W320" s="27" t="str">
        <f t="shared" si="170"/>
        <v>OK</v>
      </c>
    </row>
    <row r="321" spans="1:23" x14ac:dyDescent="0.2">
      <c r="A321" s="3">
        <f>+A320+1</f>
        <v>6</v>
      </c>
      <c r="B321" s="3"/>
      <c r="C321" s="3"/>
      <c r="D321" s="3"/>
      <c r="E321" s="4"/>
      <c r="F321" s="4"/>
      <c r="G321" s="4"/>
      <c r="H321" s="8"/>
      <c r="I321" s="8"/>
      <c r="J321" s="8"/>
      <c r="K321" s="8"/>
      <c r="L321" s="8"/>
      <c r="M321" s="3"/>
      <c r="N321" s="3"/>
      <c r="O321" s="3"/>
      <c r="P321" s="9"/>
      <c r="Q321" s="3"/>
      <c r="R321" s="3"/>
      <c r="S321" s="3"/>
      <c r="T321" s="3"/>
      <c r="U321" s="3"/>
      <c r="V321" s="3"/>
      <c r="W321" s="27" t="str">
        <f t="shared" si="170"/>
        <v>OK</v>
      </c>
    </row>
    <row r="322" spans="1:23" x14ac:dyDescent="0.2">
      <c r="A322" s="3">
        <f>1+A321</f>
        <v>7</v>
      </c>
      <c r="B322" s="7" t="s">
        <v>144</v>
      </c>
      <c r="C322" s="3"/>
      <c r="D322" s="3"/>
      <c r="E322" s="4"/>
      <c r="F322" s="4"/>
      <c r="G322" s="4"/>
      <c r="H322" s="8"/>
      <c r="I322" s="8"/>
      <c r="J322" s="8"/>
      <c r="K322" s="8"/>
      <c r="L322" s="8"/>
      <c r="M322" s="3"/>
      <c r="N322" s="3"/>
      <c r="O322" s="3"/>
      <c r="P322" s="9"/>
      <c r="Q322" s="3"/>
      <c r="R322" s="3"/>
      <c r="S322" s="3"/>
      <c r="T322" s="3"/>
      <c r="U322" s="3"/>
      <c r="V322" s="3"/>
      <c r="W322" s="27" t="str">
        <f t="shared" si="170"/>
        <v>OK</v>
      </c>
    </row>
    <row r="323" spans="1:23" x14ac:dyDescent="0.2">
      <c r="A323" s="3">
        <f>1+A322</f>
        <v>8</v>
      </c>
      <c r="B323" s="3"/>
      <c r="C323" s="3"/>
      <c r="D323" s="3"/>
      <c r="E323" s="4"/>
      <c r="F323" s="4"/>
      <c r="G323" s="4"/>
      <c r="H323" s="8"/>
      <c r="I323" s="8"/>
      <c r="J323" s="8"/>
      <c r="K323" s="8"/>
      <c r="L323" s="8"/>
      <c r="M323" s="3"/>
      <c r="N323" s="3"/>
      <c r="O323" s="3"/>
      <c r="P323" s="9"/>
      <c r="Q323" s="3"/>
      <c r="R323" s="3"/>
      <c r="S323" s="3"/>
      <c r="T323" s="3"/>
      <c r="U323" s="3"/>
      <c r="V323" s="3"/>
      <c r="W323" s="27" t="str">
        <f t="shared" si="170"/>
        <v>OK</v>
      </c>
    </row>
    <row r="324" spans="1:23" x14ac:dyDescent="0.2">
      <c r="A324" s="3">
        <f>1+A323</f>
        <v>9</v>
      </c>
      <c r="B324" s="3" t="s">
        <v>152</v>
      </c>
      <c r="C324" s="3"/>
      <c r="D324" s="3"/>
      <c r="E324" s="4"/>
      <c r="F324" s="4"/>
      <c r="G324" s="4"/>
      <c r="H324" s="8"/>
      <c r="I324" s="8"/>
      <c r="J324" s="8"/>
      <c r="K324" s="8"/>
      <c r="L324" s="8"/>
      <c r="M324" s="3"/>
      <c r="N324" s="3"/>
      <c r="O324" s="3"/>
      <c r="P324" s="9"/>
      <c r="Q324" s="3"/>
      <c r="R324" s="3"/>
      <c r="S324" s="3"/>
      <c r="T324" s="3"/>
      <c r="U324" s="3"/>
      <c r="V324" s="3"/>
      <c r="W324" s="27" t="str">
        <f t="shared" si="170"/>
        <v>OK</v>
      </c>
    </row>
    <row r="325" spans="1:23" x14ac:dyDescent="0.2">
      <c r="A325" s="3">
        <f t="shared" ref="A325:A358" si="197">+A324+1</f>
        <v>10</v>
      </c>
      <c r="B325" s="3"/>
      <c r="C325" s="3" t="s">
        <v>140</v>
      </c>
      <c r="D325" s="3"/>
      <c r="E325" s="4"/>
      <c r="F325" s="4"/>
      <c r="G325" s="4"/>
      <c r="H325" s="8"/>
      <c r="I325" s="8"/>
      <c r="J325" s="8"/>
      <c r="K325" s="8"/>
      <c r="L325" s="8"/>
      <c r="M325" s="3"/>
      <c r="N325" s="3"/>
      <c r="O325" s="3"/>
      <c r="P325" s="9"/>
      <c r="Q325" s="3"/>
      <c r="R325" s="3"/>
      <c r="S325" s="3"/>
      <c r="T325" s="3"/>
      <c r="U325" s="3"/>
      <c r="V325" s="3"/>
      <c r="W325" s="27" t="str">
        <f t="shared" si="170"/>
        <v>OK</v>
      </c>
    </row>
    <row r="326" spans="1:23" x14ac:dyDescent="0.2">
      <c r="A326" s="3">
        <f t="shared" si="197"/>
        <v>11</v>
      </c>
      <c r="B326" s="3" t="s">
        <v>153</v>
      </c>
      <c r="C326" s="3" t="s">
        <v>145</v>
      </c>
      <c r="D326" s="1" t="s">
        <v>422</v>
      </c>
      <c r="E326" s="4" t="s">
        <v>592</v>
      </c>
      <c r="F326" s="11"/>
      <c r="G326" s="11"/>
      <c r="H326" s="14">
        <f>'II-I TOTAL COMPANY'!M326</f>
        <v>0</v>
      </c>
      <c r="I326" s="66">
        <v>0</v>
      </c>
      <c r="J326" s="66">
        <f t="shared" ref="J326:J346" si="198">SUM(K326:V326)-M326-P326</f>
        <v>0</v>
      </c>
      <c r="K326" s="12">
        <f t="shared" ref="K326:L334" si="199">VLOOKUP($D326,$E$741:$V$815,K$1,FALSE)*$H326</f>
        <v>0</v>
      </c>
      <c r="L326" s="12">
        <f t="shared" si="199"/>
        <v>0</v>
      </c>
      <c r="M326" s="9">
        <f t="shared" ref="M326:M335" si="200">SUM(N326:O326)</f>
        <v>0</v>
      </c>
      <c r="N326" s="12">
        <f t="shared" ref="N326:O334" si="201">VLOOKUP($D326,$E$741:$V$815,N$1,FALSE)*$H326</f>
        <v>0</v>
      </c>
      <c r="O326" s="12">
        <f t="shared" si="201"/>
        <v>0</v>
      </c>
      <c r="P326" s="9">
        <f t="shared" si="175"/>
        <v>0</v>
      </c>
      <c r="Q326" s="12">
        <f t="shared" ref="Q326:V334" si="202">VLOOKUP($D326,$E$741:$V$815,Q$1,FALSE)*$H326</f>
        <v>0</v>
      </c>
      <c r="R326" s="12">
        <f t="shared" si="202"/>
        <v>0</v>
      </c>
      <c r="S326" s="12">
        <f t="shared" si="202"/>
        <v>0</v>
      </c>
      <c r="T326" s="12">
        <f t="shared" si="202"/>
        <v>0</v>
      </c>
      <c r="U326" s="12">
        <f t="shared" si="202"/>
        <v>0</v>
      </c>
      <c r="V326" s="12">
        <f t="shared" si="202"/>
        <v>0</v>
      </c>
      <c r="W326" s="27" t="str">
        <f t="shared" si="170"/>
        <v>OK</v>
      </c>
    </row>
    <row r="327" spans="1:23" x14ac:dyDescent="0.2">
      <c r="A327" s="3">
        <f t="shared" si="197"/>
        <v>12</v>
      </c>
      <c r="B327" s="3" t="s">
        <v>154</v>
      </c>
      <c r="C327" s="3" t="s">
        <v>155</v>
      </c>
      <c r="D327" s="1" t="s">
        <v>325</v>
      </c>
      <c r="E327" s="4" t="s">
        <v>592</v>
      </c>
      <c r="F327" s="11"/>
      <c r="G327" s="11"/>
      <c r="H327" s="14">
        <f>'II-I TOTAL COMPANY'!M327</f>
        <v>0</v>
      </c>
      <c r="I327" s="66">
        <v>0</v>
      </c>
      <c r="J327" s="66">
        <f t="shared" si="198"/>
        <v>0</v>
      </c>
      <c r="K327" s="12">
        <f t="shared" si="199"/>
        <v>0</v>
      </c>
      <c r="L327" s="12">
        <f t="shared" si="199"/>
        <v>0</v>
      </c>
      <c r="M327" s="9">
        <f t="shared" si="200"/>
        <v>0</v>
      </c>
      <c r="N327" s="12">
        <f t="shared" si="201"/>
        <v>0</v>
      </c>
      <c r="O327" s="12">
        <f t="shared" si="201"/>
        <v>0</v>
      </c>
      <c r="P327" s="9">
        <f t="shared" si="175"/>
        <v>0</v>
      </c>
      <c r="Q327" s="12">
        <f t="shared" si="202"/>
        <v>0</v>
      </c>
      <c r="R327" s="12">
        <f t="shared" si="202"/>
        <v>0</v>
      </c>
      <c r="S327" s="12">
        <f t="shared" si="202"/>
        <v>0</v>
      </c>
      <c r="T327" s="12">
        <f t="shared" si="202"/>
        <v>0</v>
      </c>
      <c r="U327" s="12">
        <f t="shared" si="202"/>
        <v>0</v>
      </c>
      <c r="V327" s="12">
        <f t="shared" si="202"/>
        <v>0</v>
      </c>
      <c r="W327" s="27" t="str">
        <f t="shared" si="170"/>
        <v>OK</v>
      </c>
    </row>
    <row r="328" spans="1:23" x14ac:dyDescent="0.2">
      <c r="A328" s="3">
        <f t="shared" si="197"/>
        <v>13</v>
      </c>
      <c r="B328" s="3" t="s">
        <v>156</v>
      </c>
      <c r="C328" s="3" t="s">
        <v>38</v>
      </c>
      <c r="D328" s="1" t="s">
        <v>326</v>
      </c>
      <c r="E328" s="4" t="s">
        <v>592</v>
      </c>
      <c r="F328" s="11"/>
      <c r="G328" s="11"/>
      <c r="H328" s="14">
        <f>'II-I TOTAL COMPANY'!M328</f>
        <v>0</v>
      </c>
      <c r="I328" s="66">
        <v>0</v>
      </c>
      <c r="J328" s="66">
        <f t="shared" si="198"/>
        <v>0</v>
      </c>
      <c r="K328" s="12">
        <f t="shared" si="199"/>
        <v>0</v>
      </c>
      <c r="L328" s="12">
        <f t="shared" si="199"/>
        <v>0</v>
      </c>
      <c r="M328" s="9">
        <f t="shared" si="200"/>
        <v>0</v>
      </c>
      <c r="N328" s="12">
        <f t="shared" si="201"/>
        <v>0</v>
      </c>
      <c r="O328" s="12">
        <f t="shared" si="201"/>
        <v>0</v>
      </c>
      <c r="P328" s="9">
        <f t="shared" si="175"/>
        <v>0</v>
      </c>
      <c r="Q328" s="12">
        <f t="shared" si="202"/>
        <v>0</v>
      </c>
      <c r="R328" s="12">
        <f t="shared" si="202"/>
        <v>0</v>
      </c>
      <c r="S328" s="12">
        <f t="shared" si="202"/>
        <v>0</v>
      </c>
      <c r="T328" s="12">
        <f t="shared" si="202"/>
        <v>0</v>
      </c>
      <c r="U328" s="12">
        <f t="shared" si="202"/>
        <v>0</v>
      </c>
      <c r="V328" s="12">
        <f t="shared" si="202"/>
        <v>0</v>
      </c>
      <c r="W328" s="27" t="str">
        <f t="shared" ref="W328:W391" si="203">IF((+K328+L328+M328+P328+T328+U328+V328)-H328=0,"OK",(+K328+L328+M328+P328+T328+U328+V328)-H328)</f>
        <v>OK</v>
      </c>
    </row>
    <row r="329" spans="1:23" x14ac:dyDescent="0.2">
      <c r="A329" s="3">
        <f t="shared" si="197"/>
        <v>14</v>
      </c>
      <c r="B329" s="3" t="s">
        <v>157</v>
      </c>
      <c r="C329" s="3" t="s">
        <v>158</v>
      </c>
      <c r="D329" s="1" t="s">
        <v>325</v>
      </c>
      <c r="E329" s="4" t="s">
        <v>592</v>
      </c>
      <c r="F329" s="11"/>
      <c r="G329" s="11"/>
      <c r="H329" s="14">
        <f>'II-I TOTAL COMPANY'!M329</f>
        <v>0</v>
      </c>
      <c r="I329" s="66">
        <v>0</v>
      </c>
      <c r="J329" s="66">
        <f t="shared" si="198"/>
        <v>0</v>
      </c>
      <c r="K329" s="12">
        <f t="shared" si="199"/>
        <v>0</v>
      </c>
      <c r="L329" s="12">
        <f t="shared" si="199"/>
        <v>0</v>
      </c>
      <c r="M329" s="9">
        <f t="shared" si="200"/>
        <v>0</v>
      </c>
      <c r="N329" s="12">
        <f t="shared" si="201"/>
        <v>0</v>
      </c>
      <c r="O329" s="12">
        <f t="shared" si="201"/>
        <v>0</v>
      </c>
      <c r="P329" s="9">
        <f t="shared" si="175"/>
        <v>0</v>
      </c>
      <c r="Q329" s="12">
        <f t="shared" si="202"/>
        <v>0</v>
      </c>
      <c r="R329" s="12">
        <f t="shared" si="202"/>
        <v>0</v>
      </c>
      <c r="S329" s="12">
        <f t="shared" si="202"/>
        <v>0</v>
      </c>
      <c r="T329" s="12">
        <f t="shared" si="202"/>
        <v>0</v>
      </c>
      <c r="U329" s="12">
        <f t="shared" si="202"/>
        <v>0</v>
      </c>
      <c r="V329" s="12">
        <f t="shared" si="202"/>
        <v>0</v>
      </c>
      <c r="W329" s="27" t="str">
        <f t="shared" si="203"/>
        <v>OK</v>
      </c>
    </row>
    <row r="330" spans="1:23" x14ac:dyDescent="0.2">
      <c r="A330" s="3">
        <f t="shared" si="197"/>
        <v>15</v>
      </c>
      <c r="B330" s="3" t="s">
        <v>159</v>
      </c>
      <c r="C330" s="3" t="s">
        <v>160</v>
      </c>
      <c r="D330" s="1" t="s">
        <v>325</v>
      </c>
      <c r="E330" s="4" t="s">
        <v>592</v>
      </c>
      <c r="F330" s="11"/>
      <c r="G330" s="11"/>
      <c r="H330" s="14">
        <f>'II-I TOTAL COMPANY'!M330</f>
        <v>0</v>
      </c>
      <c r="I330" s="66">
        <v>0</v>
      </c>
      <c r="J330" s="66">
        <f t="shared" si="198"/>
        <v>0</v>
      </c>
      <c r="K330" s="12">
        <f t="shared" si="199"/>
        <v>0</v>
      </c>
      <c r="L330" s="12">
        <f t="shared" si="199"/>
        <v>0</v>
      </c>
      <c r="M330" s="9">
        <f t="shared" si="200"/>
        <v>0</v>
      </c>
      <c r="N330" s="12">
        <f t="shared" si="201"/>
        <v>0</v>
      </c>
      <c r="O330" s="12">
        <f t="shared" si="201"/>
        <v>0</v>
      </c>
      <c r="P330" s="9">
        <f t="shared" si="175"/>
        <v>0</v>
      </c>
      <c r="Q330" s="12">
        <f t="shared" si="202"/>
        <v>0</v>
      </c>
      <c r="R330" s="12">
        <f t="shared" si="202"/>
        <v>0</v>
      </c>
      <c r="S330" s="12">
        <f t="shared" si="202"/>
        <v>0</v>
      </c>
      <c r="T330" s="12">
        <f t="shared" si="202"/>
        <v>0</v>
      </c>
      <c r="U330" s="12">
        <f t="shared" si="202"/>
        <v>0</v>
      </c>
      <c r="V330" s="12">
        <f t="shared" si="202"/>
        <v>0</v>
      </c>
      <c r="W330" s="27" t="str">
        <f t="shared" si="203"/>
        <v>OK</v>
      </c>
    </row>
    <row r="331" spans="1:23" x14ac:dyDescent="0.2">
      <c r="A331" s="3">
        <f t="shared" si="197"/>
        <v>16</v>
      </c>
      <c r="B331" s="3" t="s">
        <v>161</v>
      </c>
      <c r="C331" s="3" t="s">
        <v>527</v>
      </c>
      <c r="D331" s="1" t="s">
        <v>325</v>
      </c>
      <c r="E331" s="4" t="s">
        <v>592</v>
      </c>
      <c r="F331" s="11"/>
      <c r="G331" s="11"/>
      <c r="H331" s="14">
        <f>'II-I TOTAL COMPANY'!M331</f>
        <v>0</v>
      </c>
      <c r="I331" s="66">
        <v>0</v>
      </c>
      <c r="J331" s="66">
        <f t="shared" si="198"/>
        <v>0</v>
      </c>
      <c r="K331" s="12">
        <f t="shared" si="199"/>
        <v>0</v>
      </c>
      <c r="L331" s="12">
        <f t="shared" si="199"/>
        <v>0</v>
      </c>
      <c r="M331" s="9">
        <f t="shared" si="200"/>
        <v>0</v>
      </c>
      <c r="N331" s="12">
        <f t="shared" si="201"/>
        <v>0</v>
      </c>
      <c r="O331" s="12">
        <f t="shared" si="201"/>
        <v>0</v>
      </c>
      <c r="P331" s="9">
        <f t="shared" si="175"/>
        <v>0</v>
      </c>
      <c r="Q331" s="12">
        <f t="shared" si="202"/>
        <v>0</v>
      </c>
      <c r="R331" s="12">
        <f t="shared" si="202"/>
        <v>0</v>
      </c>
      <c r="S331" s="12">
        <f t="shared" si="202"/>
        <v>0</v>
      </c>
      <c r="T331" s="12">
        <f t="shared" si="202"/>
        <v>0</v>
      </c>
      <c r="U331" s="12">
        <f t="shared" si="202"/>
        <v>0</v>
      </c>
      <c r="V331" s="12">
        <f t="shared" si="202"/>
        <v>0</v>
      </c>
      <c r="W331" s="27" t="str">
        <f t="shared" si="203"/>
        <v>OK</v>
      </c>
    </row>
    <row r="332" spans="1:23" x14ac:dyDescent="0.2">
      <c r="A332" s="3">
        <f t="shared" si="197"/>
        <v>17</v>
      </c>
      <c r="B332" s="3" t="s">
        <v>161</v>
      </c>
      <c r="C332" s="3" t="s">
        <v>577</v>
      </c>
      <c r="D332" s="1" t="s">
        <v>325</v>
      </c>
      <c r="E332" s="4" t="s">
        <v>611</v>
      </c>
      <c r="F332" s="11"/>
      <c r="G332" s="11"/>
      <c r="H332" s="14">
        <f>'II-I TOTAL COMPANY'!M332</f>
        <v>0</v>
      </c>
      <c r="I332" s="66">
        <v>0</v>
      </c>
      <c r="J332" s="66">
        <f t="shared" si="198"/>
        <v>0</v>
      </c>
      <c r="K332" s="12">
        <f t="shared" si="199"/>
        <v>0</v>
      </c>
      <c r="L332" s="12">
        <f t="shared" si="199"/>
        <v>0</v>
      </c>
      <c r="M332" s="9">
        <f t="shared" si="200"/>
        <v>0</v>
      </c>
      <c r="N332" s="12">
        <f t="shared" si="201"/>
        <v>0</v>
      </c>
      <c r="O332" s="12">
        <f t="shared" si="201"/>
        <v>0</v>
      </c>
      <c r="P332" s="9">
        <f t="shared" si="175"/>
        <v>0</v>
      </c>
      <c r="Q332" s="12">
        <f t="shared" si="202"/>
        <v>0</v>
      </c>
      <c r="R332" s="12">
        <f t="shared" si="202"/>
        <v>0</v>
      </c>
      <c r="S332" s="12">
        <f t="shared" si="202"/>
        <v>0</v>
      </c>
      <c r="T332" s="12">
        <f t="shared" si="202"/>
        <v>0</v>
      </c>
      <c r="U332" s="12">
        <f t="shared" si="202"/>
        <v>0</v>
      </c>
      <c r="V332" s="12">
        <f t="shared" si="202"/>
        <v>0</v>
      </c>
      <c r="W332" s="27" t="str">
        <f t="shared" si="203"/>
        <v>OK</v>
      </c>
    </row>
    <row r="333" spans="1:23" x14ac:dyDescent="0.2">
      <c r="A333" s="3">
        <f t="shared" si="197"/>
        <v>18</v>
      </c>
      <c r="B333" s="3" t="s">
        <v>162</v>
      </c>
      <c r="C333" s="3" t="s">
        <v>470</v>
      </c>
      <c r="D333" s="1" t="s">
        <v>325</v>
      </c>
      <c r="E333" s="4" t="s">
        <v>592</v>
      </c>
      <c r="F333" s="11"/>
      <c r="G333" s="11"/>
      <c r="H333" s="14">
        <f>'II-I TOTAL COMPANY'!M333</f>
        <v>0</v>
      </c>
      <c r="I333" s="66">
        <v>0</v>
      </c>
      <c r="J333" s="66">
        <f t="shared" si="198"/>
        <v>0</v>
      </c>
      <c r="K333" s="12">
        <f t="shared" si="199"/>
        <v>0</v>
      </c>
      <c r="L333" s="12">
        <f t="shared" si="199"/>
        <v>0</v>
      </c>
      <c r="M333" s="9">
        <f t="shared" si="200"/>
        <v>0</v>
      </c>
      <c r="N333" s="12">
        <f t="shared" si="201"/>
        <v>0</v>
      </c>
      <c r="O333" s="12">
        <f t="shared" si="201"/>
        <v>0</v>
      </c>
      <c r="P333" s="9">
        <f t="shared" si="175"/>
        <v>0</v>
      </c>
      <c r="Q333" s="12">
        <f t="shared" si="202"/>
        <v>0</v>
      </c>
      <c r="R333" s="12">
        <f t="shared" si="202"/>
        <v>0</v>
      </c>
      <c r="S333" s="12">
        <f t="shared" si="202"/>
        <v>0</v>
      </c>
      <c r="T333" s="12">
        <f t="shared" si="202"/>
        <v>0</v>
      </c>
      <c r="U333" s="12">
        <f t="shared" si="202"/>
        <v>0</v>
      </c>
      <c r="V333" s="12">
        <f t="shared" si="202"/>
        <v>0</v>
      </c>
      <c r="W333" s="27" t="str">
        <f t="shared" si="203"/>
        <v>OK</v>
      </c>
    </row>
    <row r="334" spans="1:23" x14ac:dyDescent="0.2">
      <c r="A334" s="3">
        <f t="shared" si="197"/>
        <v>19</v>
      </c>
      <c r="B334" s="3" t="s">
        <v>164</v>
      </c>
      <c r="C334" s="3" t="s">
        <v>141</v>
      </c>
      <c r="D334" s="1" t="s">
        <v>325</v>
      </c>
      <c r="E334" s="4" t="s">
        <v>592</v>
      </c>
      <c r="F334" s="11"/>
      <c r="G334" s="11"/>
      <c r="H334" s="14">
        <f>'II-I TOTAL COMPANY'!M334</f>
        <v>0</v>
      </c>
      <c r="I334" s="66">
        <v>0</v>
      </c>
      <c r="J334" s="66">
        <f t="shared" si="198"/>
        <v>0</v>
      </c>
      <c r="K334" s="12">
        <f t="shared" si="199"/>
        <v>0</v>
      </c>
      <c r="L334" s="12">
        <f t="shared" si="199"/>
        <v>0</v>
      </c>
      <c r="M334" s="9">
        <f t="shared" si="200"/>
        <v>0</v>
      </c>
      <c r="N334" s="12">
        <f t="shared" si="201"/>
        <v>0</v>
      </c>
      <c r="O334" s="12">
        <f t="shared" si="201"/>
        <v>0</v>
      </c>
      <c r="P334" s="9">
        <f t="shared" si="175"/>
        <v>0</v>
      </c>
      <c r="Q334" s="12">
        <f t="shared" si="202"/>
        <v>0</v>
      </c>
      <c r="R334" s="12">
        <f t="shared" si="202"/>
        <v>0</v>
      </c>
      <c r="S334" s="12">
        <f t="shared" si="202"/>
        <v>0</v>
      </c>
      <c r="T334" s="12">
        <f t="shared" si="202"/>
        <v>0</v>
      </c>
      <c r="U334" s="12">
        <f t="shared" si="202"/>
        <v>0</v>
      </c>
      <c r="V334" s="12">
        <f t="shared" si="202"/>
        <v>0</v>
      </c>
      <c r="W334" s="27" t="str">
        <f t="shared" si="203"/>
        <v>OK</v>
      </c>
    </row>
    <row r="335" spans="1:23" x14ac:dyDescent="0.2">
      <c r="A335" s="3">
        <f t="shared" si="197"/>
        <v>20</v>
      </c>
      <c r="B335" s="3"/>
      <c r="C335" s="3" t="s">
        <v>135</v>
      </c>
      <c r="D335" s="3"/>
      <c r="E335" s="4"/>
      <c r="F335" s="8"/>
      <c r="G335" s="8"/>
      <c r="H335" s="8">
        <f t="shared" ref="H335:V335" si="204">SUM(H326:H334)</f>
        <v>0</v>
      </c>
      <c r="I335" s="8">
        <f t="shared" si="204"/>
        <v>0</v>
      </c>
      <c r="J335" s="66">
        <f t="shared" si="198"/>
        <v>0</v>
      </c>
      <c r="K335" s="8">
        <f t="shared" si="204"/>
        <v>0</v>
      </c>
      <c r="L335" s="8">
        <f t="shared" si="204"/>
        <v>0</v>
      </c>
      <c r="M335" s="9">
        <f t="shared" si="200"/>
        <v>0</v>
      </c>
      <c r="N335" s="8">
        <f t="shared" si="204"/>
        <v>0</v>
      </c>
      <c r="O335" s="8">
        <f t="shared" si="204"/>
        <v>0</v>
      </c>
      <c r="P335" s="9">
        <f t="shared" si="175"/>
        <v>0</v>
      </c>
      <c r="Q335" s="8">
        <f t="shared" si="204"/>
        <v>0</v>
      </c>
      <c r="R335" s="8">
        <f t="shared" si="204"/>
        <v>0</v>
      </c>
      <c r="S335" s="8">
        <f>SUM(S326:S334)</f>
        <v>0</v>
      </c>
      <c r="T335" s="8">
        <f t="shared" si="204"/>
        <v>0</v>
      </c>
      <c r="U335" s="8">
        <f t="shared" si="204"/>
        <v>0</v>
      </c>
      <c r="V335" s="8">
        <f t="shared" si="204"/>
        <v>0</v>
      </c>
      <c r="W335" s="27" t="str">
        <f t="shared" si="203"/>
        <v>OK</v>
      </c>
    </row>
    <row r="336" spans="1:23" x14ac:dyDescent="0.2">
      <c r="A336" s="3">
        <f t="shared" si="197"/>
        <v>21</v>
      </c>
      <c r="B336" s="3"/>
      <c r="C336" s="3"/>
      <c r="D336" s="3"/>
      <c r="E336" s="4"/>
      <c r="F336" s="4"/>
      <c r="G336" s="4"/>
      <c r="H336" s="8"/>
      <c r="I336" s="8"/>
      <c r="J336" s="66"/>
      <c r="K336" s="8"/>
      <c r="L336" s="8"/>
      <c r="M336" s="3"/>
      <c r="N336" s="3"/>
      <c r="O336" s="3"/>
      <c r="P336" s="9"/>
      <c r="Q336" s="3"/>
      <c r="R336" s="3"/>
      <c r="S336" s="3"/>
      <c r="T336" s="3"/>
      <c r="U336" s="3"/>
      <c r="V336" s="3"/>
      <c r="W336" s="27" t="str">
        <f t="shared" si="203"/>
        <v>OK</v>
      </c>
    </row>
    <row r="337" spans="1:23" x14ac:dyDescent="0.2">
      <c r="A337" s="3">
        <f t="shared" si="197"/>
        <v>22</v>
      </c>
      <c r="B337" s="3"/>
      <c r="C337" s="3" t="s">
        <v>142</v>
      </c>
      <c r="D337" s="3"/>
      <c r="E337" s="4"/>
      <c r="F337" s="4"/>
      <c r="G337" s="4"/>
      <c r="H337" s="8"/>
      <c r="I337" s="8"/>
      <c r="J337" s="8"/>
      <c r="K337" s="8"/>
      <c r="L337" s="8"/>
      <c r="M337" s="3"/>
      <c r="N337" s="3"/>
      <c r="O337" s="3"/>
      <c r="P337" s="9"/>
      <c r="Q337" s="3"/>
      <c r="R337" s="3"/>
      <c r="S337" s="3"/>
      <c r="T337" s="3"/>
      <c r="U337" s="3"/>
      <c r="V337" s="3"/>
      <c r="W337" s="27" t="str">
        <f t="shared" si="203"/>
        <v>OK</v>
      </c>
    </row>
    <row r="338" spans="1:23" x14ac:dyDescent="0.2">
      <c r="A338" s="3">
        <f t="shared" si="197"/>
        <v>23</v>
      </c>
      <c r="B338" s="3" t="s">
        <v>165</v>
      </c>
      <c r="C338" s="3" t="s">
        <v>146</v>
      </c>
      <c r="D338" s="1" t="s">
        <v>423</v>
      </c>
      <c r="E338" s="4" t="s">
        <v>592</v>
      </c>
      <c r="F338" s="11"/>
      <c r="G338" s="11"/>
      <c r="H338" s="14">
        <f>'II-I TOTAL COMPANY'!M338</f>
        <v>0</v>
      </c>
      <c r="I338" s="66">
        <v>0</v>
      </c>
      <c r="J338" s="66">
        <f t="shared" si="198"/>
        <v>0</v>
      </c>
      <c r="K338" s="12">
        <f t="shared" ref="K338:L343" si="205">VLOOKUP($D338,$E$741:$V$815,K$1,FALSE)*$H338</f>
        <v>0</v>
      </c>
      <c r="L338" s="12">
        <f t="shared" si="205"/>
        <v>0</v>
      </c>
      <c r="M338" s="9">
        <f t="shared" ref="M338:M344" si="206">SUM(N338:O338)</f>
        <v>0</v>
      </c>
      <c r="N338" s="12">
        <f t="shared" ref="N338:O343" si="207">VLOOKUP($D338,$E$741:$V$815,N$1,FALSE)*$H338</f>
        <v>0</v>
      </c>
      <c r="O338" s="12">
        <f t="shared" si="207"/>
        <v>0</v>
      </c>
      <c r="P338" s="9">
        <f t="shared" si="175"/>
        <v>0</v>
      </c>
      <c r="Q338" s="12">
        <f t="shared" ref="Q338:V343" si="208">VLOOKUP($D338,$E$741:$V$815,Q$1,FALSE)*$H338</f>
        <v>0</v>
      </c>
      <c r="R338" s="12">
        <f t="shared" si="208"/>
        <v>0</v>
      </c>
      <c r="S338" s="12">
        <f t="shared" si="208"/>
        <v>0</v>
      </c>
      <c r="T338" s="12">
        <f t="shared" si="208"/>
        <v>0</v>
      </c>
      <c r="U338" s="12">
        <f t="shared" si="208"/>
        <v>0</v>
      </c>
      <c r="V338" s="12">
        <f t="shared" si="208"/>
        <v>0</v>
      </c>
      <c r="W338" s="27" t="str">
        <f t="shared" si="203"/>
        <v>OK</v>
      </c>
    </row>
    <row r="339" spans="1:23" x14ac:dyDescent="0.2">
      <c r="A339" s="3">
        <f t="shared" si="197"/>
        <v>24</v>
      </c>
      <c r="B339" s="3" t="s">
        <v>166</v>
      </c>
      <c r="C339" s="3" t="s">
        <v>143</v>
      </c>
      <c r="D339" s="1" t="s">
        <v>329</v>
      </c>
      <c r="E339" s="4" t="s">
        <v>592</v>
      </c>
      <c r="F339" s="11"/>
      <c r="G339" s="11"/>
      <c r="H339" s="14">
        <f>'II-I TOTAL COMPANY'!M339</f>
        <v>0</v>
      </c>
      <c r="I339" s="66">
        <v>0</v>
      </c>
      <c r="J339" s="66">
        <f t="shared" si="198"/>
        <v>0</v>
      </c>
      <c r="K339" s="12">
        <f t="shared" si="205"/>
        <v>0</v>
      </c>
      <c r="L339" s="12">
        <f t="shared" si="205"/>
        <v>0</v>
      </c>
      <c r="M339" s="9">
        <f t="shared" si="206"/>
        <v>0</v>
      </c>
      <c r="N339" s="12">
        <f t="shared" si="207"/>
        <v>0</v>
      </c>
      <c r="O339" s="12">
        <f t="shared" si="207"/>
        <v>0</v>
      </c>
      <c r="P339" s="9">
        <f t="shared" si="175"/>
        <v>0</v>
      </c>
      <c r="Q339" s="12">
        <f t="shared" si="208"/>
        <v>0</v>
      </c>
      <c r="R339" s="12">
        <f t="shared" si="208"/>
        <v>0</v>
      </c>
      <c r="S339" s="12">
        <f t="shared" si="208"/>
        <v>0</v>
      </c>
      <c r="T339" s="12">
        <f t="shared" si="208"/>
        <v>0</v>
      </c>
      <c r="U339" s="12">
        <f t="shared" si="208"/>
        <v>0</v>
      </c>
      <c r="V339" s="12">
        <f t="shared" si="208"/>
        <v>0</v>
      </c>
      <c r="W339" s="27" t="str">
        <f t="shared" si="203"/>
        <v>OK</v>
      </c>
    </row>
    <row r="340" spans="1:23" x14ac:dyDescent="0.2">
      <c r="A340" s="3">
        <f t="shared" si="197"/>
        <v>25</v>
      </c>
      <c r="B340" s="3" t="s">
        <v>167</v>
      </c>
      <c r="C340" s="3" t="s">
        <v>168</v>
      </c>
      <c r="D340" s="1" t="s">
        <v>330</v>
      </c>
      <c r="E340" s="4" t="s">
        <v>592</v>
      </c>
      <c r="F340" s="11"/>
      <c r="G340" s="11"/>
      <c r="H340" s="14">
        <f>'II-I TOTAL COMPANY'!M340</f>
        <v>0</v>
      </c>
      <c r="I340" s="66">
        <v>0</v>
      </c>
      <c r="J340" s="66">
        <f t="shared" si="198"/>
        <v>0</v>
      </c>
      <c r="K340" s="12">
        <f t="shared" si="205"/>
        <v>0</v>
      </c>
      <c r="L340" s="12">
        <f t="shared" si="205"/>
        <v>0</v>
      </c>
      <c r="M340" s="9">
        <f t="shared" si="206"/>
        <v>0</v>
      </c>
      <c r="N340" s="12">
        <f t="shared" si="207"/>
        <v>0</v>
      </c>
      <c r="O340" s="12">
        <f t="shared" si="207"/>
        <v>0</v>
      </c>
      <c r="P340" s="9">
        <f t="shared" ref="P340:P403" si="209">SUM(Q340:S340)</f>
        <v>0</v>
      </c>
      <c r="Q340" s="12">
        <f t="shared" si="208"/>
        <v>0</v>
      </c>
      <c r="R340" s="12">
        <f t="shared" si="208"/>
        <v>0</v>
      </c>
      <c r="S340" s="12">
        <f t="shared" si="208"/>
        <v>0</v>
      </c>
      <c r="T340" s="12">
        <f t="shared" si="208"/>
        <v>0</v>
      </c>
      <c r="U340" s="12">
        <f t="shared" si="208"/>
        <v>0</v>
      </c>
      <c r="V340" s="12">
        <f t="shared" si="208"/>
        <v>0</v>
      </c>
      <c r="W340" s="27" t="str">
        <f t="shared" si="203"/>
        <v>OK</v>
      </c>
    </row>
    <row r="341" spans="1:23" x14ac:dyDescent="0.2">
      <c r="A341" s="3">
        <f t="shared" si="197"/>
        <v>26</v>
      </c>
      <c r="B341" s="3" t="s">
        <v>169</v>
      </c>
      <c r="C341" s="3" t="s">
        <v>170</v>
      </c>
      <c r="D341" s="1" t="s">
        <v>325</v>
      </c>
      <c r="E341" s="4" t="s">
        <v>592</v>
      </c>
      <c r="F341" s="11"/>
      <c r="G341" s="11"/>
      <c r="H341" s="14">
        <f>'II-I TOTAL COMPANY'!M341</f>
        <v>0</v>
      </c>
      <c r="I341" s="66">
        <v>0</v>
      </c>
      <c r="J341" s="66">
        <f t="shared" si="198"/>
        <v>0</v>
      </c>
      <c r="K341" s="12">
        <f t="shared" si="205"/>
        <v>0</v>
      </c>
      <c r="L341" s="12">
        <f t="shared" si="205"/>
        <v>0</v>
      </c>
      <c r="M341" s="9">
        <f t="shared" si="206"/>
        <v>0</v>
      </c>
      <c r="N341" s="12">
        <f t="shared" si="207"/>
        <v>0</v>
      </c>
      <c r="O341" s="12">
        <f t="shared" si="207"/>
        <v>0</v>
      </c>
      <c r="P341" s="9">
        <f t="shared" si="209"/>
        <v>0</v>
      </c>
      <c r="Q341" s="12">
        <f t="shared" si="208"/>
        <v>0</v>
      </c>
      <c r="R341" s="12">
        <f t="shared" si="208"/>
        <v>0</v>
      </c>
      <c r="S341" s="12">
        <f t="shared" si="208"/>
        <v>0</v>
      </c>
      <c r="T341" s="12">
        <f t="shared" si="208"/>
        <v>0</v>
      </c>
      <c r="U341" s="12">
        <f t="shared" si="208"/>
        <v>0</v>
      </c>
      <c r="V341" s="12">
        <f t="shared" si="208"/>
        <v>0</v>
      </c>
      <c r="W341" s="27" t="str">
        <f t="shared" si="203"/>
        <v>OK</v>
      </c>
    </row>
    <row r="342" spans="1:23" x14ac:dyDescent="0.2">
      <c r="A342" s="3">
        <f t="shared" si="197"/>
        <v>27</v>
      </c>
      <c r="B342" s="3" t="s">
        <v>171</v>
      </c>
      <c r="C342" s="3" t="s">
        <v>172</v>
      </c>
      <c r="D342" s="1" t="s">
        <v>325</v>
      </c>
      <c r="E342" s="4" t="s">
        <v>592</v>
      </c>
      <c r="F342" s="11"/>
      <c r="G342" s="11"/>
      <c r="H342" s="14">
        <f>'II-I TOTAL COMPANY'!M342</f>
        <v>0</v>
      </c>
      <c r="I342" s="66">
        <v>0</v>
      </c>
      <c r="J342" s="66">
        <f t="shared" si="198"/>
        <v>0</v>
      </c>
      <c r="K342" s="12">
        <f t="shared" si="205"/>
        <v>0</v>
      </c>
      <c r="L342" s="12">
        <f t="shared" si="205"/>
        <v>0</v>
      </c>
      <c r="M342" s="9">
        <f t="shared" si="206"/>
        <v>0</v>
      </c>
      <c r="N342" s="12">
        <f t="shared" si="207"/>
        <v>0</v>
      </c>
      <c r="O342" s="12">
        <f t="shared" si="207"/>
        <v>0</v>
      </c>
      <c r="P342" s="9">
        <f t="shared" si="209"/>
        <v>0</v>
      </c>
      <c r="Q342" s="12">
        <f t="shared" si="208"/>
        <v>0</v>
      </c>
      <c r="R342" s="12">
        <f t="shared" si="208"/>
        <v>0</v>
      </c>
      <c r="S342" s="12">
        <f t="shared" si="208"/>
        <v>0</v>
      </c>
      <c r="T342" s="12">
        <f t="shared" si="208"/>
        <v>0</v>
      </c>
      <c r="U342" s="12">
        <f t="shared" si="208"/>
        <v>0</v>
      </c>
      <c r="V342" s="12">
        <f t="shared" si="208"/>
        <v>0</v>
      </c>
      <c r="W342" s="27" t="str">
        <f t="shared" si="203"/>
        <v>OK</v>
      </c>
    </row>
    <row r="343" spans="1:23" x14ac:dyDescent="0.2">
      <c r="A343" s="3">
        <f t="shared" si="197"/>
        <v>28</v>
      </c>
      <c r="B343" s="3" t="s">
        <v>173</v>
      </c>
      <c r="C343" s="3" t="s">
        <v>174</v>
      </c>
      <c r="D343" s="1" t="s">
        <v>325</v>
      </c>
      <c r="E343" s="4" t="s">
        <v>592</v>
      </c>
      <c r="F343" s="11"/>
      <c r="G343" s="11"/>
      <c r="H343" s="14">
        <f>'II-I TOTAL COMPANY'!M343</f>
        <v>0</v>
      </c>
      <c r="I343" s="66">
        <v>0</v>
      </c>
      <c r="J343" s="66">
        <f t="shared" si="198"/>
        <v>0</v>
      </c>
      <c r="K343" s="12">
        <f t="shared" si="205"/>
        <v>0</v>
      </c>
      <c r="L343" s="12">
        <f t="shared" si="205"/>
        <v>0</v>
      </c>
      <c r="M343" s="9">
        <f t="shared" si="206"/>
        <v>0</v>
      </c>
      <c r="N343" s="12">
        <f t="shared" si="207"/>
        <v>0</v>
      </c>
      <c r="O343" s="12">
        <f t="shared" si="207"/>
        <v>0</v>
      </c>
      <c r="P343" s="9">
        <f t="shared" si="209"/>
        <v>0</v>
      </c>
      <c r="Q343" s="12">
        <f t="shared" si="208"/>
        <v>0</v>
      </c>
      <c r="R343" s="12">
        <f t="shared" si="208"/>
        <v>0</v>
      </c>
      <c r="S343" s="12">
        <f t="shared" si="208"/>
        <v>0</v>
      </c>
      <c r="T343" s="12">
        <f t="shared" si="208"/>
        <v>0</v>
      </c>
      <c r="U343" s="12">
        <f t="shared" si="208"/>
        <v>0</v>
      </c>
      <c r="V343" s="12">
        <f t="shared" si="208"/>
        <v>0</v>
      </c>
      <c r="W343" s="27" t="str">
        <f t="shared" si="203"/>
        <v>OK</v>
      </c>
    </row>
    <row r="344" spans="1:23" x14ac:dyDescent="0.2">
      <c r="A344" s="3">
        <f t="shared" si="197"/>
        <v>29</v>
      </c>
      <c r="B344" s="3"/>
      <c r="C344" s="3" t="s">
        <v>135</v>
      </c>
      <c r="D344" s="3"/>
      <c r="E344" s="4"/>
      <c r="F344" s="8"/>
      <c r="G344" s="8"/>
      <c r="H344" s="8">
        <f t="shared" ref="H344:V344" si="210">SUM(H338:H343)</f>
        <v>0</v>
      </c>
      <c r="I344" s="66">
        <v>0</v>
      </c>
      <c r="J344" s="66">
        <f t="shared" si="198"/>
        <v>0</v>
      </c>
      <c r="K344" s="8">
        <f t="shared" si="210"/>
        <v>0</v>
      </c>
      <c r="L344" s="8">
        <f t="shared" si="210"/>
        <v>0</v>
      </c>
      <c r="M344" s="9">
        <f t="shared" si="206"/>
        <v>0</v>
      </c>
      <c r="N344" s="8">
        <f t="shared" si="210"/>
        <v>0</v>
      </c>
      <c r="O344" s="8">
        <f t="shared" si="210"/>
        <v>0</v>
      </c>
      <c r="P344" s="9">
        <f t="shared" si="209"/>
        <v>0</v>
      </c>
      <c r="Q344" s="8">
        <f t="shared" si="210"/>
        <v>0</v>
      </c>
      <c r="R344" s="8">
        <f t="shared" si="210"/>
        <v>0</v>
      </c>
      <c r="S344" s="8">
        <f>SUM(S338:S343)</f>
        <v>0</v>
      </c>
      <c r="T344" s="8">
        <f t="shared" si="210"/>
        <v>0</v>
      </c>
      <c r="U344" s="8">
        <f t="shared" si="210"/>
        <v>0</v>
      </c>
      <c r="V344" s="8">
        <f t="shared" si="210"/>
        <v>0</v>
      </c>
      <c r="W344" s="27" t="str">
        <f t="shared" si="203"/>
        <v>OK</v>
      </c>
    </row>
    <row r="345" spans="1:23" x14ac:dyDescent="0.2">
      <c r="A345" s="3">
        <f t="shared" si="197"/>
        <v>30</v>
      </c>
      <c r="B345" s="3"/>
      <c r="C345" s="3"/>
      <c r="D345" s="3"/>
      <c r="E345" s="4"/>
      <c r="F345" s="4"/>
      <c r="G345" s="4"/>
      <c r="H345" s="8"/>
      <c r="I345" s="8"/>
      <c r="J345" s="66"/>
      <c r="K345" s="8"/>
      <c r="L345" s="8"/>
      <c r="M345" s="8"/>
      <c r="N345" s="8"/>
      <c r="O345" s="8"/>
      <c r="P345" s="9">
        <f t="shared" si="209"/>
        <v>0</v>
      </c>
      <c r="Q345" s="8"/>
      <c r="R345" s="8"/>
      <c r="S345" s="8"/>
      <c r="T345" s="8"/>
      <c r="U345" s="8"/>
      <c r="V345" s="8"/>
      <c r="W345" s="27" t="str">
        <f t="shared" si="203"/>
        <v>OK</v>
      </c>
    </row>
    <row r="346" spans="1:23" x14ac:dyDescent="0.2">
      <c r="A346" s="3">
        <f t="shared" si="197"/>
        <v>31</v>
      </c>
      <c r="B346" s="3"/>
      <c r="C346" s="3" t="s">
        <v>175</v>
      </c>
      <c r="D346" s="3"/>
      <c r="E346" s="4"/>
      <c r="F346" s="8"/>
      <c r="G346" s="8"/>
      <c r="H346" s="8">
        <f t="shared" ref="H346:V346" si="211">H335+H344</f>
        <v>0</v>
      </c>
      <c r="I346" s="8">
        <f t="shared" si="211"/>
        <v>0</v>
      </c>
      <c r="J346" s="66">
        <f t="shared" si="198"/>
        <v>0</v>
      </c>
      <c r="K346" s="8">
        <f t="shared" si="211"/>
        <v>0</v>
      </c>
      <c r="L346" s="8">
        <f>L335+L344</f>
        <v>0</v>
      </c>
      <c r="M346" s="9">
        <f>SUM(N346:O346)</f>
        <v>0</v>
      </c>
      <c r="N346" s="8">
        <f t="shared" si="211"/>
        <v>0</v>
      </c>
      <c r="O346" s="8">
        <f t="shared" si="211"/>
        <v>0</v>
      </c>
      <c r="P346" s="9">
        <f t="shared" si="209"/>
        <v>0</v>
      </c>
      <c r="Q346" s="8">
        <f t="shared" si="211"/>
        <v>0</v>
      </c>
      <c r="R346" s="8">
        <f t="shared" si="211"/>
        <v>0</v>
      </c>
      <c r="S346" s="8">
        <f>S335+S344</f>
        <v>0</v>
      </c>
      <c r="T346" s="8">
        <f t="shared" si="211"/>
        <v>0</v>
      </c>
      <c r="U346" s="8">
        <f t="shared" si="211"/>
        <v>0</v>
      </c>
      <c r="V346" s="8">
        <f t="shared" si="211"/>
        <v>0</v>
      </c>
      <c r="W346" s="27" t="str">
        <f t="shared" si="203"/>
        <v>OK</v>
      </c>
    </row>
    <row r="347" spans="1:23" x14ac:dyDescent="0.2">
      <c r="A347" s="3">
        <f t="shared" si="197"/>
        <v>32</v>
      </c>
      <c r="B347" s="3"/>
      <c r="C347" s="3"/>
      <c r="D347" s="3"/>
      <c r="E347" s="4"/>
      <c r="F347" s="4"/>
      <c r="G347" s="4"/>
      <c r="H347" s="8"/>
      <c r="I347" s="8"/>
      <c r="J347" s="8"/>
      <c r="K347" s="8"/>
      <c r="L347" s="8"/>
      <c r="M347" s="3"/>
      <c r="N347" s="3"/>
      <c r="O347" s="3"/>
      <c r="P347" s="9"/>
      <c r="Q347" s="3"/>
      <c r="R347" s="3"/>
      <c r="S347" s="3"/>
      <c r="T347" s="3"/>
      <c r="U347" s="3"/>
      <c r="V347" s="3"/>
      <c r="W347" s="27" t="str">
        <f t="shared" si="203"/>
        <v>OK</v>
      </c>
    </row>
    <row r="348" spans="1:23" x14ac:dyDescent="0.2">
      <c r="A348" s="3">
        <f t="shared" si="197"/>
        <v>33</v>
      </c>
      <c r="B348" s="7" t="s">
        <v>144</v>
      </c>
      <c r="C348" s="3"/>
      <c r="D348" s="3"/>
      <c r="E348" s="4"/>
      <c r="F348" s="4"/>
      <c r="G348" s="4"/>
      <c r="H348" s="8"/>
      <c r="I348" s="8"/>
      <c r="J348" s="8"/>
      <c r="K348" s="8"/>
      <c r="L348" s="8"/>
      <c r="M348" s="3"/>
      <c r="N348" s="3"/>
      <c r="O348" s="3"/>
      <c r="P348" s="9"/>
      <c r="Q348" s="3"/>
      <c r="R348" s="3"/>
      <c r="S348" s="3"/>
      <c r="T348" s="3"/>
      <c r="U348" s="3"/>
      <c r="V348" s="3"/>
      <c r="W348" s="27" t="str">
        <f t="shared" si="203"/>
        <v>OK</v>
      </c>
    </row>
    <row r="349" spans="1:23" x14ac:dyDescent="0.2">
      <c r="A349" s="3">
        <f t="shared" si="197"/>
        <v>34</v>
      </c>
      <c r="B349" s="3" t="s">
        <v>176</v>
      </c>
      <c r="C349" s="3"/>
      <c r="D349" s="3"/>
      <c r="E349" s="4"/>
      <c r="F349" s="4"/>
      <c r="G349" s="4"/>
      <c r="H349" s="8"/>
      <c r="I349" s="8"/>
      <c r="J349" s="8"/>
      <c r="K349" s="8"/>
      <c r="L349" s="8"/>
      <c r="M349" s="3"/>
      <c r="N349" s="3"/>
      <c r="O349" s="3"/>
      <c r="P349" s="9"/>
      <c r="Q349" s="3"/>
      <c r="R349" s="3"/>
      <c r="S349" s="3"/>
      <c r="T349" s="3"/>
      <c r="U349" s="3"/>
      <c r="V349" s="3"/>
      <c r="W349" s="27" t="str">
        <f t="shared" si="203"/>
        <v>OK</v>
      </c>
    </row>
    <row r="350" spans="1:23" x14ac:dyDescent="0.2">
      <c r="A350" s="3">
        <f t="shared" si="197"/>
        <v>35</v>
      </c>
      <c r="B350" s="3"/>
      <c r="C350" s="3" t="s">
        <v>140</v>
      </c>
      <c r="D350" s="1"/>
      <c r="E350" s="4"/>
      <c r="F350" s="4"/>
      <c r="G350" s="4"/>
      <c r="H350" s="8"/>
      <c r="I350" s="8"/>
      <c r="J350" s="8"/>
      <c r="K350" s="8"/>
      <c r="L350" s="8"/>
      <c r="M350" s="3"/>
      <c r="N350" s="3"/>
      <c r="O350" s="3"/>
      <c r="P350" s="9"/>
      <c r="Q350" s="3"/>
      <c r="R350" s="3"/>
      <c r="S350" s="3"/>
      <c r="T350" s="3"/>
      <c r="U350" s="3"/>
      <c r="V350" s="3"/>
      <c r="W350" s="27" t="str">
        <f t="shared" si="203"/>
        <v>OK</v>
      </c>
    </row>
    <row r="351" spans="1:23" x14ac:dyDescent="0.2">
      <c r="A351" s="3">
        <f t="shared" si="197"/>
        <v>36</v>
      </c>
      <c r="B351" s="3" t="s">
        <v>177</v>
      </c>
      <c r="C351" s="3" t="s">
        <v>145</v>
      </c>
      <c r="D351" s="1" t="s">
        <v>360</v>
      </c>
      <c r="E351" s="4" t="s">
        <v>592</v>
      </c>
      <c r="F351" s="11"/>
      <c r="G351" s="11"/>
      <c r="H351" s="14">
        <f>'II-I TOTAL COMPANY'!M351</f>
        <v>0</v>
      </c>
      <c r="I351" s="66">
        <v>0</v>
      </c>
      <c r="J351" s="66">
        <f t="shared" ref="J351:J377" si="212">SUM(K351:V351)-M351-P351</f>
        <v>0</v>
      </c>
      <c r="K351" s="12">
        <f t="shared" ref="K351:L362" si="213">VLOOKUP($D351,$E$741:$V$815,K$1,FALSE)*$H351</f>
        <v>0</v>
      </c>
      <c r="L351" s="12">
        <f t="shared" si="213"/>
        <v>0</v>
      </c>
      <c r="M351" s="9">
        <f t="shared" ref="M351:M363" si="214">SUM(N351:O351)</f>
        <v>0</v>
      </c>
      <c r="N351" s="12">
        <f t="shared" ref="N351:O362" si="215">VLOOKUP($D351,$E$741:$V$815,N$1,FALSE)*$H351</f>
        <v>0</v>
      </c>
      <c r="O351" s="12">
        <f t="shared" si="215"/>
        <v>0</v>
      </c>
      <c r="P351" s="9">
        <f t="shared" si="209"/>
        <v>0</v>
      </c>
      <c r="Q351" s="12">
        <f t="shared" ref="Q351:V362" si="216">VLOOKUP($D351,$E$741:$V$815,Q$1,FALSE)*$H351</f>
        <v>0</v>
      </c>
      <c r="R351" s="12">
        <f t="shared" si="216"/>
        <v>0</v>
      </c>
      <c r="S351" s="12">
        <f t="shared" si="216"/>
        <v>0</v>
      </c>
      <c r="T351" s="12">
        <f t="shared" si="216"/>
        <v>0</v>
      </c>
      <c r="U351" s="12">
        <f t="shared" si="216"/>
        <v>0</v>
      </c>
      <c r="V351" s="12">
        <f t="shared" si="216"/>
        <v>0</v>
      </c>
      <c r="W351" s="27" t="str">
        <f t="shared" si="203"/>
        <v>OK</v>
      </c>
    </row>
    <row r="352" spans="1:23" x14ac:dyDescent="0.2">
      <c r="A352" s="3">
        <f t="shared" si="197"/>
        <v>37</v>
      </c>
      <c r="B352" s="3" t="s">
        <v>178</v>
      </c>
      <c r="C352" s="3" t="s">
        <v>155</v>
      </c>
      <c r="D352" s="1" t="s">
        <v>368</v>
      </c>
      <c r="E352" s="4" t="s">
        <v>592</v>
      </c>
      <c r="F352" s="11"/>
      <c r="G352" s="11"/>
      <c r="H352" s="14">
        <f>'II-I TOTAL COMPANY'!M352</f>
        <v>0</v>
      </c>
      <c r="I352" s="66">
        <v>0</v>
      </c>
      <c r="J352" s="66">
        <f t="shared" si="212"/>
        <v>0</v>
      </c>
      <c r="K352" s="12">
        <f t="shared" si="213"/>
        <v>0</v>
      </c>
      <c r="L352" s="12">
        <f t="shared" si="213"/>
        <v>0</v>
      </c>
      <c r="M352" s="9">
        <f t="shared" si="214"/>
        <v>0</v>
      </c>
      <c r="N352" s="12">
        <f t="shared" si="215"/>
        <v>0</v>
      </c>
      <c r="O352" s="12">
        <f t="shared" si="215"/>
        <v>0</v>
      </c>
      <c r="P352" s="9">
        <f t="shared" si="209"/>
        <v>0</v>
      </c>
      <c r="Q352" s="12">
        <f t="shared" si="216"/>
        <v>0</v>
      </c>
      <c r="R352" s="12">
        <f t="shared" si="216"/>
        <v>0</v>
      </c>
      <c r="S352" s="12">
        <f t="shared" si="216"/>
        <v>0</v>
      </c>
      <c r="T352" s="12">
        <f t="shared" si="216"/>
        <v>0</v>
      </c>
      <c r="U352" s="12">
        <f t="shared" si="216"/>
        <v>0</v>
      </c>
      <c r="V352" s="12">
        <f t="shared" si="216"/>
        <v>0</v>
      </c>
      <c r="W352" s="27" t="str">
        <f t="shared" si="203"/>
        <v>OK</v>
      </c>
    </row>
    <row r="353" spans="1:23" x14ac:dyDescent="0.2">
      <c r="A353" s="3">
        <f t="shared" si="197"/>
        <v>38</v>
      </c>
      <c r="B353" s="3" t="s">
        <v>179</v>
      </c>
      <c r="C353" s="3" t="s">
        <v>180</v>
      </c>
      <c r="D353" s="1" t="s">
        <v>332</v>
      </c>
      <c r="E353" s="4" t="s">
        <v>592</v>
      </c>
      <c r="F353" s="11"/>
      <c r="G353" s="11"/>
      <c r="H353" s="14">
        <f>'II-I TOTAL COMPANY'!M353</f>
        <v>0</v>
      </c>
      <c r="I353" s="66">
        <v>0</v>
      </c>
      <c r="J353" s="66">
        <f t="shared" si="212"/>
        <v>0</v>
      </c>
      <c r="K353" s="12">
        <f t="shared" si="213"/>
        <v>0</v>
      </c>
      <c r="L353" s="12">
        <f t="shared" si="213"/>
        <v>0</v>
      </c>
      <c r="M353" s="9">
        <f t="shared" si="214"/>
        <v>0</v>
      </c>
      <c r="N353" s="12">
        <f t="shared" si="215"/>
        <v>0</v>
      </c>
      <c r="O353" s="12">
        <f t="shared" si="215"/>
        <v>0</v>
      </c>
      <c r="P353" s="9">
        <f t="shared" si="209"/>
        <v>0</v>
      </c>
      <c r="Q353" s="12">
        <f t="shared" si="216"/>
        <v>0</v>
      </c>
      <c r="R353" s="12">
        <f t="shared" si="216"/>
        <v>0</v>
      </c>
      <c r="S353" s="12">
        <f t="shared" si="216"/>
        <v>0</v>
      </c>
      <c r="T353" s="12">
        <f t="shared" si="216"/>
        <v>0</v>
      </c>
      <c r="U353" s="12">
        <f t="shared" si="216"/>
        <v>0</v>
      </c>
      <c r="V353" s="12">
        <f t="shared" si="216"/>
        <v>0</v>
      </c>
      <c r="W353" s="27" t="str">
        <f t="shared" si="203"/>
        <v>OK</v>
      </c>
    </row>
    <row r="354" spans="1:23" x14ac:dyDescent="0.2">
      <c r="A354" s="3">
        <f t="shared" si="197"/>
        <v>39</v>
      </c>
      <c r="B354" s="3" t="s">
        <v>181</v>
      </c>
      <c r="C354" s="3" t="s">
        <v>182</v>
      </c>
      <c r="D354" s="1" t="s">
        <v>313</v>
      </c>
      <c r="E354" s="4" t="s">
        <v>592</v>
      </c>
      <c r="F354" s="11"/>
      <c r="G354" s="11"/>
      <c r="H354" s="14">
        <f>'II-I TOTAL COMPANY'!M354</f>
        <v>0</v>
      </c>
      <c r="I354" s="66">
        <v>0</v>
      </c>
      <c r="J354" s="66">
        <f t="shared" si="212"/>
        <v>0</v>
      </c>
      <c r="K354" s="12">
        <f t="shared" si="213"/>
        <v>0</v>
      </c>
      <c r="L354" s="12">
        <f t="shared" si="213"/>
        <v>0</v>
      </c>
      <c r="M354" s="9">
        <f t="shared" si="214"/>
        <v>0</v>
      </c>
      <c r="N354" s="12">
        <f t="shared" si="215"/>
        <v>0</v>
      </c>
      <c r="O354" s="12">
        <f t="shared" si="215"/>
        <v>0</v>
      </c>
      <c r="P354" s="9">
        <f t="shared" si="209"/>
        <v>0</v>
      </c>
      <c r="Q354" s="12">
        <f t="shared" si="216"/>
        <v>0</v>
      </c>
      <c r="R354" s="12">
        <f t="shared" si="216"/>
        <v>0</v>
      </c>
      <c r="S354" s="12">
        <f t="shared" si="216"/>
        <v>0</v>
      </c>
      <c r="T354" s="12">
        <f t="shared" si="216"/>
        <v>0</v>
      </c>
      <c r="U354" s="12">
        <f t="shared" si="216"/>
        <v>0</v>
      </c>
      <c r="V354" s="12">
        <f t="shared" si="216"/>
        <v>0</v>
      </c>
      <c r="W354" s="27" t="str">
        <f t="shared" si="203"/>
        <v>OK</v>
      </c>
    </row>
    <row r="355" spans="1:23" x14ac:dyDescent="0.2">
      <c r="A355" s="3">
        <f t="shared" si="197"/>
        <v>40</v>
      </c>
      <c r="B355" s="3" t="s">
        <v>183</v>
      </c>
      <c r="C355" s="3" t="s">
        <v>160</v>
      </c>
      <c r="D355" s="1" t="s">
        <v>421</v>
      </c>
      <c r="E355" s="4" t="s">
        <v>592</v>
      </c>
      <c r="F355" s="11"/>
      <c r="G355" s="11"/>
      <c r="H355" s="14">
        <f>'II-I TOTAL COMPANY'!M355</f>
        <v>0</v>
      </c>
      <c r="I355" s="66">
        <v>0</v>
      </c>
      <c r="J355" s="66">
        <f t="shared" si="212"/>
        <v>0</v>
      </c>
      <c r="K355" s="12">
        <f t="shared" si="213"/>
        <v>0</v>
      </c>
      <c r="L355" s="12">
        <f t="shared" si="213"/>
        <v>0</v>
      </c>
      <c r="M355" s="9">
        <f t="shared" si="214"/>
        <v>0</v>
      </c>
      <c r="N355" s="12">
        <f t="shared" si="215"/>
        <v>0</v>
      </c>
      <c r="O355" s="12">
        <f t="shared" si="215"/>
        <v>0</v>
      </c>
      <c r="P355" s="9">
        <f t="shared" si="209"/>
        <v>0</v>
      </c>
      <c r="Q355" s="12">
        <f t="shared" si="216"/>
        <v>0</v>
      </c>
      <c r="R355" s="12">
        <f t="shared" si="216"/>
        <v>0</v>
      </c>
      <c r="S355" s="12">
        <f t="shared" si="216"/>
        <v>0</v>
      </c>
      <c r="T355" s="12">
        <f t="shared" si="216"/>
        <v>0</v>
      </c>
      <c r="U355" s="12">
        <f t="shared" si="216"/>
        <v>0</v>
      </c>
      <c r="V355" s="12">
        <f t="shared" si="216"/>
        <v>0</v>
      </c>
      <c r="W355" s="27" t="str">
        <f t="shared" si="203"/>
        <v>OK</v>
      </c>
    </row>
    <row r="356" spans="1:23" x14ac:dyDescent="0.2">
      <c r="A356" s="3">
        <f t="shared" si="197"/>
        <v>41</v>
      </c>
      <c r="B356" s="3" t="s">
        <v>184</v>
      </c>
      <c r="C356" s="3" t="s">
        <v>185</v>
      </c>
      <c r="D356" s="1" t="s">
        <v>335</v>
      </c>
      <c r="E356" s="4" t="s">
        <v>592</v>
      </c>
      <c r="F356" s="11"/>
      <c r="G356" s="11"/>
      <c r="H356" s="14">
        <f>'II-I TOTAL COMPANY'!M356</f>
        <v>0</v>
      </c>
      <c r="I356" s="66">
        <v>0</v>
      </c>
      <c r="J356" s="66">
        <f t="shared" si="212"/>
        <v>0</v>
      </c>
      <c r="K356" s="12">
        <f t="shared" si="213"/>
        <v>0</v>
      </c>
      <c r="L356" s="12">
        <f t="shared" si="213"/>
        <v>0</v>
      </c>
      <c r="M356" s="9">
        <f t="shared" si="214"/>
        <v>0</v>
      </c>
      <c r="N356" s="12">
        <f t="shared" si="215"/>
        <v>0</v>
      </c>
      <c r="O356" s="12">
        <f t="shared" si="215"/>
        <v>0</v>
      </c>
      <c r="P356" s="9">
        <f t="shared" si="209"/>
        <v>0</v>
      </c>
      <c r="Q356" s="12">
        <f t="shared" si="216"/>
        <v>0</v>
      </c>
      <c r="R356" s="12">
        <f t="shared" si="216"/>
        <v>0</v>
      </c>
      <c r="S356" s="12">
        <f t="shared" si="216"/>
        <v>0</v>
      </c>
      <c r="T356" s="12">
        <f t="shared" si="216"/>
        <v>0</v>
      </c>
      <c r="U356" s="12">
        <f t="shared" si="216"/>
        <v>0</v>
      </c>
      <c r="V356" s="12">
        <f t="shared" si="216"/>
        <v>0</v>
      </c>
      <c r="W356" s="27" t="str">
        <f t="shared" si="203"/>
        <v>OK</v>
      </c>
    </row>
    <row r="357" spans="1:23" x14ac:dyDescent="0.2">
      <c r="A357" s="3">
        <f t="shared" si="197"/>
        <v>42</v>
      </c>
      <c r="B357" s="3" t="s">
        <v>186</v>
      </c>
      <c r="C357" s="3" t="s">
        <v>187</v>
      </c>
      <c r="D357" s="1" t="s">
        <v>344</v>
      </c>
      <c r="E357" s="4" t="s">
        <v>592</v>
      </c>
      <c r="F357" s="11"/>
      <c r="G357" s="11"/>
      <c r="H357" s="14">
        <f>'II-I TOTAL COMPANY'!M357</f>
        <v>0</v>
      </c>
      <c r="I357" s="66">
        <v>0</v>
      </c>
      <c r="J357" s="66">
        <f t="shared" si="212"/>
        <v>0</v>
      </c>
      <c r="K357" s="12">
        <f t="shared" si="213"/>
        <v>0</v>
      </c>
      <c r="L357" s="12">
        <f t="shared" si="213"/>
        <v>0</v>
      </c>
      <c r="M357" s="9">
        <f t="shared" si="214"/>
        <v>0</v>
      </c>
      <c r="N357" s="12">
        <f t="shared" si="215"/>
        <v>0</v>
      </c>
      <c r="O357" s="12">
        <f t="shared" si="215"/>
        <v>0</v>
      </c>
      <c r="P357" s="9">
        <f t="shared" si="209"/>
        <v>0</v>
      </c>
      <c r="Q357" s="12">
        <f t="shared" si="216"/>
        <v>0</v>
      </c>
      <c r="R357" s="12">
        <f t="shared" si="216"/>
        <v>0</v>
      </c>
      <c r="S357" s="12">
        <f t="shared" si="216"/>
        <v>0</v>
      </c>
      <c r="T357" s="12">
        <f t="shared" si="216"/>
        <v>0</v>
      </c>
      <c r="U357" s="12">
        <f t="shared" si="216"/>
        <v>0</v>
      </c>
      <c r="V357" s="12">
        <f t="shared" si="216"/>
        <v>0</v>
      </c>
      <c r="W357" s="27" t="str">
        <f t="shared" si="203"/>
        <v>OK</v>
      </c>
    </row>
    <row r="358" spans="1:23" x14ac:dyDescent="0.2">
      <c r="A358" s="3">
        <f t="shared" si="197"/>
        <v>43</v>
      </c>
      <c r="B358" s="3" t="s">
        <v>186</v>
      </c>
      <c r="C358" s="3" t="s">
        <v>187</v>
      </c>
      <c r="D358" s="1" t="s">
        <v>344</v>
      </c>
      <c r="E358" s="4" t="s">
        <v>592</v>
      </c>
      <c r="F358" s="11"/>
      <c r="G358" s="11"/>
      <c r="H358" s="14">
        <f>'II-I TOTAL COMPANY'!M358</f>
        <v>0</v>
      </c>
      <c r="I358" s="66">
        <v>0</v>
      </c>
      <c r="J358" s="66">
        <f t="shared" si="212"/>
        <v>0</v>
      </c>
      <c r="K358" s="12">
        <f t="shared" si="213"/>
        <v>0</v>
      </c>
      <c r="L358" s="12">
        <f t="shared" si="213"/>
        <v>0</v>
      </c>
      <c r="M358" s="9">
        <f t="shared" si="214"/>
        <v>0</v>
      </c>
      <c r="N358" s="12">
        <f t="shared" si="215"/>
        <v>0</v>
      </c>
      <c r="O358" s="12">
        <f t="shared" si="215"/>
        <v>0</v>
      </c>
      <c r="P358" s="9">
        <f t="shared" si="209"/>
        <v>0</v>
      </c>
      <c r="Q358" s="12">
        <f t="shared" si="216"/>
        <v>0</v>
      </c>
      <c r="R358" s="12">
        <f t="shared" si="216"/>
        <v>0</v>
      </c>
      <c r="S358" s="12">
        <f t="shared" si="216"/>
        <v>0</v>
      </c>
      <c r="T358" s="12">
        <f t="shared" si="216"/>
        <v>0</v>
      </c>
      <c r="U358" s="12">
        <f t="shared" si="216"/>
        <v>0</v>
      </c>
      <c r="V358" s="12">
        <f t="shared" si="216"/>
        <v>0</v>
      </c>
      <c r="W358" s="27" t="str">
        <f t="shared" si="203"/>
        <v>OK</v>
      </c>
    </row>
    <row r="359" spans="1:23" x14ac:dyDescent="0.2">
      <c r="A359" s="3">
        <f>+A357+1</f>
        <v>43</v>
      </c>
      <c r="B359" s="3" t="s">
        <v>188</v>
      </c>
      <c r="C359" s="3" t="s">
        <v>189</v>
      </c>
      <c r="D359" s="1" t="s">
        <v>331</v>
      </c>
      <c r="E359" s="4" t="s">
        <v>592</v>
      </c>
      <c r="F359" s="11"/>
      <c r="G359" s="11"/>
      <c r="H359" s="14">
        <f>'II-I TOTAL COMPANY'!M359</f>
        <v>0</v>
      </c>
      <c r="I359" s="66">
        <v>0</v>
      </c>
      <c r="J359" s="66">
        <f t="shared" si="212"/>
        <v>0</v>
      </c>
      <c r="K359" s="12">
        <f t="shared" si="213"/>
        <v>0</v>
      </c>
      <c r="L359" s="12">
        <f t="shared" si="213"/>
        <v>0</v>
      </c>
      <c r="M359" s="9">
        <f t="shared" si="214"/>
        <v>0</v>
      </c>
      <c r="N359" s="12">
        <f t="shared" si="215"/>
        <v>0</v>
      </c>
      <c r="O359" s="12">
        <f t="shared" si="215"/>
        <v>0</v>
      </c>
      <c r="P359" s="9">
        <f t="shared" si="209"/>
        <v>0</v>
      </c>
      <c r="Q359" s="12">
        <f t="shared" si="216"/>
        <v>0</v>
      </c>
      <c r="R359" s="12">
        <f t="shared" si="216"/>
        <v>0</v>
      </c>
      <c r="S359" s="12">
        <f t="shared" si="216"/>
        <v>0</v>
      </c>
      <c r="T359" s="12">
        <f t="shared" si="216"/>
        <v>0</v>
      </c>
      <c r="U359" s="12">
        <f t="shared" si="216"/>
        <v>0</v>
      </c>
      <c r="V359" s="12">
        <f t="shared" si="216"/>
        <v>0</v>
      </c>
      <c r="W359" s="27" t="str">
        <f t="shared" si="203"/>
        <v>OK</v>
      </c>
    </row>
    <row r="360" spans="1:23" x14ac:dyDescent="0.2">
      <c r="A360" s="3">
        <f>+A359+1</f>
        <v>44</v>
      </c>
      <c r="B360" s="3" t="s">
        <v>190</v>
      </c>
      <c r="C360" s="3" t="s">
        <v>191</v>
      </c>
      <c r="D360" s="1" t="s">
        <v>313</v>
      </c>
      <c r="E360" s="4" t="s">
        <v>592</v>
      </c>
      <c r="F360" s="11"/>
      <c r="G360" s="11"/>
      <c r="H360" s="14">
        <f>'II-I TOTAL COMPANY'!M360</f>
        <v>0</v>
      </c>
      <c r="I360" s="66">
        <v>0</v>
      </c>
      <c r="J360" s="66">
        <f t="shared" si="212"/>
        <v>0</v>
      </c>
      <c r="K360" s="12">
        <f t="shared" si="213"/>
        <v>0</v>
      </c>
      <c r="L360" s="12">
        <f t="shared" si="213"/>
        <v>0</v>
      </c>
      <c r="M360" s="9">
        <f t="shared" si="214"/>
        <v>0</v>
      </c>
      <c r="N360" s="12">
        <f t="shared" si="215"/>
        <v>0</v>
      </c>
      <c r="O360" s="12">
        <f t="shared" si="215"/>
        <v>0</v>
      </c>
      <c r="P360" s="9">
        <f t="shared" si="209"/>
        <v>0</v>
      </c>
      <c r="Q360" s="12">
        <f t="shared" si="216"/>
        <v>0</v>
      </c>
      <c r="R360" s="12">
        <f t="shared" si="216"/>
        <v>0</v>
      </c>
      <c r="S360" s="12">
        <f t="shared" si="216"/>
        <v>0</v>
      </c>
      <c r="T360" s="12">
        <f t="shared" si="216"/>
        <v>0</v>
      </c>
      <c r="U360" s="12">
        <f t="shared" si="216"/>
        <v>0</v>
      </c>
      <c r="V360" s="12">
        <f t="shared" si="216"/>
        <v>0</v>
      </c>
      <c r="W360" s="27" t="str">
        <f t="shared" si="203"/>
        <v>OK</v>
      </c>
    </row>
    <row r="361" spans="1:23" x14ac:dyDescent="0.2">
      <c r="A361" s="3">
        <f>+A360+1</f>
        <v>45</v>
      </c>
      <c r="B361" s="3" t="s">
        <v>190</v>
      </c>
      <c r="C361" s="3" t="s">
        <v>191</v>
      </c>
      <c r="D361" s="1" t="s">
        <v>313</v>
      </c>
      <c r="E361" s="4" t="s">
        <v>592</v>
      </c>
      <c r="F361" s="11"/>
      <c r="G361" s="11"/>
      <c r="H361" s="14">
        <f>'II-I TOTAL COMPANY'!M361</f>
        <v>0</v>
      </c>
      <c r="I361" s="66">
        <v>0</v>
      </c>
      <c r="J361" s="66">
        <f t="shared" si="212"/>
        <v>0</v>
      </c>
      <c r="K361" s="12">
        <f t="shared" si="213"/>
        <v>0</v>
      </c>
      <c r="L361" s="12">
        <f t="shared" si="213"/>
        <v>0</v>
      </c>
      <c r="M361" s="9">
        <f t="shared" si="214"/>
        <v>0</v>
      </c>
      <c r="N361" s="12">
        <f t="shared" si="215"/>
        <v>0</v>
      </c>
      <c r="O361" s="12">
        <f t="shared" si="215"/>
        <v>0</v>
      </c>
      <c r="P361" s="9">
        <f t="shared" si="209"/>
        <v>0</v>
      </c>
      <c r="Q361" s="12">
        <f t="shared" si="216"/>
        <v>0</v>
      </c>
      <c r="R361" s="12">
        <f t="shared" si="216"/>
        <v>0</v>
      </c>
      <c r="S361" s="12">
        <f t="shared" si="216"/>
        <v>0</v>
      </c>
      <c r="T361" s="12">
        <f t="shared" si="216"/>
        <v>0</v>
      </c>
      <c r="U361" s="12">
        <f t="shared" si="216"/>
        <v>0</v>
      </c>
      <c r="V361" s="12">
        <f t="shared" si="216"/>
        <v>0</v>
      </c>
      <c r="W361" s="27" t="str">
        <f t="shared" si="203"/>
        <v>OK</v>
      </c>
    </row>
    <row r="362" spans="1:23" x14ac:dyDescent="0.2">
      <c r="A362" s="3">
        <f>+A360+1</f>
        <v>45</v>
      </c>
      <c r="B362" s="3" t="s">
        <v>192</v>
      </c>
      <c r="C362" s="3" t="s">
        <v>141</v>
      </c>
      <c r="D362" s="1" t="s">
        <v>331</v>
      </c>
      <c r="E362" s="4" t="s">
        <v>592</v>
      </c>
      <c r="F362" s="11"/>
      <c r="G362" s="11"/>
      <c r="H362" s="14">
        <f>'II-I TOTAL COMPANY'!M362</f>
        <v>0</v>
      </c>
      <c r="I362" s="66">
        <v>0</v>
      </c>
      <c r="J362" s="66">
        <f t="shared" si="212"/>
        <v>0</v>
      </c>
      <c r="K362" s="12">
        <f t="shared" si="213"/>
        <v>0</v>
      </c>
      <c r="L362" s="12">
        <f t="shared" si="213"/>
        <v>0</v>
      </c>
      <c r="M362" s="9">
        <f t="shared" si="214"/>
        <v>0</v>
      </c>
      <c r="N362" s="12">
        <f t="shared" si="215"/>
        <v>0</v>
      </c>
      <c r="O362" s="12">
        <f t="shared" si="215"/>
        <v>0</v>
      </c>
      <c r="P362" s="9">
        <f t="shared" si="209"/>
        <v>0</v>
      </c>
      <c r="Q362" s="12">
        <f t="shared" si="216"/>
        <v>0</v>
      </c>
      <c r="R362" s="12">
        <f t="shared" si="216"/>
        <v>0</v>
      </c>
      <c r="S362" s="12">
        <f t="shared" si="216"/>
        <v>0</v>
      </c>
      <c r="T362" s="12">
        <f t="shared" si="216"/>
        <v>0</v>
      </c>
      <c r="U362" s="12">
        <f t="shared" si="216"/>
        <v>0</v>
      </c>
      <c r="V362" s="12">
        <f t="shared" si="216"/>
        <v>0</v>
      </c>
      <c r="W362" s="27" t="str">
        <f t="shared" si="203"/>
        <v>OK</v>
      </c>
    </row>
    <row r="363" spans="1:23" x14ac:dyDescent="0.2">
      <c r="A363" s="3">
        <f t="shared" ref="A363:A377" si="217">+A362+1</f>
        <v>46</v>
      </c>
      <c r="B363" s="3"/>
      <c r="C363" s="3" t="s">
        <v>193</v>
      </c>
      <c r="D363" s="3"/>
      <c r="E363" s="4"/>
      <c r="F363" s="8"/>
      <c r="G363" s="8"/>
      <c r="H363" s="8">
        <f t="shared" ref="H363:V363" si="218">SUM(H351:H362)</f>
        <v>0</v>
      </c>
      <c r="I363" s="8">
        <f t="shared" si="218"/>
        <v>0</v>
      </c>
      <c r="J363" s="66">
        <f t="shared" si="212"/>
        <v>0</v>
      </c>
      <c r="K363" s="8">
        <f t="shared" si="218"/>
        <v>0</v>
      </c>
      <c r="L363" s="8">
        <f t="shared" si="218"/>
        <v>0</v>
      </c>
      <c r="M363" s="9">
        <f t="shared" si="214"/>
        <v>0</v>
      </c>
      <c r="N363" s="8">
        <f t="shared" si="218"/>
        <v>0</v>
      </c>
      <c r="O363" s="8">
        <f t="shared" si="218"/>
        <v>0</v>
      </c>
      <c r="P363" s="9">
        <f t="shared" si="209"/>
        <v>0</v>
      </c>
      <c r="Q363" s="8">
        <f t="shared" si="218"/>
        <v>0</v>
      </c>
      <c r="R363" s="8">
        <f t="shared" si="218"/>
        <v>0</v>
      </c>
      <c r="S363" s="8">
        <f>SUM(S351:S362)</f>
        <v>0</v>
      </c>
      <c r="T363" s="8">
        <f t="shared" si="218"/>
        <v>0</v>
      </c>
      <c r="U363" s="8">
        <f t="shared" si="218"/>
        <v>0</v>
      </c>
      <c r="V363" s="8">
        <f t="shared" si="218"/>
        <v>0</v>
      </c>
      <c r="W363" s="27" t="str">
        <f t="shared" si="203"/>
        <v>OK</v>
      </c>
    </row>
    <row r="364" spans="1:23" x14ac:dyDescent="0.2">
      <c r="A364" s="3">
        <f t="shared" si="217"/>
        <v>47</v>
      </c>
      <c r="B364" s="3" t="s">
        <v>142</v>
      </c>
      <c r="C364" s="3"/>
      <c r="D364" s="3"/>
      <c r="E364" s="4"/>
      <c r="F364" s="4"/>
      <c r="G364" s="4"/>
      <c r="H364" s="8"/>
      <c r="I364" s="8"/>
      <c r="J364" s="8"/>
      <c r="K364" s="8"/>
      <c r="L364" s="8"/>
      <c r="M364" s="3"/>
      <c r="N364" s="3"/>
      <c r="O364" s="3"/>
      <c r="P364" s="9"/>
      <c r="Q364" s="3"/>
      <c r="R364" s="3"/>
      <c r="S364" s="3"/>
      <c r="T364" s="3"/>
      <c r="U364" s="3"/>
      <c r="V364" s="3"/>
      <c r="W364" s="27" t="str">
        <f t="shared" si="203"/>
        <v>OK</v>
      </c>
    </row>
    <row r="365" spans="1:23" x14ac:dyDescent="0.2">
      <c r="A365" s="3">
        <f t="shared" si="217"/>
        <v>48</v>
      </c>
      <c r="B365" s="3" t="s">
        <v>194</v>
      </c>
      <c r="C365" s="3" t="s">
        <v>195</v>
      </c>
      <c r="D365" s="1" t="s">
        <v>424</v>
      </c>
      <c r="E365" s="4" t="s">
        <v>592</v>
      </c>
      <c r="F365" s="11"/>
      <c r="G365" s="11"/>
      <c r="H365" s="14">
        <f>'II-I TOTAL COMPANY'!M365</f>
        <v>0</v>
      </c>
      <c r="I365" s="66">
        <v>0</v>
      </c>
      <c r="J365" s="66">
        <f t="shared" si="212"/>
        <v>0</v>
      </c>
      <c r="K365" s="12">
        <f t="shared" ref="K365:L373" si="219">VLOOKUP($D365,$E$741:$V$815,K$1,FALSE)*$H365</f>
        <v>0</v>
      </c>
      <c r="L365" s="12">
        <f t="shared" si="219"/>
        <v>0</v>
      </c>
      <c r="M365" s="9">
        <f t="shared" ref="M365:M375" si="220">SUM(N365:O365)</f>
        <v>0</v>
      </c>
      <c r="N365" s="12">
        <f t="shared" ref="N365:O373" si="221">VLOOKUP($D365,$E$741:$V$815,N$1,FALSE)*$H365</f>
        <v>0</v>
      </c>
      <c r="O365" s="12">
        <f t="shared" si="221"/>
        <v>0</v>
      </c>
      <c r="P365" s="9">
        <f t="shared" si="209"/>
        <v>0</v>
      </c>
      <c r="Q365" s="12">
        <f t="shared" ref="Q365:V373" si="222">VLOOKUP($D365,$E$741:$V$815,Q$1,FALSE)*$H365</f>
        <v>0</v>
      </c>
      <c r="R365" s="12">
        <f t="shared" si="222"/>
        <v>0</v>
      </c>
      <c r="S365" s="12">
        <f t="shared" si="222"/>
        <v>0</v>
      </c>
      <c r="T365" s="12">
        <f t="shared" si="222"/>
        <v>0</v>
      </c>
      <c r="U365" s="12">
        <f t="shared" si="222"/>
        <v>0</v>
      </c>
      <c r="V365" s="12">
        <f t="shared" si="222"/>
        <v>0</v>
      </c>
      <c r="W365" s="27" t="str">
        <f t="shared" si="203"/>
        <v>OK</v>
      </c>
    </row>
    <row r="366" spans="1:23" x14ac:dyDescent="0.2">
      <c r="A366" s="3">
        <f t="shared" si="217"/>
        <v>49</v>
      </c>
      <c r="B366" s="3" t="s">
        <v>196</v>
      </c>
      <c r="C366" s="3" t="s">
        <v>143</v>
      </c>
      <c r="D366" s="1" t="s">
        <v>337</v>
      </c>
      <c r="E366" s="4" t="s">
        <v>592</v>
      </c>
      <c r="F366" s="11"/>
      <c r="G366" s="11"/>
      <c r="H366" s="14">
        <f>'II-I TOTAL COMPANY'!M366</f>
        <v>0</v>
      </c>
      <c r="I366" s="66">
        <v>0</v>
      </c>
      <c r="J366" s="66">
        <f t="shared" si="212"/>
        <v>0</v>
      </c>
      <c r="K366" s="12">
        <f t="shared" si="219"/>
        <v>0</v>
      </c>
      <c r="L366" s="12">
        <f t="shared" si="219"/>
        <v>0</v>
      </c>
      <c r="M366" s="9">
        <f t="shared" si="220"/>
        <v>0</v>
      </c>
      <c r="N366" s="12">
        <f t="shared" si="221"/>
        <v>0</v>
      </c>
      <c r="O366" s="12">
        <f t="shared" si="221"/>
        <v>0</v>
      </c>
      <c r="P366" s="9">
        <f t="shared" si="209"/>
        <v>0</v>
      </c>
      <c r="Q366" s="12">
        <f t="shared" si="222"/>
        <v>0</v>
      </c>
      <c r="R366" s="12">
        <f t="shared" si="222"/>
        <v>0</v>
      </c>
      <c r="S366" s="12">
        <f t="shared" si="222"/>
        <v>0</v>
      </c>
      <c r="T366" s="12">
        <f t="shared" si="222"/>
        <v>0</v>
      </c>
      <c r="U366" s="12">
        <f t="shared" si="222"/>
        <v>0</v>
      </c>
      <c r="V366" s="12">
        <f t="shared" si="222"/>
        <v>0</v>
      </c>
      <c r="W366" s="27" t="str">
        <f t="shared" si="203"/>
        <v>OK</v>
      </c>
    </row>
    <row r="367" spans="1:23" x14ac:dyDescent="0.2">
      <c r="A367" s="3">
        <f t="shared" si="217"/>
        <v>50</v>
      </c>
      <c r="B367" s="3" t="s">
        <v>197</v>
      </c>
      <c r="C367" s="3" t="s">
        <v>168</v>
      </c>
      <c r="D367" s="1" t="s">
        <v>332</v>
      </c>
      <c r="E367" s="4" t="s">
        <v>592</v>
      </c>
      <c r="F367" s="11"/>
      <c r="G367" s="11"/>
      <c r="H367" s="14">
        <f>'II-I TOTAL COMPANY'!M367</f>
        <v>0</v>
      </c>
      <c r="I367" s="66">
        <v>0</v>
      </c>
      <c r="J367" s="66">
        <f t="shared" si="212"/>
        <v>0</v>
      </c>
      <c r="K367" s="12">
        <f t="shared" si="219"/>
        <v>0</v>
      </c>
      <c r="L367" s="12">
        <f t="shared" si="219"/>
        <v>0</v>
      </c>
      <c r="M367" s="9">
        <f t="shared" si="220"/>
        <v>0</v>
      </c>
      <c r="N367" s="12">
        <f t="shared" si="221"/>
        <v>0</v>
      </c>
      <c r="O367" s="12">
        <f t="shared" si="221"/>
        <v>0</v>
      </c>
      <c r="P367" s="9">
        <f t="shared" si="209"/>
        <v>0</v>
      </c>
      <c r="Q367" s="12">
        <f t="shared" si="222"/>
        <v>0</v>
      </c>
      <c r="R367" s="12">
        <f t="shared" si="222"/>
        <v>0</v>
      </c>
      <c r="S367" s="12">
        <f t="shared" si="222"/>
        <v>0</v>
      </c>
      <c r="T367" s="12">
        <f t="shared" si="222"/>
        <v>0</v>
      </c>
      <c r="U367" s="12">
        <f t="shared" si="222"/>
        <v>0</v>
      </c>
      <c r="V367" s="12">
        <f t="shared" si="222"/>
        <v>0</v>
      </c>
      <c r="W367" s="27" t="str">
        <f t="shared" si="203"/>
        <v>OK</v>
      </c>
    </row>
    <row r="368" spans="1:23" x14ac:dyDescent="0.2">
      <c r="A368" s="3">
        <f t="shared" si="217"/>
        <v>51</v>
      </c>
      <c r="B368" s="3" t="s">
        <v>198</v>
      </c>
      <c r="C368" s="3" t="s">
        <v>170</v>
      </c>
      <c r="D368" s="1" t="s">
        <v>333</v>
      </c>
      <c r="E368" s="4" t="s">
        <v>592</v>
      </c>
      <c r="F368" s="11"/>
      <c r="G368" s="11"/>
      <c r="H368" s="14">
        <f>'II-I TOTAL COMPANY'!M368</f>
        <v>0</v>
      </c>
      <c r="I368" s="66">
        <v>0</v>
      </c>
      <c r="J368" s="66">
        <f t="shared" si="212"/>
        <v>0</v>
      </c>
      <c r="K368" s="12">
        <f t="shared" si="219"/>
        <v>0</v>
      </c>
      <c r="L368" s="12">
        <f t="shared" si="219"/>
        <v>0</v>
      </c>
      <c r="M368" s="9">
        <f t="shared" si="220"/>
        <v>0</v>
      </c>
      <c r="N368" s="12">
        <f t="shared" si="221"/>
        <v>0</v>
      </c>
      <c r="O368" s="12">
        <f t="shared" si="221"/>
        <v>0</v>
      </c>
      <c r="P368" s="9">
        <f t="shared" si="209"/>
        <v>0</v>
      </c>
      <c r="Q368" s="12">
        <f t="shared" si="222"/>
        <v>0</v>
      </c>
      <c r="R368" s="12">
        <f t="shared" si="222"/>
        <v>0</v>
      </c>
      <c r="S368" s="12">
        <f t="shared" si="222"/>
        <v>0</v>
      </c>
      <c r="T368" s="12">
        <f t="shared" si="222"/>
        <v>0</v>
      </c>
      <c r="U368" s="12">
        <f t="shared" si="222"/>
        <v>0</v>
      </c>
      <c r="V368" s="12">
        <f t="shared" si="222"/>
        <v>0</v>
      </c>
      <c r="W368" s="27" t="str">
        <f t="shared" si="203"/>
        <v>OK</v>
      </c>
    </row>
    <row r="369" spans="1:23" x14ac:dyDescent="0.2">
      <c r="A369" s="3">
        <f t="shared" si="217"/>
        <v>52</v>
      </c>
      <c r="B369" s="3" t="s">
        <v>199</v>
      </c>
      <c r="C369" s="3" t="s">
        <v>172</v>
      </c>
      <c r="D369" s="1" t="s">
        <v>421</v>
      </c>
      <c r="E369" s="4" t="s">
        <v>592</v>
      </c>
      <c r="F369" s="11"/>
      <c r="G369" s="11"/>
      <c r="H369" s="14">
        <f>'II-I TOTAL COMPANY'!M369</f>
        <v>0</v>
      </c>
      <c r="I369" s="66">
        <v>0</v>
      </c>
      <c r="J369" s="66">
        <f t="shared" si="212"/>
        <v>0</v>
      </c>
      <c r="K369" s="12">
        <f t="shared" si="219"/>
        <v>0</v>
      </c>
      <c r="L369" s="12">
        <f t="shared" si="219"/>
        <v>0</v>
      </c>
      <c r="M369" s="9">
        <f t="shared" si="220"/>
        <v>0</v>
      </c>
      <c r="N369" s="12">
        <f t="shared" si="221"/>
        <v>0</v>
      </c>
      <c r="O369" s="12">
        <f t="shared" si="221"/>
        <v>0</v>
      </c>
      <c r="P369" s="9">
        <f t="shared" si="209"/>
        <v>0</v>
      </c>
      <c r="Q369" s="12">
        <f t="shared" si="222"/>
        <v>0</v>
      </c>
      <c r="R369" s="12">
        <f t="shared" si="222"/>
        <v>0</v>
      </c>
      <c r="S369" s="12">
        <f t="shared" si="222"/>
        <v>0</v>
      </c>
      <c r="T369" s="12">
        <f t="shared" si="222"/>
        <v>0</v>
      </c>
      <c r="U369" s="12">
        <f t="shared" si="222"/>
        <v>0</v>
      </c>
      <c r="V369" s="12">
        <f t="shared" si="222"/>
        <v>0</v>
      </c>
      <c r="W369" s="27" t="str">
        <f t="shared" si="203"/>
        <v>OK</v>
      </c>
    </row>
    <row r="370" spans="1:23" x14ac:dyDescent="0.2">
      <c r="A370" s="3">
        <f t="shared" si="217"/>
        <v>53</v>
      </c>
      <c r="B370" s="3" t="s">
        <v>200</v>
      </c>
      <c r="C370" s="3" t="s">
        <v>201</v>
      </c>
      <c r="D370" s="1" t="s">
        <v>338</v>
      </c>
      <c r="E370" s="4" t="s">
        <v>592</v>
      </c>
      <c r="F370" s="11"/>
      <c r="G370" s="11"/>
      <c r="H370" s="14">
        <f>'II-I TOTAL COMPANY'!M370</f>
        <v>0</v>
      </c>
      <c r="I370" s="66">
        <v>0</v>
      </c>
      <c r="J370" s="66">
        <f t="shared" si="212"/>
        <v>0</v>
      </c>
      <c r="K370" s="12">
        <f t="shared" si="219"/>
        <v>0</v>
      </c>
      <c r="L370" s="12">
        <f t="shared" si="219"/>
        <v>0</v>
      </c>
      <c r="M370" s="9">
        <f t="shared" si="220"/>
        <v>0</v>
      </c>
      <c r="N370" s="12">
        <f t="shared" si="221"/>
        <v>0</v>
      </c>
      <c r="O370" s="12">
        <f t="shared" si="221"/>
        <v>0</v>
      </c>
      <c r="P370" s="9">
        <f t="shared" si="209"/>
        <v>0</v>
      </c>
      <c r="Q370" s="12">
        <f t="shared" si="222"/>
        <v>0</v>
      </c>
      <c r="R370" s="12">
        <f t="shared" si="222"/>
        <v>0</v>
      </c>
      <c r="S370" s="12">
        <f t="shared" si="222"/>
        <v>0</v>
      </c>
      <c r="T370" s="12">
        <f t="shared" si="222"/>
        <v>0</v>
      </c>
      <c r="U370" s="12">
        <f t="shared" si="222"/>
        <v>0</v>
      </c>
      <c r="V370" s="12">
        <f t="shared" si="222"/>
        <v>0</v>
      </c>
      <c r="W370" s="27" t="str">
        <f t="shared" si="203"/>
        <v>OK</v>
      </c>
    </row>
    <row r="371" spans="1:23" x14ac:dyDescent="0.2">
      <c r="A371" s="3">
        <f t="shared" si="217"/>
        <v>54</v>
      </c>
      <c r="B371" s="3" t="s">
        <v>202</v>
      </c>
      <c r="C371" s="3" t="s">
        <v>203</v>
      </c>
      <c r="D371" s="1" t="s">
        <v>335</v>
      </c>
      <c r="E371" s="4" t="s">
        <v>592</v>
      </c>
      <c r="F371" s="11"/>
      <c r="G371" s="11"/>
      <c r="H371" s="14">
        <f>'II-I TOTAL COMPANY'!M371</f>
        <v>0</v>
      </c>
      <c r="I371" s="66">
        <v>0</v>
      </c>
      <c r="J371" s="66">
        <f t="shared" si="212"/>
        <v>0</v>
      </c>
      <c r="K371" s="12">
        <f t="shared" si="219"/>
        <v>0</v>
      </c>
      <c r="L371" s="12">
        <f t="shared" si="219"/>
        <v>0</v>
      </c>
      <c r="M371" s="9">
        <f t="shared" si="220"/>
        <v>0</v>
      </c>
      <c r="N371" s="12">
        <f t="shared" si="221"/>
        <v>0</v>
      </c>
      <c r="O371" s="12">
        <f t="shared" si="221"/>
        <v>0</v>
      </c>
      <c r="P371" s="9">
        <f t="shared" si="209"/>
        <v>0</v>
      </c>
      <c r="Q371" s="12">
        <f t="shared" si="222"/>
        <v>0</v>
      </c>
      <c r="R371" s="12">
        <f t="shared" si="222"/>
        <v>0</v>
      </c>
      <c r="S371" s="12">
        <f t="shared" si="222"/>
        <v>0</v>
      </c>
      <c r="T371" s="12">
        <f t="shared" si="222"/>
        <v>0</v>
      </c>
      <c r="U371" s="12">
        <f t="shared" si="222"/>
        <v>0</v>
      </c>
      <c r="V371" s="12">
        <f t="shared" si="222"/>
        <v>0</v>
      </c>
      <c r="W371" s="27" t="str">
        <f t="shared" si="203"/>
        <v>OK</v>
      </c>
    </row>
    <row r="372" spans="1:23" x14ac:dyDescent="0.2">
      <c r="A372" s="3">
        <f t="shared" si="217"/>
        <v>55</v>
      </c>
      <c r="B372" s="3" t="s">
        <v>204</v>
      </c>
      <c r="C372" s="3" t="s">
        <v>205</v>
      </c>
      <c r="D372" s="1" t="s">
        <v>334</v>
      </c>
      <c r="E372" s="4" t="s">
        <v>592</v>
      </c>
      <c r="F372" s="11"/>
      <c r="G372" s="11"/>
      <c r="H372" s="14">
        <f>'II-I TOTAL COMPANY'!M372</f>
        <v>0</v>
      </c>
      <c r="I372" s="66">
        <v>0</v>
      </c>
      <c r="J372" s="66">
        <f t="shared" si="212"/>
        <v>0</v>
      </c>
      <c r="K372" s="12">
        <f t="shared" si="219"/>
        <v>0</v>
      </c>
      <c r="L372" s="12">
        <f t="shared" si="219"/>
        <v>0</v>
      </c>
      <c r="M372" s="9">
        <f t="shared" si="220"/>
        <v>0</v>
      </c>
      <c r="N372" s="12">
        <f t="shared" si="221"/>
        <v>0</v>
      </c>
      <c r="O372" s="12">
        <f t="shared" si="221"/>
        <v>0</v>
      </c>
      <c r="P372" s="9">
        <f t="shared" si="209"/>
        <v>0</v>
      </c>
      <c r="Q372" s="12">
        <f t="shared" si="222"/>
        <v>0</v>
      </c>
      <c r="R372" s="12">
        <f t="shared" si="222"/>
        <v>0</v>
      </c>
      <c r="S372" s="12">
        <f t="shared" si="222"/>
        <v>0</v>
      </c>
      <c r="T372" s="12">
        <f t="shared" si="222"/>
        <v>0</v>
      </c>
      <c r="U372" s="12">
        <f t="shared" si="222"/>
        <v>0</v>
      </c>
      <c r="V372" s="12">
        <f t="shared" si="222"/>
        <v>0</v>
      </c>
      <c r="W372" s="27" t="str">
        <f t="shared" si="203"/>
        <v>OK</v>
      </c>
    </row>
    <row r="373" spans="1:23" x14ac:dyDescent="0.2">
      <c r="A373" s="3">
        <f t="shared" si="217"/>
        <v>56</v>
      </c>
      <c r="B373" s="3" t="s">
        <v>207</v>
      </c>
      <c r="C373" s="3" t="s">
        <v>208</v>
      </c>
      <c r="D373" s="1" t="s">
        <v>331</v>
      </c>
      <c r="E373" s="4" t="s">
        <v>592</v>
      </c>
      <c r="F373" s="11"/>
      <c r="G373" s="11"/>
      <c r="H373" s="14">
        <f>'II-I TOTAL COMPANY'!M373</f>
        <v>0</v>
      </c>
      <c r="I373" s="66">
        <v>0</v>
      </c>
      <c r="J373" s="66">
        <f t="shared" si="212"/>
        <v>0</v>
      </c>
      <c r="K373" s="12">
        <f t="shared" si="219"/>
        <v>0</v>
      </c>
      <c r="L373" s="12">
        <f t="shared" si="219"/>
        <v>0</v>
      </c>
      <c r="M373" s="9">
        <f t="shared" si="220"/>
        <v>0</v>
      </c>
      <c r="N373" s="12">
        <f t="shared" si="221"/>
        <v>0</v>
      </c>
      <c r="O373" s="12">
        <f t="shared" si="221"/>
        <v>0</v>
      </c>
      <c r="P373" s="9">
        <f t="shared" si="209"/>
        <v>0</v>
      </c>
      <c r="Q373" s="12">
        <f t="shared" si="222"/>
        <v>0</v>
      </c>
      <c r="R373" s="12">
        <f t="shared" si="222"/>
        <v>0</v>
      </c>
      <c r="S373" s="12">
        <f t="shared" si="222"/>
        <v>0</v>
      </c>
      <c r="T373" s="12">
        <f t="shared" si="222"/>
        <v>0</v>
      </c>
      <c r="U373" s="12">
        <f t="shared" si="222"/>
        <v>0</v>
      </c>
      <c r="V373" s="12">
        <f t="shared" si="222"/>
        <v>0</v>
      </c>
      <c r="W373" s="27" t="str">
        <f t="shared" si="203"/>
        <v>OK</v>
      </c>
    </row>
    <row r="374" spans="1:23" x14ac:dyDescent="0.2">
      <c r="A374" s="3">
        <f t="shared" si="217"/>
        <v>57</v>
      </c>
      <c r="B374" s="3"/>
      <c r="C374" s="3" t="s">
        <v>209</v>
      </c>
      <c r="D374" s="3"/>
      <c r="E374" s="4"/>
      <c r="F374" s="8"/>
      <c r="G374" s="8"/>
      <c r="H374" s="8">
        <f t="shared" ref="H374:V374" si="223">SUM(H365:H373)</f>
        <v>0</v>
      </c>
      <c r="I374" s="8">
        <f t="shared" si="223"/>
        <v>0</v>
      </c>
      <c r="J374" s="66">
        <f t="shared" si="212"/>
        <v>0</v>
      </c>
      <c r="K374" s="8">
        <f t="shared" si="223"/>
        <v>0</v>
      </c>
      <c r="L374" s="8">
        <f t="shared" si="223"/>
        <v>0</v>
      </c>
      <c r="M374" s="9">
        <f t="shared" si="220"/>
        <v>0</v>
      </c>
      <c r="N374" s="8">
        <f t="shared" si="223"/>
        <v>0</v>
      </c>
      <c r="O374" s="8">
        <f t="shared" si="223"/>
        <v>0</v>
      </c>
      <c r="P374" s="9">
        <f t="shared" si="209"/>
        <v>0</v>
      </c>
      <c r="Q374" s="8">
        <f t="shared" si="223"/>
        <v>0</v>
      </c>
      <c r="R374" s="8">
        <f t="shared" si="223"/>
        <v>0</v>
      </c>
      <c r="S374" s="8">
        <f>SUM(S365:S373)</f>
        <v>0</v>
      </c>
      <c r="T374" s="8">
        <f t="shared" si="223"/>
        <v>0</v>
      </c>
      <c r="U374" s="8">
        <f t="shared" si="223"/>
        <v>0</v>
      </c>
      <c r="V374" s="8">
        <f t="shared" si="223"/>
        <v>0</v>
      </c>
      <c r="W374" s="27" t="str">
        <f t="shared" si="203"/>
        <v>OK</v>
      </c>
    </row>
    <row r="375" spans="1:23" x14ac:dyDescent="0.2">
      <c r="A375" s="3">
        <f t="shared" si="217"/>
        <v>58</v>
      </c>
      <c r="B375" s="3" t="s">
        <v>210</v>
      </c>
      <c r="C375" s="3"/>
      <c r="D375" s="3"/>
      <c r="E375" s="4"/>
      <c r="F375" s="8"/>
      <c r="G375" s="8"/>
      <c r="H375" s="8">
        <f t="shared" ref="H375:V375" si="224">H363+H374</f>
        <v>0</v>
      </c>
      <c r="I375" s="8">
        <f t="shared" si="224"/>
        <v>0</v>
      </c>
      <c r="J375" s="66">
        <f t="shared" si="212"/>
        <v>0</v>
      </c>
      <c r="K375" s="8">
        <f t="shared" si="224"/>
        <v>0</v>
      </c>
      <c r="L375" s="8">
        <f t="shared" si="224"/>
        <v>0</v>
      </c>
      <c r="M375" s="9">
        <f t="shared" si="220"/>
        <v>0</v>
      </c>
      <c r="N375" s="8">
        <f t="shared" si="224"/>
        <v>0</v>
      </c>
      <c r="O375" s="8">
        <f t="shared" si="224"/>
        <v>0</v>
      </c>
      <c r="P375" s="9">
        <f t="shared" si="209"/>
        <v>0</v>
      </c>
      <c r="Q375" s="8">
        <f t="shared" si="224"/>
        <v>0</v>
      </c>
      <c r="R375" s="8">
        <f t="shared" si="224"/>
        <v>0</v>
      </c>
      <c r="S375" s="8">
        <f>S363+S374</f>
        <v>0</v>
      </c>
      <c r="T375" s="8">
        <f t="shared" si="224"/>
        <v>0</v>
      </c>
      <c r="U375" s="8">
        <f t="shared" si="224"/>
        <v>0</v>
      </c>
      <c r="V375" s="8">
        <f t="shared" si="224"/>
        <v>0</v>
      </c>
      <c r="W375" s="27" t="str">
        <f t="shared" si="203"/>
        <v>OK</v>
      </c>
    </row>
    <row r="376" spans="1:23" x14ac:dyDescent="0.2">
      <c r="A376" s="3">
        <f t="shared" si="217"/>
        <v>59</v>
      </c>
      <c r="B376" s="3"/>
      <c r="C376" s="3"/>
      <c r="D376" s="3"/>
      <c r="E376" s="4"/>
      <c r="F376" s="4"/>
      <c r="G376" s="4"/>
      <c r="H376" s="8"/>
      <c r="I376" s="8"/>
      <c r="J376" s="8"/>
      <c r="K376" s="8"/>
      <c r="L376" s="8"/>
      <c r="M376" s="8"/>
      <c r="N376" s="8"/>
      <c r="O376" s="8"/>
      <c r="P376" s="9"/>
      <c r="Q376" s="8"/>
      <c r="R376" s="8"/>
      <c r="S376" s="8"/>
      <c r="T376" s="8"/>
      <c r="U376" s="8"/>
      <c r="V376" s="8"/>
      <c r="W376" s="27" t="str">
        <f t="shared" si="203"/>
        <v>OK</v>
      </c>
    </row>
    <row r="377" spans="1:23" x14ac:dyDescent="0.2">
      <c r="A377" s="3">
        <f t="shared" si="217"/>
        <v>60</v>
      </c>
      <c r="B377" s="3" t="s">
        <v>211</v>
      </c>
      <c r="C377" s="3"/>
      <c r="D377" s="3"/>
      <c r="E377" s="4"/>
      <c r="F377" s="8"/>
      <c r="G377" s="8"/>
      <c r="H377" s="8">
        <f t="shared" ref="H377:V377" si="225">H320+H346+H375</f>
        <v>0</v>
      </c>
      <c r="I377" s="8">
        <f t="shared" si="225"/>
        <v>0</v>
      </c>
      <c r="J377" s="66">
        <f t="shared" si="212"/>
        <v>0</v>
      </c>
      <c r="K377" s="8">
        <f t="shared" si="225"/>
        <v>0</v>
      </c>
      <c r="L377" s="8">
        <f>L320+L346+L375</f>
        <v>0</v>
      </c>
      <c r="M377" s="9">
        <f>SUM(N377:O377)</f>
        <v>0</v>
      </c>
      <c r="N377" s="8">
        <f t="shared" si="225"/>
        <v>0</v>
      </c>
      <c r="O377" s="8">
        <f t="shared" si="225"/>
        <v>0</v>
      </c>
      <c r="P377" s="9">
        <f t="shared" si="209"/>
        <v>0</v>
      </c>
      <c r="Q377" s="8">
        <f t="shared" si="225"/>
        <v>0</v>
      </c>
      <c r="R377" s="8">
        <f t="shared" si="225"/>
        <v>0</v>
      </c>
      <c r="S377" s="8">
        <f>S320+S346+S375</f>
        <v>0</v>
      </c>
      <c r="T377" s="8">
        <f t="shared" si="225"/>
        <v>0</v>
      </c>
      <c r="U377" s="8">
        <f t="shared" si="225"/>
        <v>0</v>
      </c>
      <c r="V377" s="8">
        <f t="shared" si="225"/>
        <v>0</v>
      </c>
      <c r="W377" s="27" t="str">
        <f t="shared" si="203"/>
        <v>OK</v>
      </c>
    </row>
    <row r="378" spans="1:23" x14ac:dyDescent="0.2">
      <c r="A378" s="3"/>
      <c r="B378" s="7" t="s">
        <v>144</v>
      </c>
      <c r="C378" s="3"/>
      <c r="D378" s="3"/>
      <c r="E378" s="4"/>
      <c r="F378" s="4"/>
      <c r="G378" s="4"/>
      <c r="H378" s="8"/>
      <c r="I378" s="8"/>
      <c r="J378" s="8"/>
      <c r="K378" s="8"/>
      <c r="L378" s="8"/>
      <c r="M378" s="3"/>
      <c r="N378" s="3"/>
      <c r="O378" s="3"/>
      <c r="P378" s="9"/>
      <c r="Q378" s="3"/>
      <c r="R378" s="3"/>
      <c r="S378" s="3"/>
      <c r="T378" s="3"/>
      <c r="U378" s="3"/>
      <c r="V378" s="3"/>
      <c r="W378" s="27" t="str">
        <f t="shared" si="203"/>
        <v>OK</v>
      </c>
    </row>
    <row r="379" spans="1:23" x14ac:dyDescent="0.2">
      <c r="A379" s="3"/>
      <c r="B379" s="3"/>
      <c r="C379" s="3"/>
      <c r="D379" s="3"/>
      <c r="E379" s="4"/>
      <c r="F379" s="4"/>
      <c r="G379" s="4"/>
      <c r="H379" s="8"/>
      <c r="I379" s="8"/>
      <c r="J379" s="8"/>
      <c r="K379" s="8"/>
      <c r="L379" s="8"/>
      <c r="M379" s="3"/>
      <c r="N379" s="3"/>
      <c r="O379" s="3"/>
      <c r="P379" s="9"/>
      <c r="Q379" s="3"/>
      <c r="R379" s="3"/>
      <c r="S379" s="3"/>
      <c r="T379" s="3"/>
      <c r="U379" s="3"/>
      <c r="V379" s="3"/>
      <c r="W379" s="27" t="str">
        <f t="shared" si="203"/>
        <v>OK</v>
      </c>
    </row>
    <row r="380" spans="1:23" x14ac:dyDescent="0.2">
      <c r="A380" s="3">
        <v>1</v>
      </c>
      <c r="B380" s="3" t="s">
        <v>212</v>
      </c>
      <c r="C380" s="3"/>
      <c r="D380" s="3"/>
      <c r="E380" s="4"/>
      <c r="F380" s="4"/>
      <c r="G380" s="4"/>
      <c r="H380" s="8"/>
      <c r="I380" s="8"/>
      <c r="J380" s="8"/>
      <c r="K380" s="8"/>
      <c r="L380" s="8"/>
      <c r="M380" s="3"/>
      <c r="N380" s="3"/>
      <c r="O380" s="3"/>
      <c r="P380" s="9"/>
      <c r="Q380" s="3"/>
      <c r="R380" s="3"/>
      <c r="S380" s="3"/>
      <c r="T380" s="3"/>
      <c r="U380" s="3"/>
      <c r="V380" s="3"/>
      <c r="W380" s="27" t="str">
        <f t="shared" si="203"/>
        <v>OK</v>
      </c>
    </row>
    <row r="381" spans="1:23" x14ac:dyDescent="0.2">
      <c r="A381" s="3">
        <f t="shared" ref="A381:A395" si="226">+A380+1</f>
        <v>2</v>
      </c>
      <c r="B381" s="3"/>
      <c r="C381" s="3" t="s">
        <v>213</v>
      </c>
      <c r="D381" s="3"/>
      <c r="E381" s="4"/>
      <c r="F381" s="4"/>
      <c r="G381" s="4"/>
      <c r="H381" s="8"/>
      <c r="I381" s="8"/>
      <c r="J381" s="8"/>
      <c r="K381" s="8"/>
      <c r="L381" s="8"/>
      <c r="M381" s="3"/>
      <c r="N381" s="3"/>
      <c r="O381" s="3"/>
      <c r="P381" s="9"/>
      <c r="Q381" s="3"/>
      <c r="R381" s="3"/>
      <c r="S381" s="3"/>
      <c r="T381" s="3"/>
      <c r="U381" s="3"/>
      <c r="V381" s="3"/>
      <c r="W381" s="27" t="str">
        <f t="shared" si="203"/>
        <v>OK</v>
      </c>
    </row>
    <row r="382" spans="1:23" x14ac:dyDescent="0.2">
      <c r="A382" s="3">
        <f t="shared" si="226"/>
        <v>3</v>
      </c>
      <c r="B382" s="3" t="s">
        <v>214</v>
      </c>
      <c r="C382" s="3" t="s">
        <v>215</v>
      </c>
      <c r="D382" s="1" t="s">
        <v>339</v>
      </c>
      <c r="E382" s="4" t="s">
        <v>592</v>
      </c>
      <c r="F382" s="11"/>
      <c r="G382" s="11"/>
      <c r="H382" s="14">
        <f>'II-I TOTAL COMPANY'!M382</f>
        <v>398470.8377063534</v>
      </c>
      <c r="I382" s="66">
        <v>0</v>
      </c>
      <c r="J382" s="66">
        <f t="shared" ref="J382:J388" si="227">SUM(K382:V382)-M382-P382</f>
        <v>398470.83770635346</v>
      </c>
      <c r="K382" s="12">
        <f t="shared" ref="K382:L387" si="228">VLOOKUP($D382,$E$741:$V$815,K$1,FALSE)*$H382</f>
        <v>335465.5716312665</v>
      </c>
      <c r="L382" s="12">
        <f t="shared" si="228"/>
        <v>35642.127448534411</v>
      </c>
      <c r="M382" s="9">
        <f t="shared" ref="M382:M388" si="229">SUM(N382:O382)</f>
        <v>25972.77546062968</v>
      </c>
      <c r="N382" s="12">
        <f t="shared" ref="N382:O387" si="230">VLOOKUP($D382,$E$741:$V$815,N$1,FALSE)*$H382</f>
        <v>206.60855232530065</v>
      </c>
      <c r="O382" s="12">
        <f t="shared" si="230"/>
        <v>25766.166908304378</v>
      </c>
      <c r="P382" s="9">
        <f t="shared" si="209"/>
        <v>396.35842069350218</v>
      </c>
      <c r="Q382" s="12">
        <f t="shared" ref="Q382:V387" si="231">VLOOKUP($D382,$E$741:$V$815,Q$1,FALSE)*$H382</f>
        <v>168.2281441676493</v>
      </c>
      <c r="R382" s="12">
        <f t="shared" si="231"/>
        <v>197.28247183839474</v>
      </c>
      <c r="S382" s="12">
        <f t="shared" si="231"/>
        <v>30.847804687458083</v>
      </c>
      <c r="T382" s="12">
        <f t="shared" si="231"/>
        <v>44.538012581698197</v>
      </c>
      <c r="U382" s="12">
        <f t="shared" si="231"/>
        <v>942.65151998418412</v>
      </c>
      <c r="V382" s="12">
        <f t="shared" si="231"/>
        <v>6.8152126635081807</v>
      </c>
      <c r="W382" s="27">
        <f t="shared" si="203"/>
        <v>5.8207660913467407E-11</v>
      </c>
    </row>
    <row r="383" spans="1:23" x14ac:dyDescent="0.2">
      <c r="A383" s="3">
        <f t="shared" si="226"/>
        <v>4</v>
      </c>
      <c r="B383" s="3" t="s">
        <v>216</v>
      </c>
      <c r="C383" s="3" t="s">
        <v>217</v>
      </c>
      <c r="D383" s="1" t="s">
        <v>344</v>
      </c>
      <c r="E383" s="4" t="s">
        <v>592</v>
      </c>
      <c r="F383" s="11"/>
      <c r="G383" s="11"/>
      <c r="H383" s="14">
        <f>'II-I TOTAL COMPANY'!M383</f>
        <v>0</v>
      </c>
      <c r="I383" s="66">
        <v>0</v>
      </c>
      <c r="J383" s="66">
        <f t="shared" si="227"/>
        <v>0</v>
      </c>
      <c r="K383" s="12">
        <f t="shared" si="228"/>
        <v>0</v>
      </c>
      <c r="L383" s="12">
        <f t="shared" si="228"/>
        <v>0</v>
      </c>
      <c r="M383" s="9">
        <f t="shared" si="229"/>
        <v>0</v>
      </c>
      <c r="N383" s="12">
        <f t="shared" si="230"/>
        <v>0</v>
      </c>
      <c r="O383" s="12">
        <f t="shared" si="230"/>
        <v>0</v>
      </c>
      <c r="P383" s="9">
        <f t="shared" si="209"/>
        <v>0</v>
      </c>
      <c r="Q383" s="12">
        <f t="shared" si="231"/>
        <v>0</v>
      </c>
      <c r="R383" s="12">
        <f t="shared" si="231"/>
        <v>0</v>
      </c>
      <c r="S383" s="12">
        <f t="shared" si="231"/>
        <v>0</v>
      </c>
      <c r="T383" s="12">
        <f t="shared" si="231"/>
        <v>0</v>
      </c>
      <c r="U383" s="12">
        <f t="shared" si="231"/>
        <v>0</v>
      </c>
      <c r="V383" s="12">
        <f t="shared" si="231"/>
        <v>0</v>
      </c>
      <c r="W383" s="27" t="str">
        <f t="shared" si="203"/>
        <v>OK</v>
      </c>
    </row>
    <row r="384" spans="1:23" x14ac:dyDescent="0.2">
      <c r="A384" s="3">
        <f t="shared" si="226"/>
        <v>5</v>
      </c>
      <c r="B384" s="3" t="s">
        <v>218</v>
      </c>
      <c r="C384" s="3" t="s">
        <v>219</v>
      </c>
      <c r="D384" s="1" t="s">
        <v>374</v>
      </c>
      <c r="E384" s="4" t="s">
        <v>592</v>
      </c>
      <c r="F384" s="11"/>
      <c r="G384" s="11"/>
      <c r="H384" s="14">
        <f>'II-I TOTAL COMPANY'!M384</f>
        <v>12815028.49357128</v>
      </c>
      <c r="I384" s="66">
        <v>0</v>
      </c>
      <c r="J384" s="66">
        <f t="shared" si="227"/>
        <v>12815028.493571278</v>
      </c>
      <c r="K384" s="12">
        <f t="shared" si="228"/>
        <v>10788746.508558638</v>
      </c>
      <c r="L384" s="12">
        <f t="shared" si="228"/>
        <v>1146269.2764509544</v>
      </c>
      <c r="M384" s="9">
        <f t="shared" si="229"/>
        <v>835297.90912925103</v>
      </c>
      <c r="N384" s="12">
        <f t="shared" si="230"/>
        <v>6644.6380375153449</v>
      </c>
      <c r="O384" s="12">
        <f t="shared" si="230"/>
        <v>828653.27109173569</v>
      </c>
      <c r="P384" s="9">
        <f t="shared" si="209"/>
        <v>12747.092068497321</v>
      </c>
      <c r="Q384" s="12">
        <f t="shared" si="231"/>
        <v>5410.3042354074596</v>
      </c>
      <c r="R384" s="12">
        <f t="shared" si="231"/>
        <v>6344.706459433055</v>
      </c>
      <c r="S384" s="12">
        <f t="shared" si="231"/>
        <v>992.081373656805</v>
      </c>
      <c r="T384" s="12">
        <f t="shared" si="231"/>
        <v>1432.365549175038</v>
      </c>
      <c r="U384" s="12">
        <f t="shared" si="231"/>
        <v>30316.161046163757</v>
      </c>
      <c r="V384" s="12">
        <f t="shared" si="231"/>
        <v>219.18076859859642</v>
      </c>
      <c r="W384" s="27">
        <f t="shared" si="203"/>
        <v>-1.862645149230957E-9</v>
      </c>
    </row>
    <row r="385" spans="1:23" x14ac:dyDescent="0.2">
      <c r="A385" s="3">
        <f t="shared" si="226"/>
        <v>6</v>
      </c>
      <c r="B385" s="3" t="s">
        <v>218</v>
      </c>
      <c r="C385" s="3" t="s">
        <v>17</v>
      </c>
      <c r="D385" s="1" t="s">
        <v>428</v>
      </c>
      <c r="E385" s="4" t="s">
        <v>592</v>
      </c>
      <c r="F385" s="11"/>
      <c r="G385" s="11"/>
      <c r="H385" s="14">
        <f>'II-I TOTAL COMPANY'!M385</f>
        <v>0</v>
      </c>
      <c r="I385" s="66">
        <v>0</v>
      </c>
      <c r="J385" s="66">
        <f t="shared" si="227"/>
        <v>0</v>
      </c>
      <c r="K385" s="12">
        <f t="shared" si="228"/>
        <v>0</v>
      </c>
      <c r="L385" s="12">
        <f t="shared" si="228"/>
        <v>0</v>
      </c>
      <c r="M385" s="9">
        <f t="shared" si="229"/>
        <v>0</v>
      </c>
      <c r="N385" s="12">
        <f t="shared" si="230"/>
        <v>0</v>
      </c>
      <c r="O385" s="12">
        <f t="shared" si="230"/>
        <v>0</v>
      </c>
      <c r="P385" s="9">
        <f t="shared" si="209"/>
        <v>0</v>
      </c>
      <c r="Q385" s="12">
        <f t="shared" si="231"/>
        <v>0</v>
      </c>
      <c r="R385" s="12">
        <f t="shared" si="231"/>
        <v>0</v>
      </c>
      <c r="S385" s="12">
        <f t="shared" si="231"/>
        <v>0</v>
      </c>
      <c r="T385" s="12">
        <f t="shared" si="231"/>
        <v>0</v>
      </c>
      <c r="U385" s="12">
        <f t="shared" si="231"/>
        <v>0</v>
      </c>
      <c r="V385" s="12">
        <f t="shared" si="231"/>
        <v>0</v>
      </c>
      <c r="W385" s="27" t="str">
        <f t="shared" si="203"/>
        <v>OK</v>
      </c>
    </row>
    <row r="386" spans="1:23" x14ac:dyDescent="0.2">
      <c r="A386" s="3">
        <f t="shared" si="226"/>
        <v>7</v>
      </c>
      <c r="B386" s="3" t="s">
        <v>220</v>
      </c>
      <c r="C386" s="3" t="s">
        <v>221</v>
      </c>
      <c r="D386" s="28" t="s">
        <v>333</v>
      </c>
      <c r="E386" s="4" t="s">
        <v>592</v>
      </c>
      <c r="F386" s="11"/>
      <c r="G386" s="28"/>
      <c r="H386" s="14">
        <f>'II-I TOTAL COMPANY'!M386</f>
        <v>0</v>
      </c>
      <c r="I386" s="66">
        <v>0</v>
      </c>
      <c r="J386" s="66">
        <f t="shared" si="227"/>
        <v>0</v>
      </c>
      <c r="K386" s="12">
        <f t="shared" si="228"/>
        <v>0</v>
      </c>
      <c r="L386" s="12">
        <f t="shared" si="228"/>
        <v>0</v>
      </c>
      <c r="M386" s="9">
        <f t="shared" si="229"/>
        <v>0</v>
      </c>
      <c r="N386" s="12">
        <f t="shared" si="230"/>
        <v>0</v>
      </c>
      <c r="O386" s="12">
        <f t="shared" si="230"/>
        <v>0</v>
      </c>
      <c r="P386" s="9">
        <f t="shared" si="209"/>
        <v>0</v>
      </c>
      <c r="Q386" s="12">
        <f t="shared" si="231"/>
        <v>0</v>
      </c>
      <c r="R386" s="12">
        <f t="shared" si="231"/>
        <v>0</v>
      </c>
      <c r="S386" s="12">
        <f t="shared" si="231"/>
        <v>0</v>
      </c>
      <c r="T386" s="12">
        <f t="shared" si="231"/>
        <v>0</v>
      </c>
      <c r="U386" s="12">
        <f t="shared" si="231"/>
        <v>0</v>
      </c>
      <c r="V386" s="12">
        <f t="shared" si="231"/>
        <v>0</v>
      </c>
      <c r="W386" s="27" t="str">
        <f t="shared" si="203"/>
        <v>OK</v>
      </c>
    </row>
    <row r="387" spans="1:23" x14ac:dyDescent="0.2">
      <c r="A387" s="3">
        <f t="shared" si="226"/>
        <v>8</v>
      </c>
      <c r="B387" s="3" t="s">
        <v>222</v>
      </c>
      <c r="C387" s="3" t="s">
        <v>223</v>
      </c>
      <c r="D387" s="1" t="s">
        <v>339</v>
      </c>
      <c r="E387" s="4" t="s">
        <v>592</v>
      </c>
      <c r="F387" s="11"/>
      <c r="G387" s="11"/>
      <c r="H387" s="14">
        <f>'II-I TOTAL COMPANY'!M387</f>
        <v>205351.28748238264</v>
      </c>
      <c r="I387" s="66">
        <v>0</v>
      </c>
      <c r="J387" s="66">
        <f t="shared" si="227"/>
        <v>205351.28748238267</v>
      </c>
      <c r="K387" s="12">
        <f t="shared" si="228"/>
        <v>172881.62776735029</v>
      </c>
      <c r="L387" s="12">
        <f t="shared" si="228"/>
        <v>18368.111459040938</v>
      </c>
      <c r="M387" s="9">
        <f t="shared" si="229"/>
        <v>13385.026896903322</v>
      </c>
      <c r="N387" s="12">
        <f t="shared" si="230"/>
        <v>106.47537588720067</v>
      </c>
      <c r="O387" s="12">
        <f t="shared" si="230"/>
        <v>13278.551521016121</v>
      </c>
      <c r="P387" s="9">
        <f t="shared" si="209"/>
        <v>204.26265686693878</v>
      </c>
      <c r="Q387" s="12">
        <f t="shared" si="231"/>
        <v>86.696095991488036</v>
      </c>
      <c r="R387" s="12">
        <f t="shared" si="231"/>
        <v>101.66919572562566</v>
      </c>
      <c r="S387" s="12">
        <f t="shared" si="231"/>
        <v>15.897365149825099</v>
      </c>
      <c r="T387" s="12">
        <f t="shared" si="231"/>
        <v>22.952591156239727</v>
      </c>
      <c r="U387" s="12">
        <f t="shared" si="231"/>
        <v>485.79390248535299</v>
      </c>
      <c r="V387" s="12">
        <f t="shared" si="231"/>
        <v>3.5122085796125218</v>
      </c>
      <c r="W387" s="27">
        <f t="shared" si="203"/>
        <v>2.9103830456733704E-11</v>
      </c>
    </row>
    <row r="388" spans="1:23" x14ac:dyDescent="0.2">
      <c r="A388" s="3">
        <f t="shared" si="226"/>
        <v>9</v>
      </c>
      <c r="B388" s="3"/>
      <c r="C388" s="3" t="s">
        <v>135</v>
      </c>
      <c r="D388" s="80"/>
      <c r="E388" s="4"/>
      <c r="F388" s="8"/>
      <c r="G388" s="8"/>
      <c r="H388" s="8">
        <f t="shared" ref="H388:V388" si="232">SUM(H382:H387)</f>
        <v>13418850.618760016</v>
      </c>
      <c r="I388" s="8">
        <f t="shared" si="232"/>
        <v>0</v>
      </c>
      <c r="J388" s="66">
        <f t="shared" si="227"/>
        <v>13418850.618760014</v>
      </c>
      <c r="K388" s="8">
        <f t="shared" si="232"/>
        <v>11297093.707957255</v>
      </c>
      <c r="L388" s="8">
        <f t="shared" si="232"/>
        <v>1200279.5153585298</v>
      </c>
      <c r="M388" s="9">
        <f t="shared" si="229"/>
        <v>874655.71148678404</v>
      </c>
      <c r="N388" s="8">
        <f t="shared" si="232"/>
        <v>6957.7219657278456</v>
      </c>
      <c r="O388" s="8">
        <f t="shared" si="232"/>
        <v>867697.98952105618</v>
      </c>
      <c r="P388" s="9">
        <f t="shared" si="209"/>
        <v>13347.713146057758</v>
      </c>
      <c r="Q388" s="8">
        <f t="shared" si="232"/>
        <v>5665.2284755665969</v>
      </c>
      <c r="R388" s="8">
        <f t="shared" si="232"/>
        <v>6643.6581269970748</v>
      </c>
      <c r="S388" s="8">
        <f>SUM(S382:S387)</f>
        <v>1038.8265434940881</v>
      </c>
      <c r="T388" s="8">
        <f t="shared" si="232"/>
        <v>1499.8561529129761</v>
      </c>
      <c r="U388" s="8">
        <f t="shared" si="232"/>
        <v>31744.606468633294</v>
      </c>
      <c r="V388" s="8">
        <f t="shared" si="232"/>
        <v>229.50818984171713</v>
      </c>
      <c r="W388" s="27">
        <f t="shared" si="203"/>
        <v>-1.862645149230957E-9</v>
      </c>
    </row>
    <row r="389" spans="1:23" x14ac:dyDescent="0.2">
      <c r="A389" s="3">
        <f t="shared" si="226"/>
        <v>10</v>
      </c>
      <c r="B389" s="3"/>
      <c r="C389" s="3"/>
      <c r="D389" s="75"/>
      <c r="E389" s="4"/>
      <c r="F389" s="4"/>
      <c r="G389" s="4"/>
      <c r="H389" s="8"/>
      <c r="I389" s="8"/>
      <c r="J389" s="8"/>
      <c r="K389" s="8"/>
      <c r="L389" s="8"/>
      <c r="M389" s="3"/>
      <c r="N389" s="3"/>
      <c r="O389" s="3"/>
      <c r="P389" s="9"/>
      <c r="Q389" s="3"/>
      <c r="R389" s="3"/>
      <c r="S389" s="3"/>
      <c r="T389" s="3"/>
      <c r="U389" s="3"/>
      <c r="V389" s="3"/>
      <c r="W389" s="27" t="str">
        <f t="shared" si="203"/>
        <v>OK</v>
      </c>
    </row>
    <row r="390" spans="1:23" x14ac:dyDescent="0.2">
      <c r="A390" s="3">
        <f t="shared" si="226"/>
        <v>11</v>
      </c>
      <c r="B390" s="3"/>
      <c r="C390" s="3" t="s">
        <v>224</v>
      </c>
      <c r="D390" s="3"/>
      <c r="E390" s="4"/>
      <c r="F390" s="4"/>
      <c r="G390" s="4"/>
      <c r="H390" s="8"/>
      <c r="I390" s="8"/>
      <c r="J390" s="8"/>
      <c r="K390" s="8"/>
      <c r="L390" s="8"/>
      <c r="M390" s="3"/>
      <c r="N390" s="3"/>
      <c r="O390" s="3"/>
      <c r="P390" s="9"/>
      <c r="Q390" s="3"/>
      <c r="R390" s="3"/>
      <c r="S390" s="3"/>
      <c r="T390" s="3"/>
      <c r="U390" s="3"/>
      <c r="V390" s="3"/>
      <c r="W390" s="27" t="str">
        <f t="shared" si="203"/>
        <v>OK</v>
      </c>
    </row>
    <row r="391" spans="1:23" x14ac:dyDescent="0.2">
      <c r="A391" s="3">
        <f t="shared" si="226"/>
        <v>12</v>
      </c>
      <c r="B391" s="3" t="s">
        <v>225</v>
      </c>
      <c r="C391" s="3" t="s">
        <v>541</v>
      </c>
      <c r="D391" s="1" t="s">
        <v>434</v>
      </c>
      <c r="E391" s="4" t="s">
        <v>592</v>
      </c>
      <c r="F391" s="11"/>
      <c r="G391" s="11"/>
      <c r="H391" s="14">
        <f>'II-I TOTAL COMPANY'!M391</f>
        <v>-434358.33105465025</v>
      </c>
      <c r="I391" s="66">
        <v>0</v>
      </c>
      <c r="J391" s="66">
        <f t="shared" ref="J391" si="233">SUM(K391:V391)-M391-P391</f>
        <v>-434358.33105465031</v>
      </c>
      <c r="K391" s="12">
        <f t="shared" ref="K391:L397" si="234">VLOOKUP($D391,$E$741:$V$815,K$1,FALSE)*$H391</f>
        <v>-305519.66434212873</v>
      </c>
      <c r="L391" s="12">
        <f t="shared" si="234"/>
        <v>-32460.472058470641</v>
      </c>
      <c r="M391" s="9">
        <f t="shared" ref="M391:M398" si="235">SUM(N391:O391)</f>
        <v>-23654.27129281445</v>
      </c>
      <c r="N391" s="12">
        <f t="shared" ref="N391:O397" si="236">VLOOKUP($D391,$E$741:$V$815,N$1,FALSE)*$H391</f>
        <v>-188.16528697622013</v>
      </c>
      <c r="O391" s="12">
        <f t="shared" si="236"/>
        <v>-23466.106005838232</v>
      </c>
      <c r="P391" s="9">
        <f t="shared" si="209"/>
        <v>-354.76996815308166</v>
      </c>
      <c r="Q391" s="12">
        <f t="shared" ref="Q391:V397" si="237">VLOOKUP($D391,$E$741:$V$815,Q$1,FALSE)*$H391</f>
        <v>-153.21097151362369</v>
      </c>
      <c r="R391" s="12">
        <f t="shared" si="237"/>
        <v>-179.67171499465465</v>
      </c>
      <c r="S391" s="12">
        <f t="shared" si="237"/>
        <v>-21.88728164480338</v>
      </c>
      <c r="T391" s="12">
        <f t="shared" si="237"/>
        <v>-40.18112898971367</v>
      </c>
      <c r="U391" s="12">
        <f t="shared" si="237"/>
        <v>-72322.765423030156</v>
      </c>
      <c r="V391" s="12">
        <f t="shared" si="237"/>
        <v>-6.2068410634517059</v>
      </c>
      <c r="W391" s="27" t="str">
        <f t="shared" si="203"/>
        <v>OK</v>
      </c>
    </row>
    <row r="392" spans="1:23" x14ac:dyDescent="0.2">
      <c r="A392" s="3">
        <f>+A390+1</f>
        <v>12</v>
      </c>
      <c r="B392" s="3" t="s">
        <v>227</v>
      </c>
      <c r="C392" s="3" t="s">
        <v>215</v>
      </c>
      <c r="D392" s="1" t="s">
        <v>425</v>
      </c>
      <c r="E392" s="4" t="s">
        <v>592</v>
      </c>
      <c r="F392" s="11"/>
      <c r="G392" s="11"/>
      <c r="H392" s="14">
        <f>'II-I TOTAL COMPANY'!M392</f>
        <v>587001.34</v>
      </c>
      <c r="I392" s="66">
        <v>0</v>
      </c>
      <c r="J392" s="66">
        <f t="shared" ref="J392:J398" si="238">SUM(K392:V392)-M392-P392</f>
        <v>587001.34000000008</v>
      </c>
      <c r="K392" s="12">
        <f t="shared" si="234"/>
        <v>436738.3751218415</v>
      </c>
      <c r="L392" s="12">
        <f t="shared" si="234"/>
        <v>46402.033901912568</v>
      </c>
      <c r="M392" s="9">
        <f t="shared" si="235"/>
        <v>468.06961277858289</v>
      </c>
      <c r="N392" s="12">
        <f t="shared" si="236"/>
        <v>3.7234058882247205</v>
      </c>
      <c r="O392" s="12">
        <f t="shared" si="236"/>
        <v>464.34620689035819</v>
      </c>
      <c r="P392" s="9">
        <f t="shared" si="209"/>
        <v>7.0201715184236919</v>
      </c>
      <c r="Q392" s="12">
        <f t="shared" si="237"/>
        <v>3.0317315305163088</v>
      </c>
      <c r="R392" s="12">
        <f t="shared" si="237"/>
        <v>3.5553354835479101</v>
      </c>
      <c r="S392" s="12">
        <f t="shared" si="237"/>
        <v>0.43310450435947268</v>
      </c>
      <c r="T392" s="12">
        <f t="shared" si="237"/>
        <v>0.79510229904798713</v>
      </c>
      <c r="U392" s="12">
        <f t="shared" si="237"/>
        <v>103384.92326896949</v>
      </c>
      <c r="V392" s="12">
        <f t="shared" si="237"/>
        <v>0.12282068034074599</v>
      </c>
      <c r="W392" s="27">
        <f t="shared" ref="W392:W455" si="239">IF((+K392+L392+M392+P392+T392+U392+V392)-H392=0,"OK",(+K392+L392+M392+P392+T392+U392+V392)-H392)</f>
        <v>1.1641532182693481E-10</v>
      </c>
    </row>
    <row r="393" spans="1:23" s="132" customFormat="1" x14ac:dyDescent="0.2">
      <c r="A393" s="3">
        <f>+A391+1</f>
        <v>13</v>
      </c>
      <c r="B393" s="3" t="s">
        <v>229</v>
      </c>
      <c r="C393" s="3" t="s">
        <v>795</v>
      </c>
      <c r="D393" s="1" t="s">
        <v>797</v>
      </c>
      <c r="E393" s="4" t="s">
        <v>592</v>
      </c>
      <c r="F393" s="11"/>
      <c r="G393" s="11"/>
      <c r="H393" s="14">
        <f>'II-I TOTAL COMPANY'!M393</f>
        <v>900522</v>
      </c>
      <c r="I393" s="66">
        <v>0</v>
      </c>
      <c r="J393" s="66">
        <f t="shared" si="238"/>
        <v>900522.00000000012</v>
      </c>
      <c r="K393" s="12">
        <f t="shared" si="234"/>
        <v>0</v>
      </c>
      <c r="L393" s="12">
        <f t="shared" si="234"/>
        <v>0</v>
      </c>
      <c r="M393" s="9">
        <f t="shared" si="235"/>
        <v>885504.53573611088</v>
      </c>
      <c r="N393" s="12">
        <f t="shared" si="236"/>
        <v>7044.0223257329872</v>
      </c>
      <c r="O393" s="12">
        <f t="shared" si="236"/>
        <v>878460.5134103779</v>
      </c>
      <c r="P393" s="9">
        <f t="shared" si="209"/>
        <v>13280.91709330907</v>
      </c>
      <c r="Q393" s="12">
        <f t="shared" si="237"/>
        <v>5735.4973450846719</v>
      </c>
      <c r="R393" s="12">
        <f t="shared" si="237"/>
        <v>6726.0629846408738</v>
      </c>
      <c r="S393" s="12">
        <f t="shared" si="237"/>
        <v>819.35676358352464</v>
      </c>
      <c r="T393" s="12">
        <f t="shared" si="237"/>
        <v>1504.1922674742318</v>
      </c>
      <c r="U393" s="12">
        <f t="shared" si="237"/>
        <v>0</v>
      </c>
      <c r="V393" s="12">
        <f t="shared" si="237"/>
        <v>232.35490310577561</v>
      </c>
      <c r="W393" s="27" t="str">
        <f t="shared" si="239"/>
        <v>OK</v>
      </c>
    </row>
    <row r="394" spans="1:23" x14ac:dyDescent="0.2">
      <c r="A394" s="3">
        <f t="shared" si="226"/>
        <v>14</v>
      </c>
      <c r="B394" s="3" t="s">
        <v>229</v>
      </c>
      <c r="C394" s="3" t="s">
        <v>230</v>
      </c>
      <c r="D394" s="1" t="s">
        <v>824</v>
      </c>
      <c r="E394" s="4" t="s">
        <v>592</v>
      </c>
      <c r="F394" s="11"/>
      <c r="G394" s="11"/>
      <c r="H394" s="14">
        <f>'II-I TOTAL COMPANY'!M394</f>
        <v>395286.71970338468</v>
      </c>
      <c r="I394" s="66">
        <v>0</v>
      </c>
      <c r="J394" s="66">
        <f t="shared" si="238"/>
        <v>395286.71970338468</v>
      </c>
      <c r="K394" s="12">
        <f t="shared" si="234"/>
        <v>294338.31782791484</v>
      </c>
      <c r="L394" s="12">
        <f t="shared" si="234"/>
        <v>31272.490306519394</v>
      </c>
      <c r="M394" s="9">
        <f t="shared" si="235"/>
        <v>0</v>
      </c>
      <c r="N394" s="12">
        <f t="shared" si="236"/>
        <v>0</v>
      </c>
      <c r="O394" s="12">
        <f t="shared" si="236"/>
        <v>0</v>
      </c>
      <c r="P394" s="9">
        <f t="shared" si="209"/>
        <v>0</v>
      </c>
      <c r="Q394" s="12">
        <f t="shared" si="237"/>
        <v>0</v>
      </c>
      <c r="R394" s="12">
        <f t="shared" si="237"/>
        <v>0</v>
      </c>
      <c r="S394" s="12">
        <f t="shared" si="237"/>
        <v>0</v>
      </c>
      <c r="T394" s="12">
        <f t="shared" si="237"/>
        <v>0</v>
      </c>
      <c r="U394" s="12">
        <f t="shared" si="237"/>
        <v>69675.911568950425</v>
      </c>
      <c r="V394" s="12">
        <f t="shared" si="237"/>
        <v>0</v>
      </c>
      <c r="W394" s="27" t="str">
        <f t="shared" si="239"/>
        <v>OK</v>
      </c>
    </row>
    <row r="395" spans="1:23" x14ac:dyDescent="0.2">
      <c r="A395" s="3">
        <f t="shared" si="226"/>
        <v>15</v>
      </c>
      <c r="B395" s="3" t="s">
        <v>231</v>
      </c>
      <c r="C395" s="3" t="s">
        <v>232</v>
      </c>
      <c r="D395" s="1" t="s">
        <v>434</v>
      </c>
      <c r="E395" s="4" t="s">
        <v>592</v>
      </c>
      <c r="F395" s="11"/>
      <c r="G395" s="11"/>
      <c r="H395" s="14">
        <f>'II-I TOTAL COMPANY'!M395</f>
        <v>0</v>
      </c>
      <c r="I395" s="66">
        <v>0</v>
      </c>
      <c r="J395" s="66">
        <f t="shared" si="238"/>
        <v>0</v>
      </c>
      <c r="K395" s="12">
        <f t="shared" si="234"/>
        <v>0</v>
      </c>
      <c r="L395" s="12">
        <f t="shared" si="234"/>
        <v>0</v>
      </c>
      <c r="M395" s="9">
        <f t="shared" si="235"/>
        <v>0</v>
      </c>
      <c r="N395" s="12">
        <f t="shared" si="236"/>
        <v>0</v>
      </c>
      <c r="O395" s="12">
        <f t="shared" si="236"/>
        <v>0</v>
      </c>
      <c r="P395" s="9">
        <f t="shared" si="209"/>
        <v>0</v>
      </c>
      <c r="Q395" s="12">
        <f t="shared" si="237"/>
        <v>0</v>
      </c>
      <c r="R395" s="12">
        <f t="shared" si="237"/>
        <v>0</v>
      </c>
      <c r="S395" s="12">
        <f t="shared" si="237"/>
        <v>0</v>
      </c>
      <c r="T395" s="12">
        <f t="shared" si="237"/>
        <v>0</v>
      </c>
      <c r="U395" s="12">
        <f t="shared" si="237"/>
        <v>0</v>
      </c>
      <c r="V395" s="12">
        <f t="shared" si="237"/>
        <v>0</v>
      </c>
      <c r="W395" s="27" t="str">
        <f t="shared" si="239"/>
        <v>OK</v>
      </c>
    </row>
    <row r="396" spans="1:23" x14ac:dyDescent="0.2">
      <c r="A396" s="3">
        <f>+A394+1</f>
        <v>15</v>
      </c>
      <c r="B396" s="3" t="s">
        <v>233</v>
      </c>
      <c r="C396" s="3" t="s">
        <v>234</v>
      </c>
      <c r="D396" s="1" t="s">
        <v>434</v>
      </c>
      <c r="E396" s="4" t="s">
        <v>592</v>
      </c>
      <c r="F396" s="11"/>
      <c r="G396" s="11"/>
      <c r="H396" s="14">
        <f>'II-I TOTAL COMPANY'!M396</f>
        <v>17429.5</v>
      </c>
      <c r="I396" s="66">
        <v>0</v>
      </c>
      <c r="J396" s="66">
        <f t="shared" si="238"/>
        <v>17429.499999999996</v>
      </c>
      <c r="K396" s="12">
        <f t="shared" si="234"/>
        <v>12259.589856885106</v>
      </c>
      <c r="L396" s="12">
        <f t="shared" si="234"/>
        <v>1302.5416051521061</v>
      </c>
      <c r="M396" s="9">
        <f t="shared" si="235"/>
        <v>949.17512114263286</v>
      </c>
      <c r="N396" s="12">
        <f t="shared" si="236"/>
        <v>7.5505098783045828</v>
      </c>
      <c r="O396" s="12">
        <f t="shared" si="236"/>
        <v>941.62461126432822</v>
      </c>
      <c r="P396" s="9">
        <f t="shared" si="209"/>
        <v>14.235857166386765</v>
      </c>
      <c r="Q396" s="12">
        <f t="shared" si="237"/>
        <v>6.1478978002167519</v>
      </c>
      <c r="R396" s="12">
        <f t="shared" si="237"/>
        <v>7.2096882518533336</v>
      </c>
      <c r="S396" s="12">
        <f t="shared" si="237"/>
        <v>0.87827111431667881</v>
      </c>
      <c r="T396" s="12">
        <f t="shared" si="237"/>
        <v>1.612348463596291</v>
      </c>
      <c r="U396" s="12">
        <f t="shared" si="237"/>
        <v>2902.0961492323809</v>
      </c>
      <c r="V396" s="12">
        <f t="shared" si="237"/>
        <v>0.249061957791297</v>
      </c>
      <c r="W396" s="27" t="str">
        <f t="shared" si="239"/>
        <v>OK</v>
      </c>
    </row>
    <row r="397" spans="1:23" x14ac:dyDescent="0.2">
      <c r="A397" s="3">
        <f>+A395+1</f>
        <v>16</v>
      </c>
      <c r="B397" s="3" t="s">
        <v>233</v>
      </c>
      <c r="C397" s="3" t="s">
        <v>234</v>
      </c>
      <c r="D397" s="1" t="s">
        <v>434</v>
      </c>
      <c r="E397" s="4" t="s">
        <v>592</v>
      </c>
      <c r="F397" s="11"/>
      <c r="G397" s="11"/>
      <c r="H397" s="14">
        <f>'II-I TOTAL COMPANY'!M397</f>
        <v>0</v>
      </c>
      <c r="I397" s="66">
        <v>0</v>
      </c>
      <c r="J397" s="66">
        <f t="shared" si="238"/>
        <v>0</v>
      </c>
      <c r="K397" s="12">
        <f t="shared" si="234"/>
        <v>0</v>
      </c>
      <c r="L397" s="12">
        <f t="shared" si="234"/>
        <v>0</v>
      </c>
      <c r="M397" s="9">
        <f t="shared" si="235"/>
        <v>0</v>
      </c>
      <c r="N397" s="12">
        <f t="shared" si="236"/>
        <v>0</v>
      </c>
      <c r="O397" s="12">
        <f t="shared" si="236"/>
        <v>0</v>
      </c>
      <c r="P397" s="9">
        <f t="shared" si="209"/>
        <v>0</v>
      </c>
      <c r="Q397" s="12">
        <f t="shared" si="237"/>
        <v>0</v>
      </c>
      <c r="R397" s="12">
        <f t="shared" si="237"/>
        <v>0</v>
      </c>
      <c r="S397" s="12">
        <f t="shared" si="237"/>
        <v>0</v>
      </c>
      <c r="T397" s="12">
        <f t="shared" si="237"/>
        <v>0</v>
      </c>
      <c r="U397" s="12">
        <f t="shared" si="237"/>
        <v>0</v>
      </c>
      <c r="V397" s="12">
        <f t="shared" si="237"/>
        <v>0</v>
      </c>
      <c r="W397" s="27" t="str">
        <f t="shared" si="239"/>
        <v>OK</v>
      </c>
    </row>
    <row r="398" spans="1:23" x14ac:dyDescent="0.2">
      <c r="A398" s="3">
        <f t="shared" ref="A398:A415" si="240">+A397+1</f>
        <v>17</v>
      </c>
      <c r="B398" s="3"/>
      <c r="C398" s="3" t="s">
        <v>135</v>
      </c>
      <c r="D398" s="3"/>
      <c r="E398" s="4"/>
      <c r="F398" s="11"/>
      <c r="G398" s="11"/>
      <c r="H398" s="8">
        <f t="shared" ref="H398:V398" si="241">SUM(H391:H397)</f>
        <v>1465881.2286487343</v>
      </c>
      <c r="I398" s="8">
        <f t="shared" si="241"/>
        <v>0</v>
      </c>
      <c r="J398" s="66">
        <f t="shared" si="238"/>
        <v>1465881.2286487345</v>
      </c>
      <c r="K398" s="12">
        <f t="shared" si="241"/>
        <v>437816.61846451269</v>
      </c>
      <c r="L398" s="12">
        <f t="shared" si="241"/>
        <v>46516.593755113427</v>
      </c>
      <c r="M398" s="9">
        <f t="shared" si="235"/>
        <v>863267.50917721773</v>
      </c>
      <c r="N398" s="12">
        <f t="shared" si="241"/>
        <v>6867.1309545232962</v>
      </c>
      <c r="O398" s="12">
        <f t="shared" si="241"/>
        <v>856400.37822269439</v>
      </c>
      <c r="P398" s="9">
        <f t="shared" si="209"/>
        <v>12947.4031538408</v>
      </c>
      <c r="Q398" s="12">
        <f t="shared" si="241"/>
        <v>5591.4660029017814</v>
      </c>
      <c r="R398" s="12">
        <f t="shared" si="241"/>
        <v>6557.1562933816203</v>
      </c>
      <c r="S398" s="12">
        <f>SUM(S391:S397)</f>
        <v>798.78085755739744</v>
      </c>
      <c r="T398" s="12">
        <f t="shared" si="241"/>
        <v>1466.4185892471626</v>
      </c>
      <c r="U398" s="12">
        <f t="shared" si="241"/>
        <v>103640.16556412214</v>
      </c>
      <c r="V398" s="12">
        <f t="shared" si="241"/>
        <v>226.51994468045595</v>
      </c>
      <c r="W398" s="27" t="str">
        <f t="shared" si="239"/>
        <v>OK</v>
      </c>
    </row>
    <row r="399" spans="1:23" x14ac:dyDescent="0.2">
      <c r="A399" s="3">
        <f t="shared" si="240"/>
        <v>18</v>
      </c>
      <c r="B399" s="3"/>
      <c r="C399" s="3"/>
      <c r="D399" s="3"/>
      <c r="E399" s="4"/>
      <c r="F399" s="4"/>
      <c r="G399" s="4"/>
      <c r="H399" s="8"/>
      <c r="I399" s="8"/>
      <c r="J399" s="8"/>
      <c r="K399" s="8"/>
      <c r="L399" s="8"/>
      <c r="M399" s="3"/>
      <c r="N399" s="3"/>
      <c r="O399" s="3"/>
      <c r="P399" s="9"/>
      <c r="Q399" s="3"/>
      <c r="R399" s="3"/>
      <c r="S399" s="3"/>
      <c r="T399" s="3"/>
      <c r="U399" s="3"/>
      <c r="V399" s="3"/>
      <c r="W399" s="27" t="str">
        <f t="shared" si="239"/>
        <v>OK</v>
      </c>
    </row>
    <row r="400" spans="1:23" x14ac:dyDescent="0.2">
      <c r="A400" s="3">
        <f t="shared" si="240"/>
        <v>19</v>
      </c>
      <c r="B400" s="3"/>
      <c r="C400" s="3" t="s">
        <v>235</v>
      </c>
      <c r="D400" s="3"/>
      <c r="E400" s="4"/>
      <c r="F400" s="4"/>
      <c r="G400" s="4"/>
      <c r="H400" s="8"/>
      <c r="I400" s="8"/>
      <c r="J400" s="8"/>
      <c r="K400" s="8"/>
      <c r="L400" s="8"/>
      <c r="M400" s="3"/>
      <c r="N400" s="3"/>
      <c r="O400" s="3"/>
      <c r="P400" s="9"/>
      <c r="Q400" s="3"/>
      <c r="R400" s="3"/>
      <c r="S400" s="3"/>
      <c r="T400" s="3"/>
      <c r="U400" s="3"/>
      <c r="V400" s="3"/>
      <c r="W400" s="27" t="str">
        <f t="shared" si="239"/>
        <v>OK</v>
      </c>
    </row>
    <row r="401" spans="1:23" x14ac:dyDescent="0.2">
      <c r="A401" s="3">
        <f t="shared" si="240"/>
        <v>20</v>
      </c>
      <c r="B401" s="3" t="s">
        <v>236</v>
      </c>
      <c r="C401" s="3" t="s">
        <v>228</v>
      </c>
      <c r="D401" s="1" t="s">
        <v>426</v>
      </c>
      <c r="E401" s="4" t="s">
        <v>592</v>
      </c>
      <c r="F401" s="11"/>
      <c r="G401" s="11"/>
      <c r="H401" s="14">
        <f>'II-I TOTAL COMPANY'!M401</f>
        <v>0</v>
      </c>
      <c r="I401" s="66">
        <v>0</v>
      </c>
      <c r="J401" s="66">
        <f t="shared" ref="J401:J408" si="242">SUM(K401:V401)-M401-P401</f>
        <v>0</v>
      </c>
      <c r="K401" s="12">
        <f t="shared" ref="K401:L405" si="243">VLOOKUP($D401,$E$741:$V$815,K$1,FALSE)*$H401</f>
        <v>0</v>
      </c>
      <c r="L401" s="12">
        <f t="shared" si="243"/>
        <v>0</v>
      </c>
      <c r="M401" s="9">
        <f t="shared" ref="M401:M407" si="244">SUM(N401:O401)</f>
        <v>0</v>
      </c>
      <c r="N401" s="12">
        <f t="shared" ref="N401:O405" si="245">VLOOKUP($D401,$E$741:$V$815,N$1,FALSE)*$H401</f>
        <v>0</v>
      </c>
      <c r="O401" s="12">
        <f t="shared" si="245"/>
        <v>0</v>
      </c>
      <c r="P401" s="9">
        <f t="shared" si="209"/>
        <v>0</v>
      </c>
      <c r="Q401" s="12">
        <f t="shared" ref="Q401:V405" si="246">VLOOKUP($D401,$E$741:$V$815,Q$1,FALSE)*$H401</f>
        <v>0</v>
      </c>
      <c r="R401" s="12">
        <f t="shared" si="246"/>
        <v>0</v>
      </c>
      <c r="S401" s="12">
        <f t="shared" si="246"/>
        <v>0</v>
      </c>
      <c r="T401" s="12">
        <f t="shared" si="246"/>
        <v>0</v>
      </c>
      <c r="U401" s="12">
        <f t="shared" si="246"/>
        <v>0</v>
      </c>
      <c r="V401" s="12">
        <f t="shared" si="246"/>
        <v>0</v>
      </c>
      <c r="W401" s="27" t="str">
        <f t="shared" si="239"/>
        <v>OK</v>
      </c>
    </row>
    <row r="402" spans="1:23" x14ac:dyDescent="0.2">
      <c r="A402" s="3">
        <f t="shared" si="240"/>
        <v>21</v>
      </c>
      <c r="B402" s="3" t="s">
        <v>237</v>
      </c>
      <c r="C402" s="3" t="s">
        <v>238</v>
      </c>
      <c r="D402" s="1" t="s">
        <v>345</v>
      </c>
      <c r="E402" s="4" t="s">
        <v>592</v>
      </c>
      <c r="F402" s="11"/>
      <c r="G402" s="11"/>
      <c r="H402" s="14">
        <f>'II-I TOTAL COMPANY'!M402</f>
        <v>0</v>
      </c>
      <c r="I402" s="66">
        <v>0</v>
      </c>
      <c r="J402" s="66">
        <f t="shared" si="242"/>
        <v>0</v>
      </c>
      <c r="K402" s="12">
        <f t="shared" si="243"/>
        <v>0</v>
      </c>
      <c r="L402" s="12">
        <f t="shared" si="243"/>
        <v>0</v>
      </c>
      <c r="M402" s="9">
        <f t="shared" si="244"/>
        <v>0</v>
      </c>
      <c r="N402" s="12">
        <f t="shared" si="245"/>
        <v>0</v>
      </c>
      <c r="O402" s="12">
        <f t="shared" si="245"/>
        <v>0</v>
      </c>
      <c r="P402" s="9">
        <f t="shared" si="209"/>
        <v>0</v>
      </c>
      <c r="Q402" s="12">
        <f t="shared" si="246"/>
        <v>0</v>
      </c>
      <c r="R402" s="12">
        <f t="shared" si="246"/>
        <v>0</v>
      </c>
      <c r="S402" s="12">
        <f t="shared" si="246"/>
        <v>0</v>
      </c>
      <c r="T402" s="12">
        <f t="shared" si="246"/>
        <v>0</v>
      </c>
      <c r="U402" s="12">
        <f t="shared" si="246"/>
        <v>0</v>
      </c>
      <c r="V402" s="12">
        <f t="shared" si="246"/>
        <v>0</v>
      </c>
      <c r="W402" s="27" t="str">
        <f t="shared" si="239"/>
        <v>OK</v>
      </c>
    </row>
    <row r="403" spans="1:23" x14ac:dyDescent="0.2">
      <c r="A403" s="3">
        <f t="shared" si="240"/>
        <v>22</v>
      </c>
      <c r="B403" s="3" t="s">
        <v>239</v>
      </c>
      <c r="C403" s="3" t="s">
        <v>240</v>
      </c>
      <c r="D403" s="1" t="s">
        <v>345</v>
      </c>
      <c r="E403" s="4" t="s">
        <v>592</v>
      </c>
      <c r="F403" s="11"/>
      <c r="G403" s="11"/>
      <c r="H403" s="14">
        <f>'II-I TOTAL COMPANY'!M403</f>
        <v>0</v>
      </c>
      <c r="I403" s="66">
        <v>0</v>
      </c>
      <c r="J403" s="66">
        <f t="shared" si="242"/>
        <v>0</v>
      </c>
      <c r="K403" s="12">
        <f t="shared" si="243"/>
        <v>0</v>
      </c>
      <c r="L403" s="12">
        <f t="shared" si="243"/>
        <v>0</v>
      </c>
      <c r="M403" s="9">
        <f t="shared" si="244"/>
        <v>0</v>
      </c>
      <c r="N403" s="12">
        <f t="shared" si="245"/>
        <v>0</v>
      </c>
      <c r="O403" s="12">
        <f t="shared" si="245"/>
        <v>0</v>
      </c>
      <c r="P403" s="9">
        <f t="shared" si="209"/>
        <v>0</v>
      </c>
      <c r="Q403" s="12">
        <f t="shared" si="246"/>
        <v>0</v>
      </c>
      <c r="R403" s="12">
        <f t="shared" si="246"/>
        <v>0</v>
      </c>
      <c r="S403" s="12">
        <f t="shared" si="246"/>
        <v>0</v>
      </c>
      <c r="T403" s="12">
        <f t="shared" si="246"/>
        <v>0</v>
      </c>
      <c r="U403" s="12">
        <f t="shared" si="246"/>
        <v>0</v>
      </c>
      <c r="V403" s="12">
        <f t="shared" si="246"/>
        <v>0</v>
      </c>
      <c r="W403" s="27" t="str">
        <f t="shared" si="239"/>
        <v>OK</v>
      </c>
    </row>
    <row r="404" spans="1:23" x14ac:dyDescent="0.2">
      <c r="A404" s="3">
        <f t="shared" si="240"/>
        <v>23</v>
      </c>
      <c r="B404" s="3" t="s">
        <v>241</v>
      </c>
      <c r="C404" s="3" t="s">
        <v>242</v>
      </c>
      <c r="D404" s="1" t="s">
        <v>345</v>
      </c>
      <c r="E404" s="4" t="s">
        <v>592</v>
      </c>
      <c r="F404" s="11"/>
      <c r="G404" s="11"/>
      <c r="H404" s="14">
        <f>'II-I TOTAL COMPANY'!M404</f>
        <v>0</v>
      </c>
      <c r="I404" s="66">
        <v>0</v>
      </c>
      <c r="J404" s="66">
        <f t="shared" si="242"/>
        <v>0</v>
      </c>
      <c r="K404" s="12">
        <f t="shared" si="243"/>
        <v>0</v>
      </c>
      <c r="L404" s="12">
        <f t="shared" si="243"/>
        <v>0</v>
      </c>
      <c r="M404" s="9">
        <f t="shared" si="244"/>
        <v>0</v>
      </c>
      <c r="N404" s="12">
        <f t="shared" si="245"/>
        <v>0</v>
      </c>
      <c r="O404" s="12">
        <f t="shared" si="245"/>
        <v>0</v>
      </c>
      <c r="P404" s="9">
        <f t="shared" ref="P404:P465" si="247">SUM(Q404:S404)</f>
        <v>0</v>
      </c>
      <c r="Q404" s="12">
        <f t="shared" si="246"/>
        <v>0</v>
      </c>
      <c r="R404" s="12">
        <f t="shared" si="246"/>
        <v>0</v>
      </c>
      <c r="S404" s="12">
        <f t="shared" si="246"/>
        <v>0</v>
      </c>
      <c r="T404" s="12">
        <f t="shared" si="246"/>
        <v>0</v>
      </c>
      <c r="U404" s="12">
        <f t="shared" si="246"/>
        <v>0</v>
      </c>
      <c r="V404" s="12">
        <f t="shared" si="246"/>
        <v>0</v>
      </c>
      <c r="W404" s="27" t="str">
        <f t="shared" si="239"/>
        <v>OK</v>
      </c>
    </row>
    <row r="405" spans="1:23" x14ac:dyDescent="0.2">
      <c r="A405" s="3">
        <f t="shared" si="240"/>
        <v>24</v>
      </c>
      <c r="B405" s="3" t="s">
        <v>243</v>
      </c>
      <c r="C405" s="3" t="s">
        <v>244</v>
      </c>
      <c r="D405" s="1" t="s">
        <v>345</v>
      </c>
      <c r="E405" s="4" t="s">
        <v>592</v>
      </c>
      <c r="F405" s="11"/>
      <c r="G405" s="11"/>
      <c r="H405" s="14">
        <f>'II-I TOTAL COMPANY'!M405</f>
        <v>0</v>
      </c>
      <c r="I405" s="66">
        <v>0</v>
      </c>
      <c r="J405" s="66">
        <f t="shared" si="242"/>
        <v>0</v>
      </c>
      <c r="K405" s="12">
        <f t="shared" si="243"/>
        <v>0</v>
      </c>
      <c r="L405" s="12">
        <f t="shared" si="243"/>
        <v>0</v>
      </c>
      <c r="M405" s="9">
        <f t="shared" si="244"/>
        <v>0</v>
      </c>
      <c r="N405" s="12">
        <f t="shared" si="245"/>
        <v>0</v>
      </c>
      <c r="O405" s="12">
        <f t="shared" si="245"/>
        <v>0</v>
      </c>
      <c r="P405" s="9">
        <f t="shared" si="247"/>
        <v>0</v>
      </c>
      <c r="Q405" s="12">
        <f t="shared" si="246"/>
        <v>0</v>
      </c>
      <c r="R405" s="12">
        <f t="shared" si="246"/>
        <v>0</v>
      </c>
      <c r="S405" s="12">
        <f t="shared" si="246"/>
        <v>0</v>
      </c>
      <c r="T405" s="12">
        <f t="shared" si="246"/>
        <v>0</v>
      </c>
      <c r="U405" s="12">
        <f t="shared" si="246"/>
        <v>0</v>
      </c>
      <c r="V405" s="12">
        <f t="shared" si="246"/>
        <v>0</v>
      </c>
      <c r="W405" s="27" t="str">
        <f t="shared" si="239"/>
        <v>OK</v>
      </c>
    </row>
    <row r="406" spans="1:23" x14ac:dyDescent="0.2">
      <c r="A406" s="3">
        <f t="shared" si="240"/>
        <v>25</v>
      </c>
      <c r="B406" s="3"/>
      <c r="C406" s="3" t="s">
        <v>135</v>
      </c>
      <c r="D406" s="3"/>
      <c r="E406" s="4"/>
      <c r="F406" s="8"/>
      <c r="G406" s="8"/>
      <c r="H406" s="8">
        <f t="shared" ref="H406:V406" si="248">SUM(H401:H405)</f>
        <v>0</v>
      </c>
      <c r="I406" s="8">
        <f t="shared" si="248"/>
        <v>0</v>
      </c>
      <c r="J406" s="66">
        <f t="shared" si="242"/>
        <v>0</v>
      </c>
      <c r="K406" s="8">
        <f t="shared" si="248"/>
        <v>0</v>
      </c>
      <c r="L406" s="8">
        <f t="shared" si="248"/>
        <v>0</v>
      </c>
      <c r="M406" s="9">
        <f t="shared" si="244"/>
        <v>0</v>
      </c>
      <c r="N406" s="8">
        <f t="shared" si="248"/>
        <v>0</v>
      </c>
      <c r="O406" s="8">
        <f t="shared" si="248"/>
        <v>0</v>
      </c>
      <c r="P406" s="9">
        <f t="shared" si="247"/>
        <v>0</v>
      </c>
      <c r="Q406" s="8">
        <f t="shared" si="248"/>
        <v>0</v>
      </c>
      <c r="R406" s="8">
        <f t="shared" si="248"/>
        <v>0</v>
      </c>
      <c r="S406" s="8">
        <f>SUM(S401:S405)</f>
        <v>0</v>
      </c>
      <c r="T406" s="8">
        <f t="shared" si="248"/>
        <v>0</v>
      </c>
      <c r="U406" s="8">
        <f t="shared" si="248"/>
        <v>0</v>
      </c>
      <c r="V406" s="8">
        <f t="shared" si="248"/>
        <v>0</v>
      </c>
      <c r="W406" s="27" t="str">
        <f t="shared" si="239"/>
        <v>OK</v>
      </c>
    </row>
    <row r="407" spans="1:23" x14ac:dyDescent="0.2">
      <c r="A407" s="3">
        <f t="shared" si="240"/>
        <v>26</v>
      </c>
      <c r="B407" s="3"/>
      <c r="C407" s="3" t="s">
        <v>245</v>
      </c>
      <c r="D407" s="3"/>
      <c r="E407" s="4"/>
      <c r="F407" s="8"/>
      <c r="G407" s="8"/>
      <c r="H407" s="8">
        <f t="shared" ref="H407:V407" si="249">H388+H398+H406</f>
        <v>14884731.847408749</v>
      </c>
      <c r="I407" s="8">
        <f t="shared" si="249"/>
        <v>0</v>
      </c>
      <c r="J407" s="66">
        <f t="shared" si="242"/>
        <v>14884731.847408749</v>
      </c>
      <c r="K407" s="8">
        <f t="shared" si="249"/>
        <v>11734910.326421767</v>
      </c>
      <c r="L407" s="8">
        <f t="shared" si="249"/>
        <v>1246796.1091136432</v>
      </c>
      <c r="M407" s="9">
        <f t="shared" si="244"/>
        <v>1737923.2206640018</v>
      </c>
      <c r="N407" s="8">
        <f t="shared" si="249"/>
        <v>13824.852920251142</v>
      </c>
      <c r="O407" s="8">
        <f t="shared" si="249"/>
        <v>1724098.3677437506</v>
      </c>
      <c r="P407" s="9">
        <f t="shared" si="247"/>
        <v>26295.11629989856</v>
      </c>
      <c r="Q407" s="8">
        <f t="shared" si="249"/>
        <v>11256.694478468378</v>
      </c>
      <c r="R407" s="8">
        <f t="shared" si="249"/>
        <v>13200.814420378694</v>
      </c>
      <c r="S407" s="8">
        <f>S388+S398+S406</f>
        <v>1837.6074010514856</v>
      </c>
      <c r="T407" s="8">
        <f t="shared" si="249"/>
        <v>2966.2747421601389</v>
      </c>
      <c r="U407" s="8">
        <f t="shared" si="249"/>
        <v>135384.77203275543</v>
      </c>
      <c r="V407" s="8">
        <f t="shared" si="249"/>
        <v>456.0281345221731</v>
      </c>
      <c r="W407" s="27">
        <f t="shared" si="239"/>
        <v>1.862645149230957E-9</v>
      </c>
    </row>
    <row r="408" spans="1:23" x14ac:dyDescent="0.2">
      <c r="A408" s="3">
        <f t="shared" si="240"/>
        <v>27</v>
      </c>
      <c r="B408" s="3"/>
      <c r="C408" s="3"/>
      <c r="D408" s="3"/>
      <c r="E408" s="4"/>
      <c r="F408" s="4"/>
      <c r="G408" s="4"/>
      <c r="H408" s="8"/>
      <c r="I408" s="8"/>
      <c r="J408" s="66">
        <f t="shared" si="242"/>
        <v>0</v>
      </c>
      <c r="K408" s="8"/>
      <c r="L408" s="8"/>
      <c r="M408" s="3"/>
      <c r="N408" s="3"/>
      <c r="O408" s="3"/>
      <c r="P408" s="9"/>
      <c r="Q408" s="3"/>
      <c r="R408" s="3"/>
      <c r="S408" s="3"/>
      <c r="T408" s="3"/>
      <c r="U408" s="3"/>
      <c r="V408" s="3"/>
      <c r="W408" s="27" t="str">
        <f t="shared" si="239"/>
        <v>OK</v>
      </c>
    </row>
    <row r="409" spans="1:23" x14ac:dyDescent="0.2">
      <c r="A409" s="3">
        <f t="shared" si="240"/>
        <v>28</v>
      </c>
      <c r="B409" s="7" t="s">
        <v>246</v>
      </c>
      <c r="C409" s="3"/>
      <c r="D409" s="3"/>
      <c r="E409" s="4"/>
      <c r="F409" s="4"/>
      <c r="G409" s="4"/>
      <c r="H409" s="8"/>
      <c r="I409" s="8"/>
      <c r="J409" s="8"/>
      <c r="K409" s="8"/>
      <c r="L409" s="8"/>
      <c r="M409" s="3"/>
      <c r="N409" s="3"/>
      <c r="O409" s="3"/>
      <c r="P409" s="9"/>
      <c r="Q409" s="3"/>
      <c r="R409" s="3"/>
      <c r="S409" s="3"/>
      <c r="T409" s="3"/>
      <c r="U409" s="3"/>
      <c r="V409" s="3"/>
      <c r="W409" s="27" t="str">
        <f t="shared" si="239"/>
        <v>OK</v>
      </c>
    </row>
    <row r="410" spans="1:23" x14ac:dyDescent="0.2">
      <c r="A410" s="3">
        <f t="shared" si="240"/>
        <v>29</v>
      </c>
      <c r="B410" s="3"/>
      <c r="C410" s="3"/>
      <c r="D410" s="3"/>
      <c r="E410" s="4"/>
      <c r="F410" s="4"/>
      <c r="G410" s="4"/>
      <c r="H410" s="8"/>
      <c r="I410" s="8"/>
      <c r="J410" s="8"/>
      <c r="K410" s="8"/>
      <c r="L410" s="8"/>
      <c r="M410" s="3"/>
      <c r="N410" s="3"/>
      <c r="O410" s="3"/>
      <c r="P410" s="9"/>
      <c r="Q410" s="3"/>
      <c r="R410" s="3"/>
      <c r="S410" s="3"/>
      <c r="T410" s="3"/>
      <c r="U410" s="3"/>
      <c r="V410" s="3"/>
      <c r="W410" s="27" t="str">
        <f t="shared" si="239"/>
        <v>OK</v>
      </c>
    </row>
    <row r="411" spans="1:23" x14ac:dyDescent="0.2">
      <c r="A411" s="3">
        <f t="shared" si="240"/>
        <v>30</v>
      </c>
      <c r="B411" s="3" t="s">
        <v>247</v>
      </c>
      <c r="C411" s="3"/>
      <c r="D411" s="3"/>
      <c r="E411" s="4"/>
      <c r="F411" s="4"/>
      <c r="G411" s="4"/>
      <c r="H411" s="8"/>
      <c r="I411" s="8"/>
      <c r="J411" s="8"/>
      <c r="K411" s="8"/>
      <c r="L411" s="8"/>
      <c r="M411" s="3"/>
      <c r="N411" s="3"/>
      <c r="O411" s="3"/>
      <c r="P411" s="9"/>
      <c r="Q411" s="3"/>
      <c r="R411" s="3"/>
      <c r="S411" s="3"/>
      <c r="T411" s="3"/>
      <c r="U411" s="3"/>
      <c r="V411" s="3"/>
      <c r="W411" s="27" t="str">
        <f t="shared" si="239"/>
        <v>OK</v>
      </c>
    </row>
    <row r="412" spans="1:23" x14ac:dyDescent="0.2">
      <c r="A412" s="3">
        <f t="shared" si="240"/>
        <v>31</v>
      </c>
      <c r="B412" s="3" t="s">
        <v>248</v>
      </c>
      <c r="C412" s="3" t="s">
        <v>249</v>
      </c>
      <c r="D412" s="1" t="s">
        <v>323</v>
      </c>
      <c r="E412" s="4" t="s">
        <v>592</v>
      </c>
      <c r="F412" s="1"/>
      <c r="G412" s="11"/>
      <c r="H412" s="14">
        <f>'II-I TOTAL COMPANY'!M412</f>
        <v>3031882.4498756798</v>
      </c>
      <c r="I412" s="66">
        <v>0</v>
      </c>
      <c r="J412" s="66">
        <f t="shared" ref="J412:J429" si="250">SUM(K412:V412)-M412-P412</f>
        <v>3031882.4498756793</v>
      </c>
      <c r="K412" s="12">
        <f t="shared" ref="K412:L426" si="251">VLOOKUP($D412,$E$741:$V$815,K$1,FALSE)*$H412</f>
        <v>2485439.0477586929</v>
      </c>
      <c r="L412" s="12">
        <f t="shared" si="251"/>
        <v>264069.82652500249</v>
      </c>
      <c r="M412" s="9">
        <f t="shared" ref="M412:M427" si="252">SUM(N412:O412)</f>
        <v>174734.79831242494</v>
      </c>
      <c r="N412" s="12">
        <f t="shared" ref="N412:O426" si="253">VLOOKUP($D412,$E$741:$V$815,N$1,FALSE)*$H412</f>
        <v>1389.9825136095894</v>
      </c>
      <c r="O412" s="12">
        <f t="shared" si="253"/>
        <v>173344.81579881537</v>
      </c>
      <c r="P412" s="9">
        <f t="shared" si="247"/>
        <v>2662.7087371194475</v>
      </c>
      <c r="Q412" s="12">
        <f t="shared" ref="Q412:V426" si="254">VLOOKUP($D412,$E$741:$V$815,Q$1,FALSE)*$H412</f>
        <v>1131.773956393919</v>
      </c>
      <c r="R412" s="12">
        <f t="shared" si="254"/>
        <v>1327.2402473702675</v>
      </c>
      <c r="S412" s="12">
        <f t="shared" si="254"/>
        <v>203.69453335526106</v>
      </c>
      <c r="T412" s="12">
        <f t="shared" si="254"/>
        <v>299.39889993663468</v>
      </c>
      <c r="U412" s="12">
        <f t="shared" si="254"/>
        <v>104630.81952486641</v>
      </c>
      <c r="V412" s="12">
        <f t="shared" si="254"/>
        <v>45.85011763642742</v>
      </c>
      <c r="W412" s="27" t="str">
        <f t="shared" si="239"/>
        <v>OK</v>
      </c>
    </row>
    <row r="413" spans="1:23" x14ac:dyDescent="0.2">
      <c r="A413" s="3">
        <f>+A412+1</f>
        <v>32</v>
      </c>
      <c r="B413" s="3" t="s">
        <v>248</v>
      </c>
      <c r="C413" s="3" t="s">
        <v>538</v>
      </c>
      <c r="D413" s="1" t="s">
        <v>323</v>
      </c>
      <c r="E413" s="4" t="s">
        <v>592</v>
      </c>
      <c r="F413" s="1"/>
      <c r="G413" s="11"/>
      <c r="H413" s="14">
        <f>'II-I TOTAL COMPANY'!M413</f>
        <v>0</v>
      </c>
      <c r="I413" s="66">
        <v>0</v>
      </c>
      <c r="J413" s="66">
        <f t="shared" si="250"/>
        <v>0</v>
      </c>
      <c r="K413" s="12">
        <f t="shared" si="251"/>
        <v>0</v>
      </c>
      <c r="L413" s="12">
        <f t="shared" si="251"/>
        <v>0</v>
      </c>
      <c r="M413" s="9">
        <f t="shared" si="252"/>
        <v>0</v>
      </c>
      <c r="N413" s="12">
        <f t="shared" si="253"/>
        <v>0</v>
      </c>
      <c r="O413" s="12">
        <f t="shared" si="253"/>
        <v>0</v>
      </c>
      <c r="P413" s="9">
        <f t="shared" si="247"/>
        <v>0</v>
      </c>
      <c r="Q413" s="12">
        <f t="shared" si="254"/>
        <v>0</v>
      </c>
      <c r="R413" s="12">
        <f t="shared" si="254"/>
        <v>0</v>
      </c>
      <c r="S413" s="12">
        <f t="shared" si="254"/>
        <v>0</v>
      </c>
      <c r="T413" s="12">
        <f t="shared" si="254"/>
        <v>0</v>
      </c>
      <c r="U413" s="12">
        <f t="shared" si="254"/>
        <v>0</v>
      </c>
      <c r="V413" s="12">
        <f t="shared" si="254"/>
        <v>0</v>
      </c>
      <c r="W413" s="27" t="str">
        <f t="shared" si="239"/>
        <v>OK</v>
      </c>
    </row>
    <row r="414" spans="1:23" x14ac:dyDescent="0.2">
      <c r="A414" s="3">
        <f>+A412+1</f>
        <v>32</v>
      </c>
      <c r="B414" s="3" t="s">
        <v>250</v>
      </c>
      <c r="C414" s="3" t="s">
        <v>251</v>
      </c>
      <c r="D414" s="1" t="s">
        <v>323</v>
      </c>
      <c r="E414" s="4" t="s">
        <v>592</v>
      </c>
      <c r="F414" s="1"/>
      <c r="G414" s="11"/>
      <c r="H414" s="14">
        <f>'II-I TOTAL COMPANY'!M414</f>
        <v>33632.091619227263</v>
      </c>
      <c r="I414" s="66">
        <v>0</v>
      </c>
      <c r="J414" s="66">
        <f t="shared" si="250"/>
        <v>33632.091619227249</v>
      </c>
      <c r="K414" s="12">
        <f t="shared" si="251"/>
        <v>27570.499565922448</v>
      </c>
      <c r="L414" s="12">
        <f t="shared" si="251"/>
        <v>2929.2760344077656</v>
      </c>
      <c r="M414" s="9">
        <f t="shared" si="252"/>
        <v>1938.2996679675505</v>
      </c>
      <c r="N414" s="12">
        <f t="shared" si="253"/>
        <v>15.418809937291069</v>
      </c>
      <c r="O414" s="12">
        <f t="shared" si="253"/>
        <v>1922.8808580302593</v>
      </c>
      <c r="P414" s="9">
        <f t="shared" si="247"/>
        <v>29.536918295031597</v>
      </c>
      <c r="Q414" s="12">
        <f t="shared" si="254"/>
        <v>12.554551841301233</v>
      </c>
      <c r="R414" s="12">
        <f t="shared" si="254"/>
        <v>14.72282198873279</v>
      </c>
      <c r="S414" s="12">
        <f t="shared" si="254"/>
        <v>2.2595444649975764</v>
      </c>
      <c r="T414" s="12">
        <f t="shared" si="254"/>
        <v>3.3211746826720283</v>
      </c>
      <c r="U414" s="12">
        <f t="shared" si="254"/>
        <v>1160.6496513739946</v>
      </c>
      <c r="V414" s="12">
        <f t="shared" si="254"/>
        <v>0.50860657779258722</v>
      </c>
      <c r="W414" s="27">
        <f t="shared" si="239"/>
        <v>-1.4551915228366852E-11</v>
      </c>
    </row>
    <row r="415" spans="1:23" x14ac:dyDescent="0.2">
      <c r="A415" s="3">
        <f t="shared" si="240"/>
        <v>33</v>
      </c>
      <c r="B415" s="3" t="s">
        <v>252</v>
      </c>
      <c r="C415" s="3" t="s">
        <v>253</v>
      </c>
      <c r="D415" s="1" t="s">
        <v>323</v>
      </c>
      <c r="E415" s="4" t="s">
        <v>592</v>
      </c>
      <c r="F415" s="1"/>
      <c r="G415" s="11"/>
      <c r="H415" s="14">
        <f>'II-I TOTAL COMPANY'!M415</f>
        <v>-1281903.5157779944</v>
      </c>
      <c r="I415" s="66">
        <v>0</v>
      </c>
      <c r="J415" s="66">
        <f t="shared" si="250"/>
        <v>-1281903.5157779939</v>
      </c>
      <c r="K415" s="12">
        <f t="shared" si="251"/>
        <v>-1050862.9890002569</v>
      </c>
      <c r="L415" s="12">
        <f t="shared" si="251"/>
        <v>-111650.77955023164</v>
      </c>
      <c r="M415" s="9">
        <f t="shared" si="252"/>
        <v>-73879.233772615742</v>
      </c>
      <c r="N415" s="12">
        <f t="shared" si="253"/>
        <v>-587.69543362049842</v>
      </c>
      <c r="O415" s="12">
        <f t="shared" si="253"/>
        <v>-73291.538338995248</v>
      </c>
      <c r="P415" s="9">
        <f t="shared" si="247"/>
        <v>-1125.8139944529066</v>
      </c>
      <c r="Q415" s="12">
        <f t="shared" si="254"/>
        <v>-478.52284438891269</v>
      </c>
      <c r="R415" s="12">
        <f t="shared" si="254"/>
        <v>-561.16751474179534</v>
      </c>
      <c r="S415" s="12">
        <f t="shared" si="254"/>
        <v>-86.123635322198595</v>
      </c>
      <c r="T415" s="12">
        <f t="shared" si="254"/>
        <v>-126.58818697425865</v>
      </c>
      <c r="U415" s="12">
        <f t="shared" si="254"/>
        <v>-44238.725486589647</v>
      </c>
      <c r="V415" s="12">
        <f t="shared" si="254"/>
        <v>-19.385786872898379</v>
      </c>
      <c r="W415" s="27">
        <f t="shared" si="239"/>
        <v>6.9849193096160889E-10</v>
      </c>
    </row>
    <row r="416" spans="1:23" x14ac:dyDescent="0.2">
      <c r="A416" s="3">
        <f>+A414+1</f>
        <v>33</v>
      </c>
      <c r="B416" s="3" t="s">
        <v>254</v>
      </c>
      <c r="C416" s="3" t="s">
        <v>255</v>
      </c>
      <c r="D416" s="1" t="s">
        <v>323</v>
      </c>
      <c r="E416" s="4" t="s">
        <v>592</v>
      </c>
      <c r="F416" s="1"/>
      <c r="G416" s="11"/>
      <c r="H416" s="14">
        <f>'II-I TOTAL COMPANY'!M416</f>
        <v>497190.79026878258</v>
      </c>
      <c r="I416" s="66">
        <v>0</v>
      </c>
      <c r="J416" s="66">
        <f t="shared" si="250"/>
        <v>497190.79026878241</v>
      </c>
      <c r="K416" s="12">
        <f t="shared" si="251"/>
        <v>407580.90880822419</v>
      </c>
      <c r="L416" s="12">
        <f t="shared" si="251"/>
        <v>43304.14780477056</v>
      </c>
      <c r="M416" s="9">
        <f t="shared" si="252"/>
        <v>28654.32083752891</v>
      </c>
      <c r="N416" s="12">
        <f t="shared" si="253"/>
        <v>227.93974233060328</v>
      </c>
      <c r="O416" s="12">
        <f t="shared" si="253"/>
        <v>28426.381095198307</v>
      </c>
      <c r="P416" s="9">
        <f t="shared" si="247"/>
        <v>436.65092006396708</v>
      </c>
      <c r="Q416" s="12">
        <f t="shared" si="254"/>
        <v>185.59676936293909</v>
      </c>
      <c r="R416" s="12">
        <f t="shared" si="254"/>
        <v>217.65079562818019</v>
      </c>
      <c r="S416" s="12">
        <f t="shared" si="254"/>
        <v>33.403355072847845</v>
      </c>
      <c r="T416" s="12">
        <f t="shared" si="254"/>
        <v>49.097673846558067</v>
      </c>
      <c r="U416" s="12">
        <f t="shared" si="254"/>
        <v>17158.145378681093</v>
      </c>
      <c r="V416" s="12">
        <f t="shared" si="254"/>
        <v>7.5188456671553139</v>
      </c>
      <c r="W416" s="27">
        <f t="shared" si="239"/>
        <v>-1.7462298274040222E-10</v>
      </c>
    </row>
    <row r="417" spans="1:23" x14ac:dyDescent="0.2">
      <c r="A417" s="3">
        <f>+A415+1</f>
        <v>34</v>
      </c>
      <c r="B417" s="3" t="s">
        <v>254</v>
      </c>
      <c r="C417" s="3" t="s">
        <v>471</v>
      </c>
      <c r="D417" s="1" t="s">
        <v>394</v>
      </c>
      <c r="E417" s="4" t="s">
        <v>592</v>
      </c>
      <c r="F417" s="1"/>
      <c r="G417" s="11"/>
      <c r="H417" s="14">
        <f>'II-I TOTAL COMPANY'!M417</f>
        <v>0</v>
      </c>
      <c r="I417" s="66">
        <v>0</v>
      </c>
      <c r="J417" s="66">
        <f t="shared" si="250"/>
        <v>0</v>
      </c>
      <c r="K417" s="12">
        <f t="shared" si="251"/>
        <v>0</v>
      </c>
      <c r="L417" s="12">
        <f t="shared" si="251"/>
        <v>0</v>
      </c>
      <c r="M417" s="9">
        <f t="shared" si="252"/>
        <v>0</v>
      </c>
      <c r="N417" s="12">
        <f t="shared" si="253"/>
        <v>0</v>
      </c>
      <c r="O417" s="12">
        <f t="shared" si="253"/>
        <v>0</v>
      </c>
      <c r="P417" s="9">
        <f t="shared" si="247"/>
        <v>0</v>
      </c>
      <c r="Q417" s="12">
        <f t="shared" si="254"/>
        <v>0</v>
      </c>
      <c r="R417" s="12">
        <f t="shared" si="254"/>
        <v>0</v>
      </c>
      <c r="S417" s="12">
        <f t="shared" si="254"/>
        <v>0</v>
      </c>
      <c r="T417" s="12">
        <f t="shared" si="254"/>
        <v>0</v>
      </c>
      <c r="U417" s="12">
        <f t="shared" si="254"/>
        <v>0</v>
      </c>
      <c r="V417" s="12">
        <f t="shared" si="254"/>
        <v>0</v>
      </c>
      <c r="W417" s="27" t="str">
        <f t="shared" si="239"/>
        <v>OK</v>
      </c>
    </row>
    <row r="418" spans="1:23" x14ac:dyDescent="0.2">
      <c r="A418" s="3">
        <f t="shared" ref="A418:A429" si="255">+A417+1</f>
        <v>35</v>
      </c>
      <c r="B418" s="3" t="s">
        <v>256</v>
      </c>
      <c r="C418" s="3" t="s">
        <v>257</v>
      </c>
      <c r="D418" s="1" t="s">
        <v>340</v>
      </c>
      <c r="E418" s="4" t="s">
        <v>592</v>
      </c>
      <c r="F418" s="1"/>
      <c r="G418" s="11"/>
      <c r="H418" s="14">
        <f>'II-I TOTAL COMPANY'!M418</f>
        <v>18924.074986828291</v>
      </c>
      <c r="I418" s="66">
        <v>0</v>
      </c>
      <c r="J418" s="66">
        <f t="shared" si="250"/>
        <v>18924.074986828291</v>
      </c>
      <c r="K418" s="12">
        <f t="shared" si="251"/>
        <v>15513.343835908032</v>
      </c>
      <c r="L418" s="12">
        <f t="shared" si="251"/>
        <v>1648.2423977627484</v>
      </c>
      <c r="M418" s="9">
        <f t="shared" si="252"/>
        <v>1090.640709440512</v>
      </c>
      <c r="N418" s="12">
        <f t="shared" si="253"/>
        <v>8.675842072639238</v>
      </c>
      <c r="O418" s="12">
        <f t="shared" si="253"/>
        <v>1081.9648673678728</v>
      </c>
      <c r="P418" s="9">
        <f t="shared" si="247"/>
        <v>16.619806553317225</v>
      </c>
      <c r="Q418" s="12">
        <f t="shared" si="254"/>
        <v>7.0641839098399366</v>
      </c>
      <c r="R418" s="12">
        <f t="shared" si="254"/>
        <v>8.2842242013048288</v>
      </c>
      <c r="S418" s="12">
        <f t="shared" si="254"/>
        <v>1.2713984421724587</v>
      </c>
      <c r="T418" s="12">
        <f t="shared" si="254"/>
        <v>1.8687555757998142</v>
      </c>
      <c r="U418" s="12">
        <f t="shared" si="254"/>
        <v>653.07329929729326</v>
      </c>
      <c r="V418" s="12">
        <f t="shared" si="254"/>
        <v>0.2861822905905303</v>
      </c>
      <c r="W418" s="27" t="str">
        <f t="shared" si="239"/>
        <v>OK</v>
      </c>
    </row>
    <row r="419" spans="1:23" x14ac:dyDescent="0.2">
      <c r="A419" s="3">
        <f t="shared" si="255"/>
        <v>36</v>
      </c>
      <c r="B419" s="3" t="s">
        <v>258</v>
      </c>
      <c r="C419" s="3" t="s">
        <v>259</v>
      </c>
      <c r="D419" s="1" t="s">
        <v>323</v>
      </c>
      <c r="E419" s="4" t="s">
        <v>592</v>
      </c>
      <c r="F419" s="1"/>
      <c r="G419" s="11"/>
      <c r="H419" s="14">
        <f>'II-I TOTAL COMPANY'!M419</f>
        <v>256164.50080030086</v>
      </c>
      <c r="I419" s="66">
        <v>0</v>
      </c>
      <c r="J419" s="66">
        <f t="shared" si="250"/>
        <v>256164.5008003008</v>
      </c>
      <c r="K419" s="12">
        <f t="shared" si="251"/>
        <v>209995.36211068713</v>
      </c>
      <c r="L419" s="12">
        <f t="shared" si="251"/>
        <v>22311.325193683893</v>
      </c>
      <c r="M419" s="9">
        <f t="shared" si="252"/>
        <v>14763.386484188719</v>
      </c>
      <c r="N419" s="12">
        <f t="shared" si="253"/>
        <v>117.43996761304122</v>
      </c>
      <c r="O419" s="12">
        <f t="shared" si="253"/>
        <v>14645.946516575677</v>
      </c>
      <c r="P419" s="9">
        <f t="shared" si="247"/>
        <v>224.9729221687904</v>
      </c>
      <c r="Q419" s="12">
        <f t="shared" si="254"/>
        <v>95.623862518257496</v>
      </c>
      <c r="R419" s="12">
        <f t="shared" si="254"/>
        <v>112.13885796384142</v>
      </c>
      <c r="S419" s="12">
        <f t="shared" si="254"/>
        <v>17.210201686691466</v>
      </c>
      <c r="T419" s="12">
        <f t="shared" si="254"/>
        <v>25.296287376039956</v>
      </c>
      <c r="U419" s="12">
        <f t="shared" si="254"/>
        <v>8840.2839143756391</v>
      </c>
      <c r="V419" s="12">
        <f t="shared" si="254"/>
        <v>3.8738878205690668</v>
      </c>
      <c r="W419" s="27">
        <f t="shared" si="239"/>
        <v>-5.8207660913467407E-11</v>
      </c>
    </row>
    <row r="420" spans="1:23" x14ac:dyDescent="0.2">
      <c r="A420" s="3">
        <f t="shared" si="255"/>
        <v>37</v>
      </c>
      <c r="B420" s="3" t="s">
        <v>260</v>
      </c>
      <c r="C420" s="3" t="s">
        <v>261</v>
      </c>
      <c r="D420" s="1" t="s">
        <v>323</v>
      </c>
      <c r="E420" s="4" t="s">
        <v>592</v>
      </c>
      <c r="F420" s="1"/>
      <c r="G420" s="11"/>
      <c r="H420" s="14">
        <f>'II-I TOTAL COMPANY'!M420</f>
        <v>-1084329.463912989</v>
      </c>
      <c r="I420" s="66">
        <v>0</v>
      </c>
      <c r="J420" s="66">
        <f t="shared" si="250"/>
        <v>-1084329.4639129888</v>
      </c>
      <c r="K420" s="12">
        <f t="shared" si="251"/>
        <v>-888898.17953037762</v>
      </c>
      <c r="L420" s="12">
        <f t="shared" si="251"/>
        <v>-94442.544579257374</v>
      </c>
      <c r="M420" s="9">
        <f t="shared" si="252"/>
        <v>-62492.55810983869</v>
      </c>
      <c r="N420" s="12">
        <f t="shared" si="253"/>
        <v>-497.11656660452547</v>
      </c>
      <c r="O420" s="12">
        <f t="shared" si="253"/>
        <v>-61995.441543234163</v>
      </c>
      <c r="P420" s="9">
        <f t="shared" si="247"/>
        <v>-952.29732194780593</v>
      </c>
      <c r="Q420" s="12">
        <f t="shared" si="254"/>
        <v>-404.77025996097638</v>
      </c>
      <c r="R420" s="12">
        <f t="shared" si="254"/>
        <v>-474.67727713973778</v>
      </c>
      <c r="S420" s="12">
        <f t="shared" si="254"/>
        <v>-72.84978484709174</v>
      </c>
      <c r="T420" s="12">
        <f t="shared" si="254"/>
        <v>-107.07771624778582</v>
      </c>
      <c r="U420" s="12">
        <f t="shared" si="254"/>
        <v>-37420.408713018282</v>
      </c>
      <c r="V420" s="12">
        <f t="shared" si="254"/>
        <v>-16.397942301190938</v>
      </c>
      <c r="W420" s="27">
        <f t="shared" si="239"/>
        <v>4.6566128730773926E-10</v>
      </c>
    </row>
    <row r="421" spans="1:23" x14ac:dyDescent="0.2">
      <c r="A421" s="3">
        <f t="shared" si="255"/>
        <v>38</v>
      </c>
      <c r="B421" s="3" t="s">
        <v>262</v>
      </c>
      <c r="C421" s="3" t="s">
        <v>263</v>
      </c>
      <c r="D421" s="1" t="s">
        <v>331</v>
      </c>
      <c r="E421" s="4" t="s">
        <v>592</v>
      </c>
      <c r="F421" s="1"/>
      <c r="G421" s="11"/>
      <c r="H421" s="14">
        <f>'II-I TOTAL COMPANY'!M421</f>
        <v>0</v>
      </c>
      <c r="I421" s="66">
        <v>0</v>
      </c>
      <c r="J421" s="66">
        <f t="shared" si="250"/>
        <v>0</v>
      </c>
      <c r="K421" s="12">
        <f t="shared" si="251"/>
        <v>0</v>
      </c>
      <c r="L421" s="12">
        <f t="shared" si="251"/>
        <v>0</v>
      </c>
      <c r="M421" s="9">
        <f t="shared" si="252"/>
        <v>0</v>
      </c>
      <c r="N421" s="12">
        <f t="shared" si="253"/>
        <v>0</v>
      </c>
      <c r="O421" s="12">
        <f t="shared" si="253"/>
        <v>0</v>
      </c>
      <c r="P421" s="9">
        <f t="shared" si="247"/>
        <v>0</v>
      </c>
      <c r="Q421" s="12">
        <f t="shared" si="254"/>
        <v>0</v>
      </c>
      <c r="R421" s="12">
        <f t="shared" si="254"/>
        <v>0</v>
      </c>
      <c r="S421" s="12">
        <f t="shared" si="254"/>
        <v>0</v>
      </c>
      <c r="T421" s="12">
        <f t="shared" si="254"/>
        <v>0</v>
      </c>
      <c r="U421" s="12">
        <f t="shared" si="254"/>
        <v>0</v>
      </c>
      <c r="V421" s="12">
        <f t="shared" si="254"/>
        <v>0</v>
      </c>
      <c r="W421" s="27" t="str">
        <f t="shared" si="239"/>
        <v>OK</v>
      </c>
    </row>
    <row r="422" spans="1:23" x14ac:dyDescent="0.2">
      <c r="A422" s="3">
        <f t="shared" si="255"/>
        <v>39</v>
      </c>
      <c r="B422" s="3" t="s">
        <v>264</v>
      </c>
      <c r="C422" s="3" t="s">
        <v>265</v>
      </c>
      <c r="D422" s="80" t="s">
        <v>323</v>
      </c>
      <c r="E422" s="4" t="s">
        <v>592</v>
      </c>
      <c r="F422" s="80"/>
      <c r="G422" s="11"/>
      <c r="H422" s="14">
        <f>'II-I TOTAL COMPANY'!M422</f>
        <v>6501.5691708412069</v>
      </c>
      <c r="I422" s="66">
        <v>0</v>
      </c>
      <c r="J422" s="66">
        <f t="shared" si="250"/>
        <v>6501.5691708412069</v>
      </c>
      <c r="K422" s="12">
        <f t="shared" si="251"/>
        <v>5329.775859079049</v>
      </c>
      <c r="L422" s="12">
        <f t="shared" si="251"/>
        <v>566.27137478721863</v>
      </c>
      <c r="M422" s="9">
        <f t="shared" si="252"/>
        <v>374.70132716649391</v>
      </c>
      <c r="N422" s="12">
        <f t="shared" si="253"/>
        <v>2.9806787063472839</v>
      </c>
      <c r="O422" s="12">
        <f t="shared" si="253"/>
        <v>371.72064846014661</v>
      </c>
      <c r="P422" s="9">
        <f t="shared" si="247"/>
        <v>5.7099130069819104</v>
      </c>
      <c r="Q422" s="12">
        <f t="shared" si="254"/>
        <v>2.4269762383279097</v>
      </c>
      <c r="R422" s="12">
        <f t="shared" si="254"/>
        <v>2.8461341814079968</v>
      </c>
      <c r="S422" s="12">
        <f t="shared" si="254"/>
        <v>0.4368025872460044</v>
      </c>
      <c r="T422" s="12">
        <f t="shared" si="254"/>
        <v>0.64203104500031416</v>
      </c>
      <c r="U422" s="12">
        <f t="shared" si="254"/>
        <v>224.37034475746759</v>
      </c>
      <c r="V422" s="12">
        <f t="shared" si="254"/>
        <v>9.8320998994094411E-2</v>
      </c>
      <c r="W422" s="27">
        <f t="shared" si="239"/>
        <v>-9.0949470177292824E-13</v>
      </c>
    </row>
    <row r="423" spans="1:23" x14ac:dyDescent="0.2">
      <c r="A423" s="3">
        <f t="shared" si="255"/>
        <v>40</v>
      </c>
      <c r="B423" s="3" t="s">
        <v>264</v>
      </c>
      <c r="C423" s="3" t="s">
        <v>266</v>
      </c>
      <c r="D423" s="1" t="s">
        <v>434</v>
      </c>
      <c r="E423" s="4" t="s">
        <v>592</v>
      </c>
      <c r="F423" s="1"/>
      <c r="G423" s="11"/>
      <c r="H423" s="14">
        <f>'II-I TOTAL COMPANY'!M423</f>
        <v>0</v>
      </c>
      <c r="I423" s="66">
        <v>0</v>
      </c>
      <c r="J423" s="66">
        <f t="shared" si="250"/>
        <v>0</v>
      </c>
      <c r="K423" s="12">
        <f t="shared" si="251"/>
        <v>0</v>
      </c>
      <c r="L423" s="12">
        <f t="shared" si="251"/>
        <v>0</v>
      </c>
      <c r="M423" s="9">
        <f t="shared" si="252"/>
        <v>0</v>
      </c>
      <c r="N423" s="12">
        <f t="shared" si="253"/>
        <v>0</v>
      </c>
      <c r="O423" s="12">
        <f t="shared" si="253"/>
        <v>0</v>
      </c>
      <c r="P423" s="9">
        <f t="shared" si="247"/>
        <v>0</v>
      </c>
      <c r="Q423" s="12">
        <f t="shared" si="254"/>
        <v>0</v>
      </c>
      <c r="R423" s="12">
        <f t="shared" si="254"/>
        <v>0</v>
      </c>
      <c r="S423" s="12">
        <f t="shared" si="254"/>
        <v>0</v>
      </c>
      <c r="T423" s="12">
        <f t="shared" si="254"/>
        <v>0</v>
      </c>
      <c r="U423" s="12">
        <f t="shared" si="254"/>
        <v>0</v>
      </c>
      <c r="V423" s="12">
        <f t="shared" si="254"/>
        <v>0</v>
      </c>
      <c r="W423" s="27" t="str">
        <f t="shared" si="239"/>
        <v>OK</v>
      </c>
    </row>
    <row r="424" spans="1:23" x14ac:dyDescent="0.2">
      <c r="A424" s="3">
        <f t="shared" si="255"/>
        <v>41</v>
      </c>
      <c r="B424" s="3" t="s">
        <v>608</v>
      </c>
      <c r="C424" s="3" t="s">
        <v>609</v>
      </c>
      <c r="D424" s="80" t="s">
        <v>323</v>
      </c>
      <c r="E424" s="4" t="s">
        <v>592</v>
      </c>
      <c r="F424" s="1"/>
      <c r="G424" s="11"/>
      <c r="H424" s="14">
        <f>'II-I TOTAL COMPANY'!M424</f>
        <v>3552.3210457420992</v>
      </c>
      <c r="I424" s="66">
        <v>0</v>
      </c>
      <c r="J424" s="66">
        <f t="shared" si="250"/>
        <v>3552.3210457420987</v>
      </c>
      <c r="K424" s="12">
        <f t="shared" si="251"/>
        <v>2912.0777547376338</v>
      </c>
      <c r="L424" s="12">
        <f t="shared" si="251"/>
        <v>309.39880348880149</v>
      </c>
      <c r="M424" s="9">
        <f t="shared" si="252"/>
        <v>204.7289470256936</v>
      </c>
      <c r="N424" s="12">
        <f t="shared" si="253"/>
        <v>1.6285803351351285</v>
      </c>
      <c r="O424" s="12">
        <f t="shared" si="253"/>
        <v>203.10036669055847</v>
      </c>
      <c r="P424" s="9">
        <f t="shared" si="247"/>
        <v>3.1197767202150706</v>
      </c>
      <c r="Q424" s="12">
        <f t="shared" si="254"/>
        <v>1.3260489187124567</v>
      </c>
      <c r="R424" s="12">
        <f t="shared" si="254"/>
        <v>1.5550680283408342</v>
      </c>
      <c r="S424" s="12">
        <f t="shared" si="254"/>
        <v>0.23865977316177944</v>
      </c>
      <c r="T424" s="12">
        <f t="shared" si="254"/>
        <v>0.3507922984812788</v>
      </c>
      <c r="U424" s="12">
        <f t="shared" si="254"/>
        <v>122.59125093938484</v>
      </c>
      <c r="V424" s="12">
        <f t="shared" si="254"/>
        <v>5.3720531888137898E-2</v>
      </c>
      <c r="W424" s="27">
        <f t="shared" si="239"/>
        <v>-4.5474735088646412E-13</v>
      </c>
    </row>
    <row r="425" spans="1:23" x14ac:dyDescent="0.2">
      <c r="A425" s="3">
        <f t="shared" si="255"/>
        <v>42</v>
      </c>
      <c r="B425" s="3" t="s">
        <v>267</v>
      </c>
      <c r="C425" s="3" t="s">
        <v>141</v>
      </c>
      <c r="D425" s="80" t="s">
        <v>375</v>
      </c>
      <c r="E425" s="4" t="s">
        <v>592</v>
      </c>
      <c r="F425" s="1"/>
      <c r="G425" s="11"/>
      <c r="H425" s="14">
        <f>'II-I TOTAL COMPANY'!M425</f>
        <v>144692.86677736681</v>
      </c>
      <c r="I425" s="66">
        <v>0</v>
      </c>
      <c r="J425" s="66">
        <f t="shared" si="250"/>
        <v>144692.86677736687</v>
      </c>
      <c r="K425" s="12">
        <f t="shared" si="251"/>
        <v>118614.52644226371</v>
      </c>
      <c r="L425" s="12">
        <f t="shared" si="251"/>
        <v>12602.40819391639</v>
      </c>
      <c r="M425" s="9">
        <f t="shared" si="252"/>
        <v>8339.0036756294721</v>
      </c>
      <c r="N425" s="12">
        <f t="shared" si="253"/>
        <v>66.335208567478816</v>
      </c>
      <c r="O425" s="12">
        <f t="shared" si="253"/>
        <v>8272.6684670619925</v>
      </c>
      <c r="P425" s="9">
        <f t="shared" si="247"/>
        <v>127.07450468033579</v>
      </c>
      <c r="Q425" s="12">
        <f t="shared" si="254"/>
        <v>54.012522253728406</v>
      </c>
      <c r="R425" s="12">
        <f t="shared" si="254"/>
        <v>63.340910958530124</v>
      </c>
      <c r="S425" s="12">
        <f t="shared" si="254"/>
        <v>9.7210714680772732</v>
      </c>
      <c r="T425" s="12">
        <f t="shared" si="254"/>
        <v>14.288444838485749</v>
      </c>
      <c r="U425" s="12">
        <f t="shared" si="254"/>
        <v>4993.3773754780614</v>
      </c>
      <c r="V425" s="12">
        <f t="shared" si="254"/>
        <v>2.1881405603855848</v>
      </c>
      <c r="W425" s="27">
        <f t="shared" si="239"/>
        <v>5.8207660913467407E-11</v>
      </c>
    </row>
    <row r="426" spans="1:23" x14ac:dyDescent="0.2">
      <c r="A426" s="3">
        <f t="shared" si="255"/>
        <v>43</v>
      </c>
      <c r="B426" s="3" t="s">
        <v>268</v>
      </c>
      <c r="C426" s="3" t="s">
        <v>269</v>
      </c>
      <c r="D426" s="80" t="s">
        <v>375</v>
      </c>
      <c r="E426" s="4" t="s">
        <v>592</v>
      </c>
      <c r="F426" s="1"/>
      <c r="G426" s="11"/>
      <c r="H426" s="14">
        <f>'II-I TOTAL COMPANY'!M426</f>
        <v>148068.80461472977</v>
      </c>
      <c r="I426" s="66">
        <v>0</v>
      </c>
      <c r="J426" s="66">
        <f t="shared" si="250"/>
        <v>148068.80461472983</v>
      </c>
      <c r="K426" s="12">
        <f t="shared" si="251"/>
        <v>121382.01095477573</v>
      </c>
      <c r="L426" s="12">
        <f t="shared" si="251"/>
        <v>12896.444435033913</v>
      </c>
      <c r="M426" s="9">
        <f t="shared" si="252"/>
        <v>8533.5672271125077</v>
      </c>
      <c r="N426" s="12">
        <f t="shared" si="253"/>
        <v>67.882925089654634</v>
      </c>
      <c r="O426" s="12">
        <f t="shared" si="253"/>
        <v>8465.6843020228534</v>
      </c>
      <c r="P426" s="9">
        <f t="shared" si="247"/>
        <v>130.03937529261404</v>
      </c>
      <c r="Q426" s="12">
        <f t="shared" si="254"/>
        <v>55.272728935847262</v>
      </c>
      <c r="R426" s="12">
        <f t="shared" si="254"/>
        <v>64.818765276579953</v>
      </c>
      <c r="S426" s="12">
        <f t="shared" si="254"/>
        <v>9.9478810801868107</v>
      </c>
      <c r="T426" s="12">
        <f t="shared" si="254"/>
        <v>14.621819265585446</v>
      </c>
      <c r="U426" s="12">
        <f t="shared" si="254"/>
        <v>5109.8816095398979</v>
      </c>
      <c r="V426" s="12">
        <f t="shared" si="254"/>
        <v>2.2391937095545789</v>
      </c>
      <c r="W426" s="27">
        <f t="shared" si="239"/>
        <v>5.8207660913467407E-11</v>
      </c>
    </row>
    <row r="427" spans="1:23" x14ac:dyDescent="0.2">
      <c r="A427" s="3">
        <f t="shared" si="255"/>
        <v>44</v>
      </c>
      <c r="B427" s="3"/>
      <c r="C427" s="3" t="s">
        <v>270</v>
      </c>
      <c r="D427" s="3"/>
      <c r="E427" s="4"/>
      <c r="F427" s="8"/>
      <c r="G427" s="8"/>
      <c r="H427" s="8">
        <f t="shared" ref="H427:V427" si="256">SUM(H412:H426)</f>
        <v>1774376.4894685152</v>
      </c>
      <c r="I427" s="8">
        <f t="shared" si="256"/>
        <v>0</v>
      </c>
      <c r="J427" s="66">
        <f t="shared" si="250"/>
        <v>1774376.4894685154</v>
      </c>
      <c r="K427" s="8">
        <f t="shared" si="256"/>
        <v>1454576.3845596565</v>
      </c>
      <c r="L427" s="8">
        <f t="shared" si="256"/>
        <v>154544.01663336478</v>
      </c>
      <c r="M427" s="9">
        <f t="shared" si="252"/>
        <v>102261.65530603037</v>
      </c>
      <c r="N427" s="8">
        <f t="shared" si="256"/>
        <v>813.4722680367563</v>
      </c>
      <c r="O427" s="8">
        <f t="shared" si="256"/>
        <v>101448.18303799361</v>
      </c>
      <c r="P427" s="9">
        <f t="shared" si="247"/>
        <v>1558.3215574999881</v>
      </c>
      <c r="Q427" s="8">
        <f t="shared" si="256"/>
        <v>662.35849602298356</v>
      </c>
      <c r="R427" s="8">
        <f t="shared" si="256"/>
        <v>776.75303371565258</v>
      </c>
      <c r="S427" s="8">
        <f>SUM(S412:S426)</f>
        <v>119.21002776135194</v>
      </c>
      <c r="T427" s="8">
        <f t="shared" si="256"/>
        <v>175.21997564321293</v>
      </c>
      <c r="U427" s="8">
        <f t="shared" si="256"/>
        <v>61234.058149701319</v>
      </c>
      <c r="V427" s="8">
        <f t="shared" si="256"/>
        <v>26.833286619267994</v>
      </c>
      <c r="W427" s="27">
        <f t="shared" si="239"/>
        <v>2.3283064365386963E-10</v>
      </c>
    </row>
    <row r="428" spans="1:23" x14ac:dyDescent="0.2">
      <c r="A428" s="3">
        <f t="shared" si="255"/>
        <v>45</v>
      </c>
      <c r="B428" s="3"/>
      <c r="C428" s="3"/>
      <c r="D428" s="80"/>
      <c r="E428" s="4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9">
        <f t="shared" si="247"/>
        <v>0</v>
      </c>
      <c r="Q428" s="8"/>
      <c r="R428" s="8"/>
      <c r="S428" s="8"/>
      <c r="T428" s="8"/>
      <c r="U428" s="8"/>
      <c r="V428" s="8"/>
      <c r="W428" s="27" t="str">
        <f t="shared" si="239"/>
        <v>OK</v>
      </c>
    </row>
    <row r="429" spans="1:23" x14ac:dyDescent="0.2">
      <c r="A429" s="3">
        <f t="shared" si="255"/>
        <v>46</v>
      </c>
      <c r="B429" s="3"/>
      <c r="C429" s="3" t="s">
        <v>464</v>
      </c>
      <c r="D429" s="3"/>
      <c r="E429" s="4"/>
      <c r="F429" s="8"/>
      <c r="G429" s="8"/>
      <c r="H429" s="8">
        <f>H377+H407+H427</f>
        <v>16659108.336877264</v>
      </c>
      <c r="I429" s="8">
        <f>I377+I407+I427</f>
        <v>0</v>
      </c>
      <c r="J429" s="66">
        <f t="shared" si="250"/>
        <v>16659108.336877266</v>
      </c>
      <c r="K429" s="8">
        <f>K377+K407+K427</f>
        <v>13189486.710981425</v>
      </c>
      <c r="L429" s="8">
        <f>L377+L407+L427</f>
        <v>1401340.125747008</v>
      </c>
      <c r="M429" s="9">
        <f>SUM(N429:O429)</f>
        <v>1840184.8759700321</v>
      </c>
      <c r="N429" s="8">
        <f>N377+N407+N427</f>
        <v>14638.325188287898</v>
      </c>
      <c r="O429" s="8">
        <f>O377+O407+O427</f>
        <v>1825546.5507817441</v>
      </c>
      <c r="P429" s="9">
        <f t="shared" si="247"/>
        <v>27853.437857398545</v>
      </c>
      <c r="Q429" s="8">
        <f t="shared" ref="Q429:V429" si="257">Q377+Q407+Q427</f>
        <v>11919.052974491362</v>
      </c>
      <c r="R429" s="8">
        <f t="shared" si="257"/>
        <v>13977.567454094347</v>
      </c>
      <c r="S429" s="8">
        <f t="shared" si="257"/>
        <v>1956.8174288128375</v>
      </c>
      <c r="T429" s="8">
        <f t="shared" si="257"/>
        <v>3141.4947178033517</v>
      </c>
      <c r="U429" s="8">
        <f t="shared" si="257"/>
        <v>196618.83018245676</v>
      </c>
      <c r="V429" s="8">
        <f t="shared" si="257"/>
        <v>482.8614211414411</v>
      </c>
      <c r="W429" s="27">
        <f t="shared" si="239"/>
        <v>1.862645149230957E-9</v>
      </c>
    </row>
    <row r="430" spans="1:23" x14ac:dyDescent="0.2">
      <c r="A430" s="3"/>
      <c r="B430" s="3"/>
      <c r="C430" s="3"/>
      <c r="D430" s="3"/>
      <c r="E430" s="4"/>
      <c r="F430" s="4"/>
      <c r="G430" s="4"/>
      <c r="H430" s="8"/>
      <c r="I430" s="8"/>
      <c r="J430" s="8"/>
      <c r="K430" s="8"/>
      <c r="L430" s="8"/>
      <c r="M430" s="3"/>
      <c r="N430" s="3"/>
      <c r="O430" s="3"/>
      <c r="P430" s="9"/>
      <c r="Q430" s="3"/>
      <c r="R430" s="3"/>
      <c r="S430" s="3"/>
      <c r="T430" s="3"/>
      <c r="U430" s="3"/>
      <c r="V430" s="3"/>
      <c r="W430" s="27" t="str">
        <f t="shared" si="239"/>
        <v>OK</v>
      </c>
    </row>
    <row r="431" spans="1:23" x14ac:dyDescent="0.2">
      <c r="A431" s="3"/>
      <c r="B431" s="3"/>
      <c r="C431" s="3"/>
      <c r="D431" s="3"/>
      <c r="E431" s="4"/>
      <c r="F431" s="4"/>
      <c r="G431" s="4"/>
      <c r="H431" s="8"/>
      <c r="I431" s="8"/>
      <c r="J431" s="8"/>
      <c r="K431" s="8"/>
      <c r="L431" s="8"/>
      <c r="M431" s="3"/>
      <c r="N431" s="3"/>
      <c r="O431" s="3"/>
      <c r="P431" s="9"/>
      <c r="Q431" s="3"/>
      <c r="R431" s="3"/>
      <c r="S431" s="3"/>
      <c r="T431" s="3"/>
      <c r="U431" s="3"/>
      <c r="V431" s="3"/>
      <c r="W431" s="27" t="str">
        <f t="shared" si="239"/>
        <v>OK</v>
      </c>
    </row>
    <row r="432" spans="1:23" x14ac:dyDescent="0.2">
      <c r="A432" s="3"/>
      <c r="B432" s="7" t="s">
        <v>272</v>
      </c>
      <c r="C432" s="18"/>
      <c r="D432" s="18"/>
      <c r="E432" s="4"/>
      <c r="F432" s="4"/>
      <c r="G432" s="4"/>
      <c r="H432" s="22"/>
      <c r="I432" s="22"/>
      <c r="J432" s="22"/>
      <c r="K432" s="22"/>
      <c r="L432" s="22"/>
      <c r="M432" s="3"/>
      <c r="N432" s="3"/>
      <c r="O432" s="3"/>
      <c r="P432" s="9"/>
      <c r="Q432" s="3"/>
      <c r="R432" s="3"/>
      <c r="S432" s="3"/>
      <c r="T432" s="3"/>
      <c r="U432" s="3"/>
      <c r="V432" s="3"/>
      <c r="W432" s="27" t="str">
        <f t="shared" si="239"/>
        <v>OK</v>
      </c>
    </row>
    <row r="433" spans="1:23" x14ac:dyDescent="0.2">
      <c r="A433" s="3"/>
      <c r="B433" s="3"/>
      <c r="C433" s="3"/>
      <c r="D433" s="3"/>
      <c r="E433" s="4"/>
      <c r="F433" s="4"/>
      <c r="G433" s="4"/>
      <c r="H433" s="8"/>
      <c r="I433" s="8"/>
      <c r="J433" s="8"/>
      <c r="K433" s="8"/>
      <c r="L433" s="8"/>
      <c r="M433" s="3"/>
      <c r="N433" s="3"/>
      <c r="O433" s="3"/>
      <c r="P433" s="9"/>
      <c r="Q433" s="3"/>
      <c r="R433" s="3"/>
      <c r="S433" s="3"/>
      <c r="T433" s="3"/>
      <c r="U433" s="3"/>
      <c r="V433" s="3"/>
      <c r="W433" s="27" t="str">
        <f t="shared" si="239"/>
        <v>OK</v>
      </c>
    </row>
    <row r="434" spans="1:23" x14ac:dyDescent="0.2">
      <c r="A434" s="3">
        <v>1</v>
      </c>
      <c r="B434" s="3" t="s">
        <v>273</v>
      </c>
      <c r="C434" s="3"/>
      <c r="D434" s="3"/>
      <c r="E434" s="4"/>
      <c r="F434" s="4"/>
      <c r="G434" s="4"/>
      <c r="H434" s="8"/>
      <c r="I434" s="8"/>
      <c r="J434" s="8"/>
      <c r="K434" s="8"/>
      <c r="L434" s="8"/>
      <c r="M434" s="3"/>
      <c r="N434" s="3"/>
      <c r="O434" s="3"/>
      <c r="P434" s="9"/>
      <c r="Q434" s="3"/>
      <c r="R434" s="3"/>
      <c r="S434" s="3"/>
      <c r="T434" s="3"/>
      <c r="U434" s="3"/>
      <c r="V434" s="3"/>
      <c r="W434" s="27" t="str">
        <f t="shared" si="239"/>
        <v>OK</v>
      </c>
    </row>
    <row r="435" spans="1:23" x14ac:dyDescent="0.2">
      <c r="A435" s="3">
        <f t="shared" ref="A435:A445" si="258">1+A434</f>
        <v>2</v>
      </c>
      <c r="B435" s="3" t="s">
        <v>147</v>
      </c>
      <c r="C435" s="3" t="s">
        <v>148</v>
      </c>
      <c r="D435" s="16" t="str">
        <f>B435</f>
        <v>A556</v>
      </c>
      <c r="E435" s="4" t="s">
        <v>592</v>
      </c>
      <c r="F435" s="11"/>
      <c r="G435" s="11"/>
      <c r="H435" s="14">
        <f>'II-I TOTAL COMPANY'!M435</f>
        <v>0</v>
      </c>
      <c r="I435" s="66">
        <v>0</v>
      </c>
      <c r="J435" s="66">
        <f t="shared" ref="J435:J437" si="259">SUM(K435:V435)-M435-P435</f>
        <v>0</v>
      </c>
      <c r="K435" s="12">
        <f>IF(+$H316&lt;&gt;0,$H435*(+K316/$H316),0)</f>
        <v>0</v>
      </c>
      <c r="L435" s="12">
        <f>IF(+$H316&lt;&gt;0,$H435*(+L316/$H316),0)</f>
        <v>0</v>
      </c>
      <c r="M435" s="9">
        <f>SUM(N435:O435)</f>
        <v>0</v>
      </c>
      <c r="N435" s="12">
        <f>IF(+$H316&lt;&gt;0,$H435*(+N316/$H316),0)</f>
        <v>0</v>
      </c>
      <c r="O435" s="12">
        <f>IF(+$H316&lt;&gt;0,$H435*(+O316/$H316),0)</f>
        <v>0</v>
      </c>
      <c r="P435" s="9">
        <f t="shared" si="247"/>
        <v>0</v>
      </c>
      <c r="Q435" s="12">
        <f t="shared" ref="Q435:V436" si="260">IF(+$H316&lt;&gt;0,$H435*(+Q316/$H316),0)</f>
        <v>0</v>
      </c>
      <c r="R435" s="12">
        <f t="shared" si="260"/>
        <v>0</v>
      </c>
      <c r="S435" s="12">
        <f>IF(+$H316&lt;&gt;0,$H435*(+S316/$H316),0)</f>
        <v>0</v>
      </c>
      <c r="T435" s="12">
        <f t="shared" si="260"/>
        <v>0</v>
      </c>
      <c r="U435" s="12">
        <f t="shared" si="260"/>
        <v>0</v>
      </c>
      <c r="V435" s="12">
        <f t="shared" si="260"/>
        <v>0</v>
      </c>
      <c r="W435" s="27" t="str">
        <f t="shared" si="239"/>
        <v>OK</v>
      </c>
    </row>
    <row r="436" spans="1:23" x14ac:dyDescent="0.2">
      <c r="A436" s="3">
        <f t="shared" si="258"/>
        <v>3</v>
      </c>
      <c r="B436" s="3" t="s">
        <v>149</v>
      </c>
      <c r="C436" s="3" t="s">
        <v>150</v>
      </c>
      <c r="D436" s="16" t="str">
        <f>B436</f>
        <v>A557</v>
      </c>
      <c r="E436" s="4" t="s">
        <v>592</v>
      </c>
      <c r="F436" s="11"/>
      <c r="G436" s="11"/>
      <c r="H436" s="14">
        <f>'II-I TOTAL COMPANY'!M436</f>
        <v>0</v>
      </c>
      <c r="I436" s="66">
        <v>0</v>
      </c>
      <c r="J436" s="66">
        <f t="shared" si="259"/>
        <v>0</v>
      </c>
      <c r="K436" s="12">
        <f>IF(+$H317&lt;&gt;0,$H436*(+K317/$H317),0)</f>
        <v>0</v>
      </c>
      <c r="L436" s="12">
        <f>IF(+$H317&lt;&gt;0,$H436*(+L317/$H317),0)</f>
        <v>0</v>
      </c>
      <c r="M436" s="9">
        <f>SUM(N436:O436)</f>
        <v>0</v>
      </c>
      <c r="N436" s="12">
        <f>IF(+$H317&lt;&gt;0,$H436*(+N317/$H317),0)</f>
        <v>0</v>
      </c>
      <c r="O436" s="12">
        <f>IF(+$H317&lt;&gt;0,$H436*(+O317/$H317),0)</f>
        <v>0</v>
      </c>
      <c r="P436" s="9">
        <f t="shared" si="247"/>
        <v>0</v>
      </c>
      <c r="Q436" s="12">
        <f t="shared" si="260"/>
        <v>0</v>
      </c>
      <c r="R436" s="12">
        <f t="shared" si="260"/>
        <v>0</v>
      </c>
      <c r="S436" s="12">
        <f>IF(+$H317&lt;&gt;0,$H436*(+S317/$H317),0)</f>
        <v>0</v>
      </c>
      <c r="T436" s="12">
        <f t="shared" si="260"/>
        <v>0</v>
      </c>
      <c r="U436" s="12">
        <f t="shared" si="260"/>
        <v>0</v>
      </c>
      <c r="V436" s="12">
        <f t="shared" si="260"/>
        <v>0</v>
      </c>
      <c r="W436" s="27" t="str">
        <f t="shared" si="239"/>
        <v>OK</v>
      </c>
    </row>
    <row r="437" spans="1:23" x14ac:dyDescent="0.2">
      <c r="A437" s="3">
        <f t="shared" si="258"/>
        <v>4</v>
      </c>
      <c r="B437" s="3"/>
      <c r="C437" s="3" t="s">
        <v>308</v>
      </c>
      <c r="D437" s="3"/>
      <c r="E437" s="4"/>
      <c r="F437" s="8"/>
      <c r="G437" s="8"/>
      <c r="H437" s="8">
        <f t="shared" ref="H437:V437" si="261">SUM(H435:H436)</f>
        <v>0</v>
      </c>
      <c r="I437" s="8">
        <f t="shared" si="261"/>
        <v>0</v>
      </c>
      <c r="J437" s="66">
        <f t="shared" si="259"/>
        <v>0</v>
      </c>
      <c r="K437" s="8">
        <f t="shared" si="261"/>
        <v>0</v>
      </c>
      <c r="L437" s="8">
        <f t="shared" si="261"/>
        <v>0</v>
      </c>
      <c r="M437" s="9">
        <f>SUM(N437:O437)</f>
        <v>0</v>
      </c>
      <c r="N437" s="8">
        <f t="shared" si="261"/>
        <v>0</v>
      </c>
      <c r="O437" s="8">
        <f t="shared" si="261"/>
        <v>0</v>
      </c>
      <c r="P437" s="9">
        <f t="shared" si="247"/>
        <v>0</v>
      </c>
      <c r="Q437" s="8">
        <f t="shared" si="261"/>
        <v>0</v>
      </c>
      <c r="R437" s="8">
        <f t="shared" si="261"/>
        <v>0</v>
      </c>
      <c r="S437" s="8">
        <f>SUM(S435:S436)</f>
        <v>0</v>
      </c>
      <c r="T437" s="8">
        <f t="shared" si="261"/>
        <v>0</v>
      </c>
      <c r="U437" s="8">
        <f t="shared" si="261"/>
        <v>0</v>
      </c>
      <c r="V437" s="8">
        <f t="shared" si="261"/>
        <v>0</v>
      </c>
      <c r="W437" s="27" t="str">
        <f t="shared" si="239"/>
        <v>OK</v>
      </c>
    </row>
    <row r="438" spans="1:23" x14ac:dyDescent="0.2">
      <c r="A438" s="3">
        <f t="shared" si="258"/>
        <v>5</v>
      </c>
      <c r="B438" s="3"/>
      <c r="C438" s="3"/>
      <c r="D438" s="3"/>
      <c r="E438" s="4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9">
        <f t="shared" si="247"/>
        <v>0</v>
      </c>
      <c r="Q438" s="8"/>
      <c r="R438" s="8"/>
      <c r="S438" s="8"/>
      <c r="T438" s="8"/>
      <c r="U438" s="8"/>
      <c r="V438" s="8"/>
      <c r="W438" s="27" t="str">
        <f t="shared" si="239"/>
        <v>OK</v>
      </c>
    </row>
    <row r="439" spans="1:23" x14ac:dyDescent="0.2">
      <c r="A439" s="3">
        <f t="shared" si="258"/>
        <v>6</v>
      </c>
      <c r="B439" s="3"/>
      <c r="C439" s="3" t="s">
        <v>275</v>
      </c>
      <c r="D439" s="3"/>
      <c r="E439" s="4"/>
      <c r="F439" s="8"/>
      <c r="G439" s="8"/>
      <c r="H439" s="8">
        <f t="shared" ref="H439:V439" si="262">+H437</f>
        <v>0</v>
      </c>
      <c r="I439" s="8">
        <v>0</v>
      </c>
      <c r="J439" s="66">
        <f t="shared" ref="J439" si="263">SUM(K439:V439)-M439-P439</f>
        <v>0</v>
      </c>
      <c r="K439" s="8">
        <f t="shared" si="262"/>
        <v>0</v>
      </c>
      <c r="L439" s="8">
        <f>+L437</f>
        <v>0</v>
      </c>
      <c r="M439" s="9">
        <f>SUM(N439:O439)</f>
        <v>0</v>
      </c>
      <c r="N439" s="8">
        <f t="shared" si="262"/>
        <v>0</v>
      </c>
      <c r="O439" s="8">
        <f t="shared" si="262"/>
        <v>0</v>
      </c>
      <c r="P439" s="9">
        <f t="shared" si="247"/>
        <v>0</v>
      </c>
      <c r="Q439" s="8">
        <f t="shared" si="262"/>
        <v>0</v>
      </c>
      <c r="R439" s="8">
        <f t="shared" si="262"/>
        <v>0</v>
      </c>
      <c r="S439" s="8">
        <f>+S437</f>
        <v>0</v>
      </c>
      <c r="T439" s="8">
        <f t="shared" si="262"/>
        <v>0</v>
      </c>
      <c r="U439" s="8">
        <f t="shared" si="262"/>
        <v>0</v>
      </c>
      <c r="V439" s="8">
        <f t="shared" si="262"/>
        <v>0</v>
      </c>
      <c r="W439" s="27" t="str">
        <f t="shared" si="239"/>
        <v>OK</v>
      </c>
    </row>
    <row r="440" spans="1:23" x14ac:dyDescent="0.2">
      <c r="A440" s="3">
        <f t="shared" si="258"/>
        <v>7</v>
      </c>
      <c r="B440" s="3"/>
      <c r="C440" s="3"/>
      <c r="D440" s="3"/>
      <c r="E440" s="4"/>
      <c r="F440" s="4"/>
      <c r="G440" s="4"/>
      <c r="H440" s="8"/>
      <c r="I440" s="8"/>
      <c r="J440" s="8"/>
      <c r="K440" s="8"/>
      <c r="L440" s="8"/>
      <c r="M440" s="3"/>
      <c r="N440" s="3"/>
      <c r="O440" s="3"/>
      <c r="P440" s="9"/>
      <c r="Q440" s="3"/>
      <c r="R440" s="3"/>
      <c r="S440" s="3"/>
      <c r="T440" s="3"/>
      <c r="U440" s="3"/>
      <c r="V440" s="3"/>
      <c r="W440" s="27" t="str">
        <f t="shared" si="239"/>
        <v>OK</v>
      </c>
    </row>
    <row r="441" spans="1:23" x14ac:dyDescent="0.2">
      <c r="A441" s="3">
        <f t="shared" si="258"/>
        <v>8</v>
      </c>
      <c r="B441" s="3"/>
      <c r="C441" s="3"/>
      <c r="D441" s="3"/>
      <c r="E441" s="4"/>
      <c r="F441" s="4"/>
      <c r="G441" s="4"/>
      <c r="H441" s="8"/>
      <c r="I441" s="8"/>
      <c r="J441" s="8"/>
      <c r="K441" s="8"/>
      <c r="L441" s="8"/>
      <c r="M441" s="3"/>
      <c r="N441" s="3"/>
      <c r="O441" s="3"/>
      <c r="P441" s="9"/>
      <c r="Q441" s="3"/>
      <c r="R441" s="3"/>
      <c r="S441" s="3"/>
      <c r="T441" s="3"/>
      <c r="U441" s="3"/>
      <c r="V441" s="3"/>
      <c r="W441" s="27" t="str">
        <f t="shared" si="239"/>
        <v>OK</v>
      </c>
    </row>
    <row r="442" spans="1:23" x14ac:dyDescent="0.2">
      <c r="A442" s="3">
        <f t="shared" si="258"/>
        <v>9</v>
      </c>
      <c r="B442" s="7" t="s">
        <v>274</v>
      </c>
      <c r="C442" s="3"/>
      <c r="D442" s="3"/>
      <c r="E442" s="4"/>
      <c r="F442" s="4"/>
      <c r="G442" s="4"/>
      <c r="H442" s="8"/>
      <c r="I442" s="8"/>
      <c r="J442" s="8"/>
      <c r="K442" s="8"/>
      <c r="L442" s="8"/>
      <c r="M442" s="3"/>
      <c r="N442" s="3"/>
      <c r="O442" s="3"/>
      <c r="P442" s="9"/>
      <c r="Q442" s="3"/>
      <c r="R442" s="3"/>
      <c r="S442" s="3"/>
      <c r="T442" s="3"/>
      <c r="U442" s="3"/>
      <c r="V442" s="3"/>
      <c r="W442" s="27" t="str">
        <f t="shared" si="239"/>
        <v>OK</v>
      </c>
    </row>
    <row r="443" spans="1:23" x14ac:dyDescent="0.2">
      <c r="A443" s="3">
        <f t="shared" si="258"/>
        <v>10</v>
      </c>
      <c r="B443" s="7"/>
      <c r="C443" s="3"/>
      <c r="D443" s="3"/>
      <c r="E443" s="4"/>
      <c r="F443" s="4"/>
      <c r="G443" s="4"/>
      <c r="H443" s="8"/>
      <c r="I443" s="8"/>
      <c r="J443" s="8"/>
      <c r="K443" s="8"/>
      <c r="L443" s="8"/>
      <c r="M443" s="3"/>
      <c r="N443" s="3"/>
      <c r="O443" s="3"/>
      <c r="P443" s="9"/>
      <c r="Q443" s="3"/>
      <c r="R443" s="3"/>
      <c r="S443" s="3"/>
      <c r="T443" s="3"/>
      <c r="U443" s="3"/>
      <c r="V443" s="3"/>
      <c r="W443" s="27" t="str">
        <f t="shared" si="239"/>
        <v>OK</v>
      </c>
    </row>
    <row r="444" spans="1:23" x14ac:dyDescent="0.2">
      <c r="A444" s="3">
        <f t="shared" si="258"/>
        <v>11</v>
      </c>
      <c r="B444" s="3" t="s">
        <v>276</v>
      </c>
      <c r="C444" s="3"/>
      <c r="D444" s="3"/>
      <c r="E444" s="4"/>
      <c r="F444" s="4"/>
      <c r="G444" s="4"/>
      <c r="H444" s="8"/>
      <c r="I444" s="8"/>
      <c r="J444" s="8"/>
      <c r="K444" s="8"/>
      <c r="L444" s="8"/>
      <c r="M444" s="3"/>
      <c r="N444" s="3"/>
      <c r="O444" s="3"/>
      <c r="P444" s="9"/>
      <c r="Q444" s="3"/>
      <c r="R444" s="3"/>
      <c r="S444" s="3"/>
      <c r="T444" s="3"/>
      <c r="U444" s="3"/>
      <c r="V444" s="3"/>
      <c r="W444" s="27" t="str">
        <f t="shared" si="239"/>
        <v>OK</v>
      </c>
    </row>
    <row r="445" spans="1:23" x14ac:dyDescent="0.2">
      <c r="A445" s="3">
        <f t="shared" si="258"/>
        <v>12</v>
      </c>
      <c r="B445" s="3"/>
      <c r="C445" s="3" t="s">
        <v>140</v>
      </c>
      <c r="D445" s="3"/>
      <c r="E445" s="4"/>
      <c r="F445" s="4"/>
      <c r="G445" s="4"/>
      <c r="H445" s="8"/>
      <c r="I445" s="8"/>
      <c r="J445" s="8"/>
      <c r="K445" s="8"/>
      <c r="L445" s="8"/>
      <c r="M445" s="3"/>
      <c r="N445" s="3"/>
      <c r="O445" s="3"/>
      <c r="P445" s="9"/>
      <c r="Q445" s="3"/>
      <c r="R445" s="3"/>
      <c r="S445" s="3"/>
      <c r="T445" s="3"/>
      <c r="U445" s="3"/>
      <c r="V445" s="3"/>
      <c r="W445" s="27" t="str">
        <f t="shared" si="239"/>
        <v>OK</v>
      </c>
    </row>
    <row r="446" spans="1:23" x14ac:dyDescent="0.2">
      <c r="A446" s="3">
        <f t="shared" ref="A446:A477" si="264">+A445+1</f>
        <v>13</v>
      </c>
      <c r="B446" s="3" t="s">
        <v>153</v>
      </c>
      <c r="C446" s="3" t="s">
        <v>145</v>
      </c>
      <c r="D446" s="16" t="str">
        <f t="shared" ref="D446:D453" si="265">B446</f>
        <v>A560</v>
      </c>
      <c r="E446" s="4" t="s">
        <v>592</v>
      </c>
      <c r="F446" s="11"/>
      <c r="G446" s="11"/>
      <c r="H446" s="14">
        <f>'II-I TOTAL COMPANY'!M446</f>
        <v>0</v>
      </c>
      <c r="I446" s="66">
        <v>0</v>
      </c>
      <c r="J446" s="66">
        <f t="shared" ref="J446:J454" si="266">SUM(K446:V446)-M446-P446</f>
        <v>0</v>
      </c>
      <c r="K446" s="12">
        <f t="shared" ref="K446:L451" si="267">IF(+$H326&lt;&gt;0,$H446*(+K326/$H326),0)</f>
        <v>0</v>
      </c>
      <c r="L446" s="12">
        <f t="shared" si="267"/>
        <v>0</v>
      </c>
      <c r="M446" s="9">
        <f t="shared" ref="M446:M454" si="268">SUM(N446:O446)</f>
        <v>0</v>
      </c>
      <c r="N446" s="12">
        <f t="shared" ref="N446:O451" si="269">IF(+$H326&lt;&gt;0,$H446*(+N326/$H326),0)</f>
        <v>0</v>
      </c>
      <c r="O446" s="12">
        <f t="shared" si="269"/>
        <v>0</v>
      </c>
      <c r="P446" s="9">
        <f t="shared" si="247"/>
        <v>0</v>
      </c>
      <c r="Q446" s="12">
        <f t="shared" ref="Q446:V451" si="270">IF(+$H326&lt;&gt;0,$H446*(+Q326/$H326),0)</f>
        <v>0</v>
      </c>
      <c r="R446" s="12">
        <f t="shared" si="270"/>
        <v>0</v>
      </c>
      <c r="S446" s="12">
        <f t="shared" ref="S446:S451" si="271">IF(+$H326&lt;&gt;0,$H446*(+S326/$H326),0)</f>
        <v>0</v>
      </c>
      <c r="T446" s="12">
        <f t="shared" si="270"/>
        <v>0</v>
      </c>
      <c r="U446" s="12">
        <f t="shared" si="270"/>
        <v>0</v>
      </c>
      <c r="V446" s="12">
        <f t="shared" si="270"/>
        <v>0</v>
      </c>
      <c r="W446" s="27" t="str">
        <f t="shared" si="239"/>
        <v>OK</v>
      </c>
    </row>
    <row r="447" spans="1:23" x14ac:dyDescent="0.2">
      <c r="A447" s="3">
        <f t="shared" si="264"/>
        <v>14</v>
      </c>
      <c r="B447" s="3" t="s">
        <v>154</v>
      </c>
      <c r="C447" s="3" t="s">
        <v>155</v>
      </c>
      <c r="D447" s="16" t="str">
        <f t="shared" si="265"/>
        <v>A561</v>
      </c>
      <c r="E447" s="4" t="s">
        <v>592</v>
      </c>
      <c r="F447" s="11"/>
      <c r="G447" s="11"/>
      <c r="H447" s="14">
        <f>'II-I TOTAL COMPANY'!M447</f>
        <v>0</v>
      </c>
      <c r="I447" s="66">
        <v>0</v>
      </c>
      <c r="J447" s="66">
        <f t="shared" si="266"/>
        <v>0</v>
      </c>
      <c r="K447" s="12">
        <f t="shared" si="267"/>
        <v>0</v>
      </c>
      <c r="L447" s="12">
        <f t="shared" si="267"/>
        <v>0</v>
      </c>
      <c r="M447" s="9">
        <f t="shared" si="268"/>
        <v>0</v>
      </c>
      <c r="N447" s="12">
        <f t="shared" si="269"/>
        <v>0</v>
      </c>
      <c r="O447" s="12">
        <f t="shared" si="269"/>
        <v>0</v>
      </c>
      <c r="P447" s="9">
        <f t="shared" si="247"/>
        <v>0</v>
      </c>
      <c r="Q447" s="12">
        <f t="shared" si="270"/>
        <v>0</v>
      </c>
      <c r="R447" s="12">
        <f t="shared" si="270"/>
        <v>0</v>
      </c>
      <c r="S447" s="12">
        <f t="shared" si="271"/>
        <v>0</v>
      </c>
      <c r="T447" s="12">
        <f t="shared" si="270"/>
        <v>0</v>
      </c>
      <c r="U447" s="12">
        <f t="shared" si="270"/>
        <v>0</v>
      </c>
      <c r="V447" s="12">
        <f t="shared" si="270"/>
        <v>0</v>
      </c>
      <c r="W447" s="27" t="str">
        <f t="shared" si="239"/>
        <v>OK</v>
      </c>
    </row>
    <row r="448" spans="1:23" x14ac:dyDescent="0.2">
      <c r="A448" s="3">
        <f t="shared" si="264"/>
        <v>15</v>
      </c>
      <c r="B448" s="3" t="s">
        <v>156</v>
      </c>
      <c r="C448" s="3" t="s">
        <v>38</v>
      </c>
      <c r="D448" s="16" t="str">
        <f t="shared" si="265"/>
        <v>A562</v>
      </c>
      <c r="E448" s="4" t="s">
        <v>592</v>
      </c>
      <c r="F448" s="11"/>
      <c r="G448" s="11"/>
      <c r="H448" s="14">
        <f>'II-I TOTAL COMPANY'!M448</f>
        <v>0</v>
      </c>
      <c r="I448" s="66">
        <v>0</v>
      </c>
      <c r="J448" s="66">
        <f t="shared" si="266"/>
        <v>0</v>
      </c>
      <c r="K448" s="12">
        <f t="shared" si="267"/>
        <v>0</v>
      </c>
      <c r="L448" s="12">
        <f t="shared" si="267"/>
        <v>0</v>
      </c>
      <c r="M448" s="9">
        <f t="shared" si="268"/>
        <v>0</v>
      </c>
      <c r="N448" s="12">
        <f t="shared" si="269"/>
        <v>0</v>
      </c>
      <c r="O448" s="12">
        <f t="shared" si="269"/>
        <v>0</v>
      </c>
      <c r="P448" s="9">
        <f t="shared" si="247"/>
        <v>0</v>
      </c>
      <c r="Q448" s="12">
        <f t="shared" si="270"/>
        <v>0</v>
      </c>
      <c r="R448" s="12">
        <f t="shared" si="270"/>
        <v>0</v>
      </c>
      <c r="S448" s="12">
        <f t="shared" si="271"/>
        <v>0</v>
      </c>
      <c r="T448" s="12">
        <f t="shared" si="270"/>
        <v>0</v>
      </c>
      <c r="U448" s="12">
        <f t="shared" si="270"/>
        <v>0</v>
      </c>
      <c r="V448" s="12">
        <f t="shared" si="270"/>
        <v>0</v>
      </c>
      <c r="W448" s="27" t="str">
        <f t="shared" si="239"/>
        <v>OK</v>
      </c>
    </row>
    <row r="449" spans="1:23" x14ac:dyDescent="0.2">
      <c r="A449" s="3">
        <f t="shared" si="264"/>
        <v>16</v>
      </c>
      <c r="B449" s="3" t="s">
        <v>157</v>
      </c>
      <c r="C449" s="3" t="s">
        <v>158</v>
      </c>
      <c r="D449" s="16" t="str">
        <f t="shared" si="265"/>
        <v>A563</v>
      </c>
      <c r="E449" s="4" t="s">
        <v>592</v>
      </c>
      <c r="F449" s="11"/>
      <c r="G449" s="11"/>
      <c r="H449" s="14">
        <f>'II-I TOTAL COMPANY'!M449</f>
        <v>0</v>
      </c>
      <c r="I449" s="66">
        <v>0</v>
      </c>
      <c r="J449" s="66">
        <f t="shared" si="266"/>
        <v>0</v>
      </c>
      <c r="K449" s="12">
        <f t="shared" si="267"/>
        <v>0</v>
      </c>
      <c r="L449" s="12">
        <f t="shared" si="267"/>
        <v>0</v>
      </c>
      <c r="M449" s="9">
        <f t="shared" si="268"/>
        <v>0</v>
      </c>
      <c r="N449" s="12">
        <f t="shared" si="269"/>
        <v>0</v>
      </c>
      <c r="O449" s="12">
        <f t="shared" si="269"/>
        <v>0</v>
      </c>
      <c r="P449" s="9">
        <f t="shared" si="247"/>
        <v>0</v>
      </c>
      <c r="Q449" s="12">
        <f t="shared" si="270"/>
        <v>0</v>
      </c>
      <c r="R449" s="12">
        <f t="shared" si="270"/>
        <v>0</v>
      </c>
      <c r="S449" s="12">
        <f t="shared" si="271"/>
        <v>0</v>
      </c>
      <c r="T449" s="12">
        <f t="shared" si="270"/>
        <v>0</v>
      </c>
      <c r="U449" s="12">
        <f t="shared" si="270"/>
        <v>0</v>
      </c>
      <c r="V449" s="12">
        <f t="shared" si="270"/>
        <v>0</v>
      </c>
      <c r="W449" s="27" t="str">
        <f t="shared" si="239"/>
        <v>OK</v>
      </c>
    </row>
    <row r="450" spans="1:23" x14ac:dyDescent="0.2">
      <c r="A450" s="3">
        <f t="shared" si="264"/>
        <v>17</v>
      </c>
      <c r="B450" s="3" t="s">
        <v>159</v>
      </c>
      <c r="C450" s="3" t="s">
        <v>160</v>
      </c>
      <c r="D450" s="16" t="str">
        <f t="shared" si="265"/>
        <v>A564</v>
      </c>
      <c r="E450" s="4" t="s">
        <v>592</v>
      </c>
      <c r="F450" s="11"/>
      <c r="G450" s="11"/>
      <c r="H450" s="14">
        <f>'II-I TOTAL COMPANY'!M450</f>
        <v>0</v>
      </c>
      <c r="I450" s="66">
        <v>0</v>
      </c>
      <c r="J450" s="66">
        <f t="shared" si="266"/>
        <v>0</v>
      </c>
      <c r="K450" s="12">
        <f t="shared" si="267"/>
        <v>0</v>
      </c>
      <c r="L450" s="12">
        <f t="shared" si="267"/>
        <v>0</v>
      </c>
      <c r="M450" s="9">
        <f t="shared" si="268"/>
        <v>0</v>
      </c>
      <c r="N450" s="12">
        <f t="shared" si="269"/>
        <v>0</v>
      </c>
      <c r="O450" s="12">
        <f t="shared" si="269"/>
        <v>0</v>
      </c>
      <c r="P450" s="9">
        <f t="shared" si="247"/>
        <v>0</v>
      </c>
      <c r="Q450" s="12">
        <f t="shared" si="270"/>
        <v>0</v>
      </c>
      <c r="R450" s="12">
        <f t="shared" si="270"/>
        <v>0</v>
      </c>
      <c r="S450" s="12">
        <f t="shared" si="271"/>
        <v>0</v>
      </c>
      <c r="T450" s="12">
        <f t="shared" si="270"/>
        <v>0</v>
      </c>
      <c r="U450" s="12">
        <f t="shared" si="270"/>
        <v>0</v>
      </c>
      <c r="V450" s="12">
        <f t="shared" si="270"/>
        <v>0</v>
      </c>
      <c r="W450" s="27" t="str">
        <f t="shared" si="239"/>
        <v>OK</v>
      </c>
    </row>
    <row r="451" spans="1:23" x14ac:dyDescent="0.2">
      <c r="A451" s="3">
        <f t="shared" si="264"/>
        <v>18</v>
      </c>
      <c r="B451" s="3" t="s">
        <v>161</v>
      </c>
      <c r="C451" s="3" t="s">
        <v>277</v>
      </c>
      <c r="D451" s="16" t="str">
        <f t="shared" si="265"/>
        <v>A565</v>
      </c>
      <c r="E451" s="4" t="s">
        <v>592</v>
      </c>
      <c r="F451" s="11"/>
      <c r="G451" s="11"/>
      <c r="H451" s="14">
        <f>'II-I TOTAL COMPANY'!M451</f>
        <v>0</v>
      </c>
      <c r="I451" s="66">
        <v>0</v>
      </c>
      <c r="J451" s="66">
        <f t="shared" si="266"/>
        <v>0</v>
      </c>
      <c r="K451" s="12">
        <f t="shared" si="267"/>
        <v>0</v>
      </c>
      <c r="L451" s="12">
        <f t="shared" si="267"/>
        <v>0</v>
      </c>
      <c r="M451" s="9">
        <f t="shared" si="268"/>
        <v>0</v>
      </c>
      <c r="N451" s="12">
        <f t="shared" si="269"/>
        <v>0</v>
      </c>
      <c r="O451" s="12">
        <f t="shared" si="269"/>
        <v>0</v>
      </c>
      <c r="P451" s="9">
        <f t="shared" si="247"/>
        <v>0</v>
      </c>
      <c r="Q451" s="12">
        <f t="shared" si="270"/>
        <v>0</v>
      </c>
      <c r="R451" s="12">
        <f t="shared" si="270"/>
        <v>0</v>
      </c>
      <c r="S451" s="12">
        <f t="shared" si="271"/>
        <v>0</v>
      </c>
      <c r="T451" s="12">
        <f t="shared" si="270"/>
        <v>0</v>
      </c>
      <c r="U451" s="12">
        <f t="shared" si="270"/>
        <v>0</v>
      </c>
      <c r="V451" s="12">
        <f t="shared" si="270"/>
        <v>0</v>
      </c>
      <c r="W451" s="27" t="str">
        <f t="shared" si="239"/>
        <v>OK</v>
      </c>
    </row>
    <row r="452" spans="1:23" x14ac:dyDescent="0.2">
      <c r="A452" s="3">
        <f t="shared" si="264"/>
        <v>19</v>
      </c>
      <c r="B452" s="3" t="s">
        <v>162</v>
      </c>
      <c r="C452" s="3" t="s">
        <v>163</v>
      </c>
      <c r="D452" s="16" t="str">
        <f t="shared" si="265"/>
        <v>A566</v>
      </c>
      <c r="E452" s="4" t="s">
        <v>592</v>
      </c>
      <c r="F452" s="11"/>
      <c r="G452" s="11"/>
      <c r="H452" s="14">
        <f>'II-I TOTAL COMPANY'!M452</f>
        <v>0</v>
      </c>
      <c r="I452" s="66">
        <v>0</v>
      </c>
      <c r="J452" s="66">
        <f t="shared" si="266"/>
        <v>0</v>
      </c>
      <c r="K452" s="12">
        <f>IF(+$H333&lt;&gt;0,$H452*(+K333/$H333),0)</f>
        <v>0</v>
      </c>
      <c r="L452" s="12">
        <f>IF(+$H333&lt;&gt;0,$H452*(+L333/$H333),0)</f>
        <v>0</v>
      </c>
      <c r="M452" s="9">
        <f t="shared" si="268"/>
        <v>0</v>
      </c>
      <c r="N452" s="12">
        <f>IF(+$H333&lt;&gt;0,$H452*(+N333/$H333),0)</f>
        <v>0</v>
      </c>
      <c r="O452" s="12">
        <f>IF(+$H333&lt;&gt;0,$H452*(+O333/$H333),0)</f>
        <v>0</v>
      </c>
      <c r="P452" s="9">
        <f t="shared" si="247"/>
        <v>0</v>
      </c>
      <c r="Q452" s="12">
        <f t="shared" ref="Q452:V453" si="272">IF(+$H333&lt;&gt;0,$H452*(+Q333/$H333),0)</f>
        <v>0</v>
      </c>
      <c r="R452" s="12">
        <f t="shared" si="272"/>
        <v>0</v>
      </c>
      <c r="S452" s="12">
        <f>IF(+$H333&lt;&gt;0,$H452*(+S333/$H333),0)</f>
        <v>0</v>
      </c>
      <c r="T452" s="12">
        <f t="shared" si="272"/>
        <v>0</v>
      </c>
      <c r="U452" s="12">
        <f t="shared" si="272"/>
        <v>0</v>
      </c>
      <c r="V452" s="12">
        <f t="shared" si="272"/>
        <v>0</v>
      </c>
      <c r="W452" s="27" t="str">
        <f t="shared" si="239"/>
        <v>OK</v>
      </c>
    </row>
    <row r="453" spans="1:23" x14ac:dyDescent="0.2">
      <c r="A453" s="3">
        <f t="shared" si="264"/>
        <v>20</v>
      </c>
      <c r="B453" s="3" t="s">
        <v>164</v>
      </c>
      <c r="C453" s="3" t="s">
        <v>141</v>
      </c>
      <c r="D453" s="16" t="str">
        <f t="shared" si="265"/>
        <v>A567</v>
      </c>
      <c r="E453" s="4" t="s">
        <v>592</v>
      </c>
      <c r="F453" s="11"/>
      <c r="G453" s="11"/>
      <c r="H453" s="14">
        <f>'II-I TOTAL COMPANY'!M453</f>
        <v>0</v>
      </c>
      <c r="I453" s="66">
        <v>0</v>
      </c>
      <c r="J453" s="66">
        <f t="shared" si="266"/>
        <v>0</v>
      </c>
      <c r="K453" s="12">
        <f>IF(+$H334&lt;&gt;0,$H453*(+K334/$H334),0)</f>
        <v>0</v>
      </c>
      <c r="L453" s="12">
        <f>IF(+$H334&lt;&gt;0,$H453*(+L334/$H334),0)</f>
        <v>0</v>
      </c>
      <c r="M453" s="9">
        <f t="shared" si="268"/>
        <v>0</v>
      </c>
      <c r="N453" s="12">
        <f>IF(+$H334&lt;&gt;0,$H453*(+N334/$H334),0)</f>
        <v>0</v>
      </c>
      <c r="O453" s="12">
        <f>IF(+$H334&lt;&gt;0,$H453*(+O334/$H334),0)</f>
        <v>0</v>
      </c>
      <c r="P453" s="9">
        <f t="shared" si="247"/>
        <v>0</v>
      </c>
      <c r="Q453" s="12">
        <f t="shared" si="272"/>
        <v>0</v>
      </c>
      <c r="R453" s="12">
        <f t="shared" si="272"/>
        <v>0</v>
      </c>
      <c r="S453" s="12">
        <f>IF(+$H334&lt;&gt;0,$H453*(+S334/$H334),0)</f>
        <v>0</v>
      </c>
      <c r="T453" s="12">
        <f t="shared" si="272"/>
        <v>0</v>
      </c>
      <c r="U453" s="12">
        <f t="shared" si="272"/>
        <v>0</v>
      </c>
      <c r="V453" s="12">
        <f t="shared" si="272"/>
        <v>0</v>
      </c>
      <c r="W453" s="27" t="str">
        <f t="shared" si="239"/>
        <v>OK</v>
      </c>
    </row>
    <row r="454" spans="1:23" x14ac:dyDescent="0.2">
      <c r="A454" s="3">
        <f t="shared" si="264"/>
        <v>21</v>
      </c>
      <c r="B454" s="3"/>
      <c r="C454" s="3" t="s">
        <v>135</v>
      </c>
      <c r="D454" s="3"/>
      <c r="E454" s="4"/>
      <c r="F454" s="8"/>
      <c r="G454" s="8"/>
      <c r="H454" s="8">
        <f t="shared" ref="H454:V454" si="273">SUM(H446:H453)</f>
        <v>0</v>
      </c>
      <c r="I454" s="8">
        <f t="shared" si="273"/>
        <v>0</v>
      </c>
      <c r="J454" s="66">
        <f t="shared" si="266"/>
        <v>0</v>
      </c>
      <c r="K454" s="8">
        <f t="shared" si="273"/>
        <v>0</v>
      </c>
      <c r="L454" s="8">
        <f t="shared" si="273"/>
        <v>0</v>
      </c>
      <c r="M454" s="9">
        <f t="shared" si="268"/>
        <v>0</v>
      </c>
      <c r="N454" s="8">
        <f t="shared" si="273"/>
        <v>0</v>
      </c>
      <c r="O454" s="8">
        <f t="shared" si="273"/>
        <v>0</v>
      </c>
      <c r="P454" s="9">
        <f t="shared" si="247"/>
        <v>0</v>
      </c>
      <c r="Q454" s="8">
        <f t="shared" si="273"/>
        <v>0</v>
      </c>
      <c r="R454" s="8">
        <f t="shared" si="273"/>
        <v>0</v>
      </c>
      <c r="S454" s="8">
        <f>SUM(S446:S453)</f>
        <v>0</v>
      </c>
      <c r="T454" s="8">
        <f t="shared" si="273"/>
        <v>0</v>
      </c>
      <c r="U454" s="8">
        <f t="shared" si="273"/>
        <v>0</v>
      </c>
      <c r="V454" s="8">
        <f t="shared" si="273"/>
        <v>0</v>
      </c>
      <c r="W454" s="27" t="str">
        <f t="shared" si="239"/>
        <v>OK</v>
      </c>
    </row>
    <row r="455" spans="1:23" x14ac:dyDescent="0.2">
      <c r="A455" s="3">
        <f t="shared" si="264"/>
        <v>22</v>
      </c>
      <c r="B455" s="3"/>
      <c r="C455" s="3"/>
      <c r="D455" s="3"/>
      <c r="E455" s="4"/>
      <c r="F455" s="4"/>
      <c r="G455" s="4"/>
      <c r="H455" s="8"/>
      <c r="I455" s="8"/>
      <c r="J455" s="8"/>
      <c r="K455" s="8"/>
      <c r="L455" s="8"/>
      <c r="M455" s="3"/>
      <c r="N455" s="3"/>
      <c r="O455" s="3"/>
      <c r="P455" s="9"/>
      <c r="Q455" s="3"/>
      <c r="R455" s="3"/>
      <c r="S455" s="3"/>
      <c r="T455" s="3"/>
      <c r="U455" s="3"/>
      <c r="V455" s="3"/>
      <c r="W455" s="27" t="str">
        <f t="shared" si="239"/>
        <v>OK</v>
      </c>
    </row>
    <row r="456" spans="1:23" x14ac:dyDescent="0.2">
      <c r="A456" s="3">
        <f t="shared" si="264"/>
        <v>23</v>
      </c>
      <c r="B456" s="3"/>
      <c r="C456" s="3" t="s">
        <v>142</v>
      </c>
      <c r="D456" s="3"/>
      <c r="E456" s="4"/>
      <c r="F456" s="4"/>
      <c r="G456" s="4"/>
      <c r="H456" s="8"/>
      <c r="I456" s="8"/>
      <c r="J456" s="8"/>
      <c r="K456" s="8"/>
      <c r="L456" s="8"/>
      <c r="M456" s="3"/>
      <c r="N456" s="3"/>
      <c r="O456" s="3"/>
      <c r="P456" s="9"/>
      <c r="Q456" s="3"/>
      <c r="R456" s="3"/>
      <c r="S456" s="3"/>
      <c r="T456" s="3"/>
      <c r="U456" s="3"/>
      <c r="V456" s="3"/>
      <c r="W456" s="27" t="str">
        <f t="shared" ref="W456:W519" si="274">IF((+K456+L456+M456+P456+T456+U456+V456)-H456=0,"OK",(+K456+L456+M456+P456+T456+U456+V456)-H456)</f>
        <v>OK</v>
      </c>
    </row>
    <row r="457" spans="1:23" x14ac:dyDescent="0.2">
      <c r="A457" s="3">
        <f t="shared" si="264"/>
        <v>24</v>
      </c>
      <c r="B457" s="3" t="s">
        <v>165</v>
      </c>
      <c r="C457" s="3" t="s">
        <v>146</v>
      </c>
      <c r="D457" s="16" t="str">
        <f t="shared" ref="D457:D462" si="275">B457</f>
        <v>A568</v>
      </c>
      <c r="E457" s="4" t="s">
        <v>592</v>
      </c>
      <c r="F457" s="11"/>
      <c r="G457" s="11"/>
      <c r="H457" s="14">
        <f>'II-I TOTAL COMPANY'!M457</f>
        <v>0</v>
      </c>
      <c r="I457" s="66">
        <v>0</v>
      </c>
      <c r="J457" s="66">
        <f t="shared" ref="J457:J463" si="276">SUM(K457:V457)-M457-P457</f>
        <v>0</v>
      </c>
      <c r="K457" s="12">
        <f t="shared" ref="K457:L462" si="277">IF(+$H338&lt;&gt;0,$H457*(+K338/$H338),0)</f>
        <v>0</v>
      </c>
      <c r="L457" s="12">
        <f t="shared" si="277"/>
        <v>0</v>
      </c>
      <c r="M457" s="9">
        <f t="shared" ref="M457:M463" si="278">SUM(N457:O457)</f>
        <v>0</v>
      </c>
      <c r="N457" s="12">
        <f t="shared" ref="N457:O462" si="279">IF(+$H338&lt;&gt;0,$H457*(+N338/$H338),0)</f>
        <v>0</v>
      </c>
      <c r="O457" s="12">
        <f t="shared" si="279"/>
        <v>0</v>
      </c>
      <c r="P457" s="9">
        <f t="shared" si="247"/>
        <v>0</v>
      </c>
      <c r="Q457" s="12">
        <f t="shared" ref="Q457:V462" si="280">IF(+$H338&lt;&gt;0,$H457*(+Q338/$H338),0)</f>
        <v>0</v>
      </c>
      <c r="R457" s="12">
        <f t="shared" si="280"/>
        <v>0</v>
      </c>
      <c r="S457" s="12">
        <f t="shared" ref="S457:S462" si="281">IF(+$H338&lt;&gt;0,$H457*(+S338/$H338),0)</f>
        <v>0</v>
      </c>
      <c r="T457" s="12">
        <f t="shared" si="280"/>
        <v>0</v>
      </c>
      <c r="U457" s="12">
        <f t="shared" si="280"/>
        <v>0</v>
      </c>
      <c r="V457" s="12">
        <f t="shared" si="280"/>
        <v>0</v>
      </c>
      <c r="W457" s="27" t="str">
        <f t="shared" si="274"/>
        <v>OK</v>
      </c>
    </row>
    <row r="458" spans="1:23" x14ac:dyDescent="0.2">
      <c r="A458" s="3">
        <f t="shared" si="264"/>
        <v>25</v>
      </c>
      <c r="B458" s="3" t="s">
        <v>166</v>
      </c>
      <c r="C458" s="3" t="s">
        <v>143</v>
      </c>
      <c r="D458" s="16" t="str">
        <f t="shared" si="275"/>
        <v>A569</v>
      </c>
      <c r="E458" s="4" t="s">
        <v>592</v>
      </c>
      <c r="F458" s="11"/>
      <c r="G458" s="11"/>
      <c r="H458" s="14">
        <f>'II-I TOTAL COMPANY'!M458</f>
        <v>0</v>
      </c>
      <c r="I458" s="66">
        <v>0</v>
      </c>
      <c r="J458" s="66">
        <f t="shared" si="276"/>
        <v>0</v>
      </c>
      <c r="K458" s="12">
        <f t="shared" si="277"/>
        <v>0</v>
      </c>
      <c r="L458" s="12">
        <f t="shared" si="277"/>
        <v>0</v>
      </c>
      <c r="M458" s="9">
        <f t="shared" si="278"/>
        <v>0</v>
      </c>
      <c r="N458" s="12">
        <f t="shared" si="279"/>
        <v>0</v>
      </c>
      <c r="O458" s="12">
        <f t="shared" si="279"/>
        <v>0</v>
      </c>
      <c r="P458" s="9">
        <f t="shared" si="247"/>
        <v>0</v>
      </c>
      <c r="Q458" s="12">
        <f t="shared" si="280"/>
        <v>0</v>
      </c>
      <c r="R458" s="12">
        <f t="shared" si="280"/>
        <v>0</v>
      </c>
      <c r="S458" s="12">
        <f t="shared" si="281"/>
        <v>0</v>
      </c>
      <c r="T458" s="12">
        <f t="shared" si="280"/>
        <v>0</v>
      </c>
      <c r="U458" s="12">
        <f t="shared" si="280"/>
        <v>0</v>
      </c>
      <c r="V458" s="12">
        <f t="shared" si="280"/>
        <v>0</v>
      </c>
      <c r="W458" s="27" t="str">
        <f t="shared" si="274"/>
        <v>OK</v>
      </c>
    </row>
    <row r="459" spans="1:23" x14ac:dyDescent="0.2">
      <c r="A459" s="3">
        <f t="shared" si="264"/>
        <v>26</v>
      </c>
      <c r="B459" s="3" t="s">
        <v>167</v>
      </c>
      <c r="C459" s="3" t="s">
        <v>168</v>
      </c>
      <c r="D459" s="16" t="str">
        <f t="shared" si="275"/>
        <v>A570</v>
      </c>
      <c r="E459" s="4" t="s">
        <v>592</v>
      </c>
      <c r="F459" s="11"/>
      <c r="G459" s="11"/>
      <c r="H459" s="14">
        <f>'II-I TOTAL COMPANY'!M459</f>
        <v>0</v>
      </c>
      <c r="I459" s="66">
        <v>0</v>
      </c>
      <c r="J459" s="66">
        <f t="shared" si="276"/>
        <v>0</v>
      </c>
      <c r="K459" s="12">
        <f t="shared" si="277"/>
        <v>0</v>
      </c>
      <c r="L459" s="12">
        <f t="shared" si="277"/>
        <v>0</v>
      </c>
      <c r="M459" s="9">
        <f t="shared" si="278"/>
        <v>0</v>
      </c>
      <c r="N459" s="12">
        <f t="shared" si="279"/>
        <v>0</v>
      </c>
      <c r="O459" s="12">
        <f t="shared" si="279"/>
        <v>0</v>
      </c>
      <c r="P459" s="9">
        <f t="shared" si="247"/>
        <v>0</v>
      </c>
      <c r="Q459" s="12">
        <f t="shared" si="280"/>
        <v>0</v>
      </c>
      <c r="R459" s="12">
        <f t="shared" si="280"/>
        <v>0</v>
      </c>
      <c r="S459" s="12">
        <f t="shared" si="281"/>
        <v>0</v>
      </c>
      <c r="T459" s="12">
        <f t="shared" si="280"/>
        <v>0</v>
      </c>
      <c r="U459" s="12">
        <f t="shared" si="280"/>
        <v>0</v>
      </c>
      <c r="V459" s="12">
        <f t="shared" si="280"/>
        <v>0</v>
      </c>
      <c r="W459" s="27" t="str">
        <f t="shared" si="274"/>
        <v>OK</v>
      </c>
    </row>
    <row r="460" spans="1:23" x14ac:dyDescent="0.2">
      <c r="A460" s="3">
        <f t="shared" si="264"/>
        <v>27</v>
      </c>
      <c r="B460" s="3" t="s">
        <v>169</v>
      </c>
      <c r="C460" s="3" t="s">
        <v>170</v>
      </c>
      <c r="D460" s="16" t="str">
        <f t="shared" si="275"/>
        <v>A571</v>
      </c>
      <c r="E460" s="4" t="s">
        <v>592</v>
      </c>
      <c r="F460" s="11"/>
      <c r="G460" s="11"/>
      <c r="H460" s="14">
        <f>'II-I TOTAL COMPANY'!M460</f>
        <v>0</v>
      </c>
      <c r="I460" s="66">
        <v>0</v>
      </c>
      <c r="J460" s="66">
        <f t="shared" si="276"/>
        <v>0</v>
      </c>
      <c r="K460" s="12">
        <f t="shared" si="277"/>
        <v>0</v>
      </c>
      <c r="L460" s="12">
        <f t="shared" si="277"/>
        <v>0</v>
      </c>
      <c r="M460" s="9">
        <f t="shared" si="278"/>
        <v>0</v>
      </c>
      <c r="N460" s="12">
        <f t="shared" si="279"/>
        <v>0</v>
      </c>
      <c r="O460" s="12">
        <f t="shared" si="279"/>
        <v>0</v>
      </c>
      <c r="P460" s="9">
        <f t="shared" si="247"/>
        <v>0</v>
      </c>
      <c r="Q460" s="12">
        <f t="shared" si="280"/>
        <v>0</v>
      </c>
      <c r="R460" s="12">
        <f t="shared" si="280"/>
        <v>0</v>
      </c>
      <c r="S460" s="12">
        <f t="shared" si="281"/>
        <v>0</v>
      </c>
      <c r="T460" s="12">
        <f t="shared" si="280"/>
        <v>0</v>
      </c>
      <c r="U460" s="12">
        <f t="shared" si="280"/>
        <v>0</v>
      </c>
      <c r="V460" s="12">
        <f t="shared" si="280"/>
        <v>0</v>
      </c>
      <c r="W460" s="27" t="str">
        <f t="shared" si="274"/>
        <v>OK</v>
      </c>
    </row>
    <row r="461" spans="1:23" x14ac:dyDescent="0.2">
      <c r="A461" s="3">
        <f t="shared" si="264"/>
        <v>28</v>
      </c>
      <c r="B461" s="3" t="s">
        <v>171</v>
      </c>
      <c r="C461" s="3" t="s">
        <v>172</v>
      </c>
      <c r="D461" s="16" t="str">
        <f t="shared" si="275"/>
        <v>A572</v>
      </c>
      <c r="E461" s="4" t="s">
        <v>592</v>
      </c>
      <c r="F461" s="11"/>
      <c r="G461" s="11"/>
      <c r="H461" s="14">
        <f>'II-I TOTAL COMPANY'!M461</f>
        <v>0</v>
      </c>
      <c r="I461" s="66">
        <v>0</v>
      </c>
      <c r="J461" s="66">
        <f t="shared" si="276"/>
        <v>0</v>
      </c>
      <c r="K461" s="12">
        <f t="shared" si="277"/>
        <v>0</v>
      </c>
      <c r="L461" s="12">
        <f t="shared" si="277"/>
        <v>0</v>
      </c>
      <c r="M461" s="9">
        <f t="shared" si="278"/>
        <v>0</v>
      </c>
      <c r="N461" s="12">
        <f t="shared" si="279"/>
        <v>0</v>
      </c>
      <c r="O461" s="12">
        <f t="shared" si="279"/>
        <v>0</v>
      </c>
      <c r="P461" s="9">
        <f t="shared" si="247"/>
        <v>0</v>
      </c>
      <c r="Q461" s="12">
        <f t="shared" si="280"/>
        <v>0</v>
      </c>
      <c r="R461" s="12">
        <f t="shared" si="280"/>
        <v>0</v>
      </c>
      <c r="S461" s="12">
        <f t="shared" si="281"/>
        <v>0</v>
      </c>
      <c r="T461" s="12">
        <f t="shared" si="280"/>
        <v>0</v>
      </c>
      <c r="U461" s="12">
        <f t="shared" si="280"/>
        <v>0</v>
      </c>
      <c r="V461" s="12">
        <f t="shared" si="280"/>
        <v>0</v>
      </c>
      <c r="W461" s="27" t="str">
        <f t="shared" si="274"/>
        <v>OK</v>
      </c>
    </row>
    <row r="462" spans="1:23" x14ac:dyDescent="0.2">
      <c r="A462" s="3">
        <f t="shared" si="264"/>
        <v>29</v>
      </c>
      <c r="B462" s="3" t="s">
        <v>173</v>
      </c>
      <c r="C462" s="3" t="s">
        <v>174</v>
      </c>
      <c r="D462" s="16" t="str">
        <f t="shared" si="275"/>
        <v>A573</v>
      </c>
      <c r="E462" s="4" t="s">
        <v>592</v>
      </c>
      <c r="F462" s="11"/>
      <c r="G462" s="11"/>
      <c r="H462" s="14">
        <f>'II-I TOTAL COMPANY'!M462</f>
        <v>0</v>
      </c>
      <c r="I462" s="66">
        <v>0</v>
      </c>
      <c r="J462" s="66">
        <f t="shared" si="276"/>
        <v>0</v>
      </c>
      <c r="K462" s="12">
        <f t="shared" si="277"/>
        <v>0</v>
      </c>
      <c r="L462" s="12">
        <f t="shared" si="277"/>
        <v>0</v>
      </c>
      <c r="M462" s="9">
        <f t="shared" si="278"/>
        <v>0</v>
      </c>
      <c r="N462" s="12">
        <f t="shared" si="279"/>
        <v>0</v>
      </c>
      <c r="O462" s="12">
        <f t="shared" si="279"/>
        <v>0</v>
      </c>
      <c r="P462" s="9">
        <f t="shared" si="247"/>
        <v>0</v>
      </c>
      <c r="Q462" s="12">
        <f t="shared" si="280"/>
        <v>0</v>
      </c>
      <c r="R462" s="12">
        <f t="shared" si="280"/>
        <v>0</v>
      </c>
      <c r="S462" s="12">
        <f t="shared" si="281"/>
        <v>0</v>
      </c>
      <c r="T462" s="12">
        <f t="shared" si="280"/>
        <v>0</v>
      </c>
      <c r="U462" s="12">
        <f t="shared" si="280"/>
        <v>0</v>
      </c>
      <c r="V462" s="12">
        <f t="shared" si="280"/>
        <v>0</v>
      </c>
      <c r="W462" s="27" t="str">
        <f t="shared" si="274"/>
        <v>OK</v>
      </c>
    </row>
    <row r="463" spans="1:23" x14ac:dyDescent="0.2">
      <c r="A463" s="3">
        <f t="shared" si="264"/>
        <v>30</v>
      </c>
      <c r="B463" s="3"/>
      <c r="C463" s="3" t="s">
        <v>135</v>
      </c>
      <c r="D463" s="3"/>
      <c r="E463" s="4"/>
      <c r="F463" s="8"/>
      <c r="G463" s="8"/>
      <c r="H463" s="8">
        <f t="shared" ref="H463:V463" si="282">SUM(H457:H462)</f>
        <v>0</v>
      </c>
      <c r="I463" s="8">
        <f t="shared" si="282"/>
        <v>0</v>
      </c>
      <c r="J463" s="66">
        <f t="shared" si="276"/>
        <v>0</v>
      </c>
      <c r="K463" s="8">
        <f t="shared" si="282"/>
        <v>0</v>
      </c>
      <c r="L463" s="8">
        <f t="shared" si="282"/>
        <v>0</v>
      </c>
      <c r="M463" s="9">
        <f t="shared" si="278"/>
        <v>0</v>
      </c>
      <c r="N463" s="8">
        <f t="shared" si="282"/>
        <v>0</v>
      </c>
      <c r="O463" s="8">
        <f t="shared" si="282"/>
        <v>0</v>
      </c>
      <c r="P463" s="9">
        <f t="shared" si="247"/>
        <v>0</v>
      </c>
      <c r="Q463" s="8">
        <f t="shared" si="282"/>
        <v>0</v>
      </c>
      <c r="R463" s="8">
        <f t="shared" si="282"/>
        <v>0</v>
      </c>
      <c r="S463" s="8">
        <f>SUM(S457:S462)</f>
        <v>0</v>
      </c>
      <c r="T463" s="8">
        <f t="shared" si="282"/>
        <v>0</v>
      </c>
      <c r="U463" s="8">
        <f t="shared" si="282"/>
        <v>0</v>
      </c>
      <c r="V463" s="8">
        <f t="shared" si="282"/>
        <v>0</v>
      </c>
      <c r="W463" s="27" t="str">
        <f t="shared" si="274"/>
        <v>OK</v>
      </c>
    </row>
    <row r="464" spans="1:23" x14ac:dyDescent="0.2">
      <c r="A464" s="3">
        <f t="shared" si="264"/>
        <v>31</v>
      </c>
      <c r="B464" s="3"/>
      <c r="C464" s="3"/>
      <c r="D464" s="3"/>
      <c r="E464" s="4"/>
      <c r="F464" s="4"/>
      <c r="G464" s="4"/>
      <c r="H464" s="8"/>
      <c r="I464" s="8"/>
      <c r="J464" s="8"/>
      <c r="K464" s="8"/>
      <c r="L464" s="8"/>
      <c r="M464" s="8"/>
      <c r="N464" s="8"/>
      <c r="O464" s="8"/>
      <c r="P464" s="9"/>
      <c r="Q464" s="8"/>
      <c r="R464" s="8"/>
      <c r="S464" s="8"/>
      <c r="T464" s="8"/>
      <c r="U464" s="8"/>
      <c r="V464" s="8"/>
      <c r="W464" s="27" t="str">
        <f t="shared" si="274"/>
        <v>OK</v>
      </c>
    </row>
    <row r="465" spans="1:23" x14ac:dyDescent="0.2">
      <c r="A465" s="3">
        <f t="shared" si="264"/>
        <v>32</v>
      </c>
      <c r="B465" s="3"/>
      <c r="C465" s="3" t="s">
        <v>278</v>
      </c>
      <c r="D465" s="3"/>
      <c r="E465" s="4"/>
      <c r="F465" s="8"/>
      <c r="G465" s="8"/>
      <c r="H465" s="8">
        <f t="shared" ref="H465:V465" si="283">H454+H463</f>
        <v>0</v>
      </c>
      <c r="I465" s="8">
        <v>0</v>
      </c>
      <c r="J465" s="66">
        <f t="shared" ref="J465" si="284">SUM(K465:V465)-M465-P465</f>
        <v>0</v>
      </c>
      <c r="K465" s="8">
        <f t="shared" si="283"/>
        <v>0</v>
      </c>
      <c r="L465" s="8">
        <f>L454+L463</f>
        <v>0</v>
      </c>
      <c r="M465" s="9">
        <f>SUM(N465:O465)</f>
        <v>0</v>
      </c>
      <c r="N465" s="8">
        <f t="shared" si="283"/>
        <v>0</v>
      </c>
      <c r="O465" s="8">
        <f t="shared" si="283"/>
        <v>0</v>
      </c>
      <c r="P465" s="9">
        <f t="shared" si="247"/>
        <v>0</v>
      </c>
      <c r="Q465" s="8">
        <f t="shared" si="283"/>
        <v>0</v>
      </c>
      <c r="R465" s="8">
        <f t="shared" si="283"/>
        <v>0</v>
      </c>
      <c r="S465" s="8">
        <f>S454+S463</f>
        <v>0</v>
      </c>
      <c r="T465" s="8">
        <f t="shared" si="283"/>
        <v>0</v>
      </c>
      <c r="U465" s="8">
        <f t="shared" si="283"/>
        <v>0</v>
      </c>
      <c r="V465" s="8">
        <f t="shared" si="283"/>
        <v>0</v>
      </c>
      <c r="W465" s="27" t="str">
        <f t="shared" si="274"/>
        <v>OK</v>
      </c>
    </row>
    <row r="466" spans="1:23" x14ac:dyDescent="0.2">
      <c r="A466" s="3">
        <f t="shared" si="264"/>
        <v>33</v>
      </c>
      <c r="B466" s="3"/>
      <c r="C466" s="3"/>
      <c r="D466" s="3"/>
      <c r="E466" s="4"/>
      <c r="F466" s="4"/>
      <c r="G466" s="4"/>
      <c r="H466" s="8"/>
      <c r="I466" s="8"/>
      <c r="J466" s="8"/>
      <c r="K466" s="8"/>
      <c r="L466" s="8"/>
      <c r="M466" s="3"/>
      <c r="N466" s="3"/>
      <c r="O466" s="3"/>
      <c r="P466" s="9"/>
      <c r="Q466" s="3"/>
      <c r="R466" s="3"/>
      <c r="S466" s="3"/>
      <c r="T466" s="3"/>
      <c r="U466" s="3"/>
      <c r="V466" s="3"/>
      <c r="W466" s="27" t="str">
        <f t="shared" si="274"/>
        <v>OK</v>
      </c>
    </row>
    <row r="467" spans="1:23" x14ac:dyDescent="0.2">
      <c r="A467" s="3">
        <f t="shared" si="264"/>
        <v>34</v>
      </c>
      <c r="B467" s="7" t="s">
        <v>274</v>
      </c>
      <c r="C467" s="3"/>
      <c r="D467" s="3"/>
      <c r="E467" s="4"/>
      <c r="F467" s="4"/>
      <c r="G467" s="4"/>
      <c r="H467" s="8"/>
      <c r="I467" s="8"/>
      <c r="J467" s="8"/>
      <c r="K467" s="8"/>
      <c r="L467" s="8"/>
      <c r="M467" s="3"/>
      <c r="N467" s="3"/>
      <c r="O467" s="3"/>
      <c r="P467" s="9"/>
      <c r="Q467" s="3"/>
      <c r="R467" s="3"/>
      <c r="S467" s="3"/>
      <c r="T467" s="3"/>
      <c r="U467" s="3"/>
      <c r="V467" s="3"/>
      <c r="W467" s="27" t="str">
        <f t="shared" si="274"/>
        <v>OK</v>
      </c>
    </row>
    <row r="468" spans="1:23" x14ac:dyDescent="0.2">
      <c r="A468" s="3">
        <f t="shared" si="264"/>
        <v>35</v>
      </c>
      <c r="B468" s="3" t="s">
        <v>279</v>
      </c>
      <c r="C468" s="3"/>
      <c r="D468" s="3"/>
      <c r="E468" s="4"/>
      <c r="F468" s="4"/>
      <c r="G468" s="4"/>
      <c r="H468" s="8"/>
      <c r="I468" s="8"/>
      <c r="J468" s="8"/>
      <c r="K468" s="8"/>
      <c r="L468" s="8"/>
      <c r="M468" s="3"/>
      <c r="N468" s="3"/>
      <c r="O468" s="3"/>
      <c r="P468" s="9"/>
      <c r="Q468" s="3"/>
      <c r="R468" s="3"/>
      <c r="S468" s="3"/>
      <c r="T468" s="3"/>
      <c r="U468" s="3"/>
      <c r="V468" s="3"/>
      <c r="W468" s="27" t="str">
        <f t="shared" si="274"/>
        <v>OK</v>
      </c>
    </row>
    <row r="469" spans="1:23" x14ac:dyDescent="0.2">
      <c r="A469" s="3">
        <f t="shared" si="264"/>
        <v>36</v>
      </c>
      <c r="B469" s="3"/>
      <c r="C469" s="3" t="s">
        <v>140</v>
      </c>
      <c r="D469" s="3"/>
      <c r="E469" s="4"/>
      <c r="F469" s="4"/>
      <c r="G469" s="4"/>
      <c r="H469" s="8"/>
      <c r="I469" s="8"/>
      <c r="J469" s="8"/>
      <c r="K469" s="8"/>
      <c r="L469" s="8"/>
      <c r="M469" s="3"/>
      <c r="N469" s="3"/>
      <c r="O469" s="3"/>
      <c r="P469" s="9"/>
      <c r="Q469" s="3"/>
      <c r="R469" s="3"/>
      <c r="S469" s="3"/>
      <c r="T469" s="3"/>
      <c r="U469" s="3"/>
      <c r="V469" s="3"/>
      <c r="W469" s="27" t="str">
        <f t="shared" si="274"/>
        <v>OK</v>
      </c>
    </row>
    <row r="470" spans="1:23" x14ac:dyDescent="0.2">
      <c r="A470" s="3">
        <f t="shared" si="264"/>
        <v>37</v>
      </c>
      <c r="B470" s="3" t="s">
        <v>177</v>
      </c>
      <c r="C470" s="3" t="s">
        <v>145</v>
      </c>
      <c r="D470" s="16" t="str">
        <f t="shared" ref="D470:D479" si="285">B470</f>
        <v>A580</v>
      </c>
      <c r="E470" s="4" t="s">
        <v>592</v>
      </c>
      <c r="F470" s="11"/>
      <c r="G470" s="11"/>
      <c r="H470" s="14">
        <f>'II-I TOTAL COMPANY'!M470</f>
        <v>0</v>
      </c>
      <c r="I470" s="66">
        <v>0</v>
      </c>
      <c r="J470" s="66">
        <f t="shared" ref="J470:J495" si="286">SUM(K470:V470)-M470-P470</f>
        <v>0</v>
      </c>
      <c r="K470" s="12">
        <f t="shared" ref="K470:L476" si="287">IF(+$H351&lt;&gt;0,$H470*(+K351/$H351),0)</f>
        <v>0</v>
      </c>
      <c r="L470" s="12">
        <f t="shared" si="287"/>
        <v>0</v>
      </c>
      <c r="M470" s="9">
        <f t="shared" ref="M470:M480" si="288">SUM(N470:O470)</f>
        <v>0</v>
      </c>
      <c r="N470" s="12">
        <f t="shared" ref="N470:O476" si="289">IF(+$H351&lt;&gt;0,$H470*(+N351/$H351),0)</f>
        <v>0</v>
      </c>
      <c r="O470" s="12">
        <f t="shared" si="289"/>
        <v>0</v>
      </c>
      <c r="P470" s="9">
        <f t="shared" ref="P470:P530" si="290">SUM(Q470:S470)</f>
        <v>0</v>
      </c>
      <c r="Q470" s="12">
        <f t="shared" ref="Q470:V476" si="291">IF(+$H351&lt;&gt;0,$H470*(+Q351/$H351),0)</f>
        <v>0</v>
      </c>
      <c r="R470" s="12">
        <f t="shared" si="291"/>
        <v>0</v>
      </c>
      <c r="S470" s="12">
        <f t="shared" ref="S470:S476" si="292">IF(+$H351&lt;&gt;0,$H470*(+S351/$H351),0)</f>
        <v>0</v>
      </c>
      <c r="T470" s="12">
        <f t="shared" si="291"/>
        <v>0</v>
      </c>
      <c r="U470" s="12">
        <f t="shared" si="291"/>
        <v>0</v>
      </c>
      <c r="V470" s="12">
        <f t="shared" si="291"/>
        <v>0</v>
      </c>
      <c r="W470" s="27" t="str">
        <f t="shared" si="274"/>
        <v>OK</v>
      </c>
    </row>
    <row r="471" spans="1:23" x14ac:dyDescent="0.2">
      <c r="A471" s="3">
        <f t="shared" si="264"/>
        <v>38</v>
      </c>
      <c r="B471" s="3" t="s">
        <v>178</v>
      </c>
      <c r="C471" s="3" t="s">
        <v>155</v>
      </c>
      <c r="D471" s="16" t="str">
        <f t="shared" si="285"/>
        <v>A581</v>
      </c>
      <c r="E471" s="4" t="s">
        <v>592</v>
      </c>
      <c r="F471" s="11"/>
      <c r="G471" s="11"/>
      <c r="H471" s="14">
        <f>'II-I TOTAL COMPANY'!M471</f>
        <v>0</v>
      </c>
      <c r="I471" s="66">
        <v>0</v>
      </c>
      <c r="J471" s="66">
        <f t="shared" si="286"/>
        <v>0</v>
      </c>
      <c r="K471" s="12">
        <f t="shared" si="287"/>
        <v>0</v>
      </c>
      <c r="L471" s="12">
        <f t="shared" si="287"/>
        <v>0</v>
      </c>
      <c r="M471" s="9">
        <f t="shared" si="288"/>
        <v>0</v>
      </c>
      <c r="N471" s="12">
        <f t="shared" si="289"/>
        <v>0</v>
      </c>
      <c r="O471" s="12">
        <f t="shared" si="289"/>
        <v>0</v>
      </c>
      <c r="P471" s="9">
        <f t="shared" si="290"/>
        <v>0</v>
      </c>
      <c r="Q471" s="12">
        <f t="shared" si="291"/>
        <v>0</v>
      </c>
      <c r="R471" s="12">
        <f t="shared" si="291"/>
        <v>0</v>
      </c>
      <c r="S471" s="12">
        <f t="shared" si="292"/>
        <v>0</v>
      </c>
      <c r="T471" s="12">
        <f t="shared" si="291"/>
        <v>0</v>
      </c>
      <c r="U471" s="12">
        <f t="shared" si="291"/>
        <v>0</v>
      </c>
      <c r="V471" s="12">
        <f t="shared" si="291"/>
        <v>0</v>
      </c>
      <c r="W471" s="27" t="str">
        <f t="shared" si="274"/>
        <v>OK</v>
      </c>
    </row>
    <row r="472" spans="1:23" x14ac:dyDescent="0.2">
      <c r="A472" s="3">
        <f t="shared" si="264"/>
        <v>39</v>
      </c>
      <c r="B472" s="3" t="s">
        <v>179</v>
      </c>
      <c r="C472" s="3" t="s">
        <v>180</v>
      </c>
      <c r="D472" s="16" t="str">
        <f t="shared" si="285"/>
        <v>A582</v>
      </c>
      <c r="E472" s="4" t="s">
        <v>592</v>
      </c>
      <c r="F472" s="11"/>
      <c r="G472" s="11"/>
      <c r="H472" s="14">
        <f>'II-I TOTAL COMPANY'!M472</f>
        <v>0</v>
      </c>
      <c r="I472" s="66">
        <v>0</v>
      </c>
      <c r="J472" s="66">
        <f t="shared" si="286"/>
        <v>0</v>
      </c>
      <c r="K472" s="12">
        <f t="shared" si="287"/>
        <v>0</v>
      </c>
      <c r="L472" s="12">
        <f t="shared" si="287"/>
        <v>0</v>
      </c>
      <c r="M472" s="9">
        <f t="shared" si="288"/>
        <v>0</v>
      </c>
      <c r="N472" s="12">
        <f t="shared" si="289"/>
        <v>0</v>
      </c>
      <c r="O472" s="12">
        <f t="shared" si="289"/>
        <v>0</v>
      </c>
      <c r="P472" s="9">
        <f t="shared" si="290"/>
        <v>0</v>
      </c>
      <c r="Q472" s="12">
        <f t="shared" si="291"/>
        <v>0</v>
      </c>
      <c r="R472" s="12">
        <f t="shared" si="291"/>
        <v>0</v>
      </c>
      <c r="S472" s="12">
        <f t="shared" si="292"/>
        <v>0</v>
      </c>
      <c r="T472" s="12">
        <f t="shared" si="291"/>
        <v>0</v>
      </c>
      <c r="U472" s="12">
        <f t="shared" si="291"/>
        <v>0</v>
      </c>
      <c r="V472" s="12">
        <f t="shared" si="291"/>
        <v>0</v>
      </c>
      <c r="W472" s="27" t="str">
        <f t="shared" si="274"/>
        <v>OK</v>
      </c>
    </row>
    <row r="473" spans="1:23" x14ac:dyDescent="0.2">
      <c r="A473" s="3">
        <f t="shared" si="264"/>
        <v>40</v>
      </c>
      <c r="B473" s="3" t="s">
        <v>181</v>
      </c>
      <c r="C473" s="3" t="s">
        <v>182</v>
      </c>
      <c r="D473" s="16" t="str">
        <f t="shared" si="285"/>
        <v>A583</v>
      </c>
      <c r="E473" s="4" t="s">
        <v>592</v>
      </c>
      <c r="F473" s="11"/>
      <c r="G473" s="11"/>
      <c r="H473" s="14">
        <f>'II-I TOTAL COMPANY'!M473</f>
        <v>0</v>
      </c>
      <c r="I473" s="66">
        <v>0</v>
      </c>
      <c r="J473" s="66">
        <f t="shared" si="286"/>
        <v>0</v>
      </c>
      <c r="K473" s="12">
        <f t="shared" si="287"/>
        <v>0</v>
      </c>
      <c r="L473" s="12">
        <f t="shared" si="287"/>
        <v>0</v>
      </c>
      <c r="M473" s="9">
        <f t="shared" si="288"/>
        <v>0</v>
      </c>
      <c r="N473" s="12">
        <f t="shared" si="289"/>
        <v>0</v>
      </c>
      <c r="O473" s="12">
        <f t="shared" si="289"/>
        <v>0</v>
      </c>
      <c r="P473" s="9">
        <f t="shared" si="290"/>
        <v>0</v>
      </c>
      <c r="Q473" s="12">
        <f t="shared" si="291"/>
        <v>0</v>
      </c>
      <c r="R473" s="12">
        <f t="shared" si="291"/>
        <v>0</v>
      </c>
      <c r="S473" s="12">
        <f t="shared" si="292"/>
        <v>0</v>
      </c>
      <c r="T473" s="12">
        <f t="shared" si="291"/>
        <v>0</v>
      </c>
      <c r="U473" s="12">
        <f t="shared" si="291"/>
        <v>0</v>
      </c>
      <c r="V473" s="12">
        <f t="shared" si="291"/>
        <v>0</v>
      </c>
      <c r="W473" s="27" t="str">
        <f t="shared" si="274"/>
        <v>OK</v>
      </c>
    </row>
    <row r="474" spans="1:23" x14ac:dyDescent="0.2">
      <c r="A474" s="3">
        <f t="shared" si="264"/>
        <v>41</v>
      </c>
      <c r="B474" s="3" t="s">
        <v>183</v>
      </c>
      <c r="C474" s="3" t="s">
        <v>160</v>
      </c>
      <c r="D474" s="16" t="str">
        <f t="shared" si="285"/>
        <v>A584</v>
      </c>
      <c r="E474" s="4" t="s">
        <v>592</v>
      </c>
      <c r="F474" s="11"/>
      <c r="G474" s="11"/>
      <c r="H474" s="14">
        <f>'II-I TOTAL COMPANY'!M474</f>
        <v>0</v>
      </c>
      <c r="I474" s="66">
        <v>0</v>
      </c>
      <c r="J474" s="66">
        <f t="shared" si="286"/>
        <v>0</v>
      </c>
      <c r="K474" s="12">
        <f t="shared" si="287"/>
        <v>0</v>
      </c>
      <c r="L474" s="12">
        <f t="shared" si="287"/>
        <v>0</v>
      </c>
      <c r="M474" s="9">
        <f t="shared" si="288"/>
        <v>0</v>
      </c>
      <c r="N474" s="12">
        <f t="shared" si="289"/>
        <v>0</v>
      </c>
      <c r="O474" s="12">
        <f t="shared" si="289"/>
        <v>0</v>
      </c>
      <c r="P474" s="9">
        <f t="shared" si="290"/>
        <v>0</v>
      </c>
      <c r="Q474" s="12">
        <f t="shared" si="291"/>
        <v>0</v>
      </c>
      <c r="R474" s="12">
        <f t="shared" si="291"/>
        <v>0</v>
      </c>
      <c r="S474" s="12">
        <f t="shared" si="292"/>
        <v>0</v>
      </c>
      <c r="T474" s="12">
        <f t="shared" si="291"/>
        <v>0</v>
      </c>
      <c r="U474" s="12">
        <f t="shared" si="291"/>
        <v>0</v>
      </c>
      <c r="V474" s="12">
        <f t="shared" si="291"/>
        <v>0</v>
      </c>
      <c r="W474" s="27" t="str">
        <f t="shared" si="274"/>
        <v>OK</v>
      </c>
    </row>
    <row r="475" spans="1:23" x14ac:dyDescent="0.2">
      <c r="A475" s="3">
        <f t="shared" si="264"/>
        <v>42</v>
      </c>
      <c r="B475" s="3" t="s">
        <v>184</v>
      </c>
      <c r="C475" s="3" t="s">
        <v>185</v>
      </c>
      <c r="D475" s="16" t="str">
        <f t="shared" si="285"/>
        <v>A585</v>
      </c>
      <c r="E475" s="4" t="s">
        <v>592</v>
      </c>
      <c r="F475" s="11"/>
      <c r="G475" s="11"/>
      <c r="H475" s="14">
        <f>'II-I TOTAL COMPANY'!M475</f>
        <v>0</v>
      </c>
      <c r="I475" s="66">
        <v>0</v>
      </c>
      <c r="J475" s="66">
        <f t="shared" si="286"/>
        <v>0</v>
      </c>
      <c r="K475" s="12">
        <f t="shared" si="287"/>
        <v>0</v>
      </c>
      <c r="L475" s="12">
        <f t="shared" si="287"/>
        <v>0</v>
      </c>
      <c r="M475" s="9">
        <f t="shared" si="288"/>
        <v>0</v>
      </c>
      <c r="N475" s="12">
        <f t="shared" si="289"/>
        <v>0</v>
      </c>
      <c r="O475" s="12">
        <f t="shared" si="289"/>
        <v>0</v>
      </c>
      <c r="P475" s="9">
        <f t="shared" si="290"/>
        <v>0</v>
      </c>
      <c r="Q475" s="12">
        <f t="shared" si="291"/>
        <v>0</v>
      </c>
      <c r="R475" s="12">
        <f t="shared" si="291"/>
        <v>0</v>
      </c>
      <c r="S475" s="12">
        <f t="shared" si="292"/>
        <v>0</v>
      </c>
      <c r="T475" s="12">
        <f t="shared" si="291"/>
        <v>0</v>
      </c>
      <c r="U475" s="12">
        <f t="shared" si="291"/>
        <v>0</v>
      </c>
      <c r="V475" s="12">
        <f t="shared" si="291"/>
        <v>0</v>
      </c>
      <c r="W475" s="27" t="str">
        <f t="shared" si="274"/>
        <v>OK</v>
      </c>
    </row>
    <row r="476" spans="1:23" x14ac:dyDescent="0.2">
      <c r="A476" s="3">
        <f t="shared" si="264"/>
        <v>43</v>
      </c>
      <c r="B476" s="3" t="s">
        <v>186</v>
      </c>
      <c r="C476" s="3" t="s">
        <v>187</v>
      </c>
      <c r="D476" s="16" t="str">
        <f t="shared" si="285"/>
        <v>A586</v>
      </c>
      <c r="E476" s="4" t="s">
        <v>592</v>
      </c>
      <c r="F476" s="11"/>
      <c r="G476" s="11"/>
      <c r="H476" s="14">
        <f>'II-I TOTAL COMPANY'!M476</f>
        <v>0</v>
      </c>
      <c r="I476" s="66">
        <v>0</v>
      </c>
      <c r="J476" s="66">
        <f t="shared" si="286"/>
        <v>0</v>
      </c>
      <c r="K476" s="12">
        <f t="shared" si="287"/>
        <v>0</v>
      </c>
      <c r="L476" s="12">
        <f t="shared" si="287"/>
        <v>0</v>
      </c>
      <c r="M476" s="9">
        <f t="shared" si="288"/>
        <v>0</v>
      </c>
      <c r="N476" s="12">
        <f t="shared" si="289"/>
        <v>0</v>
      </c>
      <c r="O476" s="12">
        <f t="shared" si="289"/>
        <v>0</v>
      </c>
      <c r="P476" s="9">
        <f t="shared" si="290"/>
        <v>0</v>
      </c>
      <c r="Q476" s="12">
        <f t="shared" si="291"/>
        <v>0</v>
      </c>
      <c r="R476" s="12">
        <f t="shared" si="291"/>
        <v>0</v>
      </c>
      <c r="S476" s="12">
        <f t="shared" si="292"/>
        <v>0</v>
      </c>
      <c r="T476" s="12">
        <f t="shared" si="291"/>
        <v>0</v>
      </c>
      <c r="U476" s="12">
        <f t="shared" si="291"/>
        <v>0</v>
      </c>
      <c r="V476" s="12">
        <f t="shared" si="291"/>
        <v>0</v>
      </c>
      <c r="W476" s="27" t="str">
        <f t="shared" si="274"/>
        <v>OK</v>
      </c>
    </row>
    <row r="477" spans="1:23" x14ac:dyDescent="0.2">
      <c r="A477" s="3">
        <f t="shared" si="264"/>
        <v>44</v>
      </c>
      <c r="B477" s="3" t="s">
        <v>188</v>
      </c>
      <c r="C477" s="3" t="s">
        <v>189</v>
      </c>
      <c r="D477" s="16" t="str">
        <f t="shared" si="285"/>
        <v>A587</v>
      </c>
      <c r="E477" s="4" t="s">
        <v>592</v>
      </c>
      <c r="F477" s="11"/>
      <c r="G477" s="11"/>
      <c r="H477" s="14">
        <f>'II-I TOTAL COMPANY'!M477</f>
        <v>0</v>
      </c>
      <c r="I477" s="66">
        <v>0</v>
      </c>
      <c r="J477" s="66">
        <f t="shared" si="286"/>
        <v>0</v>
      </c>
      <c r="K477" s="12">
        <f>IF(+$H359&lt;&gt;0,$H477*(+K359/$H359),0)</f>
        <v>0</v>
      </c>
      <c r="L477" s="12">
        <f>IF(+$H359&lt;&gt;0,$H477*(+L359/$H359),0)</f>
        <v>0</v>
      </c>
      <c r="M477" s="9">
        <f t="shared" si="288"/>
        <v>0</v>
      </c>
      <c r="N477" s="12">
        <f>IF(+$H359&lt;&gt;0,$H477*(+N359/$H359),0)</f>
        <v>0</v>
      </c>
      <c r="O477" s="12">
        <f>IF(+$H359&lt;&gt;0,$H477*(+O359/$H359),0)</f>
        <v>0</v>
      </c>
      <c r="P477" s="9">
        <f t="shared" si="290"/>
        <v>0</v>
      </c>
      <c r="Q477" s="12">
        <f t="shared" ref="Q477:V478" si="293">IF(+$H359&lt;&gt;0,$H477*(+Q359/$H359),0)</f>
        <v>0</v>
      </c>
      <c r="R477" s="12">
        <f t="shared" si="293"/>
        <v>0</v>
      </c>
      <c r="S477" s="12">
        <f>IF(+$H359&lt;&gt;0,$H477*(+S359/$H359),0)</f>
        <v>0</v>
      </c>
      <c r="T477" s="12">
        <f t="shared" si="293"/>
        <v>0</v>
      </c>
      <c r="U477" s="12">
        <f t="shared" si="293"/>
        <v>0</v>
      </c>
      <c r="V477" s="12">
        <f t="shared" si="293"/>
        <v>0</v>
      </c>
      <c r="W477" s="27" t="str">
        <f t="shared" si="274"/>
        <v>OK</v>
      </c>
    </row>
    <row r="478" spans="1:23" x14ac:dyDescent="0.2">
      <c r="A478" s="3">
        <f t="shared" ref="A478:A495" si="294">+A477+1</f>
        <v>45</v>
      </c>
      <c r="B478" s="3" t="s">
        <v>190</v>
      </c>
      <c r="C478" s="3" t="s">
        <v>191</v>
      </c>
      <c r="D478" s="16" t="str">
        <f t="shared" si="285"/>
        <v>A588</v>
      </c>
      <c r="E478" s="4" t="s">
        <v>592</v>
      </c>
      <c r="F478" s="11"/>
      <c r="G478" s="11"/>
      <c r="H478" s="14">
        <f>'II-I TOTAL COMPANY'!M478</f>
        <v>0</v>
      </c>
      <c r="I478" s="66">
        <v>0</v>
      </c>
      <c r="J478" s="66">
        <f t="shared" si="286"/>
        <v>0</v>
      </c>
      <c r="K478" s="12">
        <f>IF(+$H360&lt;&gt;0,$H478*(+K360/$H360),0)</f>
        <v>0</v>
      </c>
      <c r="L478" s="12">
        <f>IF(+$H360&lt;&gt;0,$H478*(+L360/$H360),0)</f>
        <v>0</v>
      </c>
      <c r="M478" s="9">
        <f t="shared" si="288"/>
        <v>0</v>
      </c>
      <c r="N478" s="12">
        <f>IF(+$H360&lt;&gt;0,$H478*(+N360/$H360),0)</f>
        <v>0</v>
      </c>
      <c r="O478" s="12">
        <f>IF(+$H360&lt;&gt;0,$H478*(+O360/$H360),0)</f>
        <v>0</v>
      </c>
      <c r="P478" s="9">
        <f t="shared" si="290"/>
        <v>0</v>
      </c>
      <c r="Q478" s="12">
        <f t="shared" si="293"/>
        <v>0</v>
      </c>
      <c r="R478" s="12">
        <f t="shared" si="293"/>
        <v>0</v>
      </c>
      <c r="S478" s="12">
        <f>IF(+$H360&lt;&gt;0,$H478*(+S360/$H360),0)</f>
        <v>0</v>
      </c>
      <c r="T478" s="12">
        <f t="shared" si="293"/>
        <v>0</v>
      </c>
      <c r="U478" s="12">
        <f t="shared" si="293"/>
        <v>0</v>
      </c>
      <c r="V478" s="12">
        <f t="shared" si="293"/>
        <v>0</v>
      </c>
      <c r="W478" s="27" t="str">
        <f t="shared" si="274"/>
        <v>OK</v>
      </c>
    </row>
    <row r="479" spans="1:23" x14ac:dyDescent="0.2">
      <c r="A479" s="3">
        <f t="shared" si="294"/>
        <v>46</v>
      </c>
      <c r="B479" s="3" t="s">
        <v>192</v>
      </c>
      <c r="C479" s="3" t="s">
        <v>141</v>
      </c>
      <c r="D479" s="16" t="str">
        <f t="shared" si="285"/>
        <v>A589</v>
      </c>
      <c r="E479" s="4" t="s">
        <v>592</v>
      </c>
      <c r="F479" s="11"/>
      <c r="G479" s="11"/>
      <c r="H479" s="14">
        <f>'II-I TOTAL COMPANY'!M479</f>
        <v>0</v>
      </c>
      <c r="I479" s="66">
        <v>0</v>
      </c>
      <c r="J479" s="66">
        <f t="shared" si="286"/>
        <v>0</v>
      </c>
      <c r="K479" s="12">
        <f>IF(+$H362&lt;&gt;0,$H479*(+K362/$H362),0)</f>
        <v>0</v>
      </c>
      <c r="L479" s="12">
        <f>IF(+$H362&lt;&gt;0,$H479*(+L362/$H362),0)</f>
        <v>0</v>
      </c>
      <c r="M479" s="9">
        <f t="shared" si="288"/>
        <v>0</v>
      </c>
      <c r="N479" s="12">
        <f>IF(+$H362&lt;&gt;0,$H479*(+N362/$H362),0)</f>
        <v>0</v>
      </c>
      <c r="O479" s="12">
        <f>IF(+$H362&lt;&gt;0,$H479*(+O362/$H362),0)</f>
        <v>0</v>
      </c>
      <c r="P479" s="9">
        <f t="shared" si="290"/>
        <v>0</v>
      </c>
      <c r="Q479" s="12">
        <f t="shared" ref="Q479:V479" si="295">IF(+$H362&lt;&gt;0,$H479*(+Q362/$H362),0)</f>
        <v>0</v>
      </c>
      <c r="R479" s="12">
        <f t="shared" si="295"/>
        <v>0</v>
      </c>
      <c r="S479" s="12">
        <f t="shared" si="295"/>
        <v>0</v>
      </c>
      <c r="T479" s="12">
        <f t="shared" si="295"/>
        <v>0</v>
      </c>
      <c r="U479" s="12">
        <f t="shared" si="295"/>
        <v>0</v>
      </c>
      <c r="V479" s="12">
        <f t="shared" si="295"/>
        <v>0</v>
      </c>
      <c r="W479" s="27" t="str">
        <f t="shared" si="274"/>
        <v>OK</v>
      </c>
    </row>
    <row r="480" spans="1:23" x14ac:dyDescent="0.2">
      <c r="A480" s="3">
        <f t="shared" si="294"/>
        <v>47</v>
      </c>
      <c r="B480" s="3"/>
      <c r="C480" s="3" t="s">
        <v>193</v>
      </c>
      <c r="D480" s="3"/>
      <c r="E480" s="4"/>
      <c r="F480" s="8"/>
      <c r="G480" s="8"/>
      <c r="H480" s="8">
        <f t="shared" ref="H480:V480" si="296">SUM(H470:H479)</f>
        <v>0</v>
      </c>
      <c r="I480" s="8">
        <f t="shared" si="296"/>
        <v>0</v>
      </c>
      <c r="J480" s="66">
        <f t="shared" si="286"/>
        <v>0</v>
      </c>
      <c r="K480" s="8">
        <f t="shared" si="296"/>
        <v>0</v>
      </c>
      <c r="L480" s="8">
        <f t="shared" si="296"/>
        <v>0</v>
      </c>
      <c r="M480" s="9">
        <f t="shared" si="288"/>
        <v>0</v>
      </c>
      <c r="N480" s="8">
        <f t="shared" si="296"/>
        <v>0</v>
      </c>
      <c r="O480" s="8">
        <f t="shared" si="296"/>
        <v>0</v>
      </c>
      <c r="P480" s="9">
        <f t="shared" si="290"/>
        <v>0</v>
      </c>
      <c r="Q480" s="8">
        <f t="shared" si="296"/>
        <v>0</v>
      </c>
      <c r="R480" s="8">
        <f t="shared" si="296"/>
        <v>0</v>
      </c>
      <c r="S480" s="8">
        <f>SUM(S470:S479)</f>
        <v>0</v>
      </c>
      <c r="T480" s="8">
        <f t="shared" si="296"/>
        <v>0</v>
      </c>
      <c r="U480" s="8">
        <f t="shared" si="296"/>
        <v>0</v>
      </c>
      <c r="V480" s="8">
        <f t="shared" si="296"/>
        <v>0</v>
      </c>
      <c r="W480" s="27" t="str">
        <f t="shared" si="274"/>
        <v>OK</v>
      </c>
    </row>
    <row r="481" spans="1:23" x14ac:dyDescent="0.2">
      <c r="A481" s="3">
        <f t="shared" si="294"/>
        <v>48</v>
      </c>
      <c r="B481" s="3" t="s">
        <v>142</v>
      </c>
      <c r="C481" s="3"/>
      <c r="D481" s="3"/>
      <c r="E481" s="4"/>
      <c r="F481" s="4"/>
      <c r="G481" s="4"/>
      <c r="H481" s="8"/>
      <c r="I481" s="8"/>
      <c r="J481" s="8"/>
      <c r="K481" s="8"/>
      <c r="L481" s="8"/>
      <c r="M481" s="3"/>
      <c r="N481" s="3"/>
      <c r="O481" s="3"/>
      <c r="P481" s="9"/>
      <c r="Q481" s="3"/>
      <c r="R481" s="3"/>
      <c r="S481" s="3"/>
      <c r="T481" s="3"/>
      <c r="U481" s="3"/>
      <c r="V481" s="3"/>
      <c r="W481" s="27" t="str">
        <f t="shared" si="274"/>
        <v>OK</v>
      </c>
    </row>
    <row r="482" spans="1:23" x14ac:dyDescent="0.2">
      <c r="A482" s="3">
        <f t="shared" si="294"/>
        <v>49</v>
      </c>
      <c r="B482" s="3" t="s">
        <v>194</v>
      </c>
      <c r="C482" s="3" t="s">
        <v>195</v>
      </c>
      <c r="D482" s="16" t="str">
        <f t="shared" ref="D482:D490" si="297">B482</f>
        <v>A590</v>
      </c>
      <c r="E482" s="4" t="s">
        <v>592</v>
      </c>
      <c r="F482" s="11"/>
      <c r="G482" s="11"/>
      <c r="H482" s="14">
        <f>'II-I TOTAL COMPANY'!M482</f>
        <v>0</v>
      </c>
      <c r="I482" s="66">
        <v>0</v>
      </c>
      <c r="J482" s="66">
        <f t="shared" si="286"/>
        <v>0</v>
      </c>
      <c r="K482" s="12">
        <f t="shared" ref="K482:L490" si="298">IF(+$H365&lt;&gt;0,$H482*(+K365/$H365),0)</f>
        <v>0</v>
      </c>
      <c r="L482" s="12">
        <f t="shared" si="298"/>
        <v>0</v>
      </c>
      <c r="M482" s="9">
        <f t="shared" ref="M482:M491" si="299">SUM(N482:O482)</f>
        <v>0</v>
      </c>
      <c r="N482" s="12">
        <f t="shared" ref="N482:O490" si="300">IF(+$H365&lt;&gt;0,$H482*(+N365/$H365),0)</f>
        <v>0</v>
      </c>
      <c r="O482" s="12">
        <f t="shared" si="300"/>
        <v>0</v>
      </c>
      <c r="P482" s="9">
        <f t="shared" si="290"/>
        <v>0</v>
      </c>
      <c r="Q482" s="12">
        <f t="shared" ref="Q482:V490" si="301">IF(+$H365&lt;&gt;0,$H482*(+Q365/$H365),0)</f>
        <v>0</v>
      </c>
      <c r="R482" s="12">
        <f t="shared" si="301"/>
        <v>0</v>
      </c>
      <c r="S482" s="12">
        <f t="shared" ref="S482:S490" si="302">IF(+$H365&lt;&gt;0,$H482*(+S365/$H365),0)</f>
        <v>0</v>
      </c>
      <c r="T482" s="12">
        <f t="shared" si="301"/>
        <v>0</v>
      </c>
      <c r="U482" s="12">
        <f t="shared" si="301"/>
        <v>0</v>
      </c>
      <c r="V482" s="12">
        <f t="shared" si="301"/>
        <v>0</v>
      </c>
      <c r="W482" s="27" t="str">
        <f t="shared" si="274"/>
        <v>OK</v>
      </c>
    </row>
    <row r="483" spans="1:23" x14ac:dyDescent="0.2">
      <c r="A483" s="3">
        <f t="shared" si="294"/>
        <v>50</v>
      </c>
      <c r="B483" s="3" t="s">
        <v>196</v>
      </c>
      <c r="C483" s="3" t="s">
        <v>143</v>
      </c>
      <c r="D483" s="16" t="str">
        <f t="shared" si="297"/>
        <v>A591</v>
      </c>
      <c r="E483" s="4" t="s">
        <v>592</v>
      </c>
      <c r="F483" s="11"/>
      <c r="G483" s="11"/>
      <c r="H483" s="14">
        <f>'II-I TOTAL COMPANY'!M483</f>
        <v>0</v>
      </c>
      <c r="I483" s="66">
        <v>0</v>
      </c>
      <c r="J483" s="66">
        <f t="shared" si="286"/>
        <v>0</v>
      </c>
      <c r="K483" s="12">
        <f t="shared" si="298"/>
        <v>0</v>
      </c>
      <c r="L483" s="12">
        <f t="shared" si="298"/>
        <v>0</v>
      </c>
      <c r="M483" s="9">
        <f t="shared" si="299"/>
        <v>0</v>
      </c>
      <c r="N483" s="12">
        <f t="shared" si="300"/>
        <v>0</v>
      </c>
      <c r="O483" s="12">
        <f t="shared" si="300"/>
        <v>0</v>
      </c>
      <c r="P483" s="9">
        <f t="shared" si="290"/>
        <v>0</v>
      </c>
      <c r="Q483" s="12">
        <f t="shared" si="301"/>
        <v>0</v>
      </c>
      <c r="R483" s="12">
        <f t="shared" si="301"/>
        <v>0</v>
      </c>
      <c r="S483" s="12">
        <f t="shared" si="302"/>
        <v>0</v>
      </c>
      <c r="T483" s="12">
        <f t="shared" si="301"/>
        <v>0</v>
      </c>
      <c r="U483" s="12">
        <f t="shared" si="301"/>
        <v>0</v>
      </c>
      <c r="V483" s="12">
        <f t="shared" si="301"/>
        <v>0</v>
      </c>
      <c r="W483" s="27" t="str">
        <f t="shared" si="274"/>
        <v>OK</v>
      </c>
    </row>
    <row r="484" spans="1:23" x14ac:dyDescent="0.2">
      <c r="A484" s="3">
        <f t="shared" si="294"/>
        <v>51</v>
      </c>
      <c r="B484" s="3" t="s">
        <v>197</v>
      </c>
      <c r="C484" s="3" t="s">
        <v>168</v>
      </c>
      <c r="D484" s="16" t="str">
        <f t="shared" si="297"/>
        <v>A592</v>
      </c>
      <c r="E484" s="4" t="s">
        <v>592</v>
      </c>
      <c r="F484" s="11"/>
      <c r="G484" s="11"/>
      <c r="H484" s="14">
        <f>'II-I TOTAL COMPANY'!M484</f>
        <v>0</v>
      </c>
      <c r="I484" s="66">
        <v>0</v>
      </c>
      <c r="J484" s="66">
        <f t="shared" si="286"/>
        <v>0</v>
      </c>
      <c r="K484" s="12">
        <f t="shared" si="298"/>
        <v>0</v>
      </c>
      <c r="L484" s="12">
        <f t="shared" si="298"/>
        <v>0</v>
      </c>
      <c r="M484" s="9">
        <f t="shared" si="299"/>
        <v>0</v>
      </c>
      <c r="N484" s="12">
        <f t="shared" si="300"/>
        <v>0</v>
      </c>
      <c r="O484" s="12">
        <f t="shared" si="300"/>
        <v>0</v>
      </c>
      <c r="P484" s="9">
        <f t="shared" si="290"/>
        <v>0</v>
      </c>
      <c r="Q484" s="12">
        <f t="shared" si="301"/>
        <v>0</v>
      </c>
      <c r="R484" s="12">
        <f t="shared" si="301"/>
        <v>0</v>
      </c>
      <c r="S484" s="12">
        <f t="shared" si="302"/>
        <v>0</v>
      </c>
      <c r="T484" s="12">
        <f t="shared" si="301"/>
        <v>0</v>
      </c>
      <c r="U484" s="12">
        <f t="shared" si="301"/>
        <v>0</v>
      </c>
      <c r="V484" s="12">
        <f t="shared" si="301"/>
        <v>0</v>
      </c>
      <c r="W484" s="27" t="str">
        <f t="shared" si="274"/>
        <v>OK</v>
      </c>
    </row>
    <row r="485" spans="1:23" x14ac:dyDescent="0.2">
      <c r="A485" s="3">
        <f t="shared" si="294"/>
        <v>52</v>
      </c>
      <c r="B485" s="3" t="s">
        <v>198</v>
      </c>
      <c r="C485" s="3" t="s">
        <v>170</v>
      </c>
      <c r="D485" s="16" t="str">
        <f t="shared" si="297"/>
        <v>A593</v>
      </c>
      <c r="E485" s="4" t="s">
        <v>592</v>
      </c>
      <c r="F485" s="11"/>
      <c r="G485" s="11"/>
      <c r="H485" s="14">
        <f>'II-I TOTAL COMPANY'!M485</f>
        <v>0</v>
      </c>
      <c r="I485" s="66">
        <v>0</v>
      </c>
      <c r="J485" s="66">
        <f t="shared" si="286"/>
        <v>0</v>
      </c>
      <c r="K485" s="12">
        <f t="shared" si="298"/>
        <v>0</v>
      </c>
      <c r="L485" s="12">
        <f t="shared" si="298"/>
        <v>0</v>
      </c>
      <c r="M485" s="9">
        <f t="shared" si="299"/>
        <v>0</v>
      </c>
      <c r="N485" s="12">
        <f t="shared" si="300"/>
        <v>0</v>
      </c>
      <c r="O485" s="12">
        <f t="shared" si="300"/>
        <v>0</v>
      </c>
      <c r="P485" s="9">
        <f t="shared" si="290"/>
        <v>0</v>
      </c>
      <c r="Q485" s="12">
        <f t="shared" si="301"/>
        <v>0</v>
      </c>
      <c r="R485" s="12">
        <f t="shared" si="301"/>
        <v>0</v>
      </c>
      <c r="S485" s="12">
        <f t="shared" si="302"/>
        <v>0</v>
      </c>
      <c r="T485" s="12">
        <f t="shared" si="301"/>
        <v>0</v>
      </c>
      <c r="U485" s="12">
        <f t="shared" si="301"/>
        <v>0</v>
      </c>
      <c r="V485" s="12">
        <f t="shared" si="301"/>
        <v>0</v>
      </c>
      <c r="W485" s="27" t="str">
        <f t="shared" si="274"/>
        <v>OK</v>
      </c>
    </row>
    <row r="486" spans="1:23" x14ac:dyDescent="0.2">
      <c r="A486" s="3">
        <f t="shared" si="294"/>
        <v>53</v>
      </c>
      <c r="B486" s="3" t="s">
        <v>199</v>
      </c>
      <c r="C486" s="3" t="s">
        <v>172</v>
      </c>
      <c r="D486" s="16" t="str">
        <f t="shared" si="297"/>
        <v>A594</v>
      </c>
      <c r="E486" s="4" t="s">
        <v>592</v>
      </c>
      <c r="F486" s="11"/>
      <c r="G486" s="11"/>
      <c r="H486" s="14">
        <f>'II-I TOTAL COMPANY'!M486</f>
        <v>0</v>
      </c>
      <c r="I486" s="66">
        <v>0</v>
      </c>
      <c r="J486" s="66">
        <f t="shared" si="286"/>
        <v>0</v>
      </c>
      <c r="K486" s="12">
        <f t="shared" si="298"/>
        <v>0</v>
      </c>
      <c r="L486" s="12">
        <f t="shared" si="298"/>
        <v>0</v>
      </c>
      <c r="M486" s="9">
        <f t="shared" si="299"/>
        <v>0</v>
      </c>
      <c r="N486" s="12">
        <f t="shared" si="300"/>
        <v>0</v>
      </c>
      <c r="O486" s="12">
        <f t="shared" si="300"/>
        <v>0</v>
      </c>
      <c r="P486" s="9">
        <f t="shared" si="290"/>
        <v>0</v>
      </c>
      <c r="Q486" s="12">
        <f t="shared" si="301"/>
        <v>0</v>
      </c>
      <c r="R486" s="12">
        <f t="shared" si="301"/>
        <v>0</v>
      </c>
      <c r="S486" s="12">
        <f t="shared" si="302"/>
        <v>0</v>
      </c>
      <c r="T486" s="12">
        <f t="shared" si="301"/>
        <v>0</v>
      </c>
      <c r="U486" s="12">
        <f t="shared" si="301"/>
        <v>0</v>
      </c>
      <c r="V486" s="12">
        <f t="shared" si="301"/>
        <v>0</v>
      </c>
      <c r="W486" s="27" t="str">
        <f t="shared" si="274"/>
        <v>OK</v>
      </c>
    </row>
    <row r="487" spans="1:23" x14ac:dyDescent="0.2">
      <c r="A487" s="3">
        <f t="shared" si="294"/>
        <v>54</v>
      </c>
      <c r="B487" s="3" t="s">
        <v>200</v>
      </c>
      <c r="C487" s="3" t="s">
        <v>201</v>
      </c>
      <c r="D487" s="16" t="str">
        <f t="shared" si="297"/>
        <v>A595</v>
      </c>
      <c r="E487" s="4" t="s">
        <v>592</v>
      </c>
      <c r="F487" s="11"/>
      <c r="G487" s="11"/>
      <c r="H487" s="14">
        <f>'II-I TOTAL COMPANY'!M487</f>
        <v>0</v>
      </c>
      <c r="I487" s="66">
        <v>0</v>
      </c>
      <c r="J487" s="66">
        <f t="shared" si="286"/>
        <v>0</v>
      </c>
      <c r="K487" s="12">
        <f t="shared" si="298"/>
        <v>0</v>
      </c>
      <c r="L487" s="12">
        <f t="shared" si="298"/>
        <v>0</v>
      </c>
      <c r="M487" s="9">
        <f t="shared" si="299"/>
        <v>0</v>
      </c>
      <c r="N487" s="12">
        <f t="shared" si="300"/>
        <v>0</v>
      </c>
      <c r="O487" s="12">
        <f t="shared" si="300"/>
        <v>0</v>
      </c>
      <c r="P487" s="9">
        <f t="shared" si="290"/>
        <v>0</v>
      </c>
      <c r="Q487" s="12">
        <f t="shared" si="301"/>
        <v>0</v>
      </c>
      <c r="R487" s="12">
        <f t="shared" si="301"/>
        <v>0</v>
      </c>
      <c r="S487" s="12">
        <f t="shared" si="302"/>
        <v>0</v>
      </c>
      <c r="T487" s="12">
        <f t="shared" si="301"/>
        <v>0</v>
      </c>
      <c r="U487" s="12">
        <f t="shared" si="301"/>
        <v>0</v>
      </c>
      <c r="V487" s="12">
        <f t="shared" si="301"/>
        <v>0</v>
      </c>
      <c r="W487" s="27" t="str">
        <f t="shared" si="274"/>
        <v>OK</v>
      </c>
    </row>
    <row r="488" spans="1:23" x14ac:dyDescent="0.2">
      <c r="A488" s="3">
        <f t="shared" si="294"/>
        <v>55</v>
      </c>
      <c r="B488" s="3" t="s">
        <v>202</v>
      </c>
      <c r="C488" s="3" t="s">
        <v>203</v>
      </c>
      <c r="D488" s="16" t="str">
        <f t="shared" si="297"/>
        <v>A596</v>
      </c>
      <c r="E488" s="4" t="s">
        <v>592</v>
      </c>
      <c r="F488" s="11"/>
      <c r="G488" s="11"/>
      <c r="H488" s="14">
        <f>'II-I TOTAL COMPANY'!M488</f>
        <v>0</v>
      </c>
      <c r="I488" s="66">
        <v>0</v>
      </c>
      <c r="J488" s="66">
        <f t="shared" si="286"/>
        <v>0</v>
      </c>
      <c r="K488" s="12">
        <f t="shared" si="298"/>
        <v>0</v>
      </c>
      <c r="L488" s="12">
        <f t="shared" si="298"/>
        <v>0</v>
      </c>
      <c r="M488" s="9">
        <f t="shared" si="299"/>
        <v>0</v>
      </c>
      <c r="N488" s="12">
        <f t="shared" si="300"/>
        <v>0</v>
      </c>
      <c r="O488" s="12">
        <f t="shared" si="300"/>
        <v>0</v>
      </c>
      <c r="P488" s="9">
        <f t="shared" si="290"/>
        <v>0</v>
      </c>
      <c r="Q488" s="12">
        <f t="shared" si="301"/>
        <v>0</v>
      </c>
      <c r="R488" s="12">
        <f t="shared" si="301"/>
        <v>0</v>
      </c>
      <c r="S488" s="12">
        <f t="shared" si="302"/>
        <v>0</v>
      </c>
      <c r="T488" s="12">
        <f t="shared" si="301"/>
        <v>0</v>
      </c>
      <c r="U488" s="12">
        <f t="shared" si="301"/>
        <v>0</v>
      </c>
      <c r="V488" s="12">
        <f t="shared" si="301"/>
        <v>0</v>
      </c>
      <c r="W488" s="27" t="str">
        <f t="shared" si="274"/>
        <v>OK</v>
      </c>
    </row>
    <row r="489" spans="1:23" x14ac:dyDescent="0.2">
      <c r="A489" s="3">
        <f t="shared" si="294"/>
        <v>56</v>
      </c>
      <c r="B489" s="3" t="s">
        <v>204</v>
      </c>
      <c r="C489" s="3" t="s">
        <v>205</v>
      </c>
      <c r="D489" s="16" t="str">
        <f t="shared" si="297"/>
        <v>A597</v>
      </c>
      <c r="E489" s="4" t="s">
        <v>592</v>
      </c>
      <c r="F489" s="11"/>
      <c r="G489" s="11"/>
      <c r="H489" s="14">
        <f>'II-I TOTAL COMPANY'!M489</f>
        <v>0</v>
      </c>
      <c r="I489" s="66">
        <v>0</v>
      </c>
      <c r="J489" s="66">
        <f t="shared" si="286"/>
        <v>0</v>
      </c>
      <c r="K489" s="12">
        <f t="shared" si="298"/>
        <v>0</v>
      </c>
      <c r="L489" s="12">
        <f t="shared" si="298"/>
        <v>0</v>
      </c>
      <c r="M489" s="9">
        <f t="shared" si="299"/>
        <v>0</v>
      </c>
      <c r="N489" s="12">
        <f t="shared" si="300"/>
        <v>0</v>
      </c>
      <c r="O489" s="12">
        <f t="shared" si="300"/>
        <v>0</v>
      </c>
      <c r="P489" s="9">
        <f t="shared" si="290"/>
        <v>0</v>
      </c>
      <c r="Q489" s="12">
        <f t="shared" si="301"/>
        <v>0</v>
      </c>
      <c r="R489" s="12">
        <f t="shared" si="301"/>
        <v>0</v>
      </c>
      <c r="S489" s="12">
        <f t="shared" si="302"/>
        <v>0</v>
      </c>
      <c r="T489" s="12">
        <f t="shared" si="301"/>
        <v>0</v>
      </c>
      <c r="U489" s="12">
        <f t="shared" si="301"/>
        <v>0</v>
      </c>
      <c r="V489" s="12">
        <f t="shared" si="301"/>
        <v>0</v>
      </c>
      <c r="W489" s="27" t="str">
        <f t="shared" si="274"/>
        <v>OK</v>
      </c>
    </row>
    <row r="490" spans="1:23" x14ac:dyDescent="0.2">
      <c r="A490" s="3">
        <f t="shared" si="294"/>
        <v>57</v>
      </c>
      <c r="B490" s="3" t="s">
        <v>309</v>
      </c>
      <c r="C490" s="3" t="s">
        <v>206</v>
      </c>
      <c r="D490" s="16" t="str">
        <f t="shared" si="297"/>
        <v>A598</v>
      </c>
      <c r="E490" s="4" t="s">
        <v>592</v>
      </c>
      <c r="F490" s="11"/>
      <c r="G490" s="11"/>
      <c r="H490" s="14">
        <f>'II-I TOTAL COMPANY'!M490</f>
        <v>0</v>
      </c>
      <c r="I490" s="66">
        <v>0</v>
      </c>
      <c r="J490" s="66">
        <f t="shared" si="286"/>
        <v>0</v>
      </c>
      <c r="K490" s="12">
        <f t="shared" si="298"/>
        <v>0</v>
      </c>
      <c r="L490" s="12">
        <f t="shared" si="298"/>
        <v>0</v>
      </c>
      <c r="M490" s="9">
        <f t="shared" si="299"/>
        <v>0</v>
      </c>
      <c r="N490" s="12">
        <f t="shared" si="300"/>
        <v>0</v>
      </c>
      <c r="O490" s="12">
        <f t="shared" si="300"/>
        <v>0</v>
      </c>
      <c r="P490" s="9">
        <f t="shared" si="290"/>
        <v>0</v>
      </c>
      <c r="Q490" s="12">
        <f t="shared" si="301"/>
        <v>0</v>
      </c>
      <c r="R490" s="12">
        <f t="shared" si="301"/>
        <v>0</v>
      </c>
      <c r="S490" s="12">
        <f t="shared" si="302"/>
        <v>0</v>
      </c>
      <c r="T490" s="12">
        <f t="shared" si="301"/>
        <v>0</v>
      </c>
      <c r="U490" s="12">
        <f t="shared" si="301"/>
        <v>0</v>
      </c>
      <c r="V490" s="12">
        <f t="shared" si="301"/>
        <v>0</v>
      </c>
      <c r="W490" s="27" t="str">
        <f t="shared" si="274"/>
        <v>OK</v>
      </c>
    </row>
    <row r="491" spans="1:23" x14ac:dyDescent="0.2">
      <c r="A491" s="3">
        <f t="shared" si="294"/>
        <v>58</v>
      </c>
      <c r="B491" s="3"/>
      <c r="C491" s="3" t="s">
        <v>280</v>
      </c>
      <c r="D491" s="3"/>
      <c r="E491" s="4"/>
      <c r="F491" s="8"/>
      <c r="G491" s="8"/>
      <c r="H491" s="8">
        <f t="shared" ref="H491:V491" si="303">SUM(H482:H490)</f>
        <v>0</v>
      </c>
      <c r="I491" s="8">
        <f t="shared" si="303"/>
        <v>0</v>
      </c>
      <c r="J491" s="66">
        <f t="shared" si="286"/>
        <v>0</v>
      </c>
      <c r="K491" s="8">
        <f t="shared" si="303"/>
        <v>0</v>
      </c>
      <c r="L491" s="8">
        <f t="shared" si="303"/>
        <v>0</v>
      </c>
      <c r="M491" s="9">
        <f t="shared" si="299"/>
        <v>0</v>
      </c>
      <c r="N491" s="8">
        <f t="shared" si="303"/>
        <v>0</v>
      </c>
      <c r="O491" s="8">
        <f t="shared" si="303"/>
        <v>0</v>
      </c>
      <c r="P491" s="9">
        <f t="shared" si="290"/>
        <v>0</v>
      </c>
      <c r="Q491" s="8">
        <f t="shared" si="303"/>
        <v>0</v>
      </c>
      <c r="R491" s="8">
        <f t="shared" si="303"/>
        <v>0</v>
      </c>
      <c r="S491" s="8">
        <f>SUM(S482:S490)</f>
        <v>0</v>
      </c>
      <c r="T491" s="8">
        <f t="shared" si="303"/>
        <v>0</v>
      </c>
      <c r="U491" s="8">
        <f t="shared" si="303"/>
        <v>0</v>
      </c>
      <c r="V491" s="8">
        <f t="shared" si="303"/>
        <v>0</v>
      </c>
      <c r="W491" s="27" t="str">
        <f t="shared" si="274"/>
        <v>OK</v>
      </c>
    </row>
    <row r="492" spans="1:23" x14ac:dyDescent="0.2">
      <c r="A492" s="3">
        <f t="shared" si="294"/>
        <v>59</v>
      </c>
      <c r="B492" s="3"/>
      <c r="C492" s="3"/>
      <c r="D492" s="3"/>
      <c r="E492" s="4"/>
      <c r="F492" s="8"/>
      <c r="G492" s="8"/>
      <c r="H492" s="8"/>
      <c r="I492" s="8"/>
      <c r="J492" s="8"/>
      <c r="K492" s="8"/>
      <c r="L492" s="8"/>
      <c r="M492" s="3"/>
      <c r="N492" s="3"/>
      <c r="O492" s="3"/>
      <c r="P492" s="9"/>
      <c r="Q492" s="3"/>
      <c r="R492" s="3"/>
      <c r="S492" s="3"/>
      <c r="T492" s="3"/>
      <c r="U492" s="3"/>
      <c r="V492" s="3"/>
      <c r="W492" s="27" t="str">
        <f t="shared" si="274"/>
        <v>OK</v>
      </c>
    </row>
    <row r="493" spans="1:23" x14ac:dyDescent="0.2">
      <c r="A493" s="3">
        <f t="shared" si="294"/>
        <v>60</v>
      </c>
      <c r="B493" s="3"/>
      <c r="C493" s="3" t="s">
        <v>281</v>
      </c>
      <c r="D493" s="3"/>
      <c r="E493" s="4"/>
      <c r="F493" s="8"/>
      <c r="G493" s="8"/>
      <c r="H493" s="8">
        <f t="shared" ref="H493:V493" si="304">H480+H491</f>
        <v>0</v>
      </c>
      <c r="I493" s="8">
        <f t="shared" si="304"/>
        <v>0</v>
      </c>
      <c r="J493" s="66">
        <f t="shared" si="286"/>
        <v>0</v>
      </c>
      <c r="K493" s="8">
        <f t="shared" si="304"/>
        <v>0</v>
      </c>
      <c r="L493" s="8">
        <f>L480+L491</f>
        <v>0</v>
      </c>
      <c r="M493" s="9">
        <f>SUM(N493:O493)</f>
        <v>0</v>
      </c>
      <c r="N493" s="8">
        <f t="shared" si="304"/>
        <v>0</v>
      </c>
      <c r="O493" s="8">
        <f t="shared" si="304"/>
        <v>0</v>
      </c>
      <c r="P493" s="9">
        <f t="shared" si="290"/>
        <v>0</v>
      </c>
      <c r="Q493" s="8">
        <f t="shared" si="304"/>
        <v>0</v>
      </c>
      <c r="R493" s="8">
        <f t="shared" si="304"/>
        <v>0</v>
      </c>
      <c r="S493" s="8">
        <f>S480+S491</f>
        <v>0</v>
      </c>
      <c r="T493" s="8">
        <f t="shared" si="304"/>
        <v>0</v>
      </c>
      <c r="U493" s="8">
        <f t="shared" si="304"/>
        <v>0</v>
      </c>
      <c r="V493" s="8">
        <f t="shared" si="304"/>
        <v>0</v>
      </c>
      <c r="W493" s="27" t="str">
        <f t="shared" si="274"/>
        <v>OK</v>
      </c>
    </row>
    <row r="494" spans="1:23" x14ac:dyDescent="0.2">
      <c r="A494" s="3">
        <f t="shared" si="294"/>
        <v>61</v>
      </c>
      <c r="B494" s="3"/>
      <c r="C494" s="3"/>
      <c r="D494" s="3"/>
      <c r="E494" s="4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9"/>
      <c r="Q494" s="8"/>
      <c r="R494" s="8"/>
      <c r="S494" s="8"/>
      <c r="T494" s="8"/>
      <c r="U494" s="8"/>
      <c r="V494" s="8"/>
      <c r="W494" s="27" t="str">
        <f t="shared" si="274"/>
        <v>OK</v>
      </c>
    </row>
    <row r="495" spans="1:23" x14ac:dyDescent="0.2">
      <c r="A495" s="3">
        <f t="shared" si="294"/>
        <v>62</v>
      </c>
      <c r="B495" s="3"/>
      <c r="C495" s="3" t="s">
        <v>211</v>
      </c>
      <c r="D495" s="3"/>
      <c r="E495" s="4"/>
      <c r="F495" s="8"/>
      <c r="G495" s="8"/>
      <c r="H495" s="8">
        <f t="shared" ref="H495:V495" si="305">H439+H465+H493</f>
        <v>0</v>
      </c>
      <c r="I495" s="8">
        <f t="shared" si="305"/>
        <v>0</v>
      </c>
      <c r="J495" s="66">
        <f t="shared" si="286"/>
        <v>0</v>
      </c>
      <c r="K495" s="8">
        <f t="shared" si="305"/>
        <v>0</v>
      </c>
      <c r="L495" s="8">
        <f>L439+L465+L493</f>
        <v>0</v>
      </c>
      <c r="M495" s="9">
        <f>SUM(N495:O495)</f>
        <v>0</v>
      </c>
      <c r="N495" s="8">
        <f t="shared" si="305"/>
        <v>0</v>
      </c>
      <c r="O495" s="8">
        <f t="shared" si="305"/>
        <v>0</v>
      </c>
      <c r="P495" s="9">
        <f t="shared" si="290"/>
        <v>0</v>
      </c>
      <c r="Q495" s="8">
        <f t="shared" si="305"/>
        <v>0</v>
      </c>
      <c r="R495" s="8">
        <f t="shared" si="305"/>
        <v>0</v>
      </c>
      <c r="S495" s="8">
        <f>S439+S465+S493</f>
        <v>0</v>
      </c>
      <c r="T495" s="8">
        <f t="shared" si="305"/>
        <v>0</v>
      </c>
      <c r="U495" s="8">
        <f t="shared" si="305"/>
        <v>0</v>
      </c>
      <c r="V495" s="8">
        <f t="shared" si="305"/>
        <v>0</v>
      </c>
      <c r="W495" s="27" t="str">
        <f t="shared" si="274"/>
        <v>OK</v>
      </c>
    </row>
    <row r="496" spans="1:23" x14ac:dyDescent="0.2">
      <c r="A496" s="3"/>
      <c r="B496" s="7" t="s">
        <v>274</v>
      </c>
      <c r="C496" s="3"/>
      <c r="D496" s="3"/>
      <c r="E496" s="4"/>
      <c r="F496" s="4"/>
      <c r="G496" s="4"/>
      <c r="H496" s="8"/>
      <c r="I496" s="8"/>
      <c r="J496" s="8"/>
      <c r="K496" s="8"/>
      <c r="L496" s="8"/>
      <c r="M496" s="3"/>
      <c r="N496" s="3"/>
      <c r="O496" s="3"/>
      <c r="P496" s="9"/>
      <c r="Q496" s="3"/>
      <c r="R496" s="3"/>
      <c r="S496" s="3"/>
      <c r="T496" s="3"/>
      <c r="U496" s="3"/>
      <c r="V496" s="3"/>
      <c r="W496" s="27" t="str">
        <f t="shared" si="274"/>
        <v>OK</v>
      </c>
    </row>
    <row r="497" spans="1:23" x14ac:dyDescent="0.2">
      <c r="A497" s="3"/>
      <c r="B497" s="3"/>
      <c r="C497" s="3"/>
      <c r="D497" s="3"/>
      <c r="E497" s="4"/>
      <c r="F497" s="4"/>
      <c r="G497" s="4"/>
      <c r="H497" s="8"/>
      <c r="I497" s="8"/>
      <c r="J497" s="8"/>
      <c r="K497" s="8"/>
      <c r="L497" s="8"/>
      <c r="M497" s="3"/>
      <c r="N497" s="3"/>
      <c r="O497" s="3"/>
      <c r="P497" s="9"/>
      <c r="Q497" s="3"/>
      <c r="R497" s="3"/>
      <c r="S497" s="3"/>
      <c r="T497" s="3"/>
      <c r="U497" s="3"/>
      <c r="V497" s="3"/>
      <c r="W497" s="27" t="str">
        <f t="shared" si="274"/>
        <v>OK</v>
      </c>
    </row>
    <row r="498" spans="1:23" x14ac:dyDescent="0.2">
      <c r="A498" s="3">
        <v>1</v>
      </c>
      <c r="B498" s="3" t="s">
        <v>282</v>
      </c>
      <c r="C498" s="3"/>
      <c r="D498" s="3"/>
      <c r="E498" s="4"/>
      <c r="F498" s="4"/>
      <c r="G498" s="4"/>
      <c r="H498" s="8"/>
      <c r="I498" s="8"/>
      <c r="J498" s="8"/>
      <c r="K498" s="8"/>
      <c r="L498" s="8"/>
      <c r="M498" s="3"/>
      <c r="N498" s="3"/>
      <c r="O498" s="3"/>
      <c r="P498" s="9"/>
      <c r="Q498" s="3"/>
      <c r="R498" s="3"/>
      <c r="S498" s="3"/>
      <c r="T498" s="3"/>
      <c r="U498" s="3"/>
      <c r="V498" s="3"/>
      <c r="W498" s="27" t="str">
        <f t="shared" si="274"/>
        <v>OK</v>
      </c>
    </row>
    <row r="499" spans="1:23" x14ac:dyDescent="0.2">
      <c r="A499" s="3">
        <f t="shared" ref="A499:A525" si="306">+A498+1</f>
        <v>2</v>
      </c>
      <c r="B499" s="3"/>
      <c r="C499" s="3" t="s">
        <v>213</v>
      </c>
      <c r="D499" s="3"/>
      <c r="E499" s="4"/>
      <c r="F499" s="4"/>
      <c r="G499" s="4"/>
      <c r="H499" s="8"/>
      <c r="I499" s="8"/>
      <c r="J499" s="8"/>
      <c r="K499" s="8"/>
      <c r="L499" s="8"/>
      <c r="M499" s="3"/>
      <c r="N499" s="3"/>
      <c r="O499" s="3"/>
      <c r="P499" s="9"/>
      <c r="Q499" s="3"/>
      <c r="R499" s="3"/>
      <c r="S499" s="3"/>
      <c r="T499" s="3"/>
      <c r="U499" s="3"/>
      <c r="V499" s="3"/>
      <c r="W499" s="27" t="str">
        <f t="shared" si="274"/>
        <v>OK</v>
      </c>
    </row>
    <row r="500" spans="1:23" x14ac:dyDescent="0.2">
      <c r="A500" s="3">
        <f t="shared" si="306"/>
        <v>3</v>
      </c>
      <c r="B500" s="3" t="s">
        <v>214</v>
      </c>
      <c r="C500" s="3" t="s">
        <v>215</v>
      </c>
      <c r="D500" s="16" t="str">
        <f t="shared" ref="D500:D505" si="307">B500</f>
        <v>A901</v>
      </c>
      <c r="E500" s="4" t="s">
        <v>592</v>
      </c>
      <c r="F500" s="11"/>
      <c r="G500" s="11"/>
      <c r="H500" s="14">
        <f>'II-I TOTAL COMPANY'!M500</f>
        <v>294462.26504211279</v>
      </c>
      <c r="I500" s="66">
        <v>0</v>
      </c>
      <c r="J500" s="66">
        <f>SUM(K500:V500)-M500-P500</f>
        <v>294462.26504211291</v>
      </c>
      <c r="K500" s="12">
        <f t="shared" ref="K500:L505" si="308">IF(+$H382&lt;&gt;0,$H500*(+K382/$H382),0)</f>
        <v>247902.58839214133</v>
      </c>
      <c r="L500" s="12">
        <f t="shared" si="308"/>
        <v>26338.844869619832</v>
      </c>
      <c r="M500" s="9">
        <f t="shared" ref="M500:M506" si="309">SUM(N500:O500)</f>
        <v>19193.380212188302</v>
      </c>
      <c r="N500" s="12">
        <f t="shared" ref="N500:O505" si="310">IF(+$H382&lt;&gt;0,$H500*(+N382/$H382),0)</f>
        <v>152.67973597509234</v>
      </c>
      <c r="O500" s="12">
        <f t="shared" si="310"/>
        <v>19040.700476213209</v>
      </c>
      <c r="P500" s="9">
        <f t="shared" si="290"/>
        <v>292.90122960499491</v>
      </c>
      <c r="Q500" s="12">
        <f t="shared" ref="Q500:V505" si="311">IF(+$H382&lt;&gt;0,$H500*(+Q382/$H382),0)</f>
        <v>124.31735446583041</v>
      </c>
      <c r="R500" s="12">
        <f t="shared" si="311"/>
        <v>145.78794233732779</v>
      </c>
      <c r="S500" s="12">
        <f t="shared" ref="S500:S505" si="312">IF(+$H382&lt;&gt;0,$H500*(+S382/$H382),0)</f>
        <v>22.795932801836702</v>
      </c>
      <c r="T500" s="12">
        <f t="shared" si="311"/>
        <v>32.912732436760358</v>
      </c>
      <c r="U500" s="12">
        <f t="shared" si="311"/>
        <v>696.60129538635874</v>
      </c>
      <c r="V500" s="12">
        <f t="shared" si="311"/>
        <v>5.0363107352895042</v>
      </c>
      <c r="W500" s="27">
        <f t="shared" si="274"/>
        <v>1.1641532182693481E-10</v>
      </c>
    </row>
    <row r="501" spans="1:23" s="132" customFormat="1" x14ac:dyDescent="0.2">
      <c r="A501" s="3">
        <f t="shared" si="306"/>
        <v>4</v>
      </c>
      <c r="B501" s="3" t="s">
        <v>216</v>
      </c>
      <c r="C501" s="3" t="s">
        <v>217</v>
      </c>
      <c r="D501" s="16" t="str">
        <f t="shared" si="307"/>
        <v>A902</v>
      </c>
      <c r="E501" s="4" t="s">
        <v>592</v>
      </c>
      <c r="F501" s="11"/>
      <c r="G501" s="11"/>
      <c r="H501" s="14">
        <f>'II-I TOTAL COMPANY'!M501</f>
        <v>0</v>
      </c>
      <c r="I501" s="66">
        <v>0</v>
      </c>
      <c r="J501" s="66">
        <f t="shared" ref="J501:J506" si="313">SUM(K501:V501)-M501-P501</f>
        <v>0</v>
      </c>
      <c r="K501" s="12">
        <f t="shared" si="308"/>
        <v>0</v>
      </c>
      <c r="L501" s="12">
        <f t="shared" si="308"/>
        <v>0</v>
      </c>
      <c r="M501" s="9">
        <f t="shared" si="309"/>
        <v>0</v>
      </c>
      <c r="N501" s="12">
        <f t="shared" si="310"/>
        <v>0</v>
      </c>
      <c r="O501" s="12">
        <f t="shared" si="310"/>
        <v>0</v>
      </c>
      <c r="P501" s="9">
        <f t="shared" si="290"/>
        <v>0</v>
      </c>
      <c r="Q501" s="12">
        <f t="shared" si="311"/>
        <v>0</v>
      </c>
      <c r="R501" s="12">
        <f t="shared" si="311"/>
        <v>0</v>
      </c>
      <c r="S501" s="12">
        <f t="shared" si="312"/>
        <v>0</v>
      </c>
      <c r="T501" s="12">
        <f t="shared" si="311"/>
        <v>0</v>
      </c>
      <c r="U501" s="12">
        <f t="shared" si="311"/>
        <v>0</v>
      </c>
      <c r="V501" s="12">
        <f t="shared" si="311"/>
        <v>0</v>
      </c>
      <c r="W501" s="27" t="str">
        <f t="shared" si="274"/>
        <v>OK</v>
      </c>
    </row>
    <row r="502" spans="1:23" x14ac:dyDescent="0.2">
      <c r="A502" s="3">
        <f t="shared" si="306"/>
        <v>5</v>
      </c>
      <c r="B502" s="3" t="s">
        <v>218</v>
      </c>
      <c r="C502" s="3" t="s">
        <v>219</v>
      </c>
      <c r="D502" s="16" t="str">
        <f t="shared" si="307"/>
        <v>A903</v>
      </c>
      <c r="E502" s="4" t="s">
        <v>592</v>
      </c>
      <c r="F502" s="11"/>
      <c r="G502" s="11"/>
      <c r="H502" s="14">
        <f>'II-I TOTAL COMPANY'!M502</f>
        <v>8418787.6661461648</v>
      </c>
      <c r="I502" s="66">
        <v>0</v>
      </c>
      <c r="J502" s="66">
        <f t="shared" si="313"/>
        <v>8418787.6661461629</v>
      </c>
      <c r="K502" s="12">
        <f t="shared" si="308"/>
        <v>7087628.879248715</v>
      </c>
      <c r="L502" s="12">
        <f t="shared" si="308"/>
        <v>753037.54896125675</v>
      </c>
      <c r="M502" s="9">
        <f t="shared" si="309"/>
        <v>548746.008521382</v>
      </c>
      <c r="N502" s="12">
        <f t="shared" si="310"/>
        <v>4365.1714691311308</v>
      </c>
      <c r="O502" s="12">
        <f t="shared" si="310"/>
        <v>544380.83705225086</v>
      </c>
      <c r="P502" s="9">
        <f t="shared" si="290"/>
        <v>8374.157071857464</v>
      </c>
      <c r="Q502" s="12">
        <f t="shared" si="311"/>
        <v>3554.2802413585073</v>
      </c>
      <c r="R502" s="12">
        <f t="shared" si="311"/>
        <v>4168.1324792050727</v>
      </c>
      <c r="S502" s="12">
        <f t="shared" si="312"/>
        <v>651.74435129388405</v>
      </c>
      <c r="T502" s="12">
        <f t="shared" si="311"/>
        <v>940.98748394175118</v>
      </c>
      <c r="U502" s="12">
        <f t="shared" si="311"/>
        <v>19916.09482791078</v>
      </c>
      <c r="V502" s="12">
        <f t="shared" si="311"/>
        <v>143.99003109981157</v>
      </c>
      <c r="W502" s="27">
        <f t="shared" si="274"/>
        <v>-3.7252902984619141E-9</v>
      </c>
    </row>
    <row r="503" spans="1:23" x14ac:dyDescent="0.2">
      <c r="A503" s="3">
        <f t="shared" si="306"/>
        <v>6</v>
      </c>
      <c r="B503" s="3" t="s">
        <v>218</v>
      </c>
      <c r="C503" s="3" t="s">
        <v>219</v>
      </c>
      <c r="D503" s="16" t="str">
        <f t="shared" si="307"/>
        <v>A903</v>
      </c>
      <c r="E503" s="4" t="s">
        <v>592</v>
      </c>
      <c r="F503" s="11"/>
      <c r="G503" s="11"/>
      <c r="H503" s="14">
        <f>'II-I TOTAL COMPANY'!M503</f>
        <v>0</v>
      </c>
      <c r="I503" s="66">
        <v>0</v>
      </c>
      <c r="J503" s="66">
        <f t="shared" si="313"/>
        <v>0</v>
      </c>
      <c r="K503" s="12">
        <f t="shared" si="308"/>
        <v>0</v>
      </c>
      <c r="L503" s="12">
        <f t="shared" si="308"/>
        <v>0</v>
      </c>
      <c r="M503" s="9">
        <f t="shared" si="309"/>
        <v>0</v>
      </c>
      <c r="N503" s="12">
        <f t="shared" si="310"/>
        <v>0</v>
      </c>
      <c r="O503" s="12">
        <f t="shared" si="310"/>
        <v>0</v>
      </c>
      <c r="P503" s="9">
        <f t="shared" si="290"/>
        <v>0</v>
      </c>
      <c r="Q503" s="12">
        <f t="shared" si="311"/>
        <v>0</v>
      </c>
      <c r="R503" s="12">
        <f t="shared" si="311"/>
        <v>0</v>
      </c>
      <c r="S503" s="12">
        <f t="shared" si="312"/>
        <v>0</v>
      </c>
      <c r="T503" s="12">
        <f t="shared" si="311"/>
        <v>0</v>
      </c>
      <c r="U503" s="12">
        <f t="shared" si="311"/>
        <v>0</v>
      </c>
      <c r="V503" s="12">
        <f t="shared" si="311"/>
        <v>0</v>
      </c>
      <c r="W503" s="27" t="str">
        <f t="shared" si="274"/>
        <v>OK</v>
      </c>
    </row>
    <row r="504" spans="1:23" x14ac:dyDescent="0.2">
      <c r="A504" s="3">
        <f t="shared" si="306"/>
        <v>7</v>
      </c>
      <c r="B504" s="3" t="s">
        <v>220</v>
      </c>
      <c r="C504" s="3" t="s">
        <v>221</v>
      </c>
      <c r="D504" s="16" t="str">
        <f t="shared" si="307"/>
        <v>A904</v>
      </c>
      <c r="E504" s="4" t="s">
        <v>592</v>
      </c>
      <c r="F504" s="11"/>
      <c r="G504" s="11"/>
      <c r="H504" s="14">
        <f>'II-I TOTAL COMPANY'!M504</f>
        <v>0</v>
      </c>
      <c r="I504" s="66">
        <v>0</v>
      </c>
      <c r="J504" s="66">
        <f t="shared" si="313"/>
        <v>0</v>
      </c>
      <c r="K504" s="12">
        <f t="shared" si="308"/>
        <v>0</v>
      </c>
      <c r="L504" s="12">
        <f t="shared" si="308"/>
        <v>0</v>
      </c>
      <c r="M504" s="9">
        <f t="shared" si="309"/>
        <v>0</v>
      </c>
      <c r="N504" s="12">
        <f t="shared" si="310"/>
        <v>0</v>
      </c>
      <c r="O504" s="12">
        <f t="shared" si="310"/>
        <v>0</v>
      </c>
      <c r="P504" s="9">
        <f t="shared" si="290"/>
        <v>0</v>
      </c>
      <c r="Q504" s="12">
        <f t="shared" si="311"/>
        <v>0</v>
      </c>
      <c r="R504" s="12">
        <f t="shared" si="311"/>
        <v>0</v>
      </c>
      <c r="S504" s="12">
        <f t="shared" si="312"/>
        <v>0</v>
      </c>
      <c r="T504" s="12">
        <f t="shared" si="311"/>
        <v>0</v>
      </c>
      <c r="U504" s="12">
        <f t="shared" si="311"/>
        <v>0</v>
      </c>
      <c r="V504" s="12">
        <f t="shared" si="311"/>
        <v>0</v>
      </c>
      <c r="W504" s="27" t="str">
        <f t="shared" si="274"/>
        <v>OK</v>
      </c>
    </row>
    <row r="505" spans="1:23" x14ac:dyDescent="0.2">
      <c r="A505" s="3">
        <f t="shared" si="306"/>
        <v>8</v>
      </c>
      <c r="B505" s="3" t="s">
        <v>222</v>
      </c>
      <c r="C505" s="3" t="s">
        <v>223</v>
      </c>
      <c r="D505" s="16" t="str">
        <f t="shared" si="307"/>
        <v>A905</v>
      </c>
      <c r="E505" s="4" t="s">
        <v>592</v>
      </c>
      <c r="F505" s="11"/>
      <c r="G505" s="11"/>
      <c r="H505" s="14">
        <f>'II-I TOTAL COMPANY'!M505</f>
        <v>59221.909999999996</v>
      </c>
      <c r="I505" s="66">
        <v>0</v>
      </c>
      <c r="J505" s="66">
        <f t="shared" si="313"/>
        <v>59221.910000000018</v>
      </c>
      <c r="K505" s="12">
        <f t="shared" si="308"/>
        <v>49857.881709993584</v>
      </c>
      <c r="L505" s="12">
        <f t="shared" si="308"/>
        <v>5297.2380014447899</v>
      </c>
      <c r="M505" s="9">
        <f t="shared" si="309"/>
        <v>3860.1504181170199</v>
      </c>
      <c r="N505" s="12">
        <f t="shared" si="310"/>
        <v>30.706771821671389</v>
      </c>
      <c r="O505" s="12">
        <f t="shared" si="310"/>
        <v>3829.4436462953486</v>
      </c>
      <c r="P505" s="9">
        <f t="shared" si="290"/>
        <v>58.907956359282785</v>
      </c>
      <c r="Q505" s="12">
        <f t="shared" si="311"/>
        <v>25.00256247285396</v>
      </c>
      <c r="R505" s="12">
        <f t="shared" si="311"/>
        <v>29.320702260276502</v>
      </c>
      <c r="S505" s="12">
        <f t="shared" si="312"/>
        <v>4.584691626152325</v>
      </c>
      <c r="T505" s="12">
        <f t="shared" si="311"/>
        <v>6.6193706617896941</v>
      </c>
      <c r="U505" s="12">
        <f t="shared" si="311"/>
        <v>140.09964643637568</v>
      </c>
      <c r="V505" s="12">
        <f t="shared" si="311"/>
        <v>1.0128969871731881</v>
      </c>
      <c r="W505" s="27">
        <f t="shared" si="274"/>
        <v>2.1827872842550278E-11</v>
      </c>
    </row>
    <row r="506" spans="1:23" x14ac:dyDescent="0.2">
      <c r="A506" s="3">
        <f t="shared" si="306"/>
        <v>9</v>
      </c>
      <c r="B506" s="3"/>
      <c r="C506" s="3" t="s">
        <v>135</v>
      </c>
      <c r="D506" s="3"/>
      <c r="E506" s="4"/>
      <c r="F506" s="8"/>
      <c r="G506" s="8"/>
      <c r="H506" s="8">
        <f t="shared" ref="H506:V506" si="314">SUM(H500:H505)</f>
        <v>8772471.841188278</v>
      </c>
      <c r="I506" s="8">
        <f t="shared" si="314"/>
        <v>0</v>
      </c>
      <c r="J506" s="66">
        <f t="shared" si="313"/>
        <v>8772471.8411882762</v>
      </c>
      <c r="K506" s="8">
        <f t="shared" si="314"/>
        <v>7385389.3493508501</v>
      </c>
      <c r="L506" s="8">
        <f t="shared" si="314"/>
        <v>784673.63183232141</v>
      </c>
      <c r="M506" s="9">
        <f t="shared" si="309"/>
        <v>571799.53915168729</v>
      </c>
      <c r="N506" s="8">
        <f t="shared" si="314"/>
        <v>4548.5579769278947</v>
      </c>
      <c r="O506" s="8">
        <f t="shared" si="314"/>
        <v>567250.98117475945</v>
      </c>
      <c r="P506" s="9">
        <f t="shared" si="290"/>
        <v>8725.9662578217431</v>
      </c>
      <c r="Q506" s="8">
        <f t="shared" si="314"/>
        <v>3703.6001582971917</v>
      </c>
      <c r="R506" s="8">
        <f t="shared" si="314"/>
        <v>4343.2411238026771</v>
      </c>
      <c r="S506" s="8">
        <f>SUM(S500:S505)</f>
        <v>679.12497572187306</v>
      </c>
      <c r="T506" s="8">
        <f t="shared" si="314"/>
        <v>980.5195870403013</v>
      </c>
      <c r="U506" s="8">
        <f t="shared" si="314"/>
        <v>20752.795769733511</v>
      </c>
      <c r="V506" s="8">
        <f t="shared" si="314"/>
        <v>150.03923882227426</v>
      </c>
      <c r="W506" s="27">
        <f t="shared" si="274"/>
        <v>-1.862645149230957E-9</v>
      </c>
    </row>
    <row r="507" spans="1:23" x14ac:dyDescent="0.2">
      <c r="A507" s="3">
        <f t="shared" si="306"/>
        <v>10</v>
      </c>
      <c r="B507" s="3"/>
      <c r="C507" s="3"/>
      <c r="D507" s="3"/>
      <c r="E507" s="4"/>
      <c r="F507" s="4"/>
      <c r="G507" s="4"/>
      <c r="H507" s="8"/>
      <c r="I507" s="8"/>
      <c r="J507" s="8"/>
      <c r="K507" s="8"/>
      <c r="L507" s="8"/>
      <c r="M507" s="3"/>
      <c r="N507" s="3"/>
      <c r="O507" s="3"/>
      <c r="P507" s="9"/>
      <c r="Q507" s="3"/>
      <c r="R507" s="3"/>
      <c r="S507" s="3"/>
      <c r="T507" s="3"/>
      <c r="U507" s="3"/>
      <c r="V507" s="3"/>
      <c r="W507" s="27" t="str">
        <f t="shared" si="274"/>
        <v>OK</v>
      </c>
    </row>
    <row r="508" spans="1:23" x14ac:dyDescent="0.2">
      <c r="A508" s="3">
        <f t="shared" si="306"/>
        <v>11</v>
      </c>
      <c r="B508" s="3"/>
      <c r="C508" s="3" t="s">
        <v>224</v>
      </c>
      <c r="D508" s="3"/>
      <c r="E508" s="4"/>
      <c r="F508" s="4"/>
      <c r="G508" s="4"/>
      <c r="H508" s="8"/>
      <c r="I508" s="8"/>
      <c r="J508" s="8"/>
      <c r="K508" s="8"/>
      <c r="L508" s="8"/>
      <c r="M508" s="3"/>
      <c r="N508" s="3"/>
      <c r="O508" s="3"/>
      <c r="P508" s="9"/>
      <c r="Q508" s="3"/>
      <c r="R508" s="3"/>
      <c r="S508" s="3"/>
      <c r="T508" s="3"/>
      <c r="U508" s="3"/>
      <c r="V508" s="3"/>
      <c r="W508" s="27" t="str">
        <f t="shared" si="274"/>
        <v>OK</v>
      </c>
    </row>
    <row r="509" spans="1:23" x14ac:dyDescent="0.2">
      <c r="A509" s="3">
        <f t="shared" si="306"/>
        <v>12</v>
      </c>
      <c r="B509" s="3" t="s">
        <v>225</v>
      </c>
      <c r="C509" s="3" t="s">
        <v>226</v>
      </c>
      <c r="D509" s="16" t="str">
        <f>B509</f>
        <v>A906</v>
      </c>
      <c r="E509" s="4" t="s">
        <v>592</v>
      </c>
      <c r="F509" s="11"/>
      <c r="G509" s="11"/>
      <c r="H509" s="14">
        <f>'II-I TOTAL COMPANY'!M509</f>
        <v>0</v>
      </c>
      <c r="I509" s="66">
        <v>0</v>
      </c>
      <c r="J509" s="66">
        <f t="shared" ref="J509:J514" si="315">SUM(K509:V509)-M509-P509</f>
        <v>0</v>
      </c>
      <c r="K509" s="12">
        <f>IF(+$H391&lt;&gt;0,$H509*(+K391/$H391),0)</f>
        <v>0</v>
      </c>
      <c r="L509" s="12">
        <f>IF(+$H391&lt;&gt;0,$H509*(+L391/$H391),0)</f>
        <v>0</v>
      </c>
      <c r="M509" s="9">
        <f t="shared" ref="M509:M514" si="316">SUM(N509:O509)</f>
        <v>0</v>
      </c>
      <c r="N509" s="12">
        <f>IF(+$H391&lt;&gt;0,$H509*(+N391/$H391),0)</f>
        <v>0</v>
      </c>
      <c r="O509" s="12">
        <f>IF(+$H391&lt;&gt;0,$H509*(+O391/$H391),0)</f>
        <v>0</v>
      </c>
      <c r="P509" s="9">
        <f t="shared" si="290"/>
        <v>0</v>
      </c>
      <c r="Q509" s="12">
        <f t="shared" ref="Q509:V509" si="317">IF(+$H391&lt;&gt;0,$H509*(+Q391/$H391),0)</f>
        <v>0</v>
      </c>
      <c r="R509" s="12">
        <f t="shared" si="317"/>
        <v>0</v>
      </c>
      <c r="S509" s="12">
        <f t="shared" si="317"/>
        <v>0</v>
      </c>
      <c r="T509" s="12">
        <f t="shared" si="317"/>
        <v>0</v>
      </c>
      <c r="U509" s="12">
        <f t="shared" si="317"/>
        <v>0</v>
      </c>
      <c r="V509" s="12">
        <f t="shared" si="317"/>
        <v>0</v>
      </c>
      <c r="W509" s="27" t="str">
        <f t="shared" si="274"/>
        <v>OK</v>
      </c>
    </row>
    <row r="510" spans="1:23" s="132" customFormat="1" x14ac:dyDescent="0.2">
      <c r="A510" s="3">
        <f t="shared" si="306"/>
        <v>13</v>
      </c>
      <c r="B510" s="3" t="s">
        <v>227</v>
      </c>
      <c r="C510" s="3" t="s">
        <v>228</v>
      </c>
      <c r="D510" s="16" t="s">
        <v>572</v>
      </c>
      <c r="E510" s="4" t="s">
        <v>592</v>
      </c>
      <c r="F510" s="11"/>
      <c r="G510" s="11"/>
      <c r="H510" s="14">
        <f>'II-I TOTAL COMPANY'!M510</f>
        <v>942803.65724735917</v>
      </c>
      <c r="I510" s="66">
        <v>0</v>
      </c>
      <c r="J510" s="66">
        <f t="shared" si="315"/>
        <v>942803.65724735928</v>
      </c>
      <c r="K510" s="12">
        <f>IF(+$H396&lt;&gt;0,$H510*(+K396/$H396),0)</f>
        <v>663150.75896749226</v>
      </c>
      <c r="L510" s="12">
        <f>IF(+$H396&lt;&gt;0,$H510*(+L396/$H396),0)</f>
        <v>70457.614335135906</v>
      </c>
      <c r="M510" s="9">
        <f t="shared" si="316"/>
        <v>51343.169659570238</v>
      </c>
      <c r="N510" s="12">
        <f>IF(+$H396&lt;&gt;0,$H510*(+N396/$H396),0)</f>
        <v>408.42527481269531</v>
      </c>
      <c r="O510" s="12">
        <f>IF(+$H396&lt;&gt;0,$H510*(+O396/$H396),0)</f>
        <v>50934.744384757541</v>
      </c>
      <c r="P510" s="9">
        <f t="shared" si="290"/>
        <v>770.0518202197693</v>
      </c>
      <c r="Q510" s="12">
        <f t="shared" ref="Q510:V510" si="318">IF(+$H396&lt;&gt;0,$H510*(+Q396/$H396),0)</f>
        <v>332.55460744297585</v>
      </c>
      <c r="R510" s="12">
        <f t="shared" si="318"/>
        <v>389.98941171351117</v>
      </c>
      <c r="S510" s="12">
        <f t="shared" si="318"/>
        <v>47.507801063282265</v>
      </c>
      <c r="T510" s="12">
        <f t="shared" si="318"/>
        <v>87.215813892294307</v>
      </c>
      <c r="U510" s="12">
        <f t="shared" si="318"/>
        <v>156981.37428955315</v>
      </c>
      <c r="V510" s="12">
        <f t="shared" si="318"/>
        <v>13.472361495557658</v>
      </c>
      <c r="W510" s="27" t="str">
        <f t="shared" si="274"/>
        <v>OK</v>
      </c>
    </row>
    <row r="511" spans="1:23" x14ac:dyDescent="0.2">
      <c r="A511" s="3">
        <f t="shared" si="306"/>
        <v>14</v>
      </c>
      <c r="B511" s="3" t="s">
        <v>229</v>
      </c>
      <c r="C511" s="3" t="s">
        <v>230</v>
      </c>
      <c r="D511" s="16" t="str">
        <f>B511</f>
        <v>A908</v>
      </c>
      <c r="E511" s="4" t="s">
        <v>592</v>
      </c>
      <c r="F511" s="11"/>
      <c r="G511" s="11"/>
      <c r="H511" s="14">
        <f>'II-I TOTAL COMPANY'!M511</f>
        <v>1096186.6875632836</v>
      </c>
      <c r="I511" s="66">
        <v>0</v>
      </c>
      <c r="J511" s="66">
        <f t="shared" si="315"/>
        <v>1096186.6875632836</v>
      </c>
      <c r="K511" s="12">
        <f t="shared" ref="K511:L513" si="319">IF(+$H394&lt;&gt;0,$H511*(+K394/$H394),0)</f>
        <v>816242.31111240201</v>
      </c>
      <c r="L511" s="12">
        <f t="shared" si="319"/>
        <v>86723.094534220101</v>
      </c>
      <c r="M511" s="9">
        <f t="shared" si="316"/>
        <v>0</v>
      </c>
      <c r="N511" s="12">
        <f t="shared" ref="N511:O513" si="320">IF(+$H394&lt;&gt;0,$H511*(+N394/$H394),0)</f>
        <v>0</v>
      </c>
      <c r="O511" s="12">
        <f t="shared" si="320"/>
        <v>0</v>
      </c>
      <c r="P511" s="9">
        <f t="shared" si="290"/>
        <v>0</v>
      </c>
      <c r="Q511" s="12">
        <f t="shared" ref="Q511:V513" si="321">IF(+$H394&lt;&gt;0,$H511*(+Q394/$H394),0)</f>
        <v>0</v>
      </c>
      <c r="R511" s="12">
        <f t="shared" si="321"/>
        <v>0</v>
      </c>
      <c r="S511" s="12">
        <f>IF(+$H394&lt;&gt;0,$H511*(+S394/$H394),0)</f>
        <v>0</v>
      </c>
      <c r="T511" s="12">
        <f t="shared" si="321"/>
        <v>0</v>
      </c>
      <c r="U511" s="12">
        <f t="shared" si="321"/>
        <v>193221.28191666148</v>
      </c>
      <c r="V511" s="12">
        <f t="shared" si="321"/>
        <v>0</v>
      </c>
      <c r="W511" s="27" t="str">
        <f t="shared" si="274"/>
        <v>OK</v>
      </c>
    </row>
    <row r="512" spans="1:23" x14ac:dyDescent="0.2">
      <c r="A512" s="3">
        <f t="shared" si="306"/>
        <v>15</v>
      </c>
      <c r="B512" s="3" t="s">
        <v>231</v>
      </c>
      <c r="C512" s="3" t="s">
        <v>232</v>
      </c>
      <c r="D512" s="16" t="str">
        <f>B512</f>
        <v>A909</v>
      </c>
      <c r="E512" s="4" t="s">
        <v>592</v>
      </c>
      <c r="F512" s="11"/>
      <c r="G512" s="11"/>
      <c r="H512" s="14">
        <f>'II-I TOTAL COMPANY'!M512</f>
        <v>0</v>
      </c>
      <c r="I512" s="66">
        <v>0</v>
      </c>
      <c r="J512" s="66">
        <f t="shared" si="315"/>
        <v>0</v>
      </c>
      <c r="K512" s="12">
        <f t="shared" si="319"/>
        <v>0</v>
      </c>
      <c r="L512" s="12">
        <f t="shared" si="319"/>
        <v>0</v>
      </c>
      <c r="M512" s="9">
        <f t="shared" si="316"/>
        <v>0</v>
      </c>
      <c r="N512" s="12">
        <f t="shared" si="320"/>
        <v>0</v>
      </c>
      <c r="O512" s="12">
        <f t="shared" si="320"/>
        <v>0</v>
      </c>
      <c r="P512" s="9">
        <f t="shared" si="290"/>
        <v>0</v>
      </c>
      <c r="Q512" s="12">
        <f t="shared" si="321"/>
        <v>0</v>
      </c>
      <c r="R512" s="12">
        <f t="shared" si="321"/>
        <v>0</v>
      </c>
      <c r="S512" s="12">
        <f>IF(+$H395&lt;&gt;0,$H512*(+S395/$H395),0)</f>
        <v>0</v>
      </c>
      <c r="T512" s="12">
        <f t="shared" si="321"/>
        <v>0</v>
      </c>
      <c r="U512" s="12">
        <f t="shared" si="321"/>
        <v>0</v>
      </c>
      <c r="V512" s="12">
        <f t="shared" si="321"/>
        <v>0</v>
      </c>
      <c r="W512" s="27" t="str">
        <f t="shared" si="274"/>
        <v>OK</v>
      </c>
    </row>
    <row r="513" spans="1:23" x14ac:dyDescent="0.2">
      <c r="A513" s="3">
        <f t="shared" si="306"/>
        <v>16</v>
      </c>
      <c r="B513" s="3" t="s">
        <v>233</v>
      </c>
      <c r="C513" s="3" t="s">
        <v>234</v>
      </c>
      <c r="D513" s="16" t="str">
        <f>B513</f>
        <v>A910</v>
      </c>
      <c r="E513" s="4" t="s">
        <v>592</v>
      </c>
      <c r="F513" s="11"/>
      <c r="G513" s="11"/>
      <c r="H513" s="14">
        <f>'II-I TOTAL COMPANY'!M513</f>
        <v>16289.23</v>
      </c>
      <c r="I513" s="66">
        <v>0</v>
      </c>
      <c r="J513" s="66">
        <f t="shared" si="315"/>
        <v>16289.229999999996</v>
      </c>
      <c r="K513" s="12">
        <f t="shared" si="319"/>
        <v>11457.544902864027</v>
      </c>
      <c r="L513" s="12">
        <f t="shared" si="319"/>
        <v>1217.3269336981464</v>
      </c>
      <c r="M513" s="9">
        <f t="shared" si="316"/>
        <v>887.07833607218845</v>
      </c>
      <c r="N513" s="12">
        <f t="shared" si="320"/>
        <v>7.0565416119209017</v>
      </c>
      <c r="O513" s="12">
        <f t="shared" si="320"/>
        <v>880.02179446026753</v>
      </c>
      <c r="P513" s="9">
        <f t="shared" si="290"/>
        <v>13.304521164142534</v>
      </c>
      <c r="Q513" s="12">
        <f t="shared" si="321"/>
        <v>5.7456909999842063</v>
      </c>
      <c r="R513" s="12">
        <f t="shared" si="321"/>
        <v>6.7380171641605831</v>
      </c>
      <c r="S513" s="12">
        <f>IF(+$H396&lt;&gt;0,$H513*(+S396/$H396),0)</f>
        <v>0.82081299999774371</v>
      </c>
      <c r="T513" s="12">
        <f t="shared" si="321"/>
        <v>1.5068656567122758</v>
      </c>
      <c r="U513" s="12">
        <f t="shared" si="321"/>
        <v>2712.2356726791113</v>
      </c>
      <c r="V513" s="12">
        <f t="shared" si="321"/>
        <v>0.23276786567100197</v>
      </c>
      <c r="W513" s="27" t="str">
        <f t="shared" si="274"/>
        <v>OK</v>
      </c>
    </row>
    <row r="514" spans="1:23" x14ac:dyDescent="0.2">
      <c r="A514" s="3">
        <f t="shared" si="306"/>
        <v>17</v>
      </c>
      <c r="B514" s="3"/>
      <c r="C514" s="3" t="s">
        <v>135</v>
      </c>
      <c r="D514" s="3"/>
      <c r="E514" s="4"/>
      <c r="F514" s="8"/>
      <c r="G514" s="8"/>
      <c r="H514" s="8">
        <f t="shared" ref="H514:V514" si="322">SUM(H509:H513)</f>
        <v>2055279.5748106427</v>
      </c>
      <c r="I514" s="8">
        <f t="shared" si="322"/>
        <v>0</v>
      </c>
      <c r="J514" s="66">
        <f t="shared" si="315"/>
        <v>2055279.5748106427</v>
      </c>
      <c r="K514" s="8">
        <f t="shared" si="322"/>
        <v>1490850.6149827582</v>
      </c>
      <c r="L514" s="8">
        <f t="shared" si="322"/>
        <v>158398.03580305417</v>
      </c>
      <c r="M514" s="9">
        <f t="shared" si="316"/>
        <v>52230.247995642429</v>
      </c>
      <c r="N514" s="8">
        <f t="shared" si="322"/>
        <v>415.48181642461623</v>
      </c>
      <c r="O514" s="8">
        <f t="shared" si="322"/>
        <v>51814.766179217811</v>
      </c>
      <c r="P514" s="9">
        <f t="shared" si="290"/>
        <v>783.35634138391185</v>
      </c>
      <c r="Q514" s="8">
        <f t="shared" si="322"/>
        <v>338.30029844296007</v>
      </c>
      <c r="R514" s="8">
        <f t="shared" si="322"/>
        <v>396.72742887767174</v>
      </c>
      <c r="S514" s="8">
        <f>SUM(S509:S513)</f>
        <v>48.328614063280007</v>
      </c>
      <c r="T514" s="8">
        <f t="shared" si="322"/>
        <v>88.722679549006585</v>
      </c>
      <c r="U514" s="8">
        <f t="shared" si="322"/>
        <v>352914.89187889372</v>
      </c>
      <c r="V514" s="8">
        <f t="shared" si="322"/>
        <v>13.705129361228661</v>
      </c>
      <c r="W514" s="27" t="str">
        <f t="shared" si="274"/>
        <v>OK</v>
      </c>
    </row>
    <row r="515" spans="1:23" x14ac:dyDescent="0.2">
      <c r="A515" s="3">
        <f t="shared" si="306"/>
        <v>18</v>
      </c>
      <c r="B515" s="3"/>
      <c r="C515" s="3"/>
      <c r="D515" s="3"/>
      <c r="E515" s="4"/>
      <c r="F515" s="4"/>
      <c r="G515" s="4"/>
      <c r="H515" s="8"/>
      <c r="I515" s="8"/>
      <c r="J515" s="8"/>
      <c r="K515" s="8"/>
      <c r="L515" s="8"/>
      <c r="M515" s="3"/>
      <c r="N515" s="3"/>
      <c r="O515" s="3"/>
      <c r="P515" s="9"/>
      <c r="Q515" s="3"/>
      <c r="R515" s="3"/>
      <c r="S515" s="3"/>
      <c r="T515" s="3"/>
      <c r="U515" s="3"/>
      <c r="V515" s="3"/>
      <c r="W515" s="27" t="str">
        <f t="shared" si="274"/>
        <v>OK</v>
      </c>
    </row>
    <row r="516" spans="1:23" x14ac:dyDescent="0.2">
      <c r="A516" s="3">
        <f t="shared" si="306"/>
        <v>19</v>
      </c>
      <c r="B516" s="3"/>
      <c r="C516" s="3" t="s">
        <v>235</v>
      </c>
      <c r="D516" s="3"/>
      <c r="E516" s="4"/>
      <c r="F516" s="4"/>
      <c r="G516" s="4"/>
      <c r="H516" s="8"/>
      <c r="I516" s="8"/>
      <c r="J516" s="8"/>
      <c r="K516" s="8"/>
      <c r="L516" s="8"/>
      <c r="M516" s="3"/>
      <c r="N516" s="3"/>
      <c r="O516" s="3"/>
      <c r="P516" s="9"/>
      <c r="Q516" s="3"/>
      <c r="R516" s="3"/>
      <c r="S516" s="3"/>
      <c r="T516" s="3"/>
      <c r="U516" s="3"/>
      <c r="V516" s="3"/>
      <c r="W516" s="27" t="str">
        <f t="shared" si="274"/>
        <v>OK</v>
      </c>
    </row>
    <row r="517" spans="1:23" x14ac:dyDescent="0.2">
      <c r="A517" s="3">
        <f t="shared" si="306"/>
        <v>20</v>
      </c>
      <c r="B517" s="3" t="s">
        <v>236</v>
      </c>
      <c r="C517" s="3" t="s">
        <v>228</v>
      </c>
      <c r="D517" s="16" t="str">
        <f>B517</f>
        <v>A911</v>
      </c>
      <c r="E517" s="4" t="s">
        <v>592</v>
      </c>
      <c r="F517" s="11"/>
      <c r="G517" s="11"/>
      <c r="H517" s="14">
        <f>'II-I TOTAL COMPANY'!M517</f>
        <v>0</v>
      </c>
      <c r="I517" s="66">
        <v>0</v>
      </c>
      <c r="J517" s="66">
        <f t="shared" ref="J517:J525" si="323">SUM(K517:V517)-M517-P517</f>
        <v>0</v>
      </c>
      <c r="K517" s="12">
        <f t="shared" ref="K517:L521" si="324">IF(+$H401&lt;&gt;0,$H517*(+K401/$H401),0)</f>
        <v>0</v>
      </c>
      <c r="L517" s="12">
        <f t="shared" si="324"/>
        <v>0</v>
      </c>
      <c r="M517" s="9">
        <f t="shared" ref="M517:M523" si="325">SUM(N517:O517)</f>
        <v>0</v>
      </c>
      <c r="N517" s="12">
        <f t="shared" ref="N517:O521" si="326">IF(+$H401&lt;&gt;0,$H517*(+N401/$H401),0)</f>
        <v>0</v>
      </c>
      <c r="O517" s="12">
        <f t="shared" si="326"/>
        <v>0</v>
      </c>
      <c r="P517" s="9">
        <f t="shared" si="290"/>
        <v>0</v>
      </c>
      <c r="Q517" s="12">
        <f t="shared" ref="Q517:V521" si="327">IF(+$H401&lt;&gt;0,$H517*(+Q401/$H401),0)</f>
        <v>0</v>
      </c>
      <c r="R517" s="12">
        <f t="shared" si="327"/>
        <v>0</v>
      </c>
      <c r="S517" s="12">
        <f>IF(+$H401&lt;&gt;0,$H517*(+S401/$H401),0)</f>
        <v>0</v>
      </c>
      <c r="T517" s="12">
        <f t="shared" si="327"/>
        <v>0</v>
      </c>
      <c r="U517" s="12">
        <f t="shared" si="327"/>
        <v>0</v>
      </c>
      <c r="V517" s="12">
        <f t="shared" si="327"/>
        <v>0</v>
      </c>
      <c r="W517" s="27" t="str">
        <f t="shared" si="274"/>
        <v>OK</v>
      </c>
    </row>
    <row r="518" spans="1:23" x14ac:dyDescent="0.2">
      <c r="A518" s="3">
        <f t="shared" si="306"/>
        <v>21</v>
      </c>
      <c r="B518" s="3" t="s">
        <v>237</v>
      </c>
      <c r="C518" s="3" t="s">
        <v>238</v>
      </c>
      <c r="D518" s="16" t="str">
        <f>B518</f>
        <v>A912</v>
      </c>
      <c r="E518" s="4" t="s">
        <v>592</v>
      </c>
      <c r="F518" s="11"/>
      <c r="G518" s="11"/>
      <c r="H518" s="14">
        <f>'II-I TOTAL COMPANY'!M518</f>
        <v>876.21</v>
      </c>
      <c r="I518" s="66">
        <v>0</v>
      </c>
      <c r="J518" s="66">
        <f t="shared" si="323"/>
        <v>0</v>
      </c>
      <c r="K518" s="12">
        <f t="shared" si="324"/>
        <v>0</v>
      </c>
      <c r="L518" s="12">
        <f t="shared" si="324"/>
        <v>0</v>
      </c>
      <c r="M518" s="9">
        <f t="shared" si="325"/>
        <v>0</v>
      </c>
      <c r="N518" s="12">
        <f t="shared" si="326"/>
        <v>0</v>
      </c>
      <c r="O518" s="12">
        <f t="shared" si="326"/>
        <v>0</v>
      </c>
      <c r="P518" s="9">
        <f t="shared" si="290"/>
        <v>0</v>
      </c>
      <c r="Q518" s="12">
        <f t="shared" si="327"/>
        <v>0</v>
      </c>
      <c r="R518" s="12">
        <f t="shared" si="327"/>
        <v>0</v>
      </c>
      <c r="S518" s="12">
        <f>IF(+$H402&lt;&gt;0,$H518*(+S402/$H402),0)</f>
        <v>0</v>
      </c>
      <c r="T518" s="12">
        <f t="shared" si="327"/>
        <v>0</v>
      </c>
      <c r="U518" s="12">
        <f t="shared" si="327"/>
        <v>0</v>
      </c>
      <c r="V518" s="12">
        <f t="shared" si="327"/>
        <v>0</v>
      </c>
      <c r="W518" s="27">
        <f t="shared" si="274"/>
        <v>-876.21</v>
      </c>
    </row>
    <row r="519" spans="1:23" x14ac:dyDescent="0.2">
      <c r="A519" s="3">
        <f t="shared" si="306"/>
        <v>22</v>
      </c>
      <c r="B519" s="3" t="s">
        <v>239</v>
      </c>
      <c r="C519" s="3" t="s">
        <v>240</v>
      </c>
      <c r="D519" s="16" t="str">
        <f>B519</f>
        <v>A913</v>
      </c>
      <c r="E519" s="4" t="s">
        <v>592</v>
      </c>
      <c r="F519" s="11"/>
      <c r="G519" s="11"/>
      <c r="H519" s="14">
        <f>'II-I TOTAL COMPANY'!M519</f>
        <v>0</v>
      </c>
      <c r="I519" s="66">
        <v>0</v>
      </c>
      <c r="J519" s="66">
        <f t="shared" si="323"/>
        <v>0</v>
      </c>
      <c r="K519" s="12">
        <f t="shared" si="324"/>
        <v>0</v>
      </c>
      <c r="L519" s="12">
        <f t="shared" si="324"/>
        <v>0</v>
      </c>
      <c r="M519" s="9">
        <f t="shared" si="325"/>
        <v>0</v>
      </c>
      <c r="N519" s="12">
        <f t="shared" si="326"/>
        <v>0</v>
      </c>
      <c r="O519" s="12">
        <f t="shared" si="326"/>
        <v>0</v>
      </c>
      <c r="P519" s="9">
        <f t="shared" si="290"/>
        <v>0</v>
      </c>
      <c r="Q519" s="12">
        <f t="shared" si="327"/>
        <v>0</v>
      </c>
      <c r="R519" s="12">
        <f t="shared" si="327"/>
        <v>0</v>
      </c>
      <c r="S519" s="12">
        <f>IF(+$H403&lt;&gt;0,$H519*(+S403/$H403),0)</f>
        <v>0</v>
      </c>
      <c r="T519" s="12">
        <f t="shared" si="327"/>
        <v>0</v>
      </c>
      <c r="U519" s="12">
        <f t="shared" si="327"/>
        <v>0</v>
      </c>
      <c r="V519" s="12">
        <f t="shared" si="327"/>
        <v>0</v>
      </c>
      <c r="W519" s="27" t="str">
        <f t="shared" si="274"/>
        <v>OK</v>
      </c>
    </row>
    <row r="520" spans="1:23" x14ac:dyDescent="0.2">
      <c r="A520" s="3">
        <f t="shared" si="306"/>
        <v>23</v>
      </c>
      <c r="B520" s="3" t="s">
        <v>241</v>
      </c>
      <c r="C520" s="3" t="s">
        <v>242</v>
      </c>
      <c r="D520" s="16" t="str">
        <f>B520</f>
        <v>A916</v>
      </c>
      <c r="E520" s="4" t="s">
        <v>592</v>
      </c>
      <c r="F520" s="11"/>
      <c r="G520" s="11"/>
      <c r="H520" s="14">
        <f>'II-I TOTAL COMPANY'!M520</f>
        <v>0</v>
      </c>
      <c r="I520" s="66">
        <v>0</v>
      </c>
      <c r="J520" s="66">
        <f t="shared" si="323"/>
        <v>0</v>
      </c>
      <c r="K520" s="12">
        <f t="shared" si="324"/>
        <v>0</v>
      </c>
      <c r="L520" s="12">
        <f t="shared" si="324"/>
        <v>0</v>
      </c>
      <c r="M520" s="9">
        <f t="shared" si="325"/>
        <v>0</v>
      </c>
      <c r="N520" s="12">
        <f t="shared" si="326"/>
        <v>0</v>
      </c>
      <c r="O520" s="12">
        <f t="shared" si="326"/>
        <v>0</v>
      </c>
      <c r="P520" s="9">
        <f t="shared" si="290"/>
        <v>0</v>
      </c>
      <c r="Q520" s="12">
        <f t="shared" si="327"/>
        <v>0</v>
      </c>
      <c r="R520" s="12">
        <f t="shared" si="327"/>
        <v>0</v>
      </c>
      <c r="S520" s="12">
        <f>IF(+$H404&lt;&gt;0,$H520*(+S404/$H404),0)</f>
        <v>0</v>
      </c>
      <c r="T520" s="12">
        <f t="shared" si="327"/>
        <v>0</v>
      </c>
      <c r="U520" s="12">
        <f t="shared" si="327"/>
        <v>0</v>
      </c>
      <c r="V520" s="12">
        <f t="shared" si="327"/>
        <v>0</v>
      </c>
      <c r="W520" s="27" t="str">
        <f t="shared" ref="W520:W583" si="328">IF((+K520+L520+M520+P520+T520+U520+V520)-H520=0,"OK",(+K520+L520+M520+P520+T520+U520+V520)-H520)</f>
        <v>OK</v>
      </c>
    </row>
    <row r="521" spans="1:23" x14ac:dyDescent="0.2">
      <c r="A521" s="3">
        <f t="shared" si="306"/>
        <v>24</v>
      </c>
      <c r="B521" s="3" t="s">
        <v>243</v>
      </c>
      <c r="C521" s="3" t="s">
        <v>244</v>
      </c>
      <c r="D521" s="16" t="str">
        <f>B521</f>
        <v>A917</v>
      </c>
      <c r="E521" s="4" t="s">
        <v>592</v>
      </c>
      <c r="F521" s="11"/>
      <c r="G521" s="11"/>
      <c r="H521" s="14">
        <f>'II-I TOTAL COMPANY'!M521</f>
        <v>0</v>
      </c>
      <c r="I521" s="66">
        <v>0</v>
      </c>
      <c r="J521" s="66">
        <f t="shared" si="323"/>
        <v>0</v>
      </c>
      <c r="K521" s="12">
        <f t="shared" si="324"/>
        <v>0</v>
      </c>
      <c r="L521" s="12">
        <f t="shared" si="324"/>
        <v>0</v>
      </c>
      <c r="M521" s="9">
        <f t="shared" si="325"/>
        <v>0</v>
      </c>
      <c r="N521" s="12">
        <f t="shared" si="326"/>
        <v>0</v>
      </c>
      <c r="O521" s="12">
        <f t="shared" si="326"/>
        <v>0</v>
      </c>
      <c r="P521" s="9">
        <f t="shared" si="290"/>
        <v>0</v>
      </c>
      <c r="Q521" s="12">
        <f t="shared" si="327"/>
        <v>0</v>
      </c>
      <c r="R521" s="12">
        <f t="shared" si="327"/>
        <v>0</v>
      </c>
      <c r="S521" s="12">
        <f>IF(+$H405&lt;&gt;0,$H521*(+S405/$H405),0)</f>
        <v>0</v>
      </c>
      <c r="T521" s="12">
        <f t="shared" si="327"/>
        <v>0</v>
      </c>
      <c r="U521" s="12">
        <f t="shared" si="327"/>
        <v>0</v>
      </c>
      <c r="V521" s="12">
        <f t="shared" si="327"/>
        <v>0</v>
      </c>
      <c r="W521" s="27" t="str">
        <f t="shared" si="328"/>
        <v>OK</v>
      </c>
    </row>
    <row r="522" spans="1:23" x14ac:dyDescent="0.2">
      <c r="A522" s="3">
        <f t="shared" si="306"/>
        <v>25</v>
      </c>
      <c r="B522" s="3"/>
      <c r="C522" s="3" t="s">
        <v>135</v>
      </c>
      <c r="D522" s="3"/>
      <c r="E522" s="4"/>
      <c r="F522" s="11"/>
      <c r="G522" s="11"/>
      <c r="H522" s="11">
        <f>SUM(H517:H521)</f>
        <v>876.21</v>
      </c>
      <c r="I522" s="11">
        <f>SUM(I517:I521)</f>
        <v>0</v>
      </c>
      <c r="J522" s="66">
        <f t="shared" si="323"/>
        <v>0</v>
      </c>
      <c r="K522" s="11">
        <f>SUM(K517:K521)</f>
        <v>0</v>
      </c>
      <c r="L522" s="11">
        <f>SUM(L517:L521)</f>
        <v>0</v>
      </c>
      <c r="M522" s="9">
        <f t="shared" si="325"/>
        <v>0</v>
      </c>
      <c r="N522" s="11">
        <f>SUM(N517:N521)</f>
        <v>0</v>
      </c>
      <c r="O522" s="11">
        <f>SUM(O517:O521)</f>
        <v>0</v>
      </c>
      <c r="P522" s="9">
        <f t="shared" si="290"/>
        <v>0</v>
      </c>
      <c r="Q522" s="11">
        <f t="shared" ref="Q522:V522" si="329">SUM(Q517:Q521)</f>
        <v>0</v>
      </c>
      <c r="R522" s="11">
        <f t="shared" si="329"/>
        <v>0</v>
      </c>
      <c r="S522" s="11">
        <f>SUM(S517:S521)</f>
        <v>0</v>
      </c>
      <c r="T522" s="11">
        <f t="shared" si="329"/>
        <v>0</v>
      </c>
      <c r="U522" s="11">
        <f t="shared" si="329"/>
        <v>0</v>
      </c>
      <c r="V522" s="11">
        <f t="shared" si="329"/>
        <v>0</v>
      </c>
      <c r="W522" s="27">
        <f t="shared" si="328"/>
        <v>-876.21</v>
      </c>
    </row>
    <row r="523" spans="1:23" x14ac:dyDescent="0.2">
      <c r="A523" s="3">
        <f t="shared" si="306"/>
        <v>26</v>
      </c>
      <c r="B523" s="3"/>
      <c r="C523" s="3" t="s">
        <v>245</v>
      </c>
      <c r="D523" s="3"/>
      <c r="E523" s="4"/>
      <c r="F523" s="8"/>
      <c r="G523" s="8"/>
      <c r="H523" s="8">
        <f t="shared" ref="H523:V523" si="330">H506+H514+H522</f>
        <v>10828627.625998922</v>
      </c>
      <c r="I523" s="8">
        <f t="shared" si="330"/>
        <v>0</v>
      </c>
      <c r="J523" s="66">
        <f t="shared" si="323"/>
        <v>10827751.415998921</v>
      </c>
      <c r="K523" s="8">
        <f t="shared" si="330"/>
        <v>8876239.9643336087</v>
      </c>
      <c r="L523" s="8">
        <f t="shared" si="330"/>
        <v>943071.66763537563</v>
      </c>
      <c r="M523" s="9">
        <f t="shared" si="325"/>
        <v>624029.78714732977</v>
      </c>
      <c r="N523" s="8">
        <f t="shared" si="330"/>
        <v>4964.039793352511</v>
      </c>
      <c r="O523" s="8">
        <f t="shared" si="330"/>
        <v>619065.74735397729</v>
      </c>
      <c r="P523" s="9">
        <f t="shared" si="290"/>
        <v>9509.3225992056541</v>
      </c>
      <c r="Q523" s="8">
        <f t="shared" si="330"/>
        <v>4041.9004567401516</v>
      </c>
      <c r="R523" s="8">
        <f t="shared" si="330"/>
        <v>4739.9685526803487</v>
      </c>
      <c r="S523" s="8">
        <f>S506+S514+S522</f>
        <v>727.4535897851531</v>
      </c>
      <c r="T523" s="8">
        <f t="shared" si="330"/>
        <v>1069.242266589308</v>
      </c>
      <c r="U523" s="8">
        <f t="shared" si="330"/>
        <v>373667.68764862721</v>
      </c>
      <c r="V523" s="8">
        <f t="shared" si="330"/>
        <v>163.74436818350293</v>
      </c>
      <c r="W523" s="27">
        <f t="shared" si="328"/>
        <v>-876.20999999903142</v>
      </c>
    </row>
    <row r="524" spans="1:23" x14ac:dyDescent="0.2">
      <c r="A524" s="3">
        <f t="shared" si="306"/>
        <v>27</v>
      </c>
      <c r="B524" s="3"/>
      <c r="C524" s="3"/>
      <c r="D524" s="3"/>
      <c r="E524" s="4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9"/>
      <c r="Q524" s="8"/>
      <c r="R524" s="8"/>
      <c r="S524" s="8"/>
      <c r="T524" s="8"/>
      <c r="U524" s="8"/>
      <c r="V524" s="8"/>
      <c r="W524" s="27" t="str">
        <f t="shared" si="328"/>
        <v>OK</v>
      </c>
    </row>
    <row r="525" spans="1:23" x14ac:dyDescent="0.2">
      <c r="A525" s="3">
        <f t="shared" si="306"/>
        <v>28</v>
      </c>
      <c r="B525" s="3"/>
      <c r="C525" s="3" t="s">
        <v>283</v>
      </c>
      <c r="D525" s="3"/>
      <c r="E525" s="4"/>
      <c r="F525" s="8"/>
      <c r="G525" s="8"/>
      <c r="H525" s="8">
        <f t="shared" ref="H525:V525" si="331">H495+H523</f>
        <v>10828627.625998922</v>
      </c>
      <c r="I525" s="8">
        <f t="shared" si="331"/>
        <v>0</v>
      </c>
      <c r="J525" s="66">
        <f t="shared" si="323"/>
        <v>10827751.415998921</v>
      </c>
      <c r="K525" s="8">
        <f t="shared" si="331"/>
        <v>8876239.9643336087</v>
      </c>
      <c r="L525" s="8">
        <f>L495+L523</f>
        <v>943071.66763537563</v>
      </c>
      <c r="M525" s="9">
        <f>SUM(N525:O525)</f>
        <v>624029.78714732977</v>
      </c>
      <c r="N525" s="8">
        <f t="shared" si="331"/>
        <v>4964.039793352511</v>
      </c>
      <c r="O525" s="8">
        <f t="shared" si="331"/>
        <v>619065.74735397729</v>
      </c>
      <c r="P525" s="9">
        <f t="shared" si="290"/>
        <v>9509.3225992056541</v>
      </c>
      <c r="Q525" s="8">
        <f t="shared" si="331"/>
        <v>4041.9004567401516</v>
      </c>
      <c r="R525" s="8">
        <f t="shared" si="331"/>
        <v>4739.9685526803487</v>
      </c>
      <c r="S525" s="8">
        <f>S495+S523</f>
        <v>727.4535897851531</v>
      </c>
      <c r="T525" s="8">
        <f t="shared" si="331"/>
        <v>1069.242266589308</v>
      </c>
      <c r="U525" s="8">
        <f t="shared" si="331"/>
        <v>373667.68764862721</v>
      </c>
      <c r="V525" s="8">
        <f t="shared" si="331"/>
        <v>163.74436818350293</v>
      </c>
      <c r="W525" s="27">
        <f t="shared" si="328"/>
        <v>-876.20999999903142</v>
      </c>
    </row>
    <row r="526" spans="1:23" x14ac:dyDescent="0.2">
      <c r="A526" s="3"/>
      <c r="B526" s="3"/>
      <c r="C526" s="3"/>
      <c r="D526" s="3"/>
      <c r="E526" s="4"/>
      <c r="F526" s="4"/>
      <c r="G526" s="4"/>
      <c r="H526" s="8"/>
      <c r="I526" s="8"/>
      <c r="J526" s="8"/>
      <c r="K526" s="8"/>
      <c r="L526" s="8"/>
      <c r="M526" s="3"/>
      <c r="N526" s="3"/>
      <c r="O526" s="3"/>
      <c r="P526" s="9"/>
      <c r="Q526" s="3"/>
      <c r="R526" s="3"/>
      <c r="S526" s="3"/>
      <c r="T526" s="3"/>
      <c r="U526" s="3"/>
      <c r="V526" s="3"/>
      <c r="W526" s="27" t="str">
        <f t="shared" si="328"/>
        <v>OK</v>
      </c>
    </row>
    <row r="527" spans="1:23" x14ac:dyDescent="0.2">
      <c r="A527" s="3"/>
      <c r="B527" s="3"/>
      <c r="C527" s="3"/>
      <c r="D527" s="3"/>
      <c r="E527" s="4"/>
      <c r="F527" s="4"/>
      <c r="G527" s="4"/>
      <c r="H527" s="8"/>
      <c r="I527" s="8"/>
      <c r="J527" s="8"/>
      <c r="K527" s="8"/>
      <c r="L527" s="8"/>
      <c r="M527" s="3"/>
      <c r="N527" s="3"/>
      <c r="O527" s="3"/>
      <c r="P527" s="9"/>
      <c r="Q527" s="3"/>
      <c r="R527" s="3"/>
      <c r="S527" s="3"/>
      <c r="T527" s="3"/>
      <c r="U527" s="3"/>
      <c r="V527" s="3"/>
      <c r="W527" s="27" t="str">
        <f t="shared" si="328"/>
        <v>OK</v>
      </c>
    </row>
    <row r="528" spans="1:23" x14ac:dyDescent="0.2">
      <c r="A528" s="3"/>
      <c r="B528" s="7" t="s">
        <v>284</v>
      </c>
      <c r="C528" s="3"/>
      <c r="D528" s="3"/>
      <c r="E528" s="4"/>
      <c r="F528" s="4"/>
      <c r="G528" s="4"/>
      <c r="H528" s="8"/>
      <c r="I528" s="8"/>
      <c r="J528" s="8"/>
      <c r="K528" s="10"/>
      <c r="L528" s="10"/>
      <c r="M528" s="3"/>
      <c r="N528" s="3"/>
      <c r="O528" s="3"/>
      <c r="P528" s="9"/>
      <c r="Q528" s="3"/>
      <c r="R528" s="3"/>
      <c r="S528" s="3"/>
      <c r="T528" s="3"/>
      <c r="U528" s="3"/>
      <c r="V528" s="3"/>
      <c r="W528" s="27" t="str">
        <f t="shared" si="328"/>
        <v>OK</v>
      </c>
    </row>
    <row r="529" spans="1:23" x14ac:dyDescent="0.2">
      <c r="A529" s="3"/>
      <c r="B529" s="3"/>
      <c r="C529" s="3"/>
      <c r="D529" s="3"/>
      <c r="E529" s="4"/>
      <c r="F529" s="4"/>
      <c r="G529" s="4"/>
      <c r="H529" s="8"/>
      <c r="I529" s="8"/>
      <c r="J529" s="8"/>
      <c r="K529" s="10"/>
      <c r="L529" s="10"/>
      <c r="M529" s="3"/>
      <c r="N529" s="3"/>
      <c r="O529" s="3"/>
      <c r="P529" s="9"/>
      <c r="Q529" s="3"/>
      <c r="R529" s="3"/>
      <c r="S529" s="3"/>
      <c r="T529" s="3"/>
      <c r="U529" s="3"/>
      <c r="V529" s="3"/>
      <c r="W529" s="27" t="str">
        <f t="shared" si="328"/>
        <v>OK</v>
      </c>
    </row>
    <row r="530" spans="1:23" x14ac:dyDescent="0.2">
      <c r="A530" s="3">
        <v>1</v>
      </c>
      <c r="B530" s="3" t="s">
        <v>285</v>
      </c>
      <c r="C530" s="3"/>
      <c r="D530" s="3"/>
      <c r="E530" s="4"/>
      <c r="F530" s="4"/>
      <c r="G530" s="4"/>
      <c r="H530" s="8"/>
      <c r="I530" s="8"/>
      <c r="J530" s="8"/>
      <c r="K530" s="10"/>
      <c r="L530" s="10"/>
      <c r="M530" s="3"/>
      <c r="N530" s="3"/>
      <c r="O530" s="3"/>
      <c r="P530" s="9">
        <f t="shared" si="290"/>
        <v>0</v>
      </c>
      <c r="Q530" s="3"/>
      <c r="R530" s="3"/>
      <c r="S530" s="3"/>
      <c r="T530" s="3"/>
      <c r="U530" s="3"/>
      <c r="V530" s="3"/>
      <c r="W530" s="27" t="str">
        <f t="shared" si="328"/>
        <v>OK</v>
      </c>
    </row>
    <row r="531" spans="1:23" x14ac:dyDescent="0.2">
      <c r="A531" s="3">
        <f t="shared" ref="A531:A537" si="332">+A530+1</f>
        <v>2</v>
      </c>
      <c r="B531" s="3"/>
      <c r="C531" s="3"/>
      <c r="D531" s="3"/>
      <c r="E531" s="4"/>
      <c r="F531" s="4"/>
      <c r="G531" s="4"/>
      <c r="H531" s="8"/>
      <c r="I531" s="8"/>
      <c r="J531" s="8"/>
      <c r="K531" s="10"/>
      <c r="L531" s="10"/>
      <c r="M531" s="3"/>
      <c r="N531" s="3"/>
      <c r="O531" s="3"/>
      <c r="P531" s="9"/>
      <c r="Q531" s="3"/>
      <c r="R531" s="3"/>
      <c r="S531" s="3"/>
      <c r="T531" s="3"/>
      <c r="U531" s="3"/>
      <c r="V531" s="3"/>
      <c r="W531" s="27" t="str">
        <f t="shared" si="328"/>
        <v>OK</v>
      </c>
    </row>
    <row r="532" spans="1:23" x14ac:dyDescent="0.2">
      <c r="A532" s="3">
        <f t="shared" si="332"/>
        <v>3</v>
      </c>
      <c r="B532" s="3" t="s">
        <v>23</v>
      </c>
      <c r="C532" s="3"/>
      <c r="D532" s="3"/>
      <c r="E532" s="4"/>
      <c r="F532" s="4"/>
      <c r="G532" s="4"/>
      <c r="H532" s="8"/>
      <c r="I532" s="8"/>
      <c r="J532" s="8"/>
      <c r="K532" s="10"/>
      <c r="L532" s="10"/>
      <c r="M532" s="3"/>
      <c r="N532" s="3"/>
      <c r="O532" s="3"/>
      <c r="P532" s="9"/>
      <c r="Q532" s="3"/>
      <c r="R532" s="3"/>
      <c r="S532" s="3"/>
      <c r="T532" s="3"/>
      <c r="U532" s="3"/>
      <c r="V532" s="3"/>
      <c r="W532" s="27" t="str">
        <f t="shared" si="328"/>
        <v>OK</v>
      </c>
    </row>
    <row r="533" spans="1:23" x14ac:dyDescent="0.2">
      <c r="A533" s="3">
        <f t="shared" si="332"/>
        <v>4</v>
      </c>
      <c r="B533" s="3" t="s">
        <v>24</v>
      </c>
      <c r="C533" s="3" t="s">
        <v>25</v>
      </c>
      <c r="D533" s="16" t="str">
        <f>D93</f>
        <v>LABOR</v>
      </c>
      <c r="E533" s="4" t="s">
        <v>592</v>
      </c>
      <c r="F533" s="11"/>
      <c r="G533" s="11"/>
      <c r="H533" s="14">
        <f>'II-I TOTAL COMPANY'!M533</f>
        <v>0</v>
      </c>
      <c r="I533" s="66">
        <v>0</v>
      </c>
      <c r="J533" s="66">
        <f>SUM(K533:V533)-M533-P533</f>
        <v>0</v>
      </c>
      <c r="K533" s="12">
        <f t="shared" ref="K533:L535" si="333">IF($H93&lt;&gt;0,$H533*(K93/$H93),0)</f>
        <v>0</v>
      </c>
      <c r="L533" s="12">
        <f t="shared" si="333"/>
        <v>0</v>
      </c>
      <c r="M533" s="9">
        <f>SUM(N533:O533)</f>
        <v>0</v>
      </c>
      <c r="N533" s="12">
        <f>IF($H93&lt;&gt;0,$H533*(N93/$H93),0)</f>
        <v>0</v>
      </c>
      <c r="O533" s="12">
        <f>IF($H93&lt;&gt;0,$H533*(O93/$H93),0)</f>
        <v>0</v>
      </c>
      <c r="P533" s="9">
        <f t="shared" ref="P533:P594" si="334">SUM(Q533:S533)</f>
        <v>0</v>
      </c>
      <c r="Q533" s="12">
        <f t="shared" ref="Q533:V534" si="335">IF($H93&lt;&gt;0,$H533*(Q93/$H93),0)</f>
        <v>0</v>
      </c>
      <c r="R533" s="12">
        <f t="shared" si="335"/>
        <v>0</v>
      </c>
      <c r="S533" s="12">
        <f>IF($H93&lt;&gt;0,$H533*(S93/$H93),0)</f>
        <v>0</v>
      </c>
      <c r="T533" s="12">
        <f t="shared" si="335"/>
        <v>0</v>
      </c>
      <c r="U533" s="12">
        <f t="shared" si="335"/>
        <v>0</v>
      </c>
      <c r="V533" s="12">
        <f t="shared" si="335"/>
        <v>0</v>
      </c>
      <c r="W533" s="27" t="str">
        <f t="shared" si="328"/>
        <v>OK</v>
      </c>
    </row>
    <row r="534" spans="1:23" x14ac:dyDescent="0.2">
      <c r="A534" s="3">
        <f t="shared" si="332"/>
        <v>5</v>
      </c>
      <c r="B534" s="3" t="s">
        <v>26</v>
      </c>
      <c r="C534" s="3" t="s">
        <v>27</v>
      </c>
      <c r="D534" s="16" t="str">
        <f>D94</f>
        <v>LABOR</v>
      </c>
      <c r="E534" s="4" t="s">
        <v>592</v>
      </c>
      <c r="F534" s="11"/>
      <c r="G534" s="11"/>
      <c r="H534" s="14">
        <f>'II-I TOTAL COMPANY'!M534</f>
        <v>0</v>
      </c>
      <c r="I534" s="66">
        <v>0</v>
      </c>
      <c r="J534" s="66">
        <f t="shared" ref="J534:J536" si="336">SUM(K534:V534)-M534-P534</f>
        <v>0</v>
      </c>
      <c r="K534" s="12">
        <f t="shared" si="333"/>
        <v>0</v>
      </c>
      <c r="L534" s="12">
        <f t="shared" si="333"/>
        <v>0</v>
      </c>
      <c r="M534" s="9">
        <f>SUM(N534:O534)</f>
        <v>0</v>
      </c>
      <c r="N534" s="12">
        <f>IF($H94&lt;&gt;0,$H534*(N94/$H94),0)</f>
        <v>0</v>
      </c>
      <c r="O534" s="12">
        <f>IF($H94&lt;&gt;0,$H534*(O94/$H94),0)</f>
        <v>0</v>
      </c>
      <c r="P534" s="9">
        <f t="shared" si="334"/>
        <v>0</v>
      </c>
      <c r="Q534" s="12">
        <f t="shared" si="335"/>
        <v>0</v>
      </c>
      <c r="R534" s="12">
        <f t="shared" si="335"/>
        <v>0</v>
      </c>
      <c r="S534" s="12">
        <f>IF($H94&lt;&gt;0,$H534*(S94/$H94),0)</f>
        <v>0</v>
      </c>
      <c r="T534" s="12">
        <f t="shared" si="335"/>
        <v>0</v>
      </c>
      <c r="U534" s="12">
        <f t="shared" si="335"/>
        <v>0</v>
      </c>
      <c r="V534" s="12">
        <f t="shared" si="335"/>
        <v>0</v>
      </c>
      <c r="W534" s="27" t="str">
        <f t="shared" si="328"/>
        <v>OK</v>
      </c>
    </row>
    <row r="535" spans="1:23" x14ac:dyDescent="0.2">
      <c r="A535" s="3">
        <f t="shared" si="332"/>
        <v>6</v>
      </c>
      <c r="B535" s="3" t="s">
        <v>28</v>
      </c>
      <c r="C535" s="3" t="s">
        <v>29</v>
      </c>
      <c r="D535" s="16" t="str">
        <f>D95</f>
        <v>LABOR</v>
      </c>
      <c r="E535" s="4" t="s">
        <v>592</v>
      </c>
      <c r="F535" s="11"/>
      <c r="G535" s="11"/>
      <c r="H535" s="14">
        <f>'II-I TOTAL COMPANY'!M535</f>
        <v>0</v>
      </c>
      <c r="I535" s="66">
        <v>0</v>
      </c>
      <c r="J535" s="66">
        <f t="shared" si="336"/>
        <v>0</v>
      </c>
      <c r="K535" s="12">
        <f t="shared" si="333"/>
        <v>0</v>
      </c>
      <c r="L535" s="12">
        <f t="shared" si="333"/>
        <v>0</v>
      </c>
      <c r="M535" s="9">
        <f>SUM(N535:O535)</f>
        <v>0</v>
      </c>
      <c r="N535" s="12">
        <f t="shared" ref="N535:V535" si="337">IF($H95&lt;&gt;0,$H535*(N95/$H95),0)</f>
        <v>0</v>
      </c>
      <c r="O535" s="12">
        <f t="shared" si="337"/>
        <v>0</v>
      </c>
      <c r="P535" s="9">
        <f t="shared" si="334"/>
        <v>0</v>
      </c>
      <c r="Q535" s="12">
        <f t="shared" si="337"/>
        <v>0</v>
      </c>
      <c r="R535" s="12">
        <f t="shared" si="337"/>
        <v>0</v>
      </c>
      <c r="S535" s="12">
        <f>IF($H95&lt;&gt;0,$H535*(S95/$H95),0)</f>
        <v>0</v>
      </c>
      <c r="T535" s="12">
        <f t="shared" si="337"/>
        <v>0</v>
      </c>
      <c r="U535" s="12">
        <f t="shared" si="337"/>
        <v>0</v>
      </c>
      <c r="V535" s="12">
        <f t="shared" si="337"/>
        <v>0</v>
      </c>
      <c r="W535" s="27" t="str">
        <f t="shared" si="328"/>
        <v>OK</v>
      </c>
    </row>
    <row r="536" spans="1:23" x14ac:dyDescent="0.2">
      <c r="A536" s="3">
        <f t="shared" si="332"/>
        <v>7</v>
      </c>
      <c r="B536" s="3"/>
      <c r="C536" s="3" t="s">
        <v>30</v>
      </c>
      <c r="D536" s="3"/>
      <c r="E536" s="4"/>
      <c r="F536" s="8"/>
      <c r="G536" s="8"/>
      <c r="H536" s="8">
        <f t="shared" ref="H536:V536" si="338">SUM(H533:H535)</f>
        <v>0</v>
      </c>
      <c r="I536" s="8">
        <f t="shared" si="338"/>
        <v>0</v>
      </c>
      <c r="J536" s="66">
        <f t="shared" si="336"/>
        <v>0</v>
      </c>
      <c r="K536" s="8">
        <f t="shared" si="338"/>
        <v>0</v>
      </c>
      <c r="L536" s="8">
        <f t="shared" si="338"/>
        <v>0</v>
      </c>
      <c r="M536" s="9">
        <f>SUM(N536:O536)</f>
        <v>0</v>
      </c>
      <c r="N536" s="8">
        <f t="shared" si="338"/>
        <v>0</v>
      </c>
      <c r="O536" s="8">
        <f t="shared" si="338"/>
        <v>0</v>
      </c>
      <c r="P536" s="9">
        <f t="shared" si="334"/>
        <v>0</v>
      </c>
      <c r="Q536" s="8">
        <f t="shared" si="338"/>
        <v>0</v>
      </c>
      <c r="R536" s="8">
        <f t="shared" si="338"/>
        <v>0</v>
      </c>
      <c r="S536" s="8">
        <f>SUM(S533:S535)</f>
        <v>0</v>
      </c>
      <c r="T536" s="8">
        <f t="shared" si="338"/>
        <v>0</v>
      </c>
      <c r="U536" s="8">
        <f t="shared" si="338"/>
        <v>0</v>
      </c>
      <c r="V536" s="8">
        <f t="shared" si="338"/>
        <v>0</v>
      </c>
      <c r="W536" s="27" t="str">
        <f t="shared" si="328"/>
        <v>OK</v>
      </c>
    </row>
    <row r="537" spans="1:23" x14ac:dyDescent="0.2">
      <c r="A537" s="3">
        <f t="shared" si="332"/>
        <v>8</v>
      </c>
      <c r="B537" s="3"/>
      <c r="C537" s="3"/>
      <c r="D537" s="3"/>
      <c r="E537" s="4"/>
      <c r="F537" s="4"/>
      <c r="G537" s="4"/>
      <c r="H537" s="8"/>
      <c r="I537" s="8"/>
      <c r="J537" s="8"/>
      <c r="K537" s="10"/>
      <c r="L537" s="10"/>
      <c r="M537" s="3"/>
      <c r="N537" s="3"/>
      <c r="O537" s="3"/>
      <c r="P537" s="9"/>
      <c r="Q537" s="3"/>
      <c r="R537" s="3"/>
      <c r="S537" s="3"/>
      <c r="T537" s="3"/>
      <c r="U537" s="3"/>
      <c r="V537" s="3"/>
      <c r="W537" s="27" t="str">
        <f t="shared" si="328"/>
        <v>OK</v>
      </c>
    </row>
    <row r="538" spans="1:23" x14ac:dyDescent="0.2">
      <c r="A538" s="3">
        <f t="shared" ref="A538:A582" si="339">1+A537</f>
        <v>9</v>
      </c>
      <c r="B538" s="3"/>
      <c r="C538" s="3"/>
      <c r="D538" s="3"/>
      <c r="E538" s="4"/>
      <c r="F538" s="4"/>
      <c r="G538" s="4"/>
      <c r="H538" s="8"/>
      <c r="I538" s="8"/>
      <c r="J538" s="8"/>
      <c r="K538" s="10"/>
      <c r="L538" s="10"/>
      <c r="M538" s="3"/>
      <c r="N538" s="3"/>
      <c r="O538" s="3"/>
      <c r="P538" s="9"/>
      <c r="Q538" s="3"/>
      <c r="R538" s="3"/>
      <c r="S538" s="3"/>
      <c r="T538" s="3"/>
      <c r="U538" s="3"/>
      <c r="V538" s="3"/>
      <c r="W538" s="27" t="str">
        <f t="shared" si="328"/>
        <v>OK</v>
      </c>
    </row>
    <row r="539" spans="1:23" x14ac:dyDescent="0.2">
      <c r="A539" s="3">
        <f t="shared" si="339"/>
        <v>10</v>
      </c>
      <c r="B539" s="3" t="s">
        <v>33</v>
      </c>
      <c r="C539" s="3"/>
      <c r="D539" s="3"/>
      <c r="E539" s="4"/>
      <c r="F539" s="4"/>
      <c r="G539" s="4"/>
      <c r="H539" s="8"/>
      <c r="I539" s="8"/>
      <c r="J539" s="8"/>
      <c r="K539" s="10"/>
      <c r="L539" s="10"/>
      <c r="M539" s="3"/>
      <c r="N539" s="3"/>
      <c r="O539" s="3"/>
      <c r="P539" s="9"/>
      <c r="Q539" s="3"/>
      <c r="R539" s="3"/>
      <c r="S539" s="3"/>
      <c r="T539" s="3"/>
      <c r="U539" s="3"/>
      <c r="V539" s="3"/>
      <c r="W539" s="27" t="str">
        <f t="shared" si="328"/>
        <v>OK</v>
      </c>
    </row>
    <row r="540" spans="1:23" x14ac:dyDescent="0.2">
      <c r="A540" s="3">
        <f t="shared" si="339"/>
        <v>11</v>
      </c>
      <c r="B540" s="3" t="s">
        <v>34</v>
      </c>
      <c r="C540" s="3" t="s">
        <v>35</v>
      </c>
      <c r="D540" s="16" t="str">
        <f t="shared" ref="D540:D548" si="340">D101</f>
        <v>DEMANDDP</v>
      </c>
      <c r="E540" s="4" t="s">
        <v>592</v>
      </c>
      <c r="F540" s="11"/>
      <c r="G540" s="11"/>
      <c r="H540" s="14">
        <f>'II-I TOTAL COMPANY'!M540</f>
        <v>0</v>
      </c>
      <c r="I540" s="66">
        <v>0</v>
      </c>
      <c r="J540" s="66">
        <f>SUM(K540:V540)-M540-P540</f>
        <v>0</v>
      </c>
      <c r="K540" s="12">
        <f t="shared" ref="K540:L548" si="341">IF($H101&lt;&gt;0,$H540*(K101/$H101),0)</f>
        <v>0</v>
      </c>
      <c r="L540" s="12">
        <f t="shared" si="341"/>
        <v>0</v>
      </c>
      <c r="M540" s="9">
        <f t="shared" ref="M540:M549" si="342">SUM(N540:O540)</f>
        <v>0</v>
      </c>
      <c r="N540" s="12">
        <f t="shared" ref="N540:O548" si="343">IF($H101&lt;&gt;0,$H540*(N101/$H101),0)</f>
        <v>0</v>
      </c>
      <c r="O540" s="12">
        <f t="shared" si="343"/>
        <v>0</v>
      </c>
      <c r="P540" s="9">
        <f t="shared" si="334"/>
        <v>0</v>
      </c>
      <c r="Q540" s="12">
        <f t="shared" ref="Q540:V548" si="344">IF($H101&lt;&gt;0,$H540*(Q101/$H101),0)</f>
        <v>0</v>
      </c>
      <c r="R540" s="12">
        <f t="shared" si="344"/>
        <v>0</v>
      </c>
      <c r="S540" s="12">
        <f t="shared" ref="S540:S548" si="345">IF($H101&lt;&gt;0,$H540*(S101/$H101),0)</f>
        <v>0</v>
      </c>
      <c r="T540" s="12">
        <f t="shared" si="344"/>
        <v>0</v>
      </c>
      <c r="U540" s="12">
        <f t="shared" si="344"/>
        <v>0</v>
      </c>
      <c r="V540" s="12">
        <f t="shared" si="344"/>
        <v>0</v>
      </c>
      <c r="W540" s="27" t="str">
        <f t="shared" si="328"/>
        <v>OK</v>
      </c>
    </row>
    <row r="541" spans="1:23" x14ac:dyDescent="0.2">
      <c r="A541" s="3">
        <f t="shared" si="339"/>
        <v>12</v>
      </c>
      <c r="B541" s="3" t="s">
        <v>36</v>
      </c>
      <c r="C541" s="3" t="s">
        <v>31</v>
      </c>
      <c r="D541" s="16" t="str">
        <f t="shared" si="340"/>
        <v>DEMANDDP</v>
      </c>
      <c r="E541" s="4" t="s">
        <v>592</v>
      </c>
      <c r="F541" s="11"/>
      <c r="G541" s="11"/>
      <c r="H541" s="14">
        <f>'II-I TOTAL COMPANY'!M541</f>
        <v>0</v>
      </c>
      <c r="I541" s="66">
        <v>0</v>
      </c>
      <c r="J541" s="66">
        <f t="shared" ref="J541:J549" si="346">SUM(K541:V541)-M541-P541</f>
        <v>0</v>
      </c>
      <c r="K541" s="12">
        <f t="shared" si="341"/>
        <v>0</v>
      </c>
      <c r="L541" s="12">
        <f t="shared" si="341"/>
        <v>0</v>
      </c>
      <c r="M541" s="9">
        <f t="shared" si="342"/>
        <v>0</v>
      </c>
      <c r="N541" s="12">
        <f t="shared" si="343"/>
        <v>0</v>
      </c>
      <c r="O541" s="12">
        <f t="shared" si="343"/>
        <v>0</v>
      </c>
      <c r="P541" s="9">
        <f t="shared" si="334"/>
        <v>0</v>
      </c>
      <c r="Q541" s="12">
        <f t="shared" si="344"/>
        <v>0</v>
      </c>
      <c r="R541" s="12">
        <f t="shared" si="344"/>
        <v>0</v>
      </c>
      <c r="S541" s="12">
        <f t="shared" si="345"/>
        <v>0</v>
      </c>
      <c r="T541" s="12">
        <f t="shared" si="344"/>
        <v>0</v>
      </c>
      <c r="U541" s="12">
        <f t="shared" si="344"/>
        <v>0</v>
      </c>
      <c r="V541" s="12">
        <f t="shared" si="344"/>
        <v>0</v>
      </c>
      <c r="W541" s="27" t="str">
        <f t="shared" si="328"/>
        <v>OK</v>
      </c>
    </row>
    <row r="542" spans="1:23" x14ac:dyDescent="0.2">
      <c r="A542" s="3">
        <f t="shared" si="339"/>
        <v>13</v>
      </c>
      <c r="B542" s="3" t="s">
        <v>37</v>
      </c>
      <c r="C542" s="3" t="s">
        <v>38</v>
      </c>
      <c r="D542" s="16" t="str">
        <f t="shared" si="340"/>
        <v>DEMANDDP</v>
      </c>
      <c r="E542" s="4" t="s">
        <v>592</v>
      </c>
      <c r="F542" s="11"/>
      <c r="G542" s="11"/>
      <c r="H542" s="14">
        <f>'II-I TOTAL COMPANY'!M542</f>
        <v>0</v>
      </c>
      <c r="I542" s="66">
        <v>0</v>
      </c>
      <c r="J542" s="66">
        <f t="shared" si="346"/>
        <v>0</v>
      </c>
      <c r="K542" s="12">
        <f t="shared" si="341"/>
        <v>0</v>
      </c>
      <c r="L542" s="12">
        <f t="shared" si="341"/>
        <v>0</v>
      </c>
      <c r="M542" s="9">
        <f t="shared" si="342"/>
        <v>0</v>
      </c>
      <c r="N542" s="12">
        <f t="shared" si="343"/>
        <v>0</v>
      </c>
      <c r="O542" s="12">
        <f t="shared" si="343"/>
        <v>0</v>
      </c>
      <c r="P542" s="9">
        <f t="shared" si="334"/>
        <v>0</v>
      </c>
      <c r="Q542" s="12">
        <f t="shared" si="344"/>
        <v>0</v>
      </c>
      <c r="R542" s="12">
        <f t="shared" si="344"/>
        <v>0</v>
      </c>
      <c r="S542" s="12">
        <f t="shared" si="345"/>
        <v>0</v>
      </c>
      <c r="T542" s="12">
        <f t="shared" si="344"/>
        <v>0</v>
      </c>
      <c r="U542" s="12">
        <f t="shared" si="344"/>
        <v>0</v>
      </c>
      <c r="V542" s="12">
        <f t="shared" si="344"/>
        <v>0</v>
      </c>
      <c r="W542" s="27" t="str">
        <f t="shared" si="328"/>
        <v>OK</v>
      </c>
    </row>
    <row r="543" spans="1:23" x14ac:dyDescent="0.2">
      <c r="A543" s="3">
        <f t="shared" si="339"/>
        <v>14</v>
      </c>
      <c r="B543" s="3" t="s">
        <v>39</v>
      </c>
      <c r="C543" s="3" t="s">
        <v>40</v>
      </c>
      <c r="D543" s="16" t="str">
        <f t="shared" si="340"/>
        <v>DEMANDDP</v>
      </c>
      <c r="E543" s="4" t="s">
        <v>592</v>
      </c>
      <c r="F543" s="11"/>
      <c r="G543" s="11"/>
      <c r="H543" s="14">
        <f>'II-I TOTAL COMPANY'!M543</f>
        <v>0</v>
      </c>
      <c r="I543" s="66">
        <v>0</v>
      </c>
      <c r="J543" s="66">
        <f t="shared" si="346"/>
        <v>0</v>
      </c>
      <c r="K543" s="12">
        <f t="shared" si="341"/>
        <v>0</v>
      </c>
      <c r="L543" s="12">
        <f t="shared" si="341"/>
        <v>0</v>
      </c>
      <c r="M543" s="9">
        <f t="shared" si="342"/>
        <v>0</v>
      </c>
      <c r="N543" s="12">
        <f t="shared" si="343"/>
        <v>0</v>
      </c>
      <c r="O543" s="12">
        <f t="shared" si="343"/>
        <v>0</v>
      </c>
      <c r="P543" s="9">
        <f t="shared" si="334"/>
        <v>0</v>
      </c>
      <c r="Q543" s="12">
        <f t="shared" si="344"/>
        <v>0</v>
      </c>
      <c r="R543" s="12">
        <f t="shared" si="344"/>
        <v>0</v>
      </c>
      <c r="S543" s="12">
        <f t="shared" si="345"/>
        <v>0</v>
      </c>
      <c r="T543" s="12">
        <f t="shared" si="344"/>
        <v>0</v>
      </c>
      <c r="U543" s="12">
        <f t="shared" si="344"/>
        <v>0</v>
      </c>
      <c r="V543" s="12">
        <f t="shared" si="344"/>
        <v>0</v>
      </c>
      <c r="W543" s="27" t="str">
        <f t="shared" si="328"/>
        <v>OK</v>
      </c>
    </row>
    <row r="544" spans="1:23" x14ac:dyDescent="0.2">
      <c r="A544" s="3">
        <f t="shared" si="339"/>
        <v>15</v>
      </c>
      <c r="B544" s="3" t="s">
        <v>41</v>
      </c>
      <c r="C544" s="3" t="s">
        <v>42</v>
      </c>
      <c r="D544" s="16" t="str">
        <f t="shared" si="340"/>
        <v>DEMANDDP</v>
      </c>
      <c r="E544" s="4" t="s">
        <v>592</v>
      </c>
      <c r="F544" s="11"/>
      <c r="G544" s="11"/>
      <c r="H544" s="14">
        <f>'II-I TOTAL COMPANY'!M544</f>
        <v>0</v>
      </c>
      <c r="I544" s="66">
        <v>0</v>
      </c>
      <c r="J544" s="66">
        <f t="shared" si="346"/>
        <v>0</v>
      </c>
      <c r="K544" s="12">
        <f t="shared" si="341"/>
        <v>0</v>
      </c>
      <c r="L544" s="12">
        <f t="shared" si="341"/>
        <v>0</v>
      </c>
      <c r="M544" s="9">
        <f t="shared" si="342"/>
        <v>0</v>
      </c>
      <c r="N544" s="12">
        <f t="shared" si="343"/>
        <v>0</v>
      </c>
      <c r="O544" s="12">
        <f t="shared" si="343"/>
        <v>0</v>
      </c>
      <c r="P544" s="9">
        <f t="shared" si="334"/>
        <v>0</v>
      </c>
      <c r="Q544" s="12">
        <f t="shared" si="344"/>
        <v>0</v>
      </c>
      <c r="R544" s="12">
        <f t="shared" si="344"/>
        <v>0</v>
      </c>
      <c r="S544" s="12">
        <f t="shared" si="345"/>
        <v>0</v>
      </c>
      <c r="T544" s="12">
        <f t="shared" si="344"/>
        <v>0</v>
      </c>
      <c r="U544" s="12">
        <f t="shared" si="344"/>
        <v>0</v>
      </c>
      <c r="V544" s="12">
        <f t="shared" si="344"/>
        <v>0</v>
      </c>
      <c r="W544" s="27" t="str">
        <f t="shared" si="328"/>
        <v>OK</v>
      </c>
    </row>
    <row r="545" spans="1:23" x14ac:dyDescent="0.2">
      <c r="A545" s="3">
        <f t="shared" si="339"/>
        <v>16</v>
      </c>
      <c r="B545" s="3" t="s">
        <v>43</v>
      </c>
      <c r="C545" s="3" t="s">
        <v>44</v>
      </c>
      <c r="D545" s="16" t="str">
        <f t="shared" si="340"/>
        <v>DEMANDDP</v>
      </c>
      <c r="E545" s="4" t="s">
        <v>592</v>
      </c>
      <c r="F545" s="11"/>
      <c r="G545" s="11"/>
      <c r="H545" s="14">
        <f>'II-I TOTAL COMPANY'!M545</f>
        <v>0</v>
      </c>
      <c r="I545" s="66">
        <v>0</v>
      </c>
      <c r="J545" s="66">
        <f t="shared" si="346"/>
        <v>0</v>
      </c>
      <c r="K545" s="12">
        <f t="shared" si="341"/>
        <v>0</v>
      </c>
      <c r="L545" s="12">
        <f t="shared" si="341"/>
        <v>0</v>
      </c>
      <c r="M545" s="9">
        <f t="shared" si="342"/>
        <v>0</v>
      </c>
      <c r="N545" s="12">
        <f t="shared" si="343"/>
        <v>0</v>
      </c>
      <c r="O545" s="12">
        <f t="shared" si="343"/>
        <v>0</v>
      </c>
      <c r="P545" s="9">
        <f t="shared" si="334"/>
        <v>0</v>
      </c>
      <c r="Q545" s="12">
        <f t="shared" si="344"/>
        <v>0</v>
      </c>
      <c r="R545" s="12">
        <f t="shared" si="344"/>
        <v>0</v>
      </c>
      <c r="S545" s="12">
        <f t="shared" si="345"/>
        <v>0</v>
      </c>
      <c r="T545" s="12">
        <f t="shared" si="344"/>
        <v>0</v>
      </c>
      <c r="U545" s="12">
        <f t="shared" si="344"/>
        <v>0</v>
      </c>
      <c r="V545" s="12">
        <f t="shared" si="344"/>
        <v>0</v>
      </c>
      <c r="W545" s="27" t="str">
        <f t="shared" si="328"/>
        <v>OK</v>
      </c>
    </row>
    <row r="546" spans="1:23" x14ac:dyDescent="0.2">
      <c r="A546" s="3">
        <f t="shared" si="339"/>
        <v>17</v>
      </c>
      <c r="B546" s="3" t="s">
        <v>45</v>
      </c>
      <c r="C546" s="3" t="s">
        <v>46</v>
      </c>
      <c r="D546" s="16" t="str">
        <f t="shared" si="340"/>
        <v>DEMANDDP</v>
      </c>
      <c r="E546" s="4" t="s">
        <v>592</v>
      </c>
      <c r="F546" s="11"/>
      <c r="G546" s="11"/>
      <c r="H546" s="14">
        <f>'II-I TOTAL COMPANY'!M546</f>
        <v>0</v>
      </c>
      <c r="I546" s="66">
        <v>0</v>
      </c>
      <c r="J546" s="66">
        <f t="shared" si="346"/>
        <v>0</v>
      </c>
      <c r="K546" s="12">
        <f t="shared" si="341"/>
        <v>0</v>
      </c>
      <c r="L546" s="12">
        <f t="shared" si="341"/>
        <v>0</v>
      </c>
      <c r="M546" s="9">
        <f t="shared" si="342"/>
        <v>0</v>
      </c>
      <c r="N546" s="12">
        <f t="shared" si="343"/>
        <v>0</v>
      </c>
      <c r="O546" s="12">
        <f t="shared" si="343"/>
        <v>0</v>
      </c>
      <c r="P546" s="9">
        <f t="shared" si="334"/>
        <v>0</v>
      </c>
      <c r="Q546" s="12">
        <f t="shared" si="344"/>
        <v>0</v>
      </c>
      <c r="R546" s="12">
        <f t="shared" si="344"/>
        <v>0</v>
      </c>
      <c r="S546" s="12">
        <f t="shared" si="345"/>
        <v>0</v>
      </c>
      <c r="T546" s="12">
        <f t="shared" si="344"/>
        <v>0</v>
      </c>
      <c r="U546" s="12">
        <f t="shared" si="344"/>
        <v>0</v>
      </c>
      <c r="V546" s="12">
        <f t="shared" si="344"/>
        <v>0</v>
      </c>
      <c r="W546" s="27" t="str">
        <f t="shared" si="328"/>
        <v>OK</v>
      </c>
    </row>
    <row r="547" spans="1:23" x14ac:dyDescent="0.2">
      <c r="A547" s="3">
        <f t="shared" si="339"/>
        <v>18</v>
      </c>
      <c r="B547" s="3" t="s">
        <v>47</v>
      </c>
      <c r="C547" s="3" t="s">
        <v>48</v>
      </c>
      <c r="D547" s="16" t="str">
        <f t="shared" si="340"/>
        <v>DEMANDDP</v>
      </c>
      <c r="E547" s="4" t="s">
        <v>592</v>
      </c>
      <c r="F547" s="11"/>
      <c r="G547" s="11"/>
      <c r="H547" s="14">
        <f>'II-I TOTAL COMPANY'!M547</f>
        <v>0</v>
      </c>
      <c r="I547" s="66">
        <v>0</v>
      </c>
      <c r="J547" s="66">
        <f t="shared" si="346"/>
        <v>0</v>
      </c>
      <c r="K547" s="12">
        <f t="shared" si="341"/>
        <v>0</v>
      </c>
      <c r="L547" s="12">
        <f t="shared" si="341"/>
        <v>0</v>
      </c>
      <c r="M547" s="9">
        <f t="shared" si="342"/>
        <v>0</v>
      </c>
      <c r="N547" s="12">
        <f t="shared" si="343"/>
        <v>0</v>
      </c>
      <c r="O547" s="12">
        <f t="shared" si="343"/>
        <v>0</v>
      </c>
      <c r="P547" s="9">
        <f t="shared" si="334"/>
        <v>0</v>
      </c>
      <c r="Q547" s="12">
        <f t="shared" si="344"/>
        <v>0</v>
      </c>
      <c r="R547" s="12">
        <f t="shared" si="344"/>
        <v>0</v>
      </c>
      <c r="S547" s="12">
        <f t="shared" si="345"/>
        <v>0</v>
      </c>
      <c r="T547" s="12">
        <f t="shared" si="344"/>
        <v>0</v>
      </c>
      <c r="U547" s="12">
        <f t="shared" si="344"/>
        <v>0</v>
      </c>
      <c r="V547" s="12">
        <f t="shared" si="344"/>
        <v>0</v>
      </c>
      <c r="W547" s="27" t="str">
        <f t="shared" si="328"/>
        <v>OK</v>
      </c>
    </row>
    <row r="548" spans="1:23" x14ac:dyDescent="0.2">
      <c r="A548" s="3">
        <f t="shared" si="339"/>
        <v>19</v>
      </c>
      <c r="B548" s="3" t="s">
        <v>49</v>
      </c>
      <c r="C548" s="3" t="s">
        <v>50</v>
      </c>
      <c r="D548" s="16" t="str">
        <f t="shared" si="340"/>
        <v>DEMANDDP</v>
      </c>
      <c r="E548" s="4" t="s">
        <v>592</v>
      </c>
      <c r="F548" s="11"/>
      <c r="G548" s="11"/>
      <c r="H548" s="14">
        <f>'II-I TOTAL COMPANY'!M548</f>
        <v>0</v>
      </c>
      <c r="I548" s="66">
        <v>0</v>
      </c>
      <c r="J548" s="66">
        <f t="shared" si="346"/>
        <v>0</v>
      </c>
      <c r="K548" s="12">
        <f t="shared" si="341"/>
        <v>0</v>
      </c>
      <c r="L548" s="12">
        <f t="shared" si="341"/>
        <v>0</v>
      </c>
      <c r="M548" s="9">
        <f t="shared" si="342"/>
        <v>0</v>
      </c>
      <c r="N548" s="12">
        <f t="shared" si="343"/>
        <v>0</v>
      </c>
      <c r="O548" s="12">
        <f t="shared" si="343"/>
        <v>0</v>
      </c>
      <c r="P548" s="9">
        <f t="shared" si="334"/>
        <v>0</v>
      </c>
      <c r="Q548" s="12">
        <f t="shared" si="344"/>
        <v>0</v>
      </c>
      <c r="R548" s="12">
        <f t="shared" si="344"/>
        <v>0</v>
      </c>
      <c r="S548" s="12">
        <f t="shared" si="345"/>
        <v>0</v>
      </c>
      <c r="T548" s="12">
        <f t="shared" si="344"/>
        <v>0</v>
      </c>
      <c r="U548" s="12">
        <f t="shared" si="344"/>
        <v>0</v>
      </c>
      <c r="V548" s="12">
        <f t="shared" si="344"/>
        <v>0</v>
      </c>
      <c r="W548" s="27" t="str">
        <f t="shared" si="328"/>
        <v>OK</v>
      </c>
    </row>
    <row r="549" spans="1:23" x14ac:dyDescent="0.2">
      <c r="A549" s="3">
        <f t="shared" si="339"/>
        <v>20</v>
      </c>
      <c r="B549" s="3"/>
      <c r="C549" s="3" t="s">
        <v>51</v>
      </c>
      <c r="D549" s="3"/>
      <c r="E549" s="4"/>
      <c r="F549" s="8"/>
      <c r="G549" s="8"/>
      <c r="H549" s="8">
        <f t="shared" ref="H549:V549" si="347">SUM(H540:H548)</f>
        <v>0</v>
      </c>
      <c r="I549" s="8">
        <f t="shared" si="347"/>
        <v>0</v>
      </c>
      <c r="J549" s="66">
        <f t="shared" si="346"/>
        <v>0</v>
      </c>
      <c r="K549" s="8">
        <f t="shared" si="347"/>
        <v>0</v>
      </c>
      <c r="L549" s="8">
        <f t="shared" si="347"/>
        <v>0</v>
      </c>
      <c r="M549" s="9">
        <f t="shared" si="342"/>
        <v>0</v>
      </c>
      <c r="N549" s="8">
        <f t="shared" si="347"/>
        <v>0</v>
      </c>
      <c r="O549" s="8">
        <f t="shared" si="347"/>
        <v>0</v>
      </c>
      <c r="P549" s="9">
        <f t="shared" si="334"/>
        <v>0</v>
      </c>
      <c r="Q549" s="8">
        <f t="shared" si="347"/>
        <v>0</v>
      </c>
      <c r="R549" s="8">
        <f t="shared" si="347"/>
        <v>0</v>
      </c>
      <c r="S549" s="8">
        <f>SUM(S540:S548)</f>
        <v>0</v>
      </c>
      <c r="T549" s="8">
        <f t="shared" si="347"/>
        <v>0</v>
      </c>
      <c r="U549" s="8">
        <f t="shared" si="347"/>
        <v>0</v>
      </c>
      <c r="V549" s="8">
        <f t="shared" si="347"/>
        <v>0</v>
      </c>
      <c r="W549" s="27" t="str">
        <f t="shared" si="328"/>
        <v>OK</v>
      </c>
    </row>
    <row r="550" spans="1:23" x14ac:dyDescent="0.2">
      <c r="A550" s="3">
        <f t="shared" si="339"/>
        <v>21</v>
      </c>
      <c r="B550" s="7" t="s">
        <v>286</v>
      </c>
      <c r="C550" s="3"/>
      <c r="D550" s="3"/>
      <c r="E550" s="4"/>
      <c r="F550" s="4"/>
      <c r="G550" s="4"/>
      <c r="H550" s="8"/>
      <c r="I550" s="8"/>
      <c r="J550" s="8"/>
      <c r="K550" s="8"/>
      <c r="L550" s="8"/>
      <c r="M550" s="3"/>
      <c r="N550" s="3"/>
      <c r="O550" s="3"/>
      <c r="P550" s="9"/>
      <c r="Q550" s="3"/>
      <c r="R550" s="3"/>
      <c r="S550" s="3"/>
      <c r="T550" s="3"/>
      <c r="U550" s="3"/>
      <c r="V550" s="3"/>
      <c r="W550" s="27" t="str">
        <f t="shared" si="328"/>
        <v>OK</v>
      </c>
    </row>
    <row r="551" spans="1:23" x14ac:dyDescent="0.2">
      <c r="A551" s="3">
        <f t="shared" si="339"/>
        <v>22</v>
      </c>
      <c r="B551" s="3"/>
      <c r="C551" s="3"/>
      <c r="D551" s="3"/>
      <c r="E551" s="4"/>
      <c r="F551" s="4"/>
      <c r="G551" s="4"/>
      <c r="H551" s="8"/>
      <c r="I551" s="8"/>
      <c r="J551" s="8"/>
      <c r="K551" s="10"/>
      <c r="L551" s="10"/>
      <c r="M551" s="3"/>
      <c r="N551" s="3"/>
      <c r="O551" s="3"/>
      <c r="P551" s="9"/>
      <c r="Q551" s="3"/>
      <c r="R551" s="3"/>
      <c r="S551" s="3"/>
      <c r="T551" s="3"/>
      <c r="U551" s="3"/>
      <c r="V551" s="3"/>
      <c r="W551" s="27" t="str">
        <f t="shared" si="328"/>
        <v>OK</v>
      </c>
    </row>
    <row r="552" spans="1:23" x14ac:dyDescent="0.2">
      <c r="A552" s="3">
        <f t="shared" si="339"/>
        <v>23</v>
      </c>
      <c r="B552" s="3" t="s">
        <v>176</v>
      </c>
      <c r="C552" s="3"/>
      <c r="D552" s="3"/>
      <c r="E552" s="4"/>
      <c r="F552" s="4"/>
      <c r="G552" s="4"/>
      <c r="H552" s="8"/>
      <c r="I552" s="8"/>
      <c r="J552" s="8"/>
      <c r="K552" s="10"/>
      <c r="L552" s="10"/>
      <c r="M552" s="3"/>
      <c r="N552" s="3"/>
      <c r="O552" s="3"/>
      <c r="P552" s="9"/>
      <c r="Q552" s="3"/>
      <c r="R552" s="3"/>
      <c r="S552" s="3"/>
      <c r="T552" s="3"/>
      <c r="U552" s="3"/>
      <c r="V552" s="3"/>
      <c r="W552" s="27" t="str">
        <f t="shared" si="328"/>
        <v>OK</v>
      </c>
    </row>
    <row r="553" spans="1:23" x14ac:dyDescent="0.2">
      <c r="A553" s="3">
        <f t="shared" si="339"/>
        <v>24</v>
      </c>
      <c r="B553" s="3" t="s">
        <v>53</v>
      </c>
      <c r="C553" s="3" t="s">
        <v>35</v>
      </c>
      <c r="D553" s="16" t="str">
        <f>D114</f>
        <v>DEMANDDP</v>
      </c>
      <c r="E553" s="4" t="s">
        <v>592</v>
      </c>
      <c r="F553" s="11"/>
      <c r="G553" s="11"/>
      <c r="H553" s="14">
        <f>'II-I TOTAL COMPANY'!M553</f>
        <v>0</v>
      </c>
      <c r="I553" s="66">
        <v>0</v>
      </c>
      <c r="J553" s="66">
        <f>SUM(K553:V553)-M553-P553</f>
        <v>0</v>
      </c>
      <c r="K553" s="12">
        <f t="shared" ref="K553:L556" si="348">IF($H114&lt;&gt;0,$H553*(K114/$H114),0)</f>
        <v>0</v>
      </c>
      <c r="L553" s="12">
        <f t="shared" si="348"/>
        <v>0</v>
      </c>
      <c r="M553" s="9">
        <f t="shared" ref="M553:M568" si="349">SUM(N553:O553)</f>
        <v>0</v>
      </c>
      <c r="N553" s="12">
        <f t="shared" ref="N553:O556" si="350">IF($H114&lt;&gt;0,$H553*(N114/$H114),0)</f>
        <v>0</v>
      </c>
      <c r="O553" s="12">
        <f t="shared" si="350"/>
        <v>0</v>
      </c>
      <c r="P553" s="9">
        <f t="shared" si="334"/>
        <v>0</v>
      </c>
      <c r="Q553" s="12">
        <f t="shared" ref="Q553:V556" si="351">IF($H114&lt;&gt;0,$H553*(Q114/$H114),0)</f>
        <v>0</v>
      </c>
      <c r="R553" s="12">
        <f t="shared" si="351"/>
        <v>0</v>
      </c>
      <c r="S553" s="12">
        <f>IF($H114&lt;&gt;0,$H553*(S114/$H114),0)</f>
        <v>0</v>
      </c>
      <c r="T553" s="12">
        <f t="shared" si="351"/>
        <v>0</v>
      </c>
      <c r="U553" s="12">
        <f t="shared" si="351"/>
        <v>0</v>
      </c>
      <c r="V553" s="12">
        <f t="shared" si="351"/>
        <v>0</v>
      </c>
      <c r="W553" s="27" t="str">
        <f t="shared" si="328"/>
        <v>OK</v>
      </c>
    </row>
    <row r="554" spans="1:23" x14ac:dyDescent="0.2">
      <c r="A554" s="3">
        <f t="shared" si="339"/>
        <v>25</v>
      </c>
      <c r="B554" s="3" t="s">
        <v>54</v>
      </c>
      <c r="C554" s="3" t="s">
        <v>31</v>
      </c>
      <c r="D554" s="16" t="str">
        <f>D115</f>
        <v>DEMANDDP</v>
      </c>
      <c r="E554" s="4" t="s">
        <v>592</v>
      </c>
      <c r="F554" s="11"/>
      <c r="G554" s="11"/>
      <c r="H554" s="14">
        <f>'II-I TOTAL COMPANY'!M554</f>
        <v>0</v>
      </c>
      <c r="I554" s="66">
        <v>0</v>
      </c>
      <c r="J554" s="66">
        <f t="shared" ref="J554:J568" si="352">SUM(K554:V554)-M554-P554</f>
        <v>0</v>
      </c>
      <c r="K554" s="12">
        <f t="shared" si="348"/>
        <v>0</v>
      </c>
      <c r="L554" s="12">
        <f t="shared" si="348"/>
        <v>0</v>
      </c>
      <c r="M554" s="9">
        <f t="shared" si="349"/>
        <v>0</v>
      </c>
      <c r="N554" s="12">
        <f t="shared" si="350"/>
        <v>0</v>
      </c>
      <c r="O554" s="12">
        <f t="shared" si="350"/>
        <v>0</v>
      </c>
      <c r="P554" s="9">
        <f t="shared" si="334"/>
        <v>0</v>
      </c>
      <c r="Q554" s="12">
        <f t="shared" si="351"/>
        <v>0</v>
      </c>
      <c r="R554" s="12">
        <f t="shared" si="351"/>
        <v>0</v>
      </c>
      <c r="S554" s="12">
        <f>IF($H115&lt;&gt;0,$H554*(S115/$H115),0)</f>
        <v>0</v>
      </c>
      <c r="T554" s="12">
        <f t="shared" si="351"/>
        <v>0</v>
      </c>
      <c r="U554" s="12">
        <f t="shared" si="351"/>
        <v>0</v>
      </c>
      <c r="V554" s="12">
        <f t="shared" si="351"/>
        <v>0</v>
      </c>
      <c r="W554" s="27" t="str">
        <f t="shared" si="328"/>
        <v>OK</v>
      </c>
    </row>
    <row r="555" spans="1:23" x14ac:dyDescent="0.2">
      <c r="A555" s="3">
        <f t="shared" si="339"/>
        <v>26</v>
      </c>
      <c r="B555" s="3" t="s">
        <v>55</v>
      </c>
      <c r="C555" s="3" t="s">
        <v>38</v>
      </c>
      <c r="D555" s="16" t="str">
        <f>D116</f>
        <v>DEMANDDP</v>
      </c>
      <c r="E555" s="4" t="s">
        <v>592</v>
      </c>
      <c r="F555" s="11"/>
      <c r="G555" s="11"/>
      <c r="H555" s="14">
        <f>'II-I TOTAL COMPANY'!M555</f>
        <v>0</v>
      </c>
      <c r="I555" s="66">
        <v>0</v>
      </c>
      <c r="J555" s="66">
        <f t="shared" si="352"/>
        <v>0</v>
      </c>
      <c r="K555" s="12">
        <f t="shared" si="348"/>
        <v>0</v>
      </c>
      <c r="L555" s="12">
        <f t="shared" si="348"/>
        <v>0</v>
      </c>
      <c r="M555" s="9">
        <f t="shared" si="349"/>
        <v>0</v>
      </c>
      <c r="N555" s="12">
        <f t="shared" si="350"/>
        <v>0</v>
      </c>
      <c r="O555" s="12">
        <f t="shared" si="350"/>
        <v>0</v>
      </c>
      <c r="P555" s="9">
        <f t="shared" si="334"/>
        <v>0</v>
      </c>
      <c r="Q555" s="12">
        <f t="shared" si="351"/>
        <v>0</v>
      </c>
      <c r="R555" s="12">
        <f t="shared" si="351"/>
        <v>0</v>
      </c>
      <c r="S555" s="12">
        <f>IF($H116&lt;&gt;0,$H555*(S116/$H116),0)</f>
        <v>0</v>
      </c>
      <c r="T555" s="12">
        <f t="shared" si="351"/>
        <v>0</v>
      </c>
      <c r="U555" s="12">
        <f t="shared" si="351"/>
        <v>0</v>
      </c>
      <c r="V555" s="12">
        <f t="shared" si="351"/>
        <v>0</v>
      </c>
      <c r="W555" s="27" t="str">
        <f t="shared" si="328"/>
        <v>OK</v>
      </c>
    </row>
    <row r="556" spans="1:23" x14ac:dyDescent="0.2">
      <c r="A556" s="3">
        <f t="shared" si="339"/>
        <v>27</v>
      </c>
      <c r="B556" s="3" t="s">
        <v>56</v>
      </c>
      <c r="C556" s="3" t="s">
        <v>57</v>
      </c>
      <c r="D556" s="16" t="str">
        <f>D117</f>
        <v>DEMANDDP</v>
      </c>
      <c r="E556" s="4" t="s">
        <v>592</v>
      </c>
      <c r="F556" s="11"/>
      <c r="G556" s="11"/>
      <c r="H556" s="14">
        <f>'II-I TOTAL COMPANY'!M556</f>
        <v>0</v>
      </c>
      <c r="I556" s="66">
        <v>0</v>
      </c>
      <c r="J556" s="66">
        <f t="shared" si="352"/>
        <v>0</v>
      </c>
      <c r="K556" s="12">
        <f t="shared" si="348"/>
        <v>0</v>
      </c>
      <c r="L556" s="12">
        <f t="shared" si="348"/>
        <v>0</v>
      </c>
      <c r="M556" s="9">
        <f t="shared" si="349"/>
        <v>0</v>
      </c>
      <c r="N556" s="12">
        <f t="shared" si="350"/>
        <v>0</v>
      </c>
      <c r="O556" s="12">
        <f t="shared" si="350"/>
        <v>0</v>
      </c>
      <c r="P556" s="9">
        <f t="shared" si="334"/>
        <v>0</v>
      </c>
      <c r="Q556" s="12">
        <f t="shared" si="351"/>
        <v>0</v>
      </c>
      <c r="R556" s="12">
        <f t="shared" si="351"/>
        <v>0</v>
      </c>
      <c r="S556" s="12">
        <f>IF($H117&lt;&gt;0,$H556*(S117/$H117),0)</f>
        <v>0</v>
      </c>
      <c r="T556" s="12">
        <f t="shared" si="351"/>
        <v>0</v>
      </c>
      <c r="U556" s="12">
        <f t="shared" si="351"/>
        <v>0</v>
      </c>
      <c r="V556" s="12">
        <f t="shared" si="351"/>
        <v>0</v>
      </c>
      <c r="W556" s="27" t="str">
        <f t="shared" si="328"/>
        <v>OK</v>
      </c>
    </row>
    <row r="557" spans="1:23" x14ac:dyDescent="0.2">
      <c r="A557" s="3">
        <f t="shared" si="339"/>
        <v>28</v>
      </c>
      <c r="B557" s="3" t="s">
        <v>58</v>
      </c>
      <c r="C557" s="3" t="s">
        <v>59</v>
      </c>
      <c r="D557" s="3" t="str">
        <f>B557</f>
        <v>A364</v>
      </c>
      <c r="E557" s="4" t="s">
        <v>592</v>
      </c>
      <c r="F557" s="11"/>
      <c r="G557" s="11"/>
      <c r="H557" s="14">
        <f>'II-I TOTAL COMPANY'!M557</f>
        <v>0</v>
      </c>
      <c r="I557" s="66">
        <v>0</v>
      </c>
      <c r="J557" s="66">
        <f t="shared" si="352"/>
        <v>0</v>
      </c>
      <c r="K557" s="12">
        <f>IF($H121&lt;&gt;0,$H557*(K121/$H121),0)</f>
        <v>0</v>
      </c>
      <c r="L557" s="12">
        <f>IF($H121&lt;&gt;0,$H557*(L121/$H121),0)</f>
        <v>0</v>
      </c>
      <c r="M557" s="9">
        <f t="shared" si="349"/>
        <v>0</v>
      </c>
      <c r="N557" s="12">
        <f>IF($H121&lt;&gt;0,$H557*(N121/$H121),0)</f>
        <v>0</v>
      </c>
      <c r="O557" s="12">
        <f>IF($H121&lt;&gt;0,$H557*(O121/$H121),0)</f>
        <v>0</v>
      </c>
      <c r="P557" s="9">
        <f t="shared" si="334"/>
        <v>0</v>
      </c>
      <c r="Q557" s="12">
        <f t="shared" ref="Q557:V557" si="353">IF($H121&lt;&gt;0,$H557*(Q121/$H121),0)</f>
        <v>0</v>
      </c>
      <c r="R557" s="12">
        <f t="shared" si="353"/>
        <v>0</v>
      </c>
      <c r="S557" s="12">
        <f t="shared" si="353"/>
        <v>0</v>
      </c>
      <c r="T557" s="12">
        <f t="shared" si="353"/>
        <v>0</v>
      </c>
      <c r="U557" s="12">
        <f t="shared" si="353"/>
        <v>0</v>
      </c>
      <c r="V557" s="12">
        <f t="shared" si="353"/>
        <v>0</v>
      </c>
      <c r="W557" s="27" t="str">
        <f t="shared" si="328"/>
        <v>OK</v>
      </c>
    </row>
    <row r="558" spans="1:23" x14ac:dyDescent="0.2">
      <c r="A558" s="3">
        <f t="shared" si="339"/>
        <v>29</v>
      </c>
      <c r="B558" s="3" t="s">
        <v>63</v>
      </c>
      <c r="C558" s="3" t="s">
        <v>44</v>
      </c>
      <c r="D558" s="3" t="str">
        <f>B558</f>
        <v>A365</v>
      </c>
      <c r="E558" s="4" t="s">
        <v>592</v>
      </c>
      <c r="F558" s="11"/>
      <c r="G558" s="11"/>
      <c r="H558" s="14">
        <f>'II-I TOTAL COMPANY'!M558</f>
        <v>0</v>
      </c>
      <c r="I558" s="66">
        <v>0</v>
      </c>
      <c r="J558" s="66">
        <f t="shared" si="352"/>
        <v>0</v>
      </c>
      <c r="K558" s="12">
        <f>IF($H125&lt;&gt;0,$H558*(K125/$H125),0)</f>
        <v>0</v>
      </c>
      <c r="L558" s="12">
        <f>IF($H125&lt;&gt;0,$H558*(L125/$H125),0)</f>
        <v>0</v>
      </c>
      <c r="M558" s="9">
        <f t="shared" si="349"/>
        <v>0</v>
      </c>
      <c r="N558" s="12">
        <f>IF($H125&lt;&gt;0,$H558*(N125/$H125),0)</f>
        <v>0</v>
      </c>
      <c r="O558" s="12">
        <f>IF($H125&lt;&gt;0,$H558*(O125/$H125),0)</f>
        <v>0</v>
      </c>
      <c r="P558" s="9">
        <f t="shared" si="334"/>
        <v>0</v>
      </c>
      <c r="Q558" s="12">
        <f t="shared" ref="Q558:V558" si="354">IF($H125&lt;&gt;0,$H558*(Q125/$H125),0)</f>
        <v>0</v>
      </c>
      <c r="R558" s="12">
        <f t="shared" si="354"/>
        <v>0</v>
      </c>
      <c r="S558" s="12">
        <f t="shared" si="354"/>
        <v>0</v>
      </c>
      <c r="T558" s="12">
        <f t="shared" si="354"/>
        <v>0</v>
      </c>
      <c r="U558" s="12">
        <f t="shared" si="354"/>
        <v>0</v>
      </c>
      <c r="V558" s="12">
        <f t="shared" si="354"/>
        <v>0</v>
      </c>
      <c r="W558" s="27" t="str">
        <f t="shared" si="328"/>
        <v>OK</v>
      </c>
    </row>
    <row r="559" spans="1:23" x14ac:dyDescent="0.2">
      <c r="A559" s="3">
        <f t="shared" si="339"/>
        <v>30</v>
      </c>
      <c r="B559" s="3" t="s">
        <v>64</v>
      </c>
      <c r="C559" s="3" t="s">
        <v>65</v>
      </c>
      <c r="D559" s="3" t="str">
        <f>B559</f>
        <v>A366</v>
      </c>
      <c r="E559" s="4" t="s">
        <v>592</v>
      </c>
      <c r="F559" s="11"/>
      <c r="G559" s="11"/>
      <c r="H559" s="14">
        <f>'II-I TOTAL COMPANY'!M559</f>
        <v>0</v>
      </c>
      <c r="I559" s="66">
        <v>0</v>
      </c>
      <c r="J559" s="66">
        <f t="shared" si="352"/>
        <v>0</v>
      </c>
      <c r="K559" s="12">
        <f>IF($H127&lt;&gt;0,$H559*(K130/$H130),0)</f>
        <v>0</v>
      </c>
      <c r="L559" s="12">
        <f>IF($H127&lt;&gt;0,$H559*(L130/$H130),0)</f>
        <v>0</v>
      </c>
      <c r="M559" s="9">
        <f t="shared" si="349"/>
        <v>0</v>
      </c>
      <c r="N559" s="12">
        <f>IF($H127&lt;&gt;0,$H559*(N130/$H130),0)</f>
        <v>0</v>
      </c>
      <c r="O559" s="12">
        <f>IF($H127&lt;&gt;0,$H559*(O130/$H130),0)</f>
        <v>0</v>
      </c>
      <c r="P559" s="9">
        <f t="shared" si="334"/>
        <v>0</v>
      </c>
      <c r="Q559" s="12">
        <f t="shared" ref="Q559:V559" si="355">IF($H127&lt;&gt;0,$H559*(Q130/$H130),0)</f>
        <v>0</v>
      </c>
      <c r="R559" s="12">
        <f t="shared" si="355"/>
        <v>0</v>
      </c>
      <c r="S559" s="12">
        <f t="shared" si="355"/>
        <v>0</v>
      </c>
      <c r="T559" s="12">
        <f t="shared" si="355"/>
        <v>0</v>
      </c>
      <c r="U559" s="12">
        <f t="shared" si="355"/>
        <v>0</v>
      </c>
      <c r="V559" s="12">
        <f t="shared" si="355"/>
        <v>0</v>
      </c>
      <c r="W559" s="27" t="str">
        <f t="shared" si="328"/>
        <v>OK</v>
      </c>
    </row>
    <row r="560" spans="1:23" x14ac:dyDescent="0.2">
      <c r="A560" s="3">
        <f t="shared" si="339"/>
        <v>31</v>
      </c>
      <c r="B560" s="3" t="s">
        <v>66</v>
      </c>
      <c r="C560" s="3" t="s">
        <v>67</v>
      </c>
      <c r="D560" s="3" t="str">
        <f>B560</f>
        <v>A367</v>
      </c>
      <c r="E560" s="4" t="s">
        <v>592</v>
      </c>
      <c r="F560" s="11"/>
      <c r="G560" s="11"/>
      <c r="H560" s="14">
        <f>'II-I TOTAL COMPANY'!M560</f>
        <v>0</v>
      </c>
      <c r="I560" s="66">
        <v>0</v>
      </c>
      <c r="J560" s="66">
        <f t="shared" si="352"/>
        <v>0</v>
      </c>
      <c r="K560" s="12">
        <f>IF($H135&lt;&gt;0,$H560*(K135/$H135),0)</f>
        <v>0</v>
      </c>
      <c r="L560" s="12">
        <f>IF($H135&lt;&gt;0,$H560*(L135/$H135),0)</f>
        <v>0</v>
      </c>
      <c r="M560" s="9">
        <f t="shared" si="349"/>
        <v>0</v>
      </c>
      <c r="N560" s="12">
        <f>IF($H135&lt;&gt;0,$H560*(N135/$H135),0)</f>
        <v>0</v>
      </c>
      <c r="O560" s="12">
        <f>IF($H135&lt;&gt;0,$H560*(O135/$H135),0)</f>
        <v>0</v>
      </c>
      <c r="P560" s="9">
        <f t="shared" si="334"/>
        <v>0</v>
      </c>
      <c r="Q560" s="12">
        <f t="shared" ref="Q560:V560" si="356">IF($H135&lt;&gt;0,$H560*(Q135/$H135),0)</f>
        <v>0</v>
      </c>
      <c r="R560" s="12">
        <f t="shared" si="356"/>
        <v>0</v>
      </c>
      <c r="S560" s="12">
        <f t="shared" si="356"/>
        <v>0</v>
      </c>
      <c r="T560" s="12">
        <f t="shared" si="356"/>
        <v>0</v>
      </c>
      <c r="U560" s="12">
        <f t="shared" si="356"/>
        <v>0</v>
      </c>
      <c r="V560" s="12">
        <f t="shared" si="356"/>
        <v>0</v>
      </c>
      <c r="W560" s="27" t="str">
        <f t="shared" si="328"/>
        <v>OK</v>
      </c>
    </row>
    <row r="561" spans="1:23" x14ac:dyDescent="0.2">
      <c r="A561" s="3">
        <f t="shared" si="339"/>
        <v>32</v>
      </c>
      <c r="B561" s="3" t="s">
        <v>69</v>
      </c>
      <c r="C561" s="3" t="s">
        <v>70</v>
      </c>
      <c r="D561" s="3" t="str">
        <f>B561</f>
        <v>A368</v>
      </c>
      <c r="E561" s="4" t="s">
        <v>592</v>
      </c>
      <c r="F561" s="11"/>
      <c r="G561" s="11"/>
      <c r="H561" s="14">
        <f>'II-I TOTAL COMPANY'!M561</f>
        <v>0</v>
      </c>
      <c r="I561" s="66">
        <v>0</v>
      </c>
      <c r="J561" s="66">
        <f t="shared" si="352"/>
        <v>0</v>
      </c>
      <c r="K561" s="12">
        <f>IF($H139&lt;&gt;0,$H561*(K139/$H139),0)</f>
        <v>0</v>
      </c>
      <c r="L561" s="12">
        <f>IF($H139&lt;&gt;0,$H561*(L139/$H139),0)</f>
        <v>0</v>
      </c>
      <c r="M561" s="9">
        <f t="shared" si="349"/>
        <v>0</v>
      </c>
      <c r="N561" s="12">
        <f>IF($H139&lt;&gt;0,$H561*(N139/$H139),0)</f>
        <v>0</v>
      </c>
      <c r="O561" s="12">
        <f>IF($H139&lt;&gt;0,$H561*(O139/$H139),0)</f>
        <v>0</v>
      </c>
      <c r="P561" s="9">
        <f t="shared" si="334"/>
        <v>0</v>
      </c>
      <c r="Q561" s="12">
        <f t="shared" ref="Q561:V561" si="357">IF($H139&lt;&gt;0,$H561*(Q139/$H139),0)</f>
        <v>0</v>
      </c>
      <c r="R561" s="12">
        <f t="shared" si="357"/>
        <v>0</v>
      </c>
      <c r="S561" s="12">
        <f t="shared" si="357"/>
        <v>0</v>
      </c>
      <c r="T561" s="12">
        <f t="shared" si="357"/>
        <v>0</v>
      </c>
      <c r="U561" s="12">
        <f t="shared" si="357"/>
        <v>0</v>
      </c>
      <c r="V561" s="12">
        <f t="shared" si="357"/>
        <v>0</v>
      </c>
      <c r="W561" s="27" t="str">
        <f t="shared" si="328"/>
        <v>OK</v>
      </c>
    </row>
    <row r="562" spans="1:23" x14ac:dyDescent="0.2">
      <c r="A562" s="3">
        <f t="shared" si="339"/>
        <v>33</v>
      </c>
      <c r="B562" s="3" t="s">
        <v>72</v>
      </c>
      <c r="C562" s="3" t="s">
        <v>73</v>
      </c>
      <c r="D562" s="16" t="str">
        <f>D141</f>
        <v>SERVICES</v>
      </c>
      <c r="E562" s="4" t="s">
        <v>592</v>
      </c>
      <c r="F562" s="11"/>
      <c r="G562" s="11"/>
      <c r="H562" s="14">
        <f>'II-I TOTAL COMPANY'!M562</f>
        <v>0</v>
      </c>
      <c r="I562" s="66">
        <v>0</v>
      </c>
      <c r="J562" s="66">
        <f t="shared" si="352"/>
        <v>0</v>
      </c>
      <c r="K562" s="12">
        <f t="shared" ref="K562:L564" si="358">IF($H141&lt;&gt;0,$H562*(K141/$H141),0)</f>
        <v>0</v>
      </c>
      <c r="L562" s="12">
        <f t="shared" si="358"/>
        <v>0</v>
      </c>
      <c r="M562" s="9">
        <f t="shared" si="349"/>
        <v>0</v>
      </c>
      <c r="N562" s="12">
        <f t="shared" ref="N562:O564" si="359">IF($H141&lt;&gt;0,$H562*(N141/$H141),0)</f>
        <v>0</v>
      </c>
      <c r="O562" s="12">
        <f t="shared" si="359"/>
        <v>0</v>
      </c>
      <c r="P562" s="9">
        <f t="shared" si="334"/>
        <v>0</v>
      </c>
      <c r="Q562" s="12">
        <f t="shared" ref="Q562:V564" si="360">IF($H141&lt;&gt;0,$H562*(Q141/$H141),0)</f>
        <v>0</v>
      </c>
      <c r="R562" s="12">
        <f t="shared" si="360"/>
        <v>0</v>
      </c>
      <c r="S562" s="12">
        <f>IF($H141&lt;&gt;0,$H562*(S141/$H141),0)</f>
        <v>0</v>
      </c>
      <c r="T562" s="12">
        <f t="shared" si="360"/>
        <v>0</v>
      </c>
      <c r="U562" s="12">
        <f t="shared" si="360"/>
        <v>0</v>
      </c>
      <c r="V562" s="12">
        <f t="shared" si="360"/>
        <v>0</v>
      </c>
      <c r="W562" s="27" t="str">
        <f t="shared" si="328"/>
        <v>OK</v>
      </c>
    </row>
    <row r="563" spans="1:23" s="132" customFormat="1" x14ac:dyDescent="0.2">
      <c r="A563" s="3">
        <f t="shared" si="339"/>
        <v>34</v>
      </c>
      <c r="B563" s="3" t="s">
        <v>74</v>
      </c>
      <c r="C563" s="3" t="s">
        <v>75</v>
      </c>
      <c r="D563" s="16" t="str">
        <f>D142</f>
        <v>METERS</v>
      </c>
      <c r="E563" s="4" t="s">
        <v>592</v>
      </c>
      <c r="F563" s="11"/>
      <c r="G563" s="11"/>
      <c r="H563" s="14">
        <f>'II-I TOTAL COMPANY'!M563</f>
        <v>0</v>
      </c>
      <c r="I563" s="66">
        <v>0</v>
      </c>
      <c r="J563" s="66">
        <f t="shared" si="352"/>
        <v>0</v>
      </c>
      <c r="K563" s="12">
        <f t="shared" si="358"/>
        <v>0</v>
      </c>
      <c r="L563" s="12">
        <f t="shared" si="358"/>
        <v>0</v>
      </c>
      <c r="M563" s="9">
        <f t="shared" si="349"/>
        <v>0</v>
      </c>
      <c r="N563" s="12">
        <f t="shared" si="359"/>
        <v>0</v>
      </c>
      <c r="O563" s="12">
        <f t="shared" si="359"/>
        <v>0</v>
      </c>
      <c r="P563" s="9">
        <f t="shared" si="334"/>
        <v>0</v>
      </c>
      <c r="Q563" s="12">
        <f t="shared" si="360"/>
        <v>0</v>
      </c>
      <c r="R563" s="12">
        <f t="shared" si="360"/>
        <v>0</v>
      </c>
      <c r="S563" s="12">
        <f>IF($H142&lt;&gt;0,$H563*(S142/$H142),0)</f>
        <v>0</v>
      </c>
      <c r="T563" s="12">
        <f t="shared" si="360"/>
        <v>0</v>
      </c>
      <c r="U563" s="12">
        <f t="shared" si="360"/>
        <v>0</v>
      </c>
      <c r="V563" s="12">
        <f t="shared" si="360"/>
        <v>0</v>
      </c>
      <c r="W563" s="27" t="str">
        <f t="shared" si="328"/>
        <v>OK</v>
      </c>
    </row>
    <row r="564" spans="1:23" x14ac:dyDescent="0.2">
      <c r="A564" s="3">
        <f t="shared" si="339"/>
        <v>35</v>
      </c>
      <c r="B564" s="3" t="s">
        <v>76</v>
      </c>
      <c r="C564" s="3" t="s">
        <v>77</v>
      </c>
      <c r="D564" s="16" t="str">
        <f>D143</f>
        <v>DEMANDDP</v>
      </c>
      <c r="E564" s="4" t="s">
        <v>592</v>
      </c>
      <c r="F564" s="11"/>
      <c r="G564" s="11"/>
      <c r="H564" s="14">
        <f>'II-I TOTAL COMPANY'!M564</f>
        <v>0</v>
      </c>
      <c r="I564" s="66">
        <v>0</v>
      </c>
      <c r="J564" s="66">
        <f t="shared" si="352"/>
        <v>0</v>
      </c>
      <c r="K564" s="12">
        <f t="shared" si="358"/>
        <v>0</v>
      </c>
      <c r="L564" s="12">
        <f t="shared" si="358"/>
        <v>0</v>
      </c>
      <c r="M564" s="9">
        <f t="shared" si="349"/>
        <v>0</v>
      </c>
      <c r="N564" s="12">
        <f t="shared" si="359"/>
        <v>0</v>
      </c>
      <c r="O564" s="12">
        <f t="shared" si="359"/>
        <v>0</v>
      </c>
      <c r="P564" s="9">
        <f t="shared" si="334"/>
        <v>0</v>
      </c>
      <c r="Q564" s="12">
        <f t="shared" si="360"/>
        <v>0</v>
      </c>
      <c r="R564" s="12">
        <f t="shared" si="360"/>
        <v>0</v>
      </c>
      <c r="S564" s="12">
        <f>IF($H143&lt;&gt;0,$H564*(S143/$H143),0)</f>
        <v>0</v>
      </c>
      <c r="T564" s="12">
        <f t="shared" si="360"/>
        <v>0</v>
      </c>
      <c r="U564" s="12">
        <f t="shared" si="360"/>
        <v>0</v>
      </c>
      <c r="V564" s="12">
        <f t="shared" si="360"/>
        <v>0</v>
      </c>
      <c r="W564" s="27" t="str">
        <f t="shared" si="328"/>
        <v>OK</v>
      </c>
    </row>
    <row r="565" spans="1:23" x14ac:dyDescent="0.2">
      <c r="A565" s="3">
        <f t="shared" si="339"/>
        <v>36</v>
      </c>
      <c r="B565" s="3" t="s">
        <v>74</v>
      </c>
      <c r="C565" s="3" t="s">
        <v>817</v>
      </c>
      <c r="D565" s="16" t="str">
        <f>+D146</f>
        <v>METERS</v>
      </c>
      <c r="E565" s="4" t="s">
        <v>592</v>
      </c>
      <c r="F565" s="4"/>
      <c r="G565" s="4"/>
      <c r="H565" s="14">
        <f>'II-I TOTAL COMPANY'!M565</f>
        <v>0</v>
      </c>
      <c r="I565" s="66">
        <v>0</v>
      </c>
      <c r="J565" s="66">
        <f t="shared" ref="J565" si="361">SUM(K565:V565)-M565-P565</f>
        <v>0</v>
      </c>
      <c r="K565" s="12">
        <f>IF($H146&lt;&gt;0,$H565*(K146/$H146),0)</f>
        <v>0</v>
      </c>
      <c r="L565" s="12">
        <f>IF($H146&lt;&gt;0,$H565*(L146/$H146),0)</f>
        <v>0</v>
      </c>
      <c r="M565" s="9">
        <f t="shared" ref="M565" si="362">SUM(N565:O565)</f>
        <v>0</v>
      </c>
      <c r="N565" s="12">
        <f t="shared" ref="N565:O565" si="363">IF($H146&lt;&gt;0,$H565*(N146/$H146),0)</f>
        <v>0</v>
      </c>
      <c r="O565" s="12">
        <f t="shared" si="363"/>
        <v>0</v>
      </c>
      <c r="P565" s="9">
        <f t="shared" ref="P565" si="364">SUM(Q565:S565)</f>
        <v>0</v>
      </c>
      <c r="Q565" s="12">
        <f t="shared" ref="Q565:V565" si="365">IF($H146&lt;&gt;0,$H565*(Q146/$H146),0)</f>
        <v>0</v>
      </c>
      <c r="R565" s="12">
        <f t="shared" si="365"/>
        <v>0</v>
      </c>
      <c r="S565" s="12">
        <f t="shared" si="365"/>
        <v>0</v>
      </c>
      <c r="T565" s="12">
        <f t="shared" si="365"/>
        <v>0</v>
      </c>
      <c r="U565" s="12">
        <f t="shared" si="365"/>
        <v>0</v>
      </c>
      <c r="V565" s="12">
        <f t="shared" si="365"/>
        <v>0</v>
      </c>
      <c r="W565" s="27" t="str">
        <f t="shared" si="328"/>
        <v>OK</v>
      </c>
    </row>
    <row r="566" spans="1:23" x14ac:dyDescent="0.2">
      <c r="A566" s="3">
        <f t="shared" si="339"/>
        <v>37</v>
      </c>
      <c r="B566" s="3" t="s">
        <v>78</v>
      </c>
      <c r="C566" s="3" t="s">
        <v>79</v>
      </c>
      <c r="D566" s="16" t="str">
        <f>D144</f>
        <v>DEMANDDP</v>
      </c>
      <c r="E566" s="4" t="s">
        <v>592</v>
      </c>
      <c r="F566" s="11"/>
      <c r="G566" s="11"/>
      <c r="H566" s="14">
        <f>'II-I TOTAL COMPANY'!M566</f>
        <v>0</v>
      </c>
      <c r="I566" s="66">
        <v>0</v>
      </c>
      <c r="J566" s="66">
        <f t="shared" si="352"/>
        <v>0</v>
      </c>
      <c r="K566" s="12">
        <f>IF($H144&lt;&gt;0,$H566*(K144/$H144),0)</f>
        <v>0</v>
      </c>
      <c r="L566" s="12">
        <f>IF($H144&lt;&gt;0,$H566*(L144/$H144),0)</f>
        <v>0</v>
      </c>
      <c r="M566" s="9">
        <f t="shared" si="349"/>
        <v>0</v>
      </c>
      <c r="N566" s="12">
        <f>IF($H144&lt;&gt;0,$H566*(N144/$H144),0)</f>
        <v>0</v>
      </c>
      <c r="O566" s="12">
        <f>IF($H144&lt;&gt;0,$H566*(O144/$H144),0)</f>
        <v>0</v>
      </c>
      <c r="P566" s="9">
        <f t="shared" si="334"/>
        <v>0</v>
      </c>
      <c r="Q566" s="12">
        <f t="shared" ref="Q566:V567" si="366">IF($H144&lt;&gt;0,$H566*(Q144/$H144),0)</f>
        <v>0</v>
      </c>
      <c r="R566" s="12">
        <f t="shared" si="366"/>
        <v>0</v>
      </c>
      <c r="S566" s="12">
        <f>IF($H144&lt;&gt;0,$H566*(S144/$H144),0)</f>
        <v>0</v>
      </c>
      <c r="T566" s="12">
        <f t="shared" si="366"/>
        <v>0</v>
      </c>
      <c r="U566" s="12">
        <f t="shared" si="366"/>
        <v>0</v>
      </c>
      <c r="V566" s="12">
        <f t="shared" si="366"/>
        <v>0</v>
      </c>
      <c r="W566" s="27" t="str">
        <f t="shared" si="328"/>
        <v>OK</v>
      </c>
    </row>
    <row r="567" spans="1:23" x14ac:dyDescent="0.2">
      <c r="A567" s="3">
        <f t="shared" si="339"/>
        <v>38</v>
      </c>
      <c r="B567" s="3" t="s">
        <v>80</v>
      </c>
      <c r="C567" s="3" t="s">
        <v>81</v>
      </c>
      <c r="D567" s="16" t="str">
        <f>D145</f>
        <v>ROADLIGHT</v>
      </c>
      <c r="E567" s="4" t="s">
        <v>592</v>
      </c>
      <c r="F567" s="11"/>
      <c r="G567" s="11"/>
      <c r="H567" s="14">
        <f>'II-I TOTAL COMPANY'!M567</f>
        <v>0</v>
      </c>
      <c r="I567" s="66">
        <v>0</v>
      </c>
      <c r="J567" s="66">
        <f t="shared" si="352"/>
        <v>0</v>
      </c>
      <c r="K567" s="12">
        <f>IF($H145&lt;&gt;0,$H567*(K145/$H145),0)</f>
        <v>0</v>
      </c>
      <c r="L567" s="12">
        <f>IF($H145&lt;&gt;0,$H567*(L145/$H145),0)</f>
        <v>0</v>
      </c>
      <c r="M567" s="9">
        <f t="shared" si="349"/>
        <v>0</v>
      </c>
      <c r="N567" s="12">
        <f>IF($H145&lt;&gt;0,$H567*(N145/$H145),0)</f>
        <v>0</v>
      </c>
      <c r="O567" s="12">
        <f>IF($H145&lt;&gt;0,$H567*(O145/$H145),0)</f>
        <v>0</v>
      </c>
      <c r="P567" s="9">
        <f t="shared" si="334"/>
        <v>0</v>
      </c>
      <c r="Q567" s="12">
        <f t="shared" si="366"/>
        <v>0</v>
      </c>
      <c r="R567" s="12">
        <f t="shared" si="366"/>
        <v>0</v>
      </c>
      <c r="S567" s="12">
        <f>IF($H145&lt;&gt;0,$H567*(S145/$H145),0)</f>
        <v>0</v>
      </c>
      <c r="T567" s="12">
        <f t="shared" si="366"/>
        <v>0</v>
      </c>
      <c r="U567" s="12">
        <f t="shared" si="366"/>
        <v>0</v>
      </c>
      <c r="V567" s="12">
        <f t="shared" si="366"/>
        <v>0</v>
      </c>
      <c r="W567" s="27" t="str">
        <f t="shared" si="328"/>
        <v>OK</v>
      </c>
    </row>
    <row r="568" spans="1:23" x14ac:dyDescent="0.2">
      <c r="A568" s="3">
        <f t="shared" si="339"/>
        <v>39</v>
      </c>
      <c r="B568" s="3"/>
      <c r="C568" s="3" t="s">
        <v>287</v>
      </c>
      <c r="D568" s="3"/>
      <c r="E568" s="4"/>
      <c r="F568" s="8"/>
      <c r="G568" s="8"/>
      <c r="H568" s="8">
        <f t="shared" ref="H568:V568" si="367">SUM(H553:H567)</f>
        <v>0</v>
      </c>
      <c r="I568" s="8">
        <f t="shared" si="367"/>
        <v>0</v>
      </c>
      <c r="J568" s="66">
        <f t="shared" si="352"/>
        <v>0</v>
      </c>
      <c r="K568" s="8">
        <f t="shared" si="367"/>
        <v>0</v>
      </c>
      <c r="L568" s="8">
        <f t="shared" si="367"/>
        <v>0</v>
      </c>
      <c r="M568" s="9">
        <f t="shared" si="349"/>
        <v>0</v>
      </c>
      <c r="N568" s="8">
        <f t="shared" si="367"/>
        <v>0</v>
      </c>
      <c r="O568" s="8">
        <f t="shared" si="367"/>
        <v>0</v>
      </c>
      <c r="P568" s="9">
        <f t="shared" si="334"/>
        <v>0</v>
      </c>
      <c r="Q568" s="8">
        <f t="shared" si="367"/>
        <v>0</v>
      </c>
      <c r="R568" s="8">
        <f t="shared" si="367"/>
        <v>0</v>
      </c>
      <c r="S568" s="8">
        <f>SUM(S553:S567)</f>
        <v>0</v>
      </c>
      <c r="T568" s="8">
        <f t="shared" si="367"/>
        <v>0</v>
      </c>
      <c r="U568" s="8">
        <f t="shared" si="367"/>
        <v>0</v>
      </c>
      <c r="V568" s="8">
        <f t="shared" si="367"/>
        <v>0</v>
      </c>
      <c r="W568" s="27" t="str">
        <f t="shared" si="328"/>
        <v>OK</v>
      </c>
    </row>
    <row r="569" spans="1:23" x14ac:dyDescent="0.2">
      <c r="A569" s="3">
        <f t="shared" si="339"/>
        <v>40</v>
      </c>
      <c r="B569" s="3"/>
      <c r="C569" s="3"/>
      <c r="D569" s="3"/>
      <c r="E569" s="4"/>
      <c r="F569" s="4"/>
      <c r="G569" s="4"/>
      <c r="H569" s="8"/>
      <c r="I569" s="8"/>
      <c r="J569" s="8"/>
      <c r="K569" s="10"/>
      <c r="L569" s="10"/>
      <c r="M569" s="3"/>
      <c r="N569" s="3"/>
      <c r="O569" s="3"/>
      <c r="P569" s="9"/>
      <c r="Q569" s="3"/>
      <c r="R569" s="3"/>
      <c r="S569" s="3"/>
      <c r="T569" s="3"/>
      <c r="U569" s="3"/>
      <c r="V569" s="3"/>
      <c r="W569" s="27" t="str">
        <f t="shared" si="328"/>
        <v>OK</v>
      </c>
    </row>
    <row r="570" spans="1:23" x14ac:dyDescent="0.2">
      <c r="A570" s="3">
        <f t="shared" si="339"/>
        <v>41</v>
      </c>
      <c r="B570" s="3" t="s">
        <v>84</v>
      </c>
      <c r="C570" s="3"/>
      <c r="D570" s="3"/>
      <c r="E570" s="4"/>
      <c r="F570" s="4"/>
      <c r="G570" s="4"/>
      <c r="H570" s="8"/>
      <c r="I570" s="8"/>
      <c r="J570" s="8"/>
      <c r="K570" s="10"/>
      <c r="L570" s="10"/>
      <c r="M570" s="3"/>
      <c r="N570" s="3"/>
      <c r="O570" s="3"/>
      <c r="P570" s="9"/>
      <c r="Q570" s="3"/>
      <c r="R570" s="3"/>
      <c r="S570" s="3"/>
      <c r="T570" s="3"/>
      <c r="U570" s="3"/>
      <c r="V570" s="3"/>
      <c r="W570" s="27" t="str">
        <f t="shared" si="328"/>
        <v>OK</v>
      </c>
    </row>
    <row r="571" spans="1:23" x14ac:dyDescent="0.2">
      <c r="A571" s="3">
        <f t="shared" si="339"/>
        <v>42</v>
      </c>
      <c r="B571" s="3" t="s">
        <v>85</v>
      </c>
      <c r="C571" s="3" t="s">
        <v>35</v>
      </c>
      <c r="D571" s="16" t="str">
        <f t="shared" ref="D571:D578" si="368">D151</f>
        <v>LABOR</v>
      </c>
      <c r="E571" s="4" t="s">
        <v>592</v>
      </c>
      <c r="F571" s="11"/>
      <c r="G571" s="11"/>
      <c r="H571" s="14">
        <f>'II-I TOTAL COMPANY'!M571</f>
        <v>0</v>
      </c>
      <c r="I571" s="66">
        <v>0</v>
      </c>
      <c r="J571" s="66">
        <f>SUM(K571:V571)-M571-P571</f>
        <v>0</v>
      </c>
      <c r="K571" s="12">
        <f t="shared" ref="K571:L578" si="369">IF($H151&lt;&gt;0,$H571*(K151/$H151),0)</f>
        <v>0</v>
      </c>
      <c r="L571" s="12">
        <f t="shared" si="369"/>
        <v>0</v>
      </c>
      <c r="M571" s="9">
        <f t="shared" ref="M571:M582" si="370">SUM(N571:O571)</f>
        <v>0</v>
      </c>
      <c r="N571" s="12">
        <f t="shared" ref="N571:O578" si="371">IF($H151&lt;&gt;0,$H571*(N151/$H151),0)</f>
        <v>0</v>
      </c>
      <c r="O571" s="12">
        <f t="shared" si="371"/>
        <v>0</v>
      </c>
      <c r="P571" s="9">
        <f t="shared" si="334"/>
        <v>0</v>
      </c>
      <c r="Q571" s="12">
        <f t="shared" ref="Q571:V578" si="372">IF($H151&lt;&gt;0,$H571*(Q151/$H151),0)</f>
        <v>0</v>
      </c>
      <c r="R571" s="12">
        <f t="shared" si="372"/>
        <v>0</v>
      </c>
      <c r="S571" s="12">
        <f t="shared" ref="S571:S578" si="373">IF($H151&lt;&gt;0,$H571*(S151/$H151),0)</f>
        <v>0</v>
      </c>
      <c r="T571" s="12">
        <f t="shared" si="372"/>
        <v>0</v>
      </c>
      <c r="U571" s="12">
        <f t="shared" si="372"/>
        <v>0</v>
      </c>
      <c r="V571" s="12">
        <f t="shared" si="372"/>
        <v>0</v>
      </c>
      <c r="W571" s="27" t="str">
        <f t="shared" si="328"/>
        <v>OK</v>
      </c>
    </row>
    <row r="572" spans="1:23" x14ac:dyDescent="0.2">
      <c r="A572" s="3">
        <f t="shared" si="339"/>
        <v>43</v>
      </c>
      <c r="B572" s="3" t="s">
        <v>86</v>
      </c>
      <c r="C572" s="3" t="s">
        <v>31</v>
      </c>
      <c r="D572" s="16" t="str">
        <f t="shared" si="368"/>
        <v>LABOR</v>
      </c>
      <c r="E572" s="4" t="s">
        <v>592</v>
      </c>
      <c r="F572" s="11"/>
      <c r="G572" s="11"/>
      <c r="H572" s="14">
        <f>'II-I TOTAL COMPANY'!M572</f>
        <v>79712.168484795751</v>
      </c>
      <c r="I572" s="66">
        <v>0</v>
      </c>
      <c r="J572" s="66">
        <f t="shared" ref="J572:J582" si="374">SUM(K572:V572)-M572-P572</f>
        <v>79712.168484795737</v>
      </c>
      <c r="K572" s="12">
        <f t="shared" si="369"/>
        <v>65345.454320550911</v>
      </c>
      <c r="L572" s="12">
        <f t="shared" si="369"/>
        <v>6942.74229021475</v>
      </c>
      <c r="M572" s="9">
        <f t="shared" si="370"/>
        <v>4594.007160075731</v>
      </c>
      <c r="N572" s="12">
        <f t="shared" si="371"/>
        <v>36.544464420218773</v>
      </c>
      <c r="O572" s="12">
        <f t="shared" si="371"/>
        <v>4557.4626956555121</v>
      </c>
      <c r="P572" s="9">
        <f t="shared" si="334"/>
        <v>70.006107092940326</v>
      </c>
      <c r="Q572" s="12">
        <f t="shared" si="372"/>
        <v>29.755822592157294</v>
      </c>
      <c r="R572" s="12">
        <f t="shared" si="372"/>
        <v>34.894887901250556</v>
      </c>
      <c r="S572" s="12">
        <f t="shared" si="373"/>
        <v>5.3553965995324795</v>
      </c>
      <c r="T572" s="12">
        <f t="shared" si="372"/>
        <v>7.8715899941602698</v>
      </c>
      <c r="U572" s="12">
        <f t="shared" si="372"/>
        <v>2750.8815571033761</v>
      </c>
      <c r="V572" s="12">
        <f t="shared" si="372"/>
        <v>1.2054597638613826</v>
      </c>
      <c r="W572" s="27">
        <f t="shared" si="328"/>
        <v>-1.4551915228366852E-11</v>
      </c>
    </row>
    <row r="573" spans="1:23" x14ac:dyDescent="0.2">
      <c r="A573" s="3">
        <f t="shared" si="339"/>
        <v>44</v>
      </c>
      <c r="B573" s="3" t="s">
        <v>87</v>
      </c>
      <c r="C573" s="3" t="s">
        <v>88</v>
      </c>
      <c r="D573" s="16" t="str">
        <f t="shared" si="368"/>
        <v>LABOR</v>
      </c>
      <c r="E573" s="4" t="s">
        <v>592</v>
      </c>
      <c r="F573" s="11"/>
      <c r="G573" s="11"/>
      <c r="H573" s="14">
        <f>'II-I TOTAL COMPANY'!M573</f>
        <v>7171.2276793556475</v>
      </c>
      <c r="I573" s="66">
        <v>0</v>
      </c>
      <c r="J573" s="66">
        <f t="shared" si="374"/>
        <v>7171.2276793556457</v>
      </c>
      <c r="K573" s="12">
        <f t="shared" si="369"/>
        <v>5878.740218100912</v>
      </c>
      <c r="L573" s="12">
        <f t="shared" si="369"/>
        <v>624.59705498687515</v>
      </c>
      <c r="M573" s="9">
        <f t="shared" si="370"/>
        <v>413.29538427720678</v>
      </c>
      <c r="N573" s="12">
        <f t="shared" si="371"/>
        <v>3.2876871845167193</v>
      </c>
      <c r="O573" s="12">
        <f t="shared" si="371"/>
        <v>410.00769709269008</v>
      </c>
      <c r="P573" s="9">
        <f t="shared" si="334"/>
        <v>6.2980313100450438</v>
      </c>
      <c r="Q573" s="12">
        <f t="shared" si="372"/>
        <v>2.6769536276707306</v>
      </c>
      <c r="R573" s="12">
        <f t="shared" si="372"/>
        <v>3.1392846379933945</v>
      </c>
      <c r="S573" s="12">
        <f t="shared" si="373"/>
        <v>0.48179304438091819</v>
      </c>
      <c r="T573" s="12">
        <f t="shared" si="372"/>
        <v>0.70815993492170681</v>
      </c>
      <c r="U573" s="12">
        <f t="shared" si="372"/>
        <v>247.48038273091828</v>
      </c>
      <c r="V573" s="12">
        <f t="shared" si="372"/>
        <v>0.10844801476704452</v>
      </c>
      <c r="W573" s="27">
        <f t="shared" si="328"/>
        <v>-9.0949470177292824E-13</v>
      </c>
    </row>
    <row r="574" spans="1:23" x14ac:dyDescent="0.2">
      <c r="A574" s="3">
        <f t="shared" si="339"/>
        <v>45</v>
      </c>
      <c r="B574" s="3" t="s">
        <v>89</v>
      </c>
      <c r="C574" s="3" t="s">
        <v>90</v>
      </c>
      <c r="D574" s="16" t="str">
        <f t="shared" si="368"/>
        <v>LABOR</v>
      </c>
      <c r="E574" s="4" t="s">
        <v>592</v>
      </c>
      <c r="F574" s="11"/>
      <c r="G574" s="11"/>
      <c r="H574" s="14">
        <f>'II-I TOTAL COMPANY'!M574</f>
        <v>3.0003947180098201E-4</v>
      </c>
      <c r="I574" s="66">
        <v>0</v>
      </c>
      <c r="J574" s="66">
        <f t="shared" si="374"/>
        <v>3.000394718009819E-4</v>
      </c>
      <c r="K574" s="12">
        <f t="shared" si="369"/>
        <v>2.4596264248755157E-4</v>
      </c>
      <c r="L574" s="12">
        <f t="shared" si="369"/>
        <v>2.6132731917884058E-5</v>
      </c>
      <c r="M574" s="9">
        <f t="shared" si="370"/>
        <v>1.7292008333984337E-5</v>
      </c>
      <c r="N574" s="12">
        <f t="shared" si="371"/>
        <v>1.3755467967207084E-7</v>
      </c>
      <c r="O574" s="12">
        <f t="shared" si="371"/>
        <v>1.7154453654312265E-5</v>
      </c>
      <c r="P574" s="9">
        <f t="shared" si="334"/>
        <v>2.6350550730551506E-7</v>
      </c>
      <c r="Q574" s="12">
        <f t="shared" si="372"/>
        <v>1.1200198744132155E-7</v>
      </c>
      <c r="R574" s="12">
        <f t="shared" si="372"/>
        <v>1.3134561427020652E-7</v>
      </c>
      <c r="S574" s="12">
        <f t="shared" si="373"/>
        <v>2.0157905593987023E-8</v>
      </c>
      <c r="T574" s="12">
        <f t="shared" si="372"/>
        <v>2.9628948113890899E-8</v>
      </c>
      <c r="U574" s="12">
        <f t="shared" si="372"/>
        <v>1.0354417212195037E-5</v>
      </c>
      <c r="V574" s="12">
        <f t="shared" si="372"/>
        <v>4.537393947516225E-9</v>
      </c>
      <c r="W574" s="27">
        <f t="shared" si="328"/>
        <v>-1.0842021724855044E-19</v>
      </c>
    </row>
    <row r="575" spans="1:23" x14ac:dyDescent="0.2">
      <c r="A575" s="3">
        <f t="shared" si="339"/>
        <v>46</v>
      </c>
      <c r="B575" s="3" t="s">
        <v>91</v>
      </c>
      <c r="C575" s="3" t="s">
        <v>114</v>
      </c>
      <c r="D575" s="16" t="str">
        <f t="shared" si="368"/>
        <v>LABOR</v>
      </c>
      <c r="E575" s="4" t="s">
        <v>592</v>
      </c>
      <c r="F575" s="11"/>
      <c r="G575" s="11"/>
      <c r="H575" s="14">
        <f>'II-I TOTAL COMPANY'!M575</f>
        <v>0</v>
      </c>
      <c r="I575" s="66">
        <v>0</v>
      </c>
      <c r="J575" s="66">
        <f t="shared" si="374"/>
        <v>0</v>
      </c>
      <c r="K575" s="12">
        <f t="shared" si="369"/>
        <v>0</v>
      </c>
      <c r="L575" s="12">
        <f t="shared" si="369"/>
        <v>0</v>
      </c>
      <c r="M575" s="9">
        <f t="shared" si="370"/>
        <v>0</v>
      </c>
      <c r="N575" s="12">
        <f t="shared" si="371"/>
        <v>0</v>
      </c>
      <c r="O575" s="12">
        <f t="shared" si="371"/>
        <v>0</v>
      </c>
      <c r="P575" s="9">
        <f t="shared" si="334"/>
        <v>0</v>
      </c>
      <c r="Q575" s="12">
        <f t="shared" si="372"/>
        <v>0</v>
      </c>
      <c r="R575" s="12">
        <f t="shared" si="372"/>
        <v>0</v>
      </c>
      <c r="S575" s="12">
        <f t="shared" si="373"/>
        <v>0</v>
      </c>
      <c r="T575" s="12">
        <f t="shared" si="372"/>
        <v>0</v>
      </c>
      <c r="U575" s="12">
        <f t="shared" si="372"/>
        <v>0</v>
      </c>
      <c r="V575" s="12">
        <f t="shared" si="372"/>
        <v>0</v>
      </c>
      <c r="W575" s="27" t="str">
        <f t="shared" si="328"/>
        <v>OK</v>
      </c>
    </row>
    <row r="576" spans="1:23" x14ac:dyDescent="0.2">
      <c r="A576" s="3">
        <f t="shared" si="339"/>
        <v>47</v>
      </c>
      <c r="B576" s="3" t="s">
        <v>93</v>
      </c>
      <c r="C576" s="3" t="s">
        <v>94</v>
      </c>
      <c r="D576" s="16" t="str">
        <f t="shared" si="368"/>
        <v>LABOR</v>
      </c>
      <c r="E576" s="4" t="s">
        <v>592</v>
      </c>
      <c r="F576" s="11"/>
      <c r="G576" s="11"/>
      <c r="H576" s="14">
        <f>'II-I TOTAL COMPANY'!M576</f>
        <v>5.298998621788522E-2</v>
      </c>
      <c r="I576" s="66">
        <v>0</v>
      </c>
      <c r="J576" s="66">
        <f t="shared" si="374"/>
        <v>5.2989986217885206E-2</v>
      </c>
      <c r="K576" s="12">
        <f t="shared" si="369"/>
        <v>4.3439474670770063E-2</v>
      </c>
      <c r="L576" s="12">
        <f t="shared" si="369"/>
        <v>4.6153030994631724E-3</v>
      </c>
      <c r="M576" s="9">
        <f t="shared" si="370"/>
        <v>3.0539424622943474E-3</v>
      </c>
      <c r="N576" s="12">
        <f t="shared" si="371"/>
        <v>2.4293538900986674E-5</v>
      </c>
      <c r="O576" s="12">
        <f t="shared" si="371"/>
        <v>3.0296489233933607E-3</v>
      </c>
      <c r="P576" s="9">
        <f t="shared" si="334"/>
        <v>4.6537720909327363E-5</v>
      </c>
      <c r="Q576" s="12">
        <f t="shared" si="372"/>
        <v>1.9780676639865883E-5</v>
      </c>
      <c r="R576" s="12">
        <f t="shared" si="372"/>
        <v>2.3196955547817134E-5</v>
      </c>
      <c r="S576" s="12">
        <f t="shared" si="373"/>
        <v>3.5600887216443486E-6</v>
      </c>
      <c r="T576" s="12">
        <f t="shared" si="372"/>
        <v>5.2327700178292885E-6</v>
      </c>
      <c r="U576" s="12">
        <f t="shared" si="372"/>
        <v>1.828694145056993E-3</v>
      </c>
      <c r="V576" s="12">
        <f t="shared" si="372"/>
        <v>8.0134937347004623E-7</v>
      </c>
      <c r="W576" s="27">
        <f t="shared" si="328"/>
        <v>-2.0816681711721685E-17</v>
      </c>
    </row>
    <row r="577" spans="1:23" x14ac:dyDescent="0.2">
      <c r="A577" s="3">
        <f t="shared" si="339"/>
        <v>48</v>
      </c>
      <c r="B577" s="3" t="s">
        <v>95</v>
      </c>
      <c r="C577" s="3" t="s">
        <v>96</v>
      </c>
      <c r="D577" s="16" t="str">
        <f t="shared" si="368"/>
        <v>LABOR</v>
      </c>
      <c r="E577" s="4" t="s">
        <v>592</v>
      </c>
      <c r="F577" s="11"/>
      <c r="G577" s="11"/>
      <c r="H577" s="14">
        <f>'II-I TOTAL COMPANY'!M577</f>
        <v>4.7868822115329203E-4</v>
      </c>
      <c r="I577" s="66">
        <v>0</v>
      </c>
      <c r="J577" s="66">
        <f t="shared" si="374"/>
        <v>4.7868822115329198E-4</v>
      </c>
      <c r="K577" s="12">
        <f t="shared" si="369"/>
        <v>3.9241310183556937E-4</v>
      </c>
      <c r="L577" s="12">
        <f t="shared" si="369"/>
        <v>4.1692617576481267E-5</v>
      </c>
      <c r="M577" s="9">
        <f t="shared" si="370"/>
        <v>2.7587972542003963E-5</v>
      </c>
      <c r="N577" s="12">
        <f t="shared" si="371"/>
        <v>2.1945714184969111E-7</v>
      </c>
      <c r="O577" s="12">
        <f t="shared" si="371"/>
        <v>2.7368515400154273E-5</v>
      </c>
      <c r="P577" s="9">
        <f t="shared" si="334"/>
        <v>4.2040129519972038E-7</v>
      </c>
      <c r="Q577" s="12">
        <f t="shared" si="372"/>
        <v>1.7868992973525189E-7</v>
      </c>
      <c r="R577" s="12">
        <f t="shared" si="372"/>
        <v>2.0955109030786472E-7</v>
      </c>
      <c r="S577" s="12">
        <f t="shared" si="373"/>
        <v>3.2160275156603782E-8</v>
      </c>
      <c r="T577" s="12">
        <f t="shared" si="372"/>
        <v>4.7270542046178873E-8</v>
      </c>
      <c r="U577" s="12">
        <f t="shared" si="372"/>
        <v>1.6519618324326248E-5</v>
      </c>
      <c r="V577" s="12">
        <f t="shared" si="372"/>
        <v>7.2390376651807792E-9</v>
      </c>
      <c r="W577" s="27">
        <f t="shared" si="328"/>
        <v>-1.6263032587282567E-19</v>
      </c>
    </row>
    <row r="578" spans="1:23" x14ac:dyDescent="0.2">
      <c r="A578" s="3">
        <f t="shared" si="339"/>
        <v>49</v>
      </c>
      <c r="B578" s="3" t="s">
        <v>97</v>
      </c>
      <c r="C578" s="3" t="s">
        <v>98</v>
      </c>
      <c r="D578" s="16" t="str">
        <f t="shared" si="368"/>
        <v>LABOR</v>
      </c>
      <c r="E578" s="4" t="s">
        <v>592</v>
      </c>
      <c r="F578" s="11"/>
      <c r="G578" s="11"/>
      <c r="H578" s="14">
        <f>'II-I TOTAL COMPANY'!M578</f>
        <v>7.0510852780568018E-5</v>
      </c>
      <c r="I578" s="66">
        <v>0</v>
      </c>
      <c r="J578" s="66">
        <f t="shared" si="374"/>
        <v>7.0510852780567978E-5</v>
      </c>
      <c r="K578" s="12">
        <f t="shared" si="369"/>
        <v>5.7802513682143039E-5</v>
      </c>
      <c r="L578" s="12">
        <f t="shared" si="369"/>
        <v>6.1413293456209277E-6</v>
      </c>
      <c r="M578" s="9">
        <f t="shared" si="370"/>
        <v>4.0637128395115853E-6</v>
      </c>
      <c r="N578" s="12">
        <f t="shared" si="371"/>
        <v>3.2326072664429463E-8</v>
      </c>
      <c r="O578" s="12">
        <f t="shared" si="371"/>
        <v>4.0313867668471555E-6</v>
      </c>
      <c r="P578" s="9">
        <f t="shared" si="334"/>
        <v>6.1925179113807699E-8</v>
      </c>
      <c r="Q578" s="12">
        <f t="shared" si="372"/>
        <v>2.6321055693780238E-8</v>
      </c>
      <c r="R578" s="12">
        <f t="shared" si="372"/>
        <v>3.0866909662215627E-8</v>
      </c>
      <c r="S578" s="12">
        <f t="shared" si="373"/>
        <v>4.7372137578118325E-9</v>
      </c>
      <c r="T578" s="12">
        <f t="shared" si="372"/>
        <v>6.9629585266281351E-9</v>
      </c>
      <c r="U578" s="12">
        <f t="shared" si="372"/>
        <v>2.4333424642273156E-6</v>
      </c>
      <c r="V578" s="12">
        <f t="shared" si="372"/>
        <v>1.0663114246947218E-9</v>
      </c>
      <c r="W578" s="27">
        <f t="shared" si="328"/>
        <v>-2.7105054312137611E-20</v>
      </c>
    </row>
    <row r="579" spans="1:23" x14ac:dyDescent="0.2">
      <c r="A579" s="3">
        <f t="shared" si="339"/>
        <v>50</v>
      </c>
      <c r="B579" s="3" t="s">
        <v>105</v>
      </c>
      <c r="C579" s="3" t="s">
        <v>106</v>
      </c>
      <c r="D579" s="16" t="str">
        <f>D168</f>
        <v>LABOR</v>
      </c>
      <c r="E579" s="4" t="s">
        <v>592</v>
      </c>
      <c r="F579" s="11"/>
      <c r="G579" s="11"/>
      <c r="H579" s="14">
        <f>'II-I TOTAL COMPANY'!M579</f>
        <v>0.54730859677835919</v>
      </c>
      <c r="I579" s="66">
        <v>0</v>
      </c>
      <c r="J579" s="66">
        <f t="shared" si="374"/>
        <v>0.54730859677835908</v>
      </c>
      <c r="K579" s="12">
        <f>IF($H168&lt;&gt;0,$H579*(K168/$H168),0)</f>
        <v>0.44866586356694982</v>
      </c>
      <c r="L579" s="12">
        <f>IF($H168&lt;&gt;0,$H579*(L168/$H168),0)</f>
        <v>4.7669290810674433E-2</v>
      </c>
      <c r="M579" s="9">
        <f t="shared" si="370"/>
        <v>3.1542732560968616E-2</v>
      </c>
      <c r="N579" s="12">
        <f>IF($H168&lt;&gt;0,$H579*(N168/$H168),0)</f>
        <v>2.5091651528287811E-4</v>
      </c>
      <c r="O579" s="12">
        <f>IF($H168&lt;&gt;0,$H579*(O168/$H168),0)</f>
        <v>3.129181604568574E-2</v>
      </c>
      <c r="P579" s="9">
        <f t="shared" si="334"/>
        <v>4.8066618895533975E-4</v>
      </c>
      <c r="Q579" s="12">
        <f t="shared" ref="Q579:V579" si="375">IF($H168&lt;&gt;0,$H579*(Q168/$H168),0)</f>
        <v>2.0430528761748232E-4</v>
      </c>
      <c r="R579" s="12">
        <f t="shared" si="375"/>
        <v>2.3959042257913708E-4</v>
      </c>
      <c r="S579" s="12">
        <f t="shared" si="375"/>
        <v>3.6770478758720319E-5</v>
      </c>
      <c r="T579" s="12">
        <f t="shared" si="375"/>
        <v>5.4046815636939686E-5</v>
      </c>
      <c r="U579" s="12">
        <f t="shared" si="375"/>
        <v>1.8887720075121156E-2</v>
      </c>
      <c r="V579" s="12">
        <f t="shared" si="375"/>
        <v>8.2767600527338241E-6</v>
      </c>
      <c r="W579" s="27">
        <f t="shared" si="328"/>
        <v>-1.1102230246251565E-16</v>
      </c>
    </row>
    <row r="580" spans="1:23" x14ac:dyDescent="0.2">
      <c r="A580" s="3">
        <f t="shared" si="339"/>
        <v>51</v>
      </c>
      <c r="B580" s="3" t="s">
        <v>99</v>
      </c>
      <c r="C580" s="3" t="s">
        <v>100</v>
      </c>
      <c r="D580" s="16" t="str">
        <f>D159</f>
        <v>LABOR</v>
      </c>
      <c r="E580" s="4" t="s">
        <v>592</v>
      </c>
      <c r="F580" s="11"/>
      <c r="G580" s="11"/>
      <c r="H580" s="14">
        <f>'II-I TOTAL COMPANY'!M580</f>
        <v>1.5366503675592929E-2</v>
      </c>
      <c r="I580" s="66">
        <v>0</v>
      </c>
      <c r="J580" s="66">
        <f t="shared" si="374"/>
        <v>1.5366503675592924E-2</v>
      </c>
      <c r="K580" s="12">
        <f>IF($H159&lt;&gt;0,$H580*(K159/$H159),0)</f>
        <v>1.2596962083543904E-2</v>
      </c>
      <c r="L580" s="12">
        <f>IF($H159&lt;&gt;0,$H580*(L159/$H159),0)</f>
        <v>1.3383863085048122E-3</v>
      </c>
      <c r="M580" s="9">
        <f t="shared" si="370"/>
        <v>8.8560917677793407E-4</v>
      </c>
      <c r="N580" s="12">
        <f>IF($H159&lt;&gt;0,$H580*(N159/$H159),0)</f>
        <v>7.0448547255740318E-6</v>
      </c>
      <c r="O580" s="12">
        <f>IF($H159&lt;&gt;0,$H580*(O159/$H159),0)</f>
        <v>8.7856432205236001E-4</v>
      </c>
      <c r="P580" s="9">
        <f t="shared" si="334"/>
        <v>1.3495418860205858E-5</v>
      </c>
      <c r="Q580" s="12">
        <f t="shared" ref="Q580:V581" si="376">IF($H159&lt;&gt;0,$H580*(Q159/$H159),0)</f>
        <v>5.7361751150941315E-6</v>
      </c>
      <c r="R580" s="12">
        <f t="shared" si="376"/>
        <v>6.726857810877981E-6</v>
      </c>
      <c r="S580" s="12">
        <f>IF($H159&lt;&gt;0,$H580*(S159/$H159),0)</f>
        <v>1.0323859342337471E-6</v>
      </c>
      <c r="T580" s="12">
        <f t="shared" si="376"/>
        <v>1.5174448127213591E-6</v>
      </c>
      <c r="U580" s="12">
        <f t="shared" si="376"/>
        <v>5.3030086073260763E-4</v>
      </c>
      <c r="V580" s="12">
        <f t="shared" si="376"/>
        <v>2.323823607394211E-7</v>
      </c>
      <c r="W580" s="27">
        <f t="shared" si="328"/>
        <v>-5.2041704279304213E-18</v>
      </c>
    </row>
    <row r="581" spans="1:23" x14ac:dyDescent="0.2">
      <c r="A581" s="3">
        <f t="shared" si="339"/>
        <v>52</v>
      </c>
      <c r="B581" s="3" t="s">
        <v>101</v>
      </c>
      <c r="C581" s="3" t="s">
        <v>864</v>
      </c>
      <c r="D581" s="16" t="str">
        <f>D160</f>
        <v>LABOR</v>
      </c>
      <c r="E581" s="4" t="s">
        <v>592</v>
      </c>
      <c r="F581" s="11"/>
      <c r="G581" s="11"/>
      <c r="H581" s="14">
        <f>'II-I TOTAL COMPANY'!M581</f>
        <v>0</v>
      </c>
      <c r="I581" s="66">
        <v>0</v>
      </c>
      <c r="J581" s="66">
        <f t="shared" si="374"/>
        <v>0</v>
      </c>
      <c r="K581" s="12">
        <f>IF($H160&lt;&gt;0,$H581*(K160/$H160),0)</f>
        <v>0</v>
      </c>
      <c r="L581" s="12">
        <f>IF($H160&lt;&gt;0,$H581*(L160/$H160),0)</f>
        <v>0</v>
      </c>
      <c r="M581" s="9">
        <f t="shared" si="370"/>
        <v>0</v>
      </c>
      <c r="N581" s="12">
        <f>IF($H160&lt;&gt;0,$H581*(N160/$H160),0)</f>
        <v>0</v>
      </c>
      <c r="O581" s="12">
        <f>IF($H160&lt;&gt;0,$H581*(O160/$H160),0)</f>
        <v>0</v>
      </c>
      <c r="P581" s="9">
        <f t="shared" si="334"/>
        <v>0</v>
      </c>
      <c r="Q581" s="12">
        <f t="shared" si="376"/>
        <v>0</v>
      </c>
      <c r="R581" s="12">
        <f t="shared" si="376"/>
        <v>0</v>
      </c>
      <c r="S581" s="12">
        <f>IF($H160&lt;&gt;0,$H581*(S160/$H160),0)</f>
        <v>0</v>
      </c>
      <c r="T581" s="12">
        <f t="shared" si="376"/>
        <v>0</v>
      </c>
      <c r="U581" s="12">
        <f t="shared" si="376"/>
        <v>0</v>
      </c>
      <c r="V581" s="12">
        <f t="shared" si="376"/>
        <v>0</v>
      </c>
      <c r="W581" s="27" t="str">
        <f t="shared" si="328"/>
        <v>OK</v>
      </c>
    </row>
    <row r="582" spans="1:23" x14ac:dyDescent="0.2">
      <c r="A582" s="3">
        <f t="shared" si="339"/>
        <v>53</v>
      </c>
      <c r="B582" s="3"/>
      <c r="C582" s="3" t="s">
        <v>288</v>
      </c>
      <c r="D582" s="3"/>
      <c r="E582" s="4"/>
      <c r="F582" s="8"/>
      <c r="G582" s="8"/>
      <c r="H582" s="8">
        <f t="shared" ref="H582:V582" si="377">SUM(H571:H581)</f>
        <v>86884.012678476633</v>
      </c>
      <c r="I582" s="8">
        <f t="shared" si="377"/>
        <v>0</v>
      </c>
      <c r="J582" s="66">
        <f t="shared" si="374"/>
        <v>86884.012678476574</v>
      </c>
      <c r="K582" s="8">
        <f t="shared" si="377"/>
        <v>71224.699937130397</v>
      </c>
      <c r="L582" s="8">
        <f t="shared" si="377"/>
        <v>7567.3930421485238</v>
      </c>
      <c r="M582" s="9">
        <f t="shared" si="370"/>
        <v>5007.3380755808312</v>
      </c>
      <c r="N582" s="8">
        <f t="shared" si="377"/>
        <v>39.832434248982295</v>
      </c>
      <c r="O582" s="8">
        <f t="shared" si="377"/>
        <v>4967.5056413318489</v>
      </c>
      <c r="P582" s="9">
        <f t="shared" si="334"/>
        <v>76.304679848146066</v>
      </c>
      <c r="Q582" s="8">
        <f t="shared" si="377"/>
        <v>32.433006358980364</v>
      </c>
      <c r="R582" s="8">
        <f t="shared" si="377"/>
        <v>38.034442425243498</v>
      </c>
      <c r="S582" s="8">
        <f>SUM(S571:S581)</f>
        <v>5.8372310639222071</v>
      </c>
      <c r="T582" s="8">
        <f t="shared" si="377"/>
        <v>8.5798108099748926</v>
      </c>
      <c r="U582" s="8">
        <f t="shared" si="377"/>
        <v>2998.3832158567534</v>
      </c>
      <c r="V582" s="8">
        <f t="shared" si="377"/>
        <v>1.3139171019629572</v>
      </c>
      <c r="W582" s="27">
        <f t="shared" si="328"/>
        <v>-4.3655745685100555E-11</v>
      </c>
    </row>
    <row r="583" spans="1:23" x14ac:dyDescent="0.2">
      <c r="A583" s="3"/>
      <c r="B583" s="7" t="s">
        <v>286</v>
      </c>
      <c r="C583" s="3"/>
      <c r="D583" s="3"/>
      <c r="E583" s="4"/>
      <c r="F583" s="4"/>
      <c r="G583" s="4"/>
      <c r="H583" s="8"/>
      <c r="I583" s="8"/>
      <c r="J583" s="8"/>
      <c r="K583" s="10"/>
      <c r="L583" s="10"/>
      <c r="M583" s="3"/>
      <c r="N583" s="3"/>
      <c r="O583" s="3"/>
      <c r="P583" s="9"/>
      <c r="Q583" s="3"/>
      <c r="R583" s="3"/>
      <c r="S583" s="3"/>
      <c r="T583" s="3"/>
      <c r="U583" s="3"/>
      <c r="V583" s="3"/>
      <c r="W583" s="27" t="str">
        <f t="shared" si="328"/>
        <v>OK</v>
      </c>
    </row>
    <row r="584" spans="1:23" x14ac:dyDescent="0.2">
      <c r="A584" s="3"/>
      <c r="B584" s="3"/>
      <c r="C584" s="3"/>
      <c r="D584" s="3"/>
      <c r="E584" s="4"/>
      <c r="F584" s="4"/>
      <c r="G584" s="4"/>
      <c r="H584" s="8"/>
      <c r="I584" s="8"/>
      <c r="J584" s="8"/>
      <c r="K584" s="10"/>
      <c r="L584" s="10"/>
      <c r="M584" s="3"/>
      <c r="N584" s="3"/>
      <c r="O584" s="3"/>
      <c r="P584" s="9"/>
      <c r="Q584" s="3"/>
      <c r="R584" s="3"/>
      <c r="S584" s="3"/>
      <c r="T584" s="3"/>
      <c r="U584" s="3"/>
      <c r="V584" s="3"/>
      <c r="W584" s="27" t="str">
        <f t="shared" ref="W584:W637" si="378">IF((+K584+L584+M584+P584+T584+U584+V584)-H584=0,"OK",(+K584+L584+M584+P584+T584+U584+V584)-H584)</f>
        <v>OK</v>
      </c>
    </row>
    <row r="585" spans="1:23" x14ac:dyDescent="0.2">
      <c r="A585" s="3">
        <f t="shared" ref="A585:A611" si="379">+A584+1</f>
        <v>1</v>
      </c>
      <c r="B585" s="3" t="s">
        <v>813</v>
      </c>
      <c r="C585" s="3"/>
      <c r="D585" s="1"/>
      <c r="E585" s="4"/>
      <c r="F585" s="4"/>
      <c r="G585" s="4"/>
      <c r="H585" s="8"/>
      <c r="I585" s="8"/>
      <c r="J585" s="8"/>
      <c r="K585" s="10"/>
      <c r="L585" s="10"/>
      <c r="M585" s="3"/>
      <c r="N585" s="3"/>
      <c r="O585" s="3"/>
      <c r="P585" s="9"/>
      <c r="Q585" s="3"/>
      <c r="R585" s="3"/>
      <c r="S585" s="3"/>
      <c r="T585" s="3"/>
      <c r="U585" s="3"/>
      <c r="V585" s="3"/>
      <c r="W585" s="27" t="str">
        <f t="shared" si="378"/>
        <v>OK</v>
      </c>
    </row>
    <row r="586" spans="1:23" x14ac:dyDescent="0.2">
      <c r="A586" s="3">
        <f t="shared" si="379"/>
        <v>2</v>
      </c>
      <c r="B586" s="3"/>
      <c r="C586" s="3" t="s">
        <v>814</v>
      </c>
      <c r="D586" s="1" t="s">
        <v>395</v>
      </c>
      <c r="E586" s="4" t="s">
        <v>612</v>
      </c>
      <c r="F586" s="11"/>
      <c r="G586" s="11"/>
      <c r="H586" s="14">
        <f>'II-I TOTAL COMPANY'!M586</f>
        <v>0</v>
      </c>
      <c r="I586" s="66">
        <v>0</v>
      </c>
      <c r="J586" s="66">
        <f>SUM(K586:V586)-M586-P586</f>
        <v>0</v>
      </c>
      <c r="K586" s="12">
        <f t="shared" ref="K586:L591" si="380">VLOOKUP($D586,$E$741:$V$815,K$1,FALSE)*$H586</f>
        <v>0</v>
      </c>
      <c r="L586" s="12">
        <f t="shared" si="380"/>
        <v>0</v>
      </c>
      <c r="M586" s="9">
        <f t="shared" ref="M586:M591" si="381">SUM(N586:O586)</f>
        <v>0</v>
      </c>
      <c r="N586" s="12">
        <f t="shared" ref="N586:O591" si="382">VLOOKUP($D586,$E$741:$V$815,N$1,FALSE)*$H586</f>
        <v>0</v>
      </c>
      <c r="O586" s="12">
        <f t="shared" si="382"/>
        <v>0</v>
      </c>
      <c r="P586" s="9">
        <f t="shared" si="334"/>
        <v>0</v>
      </c>
      <c r="Q586" s="12">
        <f t="shared" ref="Q586:V591" si="383">VLOOKUP($D586,$E$741:$V$815,Q$1,FALSE)*$H586</f>
        <v>0</v>
      </c>
      <c r="R586" s="12">
        <f t="shared" si="383"/>
        <v>0</v>
      </c>
      <c r="S586" s="12">
        <f t="shared" si="383"/>
        <v>0</v>
      </c>
      <c r="T586" s="12">
        <f t="shared" si="383"/>
        <v>0</v>
      </c>
      <c r="U586" s="12">
        <f t="shared" si="383"/>
        <v>0</v>
      </c>
      <c r="V586" s="12">
        <f t="shared" si="383"/>
        <v>0</v>
      </c>
      <c r="W586" s="27" t="str">
        <f t="shared" si="378"/>
        <v>OK</v>
      </c>
    </row>
    <row r="587" spans="1:23" x14ac:dyDescent="0.2">
      <c r="A587" s="3">
        <f t="shared" si="379"/>
        <v>3</v>
      </c>
      <c r="B587" s="3"/>
      <c r="C587" s="3" t="s">
        <v>820</v>
      </c>
      <c r="D587" s="1" t="s">
        <v>395</v>
      </c>
      <c r="E587" s="4" t="s">
        <v>612</v>
      </c>
      <c r="F587" s="11"/>
      <c r="G587" s="11"/>
      <c r="H587" s="14">
        <f>'II-I TOTAL COMPANY'!M587</f>
        <v>0</v>
      </c>
      <c r="I587" s="66">
        <v>0</v>
      </c>
      <c r="J587" s="66">
        <f t="shared" ref="J587:J591" si="384">SUM(K587:V587)-M587-P587</f>
        <v>0</v>
      </c>
      <c r="K587" s="12">
        <f t="shared" si="380"/>
        <v>0</v>
      </c>
      <c r="L587" s="12">
        <f t="shared" si="380"/>
        <v>0</v>
      </c>
      <c r="M587" s="9">
        <f t="shared" si="381"/>
        <v>0</v>
      </c>
      <c r="N587" s="12">
        <f t="shared" si="382"/>
        <v>0</v>
      </c>
      <c r="O587" s="12">
        <f t="shared" si="382"/>
        <v>0</v>
      </c>
      <c r="P587" s="9">
        <f t="shared" si="334"/>
        <v>0</v>
      </c>
      <c r="Q587" s="12">
        <f t="shared" si="383"/>
        <v>0</v>
      </c>
      <c r="R587" s="12">
        <f t="shared" si="383"/>
        <v>0</v>
      </c>
      <c r="S587" s="12">
        <f t="shared" si="383"/>
        <v>0</v>
      </c>
      <c r="T587" s="12">
        <f t="shared" si="383"/>
        <v>0</v>
      </c>
      <c r="U587" s="12">
        <f t="shared" si="383"/>
        <v>0</v>
      </c>
      <c r="V587" s="12">
        <f t="shared" si="383"/>
        <v>0</v>
      </c>
      <c r="W587" s="27" t="str">
        <f t="shared" si="378"/>
        <v>OK</v>
      </c>
    </row>
    <row r="588" spans="1:23" x14ac:dyDescent="0.2">
      <c r="A588" s="3">
        <f t="shared" si="379"/>
        <v>4</v>
      </c>
      <c r="B588" s="3"/>
      <c r="C588" s="3" t="s">
        <v>821</v>
      </c>
      <c r="D588" s="1" t="s">
        <v>395</v>
      </c>
      <c r="E588" s="4" t="s">
        <v>612</v>
      </c>
      <c r="F588" s="11"/>
      <c r="G588" s="11"/>
      <c r="H588" s="14">
        <f>'II-I TOTAL COMPANY'!M588</f>
        <v>0</v>
      </c>
      <c r="I588" s="66">
        <v>0</v>
      </c>
      <c r="J588" s="66">
        <f t="shared" si="384"/>
        <v>0</v>
      </c>
      <c r="K588" s="12">
        <f t="shared" si="380"/>
        <v>0</v>
      </c>
      <c r="L588" s="12">
        <f t="shared" si="380"/>
        <v>0</v>
      </c>
      <c r="M588" s="9">
        <f t="shared" si="381"/>
        <v>0</v>
      </c>
      <c r="N588" s="12">
        <f t="shared" si="382"/>
        <v>0</v>
      </c>
      <c r="O588" s="12">
        <f t="shared" si="382"/>
        <v>0</v>
      </c>
      <c r="P588" s="9">
        <f t="shared" si="334"/>
        <v>0</v>
      </c>
      <c r="Q588" s="12">
        <f t="shared" si="383"/>
        <v>0</v>
      </c>
      <c r="R588" s="12">
        <f t="shared" si="383"/>
        <v>0</v>
      </c>
      <c r="S588" s="12">
        <f t="shared" si="383"/>
        <v>0</v>
      </c>
      <c r="T588" s="12">
        <f t="shared" si="383"/>
        <v>0</v>
      </c>
      <c r="U588" s="12">
        <f t="shared" si="383"/>
        <v>0</v>
      </c>
      <c r="V588" s="12">
        <f t="shared" si="383"/>
        <v>0</v>
      </c>
      <c r="W588" s="27" t="str">
        <f t="shared" si="378"/>
        <v>OK</v>
      </c>
    </row>
    <row r="589" spans="1:23" x14ac:dyDescent="0.2">
      <c r="A589" s="3">
        <f t="shared" si="379"/>
        <v>5</v>
      </c>
      <c r="B589" s="3"/>
      <c r="C589" s="3" t="s">
        <v>530</v>
      </c>
      <c r="D589" s="1" t="s">
        <v>395</v>
      </c>
      <c r="E589" s="4" t="s">
        <v>612</v>
      </c>
      <c r="F589" s="11"/>
      <c r="G589" s="11"/>
      <c r="H589" s="14">
        <f>'II-I TOTAL COMPANY'!M589</f>
        <v>0</v>
      </c>
      <c r="I589" s="66">
        <v>0</v>
      </c>
      <c r="J589" s="66">
        <f t="shared" si="384"/>
        <v>0</v>
      </c>
      <c r="K589" s="12">
        <f t="shared" si="380"/>
        <v>0</v>
      </c>
      <c r="L589" s="12">
        <f t="shared" si="380"/>
        <v>0</v>
      </c>
      <c r="M589" s="9">
        <f t="shared" si="381"/>
        <v>0</v>
      </c>
      <c r="N589" s="12">
        <f t="shared" si="382"/>
        <v>0</v>
      </c>
      <c r="O589" s="12">
        <f t="shared" si="382"/>
        <v>0</v>
      </c>
      <c r="P589" s="9">
        <f t="shared" si="334"/>
        <v>0</v>
      </c>
      <c r="Q589" s="12">
        <f t="shared" si="383"/>
        <v>0</v>
      </c>
      <c r="R589" s="12">
        <f t="shared" si="383"/>
        <v>0</v>
      </c>
      <c r="S589" s="12">
        <f t="shared" si="383"/>
        <v>0</v>
      </c>
      <c r="T589" s="12">
        <f t="shared" si="383"/>
        <v>0</v>
      </c>
      <c r="U589" s="12">
        <f t="shared" si="383"/>
        <v>0</v>
      </c>
      <c r="V589" s="12">
        <f t="shared" si="383"/>
        <v>0</v>
      </c>
      <c r="W589" s="27" t="str">
        <f t="shared" si="378"/>
        <v>OK</v>
      </c>
    </row>
    <row r="590" spans="1:23" x14ac:dyDescent="0.2">
      <c r="A590" s="3">
        <f t="shared" si="379"/>
        <v>6</v>
      </c>
      <c r="B590" s="3"/>
      <c r="C590" s="3" t="s">
        <v>531</v>
      </c>
      <c r="D590" s="1" t="s">
        <v>395</v>
      </c>
      <c r="E590" s="4" t="s">
        <v>612</v>
      </c>
      <c r="F590" s="11"/>
      <c r="G590" s="11"/>
      <c r="H590" s="14">
        <f>'II-I TOTAL COMPANY'!M590</f>
        <v>0</v>
      </c>
      <c r="I590" s="66">
        <v>0</v>
      </c>
      <c r="J590" s="66">
        <f t="shared" si="384"/>
        <v>0</v>
      </c>
      <c r="K590" s="12">
        <f t="shared" si="380"/>
        <v>0</v>
      </c>
      <c r="L590" s="12">
        <f t="shared" si="380"/>
        <v>0</v>
      </c>
      <c r="M590" s="9">
        <f t="shared" si="381"/>
        <v>0</v>
      </c>
      <c r="N590" s="12">
        <f t="shared" si="382"/>
        <v>0</v>
      </c>
      <c r="O590" s="12">
        <f t="shared" si="382"/>
        <v>0</v>
      </c>
      <c r="P590" s="9">
        <f t="shared" si="334"/>
        <v>0</v>
      </c>
      <c r="Q590" s="12">
        <f t="shared" si="383"/>
        <v>0</v>
      </c>
      <c r="R590" s="12">
        <f t="shared" si="383"/>
        <v>0</v>
      </c>
      <c r="S590" s="12">
        <f t="shared" si="383"/>
        <v>0</v>
      </c>
      <c r="T590" s="12">
        <f t="shared" si="383"/>
        <v>0</v>
      </c>
      <c r="U590" s="12">
        <f t="shared" si="383"/>
        <v>0</v>
      </c>
      <c r="V590" s="12">
        <f t="shared" si="383"/>
        <v>0</v>
      </c>
      <c r="W590" s="27" t="str">
        <f t="shared" si="378"/>
        <v>OK</v>
      </c>
    </row>
    <row r="591" spans="1:23" x14ac:dyDescent="0.2">
      <c r="A591" s="3">
        <f t="shared" si="379"/>
        <v>7</v>
      </c>
      <c r="B591" s="3"/>
      <c r="C591" s="3" t="s">
        <v>532</v>
      </c>
      <c r="D591" s="1" t="s">
        <v>395</v>
      </c>
      <c r="E591" s="4" t="s">
        <v>612</v>
      </c>
      <c r="F591" s="11"/>
      <c r="G591" s="11"/>
      <c r="H591" s="14">
        <f>'II-I TOTAL COMPANY'!M591</f>
        <v>0</v>
      </c>
      <c r="I591" s="66">
        <v>0</v>
      </c>
      <c r="J591" s="66">
        <f t="shared" si="384"/>
        <v>0</v>
      </c>
      <c r="K591" s="12">
        <f t="shared" si="380"/>
        <v>0</v>
      </c>
      <c r="L591" s="12">
        <f t="shared" si="380"/>
        <v>0</v>
      </c>
      <c r="M591" s="9">
        <f t="shared" si="381"/>
        <v>0</v>
      </c>
      <c r="N591" s="12">
        <f t="shared" si="382"/>
        <v>0</v>
      </c>
      <c r="O591" s="12">
        <f t="shared" si="382"/>
        <v>0</v>
      </c>
      <c r="P591" s="9">
        <f t="shared" si="334"/>
        <v>0</v>
      </c>
      <c r="Q591" s="12">
        <f t="shared" si="383"/>
        <v>0</v>
      </c>
      <c r="R591" s="12">
        <f t="shared" si="383"/>
        <v>0</v>
      </c>
      <c r="S591" s="12">
        <f t="shared" si="383"/>
        <v>0</v>
      </c>
      <c r="T591" s="12">
        <f t="shared" si="383"/>
        <v>0</v>
      </c>
      <c r="U591" s="12">
        <f t="shared" si="383"/>
        <v>0</v>
      </c>
      <c r="V591" s="12">
        <f t="shared" si="383"/>
        <v>0</v>
      </c>
      <c r="W591" s="27" t="str">
        <f t="shared" si="378"/>
        <v>OK</v>
      </c>
    </row>
    <row r="592" spans="1:23" x14ac:dyDescent="0.2">
      <c r="A592" s="3">
        <f t="shared" si="379"/>
        <v>8</v>
      </c>
      <c r="B592" s="3"/>
      <c r="C592" s="3"/>
      <c r="D592" s="1"/>
      <c r="E592" s="4"/>
      <c r="F592" s="4"/>
      <c r="G592" s="4"/>
      <c r="H592" s="14"/>
      <c r="I592" s="66"/>
      <c r="J592" s="66"/>
      <c r="K592" s="12"/>
      <c r="L592" s="12"/>
      <c r="M592" s="9"/>
      <c r="N592" s="12"/>
      <c r="O592" s="12"/>
      <c r="P592" s="9"/>
      <c r="Q592" s="12"/>
      <c r="R592" s="12"/>
      <c r="S592" s="12"/>
      <c r="T592" s="12"/>
      <c r="U592" s="12"/>
      <c r="V592" s="12"/>
      <c r="W592" s="27" t="str">
        <f t="shared" si="378"/>
        <v>OK</v>
      </c>
    </row>
    <row r="593" spans="1:23" x14ac:dyDescent="0.2">
      <c r="A593" s="3">
        <f t="shared" si="379"/>
        <v>9</v>
      </c>
      <c r="B593" s="3"/>
      <c r="C593" s="3"/>
      <c r="D593" s="1"/>
      <c r="E593" s="4"/>
      <c r="F593" s="4"/>
      <c r="G593" s="4"/>
      <c r="H593" s="14"/>
      <c r="I593" s="66"/>
      <c r="J593" s="66"/>
      <c r="K593" s="12"/>
      <c r="L593" s="12"/>
      <c r="M593" s="9"/>
      <c r="N593" s="12"/>
      <c r="O593" s="12"/>
      <c r="P593" s="9"/>
      <c r="Q593" s="12"/>
      <c r="R593" s="12"/>
      <c r="S593" s="12"/>
      <c r="T593" s="12"/>
      <c r="U593" s="12"/>
      <c r="V593" s="12"/>
      <c r="W593" s="27" t="str">
        <f t="shared" si="378"/>
        <v>OK</v>
      </c>
    </row>
    <row r="594" spans="1:23" x14ac:dyDescent="0.2">
      <c r="A594" s="3">
        <f t="shared" si="379"/>
        <v>10</v>
      </c>
      <c r="B594" s="3"/>
      <c r="C594" s="3" t="s">
        <v>290</v>
      </c>
      <c r="D594" s="3"/>
      <c r="E594" s="4" t="s">
        <v>612</v>
      </c>
      <c r="F594" s="8"/>
      <c r="G594" s="8"/>
      <c r="H594" s="8">
        <f>SUM(H586:H593)</f>
        <v>0</v>
      </c>
      <c r="I594" s="8">
        <f>SUM(I586:I593)</f>
        <v>0</v>
      </c>
      <c r="J594" s="66">
        <f t="shared" ref="J594" si="385">SUM(K594:V594)-M594-P594</f>
        <v>0</v>
      </c>
      <c r="K594" s="8">
        <f t="shared" ref="K594:V594" si="386">SUM(K586:K593)</f>
        <v>0</v>
      </c>
      <c r="L594" s="8">
        <f t="shared" si="386"/>
        <v>0</v>
      </c>
      <c r="M594" s="8">
        <f t="shared" si="386"/>
        <v>0</v>
      </c>
      <c r="N594" s="8">
        <f t="shared" si="386"/>
        <v>0</v>
      </c>
      <c r="O594" s="8">
        <f t="shared" si="386"/>
        <v>0</v>
      </c>
      <c r="P594" s="9">
        <f t="shared" si="334"/>
        <v>0</v>
      </c>
      <c r="Q594" s="8">
        <f t="shared" si="386"/>
        <v>0</v>
      </c>
      <c r="R594" s="8">
        <f t="shared" si="386"/>
        <v>0</v>
      </c>
      <c r="S594" s="8">
        <f>SUM(S586:S593)</f>
        <v>0</v>
      </c>
      <c r="T594" s="8">
        <f t="shared" si="386"/>
        <v>0</v>
      </c>
      <c r="U594" s="8">
        <f t="shared" si="386"/>
        <v>0</v>
      </c>
      <c r="V594" s="8">
        <f t="shared" si="386"/>
        <v>0</v>
      </c>
      <c r="W594" s="27" t="str">
        <f t="shared" si="378"/>
        <v>OK</v>
      </c>
    </row>
    <row r="595" spans="1:23" x14ac:dyDescent="0.2">
      <c r="A595" s="3">
        <f t="shared" si="379"/>
        <v>11</v>
      </c>
      <c r="B595" s="3"/>
      <c r="C595" s="3"/>
      <c r="D595" s="3"/>
      <c r="E595" s="4"/>
      <c r="F595" s="4"/>
      <c r="G595" s="4"/>
      <c r="H595" s="8"/>
      <c r="I595" s="8"/>
      <c r="J595" s="8"/>
      <c r="K595" s="10"/>
      <c r="L595" s="10"/>
      <c r="M595" s="3"/>
      <c r="N595" s="3"/>
      <c r="O595" s="3"/>
      <c r="P595" s="9"/>
      <c r="Q595" s="3"/>
      <c r="R595" s="3"/>
      <c r="S595" s="3"/>
      <c r="T595" s="3"/>
      <c r="U595" s="3"/>
      <c r="V595" s="3"/>
      <c r="W595" s="27" t="str">
        <f t="shared" si="378"/>
        <v>OK</v>
      </c>
    </row>
    <row r="596" spans="1:23" x14ac:dyDescent="0.2">
      <c r="A596" s="3">
        <f t="shared" si="379"/>
        <v>12</v>
      </c>
      <c r="B596" s="3"/>
      <c r="C596" s="3"/>
      <c r="D596" s="3"/>
      <c r="E596" s="4"/>
      <c r="F596" s="4"/>
      <c r="G596" s="4"/>
      <c r="H596" s="8"/>
      <c r="I596" s="8"/>
      <c r="J596" s="8"/>
      <c r="K596" s="10"/>
      <c r="L596" s="10"/>
      <c r="M596" s="3"/>
      <c r="N596" s="3"/>
      <c r="O596" s="3"/>
      <c r="P596" s="9"/>
      <c r="Q596" s="3"/>
      <c r="R596" s="3"/>
      <c r="S596" s="3"/>
      <c r="T596" s="3"/>
      <c r="U596" s="3"/>
      <c r="V596" s="3"/>
      <c r="W596" s="27" t="str">
        <f t="shared" si="378"/>
        <v>OK</v>
      </c>
    </row>
    <row r="597" spans="1:23" x14ac:dyDescent="0.2">
      <c r="A597" s="3">
        <f t="shared" si="379"/>
        <v>13</v>
      </c>
      <c r="B597" s="3" t="s">
        <v>291</v>
      </c>
      <c r="C597" s="3"/>
      <c r="D597" s="3"/>
      <c r="E597" s="4"/>
      <c r="F597" s="8"/>
      <c r="G597" s="8"/>
      <c r="H597" s="8">
        <f t="shared" ref="H597:V597" si="387">H536+H549+H568+H582+H594</f>
        <v>86884.012678476633</v>
      </c>
      <c r="I597" s="8">
        <f t="shared" si="387"/>
        <v>0</v>
      </c>
      <c r="J597" s="66">
        <f t="shared" ref="J597" si="388">SUM(K597:V597)-M597-P597</f>
        <v>86884.012678476574</v>
      </c>
      <c r="K597" s="8">
        <f t="shared" si="387"/>
        <v>71224.699937130397</v>
      </c>
      <c r="L597" s="8">
        <f>L536+L549+L568+L582+L594</f>
        <v>7567.3930421485238</v>
      </c>
      <c r="M597" s="9">
        <f>SUM(N597:O597)</f>
        <v>5007.3380755808312</v>
      </c>
      <c r="N597" s="8">
        <f t="shared" si="387"/>
        <v>39.832434248982295</v>
      </c>
      <c r="O597" s="8">
        <f t="shared" si="387"/>
        <v>4967.5056413318489</v>
      </c>
      <c r="P597" s="9">
        <f>SUM(Q597:S597)</f>
        <v>76.304679848146066</v>
      </c>
      <c r="Q597" s="8">
        <f t="shared" si="387"/>
        <v>32.433006358980364</v>
      </c>
      <c r="R597" s="8">
        <f t="shared" si="387"/>
        <v>38.034442425243498</v>
      </c>
      <c r="S597" s="8">
        <f>S536+S549+S568+S582+S594</f>
        <v>5.8372310639222071</v>
      </c>
      <c r="T597" s="8">
        <f t="shared" si="387"/>
        <v>8.5798108099748926</v>
      </c>
      <c r="U597" s="8">
        <f t="shared" si="387"/>
        <v>2998.3832158567534</v>
      </c>
      <c r="V597" s="8">
        <f t="shared" si="387"/>
        <v>1.3139171019629572</v>
      </c>
      <c r="W597" s="27">
        <f t="shared" si="378"/>
        <v>-4.3655745685100555E-11</v>
      </c>
    </row>
    <row r="598" spans="1:23" x14ac:dyDescent="0.2">
      <c r="A598" s="3">
        <f t="shared" si="379"/>
        <v>14</v>
      </c>
      <c r="B598" s="3"/>
      <c r="C598" s="3"/>
      <c r="D598" s="3"/>
      <c r="E598" s="4"/>
      <c r="F598" s="4"/>
      <c r="G598" s="4"/>
      <c r="H598" s="8"/>
      <c r="I598" s="8"/>
      <c r="J598" s="8"/>
      <c r="K598" s="10"/>
      <c r="L598" s="10"/>
      <c r="M598" s="3"/>
      <c r="N598" s="3"/>
      <c r="O598" s="3"/>
      <c r="P598" s="9"/>
      <c r="Q598" s="3"/>
      <c r="R598" s="3"/>
      <c r="S598" s="3"/>
      <c r="T598" s="3"/>
      <c r="U598" s="3"/>
      <c r="V598" s="3"/>
      <c r="W598" s="27" t="str">
        <f t="shared" si="378"/>
        <v>OK</v>
      </c>
    </row>
    <row r="599" spans="1:23" x14ac:dyDescent="0.2">
      <c r="A599" s="3">
        <f t="shared" si="379"/>
        <v>15</v>
      </c>
      <c r="B599" s="3"/>
      <c r="C599" s="3"/>
      <c r="D599" s="3"/>
      <c r="E599" s="4"/>
      <c r="F599" s="4"/>
      <c r="G599" s="4"/>
      <c r="H599" s="8"/>
      <c r="I599" s="8"/>
      <c r="J599" s="8"/>
      <c r="K599" s="10"/>
      <c r="L599" s="10"/>
      <c r="M599" s="3"/>
      <c r="N599" s="3"/>
      <c r="O599" s="3"/>
      <c r="P599" s="9"/>
      <c r="Q599" s="3"/>
      <c r="R599" s="3"/>
      <c r="S599" s="3"/>
      <c r="T599" s="3"/>
      <c r="U599" s="3"/>
      <c r="V599" s="3"/>
      <c r="W599" s="27" t="str">
        <f t="shared" si="378"/>
        <v>OK</v>
      </c>
    </row>
    <row r="600" spans="1:23" x14ac:dyDescent="0.2">
      <c r="A600" s="3">
        <f t="shared" si="379"/>
        <v>16</v>
      </c>
      <c r="B600" s="3"/>
      <c r="C600" s="3"/>
      <c r="D600" s="3"/>
      <c r="E600" s="4"/>
      <c r="F600" s="4"/>
      <c r="G600" s="4"/>
      <c r="H600" s="8"/>
      <c r="I600" s="8"/>
      <c r="J600" s="8"/>
      <c r="K600" s="10"/>
      <c r="L600" s="10"/>
      <c r="M600" s="3"/>
      <c r="N600" s="3"/>
      <c r="O600" s="3"/>
      <c r="P600" s="9"/>
      <c r="Q600" s="3"/>
      <c r="R600" s="3"/>
      <c r="S600" s="3"/>
      <c r="T600" s="3"/>
      <c r="U600" s="3"/>
      <c r="V600" s="3"/>
      <c r="W600" s="27" t="str">
        <f t="shared" si="378"/>
        <v>OK</v>
      </c>
    </row>
    <row r="601" spans="1:23" x14ac:dyDescent="0.2">
      <c r="A601" s="3">
        <f t="shared" si="379"/>
        <v>17</v>
      </c>
      <c r="B601" s="7" t="s">
        <v>292</v>
      </c>
      <c r="C601" s="3"/>
      <c r="D601" s="3"/>
      <c r="E601" s="4"/>
      <c r="F601" s="4"/>
      <c r="G601" s="4"/>
      <c r="H601" s="8"/>
      <c r="I601" s="8"/>
      <c r="J601" s="8"/>
      <c r="K601" s="10"/>
      <c r="L601" s="10"/>
      <c r="M601" s="3"/>
      <c r="N601" s="3"/>
      <c r="O601" s="3"/>
      <c r="P601" s="9"/>
      <c r="Q601" s="3"/>
      <c r="R601" s="3"/>
      <c r="S601" s="3"/>
      <c r="T601" s="3"/>
      <c r="U601" s="3"/>
      <c r="V601" s="3"/>
      <c r="W601" s="27" t="str">
        <f t="shared" si="378"/>
        <v>OK</v>
      </c>
    </row>
    <row r="602" spans="1:23" x14ac:dyDescent="0.2">
      <c r="A602" s="3">
        <f t="shared" si="379"/>
        <v>18</v>
      </c>
      <c r="B602" s="3"/>
      <c r="C602" s="3"/>
      <c r="D602" s="3"/>
      <c r="E602" s="4"/>
      <c r="F602" s="4"/>
      <c r="G602" s="4"/>
      <c r="H602" s="8"/>
      <c r="I602" s="8"/>
      <c r="J602" s="8"/>
      <c r="K602" s="10"/>
      <c r="L602" s="10"/>
      <c r="M602" s="3"/>
      <c r="N602" s="3"/>
      <c r="O602" s="3"/>
      <c r="P602" s="9"/>
      <c r="Q602" s="3"/>
      <c r="R602" s="3"/>
      <c r="S602" s="3"/>
      <c r="T602" s="3"/>
      <c r="U602" s="3"/>
      <c r="V602" s="3"/>
      <c r="W602" s="27" t="str">
        <f t="shared" si="378"/>
        <v>OK</v>
      </c>
    </row>
    <row r="603" spans="1:23" x14ac:dyDescent="0.2">
      <c r="A603" s="3">
        <f t="shared" si="379"/>
        <v>19</v>
      </c>
      <c r="B603" s="3" t="s">
        <v>293</v>
      </c>
      <c r="C603" s="3"/>
      <c r="D603" s="1"/>
      <c r="E603" s="4"/>
      <c r="F603" s="4"/>
      <c r="G603" s="4"/>
      <c r="H603" s="8"/>
      <c r="I603" s="8"/>
      <c r="J603" s="8"/>
      <c r="K603" s="10"/>
      <c r="L603" s="10"/>
      <c r="M603" s="3"/>
      <c r="N603" s="3"/>
      <c r="O603" s="3"/>
      <c r="P603" s="9"/>
      <c r="Q603" s="3"/>
      <c r="R603" s="3"/>
      <c r="S603" s="3"/>
      <c r="T603" s="3"/>
      <c r="U603" s="3"/>
      <c r="V603" s="3"/>
      <c r="W603" s="27" t="str">
        <f t="shared" si="378"/>
        <v>OK</v>
      </c>
    </row>
    <row r="604" spans="1:23" x14ac:dyDescent="0.2">
      <c r="A604" s="3">
        <f t="shared" si="379"/>
        <v>20</v>
      </c>
      <c r="B604" s="3"/>
      <c r="C604" s="3"/>
      <c r="D604" s="1"/>
      <c r="E604" s="4"/>
      <c r="F604" s="4"/>
      <c r="G604" s="4"/>
      <c r="H604" s="8"/>
      <c r="I604" s="8"/>
      <c r="J604" s="8"/>
      <c r="K604" s="10"/>
      <c r="L604" s="10"/>
      <c r="M604" s="3"/>
      <c r="N604" s="3"/>
      <c r="O604" s="3"/>
      <c r="P604" s="9"/>
      <c r="Q604" s="3"/>
      <c r="R604" s="3"/>
      <c r="S604" s="3"/>
      <c r="T604" s="3"/>
      <c r="U604" s="3"/>
      <c r="V604" s="3"/>
      <c r="W604" s="27" t="str">
        <f t="shared" si="378"/>
        <v>OK</v>
      </c>
    </row>
    <row r="605" spans="1:23" x14ac:dyDescent="0.2">
      <c r="A605" s="3">
        <f t="shared" si="379"/>
        <v>21</v>
      </c>
      <c r="B605" s="3"/>
      <c r="C605" s="3" t="s">
        <v>294</v>
      </c>
      <c r="D605" s="1" t="s">
        <v>323</v>
      </c>
      <c r="E605" s="4" t="s">
        <v>592</v>
      </c>
      <c r="F605" s="11"/>
      <c r="G605" s="11"/>
      <c r="H605" s="14">
        <f>'II-I TOTAL COMPANY'!M605</f>
        <v>662019.49563803046</v>
      </c>
      <c r="I605" s="66">
        <v>0</v>
      </c>
      <c r="J605" s="66">
        <f>SUM(K605:V605)-M605-P605</f>
        <v>662019.49563803035</v>
      </c>
      <c r="K605" s="12">
        <f t="shared" ref="K605:L608" si="389">VLOOKUP($D605,$E$741:$V$815,K$1,FALSE)*$H605</f>
        <v>542702.14364799834</v>
      </c>
      <c r="L605" s="12">
        <f t="shared" si="389"/>
        <v>57660.34015483439</v>
      </c>
      <c r="M605" s="9">
        <f>SUM(N605:O605)</f>
        <v>38153.802121829569</v>
      </c>
      <c r="N605" s="12">
        <f t="shared" ref="N605:O608" si="390">VLOOKUP($D605,$E$741:$V$815,N$1,FALSE)*$H605</f>
        <v>303.50633239202074</v>
      </c>
      <c r="O605" s="12">
        <f t="shared" si="390"/>
        <v>37850.29578943755</v>
      </c>
      <c r="P605" s="9">
        <f>SUM(Q605:S605)</f>
        <v>581.40944588767763</v>
      </c>
      <c r="Q605" s="12">
        <f t="shared" ref="Q605:V608" si="391">VLOOKUP($D605,$E$741:$V$815,Q$1,FALSE)*$H605</f>
        <v>247.12581578447518</v>
      </c>
      <c r="R605" s="12">
        <f t="shared" si="391"/>
        <v>289.8063937771031</v>
      </c>
      <c r="S605" s="12">
        <f t="shared" si="391"/>
        <v>44.477236326099423</v>
      </c>
      <c r="T605" s="12">
        <f t="shared" si="391"/>
        <v>65.37453611988137</v>
      </c>
      <c r="U605" s="12">
        <f t="shared" si="391"/>
        <v>22846.414237757181</v>
      </c>
      <c r="V605" s="12">
        <f t="shared" si="391"/>
        <v>10.011493603209015</v>
      </c>
      <c r="W605" s="27">
        <f t="shared" si="378"/>
        <v>-1.1641532182693481E-10</v>
      </c>
    </row>
    <row r="606" spans="1:23" x14ac:dyDescent="0.2">
      <c r="A606" s="3">
        <f t="shared" si="379"/>
        <v>22</v>
      </c>
      <c r="B606" s="3"/>
      <c r="C606" s="3" t="s">
        <v>540</v>
      </c>
      <c r="D606" s="1" t="s">
        <v>340</v>
      </c>
      <c r="E606" s="4" t="s">
        <v>592</v>
      </c>
      <c r="F606" s="11"/>
      <c r="G606" s="11"/>
      <c r="H606" s="14">
        <f>'II-I TOTAL COMPANY'!M606</f>
        <v>42883.7244756406</v>
      </c>
      <c r="I606" s="66">
        <v>0</v>
      </c>
      <c r="J606" s="66">
        <f t="shared" ref="J606:J608" si="392">SUM(K606:V606)-M606-P606</f>
        <v>42883.724475640607</v>
      </c>
      <c r="K606" s="12">
        <f t="shared" si="389"/>
        <v>35154.688576218643</v>
      </c>
      <c r="L606" s="12">
        <f t="shared" si="389"/>
        <v>3735.0714845467583</v>
      </c>
      <c r="M606" s="9">
        <f>SUM(N606:O606)</f>
        <v>2471.4938890338321</v>
      </c>
      <c r="N606" s="12">
        <f t="shared" si="390"/>
        <v>19.660269857110119</v>
      </c>
      <c r="O606" s="12">
        <f t="shared" si="390"/>
        <v>2451.8336191767221</v>
      </c>
      <c r="P606" s="9">
        <f>SUM(Q606:S606)</f>
        <v>37.662036615632481</v>
      </c>
      <c r="Q606" s="12">
        <f t="shared" si="391"/>
        <v>16.008101671848344</v>
      </c>
      <c r="R606" s="12">
        <f t="shared" si="391"/>
        <v>18.772827120504452</v>
      </c>
      <c r="S606" s="12">
        <f t="shared" si="391"/>
        <v>2.8811078232796854</v>
      </c>
      <c r="T606" s="12">
        <f t="shared" si="391"/>
        <v>4.2347749774134567</v>
      </c>
      <c r="U606" s="12">
        <f t="shared" si="391"/>
        <v>1479.925198402344</v>
      </c>
      <c r="V606" s="12">
        <f t="shared" si="391"/>
        <v>0.6485158459810626</v>
      </c>
      <c r="W606" s="27">
        <f t="shared" si="378"/>
        <v>7.2759576141834259E-12</v>
      </c>
    </row>
    <row r="607" spans="1:23" x14ac:dyDescent="0.2">
      <c r="A607" s="3">
        <f t="shared" si="379"/>
        <v>23</v>
      </c>
      <c r="B607" s="3"/>
      <c r="C607" s="3" t="s">
        <v>641</v>
      </c>
      <c r="D607" s="1" t="s">
        <v>640</v>
      </c>
      <c r="E607" s="4" t="s">
        <v>592</v>
      </c>
      <c r="F607" s="11"/>
      <c r="G607" s="11"/>
      <c r="H607" s="14">
        <f>'II-I TOTAL COMPANY'!M607</f>
        <v>0</v>
      </c>
      <c r="I607" s="66">
        <v>0</v>
      </c>
      <c r="J607" s="66">
        <f t="shared" si="392"/>
        <v>0</v>
      </c>
      <c r="K607" s="12">
        <f t="shared" si="389"/>
        <v>0</v>
      </c>
      <c r="L607" s="12">
        <f t="shared" si="389"/>
        <v>0</v>
      </c>
      <c r="M607" s="9">
        <f>SUM(N607:O607)</f>
        <v>0</v>
      </c>
      <c r="N607" s="12">
        <f t="shared" si="390"/>
        <v>0</v>
      </c>
      <c r="O607" s="12">
        <f t="shared" si="390"/>
        <v>0</v>
      </c>
      <c r="P607" s="9">
        <f>SUM(Q607:S607)</f>
        <v>0</v>
      </c>
      <c r="Q607" s="12">
        <f t="shared" si="391"/>
        <v>0</v>
      </c>
      <c r="R607" s="12">
        <f t="shared" si="391"/>
        <v>0</v>
      </c>
      <c r="S607" s="12">
        <f t="shared" si="391"/>
        <v>0</v>
      </c>
      <c r="T607" s="12">
        <f t="shared" si="391"/>
        <v>0</v>
      </c>
      <c r="U607" s="12">
        <f t="shared" si="391"/>
        <v>0</v>
      </c>
      <c r="V607" s="12">
        <f t="shared" si="391"/>
        <v>0</v>
      </c>
      <c r="W607" s="27" t="str">
        <f t="shared" si="378"/>
        <v>OK</v>
      </c>
    </row>
    <row r="608" spans="1:23" x14ac:dyDescent="0.2">
      <c r="A608" s="3">
        <f t="shared" si="379"/>
        <v>24</v>
      </c>
      <c r="B608" s="3"/>
      <c r="C608" s="3" t="s">
        <v>358</v>
      </c>
      <c r="D608" s="1" t="s">
        <v>370</v>
      </c>
      <c r="E608" s="4" t="s">
        <v>592</v>
      </c>
      <c r="F608" s="11"/>
      <c r="G608" s="1"/>
      <c r="H608" s="14">
        <f>'II-I TOTAL COMPANY'!M608</f>
        <v>262697.31561820814</v>
      </c>
      <c r="I608" s="66">
        <v>0</v>
      </c>
      <c r="J608" s="66">
        <f t="shared" ca="1" si="392"/>
        <v>262697.31561820809</v>
      </c>
      <c r="K608" s="12">
        <f t="shared" ca="1" si="389"/>
        <v>215278.10311778806</v>
      </c>
      <c r="L608" s="12">
        <f t="shared" ca="1" si="389"/>
        <v>22856.753237491652</v>
      </c>
      <c r="M608" s="9">
        <f ca="1">SUM(N608:O608)</f>
        <v>15182.990835961249</v>
      </c>
      <c r="N608" s="12">
        <f t="shared" ca="1" si="390"/>
        <v>135.53497921658789</v>
      </c>
      <c r="O608" s="12">
        <f t="shared" ca="1" si="390"/>
        <v>15047.455856744662</v>
      </c>
      <c r="P608" s="9">
        <f ca="1">SUM(Q608:S608)</f>
        <v>269.71612680122041</v>
      </c>
      <c r="Q608" s="12">
        <f t="shared" ca="1" si="391"/>
        <v>130.22112007753344</v>
      </c>
      <c r="R608" s="12">
        <f t="shared" ca="1" si="391"/>
        <v>116.80046747319169</v>
      </c>
      <c r="S608" s="12">
        <f t="shared" ca="1" si="391"/>
        <v>22.694539250495257</v>
      </c>
      <c r="T608" s="12">
        <f t="shared" ca="1" si="391"/>
        <v>25.815764379068593</v>
      </c>
      <c r="U608" s="12">
        <f t="shared" ca="1" si="391"/>
        <v>9078.4934651504609</v>
      </c>
      <c r="V608" s="12">
        <f t="shared" ca="1" si="391"/>
        <v>5.4430706364391588</v>
      </c>
      <c r="W608" s="27" t="str">
        <f t="shared" ca="1" si="378"/>
        <v>OK</v>
      </c>
    </row>
    <row r="609" spans="1:23" x14ac:dyDescent="0.2">
      <c r="A609" s="3">
        <f t="shared" si="379"/>
        <v>25</v>
      </c>
      <c r="B609" s="3"/>
      <c r="C609" s="3"/>
      <c r="D609" s="1"/>
      <c r="E609" s="4"/>
      <c r="F609" s="4"/>
      <c r="G609" s="4"/>
      <c r="H609" s="14"/>
      <c r="I609" s="66"/>
      <c r="J609" s="66"/>
      <c r="K609" s="12"/>
      <c r="L609" s="12"/>
      <c r="M609" s="9"/>
      <c r="N609" s="12"/>
      <c r="O609" s="12"/>
      <c r="P609" s="9"/>
      <c r="Q609" s="12"/>
      <c r="R609" s="12"/>
      <c r="S609" s="12"/>
      <c r="T609" s="12"/>
      <c r="U609" s="12"/>
      <c r="V609" s="12"/>
      <c r="W609" s="27" t="str">
        <f t="shared" si="378"/>
        <v>OK</v>
      </c>
    </row>
    <row r="610" spans="1:23" x14ac:dyDescent="0.2">
      <c r="A610" s="3">
        <f t="shared" si="379"/>
        <v>26</v>
      </c>
      <c r="B610" s="3"/>
      <c r="C610" s="3"/>
      <c r="D610" s="28"/>
      <c r="E610" s="4"/>
      <c r="F610" s="4"/>
      <c r="G610" s="4"/>
      <c r="H610" s="14"/>
      <c r="I610" s="66"/>
      <c r="J610" s="66"/>
      <c r="K610" s="12"/>
      <c r="L610" s="12"/>
      <c r="M610" s="9"/>
      <c r="N610" s="12"/>
      <c r="O610" s="12"/>
      <c r="P610" s="9"/>
      <c r="Q610" s="12"/>
      <c r="R610" s="12"/>
      <c r="S610" s="12"/>
      <c r="T610" s="12"/>
      <c r="U610" s="12"/>
      <c r="V610" s="12"/>
      <c r="W610" s="27" t="str">
        <f t="shared" si="378"/>
        <v>OK</v>
      </c>
    </row>
    <row r="611" spans="1:23" x14ac:dyDescent="0.2">
      <c r="A611" s="3">
        <f t="shared" si="379"/>
        <v>27</v>
      </c>
      <c r="B611" s="3" t="s">
        <v>593</v>
      </c>
      <c r="C611" s="3"/>
      <c r="D611" s="1"/>
      <c r="E611" s="4"/>
      <c r="F611" s="14"/>
      <c r="G611" s="14"/>
      <c r="H611" s="14">
        <f t="shared" ref="H611:V611" si="393">SUM(H605:H610)</f>
        <v>967600.53573187918</v>
      </c>
      <c r="I611" s="14">
        <f t="shared" si="393"/>
        <v>0</v>
      </c>
      <c r="J611" s="66">
        <f t="shared" ref="J611" ca="1" si="394">SUM(K611:V611)-M611-P611</f>
        <v>967600.53573187906</v>
      </c>
      <c r="K611" s="14">
        <f t="shared" ca="1" si="393"/>
        <v>793134.9353420051</v>
      </c>
      <c r="L611" s="14">
        <f t="shared" ca="1" si="393"/>
        <v>84252.164876872805</v>
      </c>
      <c r="M611" s="9">
        <f ca="1">SUM(N611:O611)</f>
        <v>55808.28684682466</v>
      </c>
      <c r="N611" s="14">
        <f t="shared" ca="1" si="393"/>
        <v>458.70158146571873</v>
      </c>
      <c r="O611" s="14">
        <f t="shared" ca="1" si="393"/>
        <v>55349.585265358939</v>
      </c>
      <c r="P611" s="9">
        <f ca="1">SUM(Q611:S611)</f>
        <v>888.78760930453063</v>
      </c>
      <c r="Q611" s="14">
        <f t="shared" ca="1" si="393"/>
        <v>393.35503753385694</v>
      </c>
      <c r="R611" s="14">
        <f t="shared" ca="1" si="393"/>
        <v>425.37968837079927</v>
      </c>
      <c r="S611" s="14">
        <f ca="1">SUM(S605:S610)</f>
        <v>70.052883399874361</v>
      </c>
      <c r="T611" s="14">
        <f t="shared" ca="1" si="393"/>
        <v>95.425075476363418</v>
      </c>
      <c r="U611" s="14">
        <f t="shared" ca="1" si="393"/>
        <v>33404.832901309986</v>
      </c>
      <c r="V611" s="14">
        <f t="shared" ca="1" si="393"/>
        <v>16.103080085629237</v>
      </c>
      <c r="W611" s="27">
        <f t="shared" ca="1" si="378"/>
        <v>-1.1641532182693481E-10</v>
      </c>
    </row>
    <row r="612" spans="1:23" x14ac:dyDescent="0.2">
      <c r="A612" s="3"/>
      <c r="B612" s="3"/>
      <c r="C612" s="3"/>
      <c r="D612" s="3"/>
      <c r="E612" s="4"/>
      <c r="F612" s="4"/>
      <c r="G612" s="4"/>
      <c r="H612" s="14"/>
      <c r="I612" s="8"/>
      <c r="J612" s="8"/>
      <c r="K612" s="10"/>
      <c r="L612" s="10"/>
      <c r="M612" s="3"/>
      <c r="N612" s="3"/>
      <c r="O612" s="3"/>
      <c r="P612" s="9"/>
      <c r="Q612" s="3"/>
      <c r="R612" s="3"/>
      <c r="S612" s="3"/>
      <c r="T612" s="3"/>
      <c r="U612" s="3"/>
      <c r="V612" s="3"/>
      <c r="W612" s="27" t="str">
        <f t="shared" si="378"/>
        <v>OK</v>
      </c>
    </row>
    <row r="613" spans="1:23" x14ac:dyDescent="0.2">
      <c r="A613" s="3"/>
      <c r="B613" s="3"/>
      <c r="C613" s="3"/>
      <c r="D613" s="3"/>
      <c r="E613" s="4"/>
      <c r="F613" s="4"/>
      <c r="G613" s="4"/>
      <c r="H613" s="5"/>
      <c r="I613" s="5"/>
      <c r="J613" s="5"/>
      <c r="K613" s="5"/>
      <c r="L613" s="5"/>
      <c r="M613" s="3"/>
      <c r="N613" s="3"/>
      <c r="O613" s="3"/>
      <c r="P613" s="9"/>
      <c r="Q613" s="3"/>
      <c r="R613" s="3"/>
      <c r="S613" s="3"/>
      <c r="T613" s="3"/>
      <c r="U613" s="3"/>
      <c r="V613" s="3"/>
      <c r="W613" s="27" t="str">
        <f t="shared" si="378"/>
        <v>OK</v>
      </c>
    </row>
    <row r="614" spans="1:23" x14ac:dyDescent="0.2">
      <c r="A614" s="3"/>
      <c r="B614" s="3"/>
      <c r="C614" s="3"/>
      <c r="D614" s="3"/>
      <c r="E614" s="4"/>
      <c r="F614" s="4"/>
      <c r="G614" s="4"/>
      <c r="H614" s="5"/>
      <c r="I614" s="5"/>
      <c r="J614" s="5"/>
      <c r="K614" s="5"/>
      <c r="L614" s="5"/>
      <c r="M614" s="3"/>
      <c r="N614" s="3"/>
      <c r="O614" s="3"/>
      <c r="P614" s="9"/>
      <c r="Q614" s="11"/>
      <c r="R614" s="11"/>
      <c r="S614" s="11"/>
      <c r="T614" s="11"/>
      <c r="U614" s="3"/>
      <c r="V614" s="3"/>
      <c r="W614" s="27" t="str">
        <f t="shared" si="378"/>
        <v>OK</v>
      </c>
    </row>
    <row r="615" spans="1:23" x14ac:dyDescent="0.2">
      <c r="A615" s="3"/>
      <c r="B615" s="3"/>
      <c r="C615" s="3"/>
      <c r="D615" s="3"/>
      <c r="E615" s="4"/>
      <c r="F615" s="4"/>
      <c r="G615" s="4"/>
      <c r="H615" s="5"/>
      <c r="I615" s="5"/>
      <c r="J615" s="5"/>
      <c r="K615" s="5"/>
      <c r="L615" s="5"/>
      <c r="M615" s="3"/>
      <c r="N615" s="3"/>
      <c r="O615" s="3"/>
      <c r="P615" s="9"/>
      <c r="Q615" s="3"/>
      <c r="R615" s="3"/>
      <c r="S615" s="3"/>
      <c r="T615" s="3"/>
      <c r="U615" s="3"/>
      <c r="V615" s="3"/>
      <c r="W615" s="27" t="str">
        <f t="shared" si="378"/>
        <v>OK</v>
      </c>
    </row>
    <row r="616" spans="1:23" x14ac:dyDescent="0.2">
      <c r="A616" s="3"/>
      <c r="B616" s="3"/>
      <c r="C616" s="3"/>
      <c r="D616" s="3"/>
      <c r="E616" s="4"/>
      <c r="F616" s="4"/>
      <c r="G616" s="4"/>
      <c r="H616" s="8"/>
      <c r="I616" s="8"/>
      <c r="J616" s="8"/>
      <c r="K616" s="10"/>
      <c r="L616" s="10"/>
      <c r="M616" s="3"/>
      <c r="N616" s="3"/>
      <c r="O616" s="3"/>
      <c r="P616" s="9"/>
      <c r="Q616" s="3"/>
      <c r="R616" s="3"/>
      <c r="S616" s="3"/>
      <c r="T616" s="3"/>
      <c r="U616" s="3"/>
      <c r="V616" s="3"/>
      <c r="W616" s="27" t="str">
        <f t="shared" si="378"/>
        <v>OK</v>
      </c>
    </row>
    <row r="617" spans="1:23" x14ac:dyDescent="0.2">
      <c r="A617" s="3"/>
      <c r="B617" s="3"/>
      <c r="C617" s="3"/>
      <c r="D617" s="3"/>
      <c r="E617" s="4"/>
      <c r="F617" s="4"/>
      <c r="G617" s="4"/>
      <c r="H617" s="8"/>
      <c r="I617" s="8"/>
      <c r="J617" s="8"/>
      <c r="K617" s="10"/>
      <c r="L617" s="10"/>
      <c r="M617" s="3"/>
      <c r="N617" s="3"/>
      <c r="O617" s="3"/>
      <c r="P617" s="9"/>
      <c r="Q617" s="3"/>
      <c r="R617" s="3"/>
      <c r="S617" s="3"/>
      <c r="T617" s="3"/>
      <c r="U617" s="3"/>
      <c r="V617" s="3"/>
      <c r="W617" s="27" t="str">
        <f t="shared" si="378"/>
        <v>OK</v>
      </c>
    </row>
    <row r="618" spans="1:23" x14ac:dyDescent="0.2">
      <c r="A618" s="3"/>
      <c r="B618" s="3"/>
      <c r="C618" s="3"/>
      <c r="D618" s="3"/>
      <c r="E618" s="4"/>
      <c r="F618" s="4"/>
      <c r="G618" s="4"/>
      <c r="H618" s="8"/>
      <c r="I618" s="8"/>
      <c r="J618" s="8"/>
      <c r="K618" s="10"/>
      <c r="L618" s="10"/>
      <c r="M618" s="3"/>
      <c r="N618" s="3"/>
      <c r="O618" s="3"/>
      <c r="P618" s="9"/>
      <c r="Q618" s="3"/>
      <c r="R618" s="3"/>
      <c r="S618" s="3"/>
      <c r="T618" s="3"/>
      <c r="U618" s="3"/>
      <c r="V618" s="3"/>
      <c r="W618" s="27" t="str">
        <f t="shared" si="378"/>
        <v>OK</v>
      </c>
    </row>
    <row r="619" spans="1:23" x14ac:dyDescent="0.2">
      <c r="A619" s="3"/>
      <c r="B619" s="7" t="s">
        <v>297</v>
      </c>
      <c r="C619" s="3"/>
      <c r="D619" s="3"/>
      <c r="E619" s="4"/>
      <c r="F619" s="4"/>
      <c r="G619" s="4"/>
      <c r="H619" s="8"/>
      <c r="I619" s="8"/>
      <c r="J619" s="8"/>
      <c r="K619" s="10"/>
      <c r="L619" s="10"/>
      <c r="M619" s="3"/>
      <c r="N619" s="3"/>
      <c r="O619" s="3"/>
      <c r="P619" s="9"/>
      <c r="Q619" s="3"/>
      <c r="R619" s="3"/>
      <c r="S619" s="3"/>
      <c r="T619" s="3"/>
      <c r="U619" s="3"/>
      <c r="V619" s="3"/>
      <c r="W619" s="27" t="str">
        <f t="shared" si="378"/>
        <v>OK</v>
      </c>
    </row>
    <row r="620" spans="1:23" x14ac:dyDescent="0.2">
      <c r="A620" s="3"/>
      <c r="B620" s="3"/>
      <c r="C620" s="3"/>
      <c r="D620" s="3"/>
      <c r="E620" s="4"/>
      <c r="F620" s="4"/>
      <c r="G620" s="4"/>
      <c r="H620" s="8"/>
      <c r="I620" s="8"/>
      <c r="J620" s="8"/>
      <c r="K620" s="10"/>
      <c r="L620" s="10"/>
      <c r="M620" s="3"/>
      <c r="N620" s="3"/>
      <c r="O620" s="3"/>
      <c r="P620" s="9"/>
      <c r="Q620" s="3"/>
      <c r="R620" s="3"/>
      <c r="S620" s="3"/>
      <c r="T620" s="3"/>
      <c r="U620" s="3"/>
      <c r="V620" s="3"/>
      <c r="W620" s="27" t="str">
        <f t="shared" si="378"/>
        <v>OK</v>
      </c>
    </row>
    <row r="621" spans="1:23" x14ac:dyDescent="0.2">
      <c r="A621" s="3">
        <f t="shared" ref="A621:A647" si="395">+A620+1</f>
        <v>1</v>
      </c>
      <c r="B621" s="3" t="s">
        <v>298</v>
      </c>
      <c r="C621" s="3"/>
      <c r="D621" s="3"/>
      <c r="E621" s="4"/>
      <c r="F621" s="4"/>
      <c r="G621" s="4"/>
      <c r="H621" s="8"/>
      <c r="I621" s="8"/>
      <c r="J621" s="8"/>
      <c r="K621" s="10"/>
      <c r="L621" s="10"/>
      <c r="M621" s="3"/>
      <c r="N621" s="3"/>
      <c r="O621" s="3"/>
      <c r="P621" s="9"/>
      <c r="Q621" s="3"/>
      <c r="R621" s="3"/>
      <c r="S621" s="3"/>
      <c r="T621" s="3"/>
      <c r="U621" s="3"/>
      <c r="V621" s="3"/>
      <c r="W621" s="27" t="str">
        <f t="shared" si="378"/>
        <v>OK</v>
      </c>
    </row>
    <row r="622" spans="1:23" x14ac:dyDescent="0.2">
      <c r="A622" s="3">
        <f t="shared" si="395"/>
        <v>2</v>
      </c>
      <c r="B622" s="3"/>
      <c r="C622" s="3"/>
      <c r="D622" s="1"/>
      <c r="E622" s="4"/>
      <c r="F622" s="4"/>
      <c r="G622" s="4"/>
      <c r="H622" s="8"/>
      <c r="I622" s="8"/>
      <c r="J622" s="8"/>
      <c r="K622" s="10"/>
      <c r="L622" s="10"/>
      <c r="M622" s="3"/>
      <c r="N622" s="3"/>
      <c r="O622" s="3"/>
      <c r="P622" s="9"/>
      <c r="Q622" s="3"/>
      <c r="R622" s="3"/>
      <c r="S622" s="3"/>
      <c r="T622" s="3"/>
      <c r="U622" s="3"/>
      <c r="V622" s="3"/>
      <c r="W622" s="27" t="str">
        <f t="shared" si="378"/>
        <v>OK</v>
      </c>
    </row>
    <row r="623" spans="1:23" x14ac:dyDescent="0.2">
      <c r="A623" s="3">
        <f t="shared" si="395"/>
        <v>3</v>
      </c>
      <c r="B623" s="3"/>
      <c r="C623" s="3" t="s">
        <v>20</v>
      </c>
      <c r="D623" s="1"/>
      <c r="E623" s="4" t="s">
        <v>592</v>
      </c>
      <c r="F623" s="11"/>
      <c r="G623" s="11"/>
      <c r="H623" s="8">
        <f>H59</f>
        <v>958300.47503528255</v>
      </c>
      <c r="I623" s="8">
        <f t="shared" ref="I623:V623" si="396">I59</f>
        <v>0</v>
      </c>
      <c r="J623" s="8">
        <f t="shared" si="396"/>
        <v>958300.47503528255</v>
      </c>
      <c r="K623" s="8">
        <f t="shared" si="396"/>
        <v>785296.71245757665</v>
      </c>
      <c r="L623" s="8">
        <f t="shared" si="396"/>
        <v>83372.629068322436</v>
      </c>
      <c r="M623" s="8">
        <f t="shared" si="396"/>
        <v>55399.4649617869</v>
      </c>
      <c r="N623" s="8">
        <f t="shared" si="396"/>
        <v>498.9870352147779</v>
      </c>
      <c r="O623" s="8">
        <f t="shared" si="396"/>
        <v>54900.477926572123</v>
      </c>
      <c r="P623" s="9">
        <f>SUM(Q623:S623)</f>
        <v>995.6977883196962</v>
      </c>
      <c r="Q623" s="8">
        <f t="shared" si="396"/>
        <v>484.76004584793412</v>
      </c>
      <c r="R623" s="8">
        <f t="shared" si="396"/>
        <v>426.6242733741837</v>
      </c>
      <c r="S623" s="8">
        <f>S59</f>
        <v>84.313469097578349</v>
      </c>
      <c r="T623" s="8">
        <f t="shared" si="396"/>
        <v>94.13602219349319</v>
      </c>
      <c r="U623" s="8">
        <f t="shared" si="396"/>
        <v>33121.534251764861</v>
      </c>
      <c r="V623" s="8">
        <f t="shared" si="396"/>
        <v>20.300485318542954</v>
      </c>
      <c r="W623" s="27" t="str">
        <f t="shared" si="378"/>
        <v>OK</v>
      </c>
    </row>
    <row r="624" spans="1:23" x14ac:dyDescent="0.2">
      <c r="A624" s="3">
        <f t="shared" si="395"/>
        <v>4</v>
      </c>
      <c r="B624" s="3"/>
      <c r="C624" s="3"/>
      <c r="D624" s="1"/>
      <c r="E624" s="4"/>
      <c r="F624" s="4"/>
      <c r="G624" s="4"/>
      <c r="H624" s="8"/>
      <c r="I624" s="8"/>
      <c r="J624" s="8"/>
      <c r="K624" s="10"/>
      <c r="L624" s="10"/>
      <c r="M624" s="3"/>
      <c r="N624" s="3"/>
      <c r="O624" s="3"/>
      <c r="P624" s="9"/>
      <c r="Q624" s="3"/>
      <c r="R624" s="3"/>
      <c r="S624" s="3"/>
      <c r="T624" s="3"/>
      <c r="U624" s="3"/>
      <c r="V624" s="3"/>
      <c r="W624" s="27" t="str">
        <f t="shared" si="378"/>
        <v>OK</v>
      </c>
    </row>
    <row r="625" spans="1:23" x14ac:dyDescent="0.2">
      <c r="A625" s="3">
        <f t="shared" si="395"/>
        <v>5</v>
      </c>
      <c r="B625" s="3"/>
      <c r="C625" s="3" t="s">
        <v>299</v>
      </c>
      <c r="D625" s="28"/>
      <c r="E625" s="4"/>
      <c r="F625" s="4"/>
      <c r="G625" s="4"/>
      <c r="H625" s="8"/>
      <c r="I625" s="8"/>
      <c r="J625" s="8"/>
      <c r="K625" s="10"/>
      <c r="L625" s="10"/>
      <c r="M625" s="3"/>
      <c r="N625" s="3"/>
      <c r="O625" s="3"/>
      <c r="P625" s="9"/>
      <c r="Q625" s="3"/>
      <c r="R625" s="3"/>
      <c r="S625" s="3"/>
      <c r="T625" s="3"/>
      <c r="U625" s="3"/>
      <c r="V625" s="3"/>
      <c r="W625" s="27" t="str">
        <f t="shared" si="378"/>
        <v>OK</v>
      </c>
    </row>
    <row r="626" spans="1:23" x14ac:dyDescent="0.2">
      <c r="A626" s="3">
        <f t="shared" si="395"/>
        <v>6</v>
      </c>
      <c r="B626" s="3"/>
      <c r="C626" s="3" t="s">
        <v>552</v>
      </c>
      <c r="D626" s="1" t="s">
        <v>312</v>
      </c>
      <c r="E626" s="4" t="s">
        <v>592</v>
      </c>
      <c r="F626" s="11"/>
      <c r="G626" s="11"/>
      <c r="H626" s="14">
        <f>'II-I TOTAL COMPANY'!M626</f>
        <v>-321258.7470173203</v>
      </c>
      <c r="I626" s="66">
        <v>0</v>
      </c>
      <c r="J626" s="66">
        <f>SUM(K626:V626)-M626-P626</f>
        <v>-321258.74701732019</v>
      </c>
      <c r="K626" s="66">
        <f t="shared" ref="K626:L630" si="397">VLOOKUP($D626,$E$741:$V$815,K$1,FALSE)*$H626</f>
        <v>-263261.30942557799</v>
      </c>
      <c r="L626" s="66">
        <f t="shared" si="397"/>
        <v>-27949.674499580044</v>
      </c>
      <c r="M626" s="9">
        <f>SUM(N626:O626)</f>
        <v>-18572.006549822829</v>
      </c>
      <c r="N626" s="66">
        <f t="shared" ref="N626:O630" si="398">VLOOKUP($D626,$E$741:$V$815,N$1,FALSE)*$H626</f>
        <v>-167.27942215105861</v>
      </c>
      <c r="O626" s="66">
        <f t="shared" si="398"/>
        <v>-18404.727127671769</v>
      </c>
      <c r="P626" s="9">
        <f>SUM(Q626:S626)</f>
        <v>-333.79574801079531</v>
      </c>
      <c r="Q626" s="12">
        <f t="shared" ref="Q626:V630" si="399">VLOOKUP($D626,$E$741:$V$815,Q$1,FALSE)*$H626</f>
        <v>-162.50999450608882</v>
      </c>
      <c r="R626" s="12">
        <f t="shared" si="399"/>
        <v>-143.02067366325664</v>
      </c>
      <c r="S626" s="12">
        <f t="shared" si="399"/>
        <v>-28.265079841449843</v>
      </c>
      <c r="T626" s="12">
        <f t="shared" si="399"/>
        <v>-31.557973022984079</v>
      </c>
      <c r="U626" s="12">
        <f t="shared" si="399"/>
        <v>-11103.597326946408</v>
      </c>
      <c r="V626" s="12">
        <f t="shared" si="399"/>
        <v>-6.8054943592076373</v>
      </c>
      <c r="W626" s="27">
        <f t="shared" si="378"/>
        <v>5.8207660913467407E-11</v>
      </c>
    </row>
    <row r="627" spans="1:23" x14ac:dyDescent="0.2">
      <c r="A627" s="3">
        <f t="shared" si="395"/>
        <v>7</v>
      </c>
      <c r="B627" s="3"/>
      <c r="C627" s="3" t="s">
        <v>311</v>
      </c>
      <c r="D627" s="1" t="s">
        <v>340</v>
      </c>
      <c r="E627" s="4" t="s">
        <v>592</v>
      </c>
      <c r="F627" s="11"/>
      <c r="G627" s="11"/>
      <c r="H627" s="14">
        <f>'II-I TOTAL COMPANY'!M627</f>
        <v>-289.94798262018014</v>
      </c>
      <c r="I627" s="66">
        <v>0</v>
      </c>
      <c r="J627" s="66">
        <f t="shared" ref="J627:J636" si="400">SUM(K627:V627)-M627-P627</f>
        <v>-289.94798262018014</v>
      </c>
      <c r="K627" s="66">
        <f t="shared" si="397"/>
        <v>-237.68996646047555</v>
      </c>
      <c r="L627" s="66">
        <f t="shared" si="397"/>
        <v>-25.253786958305383</v>
      </c>
      <c r="M627" s="9">
        <f>SUM(N627:O627)</f>
        <v>-16.710411139557586</v>
      </c>
      <c r="N627" s="66">
        <f t="shared" si="398"/>
        <v>-0.13292818318696797</v>
      </c>
      <c r="O627" s="66">
        <f t="shared" si="398"/>
        <v>-16.577482956370616</v>
      </c>
      <c r="P627" s="9">
        <f>SUM(Q627:S627)</f>
        <v>-0.25464279680914703</v>
      </c>
      <c r="Q627" s="12">
        <f t="shared" si="399"/>
        <v>-0.1082349269352222</v>
      </c>
      <c r="R627" s="12">
        <f t="shared" si="399"/>
        <v>-0.12692795269588955</v>
      </c>
      <c r="S627" s="12">
        <f t="shared" si="399"/>
        <v>-1.9479917178035277E-2</v>
      </c>
      <c r="T627" s="12">
        <f t="shared" si="399"/>
        <v>-2.8632411866392784E-2</v>
      </c>
      <c r="U627" s="12">
        <f t="shared" si="399"/>
        <v>-10.006158069345714</v>
      </c>
      <c r="V627" s="12">
        <f t="shared" si="399"/>
        <v>-4.3847838204034558E-3</v>
      </c>
      <c r="W627" s="27">
        <f t="shared" si="378"/>
        <v>-5.6843418860808015E-14</v>
      </c>
    </row>
    <row r="628" spans="1:23" x14ac:dyDescent="0.2">
      <c r="A628" s="3">
        <f t="shared" si="395"/>
        <v>8</v>
      </c>
      <c r="B628" s="3"/>
      <c r="C628" s="3" t="s">
        <v>537</v>
      </c>
      <c r="D628" s="1" t="s">
        <v>313</v>
      </c>
      <c r="E628" s="4" t="s">
        <v>592</v>
      </c>
      <c r="F628" s="11"/>
      <c r="G628" s="11"/>
      <c r="H628" s="14">
        <f>'II-I TOTAL COMPANY'!M628</f>
        <v>-3044.2239986405425</v>
      </c>
      <c r="I628" s="66">
        <v>0</v>
      </c>
      <c r="J628" s="66">
        <f t="shared" si="400"/>
        <v>-3044.223998640542</v>
      </c>
      <c r="K628" s="66">
        <f t="shared" si="397"/>
        <v>-2495.5562497667279</v>
      </c>
      <c r="L628" s="66">
        <f t="shared" si="397"/>
        <v>-265.14474637933949</v>
      </c>
      <c r="M628" s="9">
        <f>SUM(N628:O628)</f>
        <v>-175.4460719419088</v>
      </c>
      <c r="N628" s="66">
        <f t="shared" si="398"/>
        <v>-1.3956405617884438</v>
      </c>
      <c r="O628" s="66">
        <f t="shared" si="398"/>
        <v>-174.05043138012036</v>
      </c>
      <c r="P628" s="9">
        <f>SUM(Q628:S628)</f>
        <v>-2.6735475312577672</v>
      </c>
      <c r="Q628" s="12">
        <f t="shared" si="399"/>
        <v>-1.1363809435395489</v>
      </c>
      <c r="R628" s="12">
        <f t="shared" si="399"/>
        <v>-1.3326428975410487</v>
      </c>
      <c r="S628" s="12">
        <f t="shared" si="399"/>
        <v>-0.20452369017716984</v>
      </c>
      <c r="T628" s="12">
        <f t="shared" si="399"/>
        <v>-0.30061762994507085</v>
      </c>
      <c r="U628" s="12">
        <f t="shared" si="399"/>
        <v>-105.05672863672091</v>
      </c>
      <c r="V628" s="12">
        <f t="shared" si="399"/>
        <v>-4.6036754642327121E-2</v>
      </c>
      <c r="W628" s="27">
        <f t="shared" si="378"/>
        <v>4.5474735088646412E-13</v>
      </c>
    </row>
    <row r="629" spans="1:23" x14ac:dyDescent="0.2">
      <c r="A629" s="3">
        <f t="shared" si="395"/>
        <v>9</v>
      </c>
      <c r="B629" s="3"/>
      <c r="C629" s="3" t="s">
        <v>808</v>
      </c>
      <c r="D629" s="1" t="s">
        <v>312</v>
      </c>
      <c r="E629" s="4" t="s">
        <v>592</v>
      </c>
      <c r="F629" s="11"/>
      <c r="G629" s="11"/>
      <c r="H629" s="14">
        <f>'II-I TOTAL COMPANY'!M629</f>
        <v>0</v>
      </c>
      <c r="I629" s="66">
        <v>0</v>
      </c>
      <c r="J629" s="66">
        <f t="shared" si="400"/>
        <v>0</v>
      </c>
      <c r="K629" s="66">
        <f t="shared" si="397"/>
        <v>0</v>
      </c>
      <c r="L629" s="66">
        <f t="shared" si="397"/>
        <v>0</v>
      </c>
      <c r="M629" s="9">
        <f>SUM(N629:O629)</f>
        <v>0</v>
      </c>
      <c r="N629" s="66">
        <f t="shared" si="398"/>
        <v>0</v>
      </c>
      <c r="O629" s="66">
        <f t="shared" si="398"/>
        <v>0</v>
      </c>
      <c r="P629" s="9">
        <f>SUM(Q629:S629)</f>
        <v>0</v>
      </c>
      <c r="Q629" s="12">
        <f t="shared" si="399"/>
        <v>0</v>
      </c>
      <c r="R629" s="12">
        <f t="shared" si="399"/>
        <v>0</v>
      </c>
      <c r="S629" s="12">
        <f t="shared" si="399"/>
        <v>0</v>
      </c>
      <c r="T629" s="12">
        <f t="shared" si="399"/>
        <v>0</v>
      </c>
      <c r="U629" s="12">
        <f t="shared" si="399"/>
        <v>0</v>
      </c>
      <c r="V629" s="12">
        <f t="shared" si="399"/>
        <v>0</v>
      </c>
      <c r="W629" s="27" t="str">
        <f t="shared" si="378"/>
        <v>OK</v>
      </c>
    </row>
    <row r="630" spans="1:23" x14ac:dyDescent="0.2">
      <c r="A630" s="3">
        <f t="shared" si="395"/>
        <v>10</v>
      </c>
      <c r="B630" s="3"/>
      <c r="C630" s="3" t="s">
        <v>811</v>
      </c>
      <c r="D630" s="28" t="s">
        <v>370</v>
      </c>
      <c r="E630" s="4" t="s">
        <v>592</v>
      </c>
      <c r="F630" s="10"/>
      <c r="G630" s="28"/>
      <c r="H630" s="14">
        <f>'II-I TOTAL COMPANY'!M630</f>
        <v>0</v>
      </c>
      <c r="I630" s="66">
        <v>0</v>
      </c>
      <c r="J630" s="66">
        <f t="shared" ca="1" si="400"/>
        <v>0</v>
      </c>
      <c r="K630" s="66">
        <f t="shared" ca="1" si="397"/>
        <v>0</v>
      </c>
      <c r="L630" s="66">
        <f t="shared" ca="1" si="397"/>
        <v>0</v>
      </c>
      <c r="M630" s="9">
        <f ca="1">SUM(N630:O630)</f>
        <v>0</v>
      </c>
      <c r="N630" s="66">
        <f t="shared" ca="1" si="398"/>
        <v>0</v>
      </c>
      <c r="O630" s="66">
        <f t="shared" ca="1" si="398"/>
        <v>0</v>
      </c>
      <c r="P630" s="9">
        <f ca="1">SUM(Q630:S630)</f>
        <v>0</v>
      </c>
      <c r="Q630" s="12">
        <f t="shared" ca="1" si="399"/>
        <v>0</v>
      </c>
      <c r="R630" s="12">
        <f t="shared" ca="1" si="399"/>
        <v>0</v>
      </c>
      <c r="S630" s="12">
        <f t="shared" ca="1" si="399"/>
        <v>0</v>
      </c>
      <c r="T630" s="12">
        <f t="shared" ca="1" si="399"/>
        <v>0</v>
      </c>
      <c r="U630" s="12">
        <f t="shared" ca="1" si="399"/>
        <v>0</v>
      </c>
      <c r="V630" s="12">
        <f t="shared" ca="1" si="399"/>
        <v>0</v>
      </c>
      <c r="W630" s="27" t="str">
        <f t="shared" ca="1" si="378"/>
        <v>OK</v>
      </c>
    </row>
    <row r="631" spans="1:23" x14ac:dyDescent="0.2">
      <c r="A631" s="3">
        <f t="shared" si="395"/>
        <v>11</v>
      </c>
      <c r="B631" s="3"/>
      <c r="C631" s="3" t="s">
        <v>553</v>
      </c>
      <c r="D631" s="28"/>
      <c r="E631" s="4"/>
      <c r="F631" s="4"/>
      <c r="G631" s="4"/>
      <c r="H631" s="14"/>
      <c r="I631" s="66"/>
      <c r="J631" s="66"/>
      <c r="K631" s="66"/>
      <c r="L631" s="66"/>
      <c r="M631" s="9"/>
      <c r="N631" s="66"/>
      <c r="O631" s="66"/>
      <c r="P631" s="9"/>
      <c r="Q631" s="12"/>
      <c r="R631" s="12"/>
      <c r="S631" s="12"/>
      <c r="T631" s="12"/>
      <c r="U631" s="12"/>
      <c r="V631" s="12"/>
      <c r="W631" s="27" t="str">
        <f t="shared" si="378"/>
        <v>OK</v>
      </c>
    </row>
    <row r="632" spans="1:23" x14ac:dyDescent="0.2">
      <c r="A632" s="3">
        <f t="shared" si="395"/>
        <v>12</v>
      </c>
      <c r="B632" s="3"/>
      <c r="C632" s="3" t="s">
        <v>554</v>
      </c>
      <c r="D632" s="1" t="s">
        <v>323</v>
      </c>
      <c r="E632" s="4" t="s">
        <v>592</v>
      </c>
      <c r="F632" s="11"/>
      <c r="G632" s="11"/>
      <c r="H632" s="14">
        <f>'II-I TOTAL COMPANY'!M632</f>
        <v>2851.4405469701755</v>
      </c>
      <c r="I632" s="66">
        <v>0</v>
      </c>
      <c r="J632" s="66">
        <f t="shared" si="400"/>
        <v>2851.4405469701746</v>
      </c>
      <c r="K632" s="66">
        <f t="shared" ref="K632:L634" si="401">VLOOKUP($D632,$E$741:$V$815,K$1,FALSE)*$H632</f>
        <v>2337.5186191973503</v>
      </c>
      <c r="L632" s="66">
        <f t="shared" si="401"/>
        <v>248.35376141170903</v>
      </c>
      <c r="M632" s="9">
        <f>SUM(N632:O632)</f>
        <v>164.33549028100825</v>
      </c>
      <c r="N632" s="66">
        <f t="shared" ref="N632:O634" si="402">VLOOKUP($D632,$E$741:$V$815,N$1,FALSE)*$H632</f>
        <v>1.3072579707199485</v>
      </c>
      <c r="O632" s="66">
        <f t="shared" si="402"/>
        <v>163.0282323102883</v>
      </c>
      <c r="P632" s="9">
        <f>SUM(Q632:S632)</f>
        <v>2.5042381369717917</v>
      </c>
      <c r="Q632" s="12">
        <f t="shared" ref="Q632:V634" si="403">VLOOKUP($D632,$E$741:$V$815,Q$1,FALSE)*$H632</f>
        <v>1.0644166462980136</v>
      </c>
      <c r="R632" s="12">
        <f t="shared" si="403"/>
        <v>1.2482497984305063</v>
      </c>
      <c r="S632" s="12">
        <f t="shared" si="403"/>
        <v>0.19157169224327167</v>
      </c>
      <c r="T632" s="12">
        <f t="shared" si="403"/>
        <v>0.28158023179051433</v>
      </c>
      <c r="U632" s="12">
        <f t="shared" si="403"/>
        <v>98.403736354671793</v>
      </c>
      <c r="V632" s="12">
        <f t="shared" si="403"/>
        <v>4.3121356673053848E-2</v>
      </c>
      <c r="W632" s="27">
        <f t="shared" si="378"/>
        <v>-9.0949470177292824E-13</v>
      </c>
    </row>
    <row r="633" spans="1:23" x14ac:dyDescent="0.2">
      <c r="A633" s="3">
        <f t="shared" si="395"/>
        <v>13</v>
      </c>
      <c r="B633" s="3"/>
      <c r="C633" s="3" t="s">
        <v>555</v>
      </c>
      <c r="D633" s="1" t="s">
        <v>323</v>
      </c>
      <c r="E633" s="4" t="s">
        <v>592</v>
      </c>
      <c r="F633" s="11"/>
      <c r="G633" s="11"/>
      <c r="H633" s="14">
        <f>'II-I TOTAL COMPANY'!M633</f>
        <v>53281.521091720213</v>
      </c>
      <c r="I633" s="66">
        <v>0</v>
      </c>
      <c r="J633" s="66">
        <f t="shared" si="400"/>
        <v>53281.521091720198</v>
      </c>
      <c r="K633" s="66">
        <f t="shared" si="401"/>
        <v>43678.465519258476</v>
      </c>
      <c r="L633" s="66">
        <f t="shared" si="401"/>
        <v>4640.6951009118939</v>
      </c>
      <c r="M633" s="9">
        <f>SUM(N633:O633)</f>
        <v>3070.7443298544454</v>
      </c>
      <c r="N633" s="66">
        <f t="shared" si="402"/>
        <v>24.427194602827829</v>
      </c>
      <c r="O633" s="66">
        <f t="shared" si="402"/>
        <v>3046.3171352516174</v>
      </c>
      <c r="P633" s="9">
        <f>SUM(Q633:S633)</f>
        <v>46.793757371350253</v>
      </c>
      <c r="Q633" s="12">
        <f t="shared" si="403"/>
        <v>19.88950393876085</v>
      </c>
      <c r="R633" s="12">
        <f t="shared" si="403"/>
        <v>23.324578179783515</v>
      </c>
      <c r="S633" s="12">
        <f t="shared" si="403"/>
        <v>3.5796752528058846</v>
      </c>
      <c r="T633" s="12">
        <f t="shared" si="403"/>
        <v>5.2615591354690379</v>
      </c>
      <c r="U633" s="12">
        <f t="shared" si="403"/>
        <v>1838.7550670332669</v>
      </c>
      <c r="V633" s="12">
        <f t="shared" si="403"/>
        <v>0.80575815530161221</v>
      </c>
      <c r="W633" s="27">
        <f t="shared" si="378"/>
        <v>-1.4551915228366852E-11</v>
      </c>
    </row>
    <row r="634" spans="1:23" x14ac:dyDescent="0.2">
      <c r="A634" s="3">
        <f t="shared" si="395"/>
        <v>14</v>
      </c>
      <c r="B634" s="3"/>
      <c r="C634" s="3" t="s">
        <v>670</v>
      </c>
      <c r="D634" s="1" t="s">
        <v>312</v>
      </c>
      <c r="E634" s="4" t="s">
        <v>592</v>
      </c>
      <c r="F634" s="4"/>
      <c r="G634" s="11"/>
      <c r="H634" s="14">
        <f>'II-I TOTAL COMPANY'!M634</f>
        <v>0</v>
      </c>
      <c r="I634" s="66">
        <v>0</v>
      </c>
      <c r="J634" s="66">
        <f t="shared" si="400"/>
        <v>0</v>
      </c>
      <c r="K634" s="66">
        <f t="shared" si="401"/>
        <v>0</v>
      </c>
      <c r="L634" s="66">
        <f t="shared" si="401"/>
        <v>0</v>
      </c>
      <c r="M634" s="9">
        <f>SUM(N634:O634)</f>
        <v>0</v>
      </c>
      <c r="N634" s="66">
        <f t="shared" si="402"/>
        <v>0</v>
      </c>
      <c r="O634" s="66">
        <f t="shared" si="402"/>
        <v>0</v>
      </c>
      <c r="P634" s="9">
        <f>SUM(Q634:S634)</f>
        <v>0</v>
      </c>
      <c r="Q634" s="12">
        <f t="shared" si="403"/>
        <v>0</v>
      </c>
      <c r="R634" s="12">
        <f t="shared" si="403"/>
        <v>0</v>
      </c>
      <c r="S634" s="12">
        <f t="shared" si="403"/>
        <v>0</v>
      </c>
      <c r="T634" s="12">
        <f t="shared" si="403"/>
        <v>0</v>
      </c>
      <c r="U634" s="12">
        <f t="shared" si="403"/>
        <v>0</v>
      </c>
      <c r="V634" s="12">
        <f t="shared" si="403"/>
        <v>0</v>
      </c>
      <c r="W634" s="27" t="str">
        <f t="shared" si="378"/>
        <v>OK</v>
      </c>
    </row>
    <row r="635" spans="1:23" x14ac:dyDescent="0.2">
      <c r="A635" s="3">
        <f t="shared" si="395"/>
        <v>15</v>
      </c>
      <c r="B635" s="3"/>
      <c r="C635" s="3"/>
      <c r="D635" s="3"/>
      <c r="E635" s="4"/>
      <c r="F635" s="4"/>
      <c r="G635" s="4"/>
      <c r="H635" s="8"/>
      <c r="I635" s="8"/>
      <c r="J635" s="8"/>
      <c r="K635" s="31"/>
      <c r="L635" s="31"/>
      <c r="M635" s="31"/>
      <c r="N635" s="31"/>
      <c r="O635" s="31"/>
      <c r="P635" s="9">
        <f>SUM(Q635:S635)</f>
        <v>0</v>
      </c>
      <c r="Q635" s="3"/>
      <c r="R635" s="3"/>
      <c r="S635" s="3"/>
      <c r="T635" s="3"/>
      <c r="U635" s="3"/>
      <c r="V635" s="3"/>
      <c r="W635" s="27" t="str">
        <f t="shared" si="378"/>
        <v>OK</v>
      </c>
    </row>
    <row r="636" spans="1:23" x14ac:dyDescent="0.2">
      <c r="A636" s="3">
        <f t="shared" si="395"/>
        <v>16</v>
      </c>
      <c r="B636" s="3"/>
      <c r="C636" s="3" t="s">
        <v>356</v>
      </c>
      <c r="D636" s="3"/>
      <c r="E636" s="4"/>
      <c r="F636" s="8"/>
      <c r="G636" s="8"/>
      <c r="H636" s="8">
        <f t="shared" ref="H636:V636" si="404">SUM(H623:H634)</f>
        <v>689840.51767539198</v>
      </c>
      <c r="I636" s="8">
        <v>0</v>
      </c>
      <c r="J636" s="66">
        <f t="shared" ca="1" si="400"/>
        <v>689840.51767539198</v>
      </c>
      <c r="K636" s="8">
        <f t="shared" ca="1" si="404"/>
        <v>565318.1409542273</v>
      </c>
      <c r="L636" s="8">
        <f t="shared" ca="1" si="404"/>
        <v>60021.604897728357</v>
      </c>
      <c r="M636" s="8">
        <f t="shared" ca="1" si="404"/>
        <v>39870.381749018059</v>
      </c>
      <c r="N636" s="8">
        <f t="shared" ca="1" si="404"/>
        <v>355.91349689229168</v>
      </c>
      <c r="O636" s="8">
        <f t="shared" ca="1" si="404"/>
        <v>39514.468252125764</v>
      </c>
      <c r="P636" s="9">
        <f ca="1">SUM(Q636:S636)</f>
        <v>708.27184548915591</v>
      </c>
      <c r="Q636" s="8">
        <f t="shared" ca="1" si="404"/>
        <v>341.95935605642939</v>
      </c>
      <c r="R636" s="8">
        <f t="shared" ca="1" si="404"/>
        <v>306.71685683890405</v>
      </c>
      <c r="S636" s="8">
        <f ca="1">SUM(S623:S634)</f>
        <v>59.595632593822458</v>
      </c>
      <c r="T636" s="8">
        <f t="shared" ca="1" si="404"/>
        <v>67.791938495957197</v>
      </c>
      <c r="U636" s="8">
        <f t="shared" ca="1" si="404"/>
        <v>23840.032841500321</v>
      </c>
      <c r="V636" s="8">
        <f t="shared" ca="1" si="404"/>
        <v>14.293448932847252</v>
      </c>
      <c r="W636" s="27" t="str">
        <f t="shared" ca="1" si="378"/>
        <v>OK</v>
      </c>
    </row>
    <row r="637" spans="1:23" x14ac:dyDescent="0.2">
      <c r="A637" s="3">
        <f t="shared" si="395"/>
        <v>17</v>
      </c>
      <c r="B637" s="3"/>
      <c r="C637" s="3"/>
      <c r="D637" s="3"/>
      <c r="E637" s="4"/>
      <c r="F637" s="4"/>
      <c r="G637" s="4"/>
      <c r="H637" s="8"/>
      <c r="I637" s="8"/>
      <c r="J637" s="8"/>
      <c r="K637" s="31"/>
      <c r="L637" s="31"/>
      <c r="M637" s="31"/>
      <c r="N637" s="31"/>
      <c r="O637" s="31"/>
      <c r="P637" s="9"/>
      <c r="Q637" s="3"/>
      <c r="R637" s="3"/>
      <c r="S637" s="3"/>
      <c r="T637" s="3"/>
      <c r="U637" s="3"/>
      <c r="V637" s="3"/>
      <c r="W637" s="27" t="str">
        <f t="shared" si="378"/>
        <v>OK</v>
      </c>
    </row>
    <row r="638" spans="1:23" x14ac:dyDescent="0.2">
      <c r="A638" s="3">
        <f t="shared" si="395"/>
        <v>18</v>
      </c>
      <c r="B638" s="3"/>
      <c r="C638" s="3" t="s">
        <v>301</v>
      </c>
      <c r="D638" s="1">
        <f>(1/(1-0.21)*0.21)</f>
        <v>0.26582278481012656</v>
      </c>
      <c r="E638" s="4"/>
      <c r="F638" s="11"/>
      <c r="G638" s="11"/>
      <c r="H638" s="24">
        <f t="shared" ref="H638:V638" si="405">$D$638</f>
        <v>0.26582278481012656</v>
      </c>
      <c r="I638" s="24">
        <f t="shared" si="405"/>
        <v>0.26582278481012656</v>
      </c>
      <c r="J638" s="24">
        <f t="shared" si="405"/>
        <v>0.26582278481012656</v>
      </c>
      <c r="K638" s="24">
        <f t="shared" si="405"/>
        <v>0.26582278481012656</v>
      </c>
      <c r="L638" s="24">
        <f t="shared" si="405"/>
        <v>0.26582278481012656</v>
      </c>
      <c r="M638" s="24">
        <f t="shared" si="405"/>
        <v>0.26582278481012656</v>
      </c>
      <c r="N638" s="24">
        <f t="shared" si="405"/>
        <v>0.26582278481012656</v>
      </c>
      <c r="O638" s="24">
        <f t="shared" si="405"/>
        <v>0.26582278481012656</v>
      </c>
      <c r="P638" s="9">
        <f>SUM(Q638:S638)</f>
        <v>0.79746835443037967</v>
      </c>
      <c r="Q638" s="24">
        <f t="shared" si="405"/>
        <v>0.26582278481012656</v>
      </c>
      <c r="R638" s="24">
        <f t="shared" si="405"/>
        <v>0.26582278481012656</v>
      </c>
      <c r="S638" s="24">
        <f t="shared" si="405"/>
        <v>0.26582278481012656</v>
      </c>
      <c r="T638" s="24">
        <f t="shared" si="405"/>
        <v>0.26582278481012656</v>
      </c>
      <c r="U638" s="24">
        <f t="shared" si="405"/>
        <v>0.26582278481012656</v>
      </c>
      <c r="V638" s="24">
        <f t="shared" si="405"/>
        <v>0.26582278481012656</v>
      </c>
      <c r="W638" s="27"/>
    </row>
    <row r="639" spans="1:23" x14ac:dyDescent="0.2">
      <c r="A639" s="3">
        <f t="shared" si="395"/>
        <v>19</v>
      </c>
      <c r="B639" s="3"/>
      <c r="C639" s="3"/>
      <c r="D639" s="3"/>
      <c r="E639" s="4"/>
      <c r="F639" s="4"/>
      <c r="G639" s="4"/>
      <c r="H639" s="8"/>
      <c r="I639" s="8"/>
      <c r="J639" s="8"/>
      <c r="K639" s="10"/>
      <c r="L639" s="10"/>
      <c r="M639" s="3"/>
      <c r="N639" s="3"/>
      <c r="O639" s="3"/>
      <c r="P639" s="9">
        <f>SUM(Q639:S639)</f>
        <v>0</v>
      </c>
      <c r="Q639" s="3"/>
      <c r="R639" s="3"/>
      <c r="S639" s="3"/>
      <c r="T639" s="3"/>
      <c r="U639" s="3"/>
      <c r="V639" s="3"/>
      <c r="W639" s="27" t="str">
        <f t="shared" ref="W639:W669" si="406">IF((+K639+L639+M639+P639+T639+U639+V639)-H639=0,"OK",(+K639+L639+M639+P639+T639+U639+V639)-H639)</f>
        <v>OK</v>
      </c>
    </row>
    <row r="640" spans="1:23" x14ac:dyDescent="0.2">
      <c r="A640" s="3">
        <f t="shared" si="395"/>
        <v>20</v>
      </c>
      <c r="B640" s="3"/>
      <c r="C640" s="3" t="s">
        <v>302</v>
      </c>
      <c r="D640" s="3"/>
      <c r="E640" s="4"/>
      <c r="F640" s="8"/>
      <c r="G640" s="8"/>
      <c r="H640" s="8">
        <f t="shared" ref="H640:V640" si="407">H636*H638</f>
        <v>183375.32748333202</v>
      </c>
      <c r="I640" s="8">
        <v>0</v>
      </c>
      <c r="J640" s="66">
        <f t="shared" ref="J640" ca="1" si="408">SUM(K640:V640)-M640-P640</f>
        <v>183375.32748333205</v>
      </c>
      <c r="K640" s="8">
        <f t="shared" ca="1" si="407"/>
        <v>150274.44253213637</v>
      </c>
      <c r="L640" s="8">
        <f ca="1">L636*L638</f>
        <v>15955.110162687282</v>
      </c>
      <c r="M640" s="9">
        <f ca="1">SUM(N640:O640)</f>
        <v>10598.455907966823</v>
      </c>
      <c r="N640" s="8">
        <f t="shared" ca="1" si="407"/>
        <v>94.609916895419303</v>
      </c>
      <c r="O640" s="8">
        <f t="shared" ca="1" si="407"/>
        <v>10503.845991071405</v>
      </c>
      <c r="P640" s="9">
        <f ca="1">SUM(Q640:S640)</f>
        <v>188.27479437053509</v>
      </c>
      <c r="Q640" s="8">
        <f t="shared" ca="1" si="407"/>
        <v>90.900588318797674</v>
      </c>
      <c r="R640" s="8">
        <f t="shared" ca="1" si="407"/>
        <v>81.532329033126388</v>
      </c>
      <c r="S640" s="8">
        <f ca="1">S636*S638</f>
        <v>15.841877018611031</v>
      </c>
      <c r="T640" s="8">
        <f t="shared" ca="1" si="407"/>
        <v>18.020641878672166</v>
      </c>
      <c r="U640" s="8">
        <f t="shared" ca="1" si="407"/>
        <v>6337.2239198924899</v>
      </c>
      <c r="V640" s="8">
        <f t="shared" ca="1" si="407"/>
        <v>3.7995243998707879</v>
      </c>
      <c r="W640" s="27">
        <f t="shared" ca="1" si="406"/>
        <v>2.9103830456733704E-11</v>
      </c>
    </row>
    <row r="641" spans="1:23" x14ac:dyDescent="0.2">
      <c r="A641" s="3">
        <f t="shared" si="395"/>
        <v>21</v>
      </c>
      <c r="B641" s="3"/>
      <c r="C641" s="3"/>
      <c r="D641" s="3"/>
      <c r="E641" s="4"/>
      <c r="F641" s="4"/>
      <c r="G641" s="4"/>
      <c r="H641" s="8"/>
      <c r="I641" s="8"/>
      <c r="J641" s="8"/>
      <c r="K641" s="10"/>
      <c r="L641" s="10"/>
      <c r="M641" s="3"/>
      <c r="N641" s="3"/>
      <c r="O641" s="3"/>
      <c r="P641" s="9"/>
      <c r="Q641" s="3"/>
      <c r="R641" s="3"/>
      <c r="S641" s="3"/>
      <c r="T641" s="3"/>
      <c r="U641" s="3"/>
      <c r="V641" s="3"/>
      <c r="W641" s="27" t="str">
        <f t="shared" si="406"/>
        <v>OK</v>
      </c>
    </row>
    <row r="642" spans="1:23" x14ac:dyDescent="0.2">
      <c r="A642" s="3">
        <f t="shared" si="395"/>
        <v>22</v>
      </c>
      <c r="B642" s="3"/>
      <c r="C642" s="3" t="s">
        <v>303</v>
      </c>
      <c r="D642" s="3"/>
      <c r="E642" s="4"/>
      <c r="F642" s="4"/>
      <c r="G642" s="4"/>
      <c r="H642" s="8"/>
      <c r="I642" s="8"/>
      <c r="J642" s="8"/>
      <c r="K642" s="10"/>
      <c r="L642" s="10"/>
      <c r="M642" s="3"/>
      <c r="N642" s="3"/>
      <c r="O642" s="3"/>
      <c r="P642" s="9"/>
      <c r="Q642" s="3"/>
      <c r="R642" s="3"/>
      <c r="S642" s="3"/>
      <c r="T642" s="3"/>
      <c r="U642" s="3"/>
      <c r="V642" s="3"/>
      <c r="W642" s="27" t="str">
        <f t="shared" si="406"/>
        <v>OK</v>
      </c>
    </row>
    <row r="643" spans="1:23" x14ac:dyDescent="0.2">
      <c r="A643" s="3">
        <f t="shared" si="395"/>
        <v>23</v>
      </c>
      <c r="B643" s="3"/>
      <c r="C643" s="3" t="s">
        <v>311</v>
      </c>
      <c r="D643" s="3"/>
      <c r="E643" s="4"/>
      <c r="F643" s="11"/>
      <c r="G643" s="11"/>
      <c r="H643" s="8">
        <f>H627</f>
        <v>-289.94798262018014</v>
      </c>
      <c r="I643" s="66">
        <v>0</v>
      </c>
      <c r="J643" s="66">
        <f>SUM(K643:V643)-M643-P643</f>
        <v>-289.94798262018014</v>
      </c>
      <c r="K643" s="8">
        <f t="shared" ref="K643:V643" si="409">K627</f>
        <v>-237.68996646047555</v>
      </c>
      <c r="L643" s="8">
        <f>L627</f>
        <v>-25.253786958305383</v>
      </c>
      <c r="M643" s="9">
        <f>SUM(N643:O643)</f>
        <v>-16.710411139557586</v>
      </c>
      <c r="N643" s="8">
        <f t="shared" si="409"/>
        <v>-0.13292818318696797</v>
      </c>
      <c r="O643" s="8">
        <f t="shared" si="409"/>
        <v>-16.577482956370616</v>
      </c>
      <c r="P643" s="9">
        <f>SUM(Q643:S643)</f>
        <v>-0.25464279680914703</v>
      </c>
      <c r="Q643" s="8">
        <f t="shared" si="409"/>
        <v>-0.1082349269352222</v>
      </c>
      <c r="R643" s="8">
        <f t="shared" si="409"/>
        <v>-0.12692795269588955</v>
      </c>
      <c r="S643" s="8">
        <f>S627</f>
        <v>-1.9479917178035277E-2</v>
      </c>
      <c r="T643" s="8">
        <f t="shared" si="409"/>
        <v>-2.8632411866392784E-2</v>
      </c>
      <c r="U643" s="8">
        <f t="shared" si="409"/>
        <v>-10.006158069345714</v>
      </c>
      <c r="V643" s="8">
        <f t="shared" si="409"/>
        <v>-4.3847838204034558E-3</v>
      </c>
      <c r="W643" s="27">
        <f t="shared" si="406"/>
        <v>-5.6843418860808015E-14</v>
      </c>
    </row>
    <row r="644" spans="1:23" x14ac:dyDescent="0.2">
      <c r="A644" s="3">
        <f t="shared" si="395"/>
        <v>24</v>
      </c>
      <c r="B644" s="3"/>
      <c r="C644" s="3" t="s">
        <v>300</v>
      </c>
      <c r="D644" s="3"/>
      <c r="E644" s="4"/>
      <c r="F644" s="11"/>
      <c r="G644" s="11"/>
      <c r="H644" s="8">
        <f>H628</f>
        <v>-3044.2239986405425</v>
      </c>
      <c r="I644" s="66">
        <v>0</v>
      </c>
      <c r="J644" s="66">
        <f t="shared" ref="J644:J647" si="410">SUM(K644:V644)-M644-P644</f>
        <v>-3044.223998640542</v>
      </c>
      <c r="K644" s="8">
        <f t="shared" ref="K644:V644" si="411">K628</f>
        <v>-2495.5562497667279</v>
      </c>
      <c r="L644" s="8">
        <f>L628</f>
        <v>-265.14474637933949</v>
      </c>
      <c r="M644" s="9">
        <f>SUM(N644:O644)</f>
        <v>-175.4460719419088</v>
      </c>
      <c r="N644" s="8">
        <f t="shared" si="411"/>
        <v>-1.3956405617884438</v>
      </c>
      <c r="O644" s="8">
        <f t="shared" si="411"/>
        <v>-174.05043138012036</v>
      </c>
      <c r="P644" s="9">
        <f>SUM(Q644:S644)</f>
        <v>-2.6735475312577672</v>
      </c>
      <c r="Q644" s="8">
        <f t="shared" si="411"/>
        <v>-1.1363809435395489</v>
      </c>
      <c r="R644" s="8">
        <f t="shared" si="411"/>
        <v>-1.3326428975410487</v>
      </c>
      <c r="S644" s="8">
        <f>S628</f>
        <v>-0.20452369017716984</v>
      </c>
      <c r="T644" s="8">
        <f t="shared" si="411"/>
        <v>-0.30061762994507085</v>
      </c>
      <c r="U644" s="8">
        <f t="shared" si="411"/>
        <v>-105.05672863672091</v>
      </c>
      <c r="V644" s="8">
        <f t="shared" si="411"/>
        <v>-4.6036754642327121E-2</v>
      </c>
      <c r="W644" s="27">
        <f t="shared" si="406"/>
        <v>4.5474735088646412E-13</v>
      </c>
    </row>
    <row r="645" spans="1:23" x14ac:dyDescent="0.2">
      <c r="A645" s="3">
        <f t="shared" si="395"/>
        <v>25</v>
      </c>
      <c r="B645" s="3"/>
      <c r="C645" s="3" t="s">
        <v>638</v>
      </c>
      <c r="D645" s="28" t="s">
        <v>370</v>
      </c>
      <c r="E645" s="4"/>
      <c r="F645" s="11"/>
      <c r="G645" s="11"/>
      <c r="H645" s="8">
        <f>+'II-I TOTAL COMPANY'!M645</f>
        <v>0</v>
      </c>
      <c r="I645" s="8">
        <v>0</v>
      </c>
      <c r="J645" s="66">
        <f t="shared" ca="1" si="410"/>
        <v>0</v>
      </c>
      <c r="K645" s="66">
        <f ca="1">VLOOKUP($D645,$E$741:$V$815,K$1,FALSE)*$H645</f>
        <v>0</v>
      </c>
      <c r="L645" s="66">
        <f ca="1">VLOOKUP($D645,$E$741:$V$815,L$1,FALSE)*$H645</f>
        <v>0</v>
      </c>
      <c r="M645" s="9">
        <f ca="1">SUM(N645:O645)</f>
        <v>0</v>
      </c>
      <c r="N645" s="66">
        <f ca="1">VLOOKUP($D645,$E$741:$V$815,N$1,FALSE)*$H645</f>
        <v>0</v>
      </c>
      <c r="O645" s="66">
        <f ca="1">VLOOKUP($D645,$E$741:$V$815,O$1,FALSE)*$H645</f>
        <v>0</v>
      </c>
      <c r="P645" s="9">
        <f ca="1">SUM(Q645:S645)</f>
        <v>0</v>
      </c>
      <c r="Q645" s="12">
        <f t="shared" ref="Q645:V645" ca="1" si="412">VLOOKUP($D645,$E$741:$V$815,Q$1,FALSE)*$H645</f>
        <v>0</v>
      </c>
      <c r="R645" s="12">
        <f t="shared" ca="1" si="412"/>
        <v>0</v>
      </c>
      <c r="S645" s="12">
        <f t="shared" ca="1" si="412"/>
        <v>0</v>
      </c>
      <c r="T645" s="12">
        <f t="shared" ca="1" si="412"/>
        <v>0</v>
      </c>
      <c r="U645" s="12">
        <f t="shared" ca="1" si="412"/>
        <v>0</v>
      </c>
      <c r="V645" s="12">
        <f t="shared" ca="1" si="412"/>
        <v>0</v>
      </c>
      <c r="W645" s="27" t="str">
        <f t="shared" ca="1" si="406"/>
        <v>OK</v>
      </c>
    </row>
    <row r="646" spans="1:23" x14ac:dyDescent="0.2">
      <c r="A646" s="3">
        <f t="shared" si="395"/>
        <v>26</v>
      </c>
      <c r="B646" s="3"/>
      <c r="C646" s="3" t="s">
        <v>812</v>
      </c>
      <c r="D646" s="28"/>
      <c r="E646" s="4"/>
      <c r="F646" s="11">
        <v>0</v>
      </c>
      <c r="G646" s="11"/>
      <c r="H646" s="8">
        <f>+'II-I TOTAL COMPANY'!M646</f>
        <v>0</v>
      </c>
      <c r="I646" s="8">
        <v>0</v>
      </c>
      <c r="J646" s="66">
        <f t="shared" si="410"/>
        <v>0</v>
      </c>
      <c r="K646" s="10"/>
      <c r="L646" s="10"/>
      <c r="M646" s="3"/>
      <c r="N646" s="3"/>
      <c r="O646" s="3"/>
      <c r="P646" s="9"/>
      <c r="Q646" s="3"/>
      <c r="R646" s="3"/>
      <c r="S646" s="3"/>
      <c r="T646" s="3"/>
      <c r="U646" s="3"/>
      <c r="V646" s="3"/>
      <c r="W646" s="27" t="str">
        <f t="shared" si="406"/>
        <v>OK</v>
      </c>
    </row>
    <row r="647" spans="1:23" x14ac:dyDescent="0.2">
      <c r="A647" s="3">
        <f t="shared" si="395"/>
        <v>27</v>
      </c>
      <c r="B647" s="3"/>
      <c r="C647" s="3" t="s">
        <v>304</v>
      </c>
      <c r="D647" s="3"/>
      <c r="E647" s="4"/>
      <c r="F647" s="8">
        <f>F640+SUM(F643:F646)</f>
        <v>0</v>
      </c>
      <c r="G647" s="8"/>
      <c r="H647" s="8">
        <f>H640+SUM(H643:H646)</f>
        <v>180041.15550207128</v>
      </c>
      <c r="I647" s="8">
        <f t="shared" ref="I647:V647" si="413">I640+SUM(I643:I645)</f>
        <v>0</v>
      </c>
      <c r="J647" s="66">
        <f t="shared" ca="1" si="410"/>
        <v>180041.15550207131</v>
      </c>
      <c r="K647" s="8">
        <f ca="1">K640+SUM(K643:K646)</f>
        <v>147541.19631590915</v>
      </c>
      <c r="L647" s="8">
        <f ca="1">L640+SUM(L643:L646)</f>
        <v>15664.711629349638</v>
      </c>
      <c r="M647" s="9">
        <f ca="1">M640+SUM(M643:M646)</f>
        <v>10406.299424885357</v>
      </c>
      <c r="N647" s="8">
        <f t="shared" ca="1" si="413"/>
        <v>93.081348150443887</v>
      </c>
      <c r="O647" s="8">
        <f t="shared" ca="1" si="413"/>
        <v>10313.218076734913</v>
      </c>
      <c r="P647" s="9">
        <f ca="1">SUM(Q647:S647)</f>
        <v>185.34660404246816</v>
      </c>
      <c r="Q647" s="8">
        <f t="shared" ca="1" si="413"/>
        <v>89.655972448322899</v>
      </c>
      <c r="R647" s="8">
        <f t="shared" ca="1" si="413"/>
        <v>80.072758182889444</v>
      </c>
      <c r="S647" s="8">
        <f ca="1">S640+SUM(S643:S645)</f>
        <v>15.617873411255825</v>
      </c>
      <c r="T647" s="8">
        <f t="shared" ca="1" si="413"/>
        <v>17.691391836860703</v>
      </c>
      <c r="U647" s="8">
        <f t="shared" ca="1" si="413"/>
        <v>6222.1610331864231</v>
      </c>
      <c r="V647" s="8">
        <f t="shared" ca="1" si="413"/>
        <v>3.7491028614080575</v>
      </c>
      <c r="W647" s="27">
        <f t="shared" ca="1" si="406"/>
        <v>2.9103830456733704E-11</v>
      </c>
    </row>
    <row r="648" spans="1:23" x14ac:dyDescent="0.2">
      <c r="A648" s="3"/>
      <c r="B648" s="3"/>
      <c r="C648" s="3"/>
      <c r="D648" s="3"/>
      <c r="E648" s="4"/>
      <c r="F648" s="4"/>
      <c r="G648" s="4"/>
      <c r="H648" s="8"/>
      <c r="I648" s="8"/>
      <c r="J648" s="8"/>
      <c r="K648" s="10"/>
      <c r="L648" s="10"/>
      <c r="M648" s="3"/>
      <c r="N648" s="3"/>
      <c r="O648" s="3"/>
      <c r="P648" s="9"/>
      <c r="Q648" s="3"/>
      <c r="R648" s="3"/>
      <c r="S648" s="3"/>
      <c r="T648" s="3"/>
      <c r="U648" s="3"/>
      <c r="V648" s="3"/>
      <c r="W648" s="27" t="str">
        <f t="shared" si="406"/>
        <v>OK</v>
      </c>
    </row>
    <row r="649" spans="1:23" x14ac:dyDescent="0.2">
      <c r="A649" s="3"/>
      <c r="B649" s="3"/>
      <c r="C649" s="3"/>
      <c r="D649" s="3"/>
      <c r="E649" s="4"/>
      <c r="F649" s="4"/>
      <c r="G649" s="4"/>
      <c r="H649" s="5"/>
      <c r="I649" s="5"/>
      <c r="J649" s="5"/>
      <c r="K649" s="5"/>
      <c r="L649" s="5"/>
      <c r="M649" s="3"/>
      <c r="N649" s="3"/>
      <c r="O649" s="3"/>
      <c r="P649" s="9"/>
      <c r="Q649" s="3"/>
      <c r="R649" s="3"/>
      <c r="S649" s="3"/>
      <c r="T649" s="3"/>
      <c r="U649" s="3"/>
      <c r="V649" s="3"/>
      <c r="W649" s="27" t="str">
        <f t="shared" si="406"/>
        <v>OK</v>
      </c>
    </row>
    <row r="650" spans="1:23" x14ac:dyDescent="0.2">
      <c r="A650" s="3"/>
      <c r="B650" s="7" t="s">
        <v>305</v>
      </c>
      <c r="C650" s="3"/>
      <c r="D650" s="3"/>
      <c r="E650" s="4"/>
      <c r="F650" s="4"/>
      <c r="G650" s="4"/>
      <c r="H650" s="5"/>
      <c r="I650" s="5"/>
      <c r="J650" s="5"/>
      <c r="K650" s="5"/>
      <c r="L650" s="5"/>
      <c r="M650" s="3"/>
      <c r="N650" s="3"/>
      <c r="O650" s="3"/>
      <c r="P650" s="9"/>
      <c r="Q650" s="3"/>
      <c r="R650" s="3"/>
      <c r="S650" s="3"/>
      <c r="T650" s="3"/>
      <c r="U650" s="3"/>
      <c r="V650" s="3"/>
      <c r="W650" s="27" t="str">
        <f t="shared" si="406"/>
        <v>OK</v>
      </c>
    </row>
    <row r="651" spans="1:23" x14ac:dyDescent="0.2">
      <c r="A651" s="3"/>
      <c r="B651" s="3"/>
      <c r="C651" s="3"/>
      <c r="D651" s="3"/>
      <c r="E651" s="4"/>
      <c r="F651" s="4"/>
      <c r="G651" s="4"/>
      <c r="H651" s="5"/>
      <c r="I651" s="5"/>
      <c r="J651" s="5"/>
      <c r="K651" s="5"/>
      <c r="L651" s="5"/>
      <c r="M651" s="3"/>
      <c r="N651" s="3"/>
      <c r="O651" s="3"/>
      <c r="P651" s="9"/>
      <c r="Q651" s="3"/>
      <c r="R651" s="3"/>
      <c r="S651" s="3"/>
      <c r="T651" s="3"/>
      <c r="U651" s="3"/>
      <c r="V651" s="3"/>
      <c r="W651" s="27" t="str">
        <f t="shared" si="406"/>
        <v>OK</v>
      </c>
    </row>
    <row r="652" spans="1:23" x14ac:dyDescent="0.2">
      <c r="A652" s="3">
        <v>1</v>
      </c>
      <c r="B652" s="3" t="s">
        <v>306</v>
      </c>
      <c r="C652" s="3" t="str">
        <f>'II-I TOTAL COMPANY'!C652</f>
        <v>ND - Nuclear Decommissioning</v>
      </c>
      <c r="D652" s="3" t="s">
        <v>461</v>
      </c>
      <c r="E652" s="4" t="s">
        <v>592</v>
      </c>
      <c r="F652" s="11"/>
      <c r="G652" s="11"/>
      <c r="H652" s="14">
        <f>'II-I TOTAL COMPANY'!M652</f>
        <v>0</v>
      </c>
      <c r="I652" s="66">
        <v>0</v>
      </c>
      <c r="J652" s="66">
        <f t="shared" ref="J652" si="414">SUM(K652:V652)-M652-P652</f>
        <v>0</v>
      </c>
      <c r="K652" s="12">
        <f>VLOOKUP($D652,$E$741:$V$815,K$1,FALSE)*$H652</f>
        <v>0</v>
      </c>
      <c r="L652" s="12">
        <f>VLOOKUP($D652,$E$741:$V$815,L$1,FALSE)*$H652</f>
        <v>0</v>
      </c>
      <c r="M652" s="9">
        <f>SUM(N652:O652)</f>
        <v>0</v>
      </c>
      <c r="N652" s="12">
        <f>VLOOKUP($D652,$E$741:$V$815,N$1,FALSE)*$H652</f>
        <v>0</v>
      </c>
      <c r="O652" s="12">
        <f>VLOOKUP($D652,$E$741:$V$815,O$1,FALSE)*$H652</f>
        <v>0</v>
      </c>
      <c r="P652" s="9">
        <f>SUM(Q652:S652)</f>
        <v>0</v>
      </c>
      <c r="Q652" s="12">
        <f t="shared" ref="Q652:V652" si="415">VLOOKUP($D652,$E$741:$V$815,Q$1,FALSE)*$H652</f>
        <v>0</v>
      </c>
      <c r="R652" s="12">
        <f t="shared" si="415"/>
        <v>0</v>
      </c>
      <c r="S652" s="12">
        <f t="shared" si="415"/>
        <v>0</v>
      </c>
      <c r="T652" s="12">
        <f t="shared" si="415"/>
        <v>0</v>
      </c>
      <c r="U652" s="12">
        <f t="shared" si="415"/>
        <v>0</v>
      </c>
      <c r="V652" s="12">
        <f t="shared" si="415"/>
        <v>0</v>
      </c>
      <c r="W652" s="27" t="str">
        <f t="shared" si="406"/>
        <v>OK</v>
      </c>
    </row>
    <row r="653" spans="1:23" x14ac:dyDescent="0.2">
      <c r="A653" s="3">
        <f t="shared" ref="A653:A664" si="416">+A652+1</f>
        <v>2</v>
      </c>
      <c r="B653" s="3"/>
      <c r="C653" s="3"/>
      <c r="D653" s="3"/>
      <c r="E653" s="4"/>
      <c r="F653" s="4"/>
      <c r="G653" s="4"/>
      <c r="H653" s="14"/>
      <c r="I653" s="66"/>
      <c r="J653" s="66"/>
      <c r="K653" s="12"/>
      <c r="L653" s="12"/>
      <c r="M653" s="9"/>
      <c r="N653" s="12"/>
      <c r="O653" s="12"/>
      <c r="P653" s="9">
        <f>SUM(Q653:S653)</f>
        <v>0</v>
      </c>
      <c r="Q653" s="12"/>
      <c r="R653" s="12"/>
      <c r="S653" s="12"/>
      <c r="T653" s="12"/>
      <c r="U653" s="12"/>
      <c r="V653" s="12"/>
      <c r="W653" s="27" t="str">
        <f t="shared" si="406"/>
        <v>OK</v>
      </c>
    </row>
    <row r="654" spans="1:23" x14ac:dyDescent="0.2">
      <c r="A654" s="3">
        <f t="shared" si="416"/>
        <v>3</v>
      </c>
      <c r="B654" s="3"/>
      <c r="C654" s="3" t="s">
        <v>450</v>
      </c>
      <c r="D654" s="1"/>
      <c r="E654" s="4"/>
      <c r="F654" s="9"/>
      <c r="G654" s="9"/>
      <c r="H654" s="9">
        <f t="shared" ref="H654:V654" si="417">SUM(H652:H653)</f>
        <v>0</v>
      </c>
      <c r="I654" s="9">
        <f t="shared" si="417"/>
        <v>0</v>
      </c>
      <c r="J654" s="66">
        <f t="shared" ref="J654" si="418">SUM(K654:V654)-M654-P654</f>
        <v>0</v>
      </c>
      <c r="K654" s="9">
        <f t="shared" si="417"/>
        <v>0</v>
      </c>
      <c r="L654" s="9">
        <f t="shared" si="417"/>
        <v>0</v>
      </c>
      <c r="M654" s="9">
        <f t="shared" si="417"/>
        <v>0</v>
      </c>
      <c r="N654" s="9">
        <f t="shared" si="417"/>
        <v>0</v>
      </c>
      <c r="O654" s="9">
        <f t="shared" si="417"/>
        <v>0</v>
      </c>
      <c r="P654" s="9">
        <f>SUM(Q654:S654)</f>
        <v>0</v>
      </c>
      <c r="Q654" s="9">
        <f t="shared" si="417"/>
        <v>0</v>
      </c>
      <c r="R654" s="9">
        <f t="shared" si="417"/>
        <v>0</v>
      </c>
      <c r="S654" s="9">
        <f>SUM(S652:S653)</f>
        <v>0</v>
      </c>
      <c r="T654" s="9">
        <f t="shared" si="417"/>
        <v>0</v>
      </c>
      <c r="U654" s="9">
        <f t="shared" si="417"/>
        <v>0</v>
      </c>
      <c r="V654" s="9">
        <f t="shared" si="417"/>
        <v>0</v>
      </c>
      <c r="W654" s="27" t="str">
        <f t="shared" si="406"/>
        <v>OK</v>
      </c>
    </row>
    <row r="655" spans="1:23" x14ac:dyDescent="0.2">
      <c r="A655" s="3">
        <f t="shared" si="416"/>
        <v>4</v>
      </c>
      <c r="B655" s="3"/>
      <c r="C655" s="3"/>
      <c r="D655" s="3"/>
      <c r="E655" s="4"/>
      <c r="F655" s="4"/>
      <c r="G655" s="4"/>
      <c r="H655" s="5"/>
      <c r="I655" s="5"/>
      <c r="J655" s="5"/>
      <c r="K655" s="5"/>
      <c r="L655" s="5"/>
      <c r="M655" s="3"/>
      <c r="N655" s="3"/>
      <c r="O655" s="3"/>
      <c r="P655" s="9"/>
      <c r="Q655" s="3"/>
      <c r="R655" s="3"/>
      <c r="S655" s="3"/>
      <c r="T655" s="3"/>
      <c r="U655" s="3"/>
      <c r="V655" s="3"/>
      <c r="W655" s="27" t="str">
        <f t="shared" si="406"/>
        <v>OK</v>
      </c>
    </row>
    <row r="656" spans="1:23" x14ac:dyDescent="0.2">
      <c r="A656" s="3">
        <f t="shared" si="416"/>
        <v>5</v>
      </c>
      <c r="B656" s="3"/>
      <c r="C656" s="3"/>
      <c r="D656" s="3"/>
      <c r="E656" s="4"/>
      <c r="F656" s="4"/>
      <c r="G656" s="4"/>
      <c r="H656" s="5"/>
      <c r="I656" s="5"/>
      <c r="J656" s="5"/>
      <c r="K656" s="5"/>
      <c r="L656" s="5"/>
      <c r="M656" s="3"/>
      <c r="N656" s="3"/>
      <c r="O656" s="3"/>
      <c r="P656" s="9"/>
      <c r="Q656" s="3"/>
      <c r="R656" s="3"/>
      <c r="S656" s="3"/>
      <c r="T656" s="3"/>
      <c r="U656" s="3"/>
      <c r="V656" s="3"/>
      <c r="W656" s="27" t="str">
        <f t="shared" si="406"/>
        <v>OK</v>
      </c>
    </row>
    <row r="657" spans="1:23" x14ac:dyDescent="0.2">
      <c r="A657" s="3">
        <f t="shared" si="416"/>
        <v>6</v>
      </c>
      <c r="B657" s="7" t="s">
        <v>307</v>
      </c>
      <c r="C657" s="3"/>
      <c r="D657" s="3"/>
      <c r="E657" s="4"/>
      <c r="F657" s="4"/>
      <c r="G657" s="4"/>
      <c r="H657" s="5"/>
      <c r="I657" s="5"/>
      <c r="J657" s="5"/>
      <c r="K657" s="5"/>
      <c r="L657" s="5"/>
      <c r="M657" s="3"/>
      <c r="N657" s="3"/>
      <c r="O657" s="3"/>
      <c r="P657" s="9"/>
      <c r="Q657" s="3"/>
      <c r="R657" s="3"/>
      <c r="S657" s="3"/>
      <c r="T657" s="3"/>
      <c r="U657" s="3"/>
      <c r="V657" s="3"/>
      <c r="W657" s="27" t="str">
        <f t="shared" si="406"/>
        <v>OK</v>
      </c>
    </row>
    <row r="658" spans="1:23" x14ac:dyDescent="0.2">
      <c r="A658" s="3">
        <f t="shared" si="416"/>
        <v>7</v>
      </c>
      <c r="B658" s="3"/>
      <c r="C658" s="3"/>
      <c r="D658" s="3"/>
      <c r="E658" s="4"/>
      <c r="F658" s="4"/>
      <c r="G658" s="4"/>
      <c r="H658" s="5"/>
      <c r="I658" s="5"/>
      <c r="J658" s="5"/>
      <c r="K658" s="5"/>
      <c r="L658" s="5"/>
      <c r="M658" s="3"/>
      <c r="N658" s="3"/>
      <c r="O658" s="3"/>
      <c r="P658" s="9"/>
      <c r="Q658" s="3"/>
      <c r="R658" s="3"/>
      <c r="S658" s="3"/>
      <c r="T658" s="3"/>
      <c r="U658" s="3"/>
      <c r="V658" s="3"/>
      <c r="W658" s="27" t="str">
        <f t="shared" si="406"/>
        <v>OK</v>
      </c>
    </row>
    <row r="659" spans="1:23" x14ac:dyDescent="0.2">
      <c r="A659" s="3">
        <f t="shared" si="416"/>
        <v>8</v>
      </c>
      <c r="B659" s="3" t="s">
        <v>597</v>
      </c>
      <c r="C659" s="3" t="s">
        <v>598</v>
      </c>
      <c r="D659" s="28" t="s">
        <v>434</v>
      </c>
      <c r="E659" s="4" t="s">
        <v>569</v>
      </c>
      <c r="F659" s="11"/>
      <c r="G659" s="11"/>
      <c r="H659" s="14">
        <f>'II-I TOTAL COMPANY'!M659</f>
        <v>0</v>
      </c>
      <c r="I659" s="66">
        <v>0</v>
      </c>
      <c r="J659" s="66">
        <f t="shared" ref="J659:J662" si="419">SUM(K659:V659)-M659-P659</f>
        <v>0</v>
      </c>
      <c r="K659" s="12">
        <f t="shared" ref="K659:L662" si="420">VLOOKUP($D659,$E$741:$V$815,K$1,FALSE)*$H659</f>
        <v>0</v>
      </c>
      <c r="L659" s="12">
        <f t="shared" si="420"/>
        <v>0</v>
      </c>
      <c r="M659" s="9">
        <f>SUM(N659:O659)</f>
        <v>0</v>
      </c>
      <c r="N659" s="12">
        <f t="shared" ref="N659:O662" si="421">VLOOKUP($D659,$E$741:$V$815,N$1,FALSE)*$H659</f>
        <v>0</v>
      </c>
      <c r="O659" s="12">
        <f t="shared" si="421"/>
        <v>0</v>
      </c>
      <c r="P659" s="9">
        <f>SUM(Q659:S659)</f>
        <v>0</v>
      </c>
      <c r="Q659" s="12">
        <f t="shared" ref="Q659:V662" si="422">VLOOKUP($D659,$E$741:$V$815,Q$1,FALSE)*$H659</f>
        <v>0</v>
      </c>
      <c r="R659" s="12">
        <f t="shared" si="422"/>
        <v>0</v>
      </c>
      <c r="S659" s="12">
        <f t="shared" si="422"/>
        <v>0</v>
      </c>
      <c r="T659" s="12">
        <f t="shared" si="422"/>
        <v>0</v>
      </c>
      <c r="U659" s="12">
        <f t="shared" si="422"/>
        <v>0</v>
      </c>
      <c r="V659" s="12">
        <f t="shared" si="422"/>
        <v>0</v>
      </c>
      <c r="W659" s="27" t="str">
        <f t="shared" si="406"/>
        <v>OK</v>
      </c>
    </row>
    <row r="660" spans="1:23" x14ac:dyDescent="0.2">
      <c r="A660" s="3">
        <f t="shared" si="416"/>
        <v>9</v>
      </c>
      <c r="B660" s="3" t="s">
        <v>599</v>
      </c>
      <c r="C660" s="3" t="s">
        <v>600</v>
      </c>
      <c r="D660" s="28" t="s">
        <v>434</v>
      </c>
      <c r="E660" s="4" t="s">
        <v>569</v>
      </c>
      <c r="F660" s="11"/>
      <c r="G660" s="11"/>
      <c r="H660" s="14">
        <f>'II-I TOTAL COMPANY'!M660</f>
        <v>0</v>
      </c>
      <c r="I660" s="66">
        <v>0</v>
      </c>
      <c r="J660" s="66">
        <f t="shared" si="419"/>
        <v>0</v>
      </c>
      <c r="K660" s="12">
        <f t="shared" si="420"/>
        <v>0</v>
      </c>
      <c r="L660" s="12">
        <f t="shared" si="420"/>
        <v>0</v>
      </c>
      <c r="M660" s="9">
        <f>SUM(N660:O660)</f>
        <v>0</v>
      </c>
      <c r="N660" s="12">
        <f t="shared" si="421"/>
        <v>0</v>
      </c>
      <c r="O660" s="12">
        <f t="shared" si="421"/>
        <v>0</v>
      </c>
      <c r="P660" s="9">
        <f t="shared" ref="P660:P724" si="423">SUM(Q660:S660)</f>
        <v>0</v>
      </c>
      <c r="Q660" s="12">
        <f t="shared" si="422"/>
        <v>0</v>
      </c>
      <c r="R660" s="12">
        <f t="shared" si="422"/>
        <v>0</v>
      </c>
      <c r="S660" s="12">
        <f t="shared" si="422"/>
        <v>0</v>
      </c>
      <c r="T660" s="12">
        <f t="shared" si="422"/>
        <v>0</v>
      </c>
      <c r="U660" s="12">
        <f t="shared" si="422"/>
        <v>0</v>
      </c>
      <c r="V660" s="12">
        <f t="shared" si="422"/>
        <v>0</v>
      </c>
      <c r="W660" s="27" t="str">
        <f t="shared" si="406"/>
        <v>OK</v>
      </c>
    </row>
    <row r="661" spans="1:23" x14ac:dyDescent="0.2">
      <c r="A661" s="3">
        <f t="shared" si="416"/>
        <v>10</v>
      </c>
      <c r="B661" s="3" t="s">
        <v>601</v>
      </c>
      <c r="C661" s="3" t="s">
        <v>602</v>
      </c>
      <c r="D661" s="28" t="s">
        <v>333</v>
      </c>
      <c r="E661" s="4" t="s">
        <v>569</v>
      </c>
      <c r="F661" s="11"/>
      <c r="G661" s="11"/>
      <c r="H661" s="14">
        <f>'II-I TOTAL COMPANY'!M661</f>
        <v>0</v>
      </c>
      <c r="I661" s="66">
        <v>0</v>
      </c>
      <c r="J661" s="66">
        <f t="shared" si="419"/>
        <v>0</v>
      </c>
      <c r="K661" s="12">
        <f t="shared" si="420"/>
        <v>0</v>
      </c>
      <c r="L661" s="12">
        <f t="shared" si="420"/>
        <v>0</v>
      </c>
      <c r="M661" s="9">
        <f>SUM(N661:O661)</f>
        <v>0</v>
      </c>
      <c r="N661" s="12">
        <f t="shared" si="421"/>
        <v>0</v>
      </c>
      <c r="O661" s="12">
        <f t="shared" si="421"/>
        <v>0</v>
      </c>
      <c r="P661" s="9">
        <f t="shared" si="423"/>
        <v>0</v>
      </c>
      <c r="Q661" s="12">
        <f t="shared" si="422"/>
        <v>0</v>
      </c>
      <c r="R661" s="12">
        <f t="shared" si="422"/>
        <v>0</v>
      </c>
      <c r="S661" s="12">
        <f t="shared" si="422"/>
        <v>0</v>
      </c>
      <c r="T661" s="12">
        <f t="shared" si="422"/>
        <v>0</v>
      </c>
      <c r="U661" s="12">
        <f t="shared" si="422"/>
        <v>0</v>
      </c>
      <c r="V661" s="12">
        <f t="shared" si="422"/>
        <v>0</v>
      </c>
      <c r="W661" s="27" t="str">
        <f t="shared" si="406"/>
        <v>OK</v>
      </c>
    </row>
    <row r="662" spans="1:23" x14ac:dyDescent="0.2">
      <c r="A662" s="3">
        <f t="shared" si="416"/>
        <v>11</v>
      </c>
      <c r="B662" s="3" t="s">
        <v>603</v>
      </c>
      <c r="C662" s="3" t="s">
        <v>604</v>
      </c>
      <c r="D662" s="28" t="s">
        <v>367</v>
      </c>
      <c r="E662" s="4" t="s">
        <v>569</v>
      </c>
      <c r="F662" s="11"/>
      <c r="G662" s="11"/>
      <c r="H662" s="14">
        <f>'II-I TOTAL COMPANY'!M662</f>
        <v>0</v>
      </c>
      <c r="I662" s="66">
        <v>0</v>
      </c>
      <c r="J662" s="66">
        <f t="shared" si="419"/>
        <v>0</v>
      </c>
      <c r="K662" s="12">
        <f t="shared" si="420"/>
        <v>0</v>
      </c>
      <c r="L662" s="12">
        <f t="shared" si="420"/>
        <v>0</v>
      </c>
      <c r="M662" s="9">
        <f>SUM(N662:O662)</f>
        <v>0</v>
      </c>
      <c r="N662" s="12">
        <f t="shared" si="421"/>
        <v>0</v>
      </c>
      <c r="O662" s="12">
        <f t="shared" si="421"/>
        <v>0</v>
      </c>
      <c r="P662" s="9">
        <f t="shared" si="423"/>
        <v>0</v>
      </c>
      <c r="Q662" s="12">
        <f t="shared" si="422"/>
        <v>0</v>
      </c>
      <c r="R662" s="12">
        <f t="shared" si="422"/>
        <v>0</v>
      </c>
      <c r="S662" s="12">
        <f t="shared" si="422"/>
        <v>0</v>
      </c>
      <c r="T662" s="12">
        <f t="shared" si="422"/>
        <v>0</v>
      </c>
      <c r="U662" s="12">
        <f t="shared" si="422"/>
        <v>0</v>
      </c>
      <c r="V662" s="12">
        <f t="shared" si="422"/>
        <v>0</v>
      </c>
      <c r="W662" s="27" t="str">
        <f t="shared" si="406"/>
        <v>OK</v>
      </c>
    </row>
    <row r="663" spans="1:23" x14ac:dyDescent="0.2">
      <c r="A663" s="3">
        <f t="shared" si="416"/>
        <v>12</v>
      </c>
      <c r="B663" s="3"/>
      <c r="C663" s="3"/>
      <c r="D663" s="28"/>
      <c r="E663" s="4"/>
      <c r="F663" s="4"/>
      <c r="G663" s="4"/>
      <c r="H663" s="14"/>
      <c r="I663" s="66"/>
      <c r="J663" s="66"/>
      <c r="K663" s="12"/>
      <c r="L663" s="12"/>
      <c r="M663" s="9"/>
      <c r="N663" s="12"/>
      <c r="O663" s="12"/>
      <c r="P663" s="9">
        <f t="shared" si="423"/>
        <v>0</v>
      </c>
      <c r="Q663" s="12"/>
      <c r="R663" s="12"/>
      <c r="S663" s="12"/>
      <c r="T663" s="12"/>
      <c r="U663" s="12"/>
      <c r="V663" s="12"/>
      <c r="W663" s="27" t="str">
        <f t="shared" si="406"/>
        <v>OK</v>
      </c>
    </row>
    <row r="664" spans="1:23" x14ac:dyDescent="0.2">
      <c r="A664" s="3">
        <f t="shared" si="416"/>
        <v>13</v>
      </c>
      <c r="B664" s="3" t="s">
        <v>448</v>
      </c>
      <c r="C664" s="3"/>
      <c r="D664" s="3"/>
      <c r="E664" s="3"/>
      <c r="F664" s="11"/>
      <c r="G664" s="11"/>
      <c r="H664" s="14">
        <f>SUM(H659:H663)</f>
        <v>0</v>
      </c>
      <c r="I664" s="66">
        <v>0</v>
      </c>
      <c r="J664" s="66">
        <f t="shared" ref="J664" si="424">SUM(K664:V664)-M664-P664</f>
        <v>0</v>
      </c>
      <c r="K664" s="12">
        <f>SUM(K659:K663)</f>
        <v>0</v>
      </c>
      <c r="L664" s="12">
        <f>SUM(L659:L663)</f>
        <v>0</v>
      </c>
      <c r="M664" s="9">
        <f>SUM(N664:O664)</f>
        <v>0</v>
      </c>
      <c r="N664" s="12">
        <f>SUM(N659:N663)</f>
        <v>0</v>
      </c>
      <c r="O664" s="12">
        <f>SUM(O659:O663)</f>
        <v>0</v>
      </c>
      <c r="P664" s="9">
        <f t="shared" si="423"/>
        <v>0</v>
      </c>
      <c r="Q664" s="12">
        <f t="shared" ref="Q664:V664" si="425">SUM(Q659:Q663)</f>
        <v>0</v>
      </c>
      <c r="R664" s="12">
        <f t="shared" si="425"/>
        <v>0</v>
      </c>
      <c r="S664" s="12">
        <f t="shared" si="425"/>
        <v>0</v>
      </c>
      <c r="T664" s="12">
        <f t="shared" si="425"/>
        <v>0</v>
      </c>
      <c r="U664" s="12">
        <f t="shared" si="425"/>
        <v>0</v>
      </c>
      <c r="V664" s="12">
        <f t="shared" si="425"/>
        <v>0</v>
      </c>
      <c r="W664" s="27" t="str">
        <f t="shared" si="406"/>
        <v>OK</v>
      </c>
    </row>
    <row r="665" spans="1:23" x14ac:dyDescent="0.2">
      <c r="A665" s="3"/>
      <c r="B665" s="3"/>
      <c r="C665" s="3"/>
      <c r="D665" s="3"/>
      <c r="E665" s="3"/>
      <c r="F665" s="3"/>
      <c r="G665" s="3"/>
      <c r="H665" s="10"/>
      <c r="I665" s="10"/>
      <c r="J665" s="10"/>
      <c r="K665" s="10"/>
      <c r="L665" s="10"/>
      <c r="M665" s="10"/>
      <c r="N665" s="10"/>
      <c r="O665" s="10"/>
      <c r="P665" s="9"/>
      <c r="Q665" s="10"/>
      <c r="R665" s="10"/>
      <c r="S665" s="10"/>
      <c r="T665" s="10"/>
      <c r="U665" s="10"/>
      <c r="V665" s="10"/>
      <c r="W665" s="27" t="str">
        <f t="shared" si="406"/>
        <v>OK</v>
      </c>
    </row>
    <row r="666" spans="1:23" x14ac:dyDescent="0.2">
      <c r="A666" s="3"/>
      <c r="B666" s="3"/>
      <c r="C666" s="3"/>
      <c r="D666" s="3"/>
      <c r="E666" s="3"/>
      <c r="F666" s="3"/>
      <c r="G666" s="3"/>
      <c r="H666" s="5"/>
      <c r="I666" s="5"/>
      <c r="J666" s="5"/>
      <c r="K666" s="5"/>
      <c r="L666" s="23"/>
      <c r="M666" s="3"/>
      <c r="N666" s="3"/>
      <c r="O666" s="3"/>
      <c r="P666" s="9"/>
      <c r="Q666" s="3"/>
      <c r="R666" s="3"/>
      <c r="S666" s="3"/>
      <c r="T666" s="3"/>
      <c r="U666" s="3"/>
      <c r="V666" s="3"/>
      <c r="W666" s="27" t="str">
        <f t="shared" si="406"/>
        <v>OK</v>
      </c>
    </row>
    <row r="667" spans="1:23" x14ac:dyDescent="0.2">
      <c r="A667" s="3"/>
      <c r="B667" s="7" t="s">
        <v>590</v>
      </c>
      <c r="C667" s="3"/>
      <c r="D667" s="3"/>
      <c r="E667" s="3"/>
      <c r="F667" s="3"/>
      <c r="G667" s="3"/>
      <c r="H667" s="5"/>
      <c r="I667" s="5"/>
      <c r="J667" s="5"/>
      <c r="K667" s="5"/>
      <c r="L667" s="23"/>
      <c r="M667" s="3"/>
      <c r="N667" s="3"/>
      <c r="O667" s="3"/>
      <c r="P667" s="9"/>
      <c r="Q667" s="3"/>
      <c r="R667" s="3"/>
      <c r="S667" s="3"/>
      <c r="T667" s="3"/>
      <c r="U667" s="3"/>
      <c r="V667" s="3"/>
      <c r="W667" s="27" t="str">
        <f t="shared" si="406"/>
        <v>OK</v>
      </c>
    </row>
    <row r="668" spans="1:23" x14ac:dyDescent="0.2">
      <c r="A668" s="3"/>
      <c r="B668" s="7"/>
      <c r="C668" s="3"/>
      <c r="D668" s="3"/>
      <c r="E668" s="3"/>
      <c r="F668" s="3"/>
      <c r="G668" s="3"/>
      <c r="H668" s="5"/>
      <c r="I668" s="5"/>
      <c r="J668" s="5"/>
      <c r="K668" s="5"/>
      <c r="L668" s="23"/>
      <c r="M668" s="3"/>
      <c r="N668" s="3"/>
      <c r="O668" s="3"/>
      <c r="P668" s="9"/>
      <c r="Q668" s="3"/>
      <c r="R668" s="3"/>
      <c r="S668" s="3"/>
      <c r="T668" s="3"/>
      <c r="U668" s="3"/>
      <c r="V668" s="3"/>
      <c r="W668" s="27" t="str">
        <f t="shared" si="406"/>
        <v>OK</v>
      </c>
    </row>
    <row r="669" spans="1:23" x14ac:dyDescent="0.2">
      <c r="A669" s="3">
        <v>1</v>
      </c>
      <c r="B669" s="3" t="s">
        <v>452</v>
      </c>
      <c r="C669" s="3"/>
      <c r="D669" s="3" t="s">
        <v>614</v>
      </c>
      <c r="E669" s="3" t="s">
        <v>366</v>
      </c>
      <c r="F669" s="3"/>
      <c r="G669" s="3"/>
      <c r="H669" s="31">
        <f t="shared" ref="H669:H702" si="426">SUM(I669:J669)</f>
        <v>6726455.2502995022</v>
      </c>
      <c r="I669" s="94">
        <v>0</v>
      </c>
      <c r="J669" s="94">
        <f>SUM(K669:M669,P669,T669:V669)</f>
        <v>6726455.2502995022</v>
      </c>
      <c r="K669" s="31">
        <f>+Distribution!K669</f>
        <v>3260753.0515910774</v>
      </c>
      <c r="L669" s="31">
        <f>+Distribution!L669</f>
        <v>128972.63027239306</v>
      </c>
      <c r="M669" s="31">
        <f t="shared" ref="M669:M701" si="427">SUM(N669:O669)</f>
        <v>1920489.8482757821</v>
      </c>
      <c r="N669" s="31">
        <f>+Distribution!N669</f>
        <v>193175.39687988901</v>
      </c>
      <c r="O669" s="31">
        <f>+Distribution!O669</f>
        <v>1727314.451395893</v>
      </c>
      <c r="P669" s="9">
        <f t="shared" si="423"/>
        <v>544116.5308285245</v>
      </c>
      <c r="Q669" s="31">
        <f>+Distribution!Q669</f>
        <v>425992.24200444156</v>
      </c>
      <c r="R669" s="31">
        <f>+Distribution!R669</f>
        <v>34860.174762492941</v>
      </c>
      <c r="S669" s="31">
        <f>+Distribution!S669</f>
        <v>83264.114061590008</v>
      </c>
      <c r="T669" s="31">
        <f>+Distribution!T669</f>
        <v>872123.18933172501</v>
      </c>
      <c r="U669" s="31">
        <f>+Distribution!U669</f>
        <v>0</v>
      </c>
      <c r="V669" s="31">
        <f>+Distribution!V669</f>
        <v>0</v>
      </c>
      <c r="W669" s="27" t="str">
        <f t="shared" si="406"/>
        <v>OK</v>
      </c>
    </row>
    <row r="670" spans="1:23" x14ac:dyDescent="0.2">
      <c r="A670" s="3">
        <f>+A669+1</f>
        <v>2</v>
      </c>
      <c r="B670" s="3" t="s">
        <v>583</v>
      </c>
      <c r="C670" s="3"/>
      <c r="D670" s="3" t="s">
        <v>614</v>
      </c>
      <c r="E670" s="3" t="s">
        <v>461</v>
      </c>
      <c r="F670" s="3"/>
      <c r="G670" s="3"/>
      <c r="H670" s="31">
        <f>SUM(I670:J670)</f>
        <v>6726455.2502995022</v>
      </c>
      <c r="I670" s="94">
        <v>0</v>
      </c>
      <c r="J670" s="94">
        <f t="shared" ref="J670:J733" si="428">SUM(K670:M670,P670,T670:V670)</f>
        <v>6726455.2502995022</v>
      </c>
      <c r="K670" s="31">
        <f>+Distribution!K670</f>
        <v>3260753.0515910774</v>
      </c>
      <c r="L670" s="31">
        <f>+Distribution!L670</f>
        <v>128972.63027239306</v>
      </c>
      <c r="M670" s="31">
        <f t="shared" si="427"/>
        <v>1920489.8482757821</v>
      </c>
      <c r="N670" s="31">
        <f>+Distribution!N670</f>
        <v>193175.39687988901</v>
      </c>
      <c r="O670" s="31">
        <f>+Distribution!O670</f>
        <v>1727314.451395893</v>
      </c>
      <c r="P670" s="9">
        <f t="shared" si="423"/>
        <v>544116.5308285245</v>
      </c>
      <c r="Q670" s="31">
        <f>+Distribution!Q670</f>
        <v>425992.24200444156</v>
      </c>
      <c r="R670" s="31">
        <f>+Distribution!R670</f>
        <v>34860.174762492941</v>
      </c>
      <c r="S670" s="31">
        <f>+Distribution!S670</f>
        <v>83264.114061590008</v>
      </c>
      <c r="T670" s="31">
        <f>+Distribution!T670</f>
        <v>872123.18933172501</v>
      </c>
      <c r="U670" s="31">
        <f>+Distribution!U670</f>
        <v>0</v>
      </c>
      <c r="V670" s="31">
        <f>+Distribution!V670</f>
        <v>0</v>
      </c>
      <c r="W670" s="27"/>
    </row>
    <row r="671" spans="1:23" x14ac:dyDescent="0.2">
      <c r="A671" s="3">
        <f t="shared" ref="A671:A735" si="429">+A670+1</f>
        <v>3</v>
      </c>
      <c r="B671" s="3" t="s">
        <v>453</v>
      </c>
      <c r="C671" s="3"/>
      <c r="D671" s="3" t="s">
        <v>614</v>
      </c>
      <c r="E671" s="3" t="s">
        <v>367</v>
      </c>
      <c r="F671" s="3"/>
      <c r="G671" s="3"/>
      <c r="H671" s="31">
        <f t="shared" si="426"/>
        <v>5405175</v>
      </c>
      <c r="I671" s="94">
        <v>0</v>
      </c>
      <c r="J671" s="94">
        <f t="shared" si="428"/>
        <v>5405175</v>
      </c>
      <c r="K671" s="31">
        <f>+Distribution!K671</f>
        <v>2576796</v>
      </c>
      <c r="L671" s="31">
        <f>+Distribution!L671</f>
        <v>95632</v>
      </c>
      <c r="M671" s="31">
        <f t="shared" si="427"/>
        <v>1558412</v>
      </c>
      <c r="N671" s="31">
        <f>+Distribution!N671</f>
        <v>170419</v>
      </c>
      <c r="O671" s="31">
        <f>+Distribution!O671</f>
        <v>1387993</v>
      </c>
      <c r="P671" s="9">
        <f t="shared" si="423"/>
        <v>578236</v>
      </c>
      <c r="Q671" s="31">
        <f>+Distribution!Q671</f>
        <v>535452</v>
      </c>
      <c r="R671" s="31">
        <f>+Distribution!R671</f>
        <v>42784</v>
      </c>
      <c r="S671" s="31">
        <f>+Distribution!S671</f>
        <v>0</v>
      </c>
      <c r="T671" s="31">
        <f>+Distribution!T671</f>
        <v>596099</v>
      </c>
      <c r="U671" s="31">
        <f>+Distribution!U671</f>
        <v>0</v>
      </c>
      <c r="V671" s="31">
        <f>+Distribution!V671</f>
        <v>0</v>
      </c>
      <c r="W671" s="27" t="str">
        <f t="shared" ref="W671:W703" si="430">IF((+K671+L671+M671+P671+T671+U671+V671)-H671=0,"OK",(+K671+L671+M671+P671+T671+U671+V671)-H671)</f>
        <v>OK</v>
      </c>
    </row>
    <row r="672" spans="1:23" x14ac:dyDescent="0.2">
      <c r="A672" s="3">
        <f t="shared" si="429"/>
        <v>4</v>
      </c>
      <c r="B672" s="3" t="s">
        <v>454</v>
      </c>
      <c r="C672" s="3"/>
      <c r="D672" s="3" t="s">
        <v>548</v>
      </c>
      <c r="E672" s="3" t="s">
        <v>368</v>
      </c>
      <c r="F672" s="3"/>
      <c r="G672" s="3"/>
      <c r="H672" s="31">
        <f t="shared" si="426"/>
        <v>7150536.8731108885</v>
      </c>
      <c r="I672" s="94">
        <v>0</v>
      </c>
      <c r="J672" s="94">
        <f t="shared" si="428"/>
        <v>7150536.8731108885</v>
      </c>
      <c r="K672" s="31">
        <f>+Distribution!K672</f>
        <v>4044549.9228943191</v>
      </c>
      <c r="L672" s="31">
        <f>+Distribution!L672</f>
        <v>141089.1404509588</v>
      </c>
      <c r="M672" s="31">
        <f t="shared" si="427"/>
        <v>2127839.398719538</v>
      </c>
      <c r="N672" s="31">
        <f>+Distribution!N672</f>
        <v>285723.82588124881</v>
      </c>
      <c r="O672" s="31">
        <f>+Distribution!O672</f>
        <v>1842115.5728382894</v>
      </c>
      <c r="P672" s="9">
        <f t="shared" si="423"/>
        <v>730743.3108918271</v>
      </c>
      <c r="Q672" s="31">
        <f>+Distribution!Q672</f>
        <v>594457.57680565922</v>
      </c>
      <c r="R672" s="31">
        <f>+Distribution!R672</f>
        <v>43018.378252648035</v>
      </c>
      <c r="S672" s="31">
        <f>+Distribution!S672</f>
        <v>93267.355833519832</v>
      </c>
      <c r="T672" s="31">
        <f>+Distribution!T672</f>
        <v>0</v>
      </c>
      <c r="U672" s="31">
        <f>+Distribution!U672</f>
        <v>79180.024151402962</v>
      </c>
      <c r="V672" s="31">
        <f>+Distribution!V672</f>
        <v>27135.076002842503</v>
      </c>
      <c r="W672" s="27" t="str">
        <f t="shared" si="430"/>
        <v>OK</v>
      </c>
    </row>
    <row r="673" spans="1:23" x14ac:dyDescent="0.2">
      <c r="A673" s="3">
        <f t="shared" si="429"/>
        <v>5</v>
      </c>
      <c r="B673" s="3" t="s">
        <v>341</v>
      </c>
      <c r="C673" s="3"/>
      <c r="D673" s="3" t="s">
        <v>548</v>
      </c>
      <c r="E673" s="3" t="s">
        <v>369</v>
      </c>
      <c r="F673" s="3"/>
      <c r="G673" s="3"/>
      <c r="H673" s="31">
        <f t="shared" si="426"/>
        <v>6392658.4862162182</v>
      </c>
      <c r="I673" s="94">
        <v>0</v>
      </c>
      <c r="J673" s="94">
        <f t="shared" si="428"/>
        <v>6392658.4862162182</v>
      </c>
      <c r="K673" s="31">
        <f>+K672</f>
        <v>4044549.9228943191</v>
      </c>
      <c r="L673" s="31">
        <f>+L672</f>
        <v>141089.1404509588</v>
      </c>
      <c r="M673" s="31">
        <f t="shared" si="427"/>
        <v>2127839.398719538</v>
      </c>
      <c r="N673" s="31">
        <f>+N672</f>
        <v>285723.82588124881</v>
      </c>
      <c r="O673" s="31">
        <f>+O672</f>
        <v>1842115.5728382894</v>
      </c>
      <c r="P673" s="9">
        <f t="shared" si="423"/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f>+U672</f>
        <v>79180.024151402962</v>
      </c>
      <c r="V673" s="31">
        <f>+Distribution!V673</f>
        <v>0</v>
      </c>
      <c r="W673" s="27" t="str">
        <f t="shared" si="430"/>
        <v>OK</v>
      </c>
    </row>
    <row r="674" spans="1:23" x14ac:dyDescent="0.2">
      <c r="A674" s="3">
        <f t="shared" si="429"/>
        <v>6</v>
      </c>
      <c r="B674" s="18" t="s">
        <v>319</v>
      </c>
      <c r="C674" s="18"/>
      <c r="D674" s="18" t="s">
        <v>547</v>
      </c>
      <c r="E674" s="18" t="s">
        <v>310</v>
      </c>
      <c r="F674" s="18"/>
      <c r="G674" s="18"/>
      <c r="H674" s="31">
        <f t="shared" si="426"/>
        <v>37789997021.651588</v>
      </c>
      <c r="I674" s="94">
        <v>0</v>
      </c>
      <c r="J674" s="94">
        <f t="shared" si="428"/>
        <v>37789997021.651588</v>
      </c>
      <c r="K674" s="31">
        <f>+Distribution!K674</f>
        <v>12589882555.539207</v>
      </c>
      <c r="L674" s="31">
        <f>+Distribution!L674</f>
        <v>672100106.11512482</v>
      </c>
      <c r="M674" s="31">
        <f t="shared" si="427"/>
        <v>9205057207.3266869</v>
      </c>
      <c r="N674" s="31">
        <f>+Distribution!N674</f>
        <v>1309566782.6682951</v>
      </c>
      <c r="O674" s="31">
        <f>+Distribution!O674</f>
        <v>7895490424.658391</v>
      </c>
      <c r="P674" s="9">
        <f t="shared" si="423"/>
        <v>4019271669.0120554</v>
      </c>
      <c r="Q674" s="31">
        <f>+Distribution!Q674</f>
        <v>3758114018.0188446</v>
      </c>
      <c r="R674" s="31">
        <f>+Distribution!R674</f>
        <v>261157650.99321082</v>
      </c>
      <c r="S674" s="31"/>
      <c r="T674" s="31">
        <f>+Distribution!T674</f>
        <v>11035696755.195988</v>
      </c>
      <c r="U674" s="31">
        <f>+Distribution!U674</f>
        <v>238384897.60503083</v>
      </c>
      <c r="V674" s="31">
        <f>+Distribution!V674</f>
        <v>29603830.857500002</v>
      </c>
      <c r="W674" s="27" t="str">
        <f t="shared" si="430"/>
        <v>OK</v>
      </c>
    </row>
    <row r="675" spans="1:23" x14ac:dyDescent="0.2">
      <c r="A675" s="3">
        <f t="shared" si="429"/>
        <v>7</v>
      </c>
      <c r="B675" s="3" t="s">
        <v>365</v>
      </c>
      <c r="C675" s="3"/>
      <c r="D675" s="3" t="s">
        <v>533</v>
      </c>
      <c r="E675" s="3" t="s">
        <v>364</v>
      </c>
      <c r="F675" s="3"/>
      <c r="G675" s="3"/>
      <c r="H675" s="31">
        <f t="shared" si="426"/>
        <v>150624628.23955706</v>
      </c>
      <c r="I675" s="94">
        <v>0</v>
      </c>
      <c r="J675" s="94">
        <f t="shared" si="428"/>
        <v>150624628.23955706</v>
      </c>
      <c r="K675" s="31">
        <f>+Distribution!K675</f>
        <v>79181810.634783342</v>
      </c>
      <c r="L675" s="31">
        <f>+Distribution!L675</f>
        <v>2897445.3648867225</v>
      </c>
      <c r="M675" s="31">
        <f t="shared" si="427"/>
        <v>31023216.42432715</v>
      </c>
      <c r="N675" s="31">
        <f>+Distribution!N675</f>
        <v>3600643.1610355754</v>
      </c>
      <c r="O675" s="31">
        <f>+Distribution!O675</f>
        <v>27422573.263291575</v>
      </c>
      <c r="P675" s="9">
        <f t="shared" si="423"/>
        <v>10189737.794917222</v>
      </c>
      <c r="Q675" s="31">
        <f>+Distribution!Q675</f>
        <v>8299929.3328995882</v>
      </c>
      <c r="R675" s="31">
        <f>+Distribution!R675</f>
        <v>667793.64812638971</v>
      </c>
      <c r="S675" s="31">
        <f>+Distribution!S675</f>
        <v>1222014.813891246</v>
      </c>
      <c r="T675" s="31">
        <f>+Distribution!T675</f>
        <v>25972433.783929482</v>
      </c>
      <c r="U675" s="31">
        <f>+Distribution!U675</f>
        <v>809370.79648379341</v>
      </c>
      <c r="V675" s="31">
        <f>+Distribution!V675</f>
        <v>550613.44022935256</v>
      </c>
      <c r="W675" s="27" t="str">
        <f t="shared" si="430"/>
        <v>OK</v>
      </c>
    </row>
    <row r="676" spans="1:23" x14ac:dyDescent="0.2">
      <c r="A676" s="3">
        <f t="shared" si="429"/>
        <v>8</v>
      </c>
      <c r="B676" s="3" t="s">
        <v>342</v>
      </c>
      <c r="C676" s="3"/>
      <c r="D676" s="3" t="s">
        <v>535</v>
      </c>
      <c r="E676" s="3" t="s">
        <v>345</v>
      </c>
      <c r="F676" s="3"/>
      <c r="G676" s="3"/>
      <c r="H676" s="31">
        <f t="shared" si="426"/>
        <v>1329631</v>
      </c>
      <c r="I676" s="94">
        <v>0</v>
      </c>
      <c r="J676" s="94">
        <f t="shared" si="428"/>
        <v>1329631</v>
      </c>
      <c r="K676" s="31">
        <f>+Distribution!K676</f>
        <v>935238</v>
      </c>
      <c r="L676" s="31">
        <f>+Distribution!L676</f>
        <v>99366</v>
      </c>
      <c r="M676" s="31">
        <f t="shared" si="427"/>
        <v>72409</v>
      </c>
      <c r="N676" s="31">
        <f>+Distribution!N676</f>
        <v>576</v>
      </c>
      <c r="O676" s="31">
        <f>+Distribution!O676</f>
        <v>71833</v>
      </c>
      <c r="P676" s="9">
        <f t="shared" si="423"/>
        <v>1086</v>
      </c>
      <c r="Q676" s="31">
        <f>+Distribution!Q676</f>
        <v>469</v>
      </c>
      <c r="R676" s="31">
        <f>+Distribution!R676</f>
        <v>550</v>
      </c>
      <c r="S676" s="31">
        <f>+Distribution!S676</f>
        <v>67</v>
      </c>
      <c r="T676" s="31">
        <f>+Distribution!T676</f>
        <v>123</v>
      </c>
      <c r="U676" s="31">
        <f>+Distribution!U676</f>
        <v>221390</v>
      </c>
      <c r="V676" s="31">
        <f>+Distribution!V676</f>
        <v>19</v>
      </c>
      <c r="W676" s="27" t="str">
        <f t="shared" si="430"/>
        <v>OK</v>
      </c>
    </row>
    <row r="677" spans="1:23" x14ac:dyDescent="0.2">
      <c r="A677" s="3">
        <f t="shared" si="429"/>
        <v>9</v>
      </c>
      <c r="B677" s="3" t="s">
        <v>445</v>
      </c>
      <c r="C677" s="3"/>
      <c r="D677" s="3" t="s">
        <v>534</v>
      </c>
      <c r="E677" s="3" t="s">
        <v>446</v>
      </c>
      <c r="F677" s="3"/>
      <c r="G677" s="3"/>
      <c r="H677" s="31">
        <f t="shared" si="426"/>
        <v>1328350</v>
      </c>
      <c r="I677" s="94">
        <v>0</v>
      </c>
      <c r="J677" s="94">
        <f t="shared" si="428"/>
        <v>1328350</v>
      </c>
      <c r="K677" s="31">
        <f>+Distribution!K677</f>
        <v>935238</v>
      </c>
      <c r="L677" s="31">
        <f>+Distribution!L677</f>
        <v>99366</v>
      </c>
      <c r="M677" s="31">
        <f t="shared" si="427"/>
        <v>72409</v>
      </c>
      <c r="N677" s="31">
        <f>+Distribution!N677</f>
        <v>576</v>
      </c>
      <c r="O677" s="31">
        <f>+Distribution!O677</f>
        <v>71833</v>
      </c>
      <c r="P677" s="9">
        <f t="shared" si="423"/>
        <v>1086</v>
      </c>
      <c r="Q677" s="31">
        <f>+Distribution!Q677</f>
        <v>469</v>
      </c>
      <c r="R677" s="31">
        <f>+Distribution!R677</f>
        <v>550</v>
      </c>
      <c r="S677" s="31">
        <f>+Distribution!S677</f>
        <v>67</v>
      </c>
      <c r="T677" s="31">
        <f>+Distribution!T677</f>
        <v>0</v>
      </c>
      <c r="U677" s="31">
        <f>+Distribution!U677</f>
        <v>220232</v>
      </c>
      <c r="V677" s="31">
        <f>+Distribution!V677</f>
        <v>19</v>
      </c>
      <c r="W677" s="27" t="str">
        <f t="shared" si="430"/>
        <v>OK</v>
      </c>
    </row>
    <row r="678" spans="1:23" x14ac:dyDescent="0.2">
      <c r="A678" s="3">
        <f t="shared" si="429"/>
        <v>10</v>
      </c>
      <c r="B678" s="3" t="s">
        <v>347</v>
      </c>
      <c r="C678" s="3"/>
      <c r="D678" s="3" t="s">
        <v>613</v>
      </c>
      <c r="E678" s="3" t="s">
        <v>343</v>
      </c>
      <c r="F678" s="3"/>
      <c r="G678" s="3"/>
      <c r="H678" s="31">
        <f t="shared" si="426"/>
        <v>1155398</v>
      </c>
      <c r="I678" s="94">
        <v>0</v>
      </c>
      <c r="J678" s="94">
        <f t="shared" si="428"/>
        <v>1155398</v>
      </c>
      <c r="K678" s="31">
        <f>+Distribution!K678</f>
        <v>935238</v>
      </c>
      <c r="L678" s="31">
        <f>+Distribution!L678</f>
        <v>94498</v>
      </c>
      <c r="M678" s="31">
        <f t="shared" si="427"/>
        <v>125662</v>
      </c>
      <c r="N678" s="31">
        <f>+Distribution!N678</f>
        <v>518</v>
      </c>
      <c r="O678" s="31">
        <f>+Distribution!O678</f>
        <v>125144</v>
      </c>
      <c r="P678" s="9">
        <f t="shared" si="423"/>
        <v>0</v>
      </c>
      <c r="Q678" s="31">
        <f>+Distribution!Q678</f>
        <v>0</v>
      </c>
      <c r="R678" s="31">
        <f>+Distribution!R678</f>
        <v>0</v>
      </c>
      <c r="S678" s="31">
        <f>+Distribution!S678</f>
        <v>0</v>
      </c>
      <c r="T678" s="31">
        <f>+Distribution!T678</f>
        <v>0</v>
      </c>
      <c r="U678" s="31">
        <f>+Distribution!U678</f>
        <v>0</v>
      </c>
      <c r="V678" s="31">
        <f>+Distribution!V678</f>
        <v>0</v>
      </c>
      <c r="W678" s="27" t="str">
        <f t="shared" si="430"/>
        <v>OK</v>
      </c>
    </row>
    <row r="679" spans="1:23" x14ac:dyDescent="0.2">
      <c r="A679" s="3">
        <f t="shared" si="429"/>
        <v>11</v>
      </c>
      <c r="B679" s="3" t="s">
        <v>346</v>
      </c>
      <c r="C679" s="3"/>
      <c r="D679" s="3" t="s">
        <v>613</v>
      </c>
      <c r="E679" s="3" t="s">
        <v>344</v>
      </c>
      <c r="F679" s="3"/>
      <c r="G679" s="3"/>
      <c r="H679" s="31">
        <f t="shared" si="426"/>
        <v>1994932.7802414242</v>
      </c>
      <c r="I679" s="94">
        <v>0</v>
      </c>
      <c r="J679" s="94">
        <f t="shared" si="428"/>
        <v>1994932.7802414242</v>
      </c>
      <c r="K679" s="31">
        <f>+Distribution!K679</f>
        <v>935238</v>
      </c>
      <c r="L679" s="31">
        <f>+Distribution!L679</f>
        <v>177705.24038775123</v>
      </c>
      <c r="M679" s="31">
        <f t="shared" si="427"/>
        <v>705477.8436128865</v>
      </c>
      <c r="N679" s="31">
        <f>+Distribution!N679</f>
        <v>13763.351647210171</v>
      </c>
      <c r="O679" s="31">
        <f>+Distribution!O679</f>
        <v>691714.49196567631</v>
      </c>
      <c r="P679" s="9">
        <f t="shared" si="423"/>
        <v>94875.887253449953</v>
      </c>
      <c r="Q679" s="31">
        <f>+Distribution!Q679</f>
        <v>40973.104163782722</v>
      </c>
      <c r="R679" s="31">
        <f>+Distribution!R679</f>
        <v>48049.482494841133</v>
      </c>
      <c r="S679" s="31">
        <f>+Distribution!S679</f>
        <v>5853.3005948261025</v>
      </c>
      <c r="T679" s="31">
        <f>+Distribution!T679</f>
        <v>79975.917773878275</v>
      </c>
      <c r="U679" s="31">
        <f>+Distribution!U679</f>
        <v>0</v>
      </c>
      <c r="V679" s="31">
        <f>+Distribution!V679</f>
        <v>1659.8912134581485</v>
      </c>
      <c r="W679" s="27" t="str">
        <f t="shared" si="430"/>
        <v>OK</v>
      </c>
    </row>
    <row r="680" spans="1:23" x14ac:dyDescent="0.2">
      <c r="A680" s="3">
        <f t="shared" si="429"/>
        <v>12</v>
      </c>
      <c r="B680" s="3" t="s">
        <v>348</v>
      </c>
      <c r="C680" s="3"/>
      <c r="D680" s="87" t="s">
        <v>76</v>
      </c>
      <c r="E680" s="3" t="s">
        <v>371</v>
      </c>
      <c r="F680" s="3"/>
      <c r="G680" s="3"/>
      <c r="H680" s="31">
        <f t="shared" si="426"/>
        <v>112909952.16154858</v>
      </c>
      <c r="I680" s="94">
        <v>0</v>
      </c>
      <c r="J680" s="94">
        <f t="shared" si="428"/>
        <v>112909952.16154858</v>
      </c>
      <c r="K680" s="31">
        <f>+Distribution!K680</f>
        <v>0</v>
      </c>
      <c r="L680" s="31">
        <f>+Distribution!L680</f>
        <v>0</v>
      </c>
      <c r="M680" s="31">
        <f t="shared" si="427"/>
        <v>0</v>
      </c>
      <c r="N680" s="31">
        <f>+Distribution!N680</f>
        <v>0</v>
      </c>
      <c r="O680" s="31">
        <f>+Distribution!O680</f>
        <v>0</v>
      </c>
      <c r="P680" s="9">
        <f t="shared" si="423"/>
        <v>0</v>
      </c>
      <c r="Q680" s="31">
        <f>+Distribution!Q680</f>
        <v>0</v>
      </c>
      <c r="R680" s="31">
        <f>+Distribution!R680</f>
        <v>0</v>
      </c>
      <c r="S680" s="31">
        <f>+Distribution!S680</f>
        <v>0</v>
      </c>
      <c r="T680" s="31">
        <f>+Distribution!T680</f>
        <v>0</v>
      </c>
      <c r="U680" s="31">
        <f>+Distribution!U680</f>
        <v>112909952.16154858</v>
      </c>
      <c r="V680" s="31">
        <f>+Distribution!V680</f>
        <v>0</v>
      </c>
      <c r="W680" s="27" t="str">
        <f t="shared" si="430"/>
        <v>OK</v>
      </c>
    </row>
    <row r="681" spans="1:23" x14ac:dyDescent="0.2">
      <c r="A681" s="3">
        <f t="shared" si="429"/>
        <v>13</v>
      </c>
      <c r="B681" s="3" t="s">
        <v>349</v>
      </c>
      <c r="C681" s="3"/>
      <c r="D681" s="87" t="s">
        <v>80</v>
      </c>
      <c r="E681" s="3" t="s">
        <v>372</v>
      </c>
      <c r="F681" s="3"/>
      <c r="G681" s="3"/>
      <c r="H681" s="31">
        <f t="shared" si="426"/>
        <v>125474945.44348232</v>
      </c>
      <c r="I681" s="94">
        <v>0</v>
      </c>
      <c r="J681" s="94">
        <f t="shared" si="428"/>
        <v>125474945.44348232</v>
      </c>
      <c r="K681" s="31">
        <f>+Distribution!K681</f>
        <v>0</v>
      </c>
      <c r="L681" s="31">
        <f>+Distribution!L681</f>
        <v>0</v>
      </c>
      <c r="M681" s="31">
        <f t="shared" si="427"/>
        <v>0</v>
      </c>
      <c r="N681" s="31">
        <f>+Distribution!N681</f>
        <v>0</v>
      </c>
      <c r="O681" s="31">
        <f>+Distribution!O681</f>
        <v>0</v>
      </c>
      <c r="P681" s="9">
        <f t="shared" si="423"/>
        <v>0</v>
      </c>
      <c r="Q681" s="31">
        <f>+Distribution!Q681</f>
        <v>0</v>
      </c>
      <c r="R681" s="31">
        <f>+Distribution!R681</f>
        <v>0</v>
      </c>
      <c r="S681" s="31">
        <f>+Distribution!S681</f>
        <v>0</v>
      </c>
      <c r="T681" s="31">
        <f>+Distribution!T681</f>
        <v>0</v>
      </c>
      <c r="U681" s="31">
        <f>+Distribution!U681</f>
        <v>125474945.44348232</v>
      </c>
      <c r="V681" s="31">
        <f>+Distribution!V681</f>
        <v>0</v>
      </c>
      <c r="W681" s="27" t="str">
        <f t="shared" si="430"/>
        <v>OK</v>
      </c>
    </row>
    <row r="682" spans="1:23" x14ac:dyDescent="0.2">
      <c r="A682" s="3">
        <f t="shared" si="429"/>
        <v>14</v>
      </c>
      <c r="B682" s="3" t="s">
        <v>809</v>
      </c>
      <c r="C682" s="3"/>
      <c r="D682" s="3" t="s">
        <v>613</v>
      </c>
      <c r="E682" s="3" t="s">
        <v>373</v>
      </c>
      <c r="F682" s="3"/>
      <c r="G682" s="3"/>
      <c r="H682" s="31">
        <f t="shared" si="426"/>
        <v>1107122</v>
      </c>
      <c r="I682" s="94">
        <v>0</v>
      </c>
      <c r="J682" s="94">
        <f t="shared" si="428"/>
        <v>1107122</v>
      </c>
      <c r="K682" s="31">
        <f>+Distribution!K682</f>
        <v>935238</v>
      </c>
      <c r="L682" s="31">
        <f>+Distribution!L682</f>
        <v>97741</v>
      </c>
      <c r="M682" s="31">
        <f t="shared" si="427"/>
        <v>73006</v>
      </c>
      <c r="N682" s="31">
        <f>+Distribution!N682</f>
        <v>581</v>
      </c>
      <c r="O682" s="31">
        <f>+Distribution!O682</f>
        <v>72425</v>
      </c>
      <c r="P682" s="9">
        <f t="shared" si="423"/>
        <v>1117</v>
      </c>
      <c r="Q682" s="31">
        <f>+Distribution!Q682</f>
        <v>482</v>
      </c>
      <c r="R682" s="31">
        <f>+Distribution!R682</f>
        <v>566</v>
      </c>
      <c r="S682" s="31">
        <f>+Distribution!S682</f>
        <v>69</v>
      </c>
      <c r="T682" s="31">
        <f>+Distribution!T682</f>
        <v>0</v>
      </c>
      <c r="U682" s="31">
        <f>+Distribution!U682</f>
        <v>0</v>
      </c>
      <c r="V682" s="31">
        <f>+Distribution!V682</f>
        <v>20</v>
      </c>
      <c r="W682" s="27" t="str">
        <f t="shared" si="430"/>
        <v>OK</v>
      </c>
    </row>
    <row r="683" spans="1:23" x14ac:dyDescent="0.2">
      <c r="A683" s="3">
        <f t="shared" si="429"/>
        <v>15</v>
      </c>
      <c r="B683" s="3" t="s">
        <v>810</v>
      </c>
      <c r="C683" s="3"/>
      <c r="D683" s="3" t="s">
        <v>613</v>
      </c>
      <c r="E683" s="3" t="s">
        <v>374</v>
      </c>
      <c r="F683" s="3"/>
      <c r="G683" s="3"/>
      <c r="H683" s="31">
        <f t="shared" si="426"/>
        <v>1110889.1666666667</v>
      </c>
      <c r="I683" s="94">
        <v>0</v>
      </c>
      <c r="J683" s="94">
        <f t="shared" si="428"/>
        <v>1110889.1666666667</v>
      </c>
      <c r="K683" s="31">
        <f>+Distribution!K683</f>
        <v>935238</v>
      </c>
      <c r="L683" s="31">
        <f>+Distribution!L683</f>
        <v>99366</v>
      </c>
      <c r="M683" s="31">
        <f t="shared" si="427"/>
        <v>72409</v>
      </c>
      <c r="N683" s="31">
        <f>+Distribution!N683</f>
        <v>576</v>
      </c>
      <c r="O683" s="31">
        <f>+Distribution!O683</f>
        <v>71833</v>
      </c>
      <c r="P683" s="9">
        <f t="shared" si="423"/>
        <v>1105</v>
      </c>
      <c r="Q683" s="31">
        <f>+Distribution!Q683</f>
        <v>469</v>
      </c>
      <c r="R683" s="31">
        <f>+Distribution!R683</f>
        <v>550</v>
      </c>
      <c r="S683" s="31">
        <f>+Distribution!S683</f>
        <v>86</v>
      </c>
      <c r="T683" s="31">
        <f>+Distribution!T683</f>
        <v>124.16666666666667</v>
      </c>
      <c r="U683" s="31">
        <f>+Distribution!U683</f>
        <v>2628</v>
      </c>
      <c r="V683" s="31">
        <f>+Distribution!V683</f>
        <v>19</v>
      </c>
      <c r="W683" s="27" t="str">
        <f t="shared" si="430"/>
        <v>OK</v>
      </c>
    </row>
    <row r="684" spans="1:23" x14ac:dyDescent="0.2">
      <c r="A684" s="3">
        <f t="shared" si="429"/>
        <v>16</v>
      </c>
      <c r="B684" s="3" t="s">
        <v>134</v>
      </c>
      <c r="C684" s="3"/>
      <c r="D684" s="3"/>
      <c r="E684" s="3" t="s">
        <v>428</v>
      </c>
      <c r="F684" s="3"/>
      <c r="G684" s="3"/>
      <c r="H684" s="31">
        <f t="shared" si="426"/>
        <v>0</v>
      </c>
      <c r="I684" s="94">
        <v>0</v>
      </c>
      <c r="J684" s="94">
        <f t="shared" si="428"/>
        <v>0</v>
      </c>
      <c r="K684" s="31">
        <f>+Distribution!K684</f>
        <v>0</v>
      </c>
      <c r="L684" s="31">
        <f>+Distribution!L684</f>
        <v>0</v>
      </c>
      <c r="M684" s="31">
        <f t="shared" si="427"/>
        <v>0</v>
      </c>
      <c r="N684" s="31">
        <f>+Distribution!N684</f>
        <v>0</v>
      </c>
      <c r="O684" s="31">
        <f>+Distribution!O684</f>
        <v>0</v>
      </c>
      <c r="P684" s="9">
        <f t="shared" si="423"/>
        <v>0</v>
      </c>
      <c r="Q684" s="31">
        <f>+Distribution!Q684</f>
        <v>0</v>
      </c>
      <c r="R684" s="31">
        <f>+Distribution!R684</f>
        <v>0</v>
      </c>
      <c r="S684" s="31">
        <f>+Distribution!S684</f>
        <v>0</v>
      </c>
      <c r="T684" s="31">
        <f>+Distribution!T684</f>
        <v>0</v>
      </c>
      <c r="U684" s="31">
        <f>+Distribution!U684</f>
        <v>0</v>
      </c>
      <c r="V684" s="31">
        <f>+Distribution!V684</f>
        <v>0</v>
      </c>
      <c r="W684" s="27" t="str">
        <f t="shared" si="430"/>
        <v>OK</v>
      </c>
    </row>
    <row r="685" spans="1:23" x14ac:dyDescent="0.2">
      <c r="A685" s="3">
        <f t="shared" si="429"/>
        <v>17</v>
      </c>
      <c r="B685" s="3" t="s">
        <v>356</v>
      </c>
      <c r="C685" s="3"/>
      <c r="D685" s="3"/>
      <c r="E685" s="3" t="s">
        <v>370</v>
      </c>
      <c r="F685" s="3"/>
      <c r="G685" s="3"/>
      <c r="H685" s="31">
        <f t="shared" ca="1" si="426"/>
        <v>689840.51767539198</v>
      </c>
      <c r="I685" s="94">
        <v>0</v>
      </c>
      <c r="J685" s="94">
        <f t="shared" ca="1" si="428"/>
        <v>689840.51767539198</v>
      </c>
      <c r="K685" s="31">
        <f ca="1">+K636</f>
        <v>565318.1409542273</v>
      </c>
      <c r="L685" s="31">
        <f ca="1">+L636</f>
        <v>60021.604897728357</v>
      </c>
      <c r="M685" s="31">
        <f t="shared" ca="1" si="427"/>
        <v>39870.381749018052</v>
      </c>
      <c r="N685" s="31">
        <f ca="1">+N636</f>
        <v>355.91349689229168</v>
      </c>
      <c r="O685" s="31">
        <f ca="1">+O636</f>
        <v>39514.468252125764</v>
      </c>
      <c r="P685" s="9">
        <f t="shared" ca="1" si="423"/>
        <v>708.27184548915591</v>
      </c>
      <c r="Q685" s="31">
        <f t="shared" ref="Q685:V685" ca="1" si="431">+Q636</f>
        <v>341.95935605642939</v>
      </c>
      <c r="R685" s="31">
        <f t="shared" ca="1" si="431"/>
        <v>306.71685683890405</v>
      </c>
      <c r="S685" s="31">
        <f t="shared" ca="1" si="431"/>
        <v>59.595632593822458</v>
      </c>
      <c r="T685" s="31">
        <f t="shared" ca="1" si="431"/>
        <v>67.791938495957197</v>
      </c>
      <c r="U685" s="31">
        <f t="shared" ca="1" si="431"/>
        <v>23840.032841500321</v>
      </c>
      <c r="V685" s="31">
        <f t="shared" ca="1" si="431"/>
        <v>14.293448932847252</v>
      </c>
      <c r="W685" s="27" t="str">
        <f t="shared" ca="1" si="430"/>
        <v>OK</v>
      </c>
    </row>
    <row r="686" spans="1:23" x14ac:dyDescent="0.2">
      <c r="A686" s="3">
        <f t="shared" si="429"/>
        <v>18</v>
      </c>
      <c r="B686" s="3" t="s">
        <v>796</v>
      </c>
      <c r="C686" s="3"/>
      <c r="D686" s="3"/>
      <c r="E686" s="3" t="s">
        <v>797</v>
      </c>
      <c r="F686" s="3"/>
      <c r="G686" s="3"/>
      <c r="H686" s="31">
        <f t="shared" si="426"/>
        <v>73637</v>
      </c>
      <c r="I686" s="94">
        <v>0</v>
      </c>
      <c r="J686" s="94">
        <f t="shared" si="428"/>
        <v>73637</v>
      </c>
      <c r="K686" s="31">
        <f>+Distribution!K686</f>
        <v>0</v>
      </c>
      <c r="L686" s="31">
        <f>+Distribution!L686</f>
        <v>0</v>
      </c>
      <c r="M686" s="31">
        <f t="shared" si="427"/>
        <v>72409</v>
      </c>
      <c r="N686" s="31">
        <f>+Distribution!N686</f>
        <v>576</v>
      </c>
      <c r="O686" s="31">
        <f>+Distribution!O686</f>
        <v>71833</v>
      </c>
      <c r="P686" s="9">
        <f t="shared" si="423"/>
        <v>1086</v>
      </c>
      <c r="Q686" s="31">
        <f>+Distribution!Q686</f>
        <v>469</v>
      </c>
      <c r="R686" s="31">
        <f>+Distribution!R686</f>
        <v>550</v>
      </c>
      <c r="S686" s="31">
        <f>+Distribution!S686</f>
        <v>67</v>
      </c>
      <c r="T686" s="31">
        <f>+Distribution!T686</f>
        <v>123</v>
      </c>
      <c r="U686" s="31">
        <f>+Distribution!U686</f>
        <v>0</v>
      </c>
      <c r="V686" s="31">
        <f>+Distribution!V686</f>
        <v>19</v>
      </c>
      <c r="W686" s="27" t="str">
        <f t="shared" si="430"/>
        <v>OK</v>
      </c>
    </row>
    <row r="687" spans="1:23" x14ac:dyDescent="0.2">
      <c r="A687" s="3">
        <f t="shared" si="429"/>
        <v>19</v>
      </c>
      <c r="B687" s="3" t="s">
        <v>823</v>
      </c>
      <c r="C687" s="3"/>
      <c r="D687" s="3"/>
      <c r="E687" s="3" t="s">
        <v>824</v>
      </c>
      <c r="F687" s="3"/>
      <c r="G687" s="3"/>
      <c r="H687" s="31">
        <f t="shared" ref="H687" si="432">SUM(I687:J687)</f>
        <v>1255994</v>
      </c>
      <c r="I687" s="94">
        <v>0</v>
      </c>
      <c r="J687" s="94">
        <f t="shared" si="428"/>
        <v>1255994</v>
      </c>
      <c r="K687" s="31">
        <f>+Distribution!K687</f>
        <v>935238</v>
      </c>
      <c r="L687" s="31">
        <f>+Distribution!L687</f>
        <v>99366</v>
      </c>
      <c r="M687" s="31">
        <f t="shared" ref="M687" si="433">SUM(N687:O687)</f>
        <v>0</v>
      </c>
      <c r="N687" s="31">
        <f>+Distribution!N687</f>
        <v>0</v>
      </c>
      <c r="O687" s="31">
        <f>+Distribution!O687</f>
        <v>0</v>
      </c>
      <c r="P687" s="9">
        <f t="shared" ref="P687" si="434">SUM(Q687:S687)</f>
        <v>0</v>
      </c>
      <c r="Q687" s="31">
        <f>+Distribution!Q687</f>
        <v>0</v>
      </c>
      <c r="R687" s="31">
        <f>+Distribution!R687</f>
        <v>0</v>
      </c>
      <c r="S687" s="31">
        <f>+Distribution!S687</f>
        <v>0</v>
      </c>
      <c r="T687" s="31">
        <f>+Distribution!T687</f>
        <v>0</v>
      </c>
      <c r="U687" s="31">
        <f>+Distribution!U687</f>
        <v>221390</v>
      </c>
      <c r="V687" s="31">
        <f>+Distribution!V687</f>
        <v>0</v>
      </c>
      <c r="W687" s="27" t="str">
        <f t="shared" ref="W687" si="435">IF((+K687+L687+M687+P687+T687+U687+V687)-H687=0,"OK",(+K687+L687+M687+P687+T687+U687+V687)-H687)</f>
        <v>OK</v>
      </c>
    </row>
    <row r="688" spans="1:23" x14ac:dyDescent="0.2">
      <c r="A688" s="3">
        <f t="shared" si="429"/>
        <v>20</v>
      </c>
      <c r="B688" s="3" t="s">
        <v>455</v>
      </c>
      <c r="C688" s="3"/>
      <c r="D688" s="3"/>
      <c r="E688" s="3" t="s">
        <v>458</v>
      </c>
      <c r="F688" s="3"/>
      <c r="G688" s="3"/>
      <c r="H688" s="31">
        <f t="shared" si="426"/>
        <v>38295797001.651588</v>
      </c>
      <c r="I688" s="94">
        <v>0</v>
      </c>
      <c r="J688" s="94">
        <f t="shared" si="428"/>
        <v>38295797001.651588</v>
      </c>
      <c r="K688" s="31">
        <f>+Distribution!K688</f>
        <v>12589882555.539207</v>
      </c>
      <c r="L688" s="31">
        <f>+Distribution!L688</f>
        <v>672100106.11512482</v>
      </c>
      <c r="M688" s="31">
        <f t="shared" si="427"/>
        <v>9205057207.3266869</v>
      </c>
      <c r="N688" s="31">
        <f>+Distribution!N688</f>
        <v>1309566782.6682951</v>
      </c>
      <c r="O688" s="31">
        <f>+Distribution!O688</f>
        <v>7895490424.658391</v>
      </c>
      <c r="P688" s="9">
        <f t="shared" si="423"/>
        <v>4525071649.0120554</v>
      </c>
      <c r="Q688" s="31">
        <f>+Distribution!Q688</f>
        <v>3758114018.0188446</v>
      </c>
      <c r="R688" s="31">
        <f>+Distribution!R688</f>
        <v>261157650.99321082</v>
      </c>
      <c r="S688" s="31">
        <f>+Distribution!S688</f>
        <v>505799980</v>
      </c>
      <c r="T688" s="31">
        <f>+Distribution!T688</f>
        <v>11035696755.195988</v>
      </c>
      <c r="U688" s="31">
        <f>+Distribution!U688</f>
        <v>238384897.60503083</v>
      </c>
      <c r="V688" s="31">
        <f>+Distribution!V688</f>
        <v>29603830.857500002</v>
      </c>
      <c r="W688" s="27" t="str">
        <f t="shared" si="430"/>
        <v>OK</v>
      </c>
    </row>
    <row r="689" spans="1:23" x14ac:dyDescent="0.2">
      <c r="A689" s="3">
        <f t="shared" si="429"/>
        <v>21</v>
      </c>
      <c r="B689" s="3" t="s">
        <v>456</v>
      </c>
      <c r="C689" s="3"/>
      <c r="D689" s="3" t="s">
        <v>547</v>
      </c>
      <c r="E689" s="3" t="s">
        <v>459</v>
      </c>
      <c r="F689" s="3"/>
      <c r="G689" s="3"/>
      <c r="H689" s="31">
        <f t="shared" si="426"/>
        <v>38295797001.651588</v>
      </c>
      <c r="I689" s="94">
        <v>0</v>
      </c>
      <c r="J689" s="94">
        <f t="shared" si="428"/>
        <v>38295797001.651588</v>
      </c>
      <c r="K689" s="31">
        <f t="shared" ref="K689:V689" si="436">K688</f>
        <v>12589882555.539207</v>
      </c>
      <c r="L689" s="31">
        <f t="shared" si="436"/>
        <v>672100106.11512482</v>
      </c>
      <c r="M689" s="31">
        <f t="shared" si="427"/>
        <v>9205057207.3266869</v>
      </c>
      <c r="N689" s="31">
        <f t="shared" si="436"/>
        <v>1309566782.6682951</v>
      </c>
      <c r="O689" s="31">
        <f t="shared" si="436"/>
        <v>7895490424.658391</v>
      </c>
      <c r="P689" s="9">
        <f t="shared" si="423"/>
        <v>4525071649.0120554</v>
      </c>
      <c r="Q689" s="31">
        <f t="shared" si="436"/>
        <v>3758114018.0188446</v>
      </c>
      <c r="R689" s="31">
        <f t="shared" si="436"/>
        <v>261157650.99321082</v>
      </c>
      <c r="S689" s="31">
        <f>S688</f>
        <v>505799980</v>
      </c>
      <c r="T689" s="31">
        <f t="shared" si="436"/>
        <v>11035696755.195988</v>
      </c>
      <c r="U689" s="31">
        <f t="shared" si="436"/>
        <v>238384897.60503083</v>
      </c>
      <c r="V689" s="31">
        <f t="shared" si="436"/>
        <v>29603830.857500002</v>
      </c>
      <c r="W689" s="27" t="str">
        <f t="shared" si="430"/>
        <v>OK</v>
      </c>
    </row>
    <row r="690" spans="1:23" x14ac:dyDescent="0.2">
      <c r="A690" s="3">
        <f t="shared" si="429"/>
        <v>22</v>
      </c>
      <c r="B690" s="3" t="s">
        <v>457</v>
      </c>
      <c r="C690" s="3"/>
      <c r="D690" s="3" t="s">
        <v>547</v>
      </c>
      <c r="E690" s="3" t="s">
        <v>460</v>
      </c>
      <c r="F690" s="3"/>
      <c r="G690" s="3"/>
      <c r="H690" s="31">
        <f t="shared" si="426"/>
        <v>40432437272.627991</v>
      </c>
      <c r="I690" s="94">
        <v>0</v>
      </c>
      <c r="J690" s="94">
        <f t="shared" si="428"/>
        <v>40432437272.627991</v>
      </c>
      <c r="K690" s="31">
        <f>+Distribution!K690</f>
        <v>13539159700.226864</v>
      </c>
      <c r="L690" s="31">
        <f>+Distribution!L690</f>
        <v>722776454.1162051</v>
      </c>
      <c r="M690" s="31">
        <f t="shared" si="427"/>
        <v>9899118520.7591171</v>
      </c>
      <c r="N690" s="31">
        <f>+Distribution!N690</f>
        <v>1408308118.0814846</v>
      </c>
      <c r="O690" s="31">
        <f>+Distribution!O690</f>
        <v>8490810402.6776323</v>
      </c>
      <c r="P690" s="9">
        <f t="shared" si="423"/>
        <v>4727025596.7074633</v>
      </c>
      <c r="Q690" s="31">
        <f>+Distribution!Q690</f>
        <v>3925838646.6430254</v>
      </c>
      <c r="R690" s="31">
        <f>+Distribution!R690</f>
        <v>272813116.95703781</v>
      </c>
      <c r="S690" s="31">
        <f>+Distribution!S690</f>
        <v>528373833.10739994</v>
      </c>
      <c r="T690" s="31">
        <f>+Distribution!T690</f>
        <v>11257072832.105221</v>
      </c>
      <c r="U690" s="31">
        <f>+Distribution!U690</f>
        <v>256359118.88445011</v>
      </c>
      <c r="V690" s="31">
        <f>+Distribution!V690</f>
        <v>30925049.828670219</v>
      </c>
      <c r="W690" s="27" t="str">
        <f t="shared" si="430"/>
        <v>OK</v>
      </c>
    </row>
    <row r="691" spans="1:23" x14ac:dyDescent="0.2">
      <c r="A691" s="3">
        <f t="shared" si="429"/>
        <v>23</v>
      </c>
      <c r="B691" s="3" t="s">
        <v>33</v>
      </c>
      <c r="C691" s="3"/>
      <c r="D691" s="3"/>
      <c r="E691" s="3" t="s">
        <v>325</v>
      </c>
      <c r="F691" s="3"/>
      <c r="G691" s="3"/>
      <c r="H691" s="31">
        <f t="shared" si="426"/>
        <v>0</v>
      </c>
      <c r="I691" s="94">
        <v>0</v>
      </c>
      <c r="J691" s="94">
        <f t="shared" si="428"/>
        <v>0</v>
      </c>
      <c r="K691" s="10">
        <f t="shared" ref="K691:V691" si="437">K111</f>
        <v>0</v>
      </c>
      <c r="L691" s="10">
        <f t="shared" si="437"/>
        <v>0</v>
      </c>
      <c r="M691" s="10">
        <f t="shared" si="427"/>
        <v>0</v>
      </c>
      <c r="N691" s="10">
        <f t="shared" si="437"/>
        <v>0</v>
      </c>
      <c r="O691" s="10">
        <f t="shared" si="437"/>
        <v>0</v>
      </c>
      <c r="P691" s="9">
        <f t="shared" si="423"/>
        <v>0</v>
      </c>
      <c r="Q691" s="10">
        <f t="shared" si="437"/>
        <v>0</v>
      </c>
      <c r="R691" s="10">
        <f t="shared" si="437"/>
        <v>0</v>
      </c>
      <c r="S691" s="10">
        <f>S111</f>
        <v>0</v>
      </c>
      <c r="T691" s="10">
        <f t="shared" si="437"/>
        <v>0</v>
      </c>
      <c r="U691" s="10">
        <f t="shared" si="437"/>
        <v>0</v>
      </c>
      <c r="V691" s="10">
        <f t="shared" si="437"/>
        <v>0</v>
      </c>
      <c r="W691" s="27" t="str">
        <f t="shared" si="430"/>
        <v>OK</v>
      </c>
    </row>
    <row r="692" spans="1:23" x14ac:dyDescent="0.2">
      <c r="A692" s="3">
        <f t="shared" si="429"/>
        <v>24</v>
      </c>
      <c r="B692" s="3" t="s">
        <v>378</v>
      </c>
      <c r="C692" s="3"/>
      <c r="D692" s="3"/>
      <c r="E692" s="3" t="s">
        <v>386</v>
      </c>
      <c r="F692" s="3"/>
      <c r="G692" s="3"/>
      <c r="H692" s="31">
        <f t="shared" si="426"/>
        <v>0</v>
      </c>
      <c r="I692" s="94">
        <v>0</v>
      </c>
      <c r="J692" s="94">
        <f t="shared" si="428"/>
        <v>0</v>
      </c>
      <c r="K692" s="10">
        <f t="shared" ref="K692:V692" si="438">K111</f>
        <v>0</v>
      </c>
      <c r="L692" s="10">
        <f t="shared" si="438"/>
        <v>0</v>
      </c>
      <c r="M692" s="10">
        <f t="shared" si="427"/>
        <v>0</v>
      </c>
      <c r="N692" s="10">
        <f t="shared" si="438"/>
        <v>0</v>
      </c>
      <c r="O692" s="10">
        <f t="shared" si="438"/>
        <v>0</v>
      </c>
      <c r="P692" s="9">
        <f t="shared" si="423"/>
        <v>0</v>
      </c>
      <c r="Q692" s="10">
        <f t="shared" si="438"/>
        <v>0</v>
      </c>
      <c r="R692" s="10">
        <f t="shared" si="438"/>
        <v>0</v>
      </c>
      <c r="S692" s="10">
        <f>S111</f>
        <v>0</v>
      </c>
      <c r="T692" s="10">
        <f t="shared" si="438"/>
        <v>0</v>
      </c>
      <c r="U692" s="10">
        <f t="shared" si="438"/>
        <v>0</v>
      </c>
      <c r="V692" s="10">
        <f t="shared" si="438"/>
        <v>0</v>
      </c>
      <c r="W692" s="27" t="str">
        <f t="shared" si="430"/>
        <v>OK</v>
      </c>
    </row>
    <row r="693" spans="1:23" x14ac:dyDescent="0.2">
      <c r="A693" s="3">
        <f t="shared" si="429"/>
        <v>25</v>
      </c>
      <c r="B693" s="3" t="s">
        <v>379</v>
      </c>
      <c r="C693" s="3"/>
      <c r="D693" s="3"/>
      <c r="E693" s="3" t="s">
        <v>387</v>
      </c>
      <c r="F693" s="3"/>
      <c r="G693" s="3"/>
      <c r="H693" s="31">
        <f t="shared" si="426"/>
        <v>0</v>
      </c>
      <c r="I693" s="94">
        <v>0</v>
      </c>
      <c r="J693" s="94">
        <f t="shared" si="428"/>
        <v>0</v>
      </c>
      <c r="K693" s="10"/>
      <c r="L693" s="10"/>
      <c r="M693" s="10">
        <f t="shared" si="427"/>
        <v>0</v>
      </c>
      <c r="N693" s="10"/>
      <c r="O693" s="10"/>
      <c r="P693" s="9">
        <f t="shared" si="423"/>
        <v>0</v>
      </c>
      <c r="Q693" s="10"/>
      <c r="R693" s="10"/>
      <c r="S693" s="10"/>
      <c r="T693" s="10"/>
      <c r="U693" s="10"/>
      <c r="V693" s="10"/>
      <c r="W693" s="27" t="str">
        <f t="shared" si="430"/>
        <v>OK</v>
      </c>
    </row>
    <row r="694" spans="1:23" x14ac:dyDescent="0.2">
      <c r="A694" s="3">
        <f t="shared" si="429"/>
        <v>26</v>
      </c>
      <c r="B694" s="3" t="s">
        <v>52</v>
      </c>
      <c r="C694" s="3"/>
      <c r="D694" s="3"/>
      <c r="E694" s="3" t="s">
        <v>331</v>
      </c>
      <c r="F694" s="3"/>
      <c r="G694" s="3"/>
      <c r="H694" s="31">
        <f t="shared" si="426"/>
        <v>0</v>
      </c>
      <c r="I694" s="94">
        <v>0</v>
      </c>
      <c r="J694" s="94">
        <f t="shared" si="428"/>
        <v>0</v>
      </c>
      <c r="K694" s="10">
        <f t="shared" ref="K694:V694" si="439">K147</f>
        <v>0</v>
      </c>
      <c r="L694" s="10">
        <f t="shared" si="439"/>
        <v>0</v>
      </c>
      <c r="M694" s="10">
        <f t="shared" si="427"/>
        <v>0</v>
      </c>
      <c r="N694" s="10">
        <f t="shared" si="439"/>
        <v>0</v>
      </c>
      <c r="O694" s="10">
        <f t="shared" si="439"/>
        <v>0</v>
      </c>
      <c r="P694" s="9">
        <f t="shared" si="423"/>
        <v>0</v>
      </c>
      <c r="Q694" s="10">
        <f t="shared" si="439"/>
        <v>0</v>
      </c>
      <c r="R694" s="10">
        <f t="shared" si="439"/>
        <v>0</v>
      </c>
      <c r="S694" s="10">
        <f>S147</f>
        <v>0</v>
      </c>
      <c r="T694" s="10">
        <f t="shared" si="439"/>
        <v>0</v>
      </c>
      <c r="U694" s="10">
        <f t="shared" si="439"/>
        <v>0</v>
      </c>
      <c r="V694" s="10">
        <f t="shared" si="439"/>
        <v>0</v>
      </c>
      <c r="W694" s="27" t="str">
        <f t="shared" si="430"/>
        <v>OK</v>
      </c>
    </row>
    <row r="695" spans="1:23" x14ac:dyDescent="0.2">
      <c r="A695" s="3">
        <f t="shared" si="429"/>
        <v>27</v>
      </c>
      <c r="B695" s="3" t="s">
        <v>380</v>
      </c>
      <c r="C695" s="3"/>
      <c r="D695" s="3"/>
      <c r="E695" s="3" t="s">
        <v>388</v>
      </c>
      <c r="F695" s="3"/>
      <c r="G695" s="3"/>
      <c r="H695" s="31">
        <f t="shared" si="426"/>
        <v>0</v>
      </c>
      <c r="I695" s="94">
        <v>0</v>
      </c>
      <c r="J695" s="94">
        <f t="shared" si="428"/>
        <v>0</v>
      </c>
      <c r="K695" s="10">
        <f t="shared" ref="K695:V695" si="440">K147</f>
        <v>0</v>
      </c>
      <c r="L695" s="10">
        <f t="shared" si="440"/>
        <v>0</v>
      </c>
      <c r="M695" s="10">
        <f t="shared" si="427"/>
        <v>0</v>
      </c>
      <c r="N695" s="10">
        <f t="shared" si="440"/>
        <v>0</v>
      </c>
      <c r="O695" s="10">
        <f t="shared" si="440"/>
        <v>0</v>
      </c>
      <c r="P695" s="9">
        <f t="shared" si="423"/>
        <v>0</v>
      </c>
      <c r="Q695" s="10">
        <f t="shared" si="440"/>
        <v>0</v>
      </c>
      <c r="R695" s="10">
        <f t="shared" si="440"/>
        <v>0</v>
      </c>
      <c r="S695" s="10">
        <f>S147</f>
        <v>0</v>
      </c>
      <c r="T695" s="10">
        <f t="shared" si="440"/>
        <v>0</v>
      </c>
      <c r="U695" s="10">
        <f t="shared" si="440"/>
        <v>0</v>
      </c>
      <c r="V695" s="10">
        <f t="shared" si="440"/>
        <v>0</v>
      </c>
      <c r="W695" s="27" t="str">
        <f t="shared" si="430"/>
        <v>OK</v>
      </c>
    </row>
    <row r="696" spans="1:23" x14ac:dyDescent="0.2">
      <c r="A696" s="3">
        <f t="shared" si="429"/>
        <v>28</v>
      </c>
      <c r="B696" s="3" t="s">
        <v>381</v>
      </c>
      <c r="C696" s="3"/>
      <c r="D696" s="3"/>
      <c r="E696" s="3" t="s">
        <v>389</v>
      </c>
      <c r="F696" s="3"/>
      <c r="G696" s="3"/>
      <c r="H696" s="31">
        <f t="shared" si="426"/>
        <v>0</v>
      </c>
      <c r="I696" s="94">
        <v>0</v>
      </c>
      <c r="J696" s="94">
        <f t="shared" si="428"/>
        <v>0</v>
      </c>
      <c r="K696" s="10"/>
      <c r="L696" s="10"/>
      <c r="M696" s="10">
        <f t="shared" si="427"/>
        <v>0</v>
      </c>
      <c r="N696" s="10"/>
      <c r="O696" s="10"/>
      <c r="P696" s="9">
        <f t="shared" si="423"/>
        <v>0</v>
      </c>
      <c r="Q696" s="10"/>
      <c r="R696" s="10"/>
      <c r="S696" s="10"/>
      <c r="T696" s="10"/>
      <c r="U696" s="10"/>
      <c r="V696" s="10"/>
      <c r="W696" s="27" t="str">
        <f t="shared" si="430"/>
        <v>OK</v>
      </c>
    </row>
    <row r="697" spans="1:23" x14ac:dyDescent="0.2">
      <c r="A697" s="3">
        <f t="shared" si="429"/>
        <v>29</v>
      </c>
      <c r="B697" s="3" t="s">
        <v>84</v>
      </c>
      <c r="C697" s="3"/>
      <c r="D697" s="3"/>
      <c r="E697" s="3" t="s">
        <v>375</v>
      </c>
      <c r="F697" s="3"/>
      <c r="G697" s="3"/>
      <c r="H697" s="31">
        <f t="shared" si="426"/>
        <v>5449781.4208663134</v>
      </c>
      <c r="I697" s="94">
        <v>0</v>
      </c>
      <c r="J697" s="94">
        <f t="shared" si="428"/>
        <v>5449781.4208663134</v>
      </c>
      <c r="K697" s="10">
        <f t="shared" ref="K697:V697" si="441">+K162+K168</f>
        <v>4467554.3228024552</v>
      </c>
      <c r="L697" s="10">
        <f t="shared" si="441"/>
        <v>474663.13691230334</v>
      </c>
      <c r="M697" s="10">
        <f t="shared" si="427"/>
        <v>314084.22759296739</v>
      </c>
      <c r="N697" s="10">
        <f t="shared" si="441"/>
        <v>2498.481060276335</v>
      </c>
      <c r="O697" s="10">
        <f t="shared" si="441"/>
        <v>311585.74653269106</v>
      </c>
      <c r="P697" s="9">
        <f t="shared" si="423"/>
        <v>4786.1949942442516</v>
      </c>
      <c r="Q697" s="10">
        <f t="shared" si="441"/>
        <v>2034.3535022041685</v>
      </c>
      <c r="R697" s="10">
        <f t="shared" si="441"/>
        <v>2385.7024013055284</v>
      </c>
      <c r="S697" s="10">
        <f>+S162+S168</f>
        <v>366.13909073455471</v>
      </c>
      <c r="T697" s="10">
        <f t="shared" si="441"/>
        <v>538.16682845648916</v>
      </c>
      <c r="U697" s="10">
        <f t="shared" si="441"/>
        <v>188072.95656202466</v>
      </c>
      <c r="V697" s="10">
        <f t="shared" si="441"/>
        <v>82.415173863281851</v>
      </c>
      <c r="W697" s="27" t="str">
        <f t="shared" si="430"/>
        <v>OK</v>
      </c>
    </row>
    <row r="698" spans="1:23" x14ac:dyDescent="0.2">
      <c r="A698" s="3">
        <f t="shared" si="429"/>
        <v>30</v>
      </c>
      <c r="B698" s="3" t="s">
        <v>382</v>
      </c>
      <c r="C698" s="3"/>
      <c r="D698" s="3"/>
      <c r="E698" s="3" t="s">
        <v>390</v>
      </c>
      <c r="F698" s="3"/>
      <c r="G698" s="3"/>
      <c r="H698" s="31">
        <f t="shared" si="426"/>
        <v>5449781.4208663134</v>
      </c>
      <c r="I698" s="94">
        <v>0</v>
      </c>
      <c r="J698" s="94">
        <f t="shared" si="428"/>
        <v>5449781.4208663134</v>
      </c>
      <c r="K698" s="10">
        <f t="shared" ref="K698:V698" si="442">+K162+K168</f>
        <v>4467554.3228024552</v>
      </c>
      <c r="L698" s="10">
        <f t="shared" si="442"/>
        <v>474663.13691230334</v>
      </c>
      <c r="M698" s="10">
        <f t="shared" si="427"/>
        <v>314084.22759296739</v>
      </c>
      <c r="N698" s="10">
        <f t="shared" si="442"/>
        <v>2498.481060276335</v>
      </c>
      <c r="O698" s="10">
        <f t="shared" si="442"/>
        <v>311585.74653269106</v>
      </c>
      <c r="P698" s="9">
        <f t="shared" si="423"/>
        <v>4786.1949942442516</v>
      </c>
      <c r="Q698" s="10">
        <f t="shared" si="442"/>
        <v>2034.3535022041685</v>
      </c>
      <c r="R698" s="10">
        <f t="shared" si="442"/>
        <v>2385.7024013055284</v>
      </c>
      <c r="S698" s="10">
        <f>+S162+S168</f>
        <v>366.13909073455471</v>
      </c>
      <c r="T698" s="10">
        <f t="shared" si="442"/>
        <v>538.16682845648916</v>
      </c>
      <c r="U698" s="10">
        <f t="shared" si="442"/>
        <v>188072.95656202466</v>
      </c>
      <c r="V698" s="10">
        <f t="shared" si="442"/>
        <v>82.415173863281851</v>
      </c>
      <c r="W698" s="27" t="str">
        <f t="shared" si="430"/>
        <v>OK</v>
      </c>
    </row>
    <row r="699" spans="1:23" x14ac:dyDescent="0.2">
      <c r="A699" s="3">
        <f t="shared" si="429"/>
        <v>31</v>
      </c>
      <c r="B699" s="3" t="s">
        <v>383</v>
      </c>
      <c r="C699" s="3"/>
      <c r="D699" s="3"/>
      <c r="E699" s="3" t="s">
        <v>391</v>
      </c>
      <c r="F699" s="3"/>
      <c r="G699" s="3"/>
      <c r="H699" s="31">
        <f t="shared" si="426"/>
        <v>0</v>
      </c>
      <c r="I699" s="94">
        <v>0</v>
      </c>
      <c r="J699" s="94">
        <f t="shared" si="428"/>
        <v>0</v>
      </c>
      <c r="K699" s="10"/>
      <c r="L699" s="10"/>
      <c r="M699" s="10">
        <f t="shared" si="427"/>
        <v>0</v>
      </c>
      <c r="N699" s="10"/>
      <c r="O699" s="10"/>
      <c r="P699" s="9">
        <f t="shared" si="423"/>
        <v>0</v>
      </c>
      <c r="Q699" s="10"/>
      <c r="R699" s="10"/>
      <c r="S699" s="10"/>
      <c r="T699" s="10"/>
      <c r="U699" s="10"/>
      <c r="V699" s="10"/>
      <c r="W699" s="27" t="str">
        <f t="shared" si="430"/>
        <v>OK</v>
      </c>
    </row>
    <row r="700" spans="1:23" x14ac:dyDescent="0.2">
      <c r="A700" s="3">
        <f t="shared" si="429"/>
        <v>32</v>
      </c>
      <c r="B700" s="3" t="s">
        <v>376</v>
      </c>
      <c r="C700" s="3"/>
      <c r="D700" s="3"/>
      <c r="E700" s="3" t="s">
        <v>377</v>
      </c>
      <c r="F700" s="3"/>
      <c r="G700" s="3"/>
      <c r="H700" s="31">
        <f t="shared" si="426"/>
        <v>212.22859267176662</v>
      </c>
      <c r="I700" s="94">
        <v>0</v>
      </c>
      <c r="J700" s="94">
        <f t="shared" si="428"/>
        <v>212.22859267176662</v>
      </c>
      <c r="K700" s="10">
        <f t="shared" ref="K700:V700" si="443">+K96</f>
        <v>173.97812744980013</v>
      </c>
      <c r="L700" s="10">
        <f t="shared" si="443"/>
        <v>18.484610989049678</v>
      </c>
      <c r="M700" s="10">
        <f t="shared" si="427"/>
        <v>12.231252678728206</v>
      </c>
      <c r="N700" s="10">
        <f t="shared" si="443"/>
        <v>9.7297318606077238E-2</v>
      </c>
      <c r="O700" s="10">
        <f t="shared" si="443"/>
        <v>12.133955360122128</v>
      </c>
      <c r="P700" s="9">
        <f t="shared" si="423"/>
        <v>0.18638681984416949</v>
      </c>
      <c r="Q700" s="10">
        <f t="shared" si="443"/>
        <v>7.9222990323351061E-2</v>
      </c>
      <c r="R700" s="10">
        <f t="shared" si="443"/>
        <v>9.2905425752330684E-2</v>
      </c>
      <c r="S700" s="10">
        <f>+S96</f>
        <v>1.4258403768487761E-2</v>
      </c>
      <c r="T700" s="10">
        <f t="shared" si="443"/>
        <v>2.0957609086603123E-2</v>
      </c>
      <c r="U700" s="10">
        <f t="shared" si="443"/>
        <v>7.3240476650955042</v>
      </c>
      <c r="V700" s="10">
        <f t="shared" si="443"/>
        <v>3.209460162353241E-3</v>
      </c>
      <c r="W700" s="27" t="str">
        <f t="shared" si="430"/>
        <v>OK</v>
      </c>
    </row>
    <row r="701" spans="1:23" x14ac:dyDescent="0.2">
      <c r="A701" s="3">
        <f t="shared" si="429"/>
        <v>33</v>
      </c>
      <c r="B701" s="3" t="s">
        <v>384</v>
      </c>
      <c r="C701" s="3"/>
      <c r="D701" s="3"/>
      <c r="E701" s="3" t="s">
        <v>392</v>
      </c>
      <c r="F701" s="3"/>
      <c r="G701" s="3"/>
      <c r="H701" s="31">
        <f t="shared" si="426"/>
        <v>212.22859267176662</v>
      </c>
      <c r="I701" s="94">
        <v>0</v>
      </c>
      <c r="J701" s="94">
        <f t="shared" si="428"/>
        <v>212.22859267176662</v>
      </c>
      <c r="K701" s="10">
        <f t="shared" ref="K701:V701" si="444">+K96</f>
        <v>173.97812744980013</v>
      </c>
      <c r="L701" s="10">
        <f t="shared" si="444"/>
        <v>18.484610989049678</v>
      </c>
      <c r="M701" s="10">
        <f t="shared" si="427"/>
        <v>12.231252678728206</v>
      </c>
      <c r="N701" s="10">
        <f t="shared" si="444"/>
        <v>9.7297318606077238E-2</v>
      </c>
      <c r="O701" s="10">
        <f t="shared" si="444"/>
        <v>12.133955360122128</v>
      </c>
      <c r="P701" s="9">
        <f t="shared" si="423"/>
        <v>0.18638681984416949</v>
      </c>
      <c r="Q701" s="10">
        <f t="shared" si="444"/>
        <v>7.9222990323351061E-2</v>
      </c>
      <c r="R701" s="10">
        <f t="shared" si="444"/>
        <v>9.2905425752330684E-2</v>
      </c>
      <c r="S701" s="10">
        <f>+S96</f>
        <v>1.4258403768487761E-2</v>
      </c>
      <c r="T701" s="10">
        <f t="shared" si="444"/>
        <v>2.0957609086603123E-2</v>
      </c>
      <c r="U701" s="10">
        <f t="shared" si="444"/>
        <v>7.3240476650955042</v>
      </c>
      <c r="V701" s="10">
        <f t="shared" si="444"/>
        <v>3.209460162353241E-3</v>
      </c>
      <c r="W701" s="27" t="str">
        <f t="shared" si="430"/>
        <v>OK</v>
      </c>
    </row>
    <row r="702" spans="1:23" x14ac:dyDescent="0.2">
      <c r="A702" s="3">
        <f t="shared" si="429"/>
        <v>34</v>
      </c>
      <c r="B702" s="3" t="s">
        <v>385</v>
      </c>
      <c r="C702" s="3"/>
      <c r="D702" s="3"/>
      <c r="E702" s="3" t="s">
        <v>393</v>
      </c>
      <c r="F702" s="3"/>
      <c r="G702" s="3"/>
      <c r="H702" s="31">
        <f t="shared" si="426"/>
        <v>0</v>
      </c>
      <c r="I702" s="94">
        <v>0</v>
      </c>
      <c r="J702" s="94">
        <f t="shared" si="428"/>
        <v>0</v>
      </c>
      <c r="K702" s="10"/>
      <c r="L702" s="10"/>
      <c r="M702" s="10">
        <f t="shared" ref="M702:M733" si="445">SUM(N702:O702)</f>
        <v>0</v>
      </c>
      <c r="N702" s="10"/>
      <c r="O702" s="10"/>
      <c r="P702" s="9">
        <f t="shared" si="423"/>
        <v>0</v>
      </c>
      <c r="Q702" s="10"/>
      <c r="R702" s="10"/>
      <c r="S702" s="10"/>
      <c r="T702" s="10"/>
      <c r="U702" s="10"/>
      <c r="V702" s="10"/>
      <c r="W702" s="27" t="str">
        <f t="shared" si="430"/>
        <v>OK</v>
      </c>
    </row>
    <row r="703" spans="1:23" x14ac:dyDescent="0.2">
      <c r="A703" s="3">
        <f t="shared" si="429"/>
        <v>35</v>
      </c>
      <c r="B703" s="3" t="s">
        <v>429</v>
      </c>
      <c r="C703" s="3"/>
      <c r="D703" s="3"/>
      <c r="E703" s="3" t="s">
        <v>313</v>
      </c>
      <c r="F703" s="3"/>
      <c r="G703" s="3"/>
      <c r="H703" s="31">
        <f t="shared" ref="H703:H720" si="446">SUM(I703:J703)</f>
        <v>5449993.6494589867</v>
      </c>
      <c r="I703" s="94">
        <v>0</v>
      </c>
      <c r="J703" s="94">
        <f t="shared" si="428"/>
        <v>5449993.6494589867</v>
      </c>
      <c r="K703" s="10">
        <f t="shared" ref="K703:V703" si="447">+K171</f>
        <v>4467728.3009299049</v>
      </c>
      <c r="L703" s="10">
        <f t="shared" si="447"/>
        <v>474681.62152329239</v>
      </c>
      <c r="M703" s="10">
        <f t="shared" si="445"/>
        <v>314096.45884564612</v>
      </c>
      <c r="N703" s="10">
        <f t="shared" si="447"/>
        <v>2498.5783575949413</v>
      </c>
      <c r="O703" s="10">
        <f t="shared" si="447"/>
        <v>311597.88048805116</v>
      </c>
      <c r="P703" s="9">
        <f t="shared" si="423"/>
        <v>4786.3813810640959</v>
      </c>
      <c r="Q703" s="10">
        <f t="shared" si="447"/>
        <v>2034.4327251944919</v>
      </c>
      <c r="R703" s="10">
        <f t="shared" si="447"/>
        <v>2385.7953067312806</v>
      </c>
      <c r="S703" s="10">
        <f>+S171</f>
        <v>366.15334913832322</v>
      </c>
      <c r="T703" s="10">
        <f t="shared" si="447"/>
        <v>538.18778606557578</v>
      </c>
      <c r="U703" s="10">
        <f t="shared" si="447"/>
        <v>188080.28060968974</v>
      </c>
      <c r="V703" s="10">
        <f t="shared" si="447"/>
        <v>82.418383323444203</v>
      </c>
      <c r="W703" s="27" t="str">
        <f t="shared" si="430"/>
        <v>OK</v>
      </c>
    </row>
    <row r="704" spans="1:23" x14ac:dyDescent="0.2">
      <c r="A704" s="3">
        <f t="shared" si="429"/>
        <v>36</v>
      </c>
      <c r="B704" s="3" t="s">
        <v>398</v>
      </c>
      <c r="C704" s="3"/>
      <c r="D704" s="3"/>
      <c r="E704" s="3" t="s">
        <v>340</v>
      </c>
      <c r="F704" s="3"/>
      <c r="G704" s="3"/>
      <c r="H704" s="31">
        <f t="shared" si="446"/>
        <v>4419847.8119950444</v>
      </c>
      <c r="I704" s="94">
        <v>0</v>
      </c>
      <c r="J704" s="94">
        <f t="shared" si="428"/>
        <v>4419847.8119950444</v>
      </c>
      <c r="K704" s="10">
        <f t="shared" ref="K704:V704" si="448">+K249</f>
        <v>3623248.1036768928</v>
      </c>
      <c r="L704" s="10">
        <f t="shared" si="448"/>
        <v>384958.3432986663</v>
      </c>
      <c r="M704" s="10">
        <f t="shared" si="445"/>
        <v>254726.63560298484</v>
      </c>
      <c r="N704" s="10">
        <f t="shared" si="448"/>
        <v>2026.3025605562734</v>
      </c>
      <c r="O704" s="10">
        <f t="shared" si="448"/>
        <v>252700.33304242857</v>
      </c>
      <c r="P704" s="9">
        <f t="shared" si="423"/>
        <v>3881.6700780137608</v>
      </c>
      <c r="Q704" s="10">
        <f t="shared" si="448"/>
        <v>1649.8887168418269</v>
      </c>
      <c r="R704" s="10">
        <f t="shared" si="448"/>
        <v>1934.8375144200527</v>
      </c>
      <c r="S704" s="10">
        <f>+S249</f>
        <v>296.94384675188127</v>
      </c>
      <c r="T704" s="10">
        <f t="shared" si="448"/>
        <v>436.46071200844858</v>
      </c>
      <c r="U704" s="10">
        <f t="shared" si="448"/>
        <v>152529.75878507161</v>
      </c>
      <c r="V704" s="10">
        <f t="shared" si="448"/>
        <v>66.839841407238154</v>
      </c>
      <c r="W704" s="27" t="str">
        <f t="shared" ref="W704:W735" si="449">IF((+K704+L704+M704+P704+T704+U704+V704)-H704=0,"OK",(+K704+L704+M704+P704+T704+U704+V704)-H704)</f>
        <v>OK</v>
      </c>
    </row>
    <row r="705" spans="1:23" x14ac:dyDescent="0.2">
      <c r="A705" s="3">
        <f t="shared" si="429"/>
        <v>37</v>
      </c>
      <c r="B705" s="3" t="s">
        <v>399</v>
      </c>
      <c r="C705" s="3"/>
      <c r="D705" s="3"/>
      <c r="E705" s="3" t="s">
        <v>400</v>
      </c>
      <c r="F705" s="3"/>
      <c r="G705" s="3"/>
      <c r="H705" s="31">
        <f t="shared" si="446"/>
        <v>212.22859267168155</v>
      </c>
      <c r="I705" s="94">
        <v>0</v>
      </c>
      <c r="J705" s="94">
        <f t="shared" si="428"/>
        <v>212.22859267168155</v>
      </c>
      <c r="K705" s="10">
        <f t="shared" ref="K705:V705" si="450">+K171-K168-K162</f>
        <v>173.9781274497509</v>
      </c>
      <c r="L705" s="10">
        <f t="shared" si="450"/>
        <v>18.484610989049543</v>
      </c>
      <c r="M705" s="10">
        <f t="shared" si="445"/>
        <v>12.231252678705459</v>
      </c>
      <c r="N705" s="10">
        <f t="shared" si="450"/>
        <v>9.7297318606251793E-2</v>
      </c>
      <c r="O705" s="10">
        <f t="shared" si="450"/>
        <v>12.133955360099208</v>
      </c>
      <c r="P705" s="9">
        <f t="shared" si="423"/>
        <v>0.18638681984407413</v>
      </c>
      <c r="Q705" s="10">
        <f t="shared" si="450"/>
        <v>7.9222990323387421E-2</v>
      </c>
      <c r="R705" s="10">
        <f t="shared" si="450"/>
        <v>9.2905425752178417E-2</v>
      </c>
      <c r="S705" s="10">
        <f>+S171-S168-S162</f>
        <v>1.4258403768508288E-2</v>
      </c>
      <c r="T705" s="10">
        <f t="shared" si="450"/>
        <v>2.0957609086622142E-2</v>
      </c>
      <c r="U705" s="10">
        <f t="shared" si="450"/>
        <v>7.3240476650826167</v>
      </c>
      <c r="V705" s="10">
        <f t="shared" si="450"/>
        <v>3.2094601623526842E-3</v>
      </c>
      <c r="W705" s="27" t="str">
        <f t="shared" si="449"/>
        <v>OK</v>
      </c>
    </row>
    <row r="706" spans="1:23" x14ac:dyDescent="0.2">
      <c r="A706" s="3">
        <f t="shared" si="429"/>
        <v>38</v>
      </c>
      <c r="B706" s="3" t="s">
        <v>397</v>
      </c>
      <c r="C706" s="3"/>
      <c r="D706" s="3"/>
      <c r="E706" s="3" t="s">
        <v>361</v>
      </c>
      <c r="F706" s="3"/>
      <c r="G706" s="3"/>
      <c r="H706" s="31">
        <f t="shared" si="446"/>
        <v>0</v>
      </c>
      <c r="I706" s="94">
        <v>0</v>
      </c>
      <c r="J706" s="94">
        <f t="shared" si="428"/>
        <v>0</v>
      </c>
      <c r="K706" s="10">
        <f>+K147+K111</f>
        <v>0</v>
      </c>
      <c r="L706" s="10">
        <f>+L147+L111</f>
        <v>0</v>
      </c>
      <c r="M706" s="10">
        <f t="shared" si="445"/>
        <v>0</v>
      </c>
      <c r="N706" s="10">
        <f>+N147+N111</f>
        <v>0</v>
      </c>
      <c r="O706" s="10">
        <f>+O147+O111</f>
        <v>0</v>
      </c>
      <c r="P706" s="9">
        <f t="shared" si="423"/>
        <v>0</v>
      </c>
      <c r="Q706" s="10">
        <f t="shared" ref="Q706:V706" si="451">+Q147+Q111</f>
        <v>0</v>
      </c>
      <c r="R706" s="10">
        <f t="shared" si="451"/>
        <v>0</v>
      </c>
      <c r="S706" s="10">
        <f t="shared" si="451"/>
        <v>0</v>
      </c>
      <c r="T706" s="10">
        <f t="shared" si="451"/>
        <v>0</v>
      </c>
      <c r="U706" s="10">
        <f t="shared" si="451"/>
        <v>0</v>
      </c>
      <c r="V706" s="10">
        <f t="shared" si="451"/>
        <v>0</v>
      </c>
      <c r="W706" s="27" t="str">
        <f t="shared" si="449"/>
        <v>OK</v>
      </c>
    </row>
    <row r="707" spans="1:23" x14ac:dyDescent="0.2">
      <c r="A707" s="3">
        <f t="shared" si="429"/>
        <v>39</v>
      </c>
      <c r="B707" s="3" t="s">
        <v>420</v>
      </c>
      <c r="C707" s="3"/>
      <c r="D707" s="3"/>
      <c r="E707" s="3" t="s">
        <v>329</v>
      </c>
      <c r="F707" s="3"/>
      <c r="G707" s="3"/>
      <c r="H707" s="31">
        <f t="shared" si="446"/>
        <v>0</v>
      </c>
      <c r="I707" s="94">
        <v>0</v>
      </c>
      <c r="J707" s="94">
        <f t="shared" si="428"/>
        <v>0</v>
      </c>
      <c r="K707" s="10">
        <f t="shared" ref="K707:V707" si="452">+K102</f>
        <v>0</v>
      </c>
      <c r="L707" s="10">
        <f t="shared" si="452"/>
        <v>0</v>
      </c>
      <c r="M707" s="10">
        <f t="shared" si="445"/>
        <v>0</v>
      </c>
      <c r="N707" s="10">
        <f t="shared" si="452"/>
        <v>0</v>
      </c>
      <c r="O707" s="10">
        <f t="shared" si="452"/>
        <v>0</v>
      </c>
      <c r="P707" s="9">
        <f t="shared" si="423"/>
        <v>0</v>
      </c>
      <c r="Q707" s="10">
        <f t="shared" si="452"/>
        <v>0</v>
      </c>
      <c r="R707" s="10">
        <f t="shared" si="452"/>
        <v>0</v>
      </c>
      <c r="S707" s="10">
        <f>+S102</f>
        <v>0</v>
      </c>
      <c r="T707" s="10">
        <f t="shared" si="452"/>
        <v>0</v>
      </c>
      <c r="U707" s="10">
        <f t="shared" si="452"/>
        <v>0</v>
      </c>
      <c r="V707" s="10">
        <f t="shared" si="452"/>
        <v>0</v>
      </c>
      <c r="W707" s="27" t="str">
        <f t="shared" si="449"/>
        <v>OK</v>
      </c>
    </row>
    <row r="708" spans="1:23" x14ac:dyDescent="0.2">
      <c r="A708" s="3">
        <f t="shared" si="429"/>
        <v>40</v>
      </c>
      <c r="B708" s="3" t="s">
        <v>411</v>
      </c>
      <c r="C708" s="3"/>
      <c r="D708" s="3"/>
      <c r="E708" s="3" t="s">
        <v>330</v>
      </c>
      <c r="F708" s="3"/>
      <c r="G708" s="3"/>
      <c r="H708" s="31">
        <f t="shared" si="446"/>
        <v>0</v>
      </c>
      <c r="I708" s="94">
        <v>0</v>
      </c>
      <c r="J708" s="94">
        <f t="shared" si="428"/>
        <v>0</v>
      </c>
      <c r="K708" s="10">
        <f t="shared" ref="K708:V708" si="453">+K103</f>
        <v>0</v>
      </c>
      <c r="L708" s="10">
        <f t="shared" si="453"/>
        <v>0</v>
      </c>
      <c r="M708" s="10">
        <f t="shared" si="445"/>
        <v>0</v>
      </c>
      <c r="N708" s="10">
        <f t="shared" si="453"/>
        <v>0</v>
      </c>
      <c r="O708" s="10">
        <f t="shared" si="453"/>
        <v>0</v>
      </c>
      <c r="P708" s="9">
        <f t="shared" si="423"/>
        <v>0</v>
      </c>
      <c r="Q708" s="10">
        <f t="shared" si="453"/>
        <v>0</v>
      </c>
      <c r="R708" s="10">
        <f t="shared" si="453"/>
        <v>0</v>
      </c>
      <c r="S708" s="10">
        <f>+S103</f>
        <v>0</v>
      </c>
      <c r="T708" s="10">
        <f t="shared" si="453"/>
        <v>0</v>
      </c>
      <c r="U708" s="10">
        <f t="shared" si="453"/>
        <v>0</v>
      </c>
      <c r="V708" s="10">
        <f t="shared" si="453"/>
        <v>0</v>
      </c>
      <c r="W708" s="27" t="str">
        <f t="shared" si="449"/>
        <v>OK</v>
      </c>
    </row>
    <row r="709" spans="1:23" x14ac:dyDescent="0.2">
      <c r="A709" s="3">
        <f t="shared" si="429"/>
        <v>41</v>
      </c>
      <c r="B709" s="3" t="s">
        <v>427</v>
      </c>
      <c r="C709" s="3"/>
      <c r="D709" s="3"/>
      <c r="E709" s="3" t="s">
        <v>326</v>
      </c>
      <c r="F709" s="3"/>
      <c r="G709" s="3"/>
      <c r="H709" s="31">
        <f t="shared" si="446"/>
        <v>0</v>
      </c>
      <c r="I709" s="94">
        <v>0</v>
      </c>
      <c r="J709" s="94">
        <f t="shared" si="428"/>
        <v>0</v>
      </c>
      <c r="K709" s="10">
        <f t="shared" ref="K709:V709" si="454">+K102+K103</f>
        <v>0</v>
      </c>
      <c r="L709" s="10">
        <f t="shared" si="454"/>
        <v>0</v>
      </c>
      <c r="M709" s="10">
        <f t="shared" si="445"/>
        <v>0</v>
      </c>
      <c r="N709" s="10">
        <f t="shared" si="454"/>
        <v>0</v>
      </c>
      <c r="O709" s="10">
        <f t="shared" si="454"/>
        <v>0</v>
      </c>
      <c r="P709" s="9">
        <f t="shared" si="423"/>
        <v>0</v>
      </c>
      <c r="Q709" s="10">
        <f t="shared" si="454"/>
        <v>0</v>
      </c>
      <c r="R709" s="10">
        <f t="shared" si="454"/>
        <v>0</v>
      </c>
      <c r="S709" s="10">
        <f>+S102+S103</f>
        <v>0</v>
      </c>
      <c r="T709" s="10">
        <f t="shared" si="454"/>
        <v>0</v>
      </c>
      <c r="U709" s="10">
        <f t="shared" si="454"/>
        <v>0</v>
      </c>
      <c r="V709" s="10">
        <f t="shared" si="454"/>
        <v>0</v>
      </c>
      <c r="W709" s="27" t="str">
        <f t="shared" si="449"/>
        <v>OK</v>
      </c>
    </row>
    <row r="710" spans="1:23" x14ac:dyDescent="0.2">
      <c r="A710" s="3">
        <f t="shared" si="429"/>
        <v>42</v>
      </c>
      <c r="B710" s="3" t="s">
        <v>409</v>
      </c>
      <c r="C710" s="3"/>
      <c r="D710" s="3"/>
      <c r="E710" s="3" t="s">
        <v>327</v>
      </c>
      <c r="F710" s="3"/>
      <c r="G710" s="3"/>
      <c r="H710" s="31">
        <f t="shared" si="446"/>
        <v>0</v>
      </c>
      <c r="I710" s="94">
        <v>0</v>
      </c>
      <c r="J710" s="94">
        <f t="shared" si="428"/>
        <v>0</v>
      </c>
      <c r="K710" s="10">
        <f t="shared" ref="K710:V710" si="455">+K104+K105+K106</f>
        <v>0</v>
      </c>
      <c r="L710" s="10">
        <f t="shared" si="455"/>
        <v>0</v>
      </c>
      <c r="M710" s="10">
        <f t="shared" si="445"/>
        <v>0</v>
      </c>
      <c r="N710" s="10">
        <f t="shared" si="455"/>
        <v>0</v>
      </c>
      <c r="O710" s="10">
        <f t="shared" si="455"/>
        <v>0</v>
      </c>
      <c r="P710" s="9">
        <f t="shared" si="423"/>
        <v>0</v>
      </c>
      <c r="Q710" s="10">
        <f t="shared" si="455"/>
        <v>0</v>
      </c>
      <c r="R710" s="10">
        <f t="shared" si="455"/>
        <v>0</v>
      </c>
      <c r="S710" s="10">
        <f>+S104+S105+S106</f>
        <v>0</v>
      </c>
      <c r="T710" s="10">
        <f t="shared" si="455"/>
        <v>0</v>
      </c>
      <c r="U710" s="10">
        <f t="shared" si="455"/>
        <v>0</v>
      </c>
      <c r="V710" s="10">
        <f t="shared" si="455"/>
        <v>0</v>
      </c>
      <c r="W710" s="27" t="str">
        <f t="shared" si="449"/>
        <v>OK</v>
      </c>
    </row>
    <row r="711" spans="1:23" x14ac:dyDescent="0.2">
      <c r="A711" s="3">
        <f t="shared" si="429"/>
        <v>43</v>
      </c>
      <c r="B711" s="3" t="s">
        <v>410</v>
      </c>
      <c r="C711" s="3"/>
      <c r="D711" s="3"/>
      <c r="E711" s="3" t="s">
        <v>328</v>
      </c>
      <c r="F711" s="3"/>
      <c r="G711" s="3"/>
      <c r="H711" s="31">
        <f t="shared" si="446"/>
        <v>0</v>
      </c>
      <c r="I711" s="94">
        <v>0</v>
      </c>
      <c r="J711" s="94">
        <f t="shared" si="428"/>
        <v>0</v>
      </c>
      <c r="K711" s="10">
        <f t="shared" ref="K711:V711" si="456">+K107+K108</f>
        <v>0</v>
      </c>
      <c r="L711" s="10">
        <f t="shared" si="456"/>
        <v>0</v>
      </c>
      <c r="M711" s="10">
        <f t="shared" si="445"/>
        <v>0</v>
      </c>
      <c r="N711" s="10">
        <f t="shared" si="456"/>
        <v>0</v>
      </c>
      <c r="O711" s="10">
        <f t="shared" si="456"/>
        <v>0</v>
      </c>
      <c r="P711" s="9">
        <f t="shared" si="423"/>
        <v>0</v>
      </c>
      <c r="Q711" s="10">
        <f t="shared" si="456"/>
        <v>0</v>
      </c>
      <c r="R711" s="10">
        <f t="shared" si="456"/>
        <v>0</v>
      </c>
      <c r="S711" s="10">
        <f>+S107+S108</f>
        <v>0</v>
      </c>
      <c r="T711" s="10">
        <f t="shared" si="456"/>
        <v>0</v>
      </c>
      <c r="U711" s="10">
        <f t="shared" si="456"/>
        <v>0</v>
      </c>
      <c r="V711" s="10">
        <f t="shared" si="456"/>
        <v>0</v>
      </c>
      <c r="W711" s="27" t="str">
        <f t="shared" si="449"/>
        <v>OK</v>
      </c>
    </row>
    <row r="712" spans="1:23" x14ac:dyDescent="0.2">
      <c r="A712" s="3">
        <f t="shared" si="429"/>
        <v>44</v>
      </c>
      <c r="B712" s="3" t="s">
        <v>412</v>
      </c>
      <c r="C712" s="3"/>
      <c r="D712" s="3"/>
      <c r="E712" s="3" t="s">
        <v>337</v>
      </c>
      <c r="F712" s="3"/>
      <c r="G712" s="3"/>
      <c r="H712" s="31">
        <f t="shared" si="446"/>
        <v>0</v>
      </c>
      <c r="I712" s="94">
        <v>0</v>
      </c>
      <c r="J712" s="94">
        <f t="shared" si="428"/>
        <v>0</v>
      </c>
      <c r="K712" s="10">
        <f t="shared" ref="K712:V712" si="457">+K115</f>
        <v>0</v>
      </c>
      <c r="L712" s="10">
        <f t="shared" si="457"/>
        <v>0</v>
      </c>
      <c r="M712" s="10">
        <f t="shared" si="445"/>
        <v>0</v>
      </c>
      <c r="N712" s="10">
        <f t="shared" si="457"/>
        <v>0</v>
      </c>
      <c r="O712" s="10">
        <f t="shared" si="457"/>
        <v>0</v>
      </c>
      <c r="P712" s="9">
        <f t="shared" si="423"/>
        <v>0</v>
      </c>
      <c r="Q712" s="10">
        <f t="shared" si="457"/>
        <v>0</v>
      </c>
      <c r="R712" s="10">
        <f t="shared" si="457"/>
        <v>0</v>
      </c>
      <c r="S712" s="10">
        <f>+S115</f>
        <v>0</v>
      </c>
      <c r="T712" s="10">
        <f t="shared" si="457"/>
        <v>0</v>
      </c>
      <c r="U712" s="10">
        <f t="shared" si="457"/>
        <v>0</v>
      </c>
      <c r="V712" s="10">
        <f t="shared" si="457"/>
        <v>0</v>
      </c>
      <c r="W712" s="27" t="str">
        <f t="shared" si="449"/>
        <v>OK</v>
      </c>
    </row>
    <row r="713" spans="1:23" x14ac:dyDescent="0.2">
      <c r="A713" s="3">
        <f t="shared" si="429"/>
        <v>45</v>
      </c>
      <c r="B713" s="3" t="s">
        <v>413</v>
      </c>
      <c r="C713" s="3"/>
      <c r="D713" s="3"/>
      <c r="E713" s="3" t="s">
        <v>332</v>
      </c>
      <c r="F713" s="3"/>
      <c r="G713" s="3"/>
      <c r="H713" s="31">
        <f t="shared" si="446"/>
        <v>0</v>
      </c>
      <c r="I713" s="94">
        <v>0</v>
      </c>
      <c r="J713" s="94">
        <f t="shared" si="428"/>
        <v>0</v>
      </c>
      <c r="K713" s="10">
        <f t="shared" ref="K713:V713" si="458">+K116</f>
        <v>0</v>
      </c>
      <c r="L713" s="10">
        <f t="shared" si="458"/>
        <v>0</v>
      </c>
      <c r="M713" s="10">
        <f t="shared" si="445"/>
        <v>0</v>
      </c>
      <c r="N713" s="10">
        <f t="shared" si="458"/>
        <v>0</v>
      </c>
      <c r="O713" s="10">
        <f t="shared" si="458"/>
        <v>0</v>
      </c>
      <c r="P713" s="9">
        <f t="shared" si="423"/>
        <v>0</v>
      </c>
      <c r="Q713" s="10">
        <f t="shared" si="458"/>
        <v>0</v>
      </c>
      <c r="R713" s="10">
        <f t="shared" si="458"/>
        <v>0</v>
      </c>
      <c r="S713" s="10">
        <f>+S116</f>
        <v>0</v>
      </c>
      <c r="T713" s="10">
        <f t="shared" si="458"/>
        <v>0</v>
      </c>
      <c r="U713" s="10">
        <f t="shared" si="458"/>
        <v>0</v>
      </c>
      <c r="V713" s="10">
        <f t="shared" si="458"/>
        <v>0</v>
      </c>
      <c r="W713" s="27" t="str">
        <f t="shared" si="449"/>
        <v>OK</v>
      </c>
    </row>
    <row r="714" spans="1:23" x14ac:dyDescent="0.2">
      <c r="A714" s="3">
        <f t="shared" si="429"/>
        <v>46</v>
      </c>
      <c r="B714" s="3" t="s">
        <v>414</v>
      </c>
      <c r="C714" s="3"/>
      <c r="D714" s="3"/>
      <c r="E714" s="3" t="s">
        <v>333</v>
      </c>
      <c r="F714" s="3"/>
      <c r="G714" s="3"/>
      <c r="H714" s="31">
        <f t="shared" si="446"/>
        <v>0</v>
      </c>
      <c r="I714" s="94">
        <v>0</v>
      </c>
      <c r="J714" s="94">
        <f t="shared" si="428"/>
        <v>0</v>
      </c>
      <c r="K714" s="10">
        <f t="shared" ref="K714:V714" si="459">+K121+K125</f>
        <v>0</v>
      </c>
      <c r="L714" s="10">
        <f t="shared" si="459"/>
        <v>0</v>
      </c>
      <c r="M714" s="10">
        <f t="shared" si="445"/>
        <v>0</v>
      </c>
      <c r="N714" s="10">
        <f t="shared" si="459"/>
        <v>0</v>
      </c>
      <c r="O714" s="10">
        <f t="shared" si="459"/>
        <v>0</v>
      </c>
      <c r="P714" s="9">
        <f t="shared" si="423"/>
        <v>0</v>
      </c>
      <c r="Q714" s="10">
        <f t="shared" si="459"/>
        <v>0</v>
      </c>
      <c r="R714" s="10">
        <f t="shared" si="459"/>
        <v>0</v>
      </c>
      <c r="S714" s="10">
        <f>+S121+S125</f>
        <v>0</v>
      </c>
      <c r="T714" s="10">
        <f t="shared" si="459"/>
        <v>0</v>
      </c>
      <c r="U714" s="10">
        <f t="shared" si="459"/>
        <v>0</v>
      </c>
      <c r="V714" s="10">
        <f t="shared" si="459"/>
        <v>0</v>
      </c>
      <c r="W714" s="27" t="str">
        <f t="shared" si="449"/>
        <v>OK</v>
      </c>
    </row>
    <row r="715" spans="1:23" x14ac:dyDescent="0.2">
      <c r="A715" s="3">
        <f t="shared" si="429"/>
        <v>47</v>
      </c>
      <c r="B715" s="3" t="s">
        <v>415</v>
      </c>
      <c r="C715" s="3"/>
      <c r="D715" s="3"/>
      <c r="E715" s="3" t="s">
        <v>421</v>
      </c>
      <c r="F715" s="3"/>
      <c r="G715" s="3"/>
      <c r="H715" s="31">
        <f t="shared" si="446"/>
        <v>0</v>
      </c>
      <c r="I715" s="94">
        <v>0</v>
      </c>
      <c r="J715" s="94">
        <f t="shared" si="428"/>
        <v>0</v>
      </c>
      <c r="K715" s="10">
        <f t="shared" ref="K715:V715" si="460">+K130+K135</f>
        <v>0</v>
      </c>
      <c r="L715" s="10">
        <f t="shared" si="460"/>
        <v>0</v>
      </c>
      <c r="M715" s="10">
        <f t="shared" si="445"/>
        <v>0</v>
      </c>
      <c r="N715" s="10">
        <f t="shared" si="460"/>
        <v>0</v>
      </c>
      <c r="O715" s="10">
        <f t="shared" si="460"/>
        <v>0</v>
      </c>
      <c r="P715" s="9">
        <f t="shared" si="423"/>
        <v>0</v>
      </c>
      <c r="Q715" s="10">
        <f t="shared" si="460"/>
        <v>0</v>
      </c>
      <c r="R715" s="10">
        <f t="shared" si="460"/>
        <v>0</v>
      </c>
      <c r="S715" s="10">
        <f>+S130+S135</f>
        <v>0</v>
      </c>
      <c r="T715" s="10">
        <f t="shared" si="460"/>
        <v>0</v>
      </c>
      <c r="U715" s="10">
        <f t="shared" si="460"/>
        <v>0</v>
      </c>
      <c r="V715" s="10">
        <f t="shared" si="460"/>
        <v>0</v>
      </c>
      <c r="W715" s="27" t="str">
        <f t="shared" si="449"/>
        <v>OK</v>
      </c>
    </row>
    <row r="716" spans="1:23" x14ac:dyDescent="0.2">
      <c r="A716" s="3">
        <f t="shared" si="429"/>
        <v>48</v>
      </c>
      <c r="B716" s="3" t="s">
        <v>416</v>
      </c>
      <c r="C716" s="3"/>
      <c r="D716" s="3"/>
      <c r="E716" s="3" t="s">
        <v>338</v>
      </c>
      <c r="F716" s="3"/>
      <c r="G716" s="3"/>
      <c r="H716" s="31">
        <f t="shared" si="446"/>
        <v>0</v>
      </c>
      <c r="I716" s="94">
        <v>0</v>
      </c>
      <c r="J716" s="94">
        <f t="shared" si="428"/>
        <v>0</v>
      </c>
      <c r="K716" s="10">
        <f t="shared" ref="K716:V716" si="461">+K139</f>
        <v>0</v>
      </c>
      <c r="L716" s="10">
        <f t="shared" si="461"/>
        <v>0</v>
      </c>
      <c r="M716" s="10">
        <f t="shared" si="445"/>
        <v>0</v>
      </c>
      <c r="N716" s="10">
        <f t="shared" si="461"/>
        <v>0</v>
      </c>
      <c r="O716" s="10">
        <f t="shared" si="461"/>
        <v>0</v>
      </c>
      <c r="P716" s="9">
        <f t="shared" si="423"/>
        <v>0</v>
      </c>
      <c r="Q716" s="10">
        <f t="shared" si="461"/>
        <v>0</v>
      </c>
      <c r="R716" s="10">
        <f t="shared" si="461"/>
        <v>0</v>
      </c>
      <c r="S716" s="10">
        <f>+S139</f>
        <v>0</v>
      </c>
      <c r="T716" s="10">
        <f t="shared" si="461"/>
        <v>0</v>
      </c>
      <c r="U716" s="10">
        <f t="shared" si="461"/>
        <v>0</v>
      </c>
      <c r="V716" s="10">
        <f t="shared" si="461"/>
        <v>0</v>
      </c>
      <c r="W716" s="27" t="str">
        <f t="shared" si="449"/>
        <v>OK</v>
      </c>
    </row>
    <row r="717" spans="1:23" x14ac:dyDescent="0.2">
      <c r="A717" s="3">
        <f t="shared" si="429"/>
        <v>49</v>
      </c>
      <c r="B717" s="3" t="s">
        <v>417</v>
      </c>
      <c r="C717" s="3"/>
      <c r="D717" s="3"/>
      <c r="E717" s="3" t="s">
        <v>334</v>
      </c>
      <c r="F717" s="3"/>
      <c r="G717" s="3"/>
      <c r="H717" s="31">
        <f t="shared" si="446"/>
        <v>0</v>
      </c>
      <c r="I717" s="94">
        <v>0</v>
      </c>
      <c r="J717" s="94">
        <f t="shared" si="428"/>
        <v>0</v>
      </c>
      <c r="K717" s="10">
        <f t="shared" ref="K717:V717" si="462">+K142</f>
        <v>0</v>
      </c>
      <c r="L717" s="10">
        <f t="shared" si="462"/>
        <v>0</v>
      </c>
      <c r="M717" s="10">
        <f t="shared" si="445"/>
        <v>0</v>
      </c>
      <c r="N717" s="10">
        <f t="shared" si="462"/>
        <v>0</v>
      </c>
      <c r="O717" s="10">
        <f t="shared" si="462"/>
        <v>0</v>
      </c>
      <c r="P717" s="9">
        <f t="shared" si="423"/>
        <v>0</v>
      </c>
      <c r="Q717" s="10">
        <f t="shared" si="462"/>
        <v>0</v>
      </c>
      <c r="R717" s="10">
        <f t="shared" si="462"/>
        <v>0</v>
      </c>
      <c r="S717" s="10">
        <f>+S142</f>
        <v>0</v>
      </c>
      <c r="T717" s="10">
        <f t="shared" si="462"/>
        <v>0</v>
      </c>
      <c r="U717" s="10">
        <f t="shared" si="462"/>
        <v>0</v>
      </c>
      <c r="V717" s="10">
        <f t="shared" si="462"/>
        <v>0</v>
      </c>
      <c r="W717" s="27" t="str">
        <f t="shared" si="449"/>
        <v>OK</v>
      </c>
    </row>
    <row r="718" spans="1:23" x14ac:dyDescent="0.2">
      <c r="A718" s="3">
        <f t="shared" si="429"/>
        <v>50</v>
      </c>
      <c r="B718" s="3" t="s">
        <v>418</v>
      </c>
      <c r="C718" s="3"/>
      <c r="D718" s="3"/>
      <c r="E718" s="3" t="s">
        <v>336</v>
      </c>
      <c r="F718" s="3"/>
      <c r="G718" s="3"/>
      <c r="H718" s="31">
        <f t="shared" si="446"/>
        <v>0</v>
      </c>
      <c r="I718" s="94">
        <v>0</v>
      </c>
      <c r="J718" s="94">
        <f t="shared" si="428"/>
        <v>0</v>
      </c>
      <c r="K718" s="10">
        <f t="shared" ref="K718:V718" si="463">+K143</f>
        <v>0</v>
      </c>
      <c r="L718" s="10">
        <f t="shared" si="463"/>
        <v>0</v>
      </c>
      <c r="M718" s="10">
        <f t="shared" si="445"/>
        <v>0</v>
      </c>
      <c r="N718" s="10">
        <f t="shared" si="463"/>
        <v>0</v>
      </c>
      <c r="O718" s="10">
        <f t="shared" si="463"/>
        <v>0</v>
      </c>
      <c r="P718" s="9">
        <f t="shared" si="423"/>
        <v>0</v>
      </c>
      <c r="Q718" s="10">
        <f t="shared" si="463"/>
        <v>0</v>
      </c>
      <c r="R718" s="10">
        <f t="shared" si="463"/>
        <v>0</v>
      </c>
      <c r="S718" s="10">
        <f>+S143</f>
        <v>0</v>
      </c>
      <c r="T718" s="10">
        <f t="shared" si="463"/>
        <v>0</v>
      </c>
      <c r="U718" s="10">
        <f t="shared" si="463"/>
        <v>0</v>
      </c>
      <c r="V718" s="10">
        <f t="shared" si="463"/>
        <v>0</v>
      </c>
      <c r="W718" s="27" t="str">
        <f t="shared" si="449"/>
        <v>OK</v>
      </c>
    </row>
    <row r="719" spans="1:23" x14ac:dyDescent="0.2">
      <c r="A719" s="3">
        <f t="shared" si="429"/>
        <v>51</v>
      </c>
      <c r="B719" s="3" t="s">
        <v>419</v>
      </c>
      <c r="C719" s="3"/>
      <c r="D719" s="3"/>
      <c r="E719" s="3" t="s">
        <v>335</v>
      </c>
      <c r="F719" s="3"/>
      <c r="G719" s="3"/>
      <c r="H719" s="31">
        <f t="shared" si="446"/>
        <v>0</v>
      </c>
      <c r="I719" s="94">
        <v>0</v>
      </c>
      <c r="J719" s="94">
        <f t="shared" si="428"/>
        <v>0</v>
      </c>
      <c r="K719" s="10">
        <f t="shared" ref="K719:V719" si="464">+K145</f>
        <v>0</v>
      </c>
      <c r="L719" s="10">
        <f t="shared" si="464"/>
        <v>0</v>
      </c>
      <c r="M719" s="10">
        <f t="shared" si="445"/>
        <v>0</v>
      </c>
      <c r="N719" s="10">
        <f t="shared" si="464"/>
        <v>0</v>
      </c>
      <c r="O719" s="10">
        <f t="shared" si="464"/>
        <v>0</v>
      </c>
      <c r="P719" s="9">
        <f t="shared" si="423"/>
        <v>0</v>
      </c>
      <c r="Q719" s="10">
        <f t="shared" si="464"/>
        <v>0</v>
      </c>
      <c r="R719" s="10">
        <f t="shared" si="464"/>
        <v>0</v>
      </c>
      <c r="S719" s="10">
        <f>+S145</f>
        <v>0</v>
      </c>
      <c r="T719" s="10">
        <f t="shared" si="464"/>
        <v>0</v>
      </c>
      <c r="U719" s="10">
        <f t="shared" si="464"/>
        <v>0</v>
      </c>
      <c r="V719" s="10">
        <f t="shared" si="464"/>
        <v>0</v>
      </c>
      <c r="W719" s="27" t="str">
        <f t="shared" si="449"/>
        <v>OK</v>
      </c>
    </row>
    <row r="720" spans="1:23" x14ac:dyDescent="0.2">
      <c r="A720" s="3">
        <f t="shared" si="429"/>
        <v>52</v>
      </c>
      <c r="B720" s="3" t="s">
        <v>401</v>
      </c>
      <c r="C720" s="3"/>
      <c r="D720" s="3"/>
      <c r="E720" s="3" t="s">
        <v>312</v>
      </c>
      <c r="F720" s="3"/>
      <c r="G720" s="3"/>
      <c r="H720" s="31">
        <f t="shared" si="446"/>
        <v>13355173.507564388</v>
      </c>
      <c r="I720" s="94">
        <v>0</v>
      </c>
      <c r="J720" s="94">
        <f t="shared" si="428"/>
        <v>13355173.507564388</v>
      </c>
      <c r="K720" s="12">
        <f t="shared" ref="K720:V720" si="465">+K308</f>
        <v>10944139.257997027</v>
      </c>
      <c r="L720" s="12">
        <f t="shared" si="465"/>
        <v>1161906.8924579811</v>
      </c>
      <c r="M720" s="12">
        <f t="shared" si="445"/>
        <v>772064.17617987457</v>
      </c>
      <c r="N720" s="12">
        <f t="shared" si="465"/>
        <v>6954.0385368932884</v>
      </c>
      <c r="O720" s="12">
        <f t="shared" si="465"/>
        <v>765110.13764298125</v>
      </c>
      <c r="P720" s="9">
        <f t="shared" si="423"/>
        <v>13876.35409824676</v>
      </c>
      <c r="Q720" s="12">
        <f t="shared" si="465"/>
        <v>6755.7667876515106</v>
      </c>
      <c r="R720" s="12">
        <f t="shared" si="465"/>
        <v>5945.5685788333039</v>
      </c>
      <c r="S720" s="12">
        <f>+S308</f>
        <v>1175.0187317619448</v>
      </c>
      <c r="T720" s="12">
        <f t="shared" si="465"/>
        <v>1311.908887094881</v>
      </c>
      <c r="U720" s="12">
        <f t="shared" si="465"/>
        <v>461592.00406612584</v>
      </c>
      <c r="V720" s="12">
        <f t="shared" si="465"/>
        <v>282.91387803697239</v>
      </c>
      <c r="W720" s="27" t="str">
        <f t="shared" si="449"/>
        <v>OK</v>
      </c>
    </row>
    <row r="721" spans="1:23" x14ac:dyDescent="0.2">
      <c r="A721" s="3">
        <f t="shared" si="429"/>
        <v>53</v>
      </c>
      <c r="B721" s="3" t="s">
        <v>570</v>
      </c>
      <c r="C721" s="3"/>
      <c r="D721" s="3" t="s">
        <v>615</v>
      </c>
      <c r="E721" s="3" t="s">
        <v>324</v>
      </c>
      <c r="F721" s="3"/>
      <c r="G721" s="3"/>
      <c r="H721" s="31">
        <f>+I721+J721</f>
        <v>19273107.563460864</v>
      </c>
      <c r="I721" s="94">
        <v>0</v>
      </c>
      <c r="J721" s="94">
        <f t="shared" si="428"/>
        <v>19273107.563460864</v>
      </c>
      <c r="K721" s="10">
        <f>+K39</f>
        <v>15708279.328989297</v>
      </c>
      <c r="L721" s="10">
        <f t="shared" ref="L721:V721" si="466">+L39</f>
        <v>1667059.1296076565</v>
      </c>
      <c r="M721" s="12">
        <f t="shared" si="445"/>
        <v>1746841.799300642</v>
      </c>
      <c r="N721" s="10">
        <f t="shared" si="466"/>
        <v>13996.627843947808</v>
      </c>
      <c r="O721" s="10">
        <f t="shared" si="466"/>
        <v>1732845.1714566941</v>
      </c>
      <c r="P721" s="9">
        <f t="shared" si="423"/>
        <v>95337.200156615378</v>
      </c>
      <c r="Q721" s="10">
        <f t="shared" si="466"/>
        <v>41315.412650891303</v>
      </c>
      <c r="R721" s="10">
        <f t="shared" si="466"/>
        <v>48140.819437943675</v>
      </c>
      <c r="S721" s="10">
        <f>+S39</f>
        <v>5880.9680677803935</v>
      </c>
      <c r="T721" s="10">
        <f t="shared" si="466"/>
        <v>11457.395054401524</v>
      </c>
      <c r="U721" s="10">
        <f t="shared" si="466"/>
        <v>44131.710352257905</v>
      </c>
      <c r="V721" s="10">
        <f t="shared" si="466"/>
        <v>1</v>
      </c>
      <c r="W721" s="27" t="str">
        <f t="shared" si="449"/>
        <v>OK</v>
      </c>
    </row>
    <row r="722" spans="1:23" x14ac:dyDescent="0.2">
      <c r="A722" s="3">
        <f t="shared" si="429"/>
        <v>54</v>
      </c>
      <c r="B722" s="3" t="s">
        <v>354</v>
      </c>
      <c r="C722" s="3"/>
      <c r="D722" s="3" t="s">
        <v>615</v>
      </c>
      <c r="E722" s="3" t="s">
        <v>395</v>
      </c>
      <c r="F722" s="3"/>
      <c r="G722" s="3"/>
      <c r="H722" s="31">
        <f>SUM(I722:J722)</f>
        <v>19273107.563460864</v>
      </c>
      <c r="I722" s="94">
        <v>0</v>
      </c>
      <c r="J722" s="94">
        <f t="shared" si="428"/>
        <v>19273107.563460864</v>
      </c>
      <c r="K722" s="10">
        <f>+K$39</f>
        <v>15708279.328989297</v>
      </c>
      <c r="L722" s="10">
        <f t="shared" ref="L722:V722" si="467">+L$39</f>
        <v>1667059.1296076565</v>
      </c>
      <c r="M722" s="12">
        <f t="shared" si="445"/>
        <v>1746841.799300642</v>
      </c>
      <c r="N722" s="10">
        <f t="shared" si="467"/>
        <v>13996.627843947808</v>
      </c>
      <c r="O722" s="10">
        <f t="shared" si="467"/>
        <v>1732845.1714566941</v>
      </c>
      <c r="P722" s="9">
        <f t="shared" si="423"/>
        <v>95337.200156615378</v>
      </c>
      <c r="Q722" s="10">
        <f t="shared" si="467"/>
        <v>41315.412650891303</v>
      </c>
      <c r="R722" s="10">
        <f t="shared" si="467"/>
        <v>48140.819437943675</v>
      </c>
      <c r="S722" s="10">
        <f t="shared" si="467"/>
        <v>5880.9680677803935</v>
      </c>
      <c r="T722" s="10">
        <f t="shared" si="467"/>
        <v>11457.395054401524</v>
      </c>
      <c r="U722" s="10">
        <f t="shared" si="467"/>
        <v>44131.710352257905</v>
      </c>
      <c r="V722" s="10">
        <f t="shared" si="467"/>
        <v>1</v>
      </c>
      <c r="W722" s="27" t="str">
        <f t="shared" si="449"/>
        <v>OK</v>
      </c>
    </row>
    <row r="723" spans="1:23" x14ac:dyDescent="0.2">
      <c r="A723" s="3">
        <f t="shared" si="429"/>
        <v>55</v>
      </c>
      <c r="B723" s="18" t="s">
        <v>355</v>
      </c>
      <c r="C723" s="18"/>
      <c r="D723" s="3"/>
      <c r="E723" s="3" t="s">
        <v>396</v>
      </c>
      <c r="F723" s="3"/>
      <c r="G723" s="3"/>
      <c r="H723" s="31">
        <f>SUM(I723:J723)</f>
        <v>0</v>
      </c>
      <c r="I723" s="94">
        <v>0</v>
      </c>
      <c r="J723" s="94">
        <f t="shared" si="428"/>
        <v>0</v>
      </c>
      <c r="K723" s="10">
        <v>0</v>
      </c>
      <c r="L723" s="10">
        <v>0</v>
      </c>
      <c r="M723" s="12">
        <f t="shared" si="445"/>
        <v>0</v>
      </c>
      <c r="N723" s="10">
        <v>0</v>
      </c>
      <c r="O723" s="10">
        <v>0</v>
      </c>
      <c r="P723" s="9">
        <f t="shared" si="423"/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27" t="str">
        <f t="shared" si="449"/>
        <v>OK</v>
      </c>
    </row>
    <row r="724" spans="1:23" x14ac:dyDescent="0.2">
      <c r="A724" s="3">
        <f t="shared" si="429"/>
        <v>56</v>
      </c>
      <c r="B724" s="3" t="s">
        <v>351</v>
      </c>
      <c r="C724" s="3"/>
      <c r="D724" s="3"/>
      <c r="E724" s="3" t="s">
        <v>323</v>
      </c>
      <c r="F724" s="3"/>
      <c r="G724" s="3"/>
      <c r="H724" s="31">
        <f>SUM(I724:J724)</f>
        <v>10827751.415998923</v>
      </c>
      <c r="I724" s="94">
        <v>0</v>
      </c>
      <c r="J724" s="94">
        <f t="shared" si="428"/>
        <v>10827751.415998923</v>
      </c>
      <c r="K724" s="10">
        <f>K525</f>
        <v>8876239.9643336087</v>
      </c>
      <c r="L724" s="10">
        <f>L$525</f>
        <v>943071.66763537563</v>
      </c>
      <c r="M724" s="10">
        <f t="shared" si="445"/>
        <v>624029.78714732977</v>
      </c>
      <c r="N724" s="10">
        <f t="shared" ref="N724:V724" si="468">N525</f>
        <v>4964.039793352511</v>
      </c>
      <c r="O724" s="10">
        <f t="shared" si="468"/>
        <v>619065.74735397729</v>
      </c>
      <c r="P724" s="9">
        <f t="shared" si="423"/>
        <v>9509.3225992056541</v>
      </c>
      <c r="Q724" s="10">
        <f t="shared" si="468"/>
        <v>4041.9004567401516</v>
      </c>
      <c r="R724" s="10">
        <f t="shared" si="468"/>
        <v>4739.9685526803487</v>
      </c>
      <c r="S724" s="10">
        <f>S525</f>
        <v>727.4535897851531</v>
      </c>
      <c r="T724" s="10">
        <f t="shared" si="468"/>
        <v>1069.242266589308</v>
      </c>
      <c r="U724" s="10">
        <f t="shared" si="468"/>
        <v>373667.68764862721</v>
      </c>
      <c r="V724" s="10">
        <f t="shared" si="468"/>
        <v>163.74436818350293</v>
      </c>
      <c r="W724" s="27" t="str">
        <f t="shared" si="449"/>
        <v>OK</v>
      </c>
    </row>
    <row r="725" spans="1:23" x14ac:dyDescent="0.2">
      <c r="A725" s="3">
        <f t="shared" si="429"/>
        <v>57</v>
      </c>
      <c r="B725" s="3" t="s">
        <v>357</v>
      </c>
      <c r="C725" s="3"/>
      <c r="D725" s="3"/>
      <c r="E725" s="3" t="s">
        <v>394</v>
      </c>
      <c r="F725" s="3"/>
      <c r="G725" s="3"/>
      <c r="H725" s="31">
        <f>SUM(I725:J725)</f>
        <v>10827751.415998923</v>
      </c>
      <c r="I725" s="94">
        <v>0</v>
      </c>
      <c r="J725" s="94">
        <f t="shared" si="428"/>
        <v>10827751.415998923</v>
      </c>
      <c r="K725" s="10">
        <f t="shared" ref="K725:V725" si="469">K525</f>
        <v>8876239.9643336087</v>
      </c>
      <c r="L725" s="10">
        <f t="shared" si="469"/>
        <v>943071.66763537563</v>
      </c>
      <c r="M725" s="10">
        <f t="shared" si="445"/>
        <v>624029.78714732977</v>
      </c>
      <c r="N725" s="10">
        <f t="shared" si="469"/>
        <v>4964.039793352511</v>
      </c>
      <c r="O725" s="10">
        <f t="shared" si="469"/>
        <v>619065.74735397729</v>
      </c>
      <c r="P725" s="9">
        <f t="shared" ref="P725:P739" si="470">SUM(Q725:S725)</f>
        <v>9509.3225992056541</v>
      </c>
      <c r="Q725" s="10">
        <f t="shared" si="469"/>
        <v>4041.9004567401516</v>
      </c>
      <c r="R725" s="10">
        <f t="shared" si="469"/>
        <v>4739.9685526803487</v>
      </c>
      <c r="S725" s="10">
        <f>S525</f>
        <v>727.4535897851531</v>
      </c>
      <c r="T725" s="10">
        <f t="shared" si="469"/>
        <v>1069.242266589308</v>
      </c>
      <c r="U725" s="10">
        <f t="shared" si="469"/>
        <v>373667.68764862721</v>
      </c>
      <c r="V725" s="10">
        <f t="shared" si="469"/>
        <v>163.74436818350293</v>
      </c>
      <c r="W725" s="27" t="str">
        <f t="shared" si="449"/>
        <v>OK</v>
      </c>
    </row>
    <row r="726" spans="1:23" x14ac:dyDescent="0.2">
      <c r="A726" s="3">
        <f t="shared" si="429"/>
        <v>58</v>
      </c>
      <c r="B726" s="3" t="s">
        <v>402</v>
      </c>
      <c r="C726" s="3"/>
      <c r="D726" s="3"/>
      <c r="E726" s="3" t="s">
        <v>422</v>
      </c>
      <c r="F726" s="3"/>
      <c r="G726" s="3"/>
      <c r="H726" s="31">
        <f t="shared" ref="H726:H738" si="471">SUM(I726:J726)</f>
        <v>0</v>
      </c>
      <c r="I726" s="94">
        <v>0</v>
      </c>
      <c r="J726" s="94">
        <f t="shared" si="428"/>
        <v>0</v>
      </c>
      <c r="K726" s="10">
        <f>SUM(K327:K333)-K332</f>
        <v>0</v>
      </c>
      <c r="L726" s="10">
        <f>SUM(L327:L333)-L332</f>
        <v>0</v>
      </c>
      <c r="M726" s="10">
        <f t="shared" si="445"/>
        <v>0</v>
      </c>
      <c r="N726" s="10">
        <f>SUM(N327:N333)-N332</f>
        <v>0</v>
      </c>
      <c r="O726" s="10">
        <f>SUM(O327:O333)-O332</f>
        <v>0</v>
      </c>
      <c r="P726" s="9">
        <f t="shared" si="470"/>
        <v>0</v>
      </c>
      <c r="Q726" s="10">
        <f t="shared" ref="Q726:V726" si="472">SUM(Q327:Q333)-Q332</f>
        <v>0</v>
      </c>
      <c r="R726" s="10">
        <f t="shared" si="472"/>
        <v>0</v>
      </c>
      <c r="S726" s="10">
        <f t="shared" si="472"/>
        <v>0</v>
      </c>
      <c r="T726" s="10">
        <f t="shared" si="472"/>
        <v>0</v>
      </c>
      <c r="U726" s="10">
        <f t="shared" si="472"/>
        <v>0</v>
      </c>
      <c r="V726" s="10">
        <f t="shared" si="472"/>
        <v>0</v>
      </c>
      <c r="W726" s="27" t="str">
        <f t="shared" si="449"/>
        <v>OK</v>
      </c>
    </row>
    <row r="727" spans="1:23" x14ac:dyDescent="0.2">
      <c r="A727" s="3">
        <f t="shared" si="429"/>
        <v>59</v>
      </c>
      <c r="B727" s="3" t="s">
        <v>403</v>
      </c>
      <c r="C727" s="3"/>
      <c r="D727" s="3"/>
      <c r="E727" s="3" t="s">
        <v>423</v>
      </c>
      <c r="F727" s="3"/>
      <c r="G727" s="3"/>
      <c r="H727" s="31">
        <f t="shared" si="471"/>
        <v>0</v>
      </c>
      <c r="I727" s="94">
        <v>0</v>
      </c>
      <c r="J727" s="94">
        <f t="shared" si="428"/>
        <v>0</v>
      </c>
      <c r="K727" s="10">
        <f t="shared" ref="K727:V727" si="473">SUM(K458:K462)</f>
        <v>0</v>
      </c>
      <c r="L727" s="10">
        <f t="shared" si="473"/>
        <v>0</v>
      </c>
      <c r="M727" s="10">
        <f t="shared" si="445"/>
        <v>0</v>
      </c>
      <c r="N727" s="10">
        <f t="shared" si="473"/>
        <v>0</v>
      </c>
      <c r="O727" s="10">
        <f t="shared" si="473"/>
        <v>0</v>
      </c>
      <c r="P727" s="9">
        <f t="shared" si="470"/>
        <v>0</v>
      </c>
      <c r="Q727" s="10">
        <f t="shared" si="473"/>
        <v>0</v>
      </c>
      <c r="R727" s="10">
        <f t="shared" si="473"/>
        <v>0</v>
      </c>
      <c r="S727" s="10">
        <f>SUM(S458:S462)</f>
        <v>0</v>
      </c>
      <c r="T727" s="10">
        <f t="shared" si="473"/>
        <v>0</v>
      </c>
      <c r="U727" s="10">
        <f t="shared" si="473"/>
        <v>0</v>
      </c>
      <c r="V727" s="10">
        <f t="shared" si="473"/>
        <v>0</v>
      </c>
      <c r="W727" s="27" t="str">
        <f t="shared" si="449"/>
        <v>OK</v>
      </c>
    </row>
    <row r="728" spans="1:23" x14ac:dyDescent="0.2">
      <c r="A728" s="3">
        <f t="shared" si="429"/>
        <v>60</v>
      </c>
      <c r="B728" s="3" t="s">
        <v>404</v>
      </c>
      <c r="C728" s="3"/>
      <c r="D728" s="3"/>
      <c r="E728" s="3" t="s">
        <v>360</v>
      </c>
      <c r="F728" s="3"/>
      <c r="G728" s="3"/>
      <c r="H728" s="31">
        <f t="shared" si="471"/>
        <v>0</v>
      </c>
      <c r="I728" s="94">
        <v>0</v>
      </c>
      <c r="J728" s="94">
        <f t="shared" si="428"/>
        <v>0</v>
      </c>
      <c r="K728" s="10">
        <f t="shared" ref="K728:V728" si="474">SUM(K471:K478)</f>
        <v>0</v>
      </c>
      <c r="L728" s="10">
        <f t="shared" si="474"/>
        <v>0</v>
      </c>
      <c r="M728" s="10">
        <f t="shared" si="445"/>
        <v>0</v>
      </c>
      <c r="N728" s="10">
        <f t="shared" si="474"/>
        <v>0</v>
      </c>
      <c r="O728" s="10">
        <f t="shared" si="474"/>
        <v>0</v>
      </c>
      <c r="P728" s="9">
        <f t="shared" si="470"/>
        <v>0</v>
      </c>
      <c r="Q728" s="10">
        <f t="shared" si="474"/>
        <v>0</v>
      </c>
      <c r="R728" s="10">
        <f t="shared" si="474"/>
        <v>0</v>
      </c>
      <c r="S728" s="10">
        <f>SUM(S471:S478)</f>
        <v>0</v>
      </c>
      <c r="T728" s="10">
        <f t="shared" si="474"/>
        <v>0</v>
      </c>
      <c r="U728" s="10">
        <f t="shared" si="474"/>
        <v>0</v>
      </c>
      <c r="V728" s="10">
        <f t="shared" si="474"/>
        <v>0</v>
      </c>
      <c r="W728" s="27" t="str">
        <f t="shared" si="449"/>
        <v>OK</v>
      </c>
    </row>
    <row r="729" spans="1:23" x14ac:dyDescent="0.2">
      <c r="A729" s="3">
        <f t="shared" si="429"/>
        <v>61</v>
      </c>
      <c r="B729" s="3" t="s">
        <v>405</v>
      </c>
      <c r="C729" s="3"/>
      <c r="D729" s="3"/>
      <c r="E729" s="3" t="s">
        <v>424</v>
      </c>
      <c r="F729" s="3"/>
      <c r="G729" s="3"/>
      <c r="H729" s="31">
        <f t="shared" si="471"/>
        <v>0</v>
      </c>
      <c r="I729" s="94">
        <v>0</v>
      </c>
      <c r="J729" s="94">
        <f t="shared" si="428"/>
        <v>0</v>
      </c>
      <c r="K729" s="10">
        <f t="shared" ref="K729:V729" si="475">SUM(K483:K490)</f>
        <v>0</v>
      </c>
      <c r="L729" s="10">
        <f t="shared" si="475"/>
        <v>0</v>
      </c>
      <c r="M729" s="10">
        <f t="shared" si="445"/>
        <v>0</v>
      </c>
      <c r="N729" s="10">
        <f t="shared" si="475"/>
        <v>0</v>
      </c>
      <c r="O729" s="10">
        <f t="shared" si="475"/>
        <v>0</v>
      </c>
      <c r="P729" s="9">
        <f t="shared" si="470"/>
        <v>0</v>
      </c>
      <c r="Q729" s="10">
        <f t="shared" si="475"/>
        <v>0</v>
      </c>
      <c r="R729" s="10">
        <f t="shared" si="475"/>
        <v>0</v>
      </c>
      <c r="S729" s="10">
        <f>SUM(S483:S490)</f>
        <v>0</v>
      </c>
      <c r="T729" s="10">
        <f t="shared" si="475"/>
        <v>0</v>
      </c>
      <c r="U729" s="10">
        <f t="shared" si="475"/>
        <v>0</v>
      </c>
      <c r="V729" s="10">
        <f t="shared" si="475"/>
        <v>0</v>
      </c>
      <c r="W729" s="27" t="str">
        <f t="shared" si="449"/>
        <v>OK</v>
      </c>
    </row>
    <row r="730" spans="1:23" x14ac:dyDescent="0.2">
      <c r="A730" s="3">
        <f t="shared" si="429"/>
        <v>62</v>
      </c>
      <c r="B730" s="3" t="s">
        <v>406</v>
      </c>
      <c r="C730" s="3"/>
      <c r="D730" s="3"/>
      <c r="E730" s="3" t="s">
        <v>339</v>
      </c>
      <c r="F730" s="3"/>
      <c r="G730" s="3"/>
      <c r="H730" s="31">
        <f t="shared" si="471"/>
        <v>8418787.666146161</v>
      </c>
      <c r="I730" s="94">
        <v>0</v>
      </c>
      <c r="J730" s="94">
        <f t="shared" si="428"/>
        <v>8418787.666146161</v>
      </c>
      <c r="K730" s="10">
        <f t="shared" ref="K730:V730" si="476">SUM(K501:K503)</f>
        <v>7087628.879248715</v>
      </c>
      <c r="L730" s="10">
        <f t="shared" si="476"/>
        <v>753037.54896125675</v>
      </c>
      <c r="M730" s="10">
        <f t="shared" si="445"/>
        <v>548746.008521382</v>
      </c>
      <c r="N730" s="10">
        <f t="shared" si="476"/>
        <v>4365.1714691311308</v>
      </c>
      <c r="O730" s="10">
        <f t="shared" si="476"/>
        <v>544380.83705225086</v>
      </c>
      <c r="P730" s="9">
        <f t="shared" si="470"/>
        <v>8374.157071857464</v>
      </c>
      <c r="Q730" s="10">
        <f t="shared" si="476"/>
        <v>3554.2802413585073</v>
      </c>
      <c r="R730" s="10">
        <f t="shared" si="476"/>
        <v>4168.1324792050727</v>
      </c>
      <c r="S730" s="10">
        <f>SUM(S501:S503)</f>
        <v>651.74435129388405</v>
      </c>
      <c r="T730" s="10">
        <f t="shared" si="476"/>
        <v>940.98748394175118</v>
      </c>
      <c r="U730" s="10">
        <f t="shared" si="476"/>
        <v>19916.09482791078</v>
      </c>
      <c r="V730" s="10">
        <f t="shared" si="476"/>
        <v>143.99003109981157</v>
      </c>
      <c r="W730" s="27" t="str">
        <f t="shared" si="449"/>
        <v>OK</v>
      </c>
    </row>
    <row r="731" spans="1:23" x14ac:dyDescent="0.2">
      <c r="A731" s="3">
        <f t="shared" si="429"/>
        <v>63</v>
      </c>
      <c r="B731" s="3" t="s">
        <v>407</v>
      </c>
      <c r="C731" s="3"/>
      <c r="D731" s="3"/>
      <c r="E731" s="3" t="s">
        <v>425</v>
      </c>
      <c r="F731" s="3"/>
      <c r="G731" s="3"/>
      <c r="H731" s="31">
        <f t="shared" si="471"/>
        <v>1112475.9175632836</v>
      </c>
      <c r="I731" s="94">
        <v>0</v>
      </c>
      <c r="J731" s="94">
        <f t="shared" si="428"/>
        <v>1112475.9175632836</v>
      </c>
      <c r="K731" s="10">
        <f t="shared" ref="K731:V731" si="477">SUM(K511:K513)</f>
        <v>827699.85601526604</v>
      </c>
      <c r="L731" s="10">
        <f t="shared" si="477"/>
        <v>87940.421467918248</v>
      </c>
      <c r="M731" s="10">
        <f t="shared" si="445"/>
        <v>887.07833607218845</v>
      </c>
      <c r="N731" s="10">
        <f t="shared" si="477"/>
        <v>7.0565416119209017</v>
      </c>
      <c r="O731" s="10">
        <f t="shared" si="477"/>
        <v>880.02179446026753</v>
      </c>
      <c r="P731" s="9">
        <f t="shared" si="470"/>
        <v>13.304521164142534</v>
      </c>
      <c r="Q731" s="10">
        <f t="shared" si="477"/>
        <v>5.7456909999842063</v>
      </c>
      <c r="R731" s="10">
        <f t="shared" si="477"/>
        <v>6.7380171641605831</v>
      </c>
      <c r="S731" s="10">
        <f>SUM(S511:S513)</f>
        <v>0.82081299999774371</v>
      </c>
      <c r="T731" s="10">
        <f t="shared" si="477"/>
        <v>1.5068656567122758</v>
      </c>
      <c r="U731" s="10">
        <f t="shared" si="477"/>
        <v>195933.5175893406</v>
      </c>
      <c r="V731" s="10">
        <f t="shared" si="477"/>
        <v>0.23276786567100197</v>
      </c>
      <c r="W731" s="27" t="str">
        <f t="shared" si="449"/>
        <v>OK</v>
      </c>
    </row>
    <row r="732" spans="1:23" ht="12.75" customHeight="1" x14ac:dyDescent="0.2">
      <c r="A732" s="3">
        <f t="shared" si="429"/>
        <v>64</v>
      </c>
      <c r="B732" s="3" t="s">
        <v>408</v>
      </c>
      <c r="C732" s="3"/>
      <c r="D732" s="3"/>
      <c r="E732" s="3" t="s">
        <v>426</v>
      </c>
      <c r="F732" s="3"/>
      <c r="G732" s="3"/>
      <c r="H732" s="31">
        <f t="shared" si="471"/>
        <v>0</v>
      </c>
      <c r="I732" s="94">
        <v>0</v>
      </c>
      <c r="J732" s="94">
        <f t="shared" si="428"/>
        <v>0</v>
      </c>
      <c r="K732" s="10">
        <f t="shared" ref="K732:V732" si="478">SUM(K518:K520)</f>
        <v>0</v>
      </c>
      <c r="L732" s="10">
        <f t="shared" si="478"/>
        <v>0</v>
      </c>
      <c r="M732" s="10">
        <f t="shared" si="445"/>
        <v>0</v>
      </c>
      <c r="N732" s="10">
        <f t="shared" si="478"/>
        <v>0</v>
      </c>
      <c r="O732" s="10">
        <f t="shared" si="478"/>
        <v>0</v>
      </c>
      <c r="P732" s="9">
        <f t="shared" si="470"/>
        <v>0</v>
      </c>
      <c r="Q732" s="10">
        <f t="shared" si="478"/>
        <v>0</v>
      </c>
      <c r="R732" s="10">
        <f t="shared" si="478"/>
        <v>0</v>
      </c>
      <c r="S732" s="10">
        <f>SUM(S518:S520)</f>
        <v>0</v>
      </c>
      <c r="T732" s="10">
        <f t="shared" si="478"/>
        <v>0</v>
      </c>
      <c r="U732" s="10">
        <f t="shared" si="478"/>
        <v>0</v>
      </c>
      <c r="V732" s="10">
        <f t="shared" si="478"/>
        <v>0</v>
      </c>
      <c r="W732" s="27" t="str">
        <f t="shared" si="449"/>
        <v>OK</v>
      </c>
    </row>
    <row r="733" spans="1:23" ht="12.75" customHeight="1" x14ac:dyDescent="0.2">
      <c r="A733" s="3">
        <f t="shared" si="429"/>
        <v>65</v>
      </c>
      <c r="B733" s="3" t="s">
        <v>433</v>
      </c>
      <c r="C733" s="3"/>
      <c r="D733" s="3"/>
      <c r="E733" s="3" t="s">
        <v>434</v>
      </c>
      <c r="F733" s="3"/>
      <c r="G733" s="3"/>
      <c r="H733" s="31">
        <f t="shared" si="471"/>
        <v>1329631</v>
      </c>
      <c r="I733" s="94">
        <v>0</v>
      </c>
      <c r="J733" s="94">
        <f t="shared" si="428"/>
        <v>1329631</v>
      </c>
      <c r="K733" s="10">
        <f t="shared" ref="K733:V733" si="479">+K676</f>
        <v>935238</v>
      </c>
      <c r="L733" s="10">
        <f t="shared" si="479"/>
        <v>99366</v>
      </c>
      <c r="M733" s="10">
        <f t="shared" si="445"/>
        <v>72409</v>
      </c>
      <c r="N733" s="10">
        <f t="shared" si="479"/>
        <v>576</v>
      </c>
      <c r="O733" s="10">
        <f t="shared" si="479"/>
        <v>71833</v>
      </c>
      <c r="P733" s="9">
        <f t="shared" si="470"/>
        <v>1086</v>
      </c>
      <c r="Q733" s="10">
        <f t="shared" si="479"/>
        <v>469</v>
      </c>
      <c r="R733" s="10">
        <f t="shared" si="479"/>
        <v>550</v>
      </c>
      <c r="S733" s="10">
        <f>+S676</f>
        <v>67</v>
      </c>
      <c r="T733" s="10">
        <f t="shared" si="479"/>
        <v>123</v>
      </c>
      <c r="U733" s="10">
        <f t="shared" si="479"/>
        <v>221390</v>
      </c>
      <c r="V733" s="10">
        <f t="shared" si="479"/>
        <v>19</v>
      </c>
      <c r="W733" s="27" t="str">
        <f t="shared" si="449"/>
        <v>OK</v>
      </c>
    </row>
    <row r="734" spans="1:23" ht="12.75" customHeight="1" x14ac:dyDescent="0.2">
      <c r="A734" s="3">
        <f t="shared" si="429"/>
        <v>66</v>
      </c>
      <c r="B734" s="3" t="s">
        <v>463</v>
      </c>
      <c r="C734" s="3"/>
      <c r="D734" s="3"/>
      <c r="E734" s="3" t="s">
        <v>461</v>
      </c>
      <c r="F734" s="3"/>
      <c r="G734" s="3"/>
      <c r="H734" s="31">
        <f t="shared" si="471"/>
        <v>6726455.2502995022</v>
      </c>
      <c r="I734" s="94">
        <v>0</v>
      </c>
      <c r="J734" s="94">
        <f t="shared" ref="J734:J739" si="480">SUM(K734:M734,P734,T734:V734)</f>
        <v>6726455.2502995022</v>
      </c>
      <c r="K734" s="10">
        <f>K669</f>
        <v>3260753.0515910774</v>
      </c>
      <c r="L734" s="10">
        <f>L669</f>
        <v>128972.63027239306</v>
      </c>
      <c r="M734" s="10">
        <f t="shared" ref="M734:M739" si="481">SUM(N734:O734)</f>
        <v>1920489.8482757821</v>
      </c>
      <c r="N734" s="10">
        <f>N669</f>
        <v>193175.39687988901</v>
      </c>
      <c r="O734" s="10">
        <f>O669</f>
        <v>1727314.451395893</v>
      </c>
      <c r="P734" s="9">
        <f t="shared" si="470"/>
        <v>544116.5308285245</v>
      </c>
      <c r="Q734" s="10">
        <f t="shared" ref="Q734:V734" si="482">Q669</f>
        <v>425992.24200444156</v>
      </c>
      <c r="R734" s="10">
        <f t="shared" si="482"/>
        <v>34860.174762492941</v>
      </c>
      <c r="S734" s="10">
        <f t="shared" si="482"/>
        <v>83264.114061590008</v>
      </c>
      <c r="T734" s="10">
        <f t="shared" si="482"/>
        <v>872123.18933172501</v>
      </c>
      <c r="U734" s="10">
        <f t="shared" si="482"/>
        <v>0</v>
      </c>
      <c r="V734" s="10">
        <f t="shared" si="482"/>
        <v>0</v>
      </c>
      <c r="W734" s="27" t="str">
        <f t="shared" si="449"/>
        <v>OK</v>
      </c>
    </row>
    <row r="735" spans="1:23" ht="12.75" customHeight="1" x14ac:dyDescent="0.2">
      <c r="A735" s="3">
        <f t="shared" si="429"/>
        <v>67</v>
      </c>
      <c r="B735" s="3" t="s">
        <v>575</v>
      </c>
      <c r="C735" s="3"/>
      <c r="D735" s="3"/>
      <c r="E735" s="3" t="s">
        <v>576</v>
      </c>
      <c r="F735" s="3"/>
      <c r="G735" s="3"/>
      <c r="H735" s="31">
        <f>SUM(I735:J735)</f>
        <v>5405175</v>
      </c>
      <c r="I735" s="94">
        <v>0</v>
      </c>
      <c r="J735" s="94">
        <f t="shared" si="480"/>
        <v>5405175</v>
      </c>
      <c r="K735" s="10">
        <f t="shared" ref="K735:V735" si="483">K671</f>
        <v>2576796</v>
      </c>
      <c r="L735" s="10">
        <f t="shared" si="483"/>
        <v>95632</v>
      </c>
      <c r="M735" s="10">
        <f t="shared" si="481"/>
        <v>1558412</v>
      </c>
      <c r="N735" s="10">
        <f t="shared" si="483"/>
        <v>170419</v>
      </c>
      <c r="O735" s="10">
        <f t="shared" si="483"/>
        <v>1387993</v>
      </c>
      <c r="P735" s="9">
        <f t="shared" si="470"/>
        <v>578236</v>
      </c>
      <c r="Q735" s="10">
        <f t="shared" si="483"/>
        <v>535452</v>
      </c>
      <c r="R735" s="10">
        <f t="shared" si="483"/>
        <v>42784</v>
      </c>
      <c r="S735" s="10">
        <f>S671</f>
        <v>0</v>
      </c>
      <c r="T735" s="10">
        <f t="shared" si="483"/>
        <v>596099</v>
      </c>
      <c r="U735" s="10">
        <f t="shared" si="483"/>
        <v>0</v>
      </c>
      <c r="V735" s="10">
        <f t="shared" si="483"/>
        <v>0</v>
      </c>
      <c r="W735" s="27" t="str">
        <f t="shared" si="449"/>
        <v>OK</v>
      </c>
    </row>
    <row r="736" spans="1:23" ht="12.75" customHeight="1" x14ac:dyDescent="0.2">
      <c r="A736" s="3">
        <f t="shared" ref="A736:A739" si="484">+A735+1</f>
        <v>68</v>
      </c>
      <c r="B736" s="3" t="s">
        <v>474</v>
      </c>
      <c r="C736" s="3"/>
      <c r="D736" s="3"/>
      <c r="E736" s="3" t="s">
        <v>475</v>
      </c>
      <c r="F736" s="3"/>
      <c r="G736" s="3"/>
      <c r="H736" s="41">
        <f t="shared" si="471"/>
        <v>0</v>
      </c>
      <c r="I736" s="94">
        <v>0</v>
      </c>
      <c r="J736" s="94">
        <f t="shared" si="480"/>
        <v>0</v>
      </c>
      <c r="K736" s="30">
        <v>0</v>
      </c>
      <c r="L736" s="30">
        <v>0</v>
      </c>
      <c r="M736" s="30">
        <f t="shared" si="481"/>
        <v>0</v>
      </c>
      <c r="N736" s="30">
        <v>0</v>
      </c>
      <c r="O736" s="30">
        <v>0</v>
      </c>
      <c r="P736" s="9">
        <f t="shared" si="470"/>
        <v>0</v>
      </c>
      <c r="Q736" s="30">
        <v>0</v>
      </c>
      <c r="R736" s="30">
        <v>0</v>
      </c>
      <c r="S736" s="30">
        <v>0</v>
      </c>
      <c r="T736" s="30">
        <v>0</v>
      </c>
      <c r="U736" s="30">
        <v>0</v>
      </c>
      <c r="V736" s="30">
        <v>0</v>
      </c>
      <c r="W736" s="27" t="str">
        <f t="shared" ref="W736:W768" si="485">IF((+K736+L736+M736+P736+T736+U736+V736)-H736=0,"OK",(+K736+L736+M736+P736+T736+U736+V736)-H736)</f>
        <v>OK</v>
      </c>
    </row>
    <row r="737" spans="1:23" ht="12.75" customHeight="1" x14ac:dyDescent="0.2">
      <c r="A737" s="3">
        <f t="shared" si="484"/>
        <v>69</v>
      </c>
      <c r="B737" s="3" t="s">
        <v>477</v>
      </c>
      <c r="C737" s="3"/>
      <c r="D737" s="3"/>
      <c r="E737" s="3" t="s">
        <v>476</v>
      </c>
      <c r="F737" s="3"/>
      <c r="G737" s="3"/>
      <c r="H737" s="31">
        <f t="shared" si="471"/>
        <v>16659108.336877266</v>
      </c>
      <c r="I737" s="94">
        <v>0</v>
      </c>
      <c r="J737" s="94">
        <f t="shared" si="480"/>
        <v>16659108.336877266</v>
      </c>
      <c r="K737" s="10">
        <f>+K429-K332</f>
        <v>13189486.710981425</v>
      </c>
      <c r="L737" s="10">
        <f>+L429-L332</f>
        <v>1401340.125747008</v>
      </c>
      <c r="M737" s="10">
        <f t="shared" si="481"/>
        <v>1840184.8759700321</v>
      </c>
      <c r="N737" s="10">
        <f t="shared" ref="N737:V737" si="486">+N429-N332</f>
        <v>14638.325188287898</v>
      </c>
      <c r="O737" s="10">
        <f t="shared" si="486"/>
        <v>1825546.5507817441</v>
      </c>
      <c r="P737" s="9">
        <f t="shared" si="470"/>
        <v>27853.437857398545</v>
      </c>
      <c r="Q737" s="10">
        <f t="shared" si="486"/>
        <v>11919.052974491362</v>
      </c>
      <c r="R737" s="10">
        <f t="shared" si="486"/>
        <v>13977.567454094347</v>
      </c>
      <c r="S737" s="10">
        <f>+S429-S332</f>
        <v>1956.8174288128375</v>
      </c>
      <c r="T737" s="10">
        <f t="shared" si="486"/>
        <v>3141.4947178033517</v>
      </c>
      <c r="U737" s="10">
        <f t="shared" si="486"/>
        <v>196618.83018245676</v>
      </c>
      <c r="V737" s="10">
        <f t="shared" si="486"/>
        <v>482.8614211414411</v>
      </c>
      <c r="W737" s="27" t="str">
        <f t="shared" si="485"/>
        <v>OK</v>
      </c>
    </row>
    <row r="738" spans="1:23" ht="12.75" customHeight="1" x14ac:dyDescent="0.2">
      <c r="A738" s="3">
        <f t="shared" si="484"/>
        <v>70</v>
      </c>
      <c r="B738" s="3" t="s">
        <v>639</v>
      </c>
      <c r="C738" s="3"/>
      <c r="D738" s="3"/>
      <c r="E738" s="3" t="s">
        <v>640</v>
      </c>
      <c r="F738" s="3"/>
      <c r="G738" s="3"/>
      <c r="H738" s="31">
        <f t="shared" si="471"/>
        <v>23098223685</v>
      </c>
      <c r="I738" s="94">
        <v>0</v>
      </c>
      <c r="J738" s="94">
        <f t="shared" si="480"/>
        <v>23098223685</v>
      </c>
      <c r="K738" s="10">
        <f>+Distribution!K738</f>
        <v>10406963633</v>
      </c>
      <c r="L738" s="10">
        <f>+Distribution!L738</f>
        <v>439655775</v>
      </c>
      <c r="M738" s="10">
        <f t="shared" si="481"/>
        <v>7833127601</v>
      </c>
      <c r="N738" s="10">
        <f>+Distribution!N738</f>
        <v>1070218509</v>
      </c>
      <c r="O738" s="10">
        <f>+Distribution!O738</f>
        <v>6762909092</v>
      </c>
      <c r="P738" s="9">
        <f t="shared" si="470"/>
        <v>2034106675</v>
      </c>
      <c r="Q738" s="10">
        <f>+Distribution!Q738</f>
        <v>1883007207.3428581</v>
      </c>
      <c r="R738" s="10">
        <f>+Distribution!R738</f>
        <v>96679116</v>
      </c>
      <c r="S738" s="10">
        <f>+Distribution!S738</f>
        <v>54420351.657141812</v>
      </c>
      <c r="T738" s="10">
        <f>+Distribution!T738</f>
        <v>2173288000</v>
      </c>
      <c r="U738" s="10">
        <f>+Distribution!U738</f>
        <v>211082001</v>
      </c>
      <c r="V738" s="10">
        <f>+Distribution!V738</f>
        <v>0</v>
      </c>
      <c r="W738" s="27" t="str">
        <f t="shared" si="485"/>
        <v>OK</v>
      </c>
    </row>
    <row r="739" spans="1:23" ht="12.75" customHeight="1" x14ac:dyDescent="0.2">
      <c r="A739" s="3">
        <f t="shared" si="484"/>
        <v>71</v>
      </c>
      <c r="B739" s="3" t="s">
        <v>557</v>
      </c>
      <c r="C739" s="3"/>
      <c r="D739" s="3"/>
      <c r="E739" s="3" t="s">
        <v>489</v>
      </c>
      <c r="F739" s="3"/>
      <c r="G739" s="3"/>
      <c r="H739" s="31">
        <f>SUM(I739:J739)</f>
        <v>0</v>
      </c>
      <c r="I739" s="94">
        <v>0</v>
      </c>
      <c r="J739" s="94">
        <f t="shared" si="480"/>
        <v>0</v>
      </c>
      <c r="K739" s="10">
        <f>+K590</f>
        <v>0</v>
      </c>
      <c r="L739" s="10">
        <f t="shared" ref="L739:V739" si="487">+L590</f>
        <v>0</v>
      </c>
      <c r="M739" s="10">
        <f t="shared" si="481"/>
        <v>0</v>
      </c>
      <c r="N739" s="10">
        <f t="shared" si="487"/>
        <v>0</v>
      </c>
      <c r="O739" s="10">
        <f t="shared" si="487"/>
        <v>0</v>
      </c>
      <c r="P739" s="9">
        <f t="shared" si="470"/>
        <v>0</v>
      </c>
      <c r="Q739" s="10">
        <f t="shared" si="487"/>
        <v>0</v>
      </c>
      <c r="R739" s="10">
        <f t="shared" si="487"/>
        <v>0</v>
      </c>
      <c r="S739" s="10">
        <f>+S590</f>
        <v>0</v>
      </c>
      <c r="T739" s="10">
        <f t="shared" si="487"/>
        <v>0</v>
      </c>
      <c r="U739" s="10">
        <f t="shared" si="487"/>
        <v>0</v>
      </c>
      <c r="V739" s="10">
        <f t="shared" si="487"/>
        <v>0</v>
      </c>
      <c r="W739" s="27" t="str">
        <f t="shared" si="485"/>
        <v>OK</v>
      </c>
    </row>
    <row r="740" spans="1:23" ht="12.75" customHeight="1" x14ac:dyDescent="0.2">
      <c r="A740" s="3"/>
      <c r="B740" s="7" t="s">
        <v>589</v>
      </c>
      <c r="C740" s="3"/>
      <c r="D740" s="3"/>
      <c r="E740" s="3"/>
      <c r="F740" s="3"/>
      <c r="G740" s="3"/>
      <c r="H740" s="5"/>
      <c r="I740" s="5"/>
      <c r="J740" s="5"/>
      <c r="K740" s="5"/>
      <c r="L740" s="2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27" t="str">
        <f t="shared" si="485"/>
        <v>OK</v>
      </c>
    </row>
    <row r="741" spans="1:23" ht="12.75" customHeight="1" x14ac:dyDescent="0.2">
      <c r="A741" s="3">
        <v>1</v>
      </c>
      <c r="B741" s="3" t="str">
        <f t="shared" ref="B741:B772" si="488">B669</f>
        <v>Generation Demand</v>
      </c>
      <c r="C741" s="3"/>
      <c r="D741" s="3"/>
      <c r="E741" s="3" t="str">
        <f t="shared" ref="E741:E756" si="489">E669</f>
        <v>DEMANDG</v>
      </c>
      <c r="F741" s="3"/>
      <c r="G741" s="3"/>
      <c r="H741" s="29">
        <f t="shared" ref="H741:H774" si="490">SUM(I741:J741)</f>
        <v>0.99999999999999989</v>
      </c>
      <c r="I741" s="29">
        <v>0</v>
      </c>
      <c r="J741" s="29">
        <f>SUM(K741:M741,P741,T741:V741)</f>
        <v>0.99999999999999989</v>
      </c>
      <c r="K741" s="29">
        <f t="shared" ref="K741:V741" si="491">IF($H669&lt;&gt;0,K669/$H669,0)</f>
        <v>0.48476544186418086</v>
      </c>
      <c r="L741" s="29">
        <f t="shared" si="491"/>
        <v>1.9173937159048283E-2</v>
      </c>
      <c r="M741" s="29">
        <f t="shared" si="491"/>
        <v>0.28551291531899664</v>
      </c>
      <c r="N741" s="29">
        <f t="shared" si="491"/>
        <v>2.8718751510505878E-2</v>
      </c>
      <c r="O741" s="29">
        <f t="shared" si="491"/>
        <v>0.25679416380849074</v>
      </c>
      <c r="P741" s="29">
        <f t="shared" si="491"/>
        <v>8.0892016757904861E-2</v>
      </c>
      <c r="Q741" s="29">
        <f t="shared" si="491"/>
        <v>6.3330866876052411E-2</v>
      </c>
      <c r="R741" s="29">
        <f t="shared" si="491"/>
        <v>5.1825476369504958E-3</v>
      </c>
      <c r="S741" s="29">
        <f t="shared" si="491"/>
        <v>1.2378602244901962E-2</v>
      </c>
      <c r="T741" s="29">
        <f t="shared" si="491"/>
        <v>0.12965568889986934</v>
      </c>
      <c r="U741" s="29">
        <f t="shared" si="491"/>
        <v>0</v>
      </c>
      <c r="V741" s="29">
        <f t="shared" si="491"/>
        <v>0</v>
      </c>
      <c r="W741" s="27" t="str">
        <f t="shared" si="485"/>
        <v>OK</v>
      </c>
    </row>
    <row r="742" spans="1:23" ht="12.75" customHeight="1" x14ac:dyDescent="0.2">
      <c r="A742" s="3">
        <f>1+A741</f>
        <v>2</v>
      </c>
      <c r="B742" s="3" t="str">
        <f t="shared" si="488"/>
        <v>Retail Generation Demand</v>
      </c>
      <c r="C742" s="3"/>
      <c r="D742" s="3"/>
      <c r="E742" s="3" t="str">
        <f t="shared" si="489"/>
        <v>TDEMANDG</v>
      </c>
      <c r="F742" s="3"/>
      <c r="G742" s="3"/>
      <c r="H742" s="29">
        <f>SUM(I742:J742)</f>
        <v>0.99999999999999989</v>
      </c>
      <c r="I742" s="29">
        <v>0</v>
      </c>
      <c r="J742" s="29">
        <f t="shared" ref="J742:J805" si="492">SUM(K742:M742,P742,T742:V742)</f>
        <v>0.99999999999999989</v>
      </c>
      <c r="K742" s="29">
        <f t="shared" ref="K742:V742" si="493">IF($H670&lt;&gt;0,K670/$H670,0)</f>
        <v>0.48476544186418086</v>
      </c>
      <c r="L742" s="29">
        <f t="shared" si="493"/>
        <v>1.9173937159048283E-2</v>
      </c>
      <c r="M742" s="29">
        <f t="shared" si="493"/>
        <v>0.28551291531899664</v>
      </c>
      <c r="N742" s="29">
        <f t="shared" si="493"/>
        <v>2.8718751510505878E-2</v>
      </c>
      <c r="O742" s="29">
        <f t="shared" si="493"/>
        <v>0.25679416380849074</v>
      </c>
      <c r="P742" s="29">
        <f t="shared" si="493"/>
        <v>8.0892016757904861E-2</v>
      </c>
      <c r="Q742" s="29">
        <f t="shared" si="493"/>
        <v>6.3330866876052411E-2</v>
      </c>
      <c r="R742" s="29">
        <f t="shared" si="493"/>
        <v>5.1825476369504958E-3</v>
      </c>
      <c r="S742" s="29">
        <f t="shared" si="493"/>
        <v>1.2378602244901962E-2</v>
      </c>
      <c r="T742" s="29">
        <f t="shared" si="493"/>
        <v>0.12965568889986934</v>
      </c>
      <c r="U742" s="29">
        <f t="shared" si="493"/>
        <v>0</v>
      </c>
      <c r="V742" s="29">
        <f t="shared" si="493"/>
        <v>0</v>
      </c>
      <c r="W742" s="27" t="str">
        <f t="shared" si="485"/>
        <v>OK</v>
      </c>
    </row>
    <row r="743" spans="1:23" ht="12.75" customHeight="1" x14ac:dyDescent="0.2">
      <c r="A743" s="3">
        <f t="shared" ref="A743:A807" si="494">1+A742</f>
        <v>3</v>
      </c>
      <c r="B743" s="3" t="str">
        <f t="shared" si="488"/>
        <v>Transmission Demands</v>
      </c>
      <c r="C743" s="3"/>
      <c r="D743" s="3"/>
      <c r="E743" s="3" t="str">
        <f t="shared" si="489"/>
        <v>DEMANDT</v>
      </c>
      <c r="F743" s="3"/>
      <c r="G743" s="3"/>
      <c r="H743" s="29">
        <f t="shared" si="490"/>
        <v>1</v>
      </c>
      <c r="I743" s="29">
        <v>0</v>
      </c>
      <c r="J743" s="29">
        <f t="shared" si="492"/>
        <v>1</v>
      </c>
      <c r="K743" s="29">
        <f t="shared" ref="K743:V743" si="495">IF($H671&lt;&gt;0,K671/$H671,0)</f>
        <v>0.47672758051311936</v>
      </c>
      <c r="L743" s="29">
        <f t="shared" si="495"/>
        <v>1.7692674150235652E-2</v>
      </c>
      <c r="M743" s="29">
        <f t="shared" si="495"/>
        <v>0.28831850957647071</v>
      </c>
      <c r="N743" s="29">
        <f t="shared" si="495"/>
        <v>3.1528858917611362E-2</v>
      </c>
      <c r="O743" s="29">
        <f t="shared" si="495"/>
        <v>0.25678965065885934</v>
      </c>
      <c r="P743" s="29">
        <f t="shared" si="495"/>
        <v>0.10697821994662522</v>
      </c>
      <c r="Q743" s="29">
        <f t="shared" si="495"/>
        <v>9.9062842553663849E-2</v>
      </c>
      <c r="R743" s="29">
        <f t="shared" si="495"/>
        <v>7.9153773929613747E-3</v>
      </c>
      <c r="S743" s="29">
        <f t="shared" ref="S743:S773" si="496">IF($H671&lt;&gt;0,S671/$H671,0)</f>
        <v>0</v>
      </c>
      <c r="T743" s="29">
        <f t="shared" si="495"/>
        <v>0.11028301581354905</v>
      </c>
      <c r="U743" s="29">
        <f t="shared" si="495"/>
        <v>0</v>
      </c>
      <c r="V743" s="29">
        <f t="shared" si="495"/>
        <v>0</v>
      </c>
      <c r="W743" s="27" t="str">
        <f t="shared" si="485"/>
        <v>OK</v>
      </c>
    </row>
    <row r="744" spans="1:23" x14ac:dyDescent="0.2">
      <c r="A744" s="3">
        <f t="shared" si="494"/>
        <v>4</v>
      </c>
      <c r="B744" s="3" t="str">
        <f t="shared" si="488"/>
        <v>Distribution Primary Demands</v>
      </c>
      <c r="C744" s="3"/>
      <c r="D744" s="3"/>
      <c r="E744" s="3" t="str">
        <f t="shared" si="489"/>
        <v>DEMANDDP</v>
      </c>
      <c r="F744" s="3"/>
      <c r="G744" s="3"/>
      <c r="H744" s="29">
        <f t="shared" si="490"/>
        <v>1</v>
      </c>
      <c r="I744" s="29">
        <v>0</v>
      </c>
      <c r="J744" s="29">
        <f t="shared" si="492"/>
        <v>1</v>
      </c>
      <c r="K744" s="29">
        <f t="shared" ref="K744:V744" si="497">IF($H672&lt;&gt;0,K672/$H672,0)</f>
        <v>0.56562884643019973</v>
      </c>
      <c r="L744" s="29">
        <f t="shared" si="497"/>
        <v>1.97312653517689E-2</v>
      </c>
      <c r="M744" s="29">
        <f t="shared" si="497"/>
        <v>0.29757757165355436</v>
      </c>
      <c r="N744" s="29">
        <f t="shared" si="497"/>
        <v>3.9958373888776655E-2</v>
      </c>
      <c r="O744" s="29">
        <f t="shared" si="497"/>
        <v>0.25761919776477776</v>
      </c>
      <c r="P744" s="29">
        <f t="shared" si="497"/>
        <v>0.10219418819302059</v>
      </c>
      <c r="Q744" s="29">
        <f t="shared" si="497"/>
        <v>8.313467748709566E-2</v>
      </c>
      <c r="R744" s="29">
        <f t="shared" si="497"/>
        <v>6.0161046668279891E-3</v>
      </c>
      <c r="S744" s="29">
        <f t="shared" si="496"/>
        <v>1.3043406039096929E-2</v>
      </c>
      <c r="T744" s="29">
        <f t="shared" si="497"/>
        <v>0</v>
      </c>
      <c r="U744" s="29">
        <f t="shared" si="497"/>
        <v>1.1073297789590332E-2</v>
      </c>
      <c r="V744" s="29">
        <f t="shared" si="497"/>
        <v>3.7948305818661151E-3</v>
      </c>
      <c r="W744" s="27" t="str">
        <f t="shared" si="485"/>
        <v>OK</v>
      </c>
    </row>
    <row r="745" spans="1:23" x14ac:dyDescent="0.2">
      <c r="A745" s="3">
        <f t="shared" si="494"/>
        <v>5</v>
      </c>
      <c r="B745" s="3" t="str">
        <f t="shared" si="488"/>
        <v>Distribution Secondary Demand</v>
      </c>
      <c r="C745" s="3"/>
      <c r="D745" s="3"/>
      <c r="E745" s="3" t="str">
        <f t="shared" si="489"/>
        <v>DEMANDDS</v>
      </c>
      <c r="F745" s="3"/>
      <c r="G745" s="3"/>
      <c r="H745" s="29">
        <f t="shared" si="490"/>
        <v>1</v>
      </c>
      <c r="I745" s="29">
        <v>0</v>
      </c>
      <c r="J745" s="29">
        <f t="shared" si="492"/>
        <v>1</v>
      </c>
      <c r="K745" s="29">
        <f t="shared" ref="K745:V745" si="498">IF($H673&lt;&gt;0,K673/$H673,0)</f>
        <v>0.6326866876457008</v>
      </c>
      <c r="L745" s="29">
        <f t="shared" si="498"/>
        <v>2.2070495515312399E-2</v>
      </c>
      <c r="M745" s="29">
        <f t="shared" si="498"/>
        <v>0.33285672984214043</v>
      </c>
      <c r="N745" s="29">
        <f t="shared" si="498"/>
        <v>4.4695618653385512E-2</v>
      </c>
      <c r="O745" s="29">
        <f t="shared" si="498"/>
        <v>0.28816111118875493</v>
      </c>
      <c r="P745" s="29">
        <f t="shared" si="498"/>
        <v>0</v>
      </c>
      <c r="Q745" s="29">
        <f t="shared" si="498"/>
        <v>0</v>
      </c>
      <c r="R745" s="29">
        <f t="shared" si="498"/>
        <v>0</v>
      </c>
      <c r="S745" s="29">
        <f t="shared" si="496"/>
        <v>0</v>
      </c>
      <c r="T745" s="29">
        <f t="shared" si="498"/>
        <v>0</v>
      </c>
      <c r="U745" s="29">
        <f t="shared" si="498"/>
        <v>1.2386086996846474E-2</v>
      </c>
      <c r="V745" s="29">
        <f t="shared" si="498"/>
        <v>0</v>
      </c>
      <c r="W745" s="27" t="str">
        <f t="shared" si="485"/>
        <v>OK</v>
      </c>
    </row>
    <row r="746" spans="1:23" x14ac:dyDescent="0.2">
      <c r="A746" s="3">
        <f t="shared" si="494"/>
        <v>6</v>
      </c>
      <c r="B746" s="3" t="str">
        <f t="shared" si="488"/>
        <v>Energy</v>
      </c>
      <c r="C746" s="3"/>
      <c r="D746" s="3"/>
      <c r="E746" s="3" t="str">
        <f t="shared" si="489"/>
        <v>ENERGY</v>
      </c>
      <c r="F746" s="3"/>
      <c r="G746" s="3"/>
      <c r="H746" s="29">
        <f t="shared" si="490"/>
        <v>1</v>
      </c>
      <c r="I746" s="29">
        <v>0</v>
      </c>
      <c r="J746" s="29">
        <f t="shared" si="492"/>
        <v>1</v>
      </c>
      <c r="K746" s="29">
        <f t="shared" ref="K746:V746" si="499">IF($H674&lt;&gt;0,K674/$H674,0)</f>
        <v>0.33315383825846551</v>
      </c>
      <c r="L746" s="29">
        <f t="shared" si="499"/>
        <v>1.7785132550554278E-2</v>
      </c>
      <c r="M746" s="29">
        <f t="shared" si="499"/>
        <v>0.24358449147409816</v>
      </c>
      <c r="N746" s="29">
        <f t="shared" si="499"/>
        <v>3.4653794281010009E-2</v>
      </c>
      <c r="O746" s="29">
        <f t="shared" si="499"/>
        <v>0.20893069719308816</v>
      </c>
      <c r="P746" s="29">
        <f t="shared" si="499"/>
        <v>0.10635808377304803</v>
      </c>
      <c r="Q746" s="29">
        <f t="shared" si="499"/>
        <v>9.9447322418830891E-2</v>
      </c>
      <c r="R746" s="29">
        <f t="shared" si="499"/>
        <v>6.9107613542171457E-3</v>
      </c>
      <c r="S746" s="29">
        <f t="shared" si="496"/>
        <v>0</v>
      </c>
      <c r="T746" s="29">
        <f t="shared" si="499"/>
        <v>0.2920269284189978</v>
      </c>
      <c r="U746" s="29">
        <f t="shared" si="499"/>
        <v>6.3081480918998067E-3</v>
      </c>
      <c r="V746" s="29">
        <f t="shared" si="499"/>
        <v>7.8337743293651588E-4</v>
      </c>
      <c r="W746" s="27" t="str">
        <f t="shared" si="485"/>
        <v>OK</v>
      </c>
    </row>
    <row r="747" spans="1:23" x14ac:dyDescent="0.2">
      <c r="A747" s="3">
        <f t="shared" si="494"/>
        <v>7</v>
      </c>
      <c r="B747" s="3" t="str">
        <f t="shared" si="488"/>
        <v>Non-Coincident Peaks</v>
      </c>
      <c r="C747" s="3"/>
      <c r="D747" s="3"/>
      <c r="E747" s="3" t="str">
        <f t="shared" si="489"/>
        <v>NCP</v>
      </c>
      <c r="F747" s="3"/>
      <c r="G747" s="3"/>
      <c r="H747" s="29">
        <f t="shared" si="490"/>
        <v>1.0000000000000002</v>
      </c>
      <c r="I747" s="29">
        <v>0</v>
      </c>
      <c r="J747" s="29">
        <f t="shared" si="492"/>
        <v>1.0000000000000002</v>
      </c>
      <c r="K747" s="29">
        <f t="shared" ref="K747:V747" si="500">IF($H675&lt;&gt;0,K675/$H675,0)</f>
        <v>0.52568966682427709</v>
      </c>
      <c r="L747" s="29">
        <f t="shared" si="500"/>
        <v>1.9236199277309123E-2</v>
      </c>
      <c r="M747" s="29">
        <f t="shared" si="500"/>
        <v>0.20596377091126875</v>
      </c>
      <c r="N747" s="29">
        <f t="shared" si="500"/>
        <v>2.3904743886298763E-2</v>
      </c>
      <c r="O747" s="29">
        <f t="shared" si="500"/>
        <v>0.18205902702496998</v>
      </c>
      <c r="P747" s="29">
        <f t="shared" si="500"/>
        <v>6.7649878469483865E-2</v>
      </c>
      <c r="Q747" s="29">
        <f t="shared" si="500"/>
        <v>5.5103401282419626E-2</v>
      </c>
      <c r="R747" s="29">
        <f t="shared" si="500"/>
        <v>4.4334957432347289E-3</v>
      </c>
      <c r="S747" s="29">
        <f t="shared" si="496"/>
        <v>8.1129814438295183E-3</v>
      </c>
      <c r="T747" s="29">
        <f t="shared" si="500"/>
        <v>0.17243152124247765</v>
      </c>
      <c r="U747" s="29">
        <f t="shared" si="500"/>
        <v>5.3734293385046599E-3</v>
      </c>
      <c r="V747" s="29">
        <f t="shared" si="500"/>
        <v>3.6555339366789582E-3</v>
      </c>
      <c r="W747" s="27" t="str">
        <f t="shared" si="485"/>
        <v>OK</v>
      </c>
    </row>
    <row r="748" spans="1:23" x14ac:dyDescent="0.2">
      <c r="A748" s="3">
        <f t="shared" si="494"/>
        <v>8</v>
      </c>
      <c r="B748" s="3" t="str">
        <f t="shared" si="488"/>
        <v>Customers</v>
      </c>
      <c r="C748" s="3"/>
      <c r="D748" s="3"/>
      <c r="E748" s="3" t="str">
        <f t="shared" si="489"/>
        <v>CUSTOMERS</v>
      </c>
      <c r="F748" s="3"/>
      <c r="G748" s="3"/>
      <c r="H748" s="29">
        <f t="shared" si="490"/>
        <v>1</v>
      </c>
      <c r="I748" s="29">
        <v>0</v>
      </c>
      <c r="J748" s="29">
        <f t="shared" si="492"/>
        <v>1</v>
      </c>
      <c r="K748" s="29">
        <f t="shared" ref="K748:V748" si="501">IF($H676&lt;&gt;0,K676/$H676,0)</f>
        <v>0.70338161489917128</v>
      </c>
      <c r="L748" s="29">
        <f t="shared" si="501"/>
        <v>7.4732012114639326E-2</v>
      </c>
      <c r="M748" s="29">
        <f t="shared" si="501"/>
        <v>5.4457966157527918E-2</v>
      </c>
      <c r="N748" s="29">
        <f t="shared" si="501"/>
        <v>4.3320289614186193E-4</v>
      </c>
      <c r="O748" s="29">
        <f t="shared" si="501"/>
        <v>5.4024763261386055E-2</v>
      </c>
      <c r="P748" s="29">
        <f t="shared" si="501"/>
        <v>8.1676796043413547E-4</v>
      </c>
      <c r="Q748" s="29">
        <f t="shared" si="501"/>
        <v>3.5272944147662021E-4</v>
      </c>
      <c r="R748" s="29">
        <f t="shared" si="501"/>
        <v>4.1364859874656954E-4</v>
      </c>
      <c r="S748" s="29">
        <f t="shared" si="496"/>
        <v>5.0389920210945741E-5</v>
      </c>
      <c r="T748" s="29">
        <f t="shared" si="501"/>
        <v>9.2506868446960095E-5</v>
      </c>
      <c r="U748" s="29">
        <f t="shared" si="501"/>
        <v>0.16650484232091459</v>
      </c>
      <c r="V748" s="29">
        <f t="shared" si="501"/>
        <v>1.4289678865790585E-5</v>
      </c>
      <c r="W748" s="27" t="str">
        <f t="shared" si="485"/>
        <v>OK</v>
      </c>
    </row>
    <row r="749" spans="1:23" x14ac:dyDescent="0.2">
      <c r="A749" s="3">
        <f t="shared" si="494"/>
        <v>9</v>
      </c>
      <c r="B749" s="3" t="str">
        <f t="shared" si="488"/>
        <v>Distribution Customers</v>
      </c>
      <c r="C749" s="3"/>
      <c r="D749" s="3"/>
      <c r="E749" s="3" t="str">
        <f t="shared" si="489"/>
        <v>DCUSTOMERS</v>
      </c>
      <c r="F749" s="3"/>
      <c r="G749" s="3"/>
      <c r="H749" s="29">
        <f t="shared" si="490"/>
        <v>0.99999999999999989</v>
      </c>
      <c r="I749" s="29">
        <v>0</v>
      </c>
      <c r="J749" s="29">
        <f t="shared" si="492"/>
        <v>0.99999999999999989</v>
      </c>
      <c r="K749" s="29">
        <f t="shared" ref="K749:V749" si="502">IF($H677&lt;&gt;0,K677/$H677,0)</f>
        <v>0.70405992396582229</v>
      </c>
      <c r="L749" s="29">
        <f t="shared" si="502"/>
        <v>7.4804080249934124E-2</v>
      </c>
      <c r="M749" s="29">
        <f t="shared" si="502"/>
        <v>5.4510482929950692E-2</v>
      </c>
      <c r="N749" s="29">
        <f t="shared" si="502"/>
        <v>4.3362065720630859E-4</v>
      </c>
      <c r="O749" s="29">
        <f t="shared" si="502"/>
        <v>5.4076862272744379E-2</v>
      </c>
      <c r="P749" s="29">
        <f t="shared" si="502"/>
        <v>8.1755561410772764E-4</v>
      </c>
      <c r="Q749" s="29">
        <f t="shared" si="502"/>
        <v>3.5306959762110892E-4</v>
      </c>
      <c r="R749" s="29">
        <f t="shared" si="502"/>
        <v>4.1404750254074601E-4</v>
      </c>
      <c r="S749" s="29">
        <f t="shared" si="496"/>
        <v>5.0438513945872697E-5</v>
      </c>
      <c r="T749" s="29">
        <f t="shared" si="502"/>
        <v>0</v>
      </c>
      <c r="U749" s="29">
        <f t="shared" si="502"/>
        <v>0.16579365378100652</v>
      </c>
      <c r="V749" s="29">
        <f t="shared" si="502"/>
        <v>1.4303459178680319E-5</v>
      </c>
      <c r="W749" s="27" t="str">
        <f t="shared" si="485"/>
        <v>OK</v>
      </c>
    </row>
    <row r="750" spans="1:23" x14ac:dyDescent="0.2">
      <c r="A750" s="3">
        <f t="shared" si="494"/>
        <v>10</v>
      </c>
      <c r="B750" s="3" t="str">
        <f t="shared" si="488"/>
        <v>Services Account 369</v>
      </c>
      <c r="C750" s="3"/>
      <c r="D750" s="3"/>
      <c r="E750" s="3" t="str">
        <f t="shared" si="489"/>
        <v>SERVICES</v>
      </c>
      <c r="F750" s="3"/>
      <c r="G750" s="3"/>
      <c r="H750" s="29">
        <f t="shared" si="490"/>
        <v>1</v>
      </c>
      <c r="I750" s="29">
        <v>0</v>
      </c>
      <c r="J750" s="29">
        <f t="shared" si="492"/>
        <v>1</v>
      </c>
      <c r="K750" s="29">
        <f t="shared" ref="K750:V750" si="503">IF($H678&lt;&gt;0,K678/$H678,0)</f>
        <v>0.80945094244580651</v>
      </c>
      <c r="L750" s="29">
        <f t="shared" si="503"/>
        <v>8.1788266900236981E-2</v>
      </c>
      <c r="M750" s="29">
        <f t="shared" si="503"/>
        <v>0.10876079065395647</v>
      </c>
      <c r="N750" s="29">
        <f t="shared" si="503"/>
        <v>4.4833035888931777E-4</v>
      </c>
      <c r="O750" s="29">
        <f t="shared" si="503"/>
        <v>0.10831246029506715</v>
      </c>
      <c r="P750" s="29">
        <f t="shared" si="503"/>
        <v>0</v>
      </c>
      <c r="Q750" s="29">
        <f t="shared" si="503"/>
        <v>0</v>
      </c>
      <c r="R750" s="29">
        <f t="shared" si="503"/>
        <v>0</v>
      </c>
      <c r="S750" s="29">
        <f t="shared" si="496"/>
        <v>0</v>
      </c>
      <c r="T750" s="29">
        <f t="shared" si="503"/>
        <v>0</v>
      </c>
      <c r="U750" s="29">
        <f t="shared" si="503"/>
        <v>0</v>
      </c>
      <c r="V750" s="29">
        <f t="shared" si="503"/>
        <v>0</v>
      </c>
      <c r="W750" s="27" t="str">
        <f t="shared" si="485"/>
        <v>OK</v>
      </c>
    </row>
    <row r="751" spans="1:23" x14ac:dyDescent="0.2">
      <c r="A751" s="3">
        <f t="shared" si="494"/>
        <v>11</v>
      </c>
      <c r="B751" s="3" t="str">
        <f t="shared" si="488"/>
        <v>Meters Account 370</v>
      </c>
      <c r="C751" s="3"/>
      <c r="D751" s="3"/>
      <c r="E751" s="3" t="str">
        <f t="shared" si="489"/>
        <v>METERS</v>
      </c>
      <c r="F751" s="3"/>
      <c r="G751" s="3"/>
      <c r="H751" s="29">
        <f t="shared" si="490"/>
        <v>1</v>
      </c>
      <c r="I751" s="29">
        <v>0</v>
      </c>
      <c r="J751" s="29">
        <f t="shared" si="492"/>
        <v>1</v>
      </c>
      <c r="K751" s="29">
        <f t="shared" ref="K751:V751" si="504">IF($H679&lt;&gt;0,K679/$H679,0)</f>
        <v>0.46880677347274763</v>
      </c>
      <c r="L751" s="29">
        <f t="shared" si="504"/>
        <v>8.907830987981738E-2</v>
      </c>
      <c r="M751" s="29">
        <f t="shared" si="504"/>
        <v>0.35363489466923814</v>
      </c>
      <c r="N751" s="29">
        <f t="shared" si="504"/>
        <v>6.8991555923726654E-3</v>
      </c>
      <c r="O751" s="29">
        <f t="shared" si="504"/>
        <v>0.3467357390768655</v>
      </c>
      <c r="P751" s="29">
        <f t="shared" si="504"/>
        <v>4.75584381554792E-2</v>
      </c>
      <c r="Q751" s="29">
        <f t="shared" si="504"/>
        <v>2.0538588853517264E-2</v>
      </c>
      <c r="R751" s="29">
        <f t="shared" si="504"/>
        <v>2.4085765180030902E-2</v>
      </c>
      <c r="S751" s="29">
        <f t="shared" si="496"/>
        <v>2.9340841219310373E-3</v>
      </c>
      <c r="T751" s="29">
        <f t="shared" si="504"/>
        <v>4.0089530116498309E-2</v>
      </c>
      <c r="U751" s="29">
        <f t="shared" si="504"/>
        <v>0</v>
      </c>
      <c r="V751" s="29">
        <f t="shared" si="504"/>
        <v>8.3205370621924945E-4</v>
      </c>
      <c r="W751" s="27" t="str">
        <f t="shared" si="485"/>
        <v>OK</v>
      </c>
    </row>
    <row r="752" spans="1:23" x14ac:dyDescent="0.2">
      <c r="A752" s="3">
        <f t="shared" si="494"/>
        <v>12</v>
      </c>
      <c r="B752" s="3" t="str">
        <f t="shared" si="488"/>
        <v>Non-Roadway Lighting Account 371</v>
      </c>
      <c r="C752" s="3"/>
      <c r="D752" s="3"/>
      <c r="E752" s="3" t="str">
        <f t="shared" si="489"/>
        <v>NROADLIGHT</v>
      </c>
      <c r="F752" s="3"/>
      <c r="G752" s="3"/>
      <c r="H752" s="29">
        <f t="shared" si="490"/>
        <v>1</v>
      </c>
      <c r="I752" s="29">
        <v>0</v>
      </c>
      <c r="J752" s="29">
        <f t="shared" si="492"/>
        <v>1</v>
      </c>
      <c r="K752" s="29">
        <f t="shared" ref="K752:V752" si="505">IF($H680&lt;&gt;0,K680/$H680,0)</f>
        <v>0</v>
      </c>
      <c r="L752" s="29">
        <f t="shared" si="505"/>
        <v>0</v>
      </c>
      <c r="M752" s="29">
        <f t="shared" si="505"/>
        <v>0</v>
      </c>
      <c r="N752" s="29">
        <f t="shared" si="505"/>
        <v>0</v>
      </c>
      <c r="O752" s="29">
        <f t="shared" si="505"/>
        <v>0</v>
      </c>
      <c r="P752" s="29">
        <f t="shared" si="505"/>
        <v>0</v>
      </c>
      <c r="Q752" s="29">
        <f t="shared" si="505"/>
        <v>0</v>
      </c>
      <c r="R752" s="29">
        <f t="shared" si="505"/>
        <v>0</v>
      </c>
      <c r="S752" s="29">
        <f t="shared" si="496"/>
        <v>0</v>
      </c>
      <c r="T752" s="29">
        <f t="shared" si="505"/>
        <v>0</v>
      </c>
      <c r="U752" s="29">
        <f t="shared" si="505"/>
        <v>1</v>
      </c>
      <c r="V752" s="29">
        <f t="shared" si="505"/>
        <v>0</v>
      </c>
      <c r="W752" s="27" t="str">
        <f t="shared" si="485"/>
        <v>OK</v>
      </c>
    </row>
    <row r="753" spans="1:23" x14ac:dyDescent="0.2">
      <c r="A753" s="3">
        <f t="shared" si="494"/>
        <v>13</v>
      </c>
      <c r="B753" s="3" t="str">
        <f t="shared" si="488"/>
        <v>Roadway Lighting Account 373</v>
      </c>
      <c r="C753" s="3"/>
      <c r="D753" s="3"/>
      <c r="E753" s="3" t="str">
        <f t="shared" si="489"/>
        <v>ROADLIGHT</v>
      </c>
      <c r="F753" s="3"/>
      <c r="G753" s="3"/>
      <c r="H753" s="29">
        <f t="shared" si="490"/>
        <v>1</v>
      </c>
      <c r="I753" s="29">
        <v>0</v>
      </c>
      <c r="J753" s="29">
        <f t="shared" si="492"/>
        <v>1</v>
      </c>
      <c r="K753" s="29">
        <f t="shared" ref="K753:V753" si="506">IF($H681&lt;&gt;0,K681/$H681,0)</f>
        <v>0</v>
      </c>
      <c r="L753" s="29">
        <f t="shared" si="506"/>
        <v>0</v>
      </c>
      <c r="M753" s="29">
        <f t="shared" si="506"/>
        <v>0</v>
      </c>
      <c r="N753" s="29">
        <f t="shared" si="506"/>
        <v>0</v>
      </c>
      <c r="O753" s="29">
        <f t="shared" si="506"/>
        <v>0</v>
      </c>
      <c r="P753" s="29">
        <f t="shared" si="506"/>
        <v>0</v>
      </c>
      <c r="Q753" s="29">
        <f t="shared" si="506"/>
        <v>0</v>
      </c>
      <c r="R753" s="29">
        <f t="shared" si="506"/>
        <v>0</v>
      </c>
      <c r="S753" s="29">
        <f t="shared" si="496"/>
        <v>0</v>
      </c>
      <c r="T753" s="29">
        <f t="shared" si="506"/>
        <v>0</v>
      </c>
      <c r="U753" s="29">
        <f t="shared" si="506"/>
        <v>1</v>
      </c>
      <c r="V753" s="29">
        <f t="shared" si="506"/>
        <v>0</v>
      </c>
      <c r="W753" s="27" t="str">
        <f t="shared" si="485"/>
        <v>OK</v>
      </c>
    </row>
    <row r="754" spans="1:23" x14ac:dyDescent="0.2">
      <c r="A754" s="3">
        <f t="shared" si="494"/>
        <v>14</v>
      </c>
      <c r="B754" s="3" t="str">
        <f t="shared" si="488"/>
        <v>Meter Reading Expense 902</v>
      </c>
      <c r="C754" s="3"/>
      <c r="D754" s="3"/>
      <c r="E754" s="3" t="str">
        <f t="shared" si="489"/>
        <v>METEREAD</v>
      </c>
      <c r="F754" s="3"/>
      <c r="G754" s="3"/>
      <c r="H754" s="29">
        <f t="shared" si="490"/>
        <v>1</v>
      </c>
      <c r="I754" s="29">
        <v>0</v>
      </c>
      <c r="J754" s="29">
        <f t="shared" si="492"/>
        <v>1</v>
      </c>
      <c r="K754" s="29">
        <f t="shared" ref="K754:V754" si="507">IF($H682&lt;&gt;0,K682/$H682,0)</f>
        <v>0.84474701071787928</v>
      </c>
      <c r="L754" s="29">
        <f t="shared" si="507"/>
        <v>8.8283856702332714E-2</v>
      </c>
      <c r="M754" s="29">
        <f t="shared" si="507"/>
        <v>6.5942145490740858E-2</v>
      </c>
      <c r="N754" s="29">
        <f t="shared" si="507"/>
        <v>5.2478407980330983E-4</v>
      </c>
      <c r="O754" s="29">
        <f t="shared" si="507"/>
        <v>6.5417361410937541E-2</v>
      </c>
      <c r="P754" s="29">
        <f t="shared" si="507"/>
        <v>1.0089222325994787E-3</v>
      </c>
      <c r="Q754" s="29">
        <f t="shared" si="507"/>
        <v>4.3536304038759954E-4</v>
      </c>
      <c r="R754" s="29">
        <f t="shared" si="507"/>
        <v>5.1123543746759619E-4</v>
      </c>
      <c r="S754" s="29">
        <f t="shared" si="496"/>
        <v>6.232375474428292E-5</v>
      </c>
      <c r="T754" s="29">
        <f t="shared" si="507"/>
        <v>0</v>
      </c>
      <c r="U754" s="29">
        <f t="shared" si="507"/>
        <v>0</v>
      </c>
      <c r="V754" s="29">
        <f t="shared" si="507"/>
        <v>1.8064856447618241E-5</v>
      </c>
      <c r="W754" s="27" t="str">
        <f t="shared" si="485"/>
        <v>OK</v>
      </c>
    </row>
    <row r="755" spans="1:23" x14ac:dyDescent="0.2">
      <c r="A755" s="3">
        <f t="shared" si="494"/>
        <v>15</v>
      </c>
      <c r="B755" s="3" t="str">
        <f t="shared" si="488"/>
        <v>Billing 903</v>
      </c>
      <c r="C755" s="3"/>
      <c r="D755" s="3"/>
      <c r="E755" s="3" t="str">
        <f t="shared" si="489"/>
        <v>BILLING</v>
      </c>
      <c r="F755" s="3"/>
      <c r="G755" s="3"/>
      <c r="H755" s="29">
        <f t="shared" si="490"/>
        <v>1</v>
      </c>
      <c r="I755" s="29">
        <v>0</v>
      </c>
      <c r="J755" s="29">
        <f t="shared" si="492"/>
        <v>1</v>
      </c>
      <c r="K755" s="29">
        <f t="shared" ref="K755:V755" si="508">IF($H683&lt;&gt;0,K683/$H683,0)</f>
        <v>0.84188236600260902</v>
      </c>
      <c r="L755" s="29">
        <f t="shared" si="508"/>
        <v>8.9447267091601543E-2</v>
      </c>
      <c r="M755" s="29">
        <f t="shared" si="508"/>
        <v>6.5181119928705761E-2</v>
      </c>
      <c r="N755" s="29">
        <f t="shared" si="508"/>
        <v>5.1850357108832487E-4</v>
      </c>
      <c r="O755" s="29">
        <f t="shared" si="508"/>
        <v>6.4662616357617428E-2</v>
      </c>
      <c r="P755" s="29">
        <f t="shared" si="508"/>
        <v>9.9469869106353997E-4</v>
      </c>
      <c r="Q755" s="29">
        <f t="shared" si="508"/>
        <v>4.2218433132018118E-4</v>
      </c>
      <c r="R755" s="29">
        <f t="shared" si="508"/>
        <v>4.9509889600447691E-4</v>
      </c>
      <c r="S755" s="29">
        <f t="shared" si="496"/>
        <v>7.7415463738881839E-5</v>
      </c>
      <c r="T755" s="29">
        <f t="shared" si="508"/>
        <v>1.1177232652222281E-4</v>
      </c>
      <c r="U755" s="29">
        <f t="shared" si="508"/>
        <v>2.365672543090482E-3</v>
      </c>
      <c r="V755" s="29">
        <f t="shared" si="508"/>
        <v>1.7103416407427381E-5</v>
      </c>
      <c r="W755" s="27" t="str">
        <f t="shared" si="485"/>
        <v>OK</v>
      </c>
    </row>
    <row r="756" spans="1:23" x14ac:dyDescent="0.2">
      <c r="A756" s="3">
        <f t="shared" si="494"/>
        <v>16</v>
      </c>
      <c r="B756" s="3" t="str">
        <f t="shared" si="488"/>
        <v>Customer Deposits</v>
      </c>
      <c r="C756" s="3"/>
      <c r="D756" s="3"/>
      <c r="E756" s="3" t="str">
        <f t="shared" si="489"/>
        <v>CUSTDEP</v>
      </c>
      <c r="F756" s="3"/>
      <c r="G756" s="3"/>
      <c r="H756" s="29">
        <f t="shared" si="490"/>
        <v>0</v>
      </c>
      <c r="I756" s="29">
        <v>0</v>
      </c>
      <c r="J756" s="29">
        <f t="shared" si="492"/>
        <v>0</v>
      </c>
      <c r="K756" s="29">
        <f t="shared" ref="K756:V756" si="509">IF($H684&lt;&gt;0,K684/$H684,0)</f>
        <v>0</v>
      </c>
      <c r="L756" s="29">
        <f t="shared" si="509"/>
        <v>0</v>
      </c>
      <c r="M756" s="29">
        <f t="shared" si="509"/>
        <v>0</v>
      </c>
      <c r="N756" s="29">
        <f t="shared" si="509"/>
        <v>0</v>
      </c>
      <c r="O756" s="29">
        <f t="shared" si="509"/>
        <v>0</v>
      </c>
      <c r="P756" s="29">
        <f t="shared" si="509"/>
        <v>0</v>
      </c>
      <c r="Q756" s="29">
        <f t="shared" si="509"/>
        <v>0</v>
      </c>
      <c r="R756" s="29">
        <f t="shared" si="509"/>
        <v>0</v>
      </c>
      <c r="S756" s="29">
        <f t="shared" si="496"/>
        <v>0</v>
      </c>
      <c r="T756" s="29">
        <f t="shared" si="509"/>
        <v>0</v>
      </c>
      <c r="U756" s="29">
        <f t="shared" si="509"/>
        <v>0</v>
      </c>
      <c r="V756" s="29">
        <f t="shared" si="509"/>
        <v>0</v>
      </c>
      <c r="W756" s="27" t="str">
        <f t="shared" si="485"/>
        <v>OK</v>
      </c>
    </row>
    <row r="757" spans="1:23" x14ac:dyDescent="0.2">
      <c r="A757" s="3">
        <f t="shared" si="494"/>
        <v>17</v>
      </c>
      <c r="B757" s="3" t="str">
        <f t="shared" si="488"/>
        <v>Taxable Income</v>
      </c>
      <c r="C757" s="3"/>
      <c r="D757" s="3"/>
      <c r="E757" s="3" t="s">
        <v>370</v>
      </c>
      <c r="F757" s="3"/>
      <c r="G757" s="3"/>
      <c r="H757" s="29">
        <f t="shared" ca="1" si="490"/>
        <v>0.99999999999999989</v>
      </c>
      <c r="I757" s="29">
        <v>0</v>
      </c>
      <c r="J757" s="29">
        <f t="shared" ca="1" si="492"/>
        <v>0.99999999999999989</v>
      </c>
      <c r="K757" s="29">
        <f t="shared" ref="K757:V757" ca="1" si="510">IF($H685&lt;&gt;0,K685/$H685,0)</f>
        <v>0.81949106564401697</v>
      </c>
      <c r="L757" s="29">
        <f t="shared" ca="1" si="510"/>
        <v>8.7007943662091233E-2</v>
      </c>
      <c r="M757" s="29">
        <f t="shared" ca="1" si="510"/>
        <v>5.7796520684769731E-2</v>
      </c>
      <c r="N757" s="29">
        <f t="shared" ca="1" si="510"/>
        <v>5.1593591239267945E-4</v>
      </c>
      <c r="O757" s="29">
        <f t="shared" ca="1" si="510"/>
        <v>5.7280584772377054E-2</v>
      </c>
      <c r="P757" s="29">
        <f t="shared" ca="1" si="510"/>
        <v>1.0267182447848576E-3</v>
      </c>
      <c r="Q757" s="29">
        <f t="shared" ca="1" si="510"/>
        <v>4.9570784448665873E-4</v>
      </c>
      <c r="R757" s="29">
        <f t="shared" ca="1" si="510"/>
        <v>4.4461995052489978E-4</v>
      </c>
      <c r="S757" s="29">
        <f t="shared" ca="1" si="496"/>
        <v>8.6390449773298891E-5</v>
      </c>
      <c r="T757" s="29">
        <f t="shared" ca="1" si="510"/>
        <v>9.8271900184119135E-5</v>
      </c>
      <c r="U757" s="29">
        <f t="shared" ca="1" si="510"/>
        <v>3.4558759931695361E-2</v>
      </c>
      <c r="V757" s="29">
        <f t="shared" ca="1" si="510"/>
        <v>2.0719932457741062E-5</v>
      </c>
      <c r="W757" s="27" t="str">
        <f t="shared" ca="1" si="485"/>
        <v>OK</v>
      </c>
    </row>
    <row r="758" spans="1:23" x14ac:dyDescent="0.2">
      <c r="A758" s="3">
        <f t="shared" si="494"/>
        <v>18</v>
      </c>
      <c r="B758" s="3" t="str">
        <f t="shared" si="488"/>
        <v>Large Cust Acct Rep Alloc to C&amp;I Cust</v>
      </c>
      <c r="C758" s="3"/>
      <c r="D758" s="3"/>
      <c r="E758" s="3" t="str">
        <f t="shared" ref="E758:E791" si="511">E686</f>
        <v>LCUST</v>
      </c>
      <c r="F758" s="3"/>
      <c r="G758" s="3"/>
      <c r="H758" s="29">
        <f t="shared" si="490"/>
        <v>1</v>
      </c>
      <c r="I758" s="29">
        <v>0</v>
      </c>
      <c r="J758" s="29">
        <f t="shared" si="492"/>
        <v>1</v>
      </c>
      <c r="K758" s="29">
        <f t="shared" ref="K758:V759" si="512">IF($H686&lt;&gt;0,K686/$H686,0)</f>
        <v>0</v>
      </c>
      <c r="L758" s="29">
        <f t="shared" si="512"/>
        <v>0</v>
      </c>
      <c r="M758" s="29">
        <f t="shared" si="512"/>
        <v>0.98332360090715265</v>
      </c>
      <c r="N758" s="29">
        <f t="shared" si="512"/>
        <v>7.8221546233551067E-3</v>
      </c>
      <c r="O758" s="29">
        <f t="shared" si="512"/>
        <v>0.97550144628379754</v>
      </c>
      <c r="P758" s="29">
        <f t="shared" si="512"/>
        <v>1.474802069611744E-2</v>
      </c>
      <c r="Q758" s="29">
        <f t="shared" si="512"/>
        <v>6.3690807610304601E-3</v>
      </c>
      <c r="R758" s="29">
        <f t="shared" si="512"/>
        <v>7.4690712549397723E-3</v>
      </c>
      <c r="S758" s="29">
        <f t="shared" si="496"/>
        <v>9.0986868014720861E-4</v>
      </c>
      <c r="T758" s="29">
        <f t="shared" si="512"/>
        <v>1.6703559351956218E-3</v>
      </c>
      <c r="U758" s="29">
        <f t="shared" si="512"/>
        <v>0</v>
      </c>
      <c r="V758" s="29">
        <f t="shared" si="512"/>
        <v>2.5802246153428302E-4</v>
      </c>
      <c r="W758" s="27" t="str">
        <f t="shared" si="485"/>
        <v>OK</v>
      </c>
    </row>
    <row r="759" spans="1:23" x14ac:dyDescent="0.2">
      <c r="A759" s="3">
        <f t="shared" si="494"/>
        <v>19</v>
      </c>
      <c r="B759" s="3" t="str">
        <f t="shared" si="488"/>
        <v>Customers Excluding Large Cust Rep Alloc</v>
      </c>
      <c r="C759" s="3"/>
      <c r="D759" s="3"/>
      <c r="E759" s="3" t="str">
        <f t="shared" si="511"/>
        <v>XCUST</v>
      </c>
      <c r="F759" s="3"/>
      <c r="G759" s="3"/>
      <c r="H759" s="29">
        <f t="shared" ref="H759" si="513">SUM(I759:J759)</f>
        <v>1</v>
      </c>
      <c r="I759" s="29">
        <v>0</v>
      </c>
      <c r="J759" s="29">
        <f t="shared" si="492"/>
        <v>1</v>
      </c>
      <c r="K759" s="29">
        <f t="shared" si="512"/>
        <v>0.74461979913916787</v>
      </c>
      <c r="L759" s="29">
        <f t="shared" si="512"/>
        <v>7.9113435255263959E-2</v>
      </c>
      <c r="M759" s="29">
        <f t="shared" si="512"/>
        <v>0</v>
      </c>
      <c r="N759" s="29">
        <f t="shared" si="512"/>
        <v>0</v>
      </c>
      <c r="O759" s="29">
        <f t="shared" si="512"/>
        <v>0</v>
      </c>
      <c r="P759" s="29">
        <f t="shared" si="512"/>
        <v>0</v>
      </c>
      <c r="Q759" s="29">
        <f t="shared" si="512"/>
        <v>0</v>
      </c>
      <c r="R759" s="29">
        <f t="shared" si="512"/>
        <v>0</v>
      </c>
      <c r="S759" s="29">
        <f t="shared" si="496"/>
        <v>0</v>
      </c>
      <c r="T759" s="29">
        <f t="shared" si="512"/>
        <v>0</v>
      </c>
      <c r="U759" s="29">
        <f t="shared" si="512"/>
        <v>0.17626676560556817</v>
      </c>
      <c r="V759" s="29">
        <f t="shared" si="512"/>
        <v>0</v>
      </c>
      <c r="W759" s="27" t="str">
        <f t="shared" ref="W759" si="514">IF((+K759+L759+M759+P759+T759+U759+V759)-H759=0,"OK",(+K759+L759+M759+P759+T759+U759+V759)-H759)</f>
        <v>OK</v>
      </c>
    </row>
    <row r="760" spans="1:23" x14ac:dyDescent="0.2">
      <c r="A760" s="3">
        <f t="shared" si="494"/>
        <v>20</v>
      </c>
      <c r="B760" s="3" t="str">
        <f t="shared" si="488"/>
        <v>Energy @ Meter</v>
      </c>
      <c r="C760" s="3"/>
      <c r="D760" s="3"/>
      <c r="E760" s="3" t="str">
        <f t="shared" si="511"/>
        <v>ENERGYM</v>
      </c>
      <c r="F760" s="3"/>
      <c r="G760" s="3"/>
      <c r="H760" s="29">
        <f t="shared" si="490"/>
        <v>1</v>
      </c>
      <c r="I760" s="29">
        <v>0</v>
      </c>
      <c r="J760" s="29">
        <f t="shared" si="492"/>
        <v>1</v>
      </c>
      <c r="K760" s="29">
        <f t="shared" ref="K760:V760" si="515">IF($H688&lt;&gt;0,K688/$H688,0)</f>
        <v>0.32875363724630779</v>
      </c>
      <c r="L760" s="29">
        <f t="shared" si="515"/>
        <v>1.7550231585104211E-2</v>
      </c>
      <c r="M760" s="29">
        <f t="shared" si="515"/>
        <v>0.24036729688455627</v>
      </c>
      <c r="N760" s="29">
        <f t="shared" si="515"/>
        <v>3.4196096835687147E-2</v>
      </c>
      <c r="O760" s="29">
        <f t="shared" si="515"/>
        <v>0.2061712000488691</v>
      </c>
      <c r="P760" s="29">
        <f t="shared" si="515"/>
        <v>0.11816105168974292</v>
      </c>
      <c r="Q760" s="29">
        <f t="shared" si="515"/>
        <v>9.8133850507322457E-2</v>
      </c>
      <c r="R760" s="29">
        <f t="shared" si="515"/>
        <v>6.8194859864634189E-3</v>
      </c>
      <c r="S760" s="29">
        <f t="shared" si="496"/>
        <v>1.3207715195957048E-2</v>
      </c>
      <c r="T760" s="29">
        <f t="shared" si="515"/>
        <v>0.28816991991888952</v>
      </c>
      <c r="U760" s="29">
        <f t="shared" si="515"/>
        <v>6.2248318684880741E-3</v>
      </c>
      <c r="V760" s="29">
        <f t="shared" si="515"/>
        <v>7.7303080691135042E-4</v>
      </c>
      <c r="W760" s="27" t="str">
        <f t="shared" si="485"/>
        <v>OK</v>
      </c>
    </row>
    <row r="761" spans="1:23" x14ac:dyDescent="0.2">
      <c r="A761" s="3">
        <f t="shared" si="494"/>
        <v>21</v>
      </c>
      <c r="B761" s="3" t="str">
        <f t="shared" si="488"/>
        <v>Retail Energy @ Meter</v>
      </c>
      <c r="C761" s="3"/>
      <c r="D761" s="3"/>
      <c r="E761" s="3" t="str">
        <f t="shared" si="511"/>
        <v>TENERGYM</v>
      </c>
      <c r="F761" s="3"/>
      <c r="G761" s="3"/>
      <c r="H761" s="29">
        <f t="shared" si="490"/>
        <v>1</v>
      </c>
      <c r="I761" s="29">
        <v>0</v>
      </c>
      <c r="J761" s="29">
        <f t="shared" si="492"/>
        <v>1</v>
      </c>
      <c r="K761" s="29">
        <f t="shared" ref="K761:V761" si="516">IF($H689&lt;&gt;0,K689/$H689,0)</f>
        <v>0.32875363724630779</v>
      </c>
      <c r="L761" s="29">
        <f t="shared" si="516"/>
        <v>1.7550231585104211E-2</v>
      </c>
      <c r="M761" s="29">
        <f t="shared" si="516"/>
        <v>0.24036729688455627</v>
      </c>
      <c r="N761" s="29">
        <f t="shared" si="516"/>
        <v>3.4196096835687147E-2</v>
      </c>
      <c r="O761" s="29">
        <f t="shared" si="516"/>
        <v>0.2061712000488691</v>
      </c>
      <c r="P761" s="29">
        <f t="shared" si="516"/>
        <v>0.11816105168974292</v>
      </c>
      <c r="Q761" s="29">
        <f t="shared" si="516"/>
        <v>9.8133850507322457E-2</v>
      </c>
      <c r="R761" s="29">
        <f t="shared" si="516"/>
        <v>6.8194859864634189E-3</v>
      </c>
      <c r="S761" s="29">
        <f t="shared" si="496"/>
        <v>1.3207715195957048E-2</v>
      </c>
      <c r="T761" s="29">
        <f t="shared" si="516"/>
        <v>0.28816991991888952</v>
      </c>
      <c r="U761" s="29">
        <f t="shared" si="516"/>
        <v>6.2248318684880741E-3</v>
      </c>
      <c r="V761" s="29">
        <f t="shared" si="516"/>
        <v>7.7303080691135042E-4</v>
      </c>
      <c r="W761" s="27" t="str">
        <f t="shared" si="485"/>
        <v>OK</v>
      </c>
    </row>
    <row r="762" spans="1:23" x14ac:dyDescent="0.2">
      <c r="A762" s="3">
        <f t="shared" si="494"/>
        <v>22</v>
      </c>
      <c r="B762" s="3" t="str">
        <f t="shared" si="488"/>
        <v>Retail Energy @ Source</v>
      </c>
      <c r="C762" s="3"/>
      <c r="D762" s="3"/>
      <c r="E762" s="3" t="str">
        <f t="shared" si="511"/>
        <v>TENERGY</v>
      </c>
      <c r="F762" s="3"/>
      <c r="G762" s="3"/>
      <c r="H762" s="29">
        <f t="shared" si="490"/>
        <v>1</v>
      </c>
      <c r="I762" s="29">
        <v>0</v>
      </c>
      <c r="J762" s="29">
        <f t="shared" si="492"/>
        <v>1</v>
      </c>
      <c r="K762" s="29">
        <f t="shared" ref="K762:V762" si="517">IF($H690&lt;&gt;0,K690/$H690,0)</f>
        <v>0.33485885624294592</v>
      </c>
      <c r="L762" s="29">
        <f t="shared" si="517"/>
        <v>1.7876153476543234E-2</v>
      </c>
      <c r="M762" s="29">
        <f t="shared" si="517"/>
        <v>0.24483111057617682</v>
      </c>
      <c r="N762" s="29">
        <f t="shared" si="517"/>
        <v>3.4831145809626547E-2</v>
      </c>
      <c r="O762" s="29">
        <f t="shared" si="517"/>
        <v>0.20999996476655028</v>
      </c>
      <c r="P762" s="29">
        <f t="shared" si="517"/>
        <v>0.11691171533474615</v>
      </c>
      <c r="Q762" s="29">
        <f t="shared" si="517"/>
        <v>9.7096265064899892E-2</v>
      </c>
      <c r="R762" s="29">
        <f t="shared" si="517"/>
        <v>6.7473824325135906E-3</v>
      </c>
      <c r="S762" s="29">
        <f t="shared" si="496"/>
        <v>1.3068067837332656E-2</v>
      </c>
      <c r="T762" s="29">
        <f t="shared" si="517"/>
        <v>0.27841687495119294</v>
      </c>
      <c r="U762" s="29">
        <f t="shared" si="517"/>
        <v>6.3404319941405178E-3</v>
      </c>
      <c r="V762" s="29">
        <f t="shared" si="517"/>
        <v>7.6485742425440924E-4</v>
      </c>
      <c r="W762" s="27" t="str">
        <f t="shared" si="485"/>
        <v>OK</v>
      </c>
    </row>
    <row r="763" spans="1:23" x14ac:dyDescent="0.2">
      <c r="A763" s="3">
        <f t="shared" si="494"/>
        <v>23</v>
      </c>
      <c r="B763" s="3" t="str">
        <f t="shared" si="488"/>
        <v>Transmission Plant</v>
      </c>
      <c r="C763" s="3"/>
      <c r="D763" s="3"/>
      <c r="E763" s="3" t="str">
        <f t="shared" si="511"/>
        <v>TRANPLT</v>
      </c>
      <c r="F763" s="3"/>
      <c r="G763" s="3"/>
      <c r="H763" s="29">
        <f t="shared" si="490"/>
        <v>0</v>
      </c>
      <c r="I763" s="29">
        <v>0</v>
      </c>
      <c r="J763" s="29">
        <f t="shared" si="492"/>
        <v>0</v>
      </c>
      <c r="K763" s="29">
        <f t="shared" ref="K763:V763" si="518">IF($H691&lt;&gt;0,K691/$H691,0)</f>
        <v>0</v>
      </c>
      <c r="L763" s="29">
        <f t="shared" si="518"/>
        <v>0</v>
      </c>
      <c r="M763" s="29">
        <f t="shared" si="518"/>
        <v>0</v>
      </c>
      <c r="N763" s="29">
        <f t="shared" si="518"/>
        <v>0</v>
      </c>
      <c r="O763" s="29">
        <f t="shared" si="518"/>
        <v>0</v>
      </c>
      <c r="P763" s="29">
        <f t="shared" si="518"/>
        <v>0</v>
      </c>
      <c r="Q763" s="29">
        <f t="shared" si="518"/>
        <v>0</v>
      </c>
      <c r="R763" s="29">
        <f t="shared" si="518"/>
        <v>0</v>
      </c>
      <c r="S763" s="29">
        <f t="shared" si="496"/>
        <v>0</v>
      </c>
      <c r="T763" s="29">
        <f t="shared" si="518"/>
        <v>0</v>
      </c>
      <c r="U763" s="29">
        <f t="shared" si="518"/>
        <v>0</v>
      </c>
      <c r="V763" s="29">
        <f t="shared" si="518"/>
        <v>0</v>
      </c>
      <c r="W763" s="27" t="str">
        <f t="shared" si="485"/>
        <v>OK</v>
      </c>
    </row>
    <row r="764" spans="1:23" x14ac:dyDescent="0.2">
      <c r="A764" s="3">
        <f t="shared" si="494"/>
        <v>24</v>
      </c>
      <c r="B764" s="3" t="str">
        <f t="shared" si="488"/>
        <v>Texas Transmission Plant</v>
      </c>
      <c r="C764" s="3"/>
      <c r="D764" s="3"/>
      <c r="E764" s="3" t="str">
        <f t="shared" si="511"/>
        <v>TTRANPLT</v>
      </c>
      <c r="F764" s="3"/>
      <c r="G764" s="3"/>
      <c r="H764" s="29">
        <f t="shared" si="490"/>
        <v>0</v>
      </c>
      <c r="I764" s="29">
        <v>0</v>
      </c>
      <c r="J764" s="29">
        <f t="shared" si="492"/>
        <v>0</v>
      </c>
      <c r="K764" s="29">
        <f t="shared" ref="K764:V764" si="519">IF($H692&lt;&gt;0,K692/$H692,0)</f>
        <v>0</v>
      </c>
      <c r="L764" s="29">
        <f t="shared" si="519"/>
        <v>0</v>
      </c>
      <c r="M764" s="29">
        <f t="shared" si="519"/>
        <v>0</v>
      </c>
      <c r="N764" s="29">
        <f t="shared" si="519"/>
        <v>0</v>
      </c>
      <c r="O764" s="29">
        <f t="shared" si="519"/>
        <v>0</v>
      </c>
      <c r="P764" s="29">
        <f t="shared" si="519"/>
        <v>0</v>
      </c>
      <c r="Q764" s="29">
        <f t="shared" si="519"/>
        <v>0</v>
      </c>
      <c r="R764" s="29">
        <f t="shared" si="519"/>
        <v>0</v>
      </c>
      <c r="S764" s="29">
        <f t="shared" si="496"/>
        <v>0</v>
      </c>
      <c r="T764" s="29">
        <f t="shared" si="519"/>
        <v>0</v>
      </c>
      <c r="U764" s="29">
        <f t="shared" si="519"/>
        <v>0</v>
      </c>
      <c r="V764" s="29">
        <f t="shared" si="519"/>
        <v>0</v>
      </c>
      <c r="W764" s="27" t="str">
        <f t="shared" si="485"/>
        <v>OK</v>
      </c>
    </row>
    <row r="765" spans="1:23" x14ac:dyDescent="0.2">
      <c r="A765" s="3">
        <f t="shared" si="494"/>
        <v>25</v>
      </c>
      <c r="B765" s="3" t="str">
        <f t="shared" si="488"/>
        <v>Other Jurisdiction Transmission Plant</v>
      </c>
      <c r="C765" s="3"/>
      <c r="D765" s="3"/>
      <c r="E765" s="3" t="str">
        <f t="shared" si="511"/>
        <v>OTRANPLT</v>
      </c>
      <c r="F765" s="3"/>
      <c r="G765" s="3"/>
      <c r="H765" s="29">
        <f t="shared" si="490"/>
        <v>0</v>
      </c>
      <c r="I765" s="29">
        <v>0</v>
      </c>
      <c r="J765" s="29">
        <f t="shared" si="492"/>
        <v>0</v>
      </c>
      <c r="K765" s="29">
        <f t="shared" ref="K765:V765" si="520">IF($H693&lt;&gt;0,K693/$H693,0)</f>
        <v>0</v>
      </c>
      <c r="L765" s="29">
        <f t="shared" si="520"/>
        <v>0</v>
      </c>
      <c r="M765" s="29">
        <f t="shared" si="520"/>
        <v>0</v>
      </c>
      <c r="N765" s="29">
        <f t="shared" si="520"/>
        <v>0</v>
      </c>
      <c r="O765" s="29">
        <f t="shared" si="520"/>
        <v>0</v>
      </c>
      <c r="P765" s="29">
        <f t="shared" si="520"/>
        <v>0</v>
      </c>
      <c r="Q765" s="29">
        <f t="shared" si="520"/>
        <v>0</v>
      </c>
      <c r="R765" s="29">
        <f t="shared" si="520"/>
        <v>0</v>
      </c>
      <c r="S765" s="29">
        <f t="shared" si="496"/>
        <v>0</v>
      </c>
      <c r="T765" s="29">
        <f t="shared" si="520"/>
        <v>0</v>
      </c>
      <c r="U765" s="29">
        <f t="shared" si="520"/>
        <v>0</v>
      </c>
      <c r="V765" s="29">
        <f t="shared" si="520"/>
        <v>0</v>
      </c>
      <c r="W765" s="27" t="str">
        <f t="shared" si="485"/>
        <v>OK</v>
      </c>
    </row>
    <row r="766" spans="1:23" x14ac:dyDescent="0.2">
      <c r="A766" s="3">
        <f t="shared" si="494"/>
        <v>26</v>
      </c>
      <c r="B766" s="3" t="str">
        <f t="shared" si="488"/>
        <v>Distribution Plant</v>
      </c>
      <c r="C766" s="3"/>
      <c r="D766" s="3"/>
      <c r="E766" s="3" t="str">
        <f t="shared" si="511"/>
        <v>DISTPLT</v>
      </c>
      <c r="F766" s="3"/>
      <c r="G766" s="3"/>
      <c r="H766" s="29">
        <f t="shared" si="490"/>
        <v>0</v>
      </c>
      <c r="I766" s="29">
        <v>0</v>
      </c>
      <c r="J766" s="29">
        <f t="shared" si="492"/>
        <v>0</v>
      </c>
      <c r="K766" s="29">
        <f t="shared" ref="K766:V766" si="521">IF($H694&lt;&gt;0,K694/$H694,0)</f>
        <v>0</v>
      </c>
      <c r="L766" s="29">
        <f t="shared" si="521"/>
        <v>0</v>
      </c>
      <c r="M766" s="29">
        <f t="shared" si="521"/>
        <v>0</v>
      </c>
      <c r="N766" s="29">
        <f t="shared" si="521"/>
        <v>0</v>
      </c>
      <c r="O766" s="29">
        <f t="shared" si="521"/>
        <v>0</v>
      </c>
      <c r="P766" s="29">
        <f t="shared" si="521"/>
        <v>0</v>
      </c>
      <c r="Q766" s="29">
        <f t="shared" si="521"/>
        <v>0</v>
      </c>
      <c r="R766" s="29">
        <f t="shared" si="521"/>
        <v>0</v>
      </c>
      <c r="S766" s="29">
        <f t="shared" si="496"/>
        <v>0</v>
      </c>
      <c r="T766" s="29">
        <f t="shared" si="521"/>
        <v>0</v>
      </c>
      <c r="U766" s="29">
        <f t="shared" si="521"/>
        <v>0</v>
      </c>
      <c r="V766" s="29">
        <f t="shared" si="521"/>
        <v>0</v>
      </c>
      <c r="W766" s="27" t="str">
        <f t="shared" si="485"/>
        <v>OK</v>
      </c>
    </row>
    <row r="767" spans="1:23" x14ac:dyDescent="0.2">
      <c r="A767" s="3">
        <f t="shared" si="494"/>
        <v>27</v>
      </c>
      <c r="B767" s="3" t="str">
        <f t="shared" si="488"/>
        <v>Texas Distribution Plant</v>
      </c>
      <c r="C767" s="3"/>
      <c r="D767" s="3"/>
      <c r="E767" s="3" t="str">
        <f t="shared" si="511"/>
        <v>TDISTPLT</v>
      </c>
      <c r="F767" s="3"/>
      <c r="G767" s="3"/>
      <c r="H767" s="29">
        <f t="shared" si="490"/>
        <v>0</v>
      </c>
      <c r="I767" s="29">
        <v>0</v>
      </c>
      <c r="J767" s="29">
        <f t="shared" si="492"/>
        <v>0</v>
      </c>
      <c r="K767" s="29">
        <f t="shared" ref="K767:V767" si="522">IF($H695&lt;&gt;0,K695/$H695,0)</f>
        <v>0</v>
      </c>
      <c r="L767" s="29">
        <f t="shared" si="522"/>
        <v>0</v>
      </c>
      <c r="M767" s="29">
        <f t="shared" si="522"/>
        <v>0</v>
      </c>
      <c r="N767" s="29">
        <f t="shared" si="522"/>
        <v>0</v>
      </c>
      <c r="O767" s="29">
        <f t="shared" si="522"/>
        <v>0</v>
      </c>
      <c r="P767" s="29">
        <f t="shared" si="522"/>
        <v>0</v>
      </c>
      <c r="Q767" s="29">
        <f t="shared" si="522"/>
        <v>0</v>
      </c>
      <c r="R767" s="29">
        <f t="shared" si="522"/>
        <v>0</v>
      </c>
      <c r="S767" s="29">
        <f t="shared" si="496"/>
        <v>0</v>
      </c>
      <c r="T767" s="29">
        <f t="shared" si="522"/>
        <v>0</v>
      </c>
      <c r="U767" s="29">
        <f t="shared" si="522"/>
        <v>0</v>
      </c>
      <c r="V767" s="29">
        <f t="shared" si="522"/>
        <v>0</v>
      </c>
      <c r="W767" s="27" t="str">
        <f t="shared" si="485"/>
        <v>OK</v>
      </c>
    </row>
    <row r="768" spans="1:23" x14ac:dyDescent="0.2">
      <c r="A768" s="3">
        <f t="shared" si="494"/>
        <v>28</v>
      </c>
      <c r="B768" s="3" t="str">
        <f t="shared" si="488"/>
        <v>Other Jurisdiction Distribution Plant</v>
      </c>
      <c r="C768" s="3"/>
      <c r="D768" s="3"/>
      <c r="E768" s="3" t="str">
        <f t="shared" si="511"/>
        <v>ODISTPLT</v>
      </c>
      <c r="F768" s="3"/>
      <c r="G768" s="3"/>
      <c r="H768" s="29">
        <f t="shared" si="490"/>
        <v>0</v>
      </c>
      <c r="I768" s="29">
        <v>0</v>
      </c>
      <c r="J768" s="29">
        <f t="shared" si="492"/>
        <v>0</v>
      </c>
      <c r="K768" s="29">
        <f t="shared" ref="K768:V768" si="523">IF($H696&lt;&gt;0,K696/$H696,0)</f>
        <v>0</v>
      </c>
      <c r="L768" s="29">
        <f t="shared" si="523"/>
        <v>0</v>
      </c>
      <c r="M768" s="29">
        <f t="shared" si="523"/>
        <v>0</v>
      </c>
      <c r="N768" s="29">
        <f t="shared" si="523"/>
        <v>0</v>
      </c>
      <c r="O768" s="29">
        <f t="shared" si="523"/>
        <v>0</v>
      </c>
      <c r="P768" s="29">
        <f t="shared" si="523"/>
        <v>0</v>
      </c>
      <c r="Q768" s="29">
        <f t="shared" si="523"/>
        <v>0</v>
      </c>
      <c r="R768" s="29">
        <f t="shared" si="523"/>
        <v>0</v>
      </c>
      <c r="S768" s="29">
        <f t="shared" si="496"/>
        <v>0</v>
      </c>
      <c r="T768" s="29">
        <f t="shared" si="523"/>
        <v>0</v>
      </c>
      <c r="U768" s="29">
        <f t="shared" si="523"/>
        <v>0</v>
      </c>
      <c r="V768" s="29">
        <f t="shared" si="523"/>
        <v>0</v>
      </c>
      <c r="W768" s="27" t="str">
        <f t="shared" si="485"/>
        <v>OK</v>
      </c>
    </row>
    <row r="769" spans="1:23" x14ac:dyDescent="0.2">
      <c r="A769" s="3">
        <f t="shared" si="494"/>
        <v>29</v>
      </c>
      <c r="B769" s="3" t="str">
        <f t="shared" si="488"/>
        <v>General Plant</v>
      </c>
      <c r="C769" s="3"/>
      <c r="D769" s="3"/>
      <c r="E769" s="3" t="str">
        <f t="shared" si="511"/>
        <v>GENPLT</v>
      </c>
      <c r="F769" s="3"/>
      <c r="G769" s="3"/>
      <c r="H769" s="29">
        <f t="shared" si="490"/>
        <v>1.0000000000000002</v>
      </c>
      <c r="I769" s="29">
        <v>0</v>
      </c>
      <c r="J769" s="29">
        <f t="shared" si="492"/>
        <v>1.0000000000000002</v>
      </c>
      <c r="K769" s="29">
        <f t="shared" ref="K769:V769" si="524">IF($H697&lt;&gt;0,K697/$H697,0)</f>
        <v>0.81976761594454539</v>
      </c>
      <c r="L769" s="29">
        <f t="shared" si="524"/>
        <v>8.709764672302206E-2</v>
      </c>
      <c r="M769" s="29">
        <f t="shared" si="524"/>
        <v>5.7632444925293833E-2</v>
      </c>
      <c r="N769" s="29">
        <f t="shared" si="524"/>
        <v>4.584552787218334E-4</v>
      </c>
      <c r="O769" s="29">
        <f t="shared" si="524"/>
        <v>5.7173989646572006E-2</v>
      </c>
      <c r="P769" s="29">
        <f t="shared" si="524"/>
        <v>8.7823613914471887E-4</v>
      </c>
      <c r="Q769" s="29">
        <f t="shared" si="524"/>
        <v>3.7329084326482616E-4</v>
      </c>
      <c r="R769" s="29">
        <f t="shared" si="524"/>
        <v>4.3776111683508403E-4</v>
      </c>
      <c r="S769" s="29">
        <f t="shared" si="496"/>
        <v>6.7184179044808763E-5</v>
      </c>
      <c r="T769" s="29">
        <f t="shared" si="524"/>
        <v>9.8750167556433953E-5</v>
      </c>
      <c r="U769" s="29">
        <f t="shared" si="524"/>
        <v>3.451018344367434E-2</v>
      </c>
      <c r="V769" s="29">
        <f t="shared" si="524"/>
        <v>1.5122656763393803E-5</v>
      </c>
      <c r="W769" s="27" t="str">
        <f t="shared" ref="W769:W800" si="525">IF((+K769+L769+M769+P769+T769+U769+V769)-H769=0,"OK",(+K769+L769+M769+P769+T769+U769+V769)-H769)</f>
        <v>OK</v>
      </c>
    </row>
    <row r="770" spans="1:23" x14ac:dyDescent="0.2">
      <c r="A770" s="3">
        <f t="shared" si="494"/>
        <v>30</v>
      </c>
      <c r="B770" s="3" t="str">
        <f t="shared" si="488"/>
        <v>Texas General Plant</v>
      </c>
      <c r="C770" s="3"/>
      <c r="D770" s="3"/>
      <c r="E770" s="3" t="str">
        <f t="shared" si="511"/>
        <v>TGENPLT</v>
      </c>
      <c r="F770" s="3"/>
      <c r="G770" s="3"/>
      <c r="H770" s="29">
        <f t="shared" si="490"/>
        <v>1.0000000000000002</v>
      </c>
      <c r="I770" s="29">
        <v>0</v>
      </c>
      <c r="J770" s="29">
        <f t="shared" si="492"/>
        <v>1.0000000000000002</v>
      </c>
      <c r="K770" s="29">
        <f t="shared" ref="K770:V770" si="526">IF($H698&lt;&gt;0,K698/$H698,0)</f>
        <v>0.81976761594454539</v>
      </c>
      <c r="L770" s="29">
        <f t="shared" si="526"/>
        <v>8.709764672302206E-2</v>
      </c>
      <c r="M770" s="29">
        <f t="shared" si="526"/>
        <v>5.7632444925293833E-2</v>
      </c>
      <c r="N770" s="29">
        <f t="shared" si="526"/>
        <v>4.584552787218334E-4</v>
      </c>
      <c r="O770" s="29">
        <f t="shared" si="526"/>
        <v>5.7173989646572006E-2</v>
      </c>
      <c r="P770" s="29">
        <f t="shared" si="526"/>
        <v>8.7823613914471887E-4</v>
      </c>
      <c r="Q770" s="29">
        <f t="shared" si="526"/>
        <v>3.7329084326482616E-4</v>
      </c>
      <c r="R770" s="29">
        <f t="shared" si="526"/>
        <v>4.3776111683508403E-4</v>
      </c>
      <c r="S770" s="29">
        <f t="shared" si="496"/>
        <v>6.7184179044808763E-5</v>
      </c>
      <c r="T770" s="29">
        <f t="shared" si="526"/>
        <v>9.8750167556433953E-5</v>
      </c>
      <c r="U770" s="29">
        <f t="shared" si="526"/>
        <v>3.451018344367434E-2</v>
      </c>
      <c r="V770" s="29">
        <f t="shared" si="526"/>
        <v>1.5122656763393803E-5</v>
      </c>
      <c r="W770" s="27" t="str">
        <f t="shared" si="525"/>
        <v>OK</v>
      </c>
    </row>
    <row r="771" spans="1:23" x14ac:dyDescent="0.2">
      <c r="A771" s="3">
        <f t="shared" si="494"/>
        <v>31</v>
      </c>
      <c r="B771" s="3" t="str">
        <f t="shared" si="488"/>
        <v>Other Jurisdiction General Plant</v>
      </c>
      <c r="C771" s="3"/>
      <c r="D771" s="3"/>
      <c r="E771" s="3" t="str">
        <f t="shared" si="511"/>
        <v>OGENPLT</v>
      </c>
      <c r="F771" s="3"/>
      <c r="G771" s="3"/>
      <c r="H771" s="29">
        <f t="shared" si="490"/>
        <v>0</v>
      </c>
      <c r="I771" s="29">
        <v>0</v>
      </c>
      <c r="J771" s="29">
        <f t="shared" si="492"/>
        <v>0</v>
      </c>
      <c r="K771" s="29">
        <f t="shared" ref="K771:V771" si="527">IF($H699&lt;&gt;0,K699/$H699,0)</f>
        <v>0</v>
      </c>
      <c r="L771" s="29">
        <f t="shared" si="527"/>
        <v>0</v>
      </c>
      <c r="M771" s="29">
        <f t="shared" si="527"/>
        <v>0</v>
      </c>
      <c r="N771" s="29">
        <f t="shared" si="527"/>
        <v>0</v>
      </c>
      <c r="O771" s="29">
        <f t="shared" si="527"/>
        <v>0</v>
      </c>
      <c r="P771" s="29">
        <f t="shared" si="527"/>
        <v>0</v>
      </c>
      <c r="Q771" s="29">
        <f t="shared" si="527"/>
        <v>0</v>
      </c>
      <c r="R771" s="29">
        <f t="shared" si="527"/>
        <v>0</v>
      </c>
      <c r="S771" s="29">
        <f t="shared" si="496"/>
        <v>0</v>
      </c>
      <c r="T771" s="29">
        <f t="shared" si="527"/>
        <v>0</v>
      </c>
      <c r="U771" s="29">
        <f t="shared" si="527"/>
        <v>0</v>
      </c>
      <c r="V771" s="29">
        <f t="shared" si="527"/>
        <v>0</v>
      </c>
      <c r="W771" s="27" t="str">
        <f t="shared" si="525"/>
        <v>OK</v>
      </c>
    </row>
    <row r="772" spans="1:23" x14ac:dyDescent="0.2">
      <c r="A772" s="3">
        <f t="shared" si="494"/>
        <v>32</v>
      </c>
      <c r="B772" s="3" t="str">
        <f t="shared" si="488"/>
        <v>Intangible Plant</v>
      </c>
      <c r="C772" s="3"/>
      <c r="D772" s="3"/>
      <c r="E772" s="3" t="str">
        <f t="shared" si="511"/>
        <v>INTANPLT</v>
      </c>
      <c r="F772" s="3"/>
      <c r="G772" s="3"/>
      <c r="H772" s="29">
        <f t="shared" si="490"/>
        <v>1</v>
      </c>
      <c r="I772" s="29">
        <v>0</v>
      </c>
      <c r="J772" s="29">
        <f t="shared" si="492"/>
        <v>1</v>
      </c>
      <c r="K772" s="29">
        <f t="shared" ref="K772:V772" si="528">IF($H700&lt;&gt;0,K700/$H700,0)</f>
        <v>0.81976761594454528</v>
      </c>
      <c r="L772" s="29">
        <f t="shared" si="528"/>
        <v>8.709764672302206E-2</v>
      </c>
      <c r="M772" s="29">
        <f t="shared" si="528"/>
        <v>5.7632444925293819E-2</v>
      </c>
      <c r="N772" s="29">
        <f t="shared" si="528"/>
        <v>4.5845527872183351E-4</v>
      </c>
      <c r="O772" s="29">
        <f t="shared" si="528"/>
        <v>5.7173989646571985E-2</v>
      </c>
      <c r="P772" s="29">
        <f t="shared" si="528"/>
        <v>8.7823613914471887E-4</v>
      </c>
      <c r="Q772" s="29">
        <f t="shared" si="528"/>
        <v>3.7329084326482616E-4</v>
      </c>
      <c r="R772" s="29">
        <f t="shared" si="528"/>
        <v>4.3776111683508403E-4</v>
      </c>
      <c r="S772" s="29">
        <f t="shared" si="496"/>
        <v>6.7184179044808777E-5</v>
      </c>
      <c r="T772" s="29">
        <f t="shared" si="528"/>
        <v>9.8750167556433939E-5</v>
      </c>
      <c r="U772" s="29">
        <f t="shared" si="528"/>
        <v>3.4510183443674333E-2</v>
      </c>
      <c r="V772" s="29">
        <f t="shared" si="528"/>
        <v>1.5122656763393809E-5</v>
      </c>
      <c r="W772" s="27" t="str">
        <f t="shared" si="525"/>
        <v>OK</v>
      </c>
    </row>
    <row r="773" spans="1:23" x14ac:dyDescent="0.2">
      <c r="A773" s="3">
        <f t="shared" si="494"/>
        <v>33</v>
      </c>
      <c r="B773" s="3" t="str">
        <f t="shared" ref="B773:B804" si="529">B701</f>
        <v>Texas Intangible Plant</v>
      </c>
      <c r="C773" s="3"/>
      <c r="D773" s="3"/>
      <c r="E773" s="3" t="str">
        <f t="shared" si="511"/>
        <v>TINTANPLT</v>
      </c>
      <c r="F773" s="3"/>
      <c r="G773" s="3"/>
      <c r="H773" s="29">
        <f t="shared" si="490"/>
        <v>1</v>
      </c>
      <c r="I773" s="29">
        <v>0</v>
      </c>
      <c r="J773" s="29">
        <f t="shared" si="492"/>
        <v>1</v>
      </c>
      <c r="K773" s="29">
        <f t="shared" ref="K773:V773" si="530">IF($H701&lt;&gt;0,K701/$H701,0)</f>
        <v>0.81976761594454528</v>
      </c>
      <c r="L773" s="29">
        <f t="shared" si="530"/>
        <v>8.709764672302206E-2</v>
      </c>
      <c r="M773" s="29">
        <f t="shared" si="530"/>
        <v>5.7632444925293819E-2</v>
      </c>
      <c r="N773" s="29">
        <f t="shared" si="530"/>
        <v>4.5845527872183351E-4</v>
      </c>
      <c r="O773" s="29">
        <f t="shared" si="530"/>
        <v>5.7173989646571985E-2</v>
      </c>
      <c r="P773" s="29">
        <f t="shared" si="530"/>
        <v>8.7823613914471887E-4</v>
      </c>
      <c r="Q773" s="29">
        <f t="shared" si="530"/>
        <v>3.7329084326482616E-4</v>
      </c>
      <c r="R773" s="29">
        <f t="shared" si="530"/>
        <v>4.3776111683508403E-4</v>
      </c>
      <c r="S773" s="29">
        <f t="shared" si="496"/>
        <v>6.7184179044808777E-5</v>
      </c>
      <c r="T773" s="29">
        <f t="shared" si="530"/>
        <v>9.8750167556433939E-5</v>
      </c>
      <c r="U773" s="29">
        <f t="shared" si="530"/>
        <v>3.4510183443674333E-2</v>
      </c>
      <c r="V773" s="29">
        <f t="shared" si="530"/>
        <v>1.5122656763393809E-5</v>
      </c>
      <c r="W773" s="27" t="str">
        <f t="shared" si="525"/>
        <v>OK</v>
      </c>
    </row>
    <row r="774" spans="1:23" x14ac:dyDescent="0.2">
      <c r="A774" s="3">
        <f t="shared" si="494"/>
        <v>34</v>
      </c>
      <c r="B774" s="3" t="str">
        <f t="shared" si="529"/>
        <v>Other Jurisdiction Intangible Plant</v>
      </c>
      <c r="C774" s="3"/>
      <c r="D774" s="3"/>
      <c r="E774" s="3" t="str">
        <f t="shared" si="511"/>
        <v>OINTANPLT</v>
      </c>
      <c r="F774" s="3"/>
      <c r="G774" s="3"/>
      <c r="H774" s="29">
        <f t="shared" si="490"/>
        <v>0</v>
      </c>
      <c r="I774" s="29">
        <v>0</v>
      </c>
      <c r="J774" s="29">
        <f t="shared" si="492"/>
        <v>0</v>
      </c>
      <c r="K774" s="29">
        <f t="shared" ref="K774:V774" si="531">IF($H702&lt;&gt;0,K702/$H702,0)</f>
        <v>0</v>
      </c>
      <c r="L774" s="29">
        <f t="shared" si="531"/>
        <v>0</v>
      </c>
      <c r="M774" s="29">
        <f t="shared" si="531"/>
        <v>0</v>
      </c>
      <c r="N774" s="29">
        <f t="shared" si="531"/>
        <v>0</v>
      </c>
      <c r="O774" s="29">
        <f t="shared" si="531"/>
        <v>0</v>
      </c>
      <c r="P774" s="29">
        <f t="shared" si="531"/>
        <v>0</v>
      </c>
      <c r="Q774" s="29">
        <f t="shared" si="531"/>
        <v>0</v>
      </c>
      <c r="R774" s="29">
        <f t="shared" si="531"/>
        <v>0</v>
      </c>
      <c r="S774" s="29">
        <f t="shared" si="531"/>
        <v>0</v>
      </c>
      <c r="T774" s="29">
        <f t="shared" si="531"/>
        <v>0</v>
      </c>
      <c r="U774" s="29">
        <f t="shared" si="531"/>
        <v>0</v>
      </c>
      <c r="V774" s="29">
        <f t="shared" si="531"/>
        <v>0</v>
      </c>
      <c r="W774" s="27" t="str">
        <f t="shared" si="525"/>
        <v>OK</v>
      </c>
    </row>
    <row r="775" spans="1:23" x14ac:dyDescent="0.2">
      <c r="A775" s="3">
        <f t="shared" si="494"/>
        <v>35</v>
      </c>
      <c r="B775" s="3" t="str">
        <f t="shared" si="529"/>
        <v>Plant in Service</v>
      </c>
      <c r="C775" s="3"/>
      <c r="D775" s="3"/>
      <c r="E775" s="3" t="str">
        <f t="shared" si="511"/>
        <v>PLTSVC</v>
      </c>
      <c r="F775" s="3"/>
      <c r="G775" s="3"/>
      <c r="H775" s="29">
        <f t="shared" ref="H775:H806" si="532">SUM(I775:J775)</f>
        <v>0.99999999999999989</v>
      </c>
      <c r="I775" s="29">
        <v>0</v>
      </c>
      <c r="J775" s="29">
        <f t="shared" si="492"/>
        <v>0.99999999999999989</v>
      </c>
      <c r="K775" s="29">
        <f t="shared" ref="K775:V775" si="533">IF($H703&lt;&gt;0,K703/$H703,0)</f>
        <v>0.81976761594454517</v>
      </c>
      <c r="L775" s="29">
        <f t="shared" si="533"/>
        <v>8.7097646723022032E-2</v>
      </c>
      <c r="M775" s="29">
        <f t="shared" si="533"/>
        <v>5.7632444925293819E-2</v>
      </c>
      <c r="N775" s="29">
        <f t="shared" si="533"/>
        <v>4.5845527872183329E-4</v>
      </c>
      <c r="O775" s="29">
        <f t="shared" si="533"/>
        <v>5.7173989646571985E-2</v>
      </c>
      <c r="P775" s="29">
        <f t="shared" si="533"/>
        <v>8.7823613914471865E-4</v>
      </c>
      <c r="Q775" s="29">
        <f t="shared" si="533"/>
        <v>3.7329084326482605E-4</v>
      </c>
      <c r="R775" s="29">
        <f t="shared" si="533"/>
        <v>4.3776111683508387E-4</v>
      </c>
      <c r="S775" s="29">
        <f t="shared" si="533"/>
        <v>6.718417904480875E-5</v>
      </c>
      <c r="T775" s="29">
        <f t="shared" si="533"/>
        <v>9.8750167556433926E-5</v>
      </c>
      <c r="U775" s="29">
        <f t="shared" si="533"/>
        <v>3.4510183443674326E-2</v>
      </c>
      <c r="V775" s="29">
        <f t="shared" si="533"/>
        <v>1.51226567633938E-5</v>
      </c>
      <c r="W775" s="27" t="str">
        <f t="shared" si="525"/>
        <v>OK</v>
      </c>
    </row>
    <row r="776" spans="1:23" x14ac:dyDescent="0.2">
      <c r="A776" s="3">
        <f t="shared" si="494"/>
        <v>36</v>
      </c>
      <c r="B776" s="3" t="str">
        <f t="shared" si="529"/>
        <v>Net Plant</v>
      </c>
      <c r="C776" s="3"/>
      <c r="D776" s="3"/>
      <c r="E776" s="3" t="str">
        <f t="shared" si="511"/>
        <v>NPLT</v>
      </c>
      <c r="F776" s="3"/>
      <c r="G776" s="3"/>
      <c r="H776" s="29">
        <f t="shared" si="532"/>
        <v>1</v>
      </c>
      <c r="I776" s="29">
        <v>0</v>
      </c>
      <c r="J776" s="29">
        <f t="shared" si="492"/>
        <v>1</v>
      </c>
      <c r="K776" s="29">
        <f t="shared" ref="K776:V776" si="534">IF($H704&lt;&gt;0,K704/$H704,0)</f>
        <v>0.81976761594454539</v>
      </c>
      <c r="L776" s="29">
        <f t="shared" si="534"/>
        <v>8.7097646723022032E-2</v>
      </c>
      <c r="M776" s="29">
        <f t="shared" si="534"/>
        <v>5.7632444925293833E-2</v>
      </c>
      <c r="N776" s="29">
        <f t="shared" si="534"/>
        <v>4.5845527872183335E-4</v>
      </c>
      <c r="O776" s="29">
        <f t="shared" si="534"/>
        <v>5.7173989646571999E-2</v>
      </c>
      <c r="P776" s="29">
        <f t="shared" si="534"/>
        <v>8.7823613914471876E-4</v>
      </c>
      <c r="Q776" s="29">
        <f t="shared" si="534"/>
        <v>3.7329084326482616E-4</v>
      </c>
      <c r="R776" s="29">
        <f t="shared" si="534"/>
        <v>4.3776111683508392E-4</v>
      </c>
      <c r="S776" s="29">
        <f t="shared" si="534"/>
        <v>6.718417904480875E-5</v>
      </c>
      <c r="T776" s="29">
        <f t="shared" si="534"/>
        <v>9.8750167556433939E-5</v>
      </c>
      <c r="U776" s="29">
        <f t="shared" si="534"/>
        <v>3.4510183443674333E-2</v>
      </c>
      <c r="V776" s="29">
        <f t="shared" si="534"/>
        <v>1.5122656763393802E-5</v>
      </c>
      <c r="W776" s="27" t="str">
        <f t="shared" si="525"/>
        <v>OK</v>
      </c>
    </row>
    <row r="777" spans="1:23" x14ac:dyDescent="0.2">
      <c r="A777" s="3">
        <f t="shared" si="494"/>
        <v>37</v>
      </c>
      <c r="B777" s="3" t="str">
        <f t="shared" si="529"/>
        <v>Plant excluding General</v>
      </c>
      <c r="C777" s="3"/>
      <c r="D777" s="3"/>
      <c r="E777" s="3" t="str">
        <f t="shared" si="511"/>
        <v>PLTXGENL</v>
      </c>
      <c r="F777" s="3"/>
      <c r="G777" s="3"/>
      <c r="H777" s="29">
        <f t="shared" si="532"/>
        <v>1</v>
      </c>
      <c r="I777" s="29">
        <v>0</v>
      </c>
      <c r="J777" s="29">
        <f t="shared" si="492"/>
        <v>1</v>
      </c>
      <c r="K777" s="29">
        <f t="shared" ref="K777:V777" si="535">IF($H705&lt;&gt;0,K705/$H705,0)</f>
        <v>0.81976761594464198</v>
      </c>
      <c r="L777" s="29">
        <f t="shared" si="535"/>
        <v>8.7097646723056338E-2</v>
      </c>
      <c r="M777" s="29">
        <f t="shared" si="535"/>
        <v>5.7632444925209747E-2</v>
      </c>
      <c r="N777" s="29">
        <f t="shared" si="535"/>
        <v>4.5845527872283976E-4</v>
      </c>
      <c r="O777" s="29">
        <f t="shared" si="535"/>
        <v>5.7173989646486907E-2</v>
      </c>
      <c r="P777" s="29">
        <f t="shared" si="535"/>
        <v>8.7823613914462151E-4</v>
      </c>
      <c r="Q777" s="29">
        <f t="shared" si="535"/>
        <v>3.7329084326514708E-4</v>
      </c>
      <c r="R777" s="29">
        <f t="shared" si="535"/>
        <v>4.3776111683454204E-4</v>
      </c>
      <c r="S777" s="29">
        <f t="shared" si="535"/>
        <v>6.718417904493243E-5</v>
      </c>
      <c r="T777" s="29">
        <f t="shared" si="535"/>
        <v>9.8750167556563149E-5</v>
      </c>
      <c r="U777" s="29">
        <f t="shared" si="535"/>
        <v>3.451018344362744E-2</v>
      </c>
      <c r="V777" s="29">
        <f t="shared" si="535"/>
        <v>1.5122656763397246E-5</v>
      </c>
      <c r="W777" s="27" t="str">
        <f t="shared" si="525"/>
        <v>OK</v>
      </c>
    </row>
    <row r="778" spans="1:23" x14ac:dyDescent="0.2">
      <c r="A778" s="3">
        <f t="shared" si="494"/>
        <v>38</v>
      </c>
      <c r="B778" s="3" t="str">
        <f t="shared" si="529"/>
        <v>Production, Transmission and Distribution Plant</v>
      </c>
      <c r="C778" s="3"/>
      <c r="D778" s="3"/>
      <c r="E778" s="3" t="str">
        <f t="shared" si="511"/>
        <v>PTDPLT</v>
      </c>
      <c r="F778" s="3"/>
      <c r="G778" s="3"/>
      <c r="H778" s="29">
        <f t="shared" si="532"/>
        <v>0</v>
      </c>
      <c r="I778" s="29">
        <v>0</v>
      </c>
      <c r="J778" s="29">
        <f t="shared" si="492"/>
        <v>0</v>
      </c>
      <c r="K778" s="29">
        <f t="shared" ref="K778:V778" si="536">IF($H706&lt;&gt;0,K706/$H706,0)</f>
        <v>0</v>
      </c>
      <c r="L778" s="29">
        <f t="shared" si="536"/>
        <v>0</v>
      </c>
      <c r="M778" s="29">
        <f t="shared" si="536"/>
        <v>0</v>
      </c>
      <c r="N778" s="29">
        <f t="shared" si="536"/>
        <v>0</v>
      </c>
      <c r="O778" s="29">
        <f t="shared" si="536"/>
        <v>0</v>
      </c>
      <c r="P778" s="29">
        <f t="shared" si="536"/>
        <v>0</v>
      </c>
      <c r="Q778" s="29">
        <f t="shared" si="536"/>
        <v>0</v>
      </c>
      <c r="R778" s="29">
        <f t="shared" si="536"/>
        <v>0</v>
      </c>
      <c r="S778" s="29">
        <f t="shared" si="536"/>
        <v>0</v>
      </c>
      <c r="T778" s="29">
        <f t="shared" si="536"/>
        <v>0</v>
      </c>
      <c r="U778" s="29">
        <f t="shared" si="536"/>
        <v>0</v>
      </c>
      <c r="V778" s="29">
        <f t="shared" si="536"/>
        <v>0</v>
      </c>
      <c r="W778" s="27" t="str">
        <f t="shared" si="525"/>
        <v>OK</v>
      </c>
    </row>
    <row r="779" spans="1:23" x14ac:dyDescent="0.2">
      <c r="A779" s="3">
        <f t="shared" si="494"/>
        <v>39</v>
      </c>
      <c r="B779" s="3" t="str">
        <f t="shared" si="529"/>
        <v>Accounts 352</v>
      </c>
      <c r="C779" s="3"/>
      <c r="D779" s="3"/>
      <c r="E779" s="3" t="str">
        <f t="shared" si="511"/>
        <v>PLT352</v>
      </c>
      <c r="F779" s="3"/>
      <c r="G779" s="3"/>
      <c r="H779" s="29">
        <f t="shared" si="532"/>
        <v>0</v>
      </c>
      <c r="I779" s="29">
        <v>0</v>
      </c>
      <c r="J779" s="29">
        <f t="shared" si="492"/>
        <v>0</v>
      </c>
      <c r="K779" s="29">
        <f t="shared" ref="K779:V779" si="537">IF($H707&lt;&gt;0,K707/$H707,0)</f>
        <v>0</v>
      </c>
      <c r="L779" s="29">
        <f t="shared" si="537"/>
        <v>0</v>
      </c>
      <c r="M779" s="29">
        <f t="shared" si="537"/>
        <v>0</v>
      </c>
      <c r="N779" s="29">
        <f t="shared" si="537"/>
        <v>0</v>
      </c>
      <c r="O779" s="29">
        <f t="shared" si="537"/>
        <v>0</v>
      </c>
      <c r="P779" s="29">
        <f t="shared" si="537"/>
        <v>0</v>
      </c>
      <c r="Q779" s="29">
        <f t="shared" si="537"/>
        <v>0</v>
      </c>
      <c r="R779" s="29">
        <f t="shared" si="537"/>
        <v>0</v>
      </c>
      <c r="S779" s="29">
        <f t="shared" si="537"/>
        <v>0</v>
      </c>
      <c r="T779" s="29">
        <f t="shared" si="537"/>
        <v>0</v>
      </c>
      <c r="U779" s="29">
        <f t="shared" si="537"/>
        <v>0</v>
      </c>
      <c r="V779" s="29">
        <f t="shared" si="537"/>
        <v>0</v>
      </c>
      <c r="W779" s="27" t="str">
        <f t="shared" si="525"/>
        <v>OK</v>
      </c>
    </row>
    <row r="780" spans="1:23" x14ac:dyDescent="0.2">
      <c r="A780" s="3">
        <f t="shared" si="494"/>
        <v>40</v>
      </c>
      <c r="B780" s="3" t="str">
        <f t="shared" si="529"/>
        <v>Account 353</v>
      </c>
      <c r="C780" s="3"/>
      <c r="D780" s="3"/>
      <c r="E780" s="3" t="str">
        <f t="shared" si="511"/>
        <v>PLT353</v>
      </c>
      <c r="F780" s="3"/>
      <c r="G780" s="3"/>
      <c r="H780" s="29">
        <f t="shared" si="532"/>
        <v>0</v>
      </c>
      <c r="I780" s="29">
        <v>0</v>
      </c>
      <c r="J780" s="29">
        <f t="shared" si="492"/>
        <v>0</v>
      </c>
      <c r="K780" s="29">
        <f t="shared" ref="K780:V780" si="538">IF($H708&lt;&gt;0,K708/$H708,0)</f>
        <v>0</v>
      </c>
      <c r="L780" s="29">
        <f t="shared" si="538"/>
        <v>0</v>
      </c>
      <c r="M780" s="29">
        <f t="shared" si="538"/>
        <v>0</v>
      </c>
      <c r="N780" s="29">
        <f t="shared" si="538"/>
        <v>0</v>
      </c>
      <c r="O780" s="29">
        <f t="shared" si="538"/>
        <v>0</v>
      </c>
      <c r="P780" s="29">
        <f t="shared" si="538"/>
        <v>0</v>
      </c>
      <c r="Q780" s="29">
        <f t="shared" si="538"/>
        <v>0</v>
      </c>
      <c r="R780" s="29">
        <f t="shared" si="538"/>
        <v>0</v>
      </c>
      <c r="S780" s="29">
        <f t="shared" si="538"/>
        <v>0</v>
      </c>
      <c r="T780" s="29">
        <f t="shared" si="538"/>
        <v>0</v>
      </c>
      <c r="U780" s="29">
        <f t="shared" si="538"/>
        <v>0</v>
      </c>
      <c r="V780" s="29">
        <f t="shared" si="538"/>
        <v>0</v>
      </c>
      <c r="W780" s="27" t="str">
        <f t="shared" si="525"/>
        <v>OK</v>
      </c>
    </row>
    <row r="781" spans="1:23" x14ac:dyDescent="0.2">
      <c r="A781" s="3">
        <f t="shared" si="494"/>
        <v>41</v>
      </c>
      <c r="B781" s="3" t="str">
        <f t="shared" si="529"/>
        <v>Accounts 352 through 353</v>
      </c>
      <c r="C781" s="3"/>
      <c r="D781" s="3"/>
      <c r="E781" s="3" t="str">
        <f t="shared" si="511"/>
        <v>PLT352_353</v>
      </c>
      <c r="F781" s="3"/>
      <c r="G781" s="3"/>
      <c r="H781" s="29">
        <f t="shared" si="532"/>
        <v>0</v>
      </c>
      <c r="I781" s="29">
        <v>0</v>
      </c>
      <c r="J781" s="29">
        <f t="shared" si="492"/>
        <v>0</v>
      </c>
      <c r="K781" s="29">
        <f t="shared" ref="K781:V781" si="539">IF($H709&lt;&gt;0,K709/$H709,0)</f>
        <v>0</v>
      </c>
      <c r="L781" s="29">
        <f t="shared" si="539"/>
        <v>0</v>
      </c>
      <c r="M781" s="29">
        <f t="shared" si="539"/>
        <v>0</v>
      </c>
      <c r="N781" s="29">
        <f t="shared" si="539"/>
        <v>0</v>
      </c>
      <c r="O781" s="29">
        <f t="shared" si="539"/>
        <v>0</v>
      </c>
      <c r="P781" s="29">
        <f t="shared" si="539"/>
        <v>0</v>
      </c>
      <c r="Q781" s="29">
        <f t="shared" si="539"/>
        <v>0</v>
      </c>
      <c r="R781" s="29">
        <f t="shared" si="539"/>
        <v>0</v>
      </c>
      <c r="S781" s="29">
        <f t="shared" si="539"/>
        <v>0</v>
      </c>
      <c r="T781" s="29">
        <f t="shared" si="539"/>
        <v>0</v>
      </c>
      <c r="U781" s="29">
        <f t="shared" si="539"/>
        <v>0</v>
      </c>
      <c r="V781" s="29">
        <f t="shared" si="539"/>
        <v>0</v>
      </c>
      <c r="W781" s="27" t="str">
        <f t="shared" si="525"/>
        <v>OK</v>
      </c>
    </row>
    <row r="782" spans="1:23" x14ac:dyDescent="0.2">
      <c r="A782" s="3">
        <f t="shared" si="494"/>
        <v>42</v>
      </c>
      <c r="B782" s="3" t="str">
        <f t="shared" si="529"/>
        <v>Accounts 354 through 356</v>
      </c>
      <c r="C782" s="3"/>
      <c r="D782" s="3"/>
      <c r="E782" s="3" t="str">
        <f t="shared" si="511"/>
        <v>PLT354_356</v>
      </c>
      <c r="F782" s="3"/>
      <c r="G782" s="3"/>
      <c r="H782" s="29">
        <f t="shared" si="532"/>
        <v>0</v>
      </c>
      <c r="I782" s="29">
        <v>0</v>
      </c>
      <c r="J782" s="29">
        <f t="shared" si="492"/>
        <v>0</v>
      </c>
      <c r="K782" s="29">
        <f t="shared" ref="K782:V782" si="540">IF($H710&lt;&gt;0,K710/$H710,0)</f>
        <v>0</v>
      </c>
      <c r="L782" s="29">
        <f t="shared" si="540"/>
        <v>0</v>
      </c>
      <c r="M782" s="29">
        <f t="shared" si="540"/>
        <v>0</v>
      </c>
      <c r="N782" s="29">
        <f t="shared" si="540"/>
        <v>0</v>
      </c>
      <c r="O782" s="29">
        <f t="shared" si="540"/>
        <v>0</v>
      </c>
      <c r="P782" s="29">
        <f t="shared" si="540"/>
        <v>0</v>
      </c>
      <c r="Q782" s="29">
        <f t="shared" si="540"/>
        <v>0</v>
      </c>
      <c r="R782" s="29">
        <f t="shared" si="540"/>
        <v>0</v>
      </c>
      <c r="S782" s="29">
        <f t="shared" si="540"/>
        <v>0</v>
      </c>
      <c r="T782" s="29">
        <f t="shared" si="540"/>
        <v>0</v>
      </c>
      <c r="U782" s="29">
        <f t="shared" si="540"/>
        <v>0</v>
      </c>
      <c r="V782" s="29">
        <f t="shared" si="540"/>
        <v>0</v>
      </c>
      <c r="W782" s="27" t="str">
        <f t="shared" si="525"/>
        <v>OK</v>
      </c>
    </row>
    <row r="783" spans="1:23" x14ac:dyDescent="0.2">
      <c r="A783" s="3">
        <f t="shared" si="494"/>
        <v>43</v>
      </c>
      <c r="B783" s="3" t="str">
        <f t="shared" si="529"/>
        <v>Accounts 357 through 358</v>
      </c>
      <c r="C783" s="3"/>
      <c r="D783" s="3"/>
      <c r="E783" s="3" t="str">
        <f t="shared" si="511"/>
        <v>PLT357_358</v>
      </c>
      <c r="F783" s="3"/>
      <c r="G783" s="3"/>
      <c r="H783" s="29">
        <f t="shared" si="532"/>
        <v>0</v>
      </c>
      <c r="I783" s="29">
        <v>0</v>
      </c>
      <c r="J783" s="29">
        <f t="shared" si="492"/>
        <v>0</v>
      </c>
      <c r="K783" s="29">
        <f t="shared" ref="K783:V783" si="541">IF($H711&lt;&gt;0,K711/$H711,0)</f>
        <v>0</v>
      </c>
      <c r="L783" s="29">
        <f t="shared" si="541"/>
        <v>0</v>
      </c>
      <c r="M783" s="29">
        <f t="shared" si="541"/>
        <v>0</v>
      </c>
      <c r="N783" s="29">
        <f t="shared" si="541"/>
        <v>0</v>
      </c>
      <c r="O783" s="29">
        <f t="shared" si="541"/>
        <v>0</v>
      </c>
      <c r="P783" s="29">
        <f t="shared" si="541"/>
        <v>0</v>
      </c>
      <c r="Q783" s="29">
        <f t="shared" si="541"/>
        <v>0</v>
      </c>
      <c r="R783" s="29">
        <f t="shared" si="541"/>
        <v>0</v>
      </c>
      <c r="S783" s="29">
        <f t="shared" si="541"/>
        <v>0</v>
      </c>
      <c r="T783" s="29">
        <f t="shared" si="541"/>
        <v>0</v>
      </c>
      <c r="U783" s="29">
        <f t="shared" si="541"/>
        <v>0</v>
      </c>
      <c r="V783" s="29">
        <f t="shared" si="541"/>
        <v>0</v>
      </c>
      <c r="W783" s="27" t="str">
        <f t="shared" si="525"/>
        <v>OK</v>
      </c>
    </row>
    <row r="784" spans="1:23" x14ac:dyDescent="0.2">
      <c r="A784" s="3">
        <f t="shared" si="494"/>
        <v>44</v>
      </c>
      <c r="B784" s="3" t="str">
        <f t="shared" si="529"/>
        <v>Account 361</v>
      </c>
      <c r="C784" s="3"/>
      <c r="D784" s="3"/>
      <c r="E784" s="3" t="str">
        <f t="shared" si="511"/>
        <v>PLT361</v>
      </c>
      <c r="F784" s="3"/>
      <c r="G784" s="3"/>
      <c r="H784" s="29">
        <f t="shared" si="532"/>
        <v>0</v>
      </c>
      <c r="I784" s="29">
        <v>0</v>
      </c>
      <c r="J784" s="29">
        <f t="shared" si="492"/>
        <v>0</v>
      </c>
      <c r="K784" s="29">
        <f t="shared" ref="K784:V784" si="542">IF($H712&lt;&gt;0,K712/$H712,0)</f>
        <v>0</v>
      </c>
      <c r="L784" s="29">
        <f t="shared" si="542"/>
        <v>0</v>
      </c>
      <c r="M784" s="29">
        <f t="shared" si="542"/>
        <v>0</v>
      </c>
      <c r="N784" s="29">
        <f t="shared" si="542"/>
        <v>0</v>
      </c>
      <c r="O784" s="29">
        <f t="shared" si="542"/>
        <v>0</v>
      </c>
      <c r="P784" s="29">
        <f t="shared" si="542"/>
        <v>0</v>
      </c>
      <c r="Q784" s="29">
        <f t="shared" si="542"/>
        <v>0</v>
      </c>
      <c r="R784" s="29">
        <f t="shared" si="542"/>
        <v>0</v>
      </c>
      <c r="S784" s="29">
        <f t="shared" si="542"/>
        <v>0</v>
      </c>
      <c r="T784" s="29">
        <f t="shared" si="542"/>
        <v>0</v>
      </c>
      <c r="U784" s="29">
        <f t="shared" si="542"/>
        <v>0</v>
      </c>
      <c r="V784" s="29">
        <f t="shared" si="542"/>
        <v>0</v>
      </c>
      <c r="W784" s="27" t="str">
        <f t="shared" si="525"/>
        <v>OK</v>
      </c>
    </row>
    <row r="785" spans="1:23" x14ac:dyDescent="0.2">
      <c r="A785" s="3">
        <f t="shared" si="494"/>
        <v>45</v>
      </c>
      <c r="B785" s="3" t="str">
        <f t="shared" si="529"/>
        <v>Account 362</v>
      </c>
      <c r="C785" s="3"/>
      <c r="D785" s="3"/>
      <c r="E785" s="3" t="str">
        <f t="shared" si="511"/>
        <v>PLT362</v>
      </c>
      <c r="F785" s="3"/>
      <c r="G785" s="3"/>
      <c r="H785" s="29">
        <f t="shared" si="532"/>
        <v>0</v>
      </c>
      <c r="I785" s="29">
        <v>0</v>
      </c>
      <c r="J785" s="29">
        <f t="shared" si="492"/>
        <v>0</v>
      </c>
      <c r="K785" s="29">
        <f t="shared" ref="K785:V785" si="543">IF($H713&lt;&gt;0,K713/$H713,0)</f>
        <v>0</v>
      </c>
      <c r="L785" s="29">
        <f t="shared" si="543"/>
        <v>0</v>
      </c>
      <c r="M785" s="29">
        <f t="shared" si="543"/>
        <v>0</v>
      </c>
      <c r="N785" s="29">
        <f t="shared" si="543"/>
        <v>0</v>
      </c>
      <c r="O785" s="29">
        <f t="shared" si="543"/>
        <v>0</v>
      </c>
      <c r="P785" s="29">
        <f t="shared" si="543"/>
        <v>0</v>
      </c>
      <c r="Q785" s="29">
        <f t="shared" si="543"/>
        <v>0</v>
      </c>
      <c r="R785" s="29">
        <f t="shared" si="543"/>
        <v>0</v>
      </c>
      <c r="S785" s="29">
        <f t="shared" si="543"/>
        <v>0</v>
      </c>
      <c r="T785" s="29">
        <f t="shared" si="543"/>
        <v>0</v>
      </c>
      <c r="U785" s="29">
        <f t="shared" si="543"/>
        <v>0</v>
      </c>
      <c r="V785" s="29">
        <f t="shared" si="543"/>
        <v>0</v>
      </c>
      <c r="W785" s="27" t="str">
        <f t="shared" si="525"/>
        <v>OK</v>
      </c>
    </row>
    <row r="786" spans="1:23" x14ac:dyDescent="0.2">
      <c r="A786" s="3">
        <f t="shared" si="494"/>
        <v>46</v>
      </c>
      <c r="B786" s="3" t="str">
        <f t="shared" si="529"/>
        <v>Accounts 364 through 365</v>
      </c>
      <c r="C786" s="3"/>
      <c r="D786" s="3"/>
      <c r="E786" s="3" t="str">
        <f t="shared" si="511"/>
        <v>PLT364_365</v>
      </c>
      <c r="F786" s="3"/>
      <c r="G786" s="3"/>
      <c r="H786" s="29">
        <f t="shared" si="532"/>
        <v>0</v>
      </c>
      <c r="I786" s="29">
        <v>0</v>
      </c>
      <c r="J786" s="29">
        <f t="shared" si="492"/>
        <v>0</v>
      </c>
      <c r="K786" s="29">
        <f t="shared" ref="K786:V786" si="544">IF($H714&lt;&gt;0,K714/$H714,0)</f>
        <v>0</v>
      </c>
      <c r="L786" s="29">
        <f t="shared" si="544"/>
        <v>0</v>
      </c>
      <c r="M786" s="29">
        <f t="shared" si="544"/>
        <v>0</v>
      </c>
      <c r="N786" s="29">
        <f t="shared" si="544"/>
        <v>0</v>
      </c>
      <c r="O786" s="29">
        <f t="shared" si="544"/>
        <v>0</v>
      </c>
      <c r="P786" s="29">
        <f t="shared" si="544"/>
        <v>0</v>
      </c>
      <c r="Q786" s="29">
        <f t="shared" si="544"/>
        <v>0</v>
      </c>
      <c r="R786" s="29">
        <f t="shared" si="544"/>
        <v>0</v>
      </c>
      <c r="S786" s="29">
        <f t="shared" si="544"/>
        <v>0</v>
      </c>
      <c r="T786" s="29">
        <f t="shared" si="544"/>
        <v>0</v>
      </c>
      <c r="U786" s="29">
        <f t="shared" si="544"/>
        <v>0</v>
      </c>
      <c r="V786" s="29">
        <f t="shared" si="544"/>
        <v>0</v>
      </c>
      <c r="W786" s="27" t="str">
        <f t="shared" si="525"/>
        <v>OK</v>
      </c>
    </row>
    <row r="787" spans="1:23" x14ac:dyDescent="0.2">
      <c r="A787" s="3">
        <f t="shared" si="494"/>
        <v>47</v>
      </c>
      <c r="B787" s="3" t="str">
        <f t="shared" si="529"/>
        <v>Accounts 366 through 367</v>
      </c>
      <c r="C787" s="3"/>
      <c r="D787" s="3"/>
      <c r="E787" s="3" t="str">
        <f t="shared" si="511"/>
        <v>PLT366_367</v>
      </c>
      <c r="F787" s="3"/>
      <c r="G787" s="3"/>
      <c r="H787" s="29">
        <f t="shared" si="532"/>
        <v>0</v>
      </c>
      <c r="I787" s="29">
        <v>0</v>
      </c>
      <c r="J787" s="29">
        <f t="shared" si="492"/>
        <v>0</v>
      </c>
      <c r="K787" s="29">
        <f t="shared" ref="K787:V787" si="545">IF($H715&lt;&gt;0,K715/$H715,0)</f>
        <v>0</v>
      </c>
      <c r="L787" s="29">
        <f t="shared" si="545"/>
        <v>0</v>
      </c>
      <c r="M787" s="29">
        <f t="shared" si="545"/>
        <v>0</v>
      </c>
      <c r="N787" s="29">
        <f t="shared" si="545"/>
        <v>0</v>
      </c>
      <c r="O787" s="29">
        <f t="shared" si="545"/>
        <v>0</v>
      </c>
      <c r="P787" s="29">
        <f t="shared" si="545"/>
        <v>0</v>
      </c>
      <c r="Q787" s="29">
        <f t="shared" si="545"/>
        <v>0</v>
      </c>
      <c r="R787" s="29">
        <f t="shared" si="545"/>
        <v>0</v>
      </c>
      <c r="S787" s="29">
        <f t="shared" si="545"/>
        <v>0</v>
      </c>
      <c r="T787" s="29">
        <f t="shared" si="545"/>
        <v>0</v>
      </c>
      <c r="U787" s="29">
        <f t="shared" si="545"/>
        <v>0</v>
      </c>
      <c r="V787" s="29">
        <f t="shared" si="545"/>
        <v>0</v>
      </c>
      <c r="W787" s="27" t="str">
        <f t="shared" si="525"/>
        <v>OK</v>
      </c>
    </row>
    <row r="788" spans="1:23" x14ac:dyDescent="0.2">
      <c r="A788" s="3">
        <f t="shared" si="494"/>
        <v>48</v>
      </c>
      <c r="B788" s="3" t="str">
        <f t="shared" si="529"/>
        <v>Account 368</v>
      </c>
      <c r="C788" s="3"/>
      <c r="D788" s="3"/>
      <c r="E788" s="3" t="str">
        <f t="shared" si="511"/>
        <v>PLT368</v>
      </c>
      <c r="F788" s="3"/>
      <c r="G788" s="3"/>
      <c r="H788" s="29">
        <f t="shared" si="532"/>
        <v>0</v>
      </c>
      <c r="I788" s="29">
        <v>0</v>
      </c>
      <c r="J788" s="29">
        <f t="shared" si="492"/>
        <v>0</v>
      </c>
      <c r="K788" s="29">
        <f t="shared" ref="K788:V788" si="546">IF($H716&lt;&gt;0,K716/$H716,0)</f>
        <v>0</v>
      </c>
      <c r="L788" s="29">
        <f t="shared" si="546"/>
        <v>0</v>
      </c>
      <c r="M788" s="29">
        <f t="shared" si="546"/>
        <v>0</v>
      </c>
      <c r="N788" s="29">
        <f t="shared" si="546"/>
        <v>0</v>
      </c>
      <c r="O788" s="29">
        <f t="shared" si="546"/>
        <v>0</v>
      </c>
      <c r="P788" s="29">
        <f t="shared" si="546"/>
        <v>0</v>
      </c>
      <c r="Q788" s="29">
        <f t="shared" si="546"/>
        <v>0</v>
      </c>
      <c r="R788" s="29">
        <f t="shared" si="546"/>
        <v>0</v>
      </c>
      <c r="S788" s="29">
        <f t="shared" si="546"/>
        <v>0</v>
      </c>
      <c r="T788" s="29">
        <f t="shared" si="546"/>
        <v>0</v>
      </c>
      <c r="U788" s="29">
        <f t="shared" si="546"/>
        <v>0</v>
      </c>
      <c r="V788" s="29">
        <f t="shared" si="546"/>
        <v>0</v>
      </c>
      <c r="W788" s="27" t="str">
        <f t="shared" si="525"/>
        <v>OK</v>
      </c>
    </row>
    <row r="789" spans="1:23" x14ac:dyDescent="0.2">
      <c r="A789" s="3">
        <f t="shared" si="494"/>
        <v>49</v>
      </c>
      <c r="B789" s="3" t="str">
        <f t="shared" si="529"/>
        <v>Account 370</v>
      </c>
      <c r="C789" s="3"/>
      <c r="D789" s="3"/>
      <c r="E789" s="3" t="str">
        <f t="shared" si="511"/>
        <v>PLT370</v>
      </c>
      <c r="F789" s="3"/>
      <c r="G789" s="3"/>
      <c r="H789" s="29">
        <f t="shared" si="532"/>
        <v>0</v>
      </c>
      <c r="I789" s="29">
        <v>0</v>
      </c>
      <c r="J789" s="29">
        <f t="shared" si="492"/>
        <v>0</v>
      </c>
      <c r="K789" s="29">
        <f t="shared" ref="K789:V789" si="547">IF($H717&lt;&gt;0,K717/$H717,0)</f>
        <v>0</v>
      </c>
      <c r="L789" s="29">
        <f t="shared" si="547"/>
        <v>0</v>
      </c>
      <c r="M789" s="29">
        <f t="shared" si="547"/>
        <v>0</v>
      </c>
      <c r="N789" s="29">
        <f t="shared" si="547"/>
        <v>0</v>
      </c>
      <c r="O789" s="29">
        <f t="shared" si="547"/>
        <v>0</v>
      </c>
      <c r="P789" s="29">
        <f t="shared" si="547"/>
        <v>0</v>
      </c>
      <c r="Q789" s="29">
        <f t="shared" si="547"/>
        <v>0</v>
      </c>
      <c r="R789" s="29">
        <f t="shared" si="547"/>
        <v>0</v>
      </c>
      <c r="S789" s="29">
        <f t="shared" si="547"/>
        <v>0</v>
      </c>
      <c r="T789" s="29">
        <f t="shared" si="547"/>
        <v>0</v>
      </c>
      <c r="U789" s="29">
        <f t="shared" si="547"/>
        <v>0</v>
      </c>
      <c r="V789" s="29">
        <f t="shared" si="547"/>
        <v>0</v>
      </c>
      <c r="W789" s="27" t="str">
        <f t="shared" si="525"/>
        <v>OK</v>
      </c>
    </row>
    <row r="790" spans="1:23" x14ac:dyDescent="0.2">
      <c r="A790" s="3">
        <f t="shared" si="494"/>
        <v>50</v>
      </c>
      <c r="B790" s="3" t="str">
        <f t="shared" si="529"/>
        <v>Account 371</v>
      </c>
      <c r="C790" s="3"/>
      <c r="D790" s="3"/>
      <c r="E790" s="3" t="str">
        <f t="shared" si="511"/>
        <v>PLT371</v>
      </c>
      <c r="F790" s="3"/>
      <c r="G790" s="3"/>
      <c r="H790" s="29">
        <f t="shared" si="532"/>
        <v>0</v>
      </c>
      <c r="I790" s="29">
        <v>0</v>
      </c>
      <c r="J790" s="29">
        <f t="shared" si="492"/>
        <v>0</v>
      </c>
      <c r="K790" s="29">
        <f t="shared" ref="K790:V790" si="548">IF($H718&lt;&gt;0,K718/$H718,0)</f>
        <v>0</v>
      </c>
      <c r="L790" s="29">
        <f t="shared" si="548"/>
        <v>0</v>
      </c>
      <c r="M790" s="29">
        <f t="shared" si="548"/>
        <v>0</v>
      </c>
      <c r="N790" s="29">
        <f t="shared" si="548"/>
        <v>0</v>
      </c>
      <c r="O790" s="29">
        <f t="shared" si="548"/>
        <v>0</v>
      </c>
      <c r="P790" s="29">
        <f t="shared" si="548"/>
        <v>0</v>
      </c>
      <c r="Q790" s="29">
        <f t="shared" si="548"/>
        <v>0</v>
      </c>
      <c r="R790" s="29">
        <f t="shared" si="548"/>
        <v>0</v>
      </c>
      <c r="S790" s="29">
        <f t="shared" si="548"/>
        <v>0</v>
      </c>
      <c r="T790" s="29">
        <f t="shared" si="548"/>
        <v>0</v>
      </c>
      <c r="U790" s="29">
        <f t="shared" si="548"/>
        <v>0</v>
      </c>
      <c r="V790" s="29">
        <f t="shared" si="548"/>
        <v>0</v>
      </c>
      <c r="W790" s="27" t="str">
        <f t="shared" si="525"/>
        <v>OK</v>
      </c>
    </row>
    <row r="791" spans="1:23" x14ac:dyDescent="0.2">
      <c r="A791" s="3">
        <f t="shared" si="494"/>
        <v>51</v>
      </c>
      <c r="B791" s="3" t="str">
        <f t="shared" si="529"/>
        <v>Account 373</v>
      </c>
      <c r="C791" s="3"/>
      <c r="D791" s="3"/>
      <c r="E791" s="3" t="str">
        <f t="shared" si="511"/>
        <v>PLT373</v>
      </c>
      <c r="F791" s="3"/>
      <c r="G791" s="3"/>
      <c r="H791" s="29">
        <f t="shared" si="532"/>
        <v>0</v>
      </c>
      <c r="I791" s="29">
        <v>0</v>
      </c>
      <c r="J791" s="29">
        <f t="shared" si="492"/>
        <v>0</v>
      </c>
      <c r="K791" s="29">
        <f t="shared" ref="K791:V791" si="549">IF($H719&lt;&gt;0,K719/$H719,0)</f>
        <v>0</v>
      </c>
      <c r="L791" s="29">
        <f t="shared" si="549"/>
        <v>0</v>
      </c>
      <c r="M791" s="29">
        <f t="shared" si="549"/>
        <v>0</v>
      </c>
      <c r="N791" s="29">
        <f t="shared" si="549"/>
        <v>0</v>
      </c>
      <c r="O791" s="29">
        <f t="shared" si="549"/>
        <v>0</v>
      </c>
      <c r="P791" s="29">
        <f t="shared" si="549"/>
        <v>0</v>
      </c>
      <c r="Q791" s="29">
        <f t="shared" si="549"/>
        <v>0</v>
      </c>
      <c r="R791" s="29">
        <f t="shared" si="549"/>
        <v>0</v>
      </c>
      <c r="S791" s="29">
        <f t="shared" si="549"/>
        <v>0</v>
      </c>
      <c r="T791" s="29">
        <f t="shared" si="549"/>
        <v>0</v>
      </c>
      <c r="U791" s="29">
        <f t="shared" si="549"/>
        <v>0</v>
      </c>
      <c r="V791" s="29">
        <f t="shared" si="549"/>
        <v>0</v>
      </c>
      <c r="W791" s="27" t="str">
        <f t="shared" si="525"/>
        <v>OK</v>
      </c>
    </row>
    <row r="792" spans="1:23" x14ac:dyDescent="0.2">
      <c r="A792" s="3">
        <f t="shared" si="494"/>
        <v>52</v>
      </c>
      <c r="B792" s="3" t="str">
        <f t="shared" si="529"/>
        <v>Rate base</v>
      </c>
      <c r="C792" s="3"/>
      <c r="D792" s="3"/>
      <c r="E792" s="3" t="s">
        <v>312</v>
      </c>
      <c r="F792" s="3"/>
      <c r="G792" s="3"/>
      <c r="H792" s="29">
        <f t="shared" si="532"/>
        <v>1</v>
      </c>
      <c r="I792" s="29">
        <v>0</v>
      </c>
      <c r="J792" s="29">
        <f t="shared" si="492"/>
        <v>1</v>
      </c>
      <c r="K792" s="29">
        <f t="shared" ref="K792:V792" si="550">IF($H720&lt;&gt;0,K720/$H720,0)</f>
        <v>0.81946814482030139</v>
      </c>
      <c r="L792" s="29">
        <f t="shared" si="550"/>
        <v>8.7000508963801598E-2</v>
      </c>
      <c r="M792" s="29">
        <f t="shared" si="550"/>
        <v>5.7810119482354635E-2</v>
      </c>
      <c r="N792" s="29">
        <f t="shared" si="550"/>
        <v>5.2069997690067538E-4</v>
      </c>
      <c r="O792" s="29">
        <f t="shared" si="550"/>
        <v>5.7289419505453958E-2</v>
      </c>
      <c r="P792" s="29">
        <f t="shared" si="550"/>
        <v>1.0390246214612767E-3</v>
      </c>
      <c r="Q792" s="29">
        <f t="shared" si="550"/>
        <v>5.058539137529764E-4</v>
      </c>
      <c r="R792" s="29">
        <f t="shared" si="550"/>
        <v>4.4518841896480985E-4</v>
      </c>
      <c r="S792" s="29">
        <f t="shared" si="550"/>
        <v>8.7982288743490501E-5</v>
      </c>
      <c r="T792" s="29">
        <f t="shared" si="550"/>
        <v>9.8232260805283746E-5</v>
      </c>
      <c r="U792" s="29">
        <f t="shared" si="550"/>
        <v>3.4562786009832036E-2</v>
      </c>
      <c r="V792" s="29">
        <f t="shared" si="550"/>
        <v>2.1183841443671966E-5</v>
      </c>
      <c r="W792" s="27" t="str">
        <f t="shared" si="525"/>
        <v>OK</v>
      </c>
    </row>
    <row r="793" spans="1:23" x14ac:dyDescent="0.2">
      <c r="A793" s="3">
        <f t="shared" si="494"/>
        <v>53</v>
      </c>
      <c r="B793" s="3" t="str">
        <f t="shared" si="529"/>
        <v>Revenue - Curr tariff rev by func &amp; whsl rev req</v>
      </c>
      <c r="C793" s="3"/>
      <c r="D793" s="3"/>
      <c r="E793" s="3" t="s">
        <v>324</v>
      </c>
      <c r="F793" s="3"/>
      <c r="G793" s="3"/>
      <c r="H793" s="29">
        <f t="shared" si="532"/>
        <v>1.0000000000000002</v>
      </c>
      <c r="I793" s="29">
        <v>0</v>
      </c>
      <c r="J793" s="29">
        <f t="shared" si="492"/>
        <v>1.0000000000000002</v>
      </c>
      <c r="K793" s="29">
        <f t="shared" ref="K793:V793" si="551">IF($H721&lt;&gt;0,K721/$H721,0)</f>
        <v>0.81503614698700766</v>
      </c>
      <c r="L793" s="29">
        <f t="shared" si="551"/>
        <v>8.649664430702235E-2</v>
      </c>
      <c r="M793" s="29">
        <f t="shared" si="551"/>
        <v>9.0636229448146255E-2</v>
      </c>
      <c r="N793" s="29">
        <f t="shared" si="551"/>
        <v>7.2622579404285951E-4</v>
      </c>
      <c r="O793" s="29">
        <f t="shared" si="551"/>
        <v>8.9910003654103399E-2</v>
      </c>
      <c r="P793" s="29">
        <f t="shared" si="551"/>
        <v>4.946643910054312E-3</v>
      </c>
      <c r="Q793" s="29">
        <f t="shared" si="551"/>
        <v>2.1436819420454847E-3</v>
      </c>
      <c r="R793" s="29">
        <f t="shared" si="551"/>
        <v>2.4978234194682741E-3</v>
      </c>
      <c r="S793" s="29">
        <f t="shared" si="551"/>
        <v>3.0513854854055254E-4</v>
      </c>
      <c r="T793" s="29">
        <f t="shared" si="551"/>
        <v>5.9447574900288284E-4</v>
      </c>
      <c r="U793" s="29">
        <f t="shared" si="551"/>
        <v>2.2898077129982659E-3</v>
      </c>
      <c r="V793" s="29">
        <f t="shared" si="551"/>
        <v>5.1885768639399964E-8</v>
      </c>
      <c r="W793" s="27" t="str">
        <f t="shared" si="525"/>
        <v>OK</v>
      </c>
    </row>
    <row r="794" spans="1:23" x14ac:dyDescent="0.2">
      <c r="A794" s="3">
        <f t="shared" si="494"/>
        <v>54</v>
      </c>
      <c r="B794" s="3" t="str">
        <f t="shared" si="529"/>
        <v>Retail Revenue</v>
      </c>
      <c r="C794" s="3"/>
      <c r="D794" s="3"/>
      <c r="E794" s="3" t="s">
        <v>395</v>
      </c>
      <c r="F794" s="3"/>
      <c r="G794" s="3"/>
      <c r="H794" s="29">
        <f t="shared" si="532"/>
        <v>1.0000000000000002</v>
      </c>
      <c r="I794" s="29">
        <v>0</v>
      </c>
      <c r="J794" s="29">
        <f t="shared" si="492"/>
        <v>1.0000000000000002</v>
      </c>
      <c r="K794" s="29">
        <f t="shared" ref="K794:V794" si="552">IF($H722&lt;&gt;0,K722/$H722,0)</f>
        <v>0.81503614698700766</v>
      </c>
      <c r="L794" s="29">
        <f t="shared" si="552"/>
        <v>8.649664430702235E-2</v>
      </c>
      <c r="M794" s="29">
        <f t="shared" si="552"/>
        <v>9.0636229448146255E-2</v>
      </c>
      <c r="N794" s="29">
        <f t="shared" si="552"/>
        <v>7.2622579404285951E-4</v>
      </c>
      <c r="O794" s="29">
        <f t="shared" si="552"/>
        <v>8.9910003654103399E-2</v>
      </c>
      <c r="P794" s="29">
        <f t="shared" si="552"/>
        <v>4.946643910054312E-3</v>
      </c>
      <c r="Q794" s="29">
        <f t="shared" si="552"/>
        <v>2.1436819420454847E-3</v>
      </c>
      <c r="R794" s="29">
        <f t="shared" si="552"/>
        <v>2.4978234194682741E-3</v>
      </c>
      <c r="S794" s="29">
        <f t="shared" si="552"/>
        <v>3.0513854854055254E-4</v>
      </c>
      <c r="T794" s="29">
        <f t="shared" si="552"/>
        <v>5.9447574900288284E-4</v>
      </c>
      <c r="U794" s="29">
        <f t="shared" si="552"/>
        <v>2.2898077129982659E-3</v>
      </c>
      <c r="V794" s="29">
        <f t="shared" si="552"/>
        <v>5.1885768639399964E-8</v>
      </c>
      <c r="W794" s="27" t="str">
        <f t="shared" si="525"/>
        <v>OK</v>
      </c>
    </row>
    <row r="795" spans="1:23" x14ac:dyDescent="0.2">
      <c r="A795" s="3">
        <f t="shared" si="494"/>
        <v>55</v>
      </c>
      <c r="B795" s="3" t="str">
        <f t="shared" si="529"/>
        <v>Wholesale Revenue</v>
      </c>
      <c r="C795" s="3"/>
      <c r="D795" s="3"/>
      <c r="E795" s="3" t="str">
        <f t="shared" ref="E795:E806" si="553">E723</f>
        <v>OREVENUE</v>
      </c>
      <c r="F795" s="3"/>
      <c r="G795" s="3"/>
      <c r="H795" s="29">
        <f t="shared" si="532"/>
        <v>0</v>
      </c>
      <c r="I795" s="29">
        <v>0</v>
      </c>
      <c r="J795" s="29">
        <f t="shared" si="492"/>
        <v>0</v>
      </c>
      <c r="K795" s="29">
        <f t="shared" ref="K795:V795" si="554">IF($H723&lt;&gt;0,K723/$H723,0)</f>
        <v>0</v>
      </c>
      <c r="L795" s="29">
        <f t="shared" si="554"/>
        <v>0</v>
      </c>
      <c r="M795" s="29">
        <f t="shared" si="554"/>
        <v>0</v>
      </c>
      <c r="N795" s="29">
        <f t="shared" si="554"/>
        <v>0</v>
      </c>
      <c r="O795" s="29">
        <f t="shared" si="554"/>
        <v>0</v>
      </c>
      <c r="P795" s="29">
        <f t="shared" si="554"/>
        <v>0</v>
      </c>
      <c r="Q795" s="29">
        <f t="shared" si="554"/>
        <v>0</v>
      </c>
      <c r="R795" s="29">
        <f t="shared" si="554"/>
        <v>0</v>
      </c>
      <c r="S795" s="29">
        <f t="shared" si="554"/>
        <v>0</v>
      </c>
      <c r="T795" s="29">
        <f t="shared" si="554"/>
        <v>0</v>
      </c>
      <c r="U795" s="29">
        <f t="shared" si="554"/>
        <v>0</v>
      </c>
      <c r="V795" s="29">
        <f t="shared" si="554"/>
        <v>0</v>
      </c>
      <c r="W795" s="27" t="str">
        <f t="shared" si="525"/>
        <v>OK</v>
      </c>
    </row>
    <row r="796" spans="1:23" x14ac:dyDescent="0.2">
      <c r="A796" s="3">
        <f t="shared" si="494"/>
        <v>56</v>
      </c>
      <c r="B796" s="18" t="str">
        <f t="shared" si="529"/>
        <v>Labor excluding A&amp;G</v>
      </c>
      <c r="C796" s="18"/>
      <c r="D796" s="18"/>
      <c r="E796" s="3" t="str">
        <f t="shared" si="553"/>
        <v>LABOR</v>
      </c>
      <c r="F796" s="3"/>
      <c r="G796" s="3"/>
      <c r="H796" s="29">
        <f t="shared" si="532"/>
        <v>0.99999999999999978</v>
      </c>
      <c r="I796" s="29">
        <v>0</v>
      </c>
      <c r="J796" s="29">
        <f t="shared" si="492"/>
        <v>0.99999999999999978</v>
      </c>
      <c r="K796" s="29">
        <f t="shared" ref="K796:V796" si="555">IF($H724&lt;&gt;0,K724/$H724,0)</f>
        <v>0.81976761594454506</v>
      </c>
      <c r="L796" s="29">
        <f t="shared" si="555"/>
        <v>8.7097646723022018E-2</v>
      </c>
      <c r="M796" s="29">
        <f t="shared" si="555"/>
        <v>5.7632444925293791E-2</v>
      </c>
      <c r="N796" s="29">
        <f t="shared" si="555"/>
        <v>4.5845527872183329E-4</v>
      </c>
      <c r="O796" s="29">
        <f t="shared" si="555"/>
        <v>5.7173989646571964E-2</v>
      </c>
      <c r="P796" s="29">
        <f t="shared" si="555"/>
        <v>8.7823613914471865E-4</v>
      </c>
      <c r="Q796" s="29">
        <f t="shared" si="555"/>
        <v>3.7329084326482599E-4</v>
      </c>
      <c r="R796" s="29">
        <f t="shared" si="555"/>
        <v>4.3776111683508382E-4</v>
      </c>
      <c r="S796" s="29">
        <f t="shared" si="555"/>
        <v>6.718417904480875E-5</v>
      </c>
      <c r="T796" s="29">
        <f t="shared" si="555"/>
        <v>9.8750167556433898E-5</v>
      </c>
      <c r="U796" s="29">
        <f t="shared" si="555"/>
        <v>3.4510183443674319E-2</v>
      </c>
      <c r="V796" s="29">
        <f t="shared" si="555"/>
        <v>1.5122656763393802E-5</v>
      </c>
      <c r="W796" s="27" t="str">
        <f t="shared" si="525"/>
        <v>OK</v>
      </c>
    </row>
    <row r="797" spans="1:23" x14ac:dyDescent="0.2">
      <c r="A797" s="3">
        <f t="shared" si="494"/>
        <v>57</v>
      </c>
      <c r="B797" s="3" t="str">
        <f t="shared" si="529"/>
        <v>Retail Labor excluding A&amp;G</v>
      </c>
      <c r="C797" s="3"/>
      <c r="D797" s="3"/>
      <c r="E797" s="3" t="str">
        <f t="shared" si="553"/>
        <v>TLABOR</v>
      </c>
      <c r="F797" s="3"/>
      <c r="G797" s="3"/>
      <c r="H797" s="29">
        <f t="shared" si="532"/>
        <v>0.99999999999999978</v>
      </c>
      <c r="I797" s="29">
        <v>0</v>
      </c>
      <c r="J797" s="29">
        <f t="shared" si="492"/>
        <v>0.99999999999999978</v>
      </c>
      <c r="K797" s="29">
        <f t="shared" ref="K797:V797" si="556">IF($H725&lt;&gt;0,K725/$H725,0)</f>
        <v>0.81976761594454506</v>
      </c>
      <c r="L797" s="29">
        <f t="shared" si="556"/>
        <v>8.7097646723022018E-2</v>
      </c>
      <c r="M797" s="29">
        <f t="shared" si="556"/>
        <v>5.7632444925293791E-2</v>
      </c>
      <c r="N797" s="29">
        <f t="shared" si="556"/>
        <v>4.5845527872183329E-4</v>
      </c>
      <c r="O797" s="29">
        <f t="shared" si="556"/>
        <v>5.7173989646571964E-2</v>
      </c>
      <c r="P797" s="29">
        <f t="shared" si="556"/>
        <v>8.7823613914471865E-4</v>
      </c>
      <c r="Q797" s="29">
        <f t="shared" si="556"/>
        <v>3.7329084326482599E-4</v>
      </c>
      <c r="R797" s="29">
        <f t="shared" si="556"/>
        <v>4.3776111683508382E-4</v>
      </c>
      <c r="S797" s="29">
        <f t="shared" si="556"/>
        <v>6.718417904480875E-5</v>
      </c>
      <c r="T797" s="29">
        <f t="shared" si="556"/>
        <v>9.8750167556433898E-5</v>
      </c>
      <c r="U797" s="29">
        <f t="shared" si="556"/>
        <v>3.4510183443674319E-2</v>
      </c>
      <c r="V797" s="29">
        <f t="shared" si="556"/>
        <v>1.5122656763393802E-5</v>
      </c>
      <c r="W797" s="27" t="str">
        <f t="shared" si="525"/>
        <v>OK</v>
      </c>
    </row>
    <row r="798" spans="1:23" x14ac:dyDescent="0.2">
      <c r="A798" s="3">
        <f t="shared" si="494"/>
        <v>58</v>
      </c>
      <c r="B798" s="3" t="str">
        <f t="shared" si="529"/>
        <v>Accounts 561 through 566 Labor</v>
      </c>
      <c r="C798" s="3"/>
      <c r="D798" s="3"/>
      <c r="E798" s="3" t="str">
        <f t="shared" si="553"/>
        <v>LAB561_566</v>
      </c>
      <c r="F798" s="3"/>
      <c r="G798" s="3"/>
      <c r="H798" s="29">
        <f t="shared" si="532"/>
        <v>0</v>
      </c>
      <c r="I798" s="29">
        <v>0</v>
      </c>
      <c r="J798" s="29">
        <f t="shared" si="492"/>
        <v>0</v>
      </c>
      <c r="K798" s="29">
        <f t="shared" ref="K798:V798" si="557">IF($H726&lt;&gt;0,K726/$H726,0)</f>
        <v>0</v>
      </c>
      <c r="L798" s="29">
        <f t="shared" si="557"/>
        <v>0</v>
      </c>
      <c r="M798" s="29">
        <f t="shared" si="557"/>
        <v>0</v>
      </c>
      <c r="N798" s="29">
        <f t="shared" si="557"/>
        <v>0</v>
      </c>
      <c r="O798" s="29">
        <f t="shared" si="557"/>
        <v>0</v>
      </c>
      <c r="P798" s="29">
        <f t="shared" si="557"/>
        <v>0</v>
      </c>
      <c r="Q798" s="29">
        <f t="shared" si="557"/>
        <v>0</v>
      </c>
      <c r="R798" s="29">
        <f t="shared" si="557"/>
        <v>0</v>
      </c>
      <c r="S798" s="29">
        <f t="shared" si="557"/>
        <v>0</v>
      </c>
      <c r="T798" s="29">
        <f t="shared" si="557"/>
        <v>0</v>
      </c>
      <c r="U798" s="29">
        <f t="shared" si="557"/>
        <v>0</v>
      </c>
      <c r="V798" s="29">
        <f t="shared" si="557"/>
        <v>0</v>
      </c>
      <c r="W798" s="27" t="str">
        <f t="shared" si="525"/>
        <v>OK</v>
      </c>
    </row>
    <row r="799" spans="1:23" x14ac:dyDescent="0.2">
      <c r="A799" s="3">
        <f t="shared" si="494"/>
        <v>59</v>
      </c>
      <c r="B799" s="3" t="str">
        <f t="shared" si="529"/>
        <v>Accounts 569 through 573 Labor</v>
      </c>
      <c r="C799" s="3"/>
      <c r="D799" s="3"/>
      <c r="E799" s="3" t="str">
        <f t="shared" si="553"/>
        <v>LAB569_573</v>
      </c>
      <c r="F799" s="3"/>
      <c r="G799" s="3"/>
      <c r="H799" s="29">
        <f t="shared" si="532"/>
        <v>0</v>
      </c>
      <c r="I799" s="29">
        <v>0</v>
      </c>
      <c r="J799" s="29">
        <f t="shared" si="492"/>
        <v>0</v>
      </c>
      <c r="K799" s="29">
        <f t="shared" ref="K799:V799" si="558">IF($H727&lt;&gt;0,K727/$H727,0)</f>
        <v>0</v>
      </c>
      <c r="L799" s="29">
        <f t="shared" si="558"/>
        <v>0</v>
      </c>
      <c r="M799" s="29">
        <f t="shared" si="558"/>
        <v>0</v>
      </c>
      <c r="N799" s="29">
        <f t="shared" si="558"/>
        <v>0</v>
      </c>
      <c r="O799" s="29">
        <f t="shared" si="558"/>
        <v>0</v>
      </c>
      <c r="P799" s="29">
        <f t="shared" si="558"/>
        <v>0</v>
      </c>
      <c r="Q799" s="29">
        <f t="shared" si="558"/>
        <v>0</v>
      </c>
      <c r="R799" s="29">
        <f t="shared" si="558"/>
        <v>0</v>
      </c>
      <c r="S799" s="29">
        <f t="shared" si="558"/>
        <v>0</v>
      </c>
      <c r="T799" s="29">
        <f t="shared" si="558"/>
        <v>0</v>
      </c>
      <c r="U799" s="29">
        <f t="shared" si="558"/>
        <v>0</v>
      </c>
      <c r="V799" s="29">
        <f t="shared" si="558"/>
        <v>0</v>
      </c>
      <c r="W799" s="27" t="str">
        <f t="shared" si="525"/>
        <v>OK</v>
      </c>
    </row>
    <row r="800" spans="1:23" x14ac:dyDescent="0.2">
      <c r="A800" s="3">
        <f t="shared" si="494"/>
        <v>60</v>
      </c>
      <c r="B800" s="3" t="str">
        <f t="shared" si="529"/>
        <v>Accounts 581 through 588 Labor</v>
      </c>
      <c r="C800" s="3"/>
      <c r="D800" s="3"/>
      <c r="E800" s="3" t="str">
        <f t="shared" si="553"/>
        <v>LAB581_588</v>
      </c>
      <c r="F800" s="3"/>
      <c r="G800" s="3"/>
      <c r="H800" s="29">
        <f t="shared" si="532"/>
        <v>0</v>
      </c>
      <c r="I800" s="29">
        <v>0</v>
      </c>
      <c r="J800" s="29">
        <f t="shared" si="492"/>
        <v>0</v>
      </c>
      <c r="K800" s="29">
        <f t="shared" ref="K800:V800" si="559">IF($H728&lt;&gt;0,K728/$H728,0)</f>
        <v>0</v>
      </c>
      <c r="L800" s="29">
        <f t="shared" si="559"/>
        <v>0</v>
      </c>
      <c r="M800" s="29">
        <f t="shared" si="559"/>
        <v>0</v>
      </c>
      <c r="N800" s="29">
        <f t="shared" si="559"/>
        <v>0</v>
      </c>
      <c r="O800" s="29">
        <f t="shared" si="559"/>
        <v>0</v>
      </c>
      <c r="P800" s="29">
        <f t="shared" si="559"/>
        <v>0</v>
      </c>
      <c r="Q800" s="29">
        <f t="shared" si="559"/>
        <v>0</v>
      </c>
      <c r="R800" s="29">
        <f t="shared" si="559"/>
        <v>0</v>
      </c>
      <c r="S800" s="29">
        <f t="shared" si="559"/>
        <v>0</v>
      </c>
      <c r="T800" s="29">
        <f t="shared" si="559"/>
        <v>0</v>
      </c>
      <c r="U800" s="29">
        <f t="shared" si="559"/>
        <v>0</v>
      </c>
      <c r="V800" s="29">
        <f t="shared" si="559"/>
        <v>0</v>
      </c>
      <c r="W800" s="27" t="str">
        <f t="shared" si="525"/>
        <v>OK</v>
      </c>
    </row>
    <row r="801" spans="1:23" x14ac:dyDescent="0.2">
      <c r="A801" s="3">
        <f t="shared" si="494"/>
        <v>61</v>
      </c>
      <c r="B801" s="3" t="str">
        <f t="shared" si="529"/>
        <v>Accounts 591 through 598 Labor</v>
      </c>
      <c r="C801" s="3"/>
      <c r="D801" s="3"/>
      <c r="E801" s="3" t="str">
        <f t="shared" si="553"/>
        <v>LAB591_598</v>
      </c>
      <c r="F801" s="3"/>
      <c r="G801" s="3"/>
      <c r="H801" s="29">
        <f t="shared" si="532"/>
        <v>0</v>
      </c>
      <c r="I801" s="29">
        <v>0</v>
      </c>
      <c r="J801" s="29">
        <f t="shared" si="492"/>
        <v>0</v>
      </c>
      <c r="K801" s="29">
        <f t="shared" ref="K801:V801" si="560">IF($H729&lt;&gt;0,K729/$H729,0)</f>
        <v>0</v>
      </c>
      <c r="L801" s="29">
        <f t="shared" si="560"/>
        <v>0</v>
      </c>
      <c r="M801" s="29">
        <f t="shared" si="560"/>
        <v>0</v>
      </c>
      <c r="N801" s="29">
        <f t="shared" si="560"/>
        <v>0</v>
      </c>
      <c r="O801" s="29">
        <f t="shared" si="560"/>
        <v>0</v>
      </c>
      <c r="P801" s="29">
        <f t="shared" si="560"/>
        <v>0</v>
      </c>
      <c r="Q801" s="29">
        <f t="shared" si="560"/>
        <v>0</v>
      </c>
      <c r="R801" s="29">
        <f t="shared" si="560"/>
        <v>0</v>
      </c>
      <c r="S801" s="29">
        <f t="shared" si="560"/>
        <v>0</v>
      </c>
      <c r="T801" s="29">
        <f t="shared" si="560"/>
        <v>0</v>
      </c>
      <c r="U801" s="29">
        <f t="shared" si="560"/>
        <v>0</v>
      </c>
      <c r="V801" s="29">
        <f t="shared" si="560"/>
        <v>0</v>
      </c>
      <c r="W801" s="27" t="str">
        <f t="shared" ref="W801:W806" si="561">IF((+K801+L801+M801+P801+T801+U801+V801)-H801=0,"OK",(+K801+L801+M801+P801+T801+U801+V801)-H801)</f>
        <v>OK</v>
      </c>
    </row>
    <row r="802" spans="1:23" x14ac:dyDescent="0.2">
      <c r="A802" s="3">
        <f t="shared" si="494"/>
        <v>62</v>
      </c>
      <c r="B802" s="3" t="str">
        <f t="shared" si="529"/>
        <v>Accounts 902 through 903 Labor</v>
      </c>
      <c r="C802" s="3"/>
      <c r="D802" s="3"/>
      <c r="E802" s="3" t="str">
        <f t="shared" si="553"/>
        <v>LAB902_903</v>
      </c>
      <c r="F802" s="3"/>
      <c r="G802" s="3"/>
      <c r="H802" s="29">
        <f t="shared" si="532"/>
        <v>1.0000000000000002</v>
      </c>
      <c r="I802" s="29">
        <v>0</v>
      </c>
      <c r="J802" s="29">
        <f t="shared" si="492"/>
        <v>1.0000000000000002</v>
      </c>
      <c r="K802" s="29">
        <f t="shared" ref="K802:V802" si="562">IF($H730&lt;&gt;0,K730/$H730,0)</f>
        <v>0.84188236600260924</v>
      </c>
      <c r="L802" s="29">
        <f t="shared" si="562"/>
        <v>8.9447267091601571E-2</v>
      </c>
      <c r="M802" s="29">
        <f t="shared" si="562"/>
        <v>6.5181119928705789E-2</v>
      </c>
      <c r="N802" s="29">
        <f t="shared" si="562"/>
        <v>5.1850357108832509E-4</v>
      </c>
      <c r="O802" s="29">
        <f t="shared" si="562"/>
        <v>6.4662616357617456E-2</v>
      </c>
      <c r="P802" s="29">
        <f t="shared" si="562"/>
        <v>9.946986910635404E-4</v>
      </c>
      <c r="Q802" s="29">
        <f t="shared" si="562"/>
        <v>4.2218433132018134E-4</v>
      </c>
      <c r="R802" s="29">
        <f t="shared" si="562"/>
        <v>4.9509889600447712E-4</v>
      </c>
      <c r="S802" s="29">
        <f t="shared" si="562"/>
        <v>7.7415463738881866E-5</v>
      </c>
      <c r="T802" s="29">
        <f t="shared" si="562"/>
        <v>1.1177232652222285E-4</v>
      </c>
      <c r="U802" s="29">
        <f t="shared" si="562"/>
        <v>2.3656725430904828E-3</v>
      </c>
      <c r="V802" s="29">
        <f t="shared" si="562"/>
        <v>1.7103416407427388E-5</v>
      </c>
      <c r="W802" s="27" t="str">
        <f t="shared" si="561"/>
        <v>OK</v>
      </c>
    </row>
    <row r="803" spans="1:23" x14ac:dyDescent="0.2">
      <c r="A803" s="3">
        <f t="shared" si="494"/>
        <v>63</v>
      </c>
      <c r="B803" s="3" t="str">
        <f t="shared" si="529"/>
        <v>Accounts 908 through 910 Labor</v>
      </c>
      <c r="C803" s="3"/>
      <c r="D803" s="3"/>
      <c r="E803" s="3" t="str">
        <f t="shared" si="553"/>
        <v>LAB908_910</v>
      </c>
      <c r="F803" s="3"/>
      <c r="G803" s="3"/>
      <c r="H803" s="29">
        <f t="shared" si="532"/>
        <v>1</v>
      </c>
      <c r="I803" s="29">
        <v>0</v>
      </c>
      <c r="J803" s="29">
        <f t="shared" si="492"/>
        <v>1</v>
      </c>
      <c r="K803" s="29">
        <f t="shared" ref="K803:V803" si="563">IF($H731&lt;&gt;0,K731/$H731,0)</f>
        <v>0.74401597638915362</v>
      </c>
      <c r="L803" s="29">
        <f t="shared" si="563"/>
        <v>7.9049281049192441E-2</v>
      </c>
      <c r="M803" s="29">
        <f t="shared" si="563"/>
        <v>7.9739104646436236E-4</v>
      </c>
      <c r="N803" s="29">
        <f t="shared" si="563"/>
        <v>6.3430960621396891E-6</v>
      </c>
      <c r="O803" s="29">
        <f t="shared" si="563"/>
        <v>7.9104795040222265E-4</v>
      </c>
      <c r="P803" s="29">
        <f t="shared" si="563"/>
        <v>1.1959379033825873E-5</v>
      </c>
      <c r="Q803" s="29">
        <f t="shared" si="563"/>
        <v>5.1647778700408232E-6</v>
      </c>
      <c r="R803" s="29">
        <f t="shared" si="563"/>
        <v>6.0567757537792167E-6</v>
      </c>
      <c r="S803" s="29">
        <f t="shared" si="563"/>
        <v>7.3782541000583183E-7</v>
      </c>
      <c r="T803" s="29">
        <f t="shared" si="563"/>
        <v>1.3545153049360793E-6</v>
      </c>
      <c r="U803" s="29">
        <f t="shared" si="563"/>
        <v>0.17612382838677931</v>
      </c>
      <c r="V803" s="29">
        <f t="shared" si="563"/>
        <v>2.0923407149419113E-7</v>
      </c>
      <c r="W803" s="27" t="str">
        <f t="shared" si="561"/>
        <v>OK</v>
      </c>
    </row>
    <row r="804" spans="1:23" x14ac:dyDescent="0.2">
      <c r="A804" s="3">
        <f t="shared" si="494"/>
        <v>64</v>
      </c>
      <c r="B804" s="3" t="str">
        <f t="shared" si="529"/>
        <v>Accounts 912 through 916 Labor</v>
      </c>
      <c r="C804" s="3"/>
      <c r="D804" s="3"/>
      <c r="E804" s="3" t="str">
        <f t="shared" si="553"/>
        <v>LAB912_916</v>
      </c>
      <c r="F804" s="3"/>
      <c r="G804" s="3"/>
      <c r="H804" s="29">
        <f t="shared" si="532"/>
        <v>0</v>
      </c>
      <c r="I804" s="29">
        <v>0</v>
      </c>
      <c r="J804" s="29">
        <f t="shared" si="492"/>
        <v>0</v>
      </c>
      <c r="K804" s="29">
        <f t="shared" ref="K804:V804" si="564">IF($H732&lt;&gt;0,K732/$H732,0)</f>
        <v>0</v>
      </c>
      <c r="L804" s="29">
        <f t="shared" si="564"/>
        <v>0</v>
      </c>
      <c r="M804" s="29">
        <f t="shared" si="564"/>
        <v>0</v>
      </c>
      <c r="N804" s="29">
        <f t="shared" si="564"/>
        <v>0</v>
      </c>
      <c r="O804" s="29">
        <f t="shared" si="564"/>
        <v>0</v>
      </c>
      <c r="P804" s="29">
        <f t="shared" si="564"/>
        <v>0</v>
      </c>
      <c r="Q804" s="29">
        <f t="shared" si="564"/>
        <v>0</v>
      </c>
      <c r="R804" s="29">
        <f t="shared" si="564"/>
        <v>0</v>
      </c>
      <c r="S804" s="29">
        <f t="shared" si="564"/>
        <v>0</v>
      </c>
      <c r="T804" s="29">
        <f t="shared" si="564"/>
        <v>0</v>
      </c>
      <c r="U804" s="29">
        <f t="shared" si="564"/>
        <v>0</v>
      </c>
      <c r="V804" s="29">
        <f t="shared" si="564"/>
        <v>0</v>
      </c>
      <c r="W804" s="27" t="str">
        <f t="shared" si="561"/>
        <v>OK</v>
      </c>
    </row>
    <row r="805" spans="1:23" x14ac:dyDescent="0.2">
      <c r="A805" s="3">
        <f t="shared" si="494"/>
        <v>65</v>
      </c>
      <c r="B805" s="3" t="str">
        <f t="shared" ref="B805:B806" si="565">B733</f>
        <v>Texas Retail Customers</v>
      </c>
      <c r="C805" s="3"/>
      <c r="D805" s="3"/>
      <c r="E805" s="3" t="str">
        <f t="shared" si="553"/>
        <v>TCUSTOMERS</v>
      </c>
      <c r="F805" s="3"/>
      <c r="G805" s="3"/>
      <c r="H805" s="29">
        <f t="shared" si="532"/>
        <v>1</v>
      </c>
      <c r="I805" s="29">
        <v>0</v>
      </c>
      <c r="J805" s="29">
        <f t="shared" si="492"/>
        <v>1</v>
      </c>
      <c r="K805" s="29">
        <f t="shared" ref="K805:V805" si="566">IF($H733&lt;&gt;0,K733/$H733,0)</f>
        <v>0.70338161489917128</v>
      </c>
      <c r="L805" s="29">
        <f t="shared" si="566"/>
        <v>7.4732012114639326E-2</v>
      </c>
      <c r="M805" s="29">
        <f t="shared" si="566"/>
        <v>5.4457966157527918E-2</v>
      </c>
      <c r="N805" s="29">
        <f t="shared" si="566"/>
        <v>4.3320289614186193E-4</v>
      </c>
      <c r="O805" s="29">
        <f t="shared" si="566"/>
        <v>5.4024763261386055E-2</v>
      </c>
      <c r="P805" s="29">
        <f t="shared" si="566"/>
        <v>8.1676796043413547E-4</v>
      </c>
      <c r="Q805" s="29">
        <f t="shared" si="566"/>
        <v>3.5272944147662021E-4</v>
      </c>
      <c r="R805" s="29">
        <f t="shared" si="566"/>
        <v>4.1364859874656954E-4</v>
      </c>
      <c r="S805" s="29">
        <f t="shared" si="566"/>
        <v>5.0389920210945741E-5</v>
      </c>
      <c r="T805" s="29">
        <f t="shared" si="566"/>
        <v>9.2506868446960095E-5</v>
      </c>
      <c r="U805" s="29">
        <f t="shared" si="566"/>
        <v>0.16650484232091459</v>
      </c>
      <c r="V805" s="29">
        <f t="shared" si="566"/>
        <v>1.4289678865790585E-5</v>
      </c>
      <c r="W805" s="27" t="str">
        <f t="shared" si="561"/>
        <v>OK</v>
      </c>
    </row>
    <row r="806" spans="1:23" x14ac:dyDescent="0.2">
      <c r="A806" s="3">
        <f t="shared" si="494"/>
        <v>66</v>
      </c>
      <c r="B806" s="3" t="str">
        <f t="shared" si="565"/>
        <v>Texas Retail Generation Demand</v>
      </c>
      <c r="C806" s="3"/>
      <c r="D806" s="3"/>
      <c r="E806" s="3" t="str">
        <f t="shared" si="553"/>
        <v>TDEMANDG</v>
      </c>
      <c r="F806" s="3"/>
      <c r="G806" s="3"/>
      <c r="H806" s="29">
        <f t="shared" si="532"/>
        <v>0.99999999999999989</v>
      </c>
      <c r="I806" s="29">
        <v>0</v>
      </c>
      <c r="J806" s="29">
        <f t="shared" ref="J806:J812" si="567">SUM(K806:M806,P806,T806:V806)</f>
        <v>0.99999999999999989</v>
      </c>
      <c r="K806" s="29">
        <f t="shared" ref="K806:V806" si="568">IF($H734&lt;&gt;0,K734/$H734,0)</f>
        <v>0.48476544186418086</v>
      </c>
      <c r="L806" s="29">
        <f t="shared" si="568"/>
        <v>1.9173937159048283E-2</v>
      </c>
      <c r="M806" s="29">
        <f t="shared" si="568"/>
        <v>0.28551291531899664</v>
      </c>
      <c r="N806" s="29">
        <f t="shared" si="568"/>
        <v>2.8718751510505878E-2</v>
      </c>
      <c r="O806" s="29">
        <f t="shared" si="568"/>
        <v>0.25679416380849074</v>
      </c>
      <c r="P806" s="29">
        <f t="shared" si="568"/>
        <v>8.0892016757904861E-2</v>
      </c>
      <c r="Q806" s="29">
        <f t="shared" si="568"/>
        <v>6.3330866876052411E-2</v>
      </c>
      <c r="R806" s="29">
        <f t="shared" si="568"/>
        <v>5.1825476369504958E-3</v>
      </c>
      <c r="S806" s="29">
        <f t="shared" si="568"/>
        <v>1.2378602244901962E-2</v>
      </c>
      <c r="T806" s="29">
        <f t="shared" si="568"/>
        <v>0.12965568889986934</v>
      </c>
      <c r="U806" s="29">
        <f t="shared" si="568"/>
        <v>0</v>
      </c>
      <c r="V806" s="29">
        <f t="shared" si="568"/>
        <v>0</v>
      </c>
      <c r="W806" s="27" t="str">
        <f t="shared" si="561"/>
        <v>OK</v>
      </c>
    </row>
    <row r="807" spans="1:23" x14ac:dyDescent="0.2">
      <c r="A807" s="3">
        <f t="shared" si="494"/>
        <v>67</v>
      </c>
      <c r="B807" s="3" t="s">
        <v>575</v>
      </c>
      <c r="C807" s="3"/>
      <c r="D807" s="3"/>
      <c r="E807" s="3" t="s">
        <v>576</v>
      </c>
      <c r="F807" s="3"/>
      <c r="G807" s="3"/>
      <c r="H807" s="29">
        <f t="shared" ref="H807:H812" si="569">SUM(I807:J807)</f>
        <v>1</v>
      </c>
      <c r="I807" s="29">
        <v>0</v>
      </c>
      <c r="J807" s="29">
        <f t="shared" si="567"/>
        <v>1</v>
      </c>
      <c r="K807" s="29">
        <f t="shared" ref="K807:V807" si="570">IF($H735&lt;&gt;0,K735/$H735,0)</f>
        <v>0.47672758051311936</v>
      </c>
      <c r="L807" s="29">
        <f t="shared" si="570"/>
        <v>1.7692674150235652E-2</v>
      </c>
      <c r="M807" s="29">
        <f t="shared" si="570"/>
        <v>0.28831850957647071</v>
      </c>
      <c r="N807" s="29">
        <f t="shared" si="570"/>
        <v>3.1528858917611362E-2</v>
      </c>
      <c r="O807" s="29">
        <f t="shared" si="570"/>
        <v>0.25678965065885934</v>
      </c>
      <c r="P807" s="29">
        <f t="shared" si="570"/>
        <v>0.10697821994662522</v>
      </c>
      <c r="Q807" s="29">
        <f t="shared" si="570"/>
        <v>9.9062842553663849E-2</v>
      </c>
      <c r="R807" s="29">
        <f t="shared" si="570"/>
        <v>7.9153773929613747E-3</v>
      </c>
      <c r="S807" s="29">
        <f t="shared" si="570"/>
        <v>0</v>
      </c>
      <c r="T807" s="29">
        <f t="shared" si="570"/>
        <v>0.11028301581354905</v>
      </c>
      <c r="U807" s="29">
        <f t="shared" si="570"/>
        <v>0</v>
      </c>
      <c r="V807" s="29">
        <f t="shared" si="570"/>
        <v>0</v>
      </c>
      <c r="W807" s="27"/>
    </row>
    <row r="808" spans="1:23" x14ac:dyDescent="0.2">
      <c r="A808" s="3">
        <f t="shared" ref="A808:A812" si="571">1+A807</f>
        <v>68</v>
      </c>
      <c r="B808" s="3" t="str">
        <f>B736</f>
        <v>Environmental Stranded Costs</v>
      </c>
      <c r="C808" s="3"/>
      <c r="D808" s="3"/>
      <c r="E808" s="3" t="str">
        <f>E736</f>
        <v>EECOM</v>
      </c>
      <c r="F808" s="3"/>
      <c r="G808" s="3"/>
      <c r="H808" s="29">
        <f t="shared" si="569"/>
        <v>0</v>
      </c>
      <c r="I808" s="29">
        <v>0</v>
      </c>
      <c r="J808" s="29">
        <f t="shared" si="567"/>
        <v>0</v>
      </c>
      <c r="K808" s="29">
        <f t="shared" ref="K808:V808" si="572">IF($H736&lt;&gt;0,K736/$H736,0)</f>
        <v>0</v>
      </c>
      <c r="L808" s="29">
        <f t="shared" si="572"/>
        <v>0</v>
      </c>
      <c r="M808" s="29">
        <f t="shared" si="572"/>
        <v>0</v>
      </c>
      <c r="N808" s="29">
        <f t="shared" si="572"/>
        <v>0</v>
      </c>
      <c r="O808" s="29">
        <f t="shared" si="572"/>
        <v>0</v>
      </c>
      <c r="P808" s="29">
        <f t="shared" si="572"/>
        <v>0</v>
      </c>
      <c r="Q808" s="29">
        <f t="shared" si="572"/>
        <v>0</v>
      </c>
      <c r="R808" s="29">
        <f t="shared" si="572"/>
        <v>0</v>
      </c>
      <c r="S808" s="29">
        <f t="shared" si="572"/>
        <v>0</v>
      </c>
      <c r="T808" s="29">
        <f t="shared" si="572"/>
        <v>0</v>
      </c>
      <c r="U808" s="29">
        <f t="shared" si="572"/>
        <v>0</v>
      </c>
      <c r="V808" s="29">
        <f t="shared" si="572"/>
        <v>0</v>
      </c>
      <c r="W808" s="27" t="str">
        <f>IF((+K808+L808+M808+P808+T808+U808+V808)-H808=0,"OK",(+K808+L808+M808+P808+T808+U808+V808)-H808)</f>
        <v>OK</v>
      </c>
    </row>
    <row r="809" spans="1:23" x14ac:dyDescent="0.2">
      <c r="A809" s="3">
        <f t="shared" si="571"/>
        <v>69</v>
      </c>
      <c r="B809" s="3" t="str">
        <f>B737</f>
        <v>Total Retail O&amp;M</v>
      </c>
      <c r="C809" s="3"/>
      <c r="D809" s="3"/>
      <c r="E809" s="3" t="str">
        <f>E737</f>
        <v>O&amp;M</v>
      </c>
      <c r="F809" s="3"/>
      <c r="G809" s="3"/>
      <c r="H809" s="29">
        <f t="shared" si="569"/>
        <v>1.0000000000000002</v>
      </c>
      <c r="I809" s="29">
        <v>0</v>
      </c>
      <c r="J809" s="29">
        <f t="shared" si="567"/>
        <v>1.0000000000000002</v>
      </c>
      <c r="K809" s="29">
        <f t="shared" ref="K809:V809" si="573">IF($H737&lt;&gt;0,K737/$H737,0)</f>
        <v>0.79172825125247859</v>
      </c>
      <c r="L809" s="29">
        <f t="shared" si="573"/>
        <v>8.411855529175867E-2</v>
      </c>
      <c r="M809" s="29">
        <f t="shared" si="573"/>
        <v>0.11046118668287459</v>
      </c>
      <c r="N809" s="29">
        <f t="shared" si="573"/>
        <v>8.7869800065372753E-4</v>
      </c>
      <c r="O809" s="29">
        <f t="shared" si="573"/>
        <v>0.10958248868222085</v>
      </c>
      <c r="P809" s="29">
        <f t="shared" si="573"/>
        <v>1.671964506992314E-3</v>
      </c>
      <c r="Q809" s="29">
        <f t="shared" si="573"/>
        <v>7.1546764289339977E-4</v>
      </c>
      <c r="R809" s="29">
        <f t="shared" si="573"/>
        <v>8.3903454923533018E-4</v>
      </c>
      <c r="S809" s="29">
        <f t="shared" si="573"/>
        <v>1.1746231486358417E-4</v>
      </c>
      <c r="T809" s="29">
        <f t="shared" si="573"/>
        <v>1.8857520188215679E-4</v>
      </c>
      <c r="U809" s="29">
        <f t="shared" si="573"/>
        <v>1.1802482234130952E-2</v>
      </c>
      <c r="V809" s="29">
        <f t="shared" si="573"/>
        <v>2.8984829882675043E-5</v>
      </c>
      <c r="W809" s="27" t="str">
        <f>IF((+K809+L809+M809+P809+T809+U809+V809)-H809=0,"OK",(+K809+L809+M809+P809+T809+U809+V809)-H809)</f>
        <v>OK</v>
      </c>
    </row>
    <row r="810" spans="1:23" x14ac:dyDescent="0.2">
      <c r="A810" s="3">
        <f t="shared" si="571"/>
        <v>70</v>
      </c>
      <c r="B810" s="3" t="str">
        <f>B738</f>
        <v>Muni Franch Fee (MFF Total Inside City Limits KWH)</v>
      </c>
      <c r="C810" s="3"/>
      <c r="D810" s="3"/>
      <c r="E810" s="3" t="str">
        <f>E738</f>
        <v>MFF</v>
      </c>
      <c r="F810" s="3"/>
      <c r="G810" s="3"/>
      <c r="H810" s="29">
        <f t="shared" si="569"/>
        <v>1</v>
      </c>
      <c r="I810" s="29">
        <v>0</v>
      </c>
      <c r="J810" s="29">
        <f t="shared" si="567"/>
        <v>1</v>
      </c>
      <c r="K810" s="29">
        <f t="shared" ref="K810:V810" si="574">IF($H738&lt;&gt;0,K738/$H738,0)</f>
        <v>0.45055255221890889</v>
      </c>
      <c r="L810" s="29">
        <f t="shared" si="574"/>
        <v>1.9034181199202461E-2</v>
      </c>
      <c r="M810" s="29">
        <f t="shared" si="574"/>
        <v>0.33912251036372282</v>
      </c>
      <c r="N810" s="29">
        <f t="shared" si="574"/>
        <v>4.6333368470017913E-2</v>
      </c>
      <c r="O810" s="29">
        <f t="shared" si="574"/>
        <v>0.29278914189370486</v>
      </c>
      <c r="P810" s="29">
        <f t="shared" si="574"/>
        <v>8.8063337802073066E-2</v>
      </c>
      <c r="Q810" s="29">
        <f t="shared" si="574"/>
        <v>8.1521732277867062E-2</v>
      </c>
      <c r="R810" s="29">
        <f t="shared" si="574"/>
        <v>4.1855649732400625E-3</v>
      </c>
      <c r="S810" s="29">
        <f t="shared" si="574"/>
        <v>2.356040550965935E-3</v>
      </c>
      <c r="T810" s="29">
        <f t="shared" si="574"/>
        <v>9.4088966737790075E-2</v>
      </c>
      <c r="U810" s="29">
        <f t="shared" si="574"/>
        <v>9.1384516783027253E-3</v>
      </c>
      <c r="V810" s="29">
        <f t="shared" si="574"/>
        <v>0</v>
      </c>
      <c r="W810" s="27" t="str">
        <f>IF((+K810+L810+M810+P810+T810+U810+V810)-H810=0,"OK",(+K810+L810+M810+P810+T810+U810+V810)-H810)</f>
        <v>OK</v>
      </c>
    </row>
    <row r="811" spans="1:23" x14ac:dyDescent="0.2">
      <c r="A811" s="3">
        <f t="shared" si="571"/>
        <v>71</v>
      </c>
      <c r="B811" s="3" t="str">
        <f>B739</f>
        <v>Excess Mitigation Credit</v>
      </c>
      <c r="C811" s="3"/>
      <c r="D811" s="3"/>
      <c r="E811" s="3" t="str">
        <f>E739</f>
        <v>EMC</v>
      </c>
      <c r="F811" s="3"/>
      <c r="G811" s="3"/>
      <c r="H811" s="29">
        <f t="shared" si="569"/>
        <v>0</v>
      </c>
      <c r="I811" s="29">
        <v>0</v>
      </c>
      <c r="J811" s="29">
        <f t="shared" si="567"/>
        <v>0</v>
      </c>
      <c r="K811" s="29">
        <f t="shared" ref="K811:V811" si="575">IF($H739&lt;&gt;0,K739/$H739,0)</f>
        <v>0</v>
      </c>
      <c r="L811" s="29">
        <f t="shared" si="575"/>
        <v>0</v>
      </c>
      <c r="M811" s="29">
        <f t="shared" si="575"/>
        <v>0</v>
      </c>
      <c r="N811" s="29">
        <f t="shared" si="575"/>
        <v>0</v>
      </c>
      <c r="O811" s="29">
        <f t="shared" si="575"/>
        <v>0</v>
      </c>
      <c r="P811" s="29">
        <f t="shared" si="575"/>
        <v>0</v>
      </c>
      <c r="Q811" s="29">
        <f t="shared" si="575"/>
        <v>0</v>
      </c>
      <c r="R811" s="29">
        <f t="shared" si="575"/>
        <v>0</v>
      </c>
      <c r="S811" s="29">
        <f t="shared" si="575"/>
        <v>0</v>
      </c>
      <c r="T811" s="29">
        <f t="shared" si="575"/>
        <v>0</v>
      </c>
      <c r="U811" s="29">
        <f t="shared" si="575"/>
        <v>0</v>
      </c>
      <c r="V811" s="29">
        <f t="shared" si="575"/>
        <v>0</v>
      </c>
      <c r="W811" s="27" t="str">
        <f>IF((+K811+L811+M811+P811+T811+U811+V811)-H811=0,"OK",(+K811+L811+M811+P811+T811+U811+V811)-H811)</f>
        <v>OK</v>
      </c>
    </row>
    <row r="812" spans="1:23" x14ac:dyDescent="0.2">
      <c r="A812" s="3">
        <f t="shared" si="571"/>
        <v>72</v>
      </c>
      <c r="B812" s="3" t="s">
        <v>642</v>
      </c>
      <c r="C812" s="3"/>
      <c r="D812" s="3"/>
      <c r="E812" s="3" t="s">
        <v>643</v>
      </c>
      <c r="F812" s="3"/>
      <c r="G812" s="3"/>
      <c r="H812" s="29">
        <f t="shared" si="569"/>
        <v>0.99339614240202156</v>
      </c>
      <c r="I812" s="29">
        <v>0</v>
      </c>
      <c r="J812" s="29">
        <f t="shared" si="567"/>
        <v>0.99339614240202156</v>
      </c>
      <c r="K812" s="29">
        <f>+(K761+K807)/2</f>
        <v>0.40274060887971358</v>
      </c>
      <c r="L812" s="29">
        <f>+(L761+L807)/2</f>
        <v>1.7621452867669932E-2</v>
      </c>
      <c r="M812" s="29">
        <f>SUM(N812:O812)</f>
        <v>0.26434290323051346</v>
      </c>
      <c r="N812" s="29">
        <f t="shared" ref="N812:V812" si="576">+(N761+N807)/2</f>
        <v>3.2862477876649254E-2</v>
      </c>
      <c r="O812" s="29">
        <f t="shared" si="576"/>
        <v>0.23148042535386421</v>
      </c>
      <c r="P812" s="29">
        <f>SUM(Q812:R812)</f>
        <v>0.10596577822020554</v>
      </c>
      <c r="Q812" s="29">
        <f t="shared" si="576"/>
        <v>9.8598346530493153E-2</v>
      </c>
      <c r="R812" s="29">
        <f t="shared" si="576"/>
        <v>7.3674316897123972E-3</v>
      </c>
      <c r="S812" s="29">
        <f>+(S761+S807)/2</f>
        <v>6.6038575979785238E-3</v>
      </c>
      <c r="T812" s="29">
        <f t="shared" si="576"/>
        <v>0.19922646786621928</v>
      </c>
      <c r="U812" s="29">
        <f t="shared" si="576"/>
        <v>3.1124159342440371E-3</v>
      </c>
      <c r="V812" s="29">
        <f t="shared" si="576"/>
        <v>3.8651540345567521E-4</v>
      </c>
      <c r="W812" s="27"/>
    </row>
  </sheetData>
  <phoneticPr fontId="0" type="noConversion"/>
  <pageMargins left="0.7" right="0.7" top="0.75" bottom="0.75" header="0.3" footer="0.3"/>
  <pageSetup scale="54" orientation="landscape" r:id="rId1"/>
  <headerFooter>
    <oddHeader>&amp;RDocket No. 56165
&amp;F
&amp;A
Page &amp;P of &amp;N</oddHeader>
    <oddFooter>&amp;LSponsored by: Earlyne Reynolds</oddFooter>
  </headerFooter>
  <rowBreaks count="14" manualBreakCount="14">
    <brk id="53" max="16383" man="1"/>
    <brk id="88" max="16383" man="1"/>
    <brk id="147" max="16383" man="1"/>
    <brk id="192" max="16383" man="1"/>
    <brk id="249" max="16383" man="1"/>
    <brk id="313" max="16383" man="1"/>
    <brk id="377" max="16383" man="1"/>
    <brk id="431" max="16383" man="1"/>
    <brk id="495" max="16383" man="1"/>
    <brk id="527" max="16383" man="1"/>
    <brk id="582" max="16383" man="1"/>
    <brk id="616" max="21" man="1"/>
    <brk id="666" max="16383" man="1"/>
    <brk id="730" max="21" man="1"/>
  </rowBreaks>
  <colBreaks count="1" manualBreakCount="1">
    <brk id="10" max="811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6CAF-7BE7-45DE-A722-4E3B698B7969}">
  <dimension ref="A1:Q32"/>
  <sheetViews>
    <sheetView tabSelected="1" zoomScaleNormal="100" workbookViewId="0">
      <selection activeCell="K25" sqref="K25"/>
    </sheetView>
  </sheetViews>
  <sheetFormatPr defaultColWidth="8.7109375" defaultRowHeight="15" x14ac:dyDescent="0.25"/>
  <cols>
    <col min="1" max="1" width="3.85546875" style="150" bestFit="1" customWidth="1"/>
    <col min="2" max="2" width="32.42578125" style="150" bestFit="1" customWidth="1"/>
    <col min="3" max="3" width="12.28515625" style="150" bestFit="1" customWidth="1"/>
    <col min="4" max="4" width="14.5703125" style="150" bestFit="1" customWidth="1"/>
    <col min="5" max="5" width="15.28515625" style="150" customWidth="1"/>
    <col min="6" max="6" width="13.28515625" style="150" bestFit="1" customWidth="1"/>
    <col min="7" max="7" width="12.85546875" style="150" bestFit="1" customWidth="1"/>
    <col min="8" max="8" width="14.5703125" style="150" bestFit="1" customWidth="1"/>
    <col min="9" max="9" width="13.5703125" style="150" bestFit="1" customWidth="1"/>
    <col min="10" max="11" width="11.85546875" style="150" bestFit="1" customWidth="1"/>
    <col min="12" max="12" width="10.85546875" style="150" bestFit="1" customWidth="1"/>
    <col min="13" max="13" width="12.85546875" style="150" bestFit="1" customWidth="1"/>
    <col min="14" max="14" width="9.85546875" style="150" bestFit="1" customWidth="1"/>
    <col min="15" max="15" width="11.85546875" style="150" bestFit="1" customWidth="1"/>
    <col min="16" max="257" width="8.7109375" style="150"/>
    <col min="258" max="258" width="3.85546875" style="150" bestFit="1" customWidth="1"/>
    <col min="259" max="259" width="32.42578125" style="150" bestFit="1" customWidth="1"/>
    <col min="260" max="260" width="12.28515625" style="150" bestFit="1" customWidth="1"/>
    <col min="261" max="262" width="13.28515625" style="150" bestFit="1" customWidth="1"/>
    <col min="263" max="264" width="12.28515625" style="150" bestFit="1" customWidth="1"/>
    <col min="265" max="265" width="13.28515625" style="150" bestFit="1" customWidth="1"/>
    <col min="266" max="266" width="10.140625" style="150" bestFit="1" customWidth="1"/>
    <col min="267" max="267" width="9.85546875" style="150" bestFit="1" customWidth="1"/>
    <col min="268" max="268" width="10.140625" style="150" bestFit="1" customWidth="1"/>
    <col min="269" max="269" width="11" style="150" bestFit="1" customWidth="1"/>
    <col min="270" max="270" width="8.85546875" style="150" bestFit="1" customWidth="1"/>
    <col min="271" max="271" width="9.85546875" style="150" bestFit="1" customWidth="1"/>
    <col min="272" max="513" width="8.7109375" style="150"/>
    <col min="514" max="514" width="3.85546875" style="150" bestFit="1" customWidth="1"/>
    <col min="515" max="515" width="32.42578125" style="150" bestFit="1" customWidth="1"/>
    <col min="516" max="516" width="12.28515625" style="150" bestFit="1" customWidth="1"/>
    <col min="517" max="518" width="13.28515625" style="150" bestFit="1" customWidth="1"/>
    <col min="519" max="520" width="12.28515625" style="150" bestFit="1" customWidth="1"/>
    <col min="521" max="521" width="13.28515625" style="150" bestFit="1" customWidth="1"/>
    <col min="522" max="522" width="10.140625" style="150" bestFit="1" customWidth="1"/>
    <col min="523" max="523" width="9.85546875" style="150" bestFit="1" customWidth="1"/>
    <col min="524" max="524" width="10.140625" style="150" bestFit="1" customWidth="1"/>
    <col min="525" max="525" width="11" style="150" bestFit="1" customWidth="1"/>
    <col min="526" max="526" width="8.85546875" style="150" bestFit="1" customWidth="1"/>
    <col min="527" max="527" width="9.85546875" style="150" bestFit="1" customWidth="1"/>
    <col min="528" max="769" width="8.7109375" style="150"/>
    <col min="770" max="770" width="3.85546875" style="150" bestFit="1" customWidth="1"/>
    <col min="771" max="771" width="32.42578125" style="150" bestFit="1" customWidth="1"/>
    <col min="772" max="772" width="12.28515625" style="150" bestFit="1" customWidth="1"/>
    <col min="773" max="774" width="13.28515625" style="150" bestFit="1" customWidth="1"/>
    <col min="775" max="776" width="12.28515625" style="150" bestFit="1" customWidth="1"/>
    <col min="777" max="777" width="13.28515625" style="150" bestFit="1" customWidth="1"/>
    <col min="778" max="778" width="10.140625" style="150" bestFit="1" customWidth="1"/>
    <col min="779" max="779" width="9.85546875" style="150" bestFit="1" customWidth="1"/>
    <col min="780" max="780" width="10.140625" style="150" bestFit="1" customWidth="1"/>
    <col min="781" max="781" width="11" style="150" bestFit="1" customWidth="1"/>
    <col min="782" max="782" width="8.85546875" style="150" bestFit="1" customWidth="1"/>
    <col min="783" max="783" width="9.85546875" style="150" bestFit="1" customWidth="1"/>
    <col min="784" max="1025" width="8.7109375" style="150"/>
    <col min="1026" max="1026" width="3.85546875" style="150" bestFit="1" customWidth="1"/>
    <col min="1027" max="1027" width="32.42578125" style="150" bestFit="1" customWidth="1"/>
    <col min="1028" max="1028" width="12.28515625" style="150" bestFit="1" customWidth="1"/>
    <col min="1029" max="1030" width="13.28515625" style="150" bestFit="1" customWidth="1"/>
    <col min="1031" max="1032" width="12.28515625" style="150" bestFit="1" customWidth="1"/>
    <col min="1033" max="1033" width="13.28515625" style="150" bestFit="1" customWidth="1"/>
    <col min="1034" max="1034" width="10.140625" style="150" bestFit="1" customWidth="1"/>
    <col min="1035" max="1035" width="9.85546875" style="150" bestFit="1" customWidth="1"/>
    <col min="1036" max="1036" width="10.140625" style="150" bestFit="1" customWidth="1"/>
    <col min="1037" max="1037" width="11" style="150" bestFit="1" customWidth="1"/>
    <col min="1038" max="1038" width="8.85546875" style="150" bestFit="1" customWidth="1"/>
    <col min="1039" max="1039" width="9.85546875" style="150" bestFit="1" customWidth="1"/>
    <col min="1040" max="1281" width="8.7109375" style="150"/>
    <col min="1282" max="1282" width="3.85546875" style="150" bestFit="1" customWidth="1"/>
    <col min="1283" max="1283" width="32.42578125" style="150" bestFit="1" customWidth="1"/>
    <col min="1284" max="1284" width="12.28515625" style="150" bestFit="1" customWidth="1"/>
    <col min="1285" max="1286" width="13.28515625" style="150" bestFit="1" customWidth="1"/>
    <col min="1287" max="1288" width="12.28515625" style="150" bestFit="1" customWidth="1"/>
    <col min="1289" max="1289" width="13.28515625" style="150" bestFit="1" customWidth="1"/>
    <col min="1290" max="1290" width="10.140625" style="150" bestFit="1" customWidth="1"/>
    <col min="1291" max="1291" width="9.85546875" style="150" bestFit="1" customWidth="1"/>
    <col min="1292" max="1292" width="10.140625" style="150" bestFit="1" customWidth="1"/>
    <col min="1293" max="1293" width="11" style="150" bestFit="1" customWidth="1"/>
    <col min="1294" max="1294" width="8.85546875" style="150" bestFit="1" customWidth="1"/>
    <col min="1295" max="1295" width="9.85546875" style="150" bestFit="1" customWidth="1"/>
    <col min="1296" max="1537" width="8.7109375" style="150"/>
    <col min="1538" max="1538" width="3.85546875" style="150" bestFit="1" customWidth="1"/>
    <col min="1539" max="1539" width="32.42578125" style="150" bestFit="1" customWidth="1"/>
    <col min="1540" max="1540" width="12.28515625" style="150" bestFit="1" customWidth="1"/>
    <col min="1541" max="1542" width="13.28515625" style="150" bestFit="1" customWidth="1"/>
    <col min="1543" max="1544" width="12.28515625" style="150" bestFit="1" customWidth="1"/>
    <col min="1545" max="1545" width="13.28515625" style="150" bestFit="1" customWidth="1"/>
    <col min="1546" max="1546" width="10.140625" style="150" bestFit="1" customWidth="1"/>
    <col min="1547" max="1547" width="9.85546875" style="150" bestFit="1" customWidth="1"/>
    <col min="1548" max="1548" width="10.140625" style="150" bestFit="1" customWidth="1"/>
    <col min="1549" max="1549" width="11" style="150" bestFit="1" customWidth="1"/>
    <col min="1550" max="1550" width="8.85546875" style="150" bestFit="1" customWidth="1"/>
    <col min="1551" max="1551" width="9.85546875" style="150" bestFit="1" customWidth="1"/>
    <col min="1552" max="1793" width="8.7109375" style="150"/>
    <col min="1794" max="1794" width="3.85546875" style="150" bestFit="1" customWidth="1"/>
    <col min="1795" max="1795" width="32.42578125" style="150" bestFit="1" customWidth="1"/>
    <col min="1796" max="1796" width="12.28515625" style="150" bestFit="1" customWidth="1"/>
    <col min="1797" max="1798" width="13.28515625" style="150" bestFit="1" customWidth="1"/>
    <col min="1799" max="1800" width="12.28515625" style="150" bestFit="1" customWidth="1"/>
    <col min="1801" max="1801" width="13.28515625" style="150" bestFit="1" customWidth="1"/>
    <col min="1802" max="1802" width="10.140625" style="150" bestFit="1" customWidth="1"/>
    <col min="1803" max="1803" width="9.85546875" style="150" bestFit="1" customWidth="1"/>
    <col min="1804" max="1804" width="10.140625" style="150" bestFit="1" customWidth="1"/>
    <col min="1805" max="1805" width="11" style="150" bestFit="1" customWidth="1"/>
    <col min="1806" max="1806" width="8.85546875" style="150" bestFit="1" customWidth="1"/>
    <col min="1807" max="1807" width="9.85546875" style="150" bestFit="1" customWidth="1"/>
    <col min="1808" max="2049" width="8.7109375" style="150"/>
    <col min="2050" max="2050" width="3.85546875" style="150" bestFit="1" customWidth="1"/>
    <col min="2051" max="2051" width="32.42578125" style="150" bestFit="1" customWidth="1"/>
    <col min="2052" max="2052" width="12.28515625" style="150" bestFit="1" customWidth="1"/>
    <col min="2053" max="2054" width="13.28515625" style="150" bestFit="1" customWidth="1"/>
    <col min="2055" max="2056" width="12.28515625" style="150" bestFit="1" customWidth="1"/>
    <col min="2057" max="2057" width="13.28515625" style="150" bestFit="1" customWidth="1"/>
    <col min="2058" max="2058" width="10.140625" style="150" bestFit="1" customWidth="1"/>
    <col min="2059" max="2059" width="9.85546875" style="150" bestFit="1" customWidth="1"/>
    <col min="2060" max="2060" width="10.140625" style="150" bestFit="1" customWidth="1"/>
    <col min="2061" max="2061" width="11" style="150" bestFit="1" customWidth="1"/>
    <col min="2062" max="2062" width="8.85546875" style="150" bestFit="1" customWidth="1"/>
    <col min="2063" max="2063" width="9.85546875" style="150" bestFit="1" customWidth="1"/>
    <col min="2064" max="2305" width="8.7109375" style="150"/>
    <col min="2306" max="2306" width="3.85546875" style="150" bestFit="1" customWidth="1"/>
    <col min="2307" max="2307" width="32.42578125" style="150" bestFit="1" customWidth="1"/>
    <col min="2308" max="2308" width="12.28515625" style="150" bestFit="1" customWidth="1"/>
    <col min="2309" max="2310" width="13.28515625" style="150" bestFit="1" customWidth="1"/>
    <col min="2311" max="2312" width="12.28515625" style="150" bestFit="1" customWidth="1"/>
    <col min="2313" max="2313" width="13.28515625" style="150" bestFit="1" customWidth="1"/>
    <col min="2314" max="2314" width="10.140625" style="150" bestFit="1" customWidth="1"/>
    <col min="2315" max="2315" width="9.85546875" style="150" bestFit="1" customWidth="1"/>
    <col min="2316" max="2316" width="10.140625" style="150" bestFit="1" customWidth="1"/>
    <col min="2317" max="2317" width="11" style="150" bestFit="1" customWidth="1"/>
    <col min="2318" max="2318" width="8.85546875" style="150" bestFit="1" customWidth="1"/>
    <col min="2319" max="2319" width="9.85546875" style="150" bestFit="1" customWidth="1"/>
    <col min="2320" max="2561" width="8.7109375" style="150"/>
    <col min="2562" max="2562" width="3.85546875" style="150" bestFit="1" customWidth="1"/>
    <col min="2563" max="2563" width="32.42578125" style="150" bestFit="1" customWidth="1"/>
    <col min="2564" max="2564" width="12.28515625" style="150" bestFit="1" customWidth="1"/>
    <col min="2565" max="2566" width="13.28515625" style="150" bestFit="1" customWidth="1"/>
    <col min="2567" max="2568" width="12.28515625" style="150" bestFit="1" customWidth="1"/>
    <col min="2569" max="2569" width="13.28515625" style="150" bestFit="1" customWidth="1"/>
    <col min="2570" max="2570" width="10.140625" style="150" bestFit="1" customWidth="1"/>
    <col min="2571" max="2571" width="9.85546875" style="150" bestFit="1" customWidth="1"/>
    <col min="2572" max="2572" width="10.140625" style="150" bestFit="1" customWidth="1"/>
    <col min="2573" max="2573" width="11" style="150" bestFit="1" customWidth="1"/>
    <col min="2574" max="2574" width="8.85546875" style="150" bestFit="1" customWidth="1"/>
    <col min="2575" max="2575" width="9.85546875" style="150" bestFit="1" customWidth="1"/>
    <col min="2576" max="2817" width="8.7109375" style="150"/>
    <col min="2818" max="2818" width="3.85546875" style="150" bestFit="1" customWidth="1"/>
    <col min="2819" max="2819" width="32.42578125" style="150" bestFit="1" customWidth="1"/>
    <col min="2820" max="2820" width="12.28515625" style="150" bestFit="1" customWidth="1"/>
    <col min="2821" max="2822" width="13.28515625" style="150" bestFit="1" customWidth="1"/>
    <col min="2823" max="2824" width="12.28515625" style="150" bestFit="1" customWidth="1"/>
    <col min="2825" max="2825" width="13.28515625" style="150" bestFit="1" customWidth="1"/>
    <col min="2826" max="2826" width="10.140625" style="150" bestFit="1" customWidth="1"/>
    <col min="2827" max="2827" width="9.85546875" style="150" bestFit="1" customWidth="1"/>
    <col min="2828" max="2828" width="10.140625" style="150" bestFit="1" customWidth="1"/>
    <col min="2829" max="2829" width="11" style="150" bestFit="1" customWidth="1"/>
    <col min="2830" max="2830" width="8.85546875" style="150" bestFit="1" customWidth="1"/>
    <col min="2831" max="2831" width="9.85546875" style="150" bestFit="1" customWidth="1"/>
    <col min="2832" max="3073" width="8.7109375" style="150"/>
    <col min="3074" max="3074" width="3.85546875" style="150" bestFit="1" customWidth="1"/>
    <col min="3075" max="3075" width="32.42578125" style="150" bestFit="1" customWidth="1"/>
    <col min="3076" max="3076" width="12.28515625" style="150" bestFit="1" customWidth="1"/>
    <col min="3077" max="3078" width="13.28515625" style="150" bestFit="1" customWidth="1"/>
    <col min="3079" max="3080" width="12.28515625" style="150" bestFit="1" customWidth="1"/>
    <col min="3081" max="3081" width="13.28515625" style="150" bestFit="1" customWidth="1"/>
    <col min="3082" max="3082" width="10.140625" style="150" bestFit="1" customWidth="1"/>
    <col min="3083" max="3083" width="9.85546875" style="150" bestFit="1" customWidth="1"/>
    <col min="3084" max="3084" width="10.140625" style="150" bestFit="1" customWidth="1"/>
    <col min="3085" max="3085" width="11" style="150" bestFit="1" customWidth="1"/>
    <col min="3086" max="3086" width="8.85546875" style="150" bestFit="1" customWidth="1"/>
    <col min="3087" max="3087" width="9.85546875" style="150" bestFit="1" customWidth="1"/>
    <col min="3088" max="3329" width="8.7109375" style="150"/>
    <col min="3330" max="3330" width="3.85546875" style="150" bestFit="1" customWidth="1"/>
    <col min="3331" max="3331" width="32.42578125" style="150" bestFit="1" customWidth="1"/>
    <col min="3332" max="3332" width="12.28515625" style="150" bestFit="1" customWidth="1"/>
    <col min="3333" max="3334" width="13.28515625" style="150" bestFit="1" customWidth="1"/>
    <col min="3335" max="3336" width="12.28515625" style="150" bestFit="1" customWidth="1"/>
    <col min="3337" max="3337" width="13.28515625" style="150" bestFit="1" customWidth="1"/>
    <col min="3338" max="3338" width="10.140625" style="150" bestFit="1" customWidth="1"/>
    <col min="3339" max="3339" width="9.85546875" style="150" bestFit="1" customWidth="1"/>
    <col min="3340" max="3340" width="10.140625" style="150" bestFit="1" customWidth="1"/>
    <col min="3341" max="3341" width="11" style="150" bestFit="1" customWidth="1"/>
    <col min="3342" max="3342" width="8.85546875" style="150" bestFit="1" customWidth="1"/>
    <col min="3343" max="3343" width="9.85546875" style="150" bestFit="1" customWidth="1"/>
    <col min="3344" max="3585" width="8.7109375" style="150"/>
    <col min="3586" max="3586" width="3.85546875" style="150" bestFit="1" customWidth="1"/>
    <col min="3587" max="3587" width="32.42578125" style="150" bestFit="1" customWidth="1"/>
    <col min="3588" max="3588" width="12.28515625" style="150" bestFit="1" customWidth="1"/>
    <col min="3589" max="3590" width="13.28515625" style="150" bestFit="1" customWidth="1"/>
    <col min="3591" max="3592" width="12.28515625" style="150" bestFit="1" customWidth="1"/>
    <col min="3593" max="3593" width="13.28515625" style="150" bestFit="1" customWidth="1"/>
    <col min="3594" max="3594" width="10.140625" style="150" bestFit="1" customWidth="1"/>
    <col min="3595" max="3595" width="9.85546875" style="150" bestFit="1" customWidth="1"/>
    <col min="3596" max="3596" width="10.140625" style="150" bestFit="1" customWidth="1"/>
    <col min="3597" max="3597" width="11" style="150" bestFit="1" customWidth="1"/>
    <col min="3598" max="3598" width="8.85546875" style="150" bestFit="1" customWidth="1"/>
    <col min="3599" max="3599" width="9.85546875" style="150" bestFit="1" customWidth="1"/>
    <col min="3600" max="3841" width="8.7109375" style="150"/>
    <col min="3842" max="3842" width="3.85546875" style="150" bestFit="1" customWidth="1"/>
    <col min="3843" max="3843" width="32.42578125" style="150" bestFit="1" customWidth="1"/>
    <col min="3844" max="3844" width="12.28515625" style="150" bestFit="1" customWidth="1"/>
    <col min="3845" max="3846" width="13.28515625" style="150" bestFit="1" customWidth="1"/>
    <col min="3847" max="3848" width="12.28515625" style="150" bestFit="1" customWidth="1"/>
    <col min="3849" max="3849" width="13.28515625" style="150" bestFit="1" customWidth="1"/>
    <col min="3850" max="3850" width="10.140625" style="150" bestFit="1" customWidth="1"/>
    <col min="3851" max="3851" width="9.85546875" style="150" bestFit="1" customWidth="1"/>
    <col min="3852" max="3852" width="10.140625" style="150" bestFit="1" customWidth="1"/>
    <col min="3853" max="3853" width="11" style="150" bestFit="1" customWidth="1"/>
    <col min="3854" max="3854" width="8.85546875" style="150" bestFit="1" customWidth="1"/>
    <col min="3855" max="3855" width="9.85546875" style="150" bestFit="1" customWidth="1"/>
    <col min="3856" max="4097" width="8.7109375" style="150"/>
    <col min="4098" max="4098" width="3.85546875" style="150" bestFit="1" customWidth="1"/>
    <col min="4099" max="4099" width="32.42578125" style="150" bestFit="1" customWidth="1"/>
    <col min="4100" max="4100" width="12.28515625" style="150" bestFit="1" customWidth="1"/>
    <col min="4101" max="4102" width="13.28515625" style="150" bestFit="1" customWidth="1"/>
    <col min="4103" max="4104" width="12.28515625" style="150" bestFit="1" customWidth="1"/>
    <col min="4105" max="4105" width="13.28515625" style="150" bestFit="1" customWidth="1"/>
    <col min="4106" max="4106" width="10.140625" style="150" bestFit="1" customWidth="1"/>
    <col min="4107" max="4107" width="9.85546875" style="150" bestFit="1" customWidth="1"/>
    <col min="4108" max="4108" width="10.140625" style="150" bestFit="1" customWidth="1"/>
    <col min="4109" max="4109" width="11" style="150" bestFit="1" customWidth="1"/>
    <col min="4110" max="4110" width="8.85546875" style="150" bestFit="1" customWidth="1"/>
    <col min="4111" max="4111" width="9.85546875" style="150" bestFit="1" customWidth="1"/>
    <col min="4112" max="4353" width="8.7109375" style="150"/>
    <col min="4354" max="4354" width="3.85546875" style="150" bestFit="1" customWidth="1"/>
    <col min="4355" max="4355" width="32.42578125" style="150" bestFit="1" customWidth="1"/>
    <col min="4356" max="4356" width="12.28515625" style="150" bestFit="1" customWidth="1"/>
    <col min="4357" max="4358" width="13.28515625" style="150" bestFit="1" customWidth="1"/>
    <col min="4359" max="4360" width="12.28515625" style="150" bestFit="1" customWidth="1"/>
    <col min="4361" max="4361" width="13.28515625" style="150" bestFit="1" customWidth="1"/>
    <col min="4362" max="4362" width="10.140625" style="150" bestFit="1" customWidth="1"/>
    <col min="4363" max="4363" width="9.85546875" style="150" bestFit="1" customWidth="1"/>
    <col min="4364" max="4364" width="10.140625" style="150" bestFit="1" customWidth="1"/>
    <col min="4365" max="4365" width="11" style="150" bestFit="1" customWidth="1"/>
    <col min="4366" max="4366" width="8.85546875" style="150" bestFit="1" customWidth="1"/>
    <col min="4367" max="4367" width="9.85546875" style="150" bestFit="1" customWidth="1"/>
    <col min="4368" max="4609" width="8.7109375" style="150"/>
    <col min="4610" max="4610" width="3.85546875" style="150" bestFit="1" customWidth="1"/>
    <col min="4611" max="4611" width="32.42578125" style="150" bestFit="1" customWidth="1"/>
    <col min="4612" max="4612" width="12.28515625" style="150" bestFit="1" customWidth="1"/>
    <col min="4613" max="4614" width="13.28515625" style="150" bestFit="1" customWidth="1"/>
    <col min="4615" max="4616" width="12.28515625" style="150" bestFit="1" customWidth="1"/>
    <col min="4617" max="4617" width="13.28515625" style="150" bestFit="1" customWidth="1"/>
    <col min="4618" max="4618" width="10.140625" style="150" bestFit="1" customWidth="1"/>
    <col min="4619" max="4619" width="9.85546875" style="150" bestFit="1" customWidth="1"/>
    <col min="4620" max="4620" width="10.140625" style="150" bestFit="1" customWidth="1"/>
    <col min="4621" max="4621" width="11" style="150" bestFit="1" customWidth="1"/>
    <col min="4622" max="4622" width="8.85546875" style="150" bestFit="1" customWidth="1"/>
    <col min="4623" max="4623" width="9.85546875" style="150" bestFit="1" customWidth="1"/>
    <col min="4624" max="4865" width="8.7109375" style="150"/>
    <col min="4866" max="4866" width="3.85546875" style="150" bestFit="1" customWidth="1"/>
    <col min="4867" max="4867" width="32.42578125" style="150" bestFit="1" customWidth="1"/>
    <col min="4868" max="4868" width="12.28515625" style="150" bestFit="1" customWidth="1"/>
    <col min="4869" max="4870" width="13.28515625" style="150" bestFit="1" customWidth="1"/>
    <col min="4871" max="4872" width="12.28515625" style="150" bestFit="1" customWidth="1"/>
    <col min="4873" max="4873" width="13.28515625" style="150" bestFit="1" customWidth="1"/>
    <col min="4874" max="4874" width="10.140625" style="150" bestFit="1" customWidth="1"/>
    <col min="4875" max="4875" width="9.85546875" style="150" bestFit="1" customWidth="1"/>
    <col min="4876" max="4876" width="10.140625" style="150" bestFit="1" customWidth="1"/>
    <col min="4877" max="4877" width="11" style="150" bestFit="1" customWidth="1"/>
    <col min="4878" max="4878" width="8.85546875" style="150" bestFit="1" customWidth="1"/>
    <col min="4879" max="4879" width="9.85546875" style="150" bestFit="1" customWidth="1"/>
    <col min="4880" max="5121" width="8.7109375" style="150"/>
    <col min="5122" max="5122" width="3.85546875" style="150" bestFit="1" customWidth="1"/>
    <col min="5123" max="5123" width="32.42578125" style="150" bestFit="1" customWidth="1"/>
    <col min="5124" max="5124" width="12.28515625" style="150" bestFit="1" customWidth="1"/>
    <col min="5125" max="5126" width="13.28515625" style="150" bestFit="1" customWidth="1"/>
    <col min="5127" max="5128" width="12.28515625" style="150" bestFit="1" customWidth="1"/>
    <col min="5129" max="5129" width="13.28515625" style="150" bestFit="1" customWidth="1"/>
    <col min="5130" max="5130" width="10.140625" style="150" bestFit="1" customWidth="1"/>
    <col min="5131" max="5131" width="9.85546875" style="150" bestFit="1" customWidth="1"/>
    <col min="5132" max="5132" width="10.140625" style="150" bestFit="1" customWidth="1"/>
    <col min="5133" max="5133" width="11" style="150" bestFit="1" customWidth="1"/>
    <col min="5134" max="5134" width="8.85546875" style="150" bestFit="1" customWidth="1"/>
    <col min="5135" max="5135" width="9.85546875" style="150" bestFit="1" customWidth="1"/>
    <col min="5136" max="5377" width="8.7109375" style="150"/>
    <col min="5378" max="5378" width="3.85546875" style="150" bestFit="1" customWidth="1"/>
    <col min="5379" max="5379" width="32.42578125" style="150" bestFit="1" customWidth="1"/>
    <col min="5380" max="5380" width="12.28515625" style="150" bestFit="1" customWidth="1"/>
    <col min="5381" max="5382" width="13.28515625" style="150" bestFit="1" customWidth="1"/>
    <col min="5383" max="5384" width="12.28515625" style="150" bestFit="1" customWidth="1"/>
    <col min="5385" max="5385" width="13.28515625" style="150" bestFit="1" customWidth="1"/>
    <col min="5386" max="5386" width="10.140625" style="150" bestFit="1" customWidth="1"/>
    <col min="5387" max="5387" width="9.85546875" style="150" bestFit="1" customWidth="1"/>
    <col min="5388" max="5388" width="10.140625" style="150" bestFit="1" customWidth="1"/>
    <col min="5389" max="5389" width="11" style="150" bestFit="1" customWidth="1"/>
    <col min="5390" max="5390" width="8.85546875" style="150" bestFit="1" customWidth="1"/>
    <col min="5391" max="5391" width="9.85546875" style="150" bestFit="1" customWidth="1"/>
    <col min="5392" max="5633" width="8.7109375" style="150"/>
    <col min="5634" max="5634" width="3.85546875" style="150" bestFit="1" customWidth="1"/>
    <col min="5635" max="5635" width="32.42578125" style="150" bestFit="1" customWidth="1"/>
    <col min="5636" max="5636" width="12.28515625" style="150" bestFit="1" customWidth="1"/>
    <col min="5637" max="5638" width="13.28515625" style="150" bestFit="1" customWidth="1"/>
    <col min="5639" max="5640" width="12.28515625" style="150" bestFit="1" customWidth="1"/>
    <col min="5641" max="5641" width="13.28515625" style="150" bestFit="1" customWidth="1"/>
    <col min="5642" max="5642" width="10.140625" style="150" bestFit="1" customWidth="1"/>
    <col min="5643" max="5643" width="9.85546875" style="150" bestFit="1" customWidth="1"/>
    <col min="5644" max="5644" width="10.140625" style="150" bestFit="1" customWidth="1"/>
    <col min="5645" max="5645" width="11" style="150" bestFit="1" customWidth="1"/>
    <col min="5646" max="5646" width="8.85546875" style="150" bestFit="1" customWidth="1"/>
    <col min="5647" max="5647" width="9.85546875" style="150" bestFit="1" customWidth="1"/>
    <col min="5648" max="5889" width="8.7109375" style="150"/>
    <col min="5890" max="5890" width="3.85546875" style="150" bestFit="1" customWidth="1"/>
    <col min="5891" max="5891" width="32.42578125" style="150" bestFit="1" customWidth="1"/>
    <col min="5892" max="5892" width="12.28515625" style="150" bestFit="1" customWidth="1"/>
    <col min="5893" max="5894" width="13.28515625" style="150" bestFit="1" customWidth="1"/>
    <col min="5895" max="5896" width="12.28515625" style="150" bestFit="1" customWidth="1"/>
    <col min="5897" max="5897" width="13.28515625" style="150" bestFit="1" customWidth="1"/>
    <col min="5898" max="5898" width="10.140625" style="150" bestFit="1" customWidth="1"/>
    <col min="5899" max="5899" width="9.85546875" style="150" bestFit="1" customWidth="1"/>
    <col min="5900" max="5900" width="10.140625" style="150" bestFit="1" customWidth="1"/>
    <col min="5901" max="5901" width="11" style="150" bestFit="1" customWidth="1"/>
    <col min="5902" max="5902" width="8.85546875" style="150" bestFit="1" customWidth="1"/>
    <col min="5903" max="5903" width="9.85546875" style="150" bestFit="1" customWidth="1"/>
    <col min="5904" max="6145" width="8.7109375" style="150"/>
    <col min="6146" max="6146" width="3.85546875" style="150" bestFit="1" customWidth="1"/>
    <col min="6147" max="6147" width="32.42578125" style="150" bestFit="1" customWidth="1"/>
    <col min="6148" max="6148" width="12.28515625" style="150" bestFit="1" customWidth="1"/>
    <col min="6149" max="6150" width="13.28515625" style="150" bestFit="1" customWidth="1"/>
    <col min="6151" max="6152" width="12.28515625" style="150" bestFit="1" customWidth="1"/>
    <col min="6153" max="6153" width="13.28515625" style="150" bestFit="1" customWidth="1"/>
    <col min="6154" max="6154" width="10.140625" style="150" bestFit="1" customWidth="1"/>
    <col min="6155" max="6155" width="9.85546875" style="150" bestFit="1" customWidth="1"/>
    <col min="6156" max="6156" width="10.140625" style="150" bestFit="1" customWidth="1"/>
    <col min="6157" max="6157" width="11" style="150" bestFit="1" customWidth="1"/>
    <col min="6158" max="6158" width="8.85546875" style="150" bestFit="1" customWidth="1"/>
    <col min="6159" max="6159" width="9.85546875" style="150" bestFit="1" customWidth="1"/>
    <col min="6160" max="6401" width="8.7109375" style="150"/>
    <col min="6402" max="6402" width="3.85546875" style="150" bestFit="1" customWidth="1"/>
    <col min="6403" max="6403" width="32.42578125" style="150" bestFit="1" customWidth="1"/>
    <col min="6404" max="6404" width="12.28515625" style="150" bestFit="1" customWidth="1"/>
    <col min="6405" max="6406" width="13.28515625" style="150" bestFit="1" customWidth="1"/>
    <col min="6407" max="6408" width="12.28515625" style="150" bestFit="1" customWidth="1"/>
    <col min="6409" max="6409" width="13.28515625" style="150" bestFit="1" customWidth="1"/>
    <col min="6410" max="6410" width="10.140625" style="150" bestFit="1" customWidth="1"/>
    <col min="6411" max="6411" width="9.85546875" style="150" bestFit="1" customWidth="1"/>
    <col min="6412" max="6412" width="10.140625" style="150" bestFit="1" customWidth="1"/>
    <col min="6413" max="6413" width="11" style="150" bestFit="1" customWidth="1"/>
    <col min="6414" max="6414" width="8.85546875" style="150" bestFit="1" customWidth="1"/>
    <col min="6415" max="6415" width="9.85546875" style="150" bestFit="1" customWidth="1"/>
    <col min="6416" max="6657" width="8.7109375" style="150"/>
    <col min="6658" max="6658" width="3.85546875" style="150" bestFit="1" customWidth="1"/>
    <col min="6659" max="6659" width="32.42578125" style="150" bestFit="1" customWidth="1"/>
    <col min="6660" max="6660" width="12.28515625" style="150" bestFit="1" customWidth="1"/>
    <col min="6661" max="6662" width="13.28515625" style="150" bestFit="1" customWidth="1"/>
    <col min="6663" max="6664" width="12.28515625" style="150" bestFit="1" customWidth="1"/>
    <col min="6665" max="6665" width="13.28515625" style="150" bestFit="1" customWidth="1"/>
    <col min="6666" max="6666" width="10.140625" style="150" bestFit="1" customWidth="1"/>
    <col min="6667" max="6667" width="9.85546875" style="150" bestFit="1" customWidth="1"/>
    <col min="6668" max="6668" width="10.140625" style="150" bestFit="1" customWidth="1"/>
    <col min="6669" max="6669" width="11" style="150" bestFit="1" customWidth="1"/>
    <col min="6670" max="6670" width="8.85546875" style="150" bestFit="1" customWidth="1"/>
    <col min="6671" max="6671" width="9.85546875" style="150" bestFit="1" customWidth="1"/>
    <col min="6672" max="6913" width="8.7109375" style="150"/>
    <col min="6914" max="6914" width="3.85546875" style="150" bestFit="1" customWidth="1"/>
    <col min="6915" max="6915" width="32.42578125" style="150" bestFit="1" customWidth="1"/>
    <col min="6916" max="6916" width="12.28515625" style="150" bestFit="1" customWidth="1"/>
    <col min="6917" max="6918" width="13.28515625" style="150" bestFit="1" customWidth="1"/>
    <col min="6919" max="6920" width="12.28515625" style="150" bestFit="1" customWidth="1"/>
    <col min="6921" max="6921" width="13.28515625" style="150" bestFit="1" customWidth="1"/>
    <col min="6922" max="6922" width="10.140625" style="150" bestFit="1" customWidth="1"/>
    <col min="6923" max="6923" width="9.85546875" style="150" bestFit="1" customWidth="1"/>
    <col min="6924" max="6924" width="10.140625" style="150" bestFit="1" customWidth="1"/>
    <col min="6925" max="6925" width="11" style="150" bestFit="1" customWidth="1"/>
    <col min="6926" max="6926" width="8.85546875" style="150" bestFit="1" customWidth="1"/>
    <col min="6927" max="6927" width="9.85546875" style="150" bestFit="1" customWidth="1"/>
    <col min="6928" max="7169" width="8.7109375" style="150"/>
    <col min="7170" max="7170" width="3.85546875" style="150" bestFit="1" customWidth="1"/>
    <col min="7171" max="7171" width="32.42578125" style="150" bestFit="1" customWidth="1"/>
    <col min="7172" max="7172" width="12.28515625" style="150" bestFit="1" customWidth="1"/>
    <col min="7173" max="7174" width="13.28515625" style="150" bestFit="1" customWidth="1"/>
    <col min="7175" max="7176" width="12.28515625" style="150" bestFit="1" customWidth="1"/>
    <col min="7177" max="7177" width="13.28515625" style="150" bestFit="1" customWidth="1"/>
    <col min="7178" max="7178" width="10.140625" style="150" bestFit="1" customWidth="1"/>
    <col min="7179" max="7179" width="9.85546875" style="150" bestFit="1" customWidth="1"/>
    <col min="7180" max="7180" width="10.140625" style="150" bestFit="1" customWidth="1"/>
    <col min="7181" max="7181" width="11" style="150" bestFit="1" customWidth="1"/>
    <col min="7182" max="7182" width="8.85546875" style="150" bestFit="1" customWidth="1"/>
    <col min="7183" max="7183" width="9.85546875" style="150" bestFit="1" customWidth="1"/>
    <col min="7184" max="7425" width="8.7109375" style="150"/>
    <col min="7426" max="7426" width="3.85546875" style="150" bestFit="1" customWidth="1"/>
    <col min="7427" max="7427" width="32.42578125" style="150" bestFit="1" customWidth="1"/>
    <col min="7428" max="7428" width="12.28515625" style="150" bestFit="1" customWidth="1"/>
    <col min="7429" max="7430" width="13.28515625" style="150" bestFit="1" customWidth="1"/>
    <col min="7431" max="7432" width="12.28515625" style="150" bestFit="1" customWidth="1"/>
    <col min="7433" max="7433" width="13.28515625" style="150" bestFit="1" customWidth="1"/>
    <col min="7434" max="7434" width="10.140625" style="150" bestFit="1" customWidth="1"/>
    <col min="7435" max="7435" width="9.85546875" style="150" bestFit="1" customWidth="1"/>
    <col min="7436" max="7436" width="10.140625" style="150" bestFit="1" customWidth="1"/>
    <col min="7437" max="7437" width="11" style="150" bestFit="1" customWidth="1"/>
    <col min="7438" max="7438" width="8.85546875" style="150" bestFit="1" customWidth="1"/>
    <col min="7439" max="7439" width="9.85546875" style="150" bestFit="1" customWidth="1"/>
    <col min="7440" max="7681" width="8.7109375" style="150"/>
    <col min="7682" max="7682" width="3.85546875" style="150" bestFit="1" customWidth="1"/>
    <col min="7683" max="7683" width="32.42578125" style="150" bestFit="1" customWidth="1"/>
    <col min="7684" max="7684" width="12.28515625" style="150" bestFit="1" customWidth="1"/>
    <col min="7685" max="7686" width="13.28515625" style="150" bestFit="1" customWidth="1"/>
    <col min="7687" max="7688" width="12.28515625" style="150" bestFit="1" customWidth="1"/>
    <col min="7689" max="7689" width="13.28515625" style="150" bestFit="1" customWidth="1"/>
    <col min="7690" max="7690" width="10.140625" style="150" bestFit="1" customWidth="1"/>
    <col min="7691" max="7691" width="9.85546875" style="150" bestFit="1" customWidth="1"/>
    <col min="7692" max="7692" width="10.140625" style="150" bestFit="1" customWidth="1"/>
    <col min="7693" max="7693" width="11" style="150" bestFit="1" customWidth="1"/>
    <col min="7694" max="7694" width="8.85546875" style="150" bestFit="1" customWidth="1"/>
    <col min="7695" max="7695" width="9.85546875" style="150" bestFit="1" customWidth="1"/>
    <col min="7696" max="7937" width="8.7109375" style="150"/>
    <col min="7938" max="7938" width="3.85546875" style="150" bestFit="1" customWidth="1"/>
    <col min="7939" max="7939" width="32.42578125" style="150" bestFit="1" customWidth="1"/>
    <col min="7940" max="7940" width="12.28515625" style="150" bestFit="1" customWidth="1"/>
    <col min="7941" max="7942" width="13.28515625" style="150" bestFit="1" customWidth="1"/>
    <col min="7943" max="7944" width="12.28515625" style="150" bestFit="1" customWidth="1"/>
    <col min="7945" max="7945" width="13.28515625" style="150" bestFit="1" customWidth="1"/>
    <col min="7946" max="7946" width="10.140625" style="150" bestFit="1" customWidth="1"/>
    <col min="7947" max="7947" width="9.85546875" style="150" bestFit="1" customWidth="1"/>
    <col min="7948" max="7948" width="10.140625" style="150" bestFit="1" customWidth="1"/>
    <col min="7949" max="7949" width="11" style="150" bestFit="1" customWidth="1"/>
    <col min="7950" max="7950" width="8.85546875" style="150" bestFit="1" customWidth="1"/>
    <col min="7951" max="7951" width="9.85546875" style="150" bestFit="1" customWidth="1"/>
    <col min="7952" max="8193" width="8.7109375" style="150"/>
    <col min="8194" max="8194" width="3.85546875" style="150" bestFit="1" customWidth="1"/>
    <col min="8195" max="8195" width="32.42578125" style="150" bestFit="1" customWidth="1"/>
    <col min="8196" max="8196" width="12.28515625" style="150" bestFit="1" customWidth="1"/>
    <col min="8197" max="8198" width="13.28515625" style="150" bestFit="1" customWidth="1"/>
    <col min="8199" max="8200" width="12.28515625" style="150" bestFit="1" customWidth="1"/>
    <col min="8201" max="8201" width="13.28515625" style="150" bestFit="1" customWidth="1"/>
    <col min="8202" max="8202" width="10.140625" style="150" bestFit="1" customWidth="1"/>
    <col min="8203" max="8203" width="9.85546875" style="150" bestFit="1" customWidth="1"/>
    <col min="8204" max="8204" width="10.140625" style="150" bestFit="1" customWidth="1"/>
    <col min="8205" max="8205" width="11" style="150" bestFit="1" customWidth="1"/>
    <col min="8206" max="8206" width="8.85546875" style="150" bestFit="1" customWidth="1"/>
    <col min="8207" max="8207" width="9.85546875" style="150" bestFit="1" customWidth="1"/>
    <col min="8208" max="8449" width="8.7109375" style="150"/>
    <col min="8450" max="8450" width="3.85546875" style="150" bestFit="1" customWidth="1"/>
    <col min="8451" max="8451" width="32.42578125" style="150" bestFit="1" customWidth="1"/>
    <col min="8452" max="8452" width="12.28515625" style="150" bestFit="1" customWidth="1"/>
    <col min="8453" max="8454" width="13.28515625" style="150" bestFit="1" customWidth="1"/>
    <col min="8455" max="8456" width="12.28515625" style="150" bestFit="1" customWidth="1"/>
    <col min="8457" max="8457" width="13.28515625" style="150" bestFit="1" customWidth="1"/>
    <col min="8458" max="8458" width="10.140625" style="150" bestFit="1" customWidth="1"/>
    <col min="8459" max="8459" width="9.85546875" style="150" bestFit="1" customWidth="1"/>
    <col min="8460" max="8460" width="10.140625" style="150" bestFit="1" customWidth="1"/>
    <col min="8461" max="8461" width="11" style="150" bestFit="1" customWidth="1"/>
    <col min="8462" max="8462" width="8.85546875" style="150" bestFit="1" customWidth="1"/>
    <col min="8463" max="8463" width="9.85546875" style="150" bestFit="1" customWidth="1"/>
    <col min="8464" max="8705" width="8.7109375" style="150"/>
    <col min="8706" max="8706" width="3.85546875" style="150" bestFit="1" customWidth="1"/>
    <col min="8707" max="8707" width="32.42578125" style="150" bestFit="1" customWidth="1"/>
    <col min="8708" max="8708" width="12.28515625" style="150" bestFit="1" customWidth="1"/>
    <col min="8709" max="8710" width="13.28515625" style="150" bestFit="1" customWidth="1"/>
    <col min="8711" max="8712" width="12.28515625" style="150" bestFit="1" customWidth="1"/>
    <col min="8713" max="8713" width="13.28515625" style="150" bestFit="1" customWidth="1"/>
    <col min="8714" max="8714" width="10.140625" style="150" bestFit="1" customWidth="1"/>
    <col min="8715" max="8715" width="9.85546875" style="150" bestFit="1" customWidth="1"/>
    <col min="8716" max="8716" width="10.140625" style="150" bestFit="1" customWidth="1"/>
    <col min="8717" max="8717" width="11" style="150" bestFit="1" customWidth="1"/>
    <col min="8718" max="8718" width="8.85546875" style="150" bestFit="1" customWidth="1"/>
    <col min="8719" max="8719" width="9.85546875" style="150" bestFit="1" customWidth="1"/>
    <col min="8720" max="8961" width="8.7109375" style="150"/>
    <col min="8962" max="8962" width="3.85546875" style="150" bestFit="1" customWidth="1"/>
    <col min="8963" max="8963" width="32.42578125" style="150" bestFit="1" customWidth="1"/>
    <col min="8964" max="8964" width="12.28515625" style="150" bestFit="1" customWidth="1"/>
    <col min="8965" max="8966" width="13.28515625" style="150" bestFit="1" customWidth="1"/>
    <col min="8967" max="8968" width="12.28515625" style="150" bestFit="1" customWidth="1"/>
    <col min="8969" max="8969" width="13.28515625" style="150" bestFit="1" customWidth="1"/>
    <col min="8970" max="8970" width="10.140625" style="150" bestFit="1" customWidth="1"/>
    <col min="8971" max="8971" width="9.85546875" style="150" bestFit="1" customWidth="1"/>
    <col min="8972" max="8972" width="10.140625" style="150" bestFit="1" customWidth="1"/>
    <col min="8973" max="8973" width="11" style="150" bestFit="1" customWidth="1"/>
    <col min="8974" max="8974" width="8.85546875" style="150" bestFit="1" customWidth="1"/>
    <col min="8975" max="8975" width="9.85546875" style="150" bestFit="1" customWidth="1"/>
    <col min="8976" max="9217" width="8.7109375" style="150"/>
    <col min="9218" max="9218" width="3.85546875" style="150" bestFit="1" customWidth="1"/>
    <col min="9219" max="9219" width="32.42578125" style="150" bestFit="1" customWidth="1"/>
    <col min="9220" max="9220" width="12.28515625" style="150" bestFit="1" customWidth="1"/>
    <col min="9221" max="9222" width="13.28515625" style="150" bestFit="1" customWidth="1"/>
    <col min="9223" max="9224" width="12.28515625" style="150" bestFit="1" customWidth="1"/>
    <col min="9225" max="9225" width="13.28515625" style="150" bestFit="1" customWidth="1"/>
    <col min="9226" max="9226" width="10.140625" style="150" bestFit="1" customWidth="1"/>
    <col min="9227" max="9227" width="9.85546875" style="150" bestFit="1" customWidth="1"/>
    <col min="9228" max="9228" width="10.140625" style="150" bestFit="1" customWidth="1"/>
    <col min="9229" max="9229" width="11" style="150" bestFit="1" customWidth="1"/>
    <col min="9230" max="9230" width="8.85546875" style="150" bestFit="1" customWidth="1"/>
    <col min="9231" max="9231" width="9.85546875" style="150" bestFit="1" customWidth="1"/>
    <col min="9232" max="9473" width="8.7109375" style="150"/>
    <col min="9474" max="9474" width="3.85546875" style="150" bestFit="1" customWidth="1"/>
    <col min="9475" max="9475" width="32.42578125" style="150" bestFit="1" customWidth="1"/>
    <col min="9476" max="9476" width="12.28515625" style="150" bestFit="1" customWidth="1"/>
    <col min="9477" max="9478" width="13.28515625" style="150" bestFit="1" customWidth="1"/>
    <col min="9479" max="9480" width="12.28515625" style="150" bestFit="1" customWidth="1"/>
    <col min="9481" max="9481" width="13.28515625" style="150" bestFit="1" customWidth="1"/>
    <col min="9482" max="9482" width="10.140625" style="150" bestFit="1" customWidth="1"/>
    <col min="9483" max="9483" width="9.85546875" style="150" bestFit="1" customWidth="1"/>
    <col min="9484" max="9484" width="10.140625" style="150" bestFit="1" customWidth="1"/>
    <col min="9485" max="9485" width="11" style="150" bestFit="1" customWidth="1"/>
    <col min="9486" max="9486" width="8.85546875" style="150" bestFit="1" customWidth="1"/>
    <col min="9487" max="9487" width="9.85546875" style="150" bestFit="1" customWidth="1"/>
    <col min="9488" max="9729" width="8.7109375" style="150"/>
    <col min="9730" max="9730" width="3.85546875" style="150" bestFit="1" customWidth="1"/>
    <col min="9731" max="9731" width="32.42578125" style="150" bestFit="1" customWidth="1"/>
    <col min="9732" max="9732" width="12.28515625" style="150" bestFit="1" customWidth="1"/>
    <col min="9733" max="9734" width="13.28515625" style="150" bestFit="1" customWidth="1"/>
    <col min="9735" max="9736" width="12.28515625" style="150" bestFit="1" customWidth="1"/>
    <col min="9737" max="9737" width="13.28515625" style="150" bestFit="1" customWidth="1"/>
    <col min="9738" max="9738" width="10.140625" style="150" bestFit="1" customWidth="1"/>
    <col min="9739" max="9739" width="9.85546875" style="150" bestFit="1" customWidth="1"/>
    <col min="9740" max="9740" width="10.140625" style="150" bestFit="1" customWidth="1"/>
    <col min="9741" max="9741" width="11" style="150" bestFit="1" customWidth="1"/>
    <col min="9742" max="9742" width="8.85546875" style="150" bestFit="1" customWidth="1"/>
    <col min="9743" max="9743" width="9.85546875" style="150" bestFit="1" customWidth="1"/>
    <col min="9744" max="9985" width="8.7109375" style="150"/>
    <col min="9986" max="9986" width="3.85546875" style="150" bestFit="1" customWidth="1"/>
    <col min="9987" max="9987" width="32.42578125" style="150" bestFit="1" customWidth="1"/>
    <col min="9988" max="9988" width="12.28515625" style="150" bestFit="1" customWidth="1"/>
    <col min="9989" max="9990" width="13.28515625" style="150" bestFit="1" customWidth="1"/>
    <col min="9991" max="9992" width="12.28515625" style="150" bestFit="1" customWidth="1"/>
    <col min="9993" max="9993" width="13.28515625" style="150" bestFit="1" customWidth="1"/>
    <col min="9994" max="9994" width="10.140625" style="150" bestFit="1" customWidth="1"/>
    <col min="9995" max="9995" width="9.85546875" style="150" bestFit="1" customWidth="1"/>
    <col min="9996" max="9996" width="10.140625" style="150" bestFit="1" customWidth="1"/>
    <col min="9997" max="9997" width="11" style="150" bestFit="1" customWidth="1"/>
    <col min="9998" max="9998" width="8.85546875" style="150" bestFit="1" customWidth="1"/>
    <col min="9999" max="9999" width="9.85546875" style="150" bestFit="1" customWidth="1"/>
    <col min="10000" max="10241" width="8.7109375" style="150"/>
    <col min="10242" max="10242" width="3.85546875" style="150" bestFit="1" customWidth="1"/>
    <col min="10243" max="10243" width="32.42578125" style="150" bestFit="1" customWidth="1"/>
    <col min="10244" max="10244" width="12.28515625" style="150" bestFit="1" customWidth="1"/>
    <col min="10245" max="10246" width="13.28515625" style="150" bestFit="1" customWidth="1"/>
    <col min="10247" max="10248" width="12.28515625" style="150" bestFit="1" customWidth="1"/>
    <col min="10249" max="10249" width="13.28515625" style="150" bestFit="1" customWidth="1"/>
    <col min="10250" max="10250" width="10.140625" style="150" bestFit="1" customWidth="1"/>
    <col min="10251" max="10251" width="9.85546875" style="150" bestFit="1" customWidth="1"/>
    <col min="10252" max="10252" width="10.140625" style="150" bestFit="1" customWidth="1"/>
    <col min="10253" max="10253" width="11" style="150" bestFit="1" customWidth="1"/>
    <col min="10254" max="10254" width="8.85546875" style="150" bestFit="1" customWidth="1"/>
    <col min="10255" max="10255" width="9.85546875" style="150" bestFit="1" customWidth="1"/>
    <col min="10256" max="10497" width="8.7109375" style="150"/>
    <col min="10498" max="10498" width="3.85546875" style="150" bestFit="1" customWidth="1"/>
    <col min="10499" max="10499" width="32.42578125" style="150" bestFit="1" customWidth="1"/>
    <col min="10500" max="10500" width="12.28515625" style="150" bestFit="1" customWidth="1"/>
    <col min="10501" max="10502" width="13.28515625" style="150" bestFit="1" customWidth="1"/>
    <col min="10503" max="10504" width="12.28515625" style="150" bestFit="1" customWidth="1"/>
    <col min="10505" max="10505" width="13.28515625" style="150" bestFit="1" customWidth="1"/>
    <col min="10506" max="10506" width="10.140625" style="150" bestFit="1" customWidth="1"/>
    <col min="10507" max="10507" width="9.85546875" style="150" bestFit="1" customWidth="1"/>
    <col min="10508" max="10508" width="10.140625" style="150" bestFit="1" customWidth="1"/>
    <col min="10509" max="10509" width="11" style="150" bestFit="1" customWidth="1"/>
    <col min="10510" max="10510" width="8.85546875" style="150" bestFit="1" customWidth="1"/>
    <col min="10511" max="10511" width="9.85546875" style="150" bestFit="1" customWidth="1"/>
    <col min="10512" max="10753" width="8.7109375" style="150"/>
    <col min="10754" max="10754" width="3.85546875" style="150" bestFit="1" customWidth="1"/>
    <col min="10755" max="10755" width="32.42578125" style="150" bestFit="1" customWidth="1"/>
    <col min="10756" max="10756" width="12.28515625" style="150" bestFit="1" customWidth="1"/>
    <col min="10757" max="10758" width="13.28515625" style="150" bestFit="1" customWidth="1"/>
    <col min="10759" max="10760" width="12.28515625" style="150" bestFit="1" customWidth="1"/>
    <col min="10761" max="10761" width="13.28515625" style="150" bestFit="1" customWidth="1"/>
    <col min="10762" max="10762" width="10.140625" style="150" bestFit="1" customWidth="1"/>
    <col min="10763" max="10763" width="9.85546875" style="150" bestFit="1" customWidth="1"/>
    <col min="10764" max="10764" width="10.140625" style="150" bestFit="1" customWidth="1"/>
    <col min="10765" max="10765" width="11" style="150" bestFit="1" customWidth="1"/>
    <col min="10766" max="10766" width="8.85546875" style="150" bestFit="1" customWidth="1"/>
    <col min="10767" max="10767" width="9.85546875" style="150" bestFit="1" customWidth="1"/>
    <col min="10768" max="11009" width="8.7109375" style="150"/>
    <col min="11010" max="11010" width="3.85546875" style="150" bestFit="1" customWidth="1"/>
    <col min="11011" max="11011" width="32.42578125" style="150" bestFit="1" customWidth="1"/>
    <col min="11012" max="11012" width="12.28515625" style="150" bestFit="1" customWidth="1"/>
    <col min="11013" max="11014" width="13.28515625" style="150" bestFit="1" customWidth="1"/>
    <col min="11015" max="11016" width="12.28515625" style="150" bestFit="1" customWidth="1"/>
    <col min="11017" max="11017" width="13.28515625" style="150" bestFit="1" customWidth="1"/>
    <col min="11018" max="11018" width="10.140625" style="150" bestFit="1" customWidth="1"/>
    <col min="11019" max="11019" width="9.85546875" style="150" bestFit="1" customWidth="1"/>
    <col min="11020" max="11020" width="10.140625" style="150" bestFit="1" customWidth="1"/>
    <col min="11021" max="11021" width="11" style="150" bestFit="1" customWidth="1"/>
    <col min="11022" max="11022" width="8.85546875" style="150" bestFit="1" customWidth="1"/>
    <col min="11023" max="11023" width="9.85546875" style="150" bestFit="1" customWidth="1"/>
    <col min="11024" max="11265" width="8.7109375" style="150"/>
    <col min="11266" max="11266" width="3.85546875" style="150" bestFit="1" customWidth="1"/>
    <col min="11267" max="11267" width="32.42578125" style="150" bestFit="1" customWidth="1"/>
    <col min="11268" max="11268" width="12.28515625" style="150" bestFit="1" customWidth="1"/>
    <col min="11269" max="11270" width="13.28515625" style="150" bestFit="1" customWidth="1"/>
    <col min="11271" max="11272" width="12.28515625" style="150" bestFit="1" customWidth="1"/>
    <col min="11273" max="11273" width="13.28515625" style="150" bestFit="1" customWidth="1"/>
    <col min="11274" max="11274" width="10.140625" style="150" bestFit="1" customWidth="1"/>
    <col min="11275" max="11275" width="9.85546875" style="150" bestFit="1" customWidth="1"/>
    <col min="11276" max="11276" width="10.140625" style="150" bestFit="1" customWidth="1"/>
    <col min="11277" max="11277" width="11" style="150" bestFit="1" customWidth="1"/>
    <col min="11278" max="11278" width="8.85546875" style="150" bestFit="1" customWidth="1"/>
    <col min="11279" max="11279" width="9.85546875" style="150" bestFit="1" customWidth="1"/>
    <col min="11280" max="11521" width="8.7109375" style="150"/>
    <col min="11522" max="11522" width="3.85546875" style="150" bestFit="1" customWidth="1"/>
    <col min="11523" max="11523" width="32.42578125" style="150" bestFit="1" customWidth="1"/>
    <col min="11524" max="11524" width="12.28515625" style="150" bestFit="1" customWidth="1"/>
    <col min="11525" max="11526" width="13.28515625" style="150" bestFit="1" customWidth="1"/>
    <col min="11527" max="11528" width="12.28515625" style="150" bestFit="1" customWidth="1"/>
    <col min="11529" max="11529" width="13.28515625" style="150" bestFit="1" customWidth="1"/>
    <col min="11530" max="11530" width="10.140625" style="150" bestFit="1" customWidth="1"/>
    <col min="11531" max="11531" width="9.85546875" style="150" bestFit="1" customWidth="1"/>
    <col min="11532" max="11532" width="10.140625" style="150" bestFit="1" customWidth="1"/>
    <col min="11533" max="11533" width="11" style="150" bestFit="1" customWidth="1"/>
    <col min="11534" max="11534" width="8.85546875" style="150" bestFit="1" customWidth="1"/>
    <col min="11535" max="11535" width="9.85546875" style="150" bestFit="1" customWidth="1"/>
    <col min="11536" max="11777" width="8.7109375" style="150"/>
    <col min="11778" max="11778" width="3.85546875" style="150" bestFit="1" customWidth="1"/>
    <col min="11779" max="11779" width="32.42578125" style="150" bestFit="1" customWidth="1"/>
    <col min="11780" max="11780" width="12.28515625" style="150" bestFit="1" customWidth="1"/>
    <col min="11781" max="11782" width="13.28515625" style="150" bestFit="1" customWidth="1"/>
    <col min="11783" max="11784" width="12.28515625" style="150" bestFit="1" customWidth="1"/>
    <col min="11785" max="11785" width="13.28515625" style="150" bestFit="1" customWidth="1"/>
    <col min="11786" max="11786" width="10.140625" style="150" bestFit="1" customWidth="1"/>
    <col min="11787" max="11787" width="9.85546875" style="150" bestFit="1" customWidth="1"/>
    <col min="11788" max="11788" width="10.140625" style="150" bestFit="1" customWidth="1"/>
    <col min="11789" max="11789" width="11" style="150" bestFit="1" customWidth="1"/>
    <col min="11790" max="11790" width="8.85546875" style="150" bestFit="1" customWidth="1"/>
    <col min="11791" max="11791" width="9.85546875" style="150" bestFit="1" customWidth="1"/>
    <col min="11792" max="12033" width="8.7109375" style="150"/>
    <col min="12034" max="12034" width="3.85546875" style="150" bestFit="1" customWidth="1"/>
    <col min="12035" max="12035" width="32.42578125" style="150" bestFit="1" customWidth="1"/>
    <col min="12036" max="12036" width="12.28515625" style="150" bestFit="1" customWidth="1"/>
    <col min="12037" max="12038" width="13.28515625" style="150" bestFit="1" customWidth="1"/>
    <col min="12039" max="12040" width="12.28515625" style="150" bestFit="1" customWidth="1"/>
    <col min="12041" max="12041" width="13.28515625" style="150" bestFit="1" customWidth="1"/>
    <col min="12042" max="12042" width="10.140625" style="150" bestFit="1" customWidth="1"/>
    <col min="12043" max="12043" width="9.85546875" style="150" bestFit="1" customWidth="1"/>
    <col min="12044" max="12044" width="10.140625" style="150" bestFit="1" customWidth="1"/>
    <col min="12045" max="12045" width="11" style="150" bestFit="1" customWidth="1"/>
    <col min="12046" max="12046" width="8.85546875" style="150" bestFit="1" customWidth="1"/>
    <col min="12047" max="12047" width="9.85546875" style="150" bestFit="1" customWidth="1"/>
    <col min="12048" max="12289" width="8.7109375" style="150"/>
    <col min="12290" max="12290" width="3.85546875" style="150" bestFit="1" customWidth="1"/>
    <col min="12291" max="12291" width="32.42578125" style="150" bestFit="1" customWidth="1"/>
    <col min="12292" max="12292" width="12.28515625" style="150" bestFit="1" customWidth="1"/>
    <col min="12293" max="12294" width="13.28515625" style="150" bestFit="1" customWidth="1"/>
    <col min="12295" max="12296" width="12.28515625" style="150" bestFit="1" customWidth="1"/>
    <col min="12297" max="12297" width="13.28515625" style="150" bestFit="1" customWidth="1"/>
    <col min="12298" max="12298" width="10.140625" style="150" bestFit="1" customWidth="1"/>
    <col min="12299" max="12299" width="9.85546875" style="150" bestFit="1" customWidth="1"/>
    <col min="12300" max="12300" width="10.140625" style="150" bestFit="1" customWidth="1"/>
    <col min="12301" max="12301" width="11" style="150" bestFit="1" customWidth="1"/>
    <col min="12302" max="12302" width="8.85546875" style="150" bestFit="1" customWidth="1"/>
    <col min="12303" max="12303" width="9.85546875" style="150" bestFit="1" customWidth="1"/>
    <col min="12304" max="12545" width="8.7109375" style="150"/>
    <col min="12546" max="12546" width="3.85546875" style="150" bestFit="1" customWidth="1"/>
    <col min="12547" max="12547" width="32.42578125" style="150" bestFit="1" customWidth="1"/>
    <col min="12548" max="12548" width="12.28515625" style="150" bestFit="1" customWidth="1"/>
    <col min="12549" max="12550" width="13.28515625" style="150" bestFit="1" customWidth="1"/>
    <col min="12551" max="12552" width="12.28515625" style="150" bestFit="1" customWidth="1"/>
    <col min="12553" max="12553" width="13.28515625" style="150" bestFit="1" customWidth="1"/>
    <col min="12554" max="12554" width="10.140625" style="150" bestFit="1" customWidth="1"/>
    <col min="12555" max="12555" width="9.85546875" style="150" bestFit="1" customWidth="1"/>
    <col min="12556" max="12556" width="10.140625" style="150" bestFit="1" customWidth="1"/>
    <col min="12557" max="12557" width="11" style="150" bestFit="1" customWidth="1"/>
    <col min="12558" max="12558" width="8.85546875" style="150" bestFit="1" customWidth="1"/>
    <col min="12559" max="12559" width="9.85546875" style="150" bestFit="1" customWidth="1"/>
    <col min="12560" max="12801" width="8.7109375" style="150"/>
    <col min="12802" max="12802" width="3.85546875" style="150" bestFit="1" customWidth="1"/>
    <col min="12803" max="12803" width="32.42578125" style="150" bestFit="1" customWidth="1"/>
    <col min="12804" max="12804" width="12.28515625" style="150" bestFit="1" customWidth="1"/>
    <col min="12805" max="12806" width="13.28515625" style="150" bestFit="1" customWidth="1"/>
    <col min="12807" max="12808" width="12.28515625" style="150" bestFit="1" customWidth="1"/>
    <col min="12809" max="12809" width="13.28515625" style="150" bestFit="1" customWidth="1"/>
    <col min="12810" max="12810" width="10.140625" style="150" bestFit="1" customWidth="1"/>
    <col min="12811" max="12811" width="9.85546875" style="150" bestFit="1" customWidth="1"/>
    <col min="12812" max="12812" width="10.140625" style="150" bestFit="1" customWidth="1"/>
    <col min="12813" max="12813" width="11" style="150" bestFit="1" customWidth="1"/>
    <col min="12814" max="12814" width="8.85546875" style="150" bestFit="1" customWidth="1"/>
    <col min="12815" max="12815" width="9.85546875" style="150" bestFit="1" customWidth="1"/>
    <col min="12816" max="13057" width="8.7109375" style="150"/>
    <col min="13058" max="13058" width="3.85546875" style="150" bestFit="1" customWidth="1"/>
    <col min="13059" max="13059" width="32.42578125" style="150" bestFit="1" customWidth="1"/>
    <col min="13060" max="13060" width="12.28515625" style="150" bestFit="1" customWidth="1"/>
    <col min="13061" max="13062" width="13.28515625" style="150" bestFit="1" customWidth="1"/>
    <col min="13063" max="13064" width="12.28515625" style="150" bestFit="1" customWidth="1"/>
    <col min="13065" max="13065" width="13.28515625" style="150" bestFit="1" customWidth="1"/>
    <col min="13066" max="13066" width="10.140625" style="150" bestFit="1" customWidth="1"/>
    <col min="13067" max="13067" width="9.85546875" style="150" bestFit="1" customWidth="1"/>
    <col min="13068" max="13068" width="10.140625" style="150" bestFit="1" customWidth="1"/>
    <col min="13069" max="13069" width="11" style="150" bestFit="1" customWidth="1"/>
    <col min="13070" max="13070" width="8.85546875" style="150" bestFit="1" customWidth="1"/>
    <col min="13071" max="13071" width="9.85546875" style="150" bestFit="1" customWidth="1"/>
    <col min="13072" max="13313" width="8.7109375" style="150"/>
    <col min="13314" max="13314" width="3.85546875" style="150" bestFit="1" customWidth="1"/>
    <col min="13315" max="13315" width="32.42578125" style="150" bestFit="1" customWidth="1"/>
    <col min="13316" max="13316" width="12.28515625" style="150" bestFit="1" customWidth="1"/>
    <col min="13317" max="13318" width="13.28515625" style="150" bestFit="1" customWidth="1"/>
    <col min="13319" max="13320" width="12.28515625" style="150" bestFit="1" customWidth="1"/>
    <col min="13321" max="13321" width="13.28515625" style="150" bestFit="1" customWidth="1"/>
    <col min="13322" max="13322" width="10.140625" style="150" bestFit="1" customWidth="1"/>
    <col min="13323" max="13323" width="9.85546875" style="150" bestFit="1" customWidth="1"/>
    <col min="13324" max="13324" width="10.140625" style="150" bestFit="1" customWidth="1"/>
    <col min="13325" max="13325" width="11" style="150" bestFit="1" customWidth="1"/>
    <col min="13326" max="13326" width="8.85546875" style="150" bestFit="1" customWidth="1"/>
    <col min="13327" max="13327" width="9.85546875" style="150" bestFit="1" customWidth="1"/>
    <col min="13328" max="13569" width="8.7109375" style="150"/>
    <col min="13570" max="13570" width="3.85546875" style="150" bestFit="1" customWidth="1"/>
    <col min="13571" max="13571" width="32.42578125" style="150" bestFit="1" customWidth="1"/>
    <col min="13572" max="13572" width="12.28515625" style="150" bestFit="1" customWidth="1"/>
    <col min="13573" max="13574" width="13.28515625" style="150" bestFit="1" customWidth="1"/>
    <col min="13575" max="13576" width="12.28515625" style="150" bestFit="1" customWidth="1"/>
    <col min="13577" max="13577" width="13.28515625" style="150" bestFit="1" customWidth="1"/>
    <col min="13578" max="13578" width="10.140625" style="150" bestFit="1" customWidth="1"/>
    <col min="13579" max="13579" width="9.85546875" style="150" bestFit="1" customWidth="1"/>
    <col min="13580" max="13580" width="10.140625" style="150" bestFit="1" customWidth="1"/>
    <col min="13581" max="13581" width="11" style="150" bestFit="1" customWidth="1"/>
    <col min="13582" max="13582" width="8.85546875" style="150" bestFit="1" customWidth="1"/>
    <col min="13583" max="13583" width="9.85546875" style="150" bestFit="1" customWidth="1"/>
    <col min="13584" max="13825" width="8.7109375" style="150"/>
    <col min="13826" max="13826" width="3.85546875" style="150" bestFit="1" customWidth="1"/>
    <col min="13827" max="13827" width="32.42578125" style="150" bestFit="1" customWidth="1"/>
    <col min="13828" max="13828" width="12.28515625" style="150" bestFit="1" customWidth="1"/>
    <col min="13829" max="13830" width="13.28515625" style="150" bestFit="1" customWidth="1"/>
    <col min="13831" max="13832" width="12.28515625" style="150" bestFit="1" customWidth="1"/>
    <col min="13833" max="13833" width="13.28515625" style="150" bestFit="1" customWidth="1"/>
    <col min="13834" max="13834" width="10.140625" style="150" bestFit="1" customWidth="1"/>
    <col min="13835" max="13835" width="9.85546875" style="150" bestFit="1" customWidth="1"/>
    <col min="13836" max="13836" width="10.140625" style="150" bestFit="1" customWidth="1"/>
    <col min="13837" max="13837" width="11" style="150" bestFit="1" customWidth="1"/>
    <col min="13838" max="13838" width="8.85546875" style="150" bestFit="1" customWidth="1"/>
    <col min="13839" max="13839" width="9.85546875" style="150" bestFit="1" customWidth="1"/>
    <col min="13840" max="14081" width="8.7109375" style="150"/>
    <col min="14082" max="14082" width="3.85546875" style="150" bestFit="1" customWidth="1"/>
    <col min="14083" max="14083" width="32.42578125" style="150" bestFit="1" customWidth="1"/>
    <col min="14084" max="14084" width="12.28515625" style="150" bestFit="1" customWidth="1"/>
    <col min="14085" max="14086" width="13.28515625" style="150" bestFit="1" customWidth="1"/>
    <col min="14087" max="14088" width="12.28515625" style="150" bestFit="1" customWidth="1"/>
    <col min="14089" max="14089" width="13.28515625" style="150" bestFit="1" customWidth="1"/>
    <col min="14090" max="14090" width="10.140625" style="150" bestFit="1" customWidth="1"/>
    <col min="14091" max="14091" width="9.85546875" style="150" bestFit="1" customWidth="1"/>
    <col min="14092" max="14092" width="10.140625" style="150" bestFit="1" customWidth="1"/>
    <col min="14093" max="14093" width="11" style="150" bestFit="1" customWidth="1"/>
    <col min="14094" max="14094" width="8.85546875" style="150" bestFit="1" customWidth="1"/>
    <col min="14095" max="14095" width="9.85546875" style="150" bestFit="1" customWidth="1"/>
    <col min="14096" max="14337" width="8.7109375" style="150"/>
    <col min="14338" max="14338" width="3.85546875" style="150" bestFit="1" customWidth="1"/>
    <col min="14339" max="14339" width="32.42578125" style="150" bestFit="1" customWidth="1"/>
    <col min="14340" max="14340" width="12.28515625" style="150" bestFit="1" customWidth="1"/>
    <col min="14341" max="14342" width="13.28515625" style="150" bestFit="1" customWidth="1"/>
    <col min="14343" max="14344" width="12.28515625" style="150" bestFit="1" customWidth="1"/>
    <col min="14345" max="14345" width="13.28515625" style="150" bestFit="1" customWidth="1"/>
    <col min="14346" max="14346" width="10.140625" style="150" bestFit="1" customWidth="1"/>
    <col min="14347" max="14347" width="9.85546875" style="150" bestFit="1" customWidth="1"/>
    <col min="14348" max="14348" width="10.140625" style="150" bestFit="1" customWidth="1"/>
    <col min="14349" max="14349" width="11" style="150" bestFit="1" customWidth="1"/>
    <col min="14350" max="14350" width="8.85546875" style="150" bestFit="1" customWidth="1"/>
    <col min="14351" max="14351" width="9.85546875" style="150" bestFit="1" customWidth="1"/>
    <col min="14352" max="14593" width="8.7109375" style="150"/>
    <col min="14594" max="14594" width="3.85546875" style="150" bestFit="1" customWidth="1"/>
    <col min="14595" max="14595" width="32.42578125" style="150" bestFit="1" customWidth="1"/>
    <col min="14596" max="14596" width="12.28515625" style="150" bestFit="1" customWidth="1"/>
    <col min="14597" max="14598" width="13.28515625" style="150" bestFit="1" customWidth="1"/>
    <col min="14599" max="14600" width="12.28515625" style="150" bestFit="1" customWidth="1"/>
    <col min="14601" max="14601" width="13.28515625" style="150" bestFit="1" customWidth="1"/>
    <col min="14602" max="14602" width="10.140625" style="150" bestFit="1" customWidth="1"/>
    <col min="14603" max="14603" width="9.85546875" style="150" bestFit="1" customWidth="1"/>
    <col min="14604" max="14604" width="10.140625" style="150" bestFit="1" customWidth="1"/>
    <col min="14605" max="14605" width="11" style="150" bestFit="1" customWidth="1"/>
    <col min="14606" max="14606" width="8.85546875" style="150" bestFit="1" customWidth="1"/>
    <col min="14607" max="14607" width="9.85546875" style="150" bestFit="1" customWidth="1"/>
    <col min="14608" max="14849" width="8.7109375" style="150"/>
    <col min="14850" max="14850" width="3.85546875" style="150" bestFit="1" customWidth="1"/>
    <col min="14851" max="14851" width="32.42578125" style="150" bestFit="1" customWidth="1"/>
    <col min="14852" max="14852" width="12.28515625" style="150" bestFit="1" customWidth="1"/>
    <col min="14853" max="14854" width="13.28515625" style="150" bestFit="1" customWidth="1"/>
    <col min="14855" max="14856" width="12.28515625" style="150" bestFit="1" customWidth="1"/>
    <col min="14857" max="14857" width="13.28515625" style="150" bestFit="1" customWidth="1"/>
    <col min="14858" max="14858" width="10.140625" style="150" bestFit="1" customWidth="1"/>
    <col min="14859" max="14859" width="9.85546875" style="150" bestFit="1" customWidth="1"/>
    <col min="14860" max="14860" width="10.140625" style="150" bestFit="1" customWidth="1"/>
    <col min="14861" max="14861" width="11" style="150" bestFit="1" customWidth="1"/>
    <col min="14862" max="14862" width="8.85546875" style="150" bestFit="1" customWidth="1"/>
    <col min="14863" max="14863" width="9.85546875" style="150" bestFit="1" customWidth="1"/>
    <col min="14864" max="15105" width="8.7109375" style="150"/>
    <col min="15106" max="15106" width="3.85546875" style="150" bestFit="1" customWidth="1"/>
    <col min="15107" max="15107" width="32.42578125" style="150" bestFit="1" customWidth="1"/>
    <col min="15108" max="15108" width="12.28515625" style="150" bestFit="1" customWidth="1"/>
    <col min="15109" max="15110" width="13.28515625" style="150" bestFit="1" customWidth="1"/>
    <col min="15111" max="15112" width="12.28515625" style="150" bestFit="1" customWidth="1"/>
    <col min="15113" max="15113" width="13.28515625" style="150" bestFit="1" customWidth="1"/>
    <col min="15114" max="15114" width="10.140625" style="150" bestFit="1" customWidth="1"/>
    <col min="15115" max="15115" width="9.85546875" style="150" bestFit="1" customWidth="1"/>
    <col min="15116" max="15116" width="10.140625" style="150" bestFit="1" customWidth="1"/>
    <col min="15117" max="15117" width="11" style="150" bestFit="1" customWidth="1"/>
    <col min="15118" max="15118" width="8.85546875" style="150" bestFit="1" customWidth="1"/>
    <col min="15119" max="15119" width="9.85546875" style="150" bestFit="1" customWidth="1"/>
    <col min="15120" max="15361" width="8.7109375" style="150"/>
    <col min="15362" max="15362" width="3.85546875" style="150" bestFit="1" customWidth="1"/>
    <col min="15363" max="15363" width="32.42578125" style="150" bestFit="1" customWidth="1"/>
    <col min="15364" max="15364" width="12.28515625" style="150" bestFit="1" customWidth="1"/>
    <col min="15365" max="15366" width="13.28515625" style="150" bestFit="1" customWidth="1"/>
    <col min="15367" max="15368" width="12.28515625" style="150" bestFit="1" customWidth="1"/>
    <col min="15369" max="15369" width="13.28515625" style="150" bestFit="1" customWidth="1"/>
    <col min="15370" max="15370" width="10.140625" style="150" bestFit="1" customWidth="1"/>
    <col min="15371" max="15371" width="9.85546875" style="150" bestFit="1" customWidth="1"/>
    <col min="15372" max="15372" width="10.140625" style="150" bestFit="1" customWidth="1"/>
    <col min="15373" max="15373" width="11" style="150" bestFit="1" customWidth="1"/>
    <col min="15374" max="15374" width="8.85546875" style="150" bestFit="1" customWidth="1"/>
    <col min="15375" max="15375" width="9.85546875" style="150" bestFit="1" customWidth="1"/>
    <col min="15376" max="15617" width="8.7109375" style="150"/>
    <col min="15618" max="15618" width="3.85546875" style="150" bestFit="1" customWidth="1"/>
    <col min="15619" max="15619" width="32.42578125" style="150" bestFit="1" customWidth="1"/>
    <col min="15620" max="15620" width="12.28515625" style="150" bestFit="1" customWidth="1"/>
    <col min="15621" max="15622" width="13.28515625" style="150" bestFit="1" customWidth="1"/>
    <col min="15623" max="15624" width="12.28515625" style="150" bestFit="1" customWidth="1"/>
    <col min="15625" max="15625" width="13.28515625" style="150" bestFit="1" customWidth="1"/>
    <col min="15626" max="15626" width="10.140625" style="150" bestFit="1" customWidth="1"/>
    <col min="15627" max="15627" width="9.85546875" style="150" bestFit="1" customWidth="1"/>
    <col min="15628" max="15628" width="10.140625" style="150" bestFit="1" customWidth="1"/>
    <col min="15629" max="15629" width="11" style="150" bestFit="1" customWidth="1"/>
    <col min="15630" max="15630" width="8.85546875" style="150" bestFit="1" customWidth="1"/>
    <col min="15631" max="15631" width="9.85546875" style="150" bestFit="1" customWidth="1"/>
    <col min="15632" max="15873" width="8.7109375" style="150"/>
    <col min="15874" max="15874" width="3.85546875" style="150" bestFit="1" customWidth="1"/>
    <col min="15875" max="15875" width="32.42578125" style="150" bestFit="1" customWidth="1"/>
    <col min="15876" max="15876" width="12.28515625" style="150" bestFit="1" customWidth="1"/>
    <col min="15877" max="15878" width="13.28515625" style="150" bestFit="1" customWidth="1"/>
    <col min="15879" max="15880" width="12.28515625" style="150" bestFit="1" customWidth="1"/>
    <col min="15881" max="15881" width="13.28515625" style="150" bestFit="1" customWidth="1"/>
    <col min="15882" max="15882" width="10.140625" style="150" bestFit="1" customWidth="1"/>
    <col min="15883" max="15883" width="9.85546875" style="150" bestFit="1" customWidth="1"/>
    <col min="15884" max="15884" width="10.140625" style="150" bestFit="1" customWidth="1"/>
    <col min="15885" max="15885" width="11" style="150" bestFit="1" customWidth="1"/>
    <col min="15886" max="15886" width="8.85546875" style="150" bestFit="1" customWidth="1"/>
    <col min="15887" max="15887" width="9.85546875" style="150" bestFit="1" customWidth="1"/>
    <col min="15888" max="16129" width="8.7109375" style="150"/>
    <col min="16130" max="16130" width="3.85546875" style="150" bestFit="1" customWidth="1"/>
    <col min="16131" max="16131" width="32.42578125" style="150" bestFit="1" customWidth="1"/>
    <col min="16132" max="16132" width="12.28515625" style="150" bestFit="1" customWidth="1"/>
    <col min="16133" max="16134" width="13.28515625" style="150" bestFit="1" customWidth="1"/>
    <col min="16135" max="16136" width="12.28515625" style="150" bestFit="1" customWidth="1"/>
    <col min="16137" max="16137" width="13.28515625" style="150" bestFit="1" customWidth="1"/>
    <col min="16138" max="16138" width="10.140625" style="150" bestFit="1" customWidth="1"/>
    <col min="16139" max="16139" width="9.85546875" style="150" bestFit="1" customWidth="1"/>
    <col min="16140" max="16140" width="10.140625" style="150" bestFit="1" customWidth="1"/>
    <col min="16141" max="16141" width="11" style="150" bestFit="1" customWidth="1"/>
    <col min="16142" max="16142" width="8.85546875" style="150" bestFit="1" customWidth="1"/>
    <col min="16143" max="16143" width="9.85546875" style="150" bestFit="1" customWidth="1"/>
    <col min="16144" max="16384" width="8.7109375" style="150"/>
  </cols>
  <sheetData>
    <row r="1" spans="1:15" ht="15.75" thickBot="1" x14ac:dyDescent="0.3">
      <c r="A1" s="147"/>
      <c r="B1" s="148" t="s">
        <v>829</v>
      </c>
      <c r="C1" s="149"/>
      <c r="D1" s="149"/>
      <c r="E1" s="149"/>
    </row>
    <row r="2" spans="1:15" x14ac:dyDescent="0.25">
      <c r="A2" s="147"/>
      <c r="B2" s="148" t="s">
        <v>831</v>
      </c>
      <c r="C2" s="147"/>
      <c r="D2" s="151" t="s">
        <v>830</v>
      </c>
      <c r="E2" s="152"/>
      <c r="F2" s="152"/>
      <c r="G2" s="152"/>
      <c r="H2" s="153"/>
      <c r="I2" s="152"/>
      <c r="J2" s="152"/>
      <c r="K2" s="152"/>
      <c r="L2" s="152"/>
      <c r="M2" s="152"/>
    </row>
    <row r="3" spans="1:15" x14ac:dyDescent="0.25">
      <c r="A3" s="147"/>
      <c r="B3" s="148" t="s">
        <v>859</v>
      </c>
      <c r="C3" s="147"/>
      <c r="D3" s="154" t="s">
        <v>832</v>
      </c>
      <c r="E3" s="155" t="s">
        <v>316</v>
      </c>
      <c r="F3" s="155" t="s">
        <v>317</v>
      </c>
      <c r="G3" s="155" t="s">
        <v>317</v>
      </c>
      <c r="H3" s="155" t="s">
        <v>317</v>
      </c>
      <c r="I3" s="155" t="s">
        <v>320</v>
      </c>
      <c r="J3" s="155" t="s">
        <v>320</v>
      </c>
      <c r="K3" s="155" t="s">
        <v>320</v>
      </c>
      <c r="L3" s="155" t="s">
        <v>321</v>
      </c>
      <c r="M3" s="155" t="s">
        <v>318</v>
      </c>
    </row>
    <row r="4" spans="1:15" x14ac:dyDescent="0.25">
      <c r="A4" s="149" t="s">
        <v>0</v>
      </c>
      <c r="B4" s="147"/>
      <c r="C4" s="147"/>
      <c r="D4" s="154" t="s">
        <v>833</v>
      </c>
      <c r="E4" s="155"/>
      <c r="F4" s="155" t="s">
        <v>834</v>
      </c>
      <c r="G4" s="155" t="s">
        <v>682</v>
      </c>
      <c r="H4" s="155" t="s">
        <v>682</v>
      </c>
      <c r="I4" s="155" t="s">
        <v>835</v>
      </c>
      <c r="J4" s="155" t="s">
        <v>836</v>
      </c>
      <c r="K4" s="155" t="s">
        <v>801</v>
      </c>
      <c r="L4" s="155"/>
      <c r="M4" s="155"/>
    </row>
    <row r="5" spans="1:15" ht="15.75" thickBot="1" x14ac:dyDescent="0.3">
      <c r="A5" s="156" t="s">
        <v>7</v>
      </c>
      <c r="B5" s="156" t="s">
        <v>837</v>
      </c>
      <c r="C5" s="156"/>
      <c r="D5" s="157" t="s">
        <v>860</v>
      </c>
      <c r="E5" s="158"/>
      <c r="F5" s="158"/>
      <c r="G5" s="158" t="s">
        <v>835</v>
      </c>
      <c r="H5" s="158" t="s">
        <v>836</v>
      </c>
      <c r="I5" s="158"/>
      <c r="J5" s="158"/>
      <c r="K5" s="158"/>
      <c r="L5" s="158"/>
      <c r="M5" s="158"/>
    </row>
    <row r="6" spans="1:15" x14ac:dyDescent="0.25">
      <c r="A6" s="147"/>
      <c r="B6" s="147"/>
      <c r="C6" s="147"/>
      <c r="D6" s="147"/>
      <c r="E6" s="147"/>
    </row>
    <row r="7" spans="1:15" x14ac:dyDescent="0.25">
      <c r="A7" s="149">
        <v>1</v>
      </c>
      <c r="B7" s="159" t="s">
        <v>838</v>
      </c>
      <c r="C7" s="159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</row>
    <row r="8" spans="1:15" x14ac:dyDescent="0.25">
      <c r="A8" s="149">
        <v>2</v>
      </c>
      <c r="B8" s="159" t="s">
        <v>839</v>
      </c>
      <c r="C8" s="161"/>
      <c r="D8" s="162">
        <f ca="1">SUM(E8:M8)</f>
        <v>6143214595.4627438</v>
      </c>
      <c r="E8" s="162">
        <f ca="1">+Distribution!K95+Distribution!K147+Distribution!K153+Distribution!K168+Meter!K95+Meter!K147+Meter!K153+Meter!K168+TDCustSvc!K95+TDCustSvc!K147+TDCustSvc!K153+TDCustSvc!K168</f>
        <v>3551886498.1472793</v>
      </c>
      <c r="F8" s="162">
        <f ca="1">+Distribution!L95+Distribution!L147+Distribution!L153+Distribution!L168+Meter!L95+Meter!L147+Meter!L153+Meter!L168+TDCustSvc!L95+TDCustSvc!L147+TDCustSvc!L153+TDCustSvc!L168</f>
        <v>162472865.83997098</v>
      </c>
      <c r="G8" s="162">
        <f ca="1">+Distribution!N95+Distribution!N147+Distribution!N153+Distribution!N168+Meter!N95+Meter!N147+Meter!N153+Meter!N168+TDCustSvc!N95+TDCustSvc!N147+TDCustSvc!N153+TDCustSvc!N168</f>
        <v>221302513.20078069</v>
      </c>
      <c r="H8" s="162">
        <f ca="1">+Distribution!O95+Distribution!O147+Distribution!O153+Distribution!O168+Meter!O95+Meter!O147+Meter!O153+Meter!O168+TDCustSvc!O95+TDCustSvc!O147+TDCustSvc!O153+TDCustSvc!O168</f>
        <v>1537895353.8100822</v>
      </c>
      <c r="I8" s="162">
        <f ca="1">+Distribution!Q95+Distribution!Q147+Distribution!Q153+Distribution!Q168+Meter!Q95+Meter!Q147+Meter!Q153+Meter!Q168+TDCustSvc!Q95+TDCustSvc!Q147+TDCustSvc!Q153+TDCustSvc!Q168</f>
        <v>304283961.66155964</v>
      </c>
      <c r="J8" s="162">
        <f ca="1">+Distribution!R95+Distribution!R147+Distribution!R153+Distribution!R168+Meter!R95+Meter!R147+Meter!R153+Meter!R168+TDCustSvc!R95+TDCustSvc!R147+TDCustSvc!R153+TDCustSvc!R168</f>
        <v>27019023.435533781</v>
      </c>
      <c r="K8" s="162">
        <f ca="1">+Distribution!S95+Distribution!S147+Distribution!S153+Distribution!S168+Meter!S95+Meter!S147+Meter!S153+Meter!S168+TDCustSvc!S95+TDCustSvc!S147+TDCustSvc!S153+TDCustSvc!S168</f>
        <v>47677521.077679895</v>
      </c>
      <c r="L8" s="162">
        <f ca="1">+Distribution!T95+Distribution!T147+Distribution!T153+Distribution!T168+Meter!T95+Meter!T147+Meter!T153+Meter!T168+TDCustSvc!T95+TDCustSvc!T147+TDCustSvc!T153+TDCustSvc!T168</f>
        <v>8870181.8973891698</v>
      </c>
      <c r="M8" s="162">
        <f ca="1">+Distribution!U95+Distribution!U147+Distribution!U153+Distribution!U168+Meter!U95+Meter!U147+Meter!U153+Meter!U168+TDCustSvc!U95+TDCustSvc!U147+TDCustSvc!U153+TDCustSvc!U168</f>
        <v>281806676.3924672</v>
      </c>
      <c r="N8" s="162"/>
    </row>
    <row r="9" spans="1:15" ht="15.75" thickBot="1" x14ac:dyDescent="0.3">
      <c r="A9" s="149">
        <v>3</v>
      </c>
      <c r="B9" s="159" t="s">
        <v>840</v>
      </c>
      <c r="C9" s="159"/>
      <c r="D9" s="163">
        <f ca="1">SUM(E9:M9)</f>
        <v>1575395347.6465847</v>
      </c>
      <c r="E9" s="163">
        <f ca="1">+Distribution!K190+Distribution!K226+Distribution!K235+Distribution!K241+Meter!K190+Meter!K226+Meter!K235+Meter!K241+TDCustSvc!K190+TDCustSvc!K226+TDCustSvc!K235+TDCustSvc!K241</f>
        <v>911162932.59845781</v>
      </c>
      <c r="F9" s="163">
        <f ca="1">+Distribution!L190+Distribution!L226+Distribution!L235+Distribution!L241+Meter!L190+Meter!L226+Meter!L235+Meter!L241+TDCustSvc!L190+TDCustSvc!L226+TDCustSvc!L235+TDCustSvc!L241</f>
        <v>51074146.722840704</v>
      </c>
      <c r="G9" s="163">
        <f ca="1">+Distribution!N190+Distribution!N226+Distribution!N235+Distribution!N241+Meter!N190+Meter!N226+Meter!N235+Meter!N241+TDCustSvc!N190+TDCustSvc!N226+TDCustSvc!N235+TDCustSvc!N241</f>
        <v>49669212.894002512</v>
      </c>
      <c r="H9" s="163">
        <f ca="1">+Distribution!O190+Distribution!O226+Distribution!O235+Distribution!O241+Meter!O190+Meter!O226+Meter!O235+Meter!O241+TDCustSvc!O190+TDCustSvc!O226+TDCustSvc!O235+TDCustSvc!O241</f>
        <v>376156651.39748961</v>
      </c>
      <c r="I9" s="163">
        <f ca="1">+Distribution!Q190+Distribution!Q226+Distribution!Q235+Distribution!Q241+Meter!Q190+Meter!Q226+Meter!Q235+Meter!Q241+TDCustSvc!Q190+TDCustSvc!Q226+TDCustSvc!Q235+TDCustSvc!Q241</f>
        <v>69302422.859703019</v>
      </c>
      <c r="J9" s="163">
        <f ca="1">+Distribution!R190+Distribution!R226+Distribution!R235+Distribution!R241+Meter!R190+Meter!R226+Meter!R235+Meter!R241+TDCustSvc!R190+TDCustSvc!R226+TDCustSvc!R235+TDCustSvc!R241</f>
        <v>7565776.9649404325</v>
      </c>
      <c r="K9" s="163">
        <f ca="1">+Distribution!S190+Distribution!S226+Distribution!S235+Distribution!S241+Meter!S190+Meter!S226+Meter!S235+Meter!S241+TDCustSvc!S190+TDCustSvc!S226+TDCustSvc!S235+TDCustSvc!S241</f>
        <v>10840892.862505</v>
      </c>
      <c r="L9" s="163">
        <f ca="1">+Distribution!T190+Distribution!T226+Distribution!T235+Distribution!T241+Meter!T190+Meter!T226+Meter!T235+Meter!T241+TDCustSvc!T190+TDCustSvc!T226+TDCustSvc!T235+TDCustSvc!T241</f>
        <v>4525310.0477991356</v>
      </c>
      <c r="M9" s="163">
        <f ca="1">+Distribution!U190+Distribution!U226+Distribution!U235+Distribution!U241+Meter!U190+Meter!U226+Meter!U235+Meter!U241+TDCustSvc!U190+TDCustSvc!U226+TDCustSvc!U235+TDCustSvc!U241</f>
        <v>95098001.298846543</v>
      </c>
      <c r="N9" s="162"/>
    </row>
    <row r="10" spans="1:15" x14ac:dyDescent="0.25">
      <c r="A10" s="149">
        <v>4</v>
      </c>
      <c r="B10" s="159" t="s">
        <v>841</v>
      </c>
      <c r="C10" s="159"/>
      <c r="D10" s="164">
        <f ca="1">D8-D9</f>
        <v>4567819247.8161592</v>
      </c>
      <c r="E10" s="164">
        <f ca="1">E8-E9</f>
        <v>2640723565.5488214</v>
      </c>
      <c r="F10" s="162">
        <f t="shared" ref="F10:M10" ca="1" si="0">F8-F9</f>
        <v>111398719.11713028</v>
      </c>
      <c r="G10" s="162">
        <f t="shared" ca="1" si="0"/>
        <v>171633300.30677819</v>
      </c>
      <c r="H10" s="162">
        <f t="shared" ca="1" si="0"/>
        <v>1161738702.4125926</v>
      </c>
      <c r="I10" s="162">
        <f t="shared" ca="1" si="0"/>
        <v>234981538.80185664</v>
      </c>
      <c r="J10" s="162">
        <f t="shared" ca="1" si="0"/>
        <v>19453246.470593348</v>
      </c>
      <c r="K10" s="162">
        <f t="shared" ca="1" si="0"/>
        <v>36836628.215174899</v>
      </c>
      <c r="L10" s="162">
        <f t="shared" ca="1" si="0"/>
        <v>4344871.8495900342</v>
      </c>
      <c r="M10" s="162">
        <f t="shared" ca="1" si="0"/>
        <v>186708675.09362066</v>
      </c>
      <c r="N10" s="162"/>
    </row>
    <row r="11" spans="1:15" x14ac:dyDescent="0.25">
      <c r="A11" s="149">
        <v>5</v>
      </c>
      <c r="B11" s="147"/>
      <c r="C11" s="147"/>
      <c r="D11" s="147"/>
      <c r="E11" s="147"/>
      <c r="F11" s="162"/>
      <c r="G11" s="162"/>
      <c r="H11" s="162"/>
      <c r="I11" s="162"/>
      <c r="J11" s="162"/>
      <c r="K11" s="162"/>
      <c r="L11" s="162"/>
      <c r="M11" s="162"/>
      <c r="N11" s="147"/>
    </row>
    <row r="12" spans="1:15" ht="15.75" thickBot="1" x14ac:dyDescent="0.3">
      <c r="A12" s="149">
        <v>6</v>
      </c>
      <c r="B12" s="159" t="s">
        <v>842</v>
      </c>
      <c r="C12" s="159"/>
      <c r="D12" s="163">
        <f ca="1">SUM(E12:M12)</f>
        <v>-571452363.97249424</v>
      </c>
      <c r="E12" s="163">
        <f ca="1">+Distribution!K306+Meter!K306+TDCustSvc!K306</f>
        <v>-331394538.29859799</v>
      </c>
      <c r="F12" s="163">
        <f ca="1">+Distribution!L306+Meter!L306+TDCustSvc!L306</f>
        <v>-14979996.738804299</v>
      </c>
      <c r="G12" s="163">
        <f ca="1">+Distribution!N306+Meter!N306+TDCustSvc!N306</f>
        <v>-20599318.555340149</v>
      </c>
      <c r="H12" s="163">
        <f ca="1">+Distribution!O306+Meter!O306+TDCustSvc!O306</f>
        <v>-142007836.39473802</v>
      </c>
      <c r="I12" s="163">
        <f ca="1">+Distribution!Q306+Meter!Q306+TDCustSvc!Q306</f>
        <v>-27875810.154040322</v>
      </c>
      <c r="J12" s="163">
        <f ca="1">+Distribution!R306+Meter!R306+TDCustSvc!R306</f>
        <v>-2376424.0939323711</v>
      </c>
      <c r="K12" s="163">
        <f ca="1">+Distribution!S306+Meter!S306+TDCustSvc!S306</f>
        <v>-4369003.0942686191</v>
      </c>
      <c r="L12" s="163">
        <f ca="1">+Distribution!T306+Meter!T306+TDCustSvc!T306</f>
        <v>-636541.23485037184</v>
      </c>
      <c r="M12" s="163">
        <f ca="1">+Distribution!U306+Meter!U306+TDCustSvc!U306</f>
        <v>-27212895.40792216</v>
      </c>
      <c r="N12" s="162"/>
    </row>
    <row r="13" spans="1:15" x14ac:dyDescent="0.25">
      <c r="A13" s="149">
        <v>7</v>
      </c>
      <c r="B13" s="147"/>
      <c r="C13" s="147"/>
      <c r="D13" s="147"/>
      <c r="E13" s="147"/>
      <c r="F13" s="162"/>
      <c r="G13" s="162"/>
      <c r="H13" s="162"/>
      <c r="I13" s="162"/>
      <c r="J13" s="162"/>
      <c r="K13" s="162"/>
      <c r="L13" s="162"/>
      <c r="M13" s="162"/>
      <c r="N13" s="147"/>
    </row>
    <row r="14" spans="1:15" ht="15.75" thickBot="1" x14ac:dyDescent="0.3">
      <c r="A14" s="149">
        <v>8</v>
      </c>
      <c r="B14" s="159" t="s">
        <v>843</v>
      </c>
      <c r="C14" s="159" t="s">
        <v>844</v>
      </c>
      <c r="D14" s="163">
        <f ca="1">D10+D12</f>
        <v>3996366883.8436651</v>
      </c>
      <c r="E14" s="163">
        <f ca="1">E10+E12</f>
        <v>2309329027.2502236</v>
      </c>
      <c r="F14" s="163">
        <f t="shared" ref="F14:M14" ca="1" si="1">F10+F12</f>
        <v>96418722.378325984</v>
      </c>
      <c r="G14" s="163">
        <f t="shared" ca="1" si="1"/>
        <v>151033981.75143805</v>
      </c>
      <c r="H14" s="163">
        <f t="shared" ca="1" si="1"/>
        <v>1019730866.0178547</v>
      </c>
      <c r="I14" s="163">
        <f t="shared" ca="1" si="1"/>
        <v>207105728.6478163</v>
      </c>
      <c r="J14" s="163">
        <f t="shared" ca="1" si="1"/>
        <v>17076822.376660977</v>
      </c>
      <c r="K14" s="163">
        <f t="shared" ca="1" si="1"/>
        <v>32467625.120906278</v>
      </c>
      <c r="L14" s="163">
        <f t="shared" ca="1" si="1"/>
        <v>3708330.6147396625</v>
      </c>
      <c r="M14" s="163">
        <f t="shared" ca="1" si="1"/>
        <v>159495779.68569851</v>
      </c>
      <c r="N14" s="162"/>
    </row>
    <row r="15" spans="1:15" ht="15.75" thickBot="1" x14ac:dyDescent="0.3">
      <c r="A15" s="149">
        <v>9</v>
      </c>
      <c r="B15" s="159" t="s">
        <v>845</v>
      </c>
      <c r="C15" s="159" t="s">
        <v>846</v>
      </c>
      <c r="D15" s="165">
        <f>+'II-I TOTAL COMPANY'!$H$58</f>
        <v>7.1754999999999999E-2</v>
      </c>
      <c r="E15" s="165">
        <f>+'II-I TOTAL COMPANY'!$H$58</f>
        <v>7.1754999999999999E-2</v>
      </c>
      <c r="F15" s="166">
        <f>+'II-I TOTAL COMPANY'!$H$58</f>
        <v>7.1754999999999999E-2</v>
      </c>
      <c r="G15" s="166">
        <f>+'II-I TOTAL COMPANY'!$H$58</f>
        <v>7.1754999999999999E-2</v>
      </c>
      <c r="H15" s="166">
        <f>+'II-I TOTAL COMPANY'!$H$58</f>
        <v>7.1754999999999999E-2</v>
      </c>
      <c r="I15" s="166">
        <f>+'II-I TOTAL COMPANY'!$H$58</f>
        <v>7.1754999999999999E-2</v>
      </c>
      <c r="J15" s="166">
        <f>+'II-I TOTAL COMPANY'!$H$58</f>
        <v>7.1754999999999999E-2</v>
      </c>
      <c r="K15" s="166">
        <f>+'II-I TOTAL COMPANY'!$H$58</f>
        <v>7.1754999999999999E-2</v>
      </c>
      <c r="L15" s="166">
        <f>+'II-I TOTAL COMPANY'!$H$58</f>
        <v>7.1754999999999999E-2</v>
      </c>
      <c r="M15" s="166">
        <f>+'II-I TOTAL COMPANY'!$H$58</f>
        <v>7.1754999999999999E-2</v>
      </c>
      <c r="N15" s="165"/>
    </row>
    <row r="16" spans="1:15" ht="15.75" thickBot="1" x14ac:dyDescent="0.3">
      <c r="A16" s="149">
        <v>10</v>
      </c>
      <c r="B16" s="159" t="s">
        <v>847</v>
      </c>
      <c r="C16" s="159"/>
      <c r="D16" s="167">
        <f t="shared" ref="D16:M16" ca="1" si="2">ROUND(D14*D15,2)</f>
        <v>286759305.75</v>
      </c>
      <c r="E16" s="167">
        <f t="shared" ca="1" si="2"/>
        <v>165705904.34999999</v>
      </c>
      <c r="F16" s="163">
        <f t="shared" ca="1" si="2"/>
        <v>6918525.4199999999</v>
      </c>
      <c r="G16" s="163">
        <f t="shared" ca="1" si="2"/>
        <v>10837443.359999999</v>
      </c>
      <c r="H16" s="163">
        <f t="shared" ca="1" si="2"/>
        <v>73170788.290000007</v>
      </c>
      <c r="I16" s="163">
        <f t="shared" ca="1" si="2"/>
        <v>14860871.560000001</v>
      </c>
      <c r="J16" s="163">
        <f t="shared" ca="1" si="2"/>
        <v>1225347.3899999999</v>
      </c>
      <c r="K16" s="163">
        <f t="shared" ca="1" si="2"/>
        <v>2329714.44</v>
      </c>
      <c r="L16" s="163">
        <f t="shared" ca="1" si="2"/>
        <v>266091.26</v>
      </c>
      <c r="M16" s="163">
        <f t="shared" ca="1" si="2"/>
        <v>11444619.67</v>
      </c>
      <c r="N16" s="162"/>
    </row>
    <row r="17" spans="1:17" x14ac:dyDescent="0.25">
      <c r="A17" s="149">
        <v>11</v>
      </c>
      <c r="B17" s="147"/>
      <c r="C17" s="147"/>
      <c r="D17" s="147"/>
      <c r="E17" s="147"/>
      <c r="F17" s="162"/>
      <c r="G17" s="162"/>
      <c r="H17" s="162"/>
      <c r="I17" s="162"/>
      <c r="J17" s="162"/>
      <c r="K17" s="162"/>
      <c r="L17" s="162"/>
      <c r="M17" s="162"/>
      <c r="N17" s="147"/>
    </row>
    <row r="18" spans="1:17" x14ac:dyDescent="0.25">
      <c r="A18" s="149">
        <v>12</v>
      </c>
      <c r="B18" s="159" t="s">
        <v>848</v>
      </c>
      <c r="C18" s="159" t="s">
        <v>849</v>
      </c>
      <c r="D18" s="162">
        <f ca="1">SUM(E18:M18)</f>
        <v>213421004.85809961</v>
      </c>
      <c r="E18" s="162">
        <f ca="1">+Distribution!K535+Distribution!K568+Distribution!K573+Distribution!K579+Meter!K535+Meter!K568+Meter!K573+Meter!K579+TDCustSvc!K535+TDCustSvc!K568+TDCustSvc!K573+TDCustSvc!K579</f>
        <v>122631058.45249298</v>
      </c>
      <c r="F18" s="162">
        <f ca="1">+Distribution!L535+Distribution!L568+Distribution!L573+Distribution!L579+Meter!L535+Meter!L568+Meter!L573+Meter!L579+TDCustSvc!L535+TDCustSvc!L568+TDCustSvc!L573+TDCustSvc!L579</f>
        <v>5595771.2122472683</v>
      </c>
      <c r="G18" s="162">
        <f ca="1">+Distribution!N535+Distribution!N568+Distribution!N573+Distribution!N579+Meter!N535+Meter!N568+Meter!N573+Meter!N579+TDCustSvc!N535+TDCustSvc!N568+TDCustSvc!N573+TDCustSvc!N579</f>
        <v>7880163.9986397699</v>
      </c>
      <c r="H18" s="162">
        <f ca="1">+Distribution!O535+Distribution!O568+Distribution!O573+Distribution!O579+Meter!O535+Meter!O568+Meter!O573+Meter!O579+TDCustSvc!O535+TDCustSvc!O568+TDCustSvc!O573+TDCustSvc!O579</f>
        <v>55318459.560500987</v>
      </c>
      <c r="I18" s="162">
        <f ca="1">+Distribution!Q535+Distribution!Q568+Distribution!Q573+Distribution!Q579+Meter!Q535+Meter!Q568+Meter!Q573+Meter!Q579+TDCustSvc!Q535+TDCustSvc!Q568+TDCustSvc!Q573+TDCustSvc!Q579</f>
        <v>10777909.984193917</v>
      </c>
      <c r="J18" s="162">
        <f ca="1">+Distribution!R535+Distribution!R568+Distribution!R573+Distribution!R579+Meter!R535+Meter!R568+Meter!R573+Meter!R579+TDCustSvc!R535+TDCustSvc!R568+TDCustSvc!R573+TDCustSvc!R579</f>
        <v>1052594.1158316666</v>
      </c>
      <c r="K18" s="162">
        <f ca="1">+Distribution!S535+Distribution!S568+Distribution!S573+Distribution!S579+Meter!S535+Meter!S568+Meter!S573+Meter!S579+TDCustSvc!S535+TDCustSvc!S568+TDCustSvc!S573+TDCustSvc!S579</f>
        <v>1687588.0117499365</v>
      </c>
      <c r="L18" s="162">
        <f ca="1">+Distribution!T535+Distribution!T568+Distribution!T573+Distribution!T579+Meter!T535+Meter!T568+Meter!T573+Meter!T579+TDCustSvc!T535+TDCustSvc!T568+TDCustSvc!T573+TDCustSvc!T579</f>
        <v>483827.7035098687</v>
      </c>
      <c r="M18" s="162">
        <f ca="1">+Distribution!U535+Distribution!U568+Distribution!U573+Distribution!U579+Meter!U535+Meter!U568+Meter!U573+Meter!U579+TDCustSvc!U535+TDCustSvc!U568+TDCustSvc!U573+TDCustSvc!U579</f>
        <v>7993631.8189332215</v>
      </c>
      <c r="N18" s="162"/>
    </row>
    <row r="19" spans="1:17" x14ac:dyDescent="0.25">
      <c r="A19" s="149">
        <v>13</v>
      </c>
      <c r="B19" s="159" t="s">
        <v>850</v>
      </c>
      <c r="C19" s="159" t="s">
        <v>851</v>
      </c>
      <c r="D19" s="162">
        <f ca="1">SUM(E19:M19)</f>
        <v>57546916.046835393</v>
      </c>
      <c r="E19" s="162">
        <f ca="1">+Distribution!K606+Distribution!K608+Meter!K606+Meter!K608+TDCustSvc!K606+TDCustSvc!K608</f>
        <v>33280655.573147502</v>
      </c>
      <c r="F19" s="162">
        <f ca="1">+Distribution!L606+Distribution!L608+Meter!L606+Meter!L608+TDCustSvc!L606+TDCustSvc!L608</f>
        <v>1439467.9074111246</v>
      </c>
      <c r="G19" s="162">
        <f ca="1">+Distribution!N606+Distribution!N608+Meter!N606+Meter!N608+TDCustSvc!N606+TDCustSvc!N608</f>
        <v>2145517.0501484526</v>
      </c>
      <c r="H19" s="162">
        <f ca="1">+Distribution!O606+Distribution!O608+Meter!O606+Meter!O608+TDCustSvc!O606+TDCustSvc!O608</f>
        <v>14638015.95287214</v>
      </c>
      <c r="I19" s="162">
        <f ca="1">+Distribution!Q606+Distribution!Q608+Meter!Q606+Meter!Q608+TDCustSvc!Q606+TDCustSvc!Q608</f>
        <v>2979592.5670091165</v>
      </c>
      <c r="J19" s="162">
        <f ca="1">+Distribution!R606+Distribution!R608+Meter!R606+Meter!R608+TDCustSvc!R606+TDCustSvc!R608</f>
        <v>254922.57809503973</v>
      </c>
      <c r="K19" s="162">
        <f ca="1">+Distribution!S606+Distribution!S608+Meter!S606+Meter!S608+TDCustSvc!S606+TDCustSvc!S608</f>
        <v>466996.52432524523</v>
      </c>
      <c r="L19" s="162">
        <f ca="1">+Distribution!T606+Distribution!T608+Meter!T606+Meter!T608+TDCustSvc!T606+TDCustSvc!T608</f>
        <v>69557.261387245206</v>
      </c>
      <c r="M19" s="162">
        <f ca="1">+Distribution!U606+Distribution!U608+Meter!U606+Meter!U608+TDCustSvc!U606+TDCustSvc!U608</f>
        <v>2272190.6324395342</v>
      </c>
      <c r="N19" s="162"/>
    </row>
    <row r="20" spans="1:17" ht="15.75" thickBot="1" x14ac:dyDescent="0.3">
      <c r="A20" s="149">
        <v>14</v>
      </c>
      <c r="B20" s="159" t="s">
        <v>852</v>
      </c>
      <c r="C20" s="159" t="s">
        <v>853</v>
      </c>
      <c r="D20" s="163">
        <f ca="1">SUM(E20:M20)</f>
        <v>50167002.065932818</v>
      </c>
      <c r="E20" s="163">
        <f ca="1">+Distribution!K640+Distribution!K643+Distribution!K644+Meter!K640+Meter!K643+Meter!K644+TDCustSvc!K640+TDCustSvc!K643+TDCustSvc!K644</f>
        <v>28976627.186267566</v>
      </c>
      <c r="F20" s="163">
        <f ca="1">+Distribution!L640+Distribution!L643+Distribution!L644+Meter!L640+Meter!L643+Meter!L644+TDCustSvc!L640+TDCustSvc!L643+TDCustSvc!L644</f>
        <v>1225669.9223377956</v>
      </c>
      <c r="G20" s="163">
        <f ca="1">+Distribution!N640+Distribution!N643+Distribution!N644+Meter!N640+Meter!N643+Meter!N644+TDCustSvc!N640+TDCustSvc!N643+TDCustSvc!N644</f>
        <v>1892310.8466819646</v>
      </c>
      <c r="H20" s="163">
        <f ca="1">+Distribution!O640+Distribution!O643+Distribution!O644+Meter!O640+Meter!O643+Meter!O644+TDCustSvc!O640+TDCustSvc!O643+TDCustSvc!O644</f>
        <v>12837754.595514407</v>
      </c>
      <c r="I20" s="163">
        <f ca="1">+Distribution!Q640+Distribution!Q643+Distribution!Q644+Meter!Q640+Meter!Q643+Meter!Q644+TDCustSvc!Q640+TDCustSvc!Q643+TDCustSvc!Q644</f>
        <v>2645229.5894486364</v>
      </c>
      <c r="J20" s="163">
        <f ca="1">+Distribution!R640+Distribution!R643+Distribution!R644+Meter!R640+Meter!R643+Meter!R644+TDCustSvc!R640+TDCustSvc!R643+TDCustSvc!R644</f>
        <v>223551.45743294599</v>
      </c>
      <c r="K20" s="163">
        <f ca="1">+Distribution!S640+Distribution!S643+Distribution!S644+Meter!S640+Meter!S643+Meter!S644+TDCustSvc!S640+TDCustSvc!S643+TDCustSvc!S644</f>
        <v>414622.38388435973</v>
      </c>
      <c r="L20" s="163">
        <f ca="1">+Distribution!T640+Distribution!T643+Distribution!T644+Meter!T640+Meter!T643+Meter!T644+TDCustSvc!T640+TDCustSvc!T643+TDCustSvc!T644</f>
        <v>56897.624335705055</v>
      </c>
      <c r="M20" s="163">
        <f ca="1">+Distribution!U640+Distribution!U643+Distribution!U644+Meter!U640+Meter!U643+Meter!U644+TDCustSvc!U640+TDCustSvc!U643+TDCustSvc!U644</f>
        <v>1894338.4600294295</v>
      </c>
      <c r="N20" s="162"/>
    </row>
    <row r="21" spans="1:17" x14ac:dyDescent="0.25">
      <c r="A21" s="149">
        <v>15</v>
      </c>
      <c r="B21" s="147"/>
      <c r="D21" s="147"/>
      <c r="E21" s="147"/>
      <c r="F21" s="162"/>
      <c r="G21" s="162"/>
      <c r="H21" s="162"/>
      <c r="I21" s="162"/>
      <c r="J21" s="162"/>
      <c r="K21" s="162"/>
      <c r="L21" s="162"/>
      <c r="M21" s="162"/>
      <c r="N21" s="147"/>
    </row>
    <row r="22" spans="1:17" ht="15.75" thickBot="1" x14ac:dyDescent="0.3">
      <c r="A22" s="149">
        <v>16</v>
      </c>
      <c r="B22" s="159" t="s">
        <v>854</v>
      </c>
      <c r="C22" s="159" t="s">
        <v>855</v>
      </c>
      <c r="D22" s="168">
        <f t="shared" ref="D22:M22" ca="1" si="3">D16+D18+D19+D20</f>
        <v>607894228.72086787</v>
      </c>
      <c r="E22" s="168">
        <f t="shared" ca="1" si="3"/>
        <v>350594245.56190801</v>
      </c>
      <c r="F22" s="168">
        <f t="shared" ca="1" si="3"/>
        <v>15179434.46199619</v>
      </c>
      <c r="G22" s="168">
        <f t="shared" ca="1" si="3"/>
        <v>22755435.255470186</v>
      </c>
      <c r="H22" s="168">
        <f t="shared" ca="1" si="3"/>
        <v>155965018.39888754</v>
      </c>
      <c r="I22" s="168">
        <f t="shared" ca="1" si="3"/>
        <v>31263603.700651668</v>
      </c>
      <c r="J22" s="168">
        <f t="shared" ca="1" si="3"/>
        <v>2756415.5413596523</v>
      </c>
      <c r="K22" s="168">
        <f t="shared" ca="1" si="3"/>
        <v>4898921.3599595418</v>
      </c>
      <c r="L22" s="168">
        <f t="shared" ca="1" si="3"/>
        <v>876373.84923281893</v>
      </c>
      <c r="M22" s="168">
        <f t="shared" ca="1" si="3"/>
        <v>23604780.581402186</v>
      </c>
      <c r="N22" s="162"/>
    </row>
    <row r="23" spans="1:17" ht="15.75" thickTop="1" x14ac:dyDescent="0.25">
      <c r="A23" s="149">
        <v>17</v>
      </c>
    </row>
    <row r="24" spans="1:17" x14ac:dyDescent="0.25">
      <c r="A24" s="149">
        <v>18</v>
      </c>
      <c r="D24" s="169"/>
    </row>
    <row r="25" spans="1:17" x14ac:dyDescent="0.25">
      <c r="A25" s="149">
        <v>19</v>
      </c>
      <c r="C25" s="159" t="s">
        <v>856</v>
      </c>
      <c r="D25" s="162">
        <f ca="1">D14</f>
        <v>3996366883.8436651</v>
      </c>
      <c r="E25" s="162">
        <f ca="1">E14</f>
        <v>2309329027.2502236</v>
      </c>
      <c r="F25" s="162">
        <f t="shared" ref="F25:M25" ca="1" si="4">F14</f>
        <v>96418722.378325984</v>
      </c>
      <c r="G25" s="162">
        <f t="shared" ca="1" si="4"/>
        <v>151033981.75143805</v>
      </c>
      <c r="H25" s="162">
        <f t="shared" ca="1" si="4"/>
        <v>1019730866.0178547</v>
      </c>
      <c r="I25" s="162">
        <f t="shared" ca="1" si="4"/>
        <v>207105728.6478163</v>
      </c>
      <c r="J25" s="162">
        <f t="shared" ca="1" si="4"/>
        <v>17076822.376660977</v>
      </c>
      <c r="K25" s="162">
        <f t="shared" ca="1" si="4"/>
        <v>32467625.120906278</v>
      </c>
      <c r="L25" s="162">
        <f t="shared" ca="1" si="4"/>
        <v>3708330.6147396625</v>
      </c>
      <c r="M25" s="162">
        <f t="shared" ca="1" si="4"/>
        <v>159495779.68569851</v>
      </c>
    </row>
    <row r="26" spans="1:17" x14ac:dyDescent="0.25">
      <c r="A26" s="149">
        <v>20</v>
      </c>
      <c r="D26" s="169"/>
      <c r="E26" s="165">
        <f ca="1">E25/$D$25</f>
        <v>0.57785711231525727</v>
      </c>
      <c r="F26" s="165">
        <f t="shared" ref="F26:M26" ca="1" si="5">F25/$D$25</f>
        <v>2.4126594274445454E-2</v>
      </c>
      <c r="G26" s="165">
        <f t="shared" ca="1" si="5"/>
        <v>3.7792821865788036E-2</v>
      </c>
      <c r="H26" s="165">
        <f t="shared" ca="1" si="5"/>
        <v>0.25516447705048739</v>
      </c>
      <c r="I26" s="165">
        <f t="shared" ca="1" si="5"/>
        <v>5.182350236288219E-2</v>
      </c>
      <c r="J26" s="165">
        <f t="shared" ca="1" si="5"/>
        <v>4.2730867492918123E-3</v>
      </c>
      <c r="K26" s="165">
        <f t="shared" ca="1" si="5"/>
        <v>8.124285398361436E-3</v>
      </c>
      <c r="L26" s="165">
        <f t="shared" ca="1" si="5"/>
        <v>9.2792546893818409E-4</v>
      </c>
      <c r="M26" s="165">
        <f t="shared" ca="1" si="5"/>
        <v>3.9910194514547942E-2</v>
      </c>
    </row>
    <row r="27" spans="1:17" x14ac:dyDescent="0.25">
      <c r="D27" s="169"/>
    </row>
    <row r="28" spans="1:17" x14ac:dyDescent="0.25"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</row>
    <row r="29" spans="1:17" x14ac:dyDescent="0.25"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</row>
    <row r="30" spans="1:17" x14ac:dyDescent="0.25"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</row>
    <row r="31" spans="1:17" x14ac:dyDescent="0.25"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</row>
    <row r="32" spans="1:17" x14ac:dyDescent="0.25"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</row>
  </sheetData>
  <pageMargins left="0.7" right="0.7" top="0.75" bottom="0.75" header="0.3" footer="0.3"/>
  <pageSetup scale="69" orientation="landscape" r:id="rId1"/>
  <headerFooter>
    <oddHeader>&amp;RDocket No. 56165
&amp;F
&amp;A
Page &amp;P of &amp;N</oddHeader>
    <oddFooter>&amp;LSponsored by: Earlyne Reynolds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+PGVsZW1lbnQgdWlkPSI5MzZlMjJkNS00NWE3LTRjYjctOTVhYi0xYWE4YzdjODg3ODk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+Q09SUFxkODk3NzM3PC9Vc2VyTmFtZT48RGF0ZVRpbWU+MS81LzIwMjQgNDo1NDo0NiBQTTwvRGF0ZVRpbWU+PExhYmVsU3RyaW5nPlVuY2F0ZWdvcml6ZWQ8L0xhYmVsU3RyaW5nPjwvaXRlbT48L2xhYmVsSGlzdG9yeT4=</Value>
</WrappedLabelHistory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39407116-E5DE-4CCC-A243-9A817689042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6D4FF79F-48E4-466F-817F-ECE3D9DA98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33EF79-19A9-4D09-9D9A-81B33C955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F75C748-A8A3-45F3-BFED-6B3F9EA7DF6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15</vt:i4>
      </vt:variant>
    </vt:vector>
  </HeadingPairs>
  <TitlesOfParts>
    <vt:vector size="26" baseType="lpstr">
      <vt:lpstr>II-I-1</vt:lpstr>
      <vt:lpstr>II-I-2</vt:lpstr>
      <vt:lpstr>II-I-2.c</vt:lpstr>
      <vt:lpstr>II-I-2.f</vt:lpstr>
      <vt:lpstr>II-I TOTAL COMPANY</vt:lpstr>
      <vt:lpstr>Juris Alloc Split</vt:lpstr>
      <vt:lpstr>Retail Summary Proposed</vt:lpstr>
      <vt:lpstr>Distribution</vt:lpstr>
      <vt:lpstr>Meter</vt:lpstr>
      <vt:lpstr>TDCustSvc</vt:lpstr>
      <vt:lpstr>DCRF</vt:lpstr>
      <vt:lpstr>Distribution!Print_Area</vt:lpstr>
      <vt:lpstr>'II-I TOTAL COMPANY'!Print_Area</vt:lpstr>
      <vt:lpstr>'Juris Alloc Split'!Print_Area</vt:lpstr>
      <vt:lpstr>Meter!Print_Area</vt:lpstr>
      <vt:lpstr>'Retail Summary Proposed'!Print_Area</vt:lpstr>
      <vt:lpstr>TDCustSvc!Print_Area</vt:lpstr>
      <vt:lpstr>Distribution!Print_Titles</vt:lpstr>
      <vt:lpstr>'II-I TOTAL COMPANY'!Print_Titles</vt:lpstr>
      <vt:lpstr>'II-I-2'!Print_Titles</vt:lpstr>
      <vt:lpstr>'II-I-2.c'!Print_Titles</vt:lpstr>
      <vt:lpstr>'II-I-2.f'!Print_Titles</vt:lpstr>
      <vt:lpstr>'Juris Alloc Split'!Print_Titles</vt:lpstr>
      <vt:lpstr>Meter!Print_Titles</vt:lpstr>
      <vt:lpstr>'Retail Summary Proposed'!Print_Titles</vt:lpstr>
      <vt:lpstr>TDCustSvc!Print_Titles</vt:lpstr>
    </vt:vector>
  </TitlesOfParts>
  <Company>Central and South West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 and South West</dc:creator>
  <cp:keywords/>
  <cp:lastModifiedBy>s254353</cp:lastModifiedBy>
  <cp:lastPrinted>2024-02-27T19:03:04Z</cp:lastPrinted>
  <dcterms:created xsi:type="dcterms:W3CDTF">2000-01-29T15:54:25Z</dcterms:created>
  <dcterms:modified xsi:type="dcterms:W3CDTF">2024-02-27T19:05:04Z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78892e09-1a8c-49bc-b299-ba8b3852552a</vt:lpwstr>
  </property>
  <property fmtid="{D5CDD505-2E9C-101B-9397-08002B2CF9AE}" pid="3" name="bjSaver">
    <vt:lpwstr>s0CFOxPpaCrub5jyFhmO+1P/cuv0nSox</vt:lpwstr>
  </property>
  <property fmtid="{D5CDD505-2E9C-101B-9397-08002B2CF9AE}" pid="4" name="bjDocumentSecurityLabel">
    <vt:lpwstr>Uncategorized</vt:lpwstr>
  </property>
  <property fmtid="{D5CDD505-2E9C-101B-9397-08002B2CF9AE}" pid="5" name="Visual Markings Removed">
    <vt:lpwstr>No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{39407116-E5DE-4CCC-A243-9A8176890420}</vt:lpwstr>
  </property>
</Properties>
</file>