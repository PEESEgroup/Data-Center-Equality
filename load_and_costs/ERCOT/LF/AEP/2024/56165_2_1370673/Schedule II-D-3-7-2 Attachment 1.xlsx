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14_{85DCEA76-2D15-4817-A122-B28A2681E6E8}" xr6:coauthVersionLast="47" xr6:coauthVersionMax="47" xr10:uidLastSave="{00000000-0000-0000-0000-000000000000}"/>
  <bookViews>
    <workbookView xWindow="780" yWindow="780" windowWidth="17160" windowHeight="14220" xr2:uid="{076A3333-EDED-46A5-89F8-DBFD88CDC068}"/>
  </bookViews>
  <sheets>
    <sheet name="TestYr Self Insured Claims Paid" sheetId="1" r:id="rId1"/>
  </sheets>
  <calcPr calcId="18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6" i="1"/>
  <c r="G7" i="1"/>
  <c r="G8" i="1"/>
  <c r="G9" i="1"/>
  <c r="G10" i="1"/>
  <c r="G11" i="1"/>
  <c r="G12" i="1"/>
  <c r="G13" i="1"/>
  <c r="G14" i="1"/>
  <c r="G15" i="1"/>
  <c r="G16" i="1"/>
  <c r="G5" i="1"/>
  <c r="D17" i="1"/>
  <c r="F17" i="1" l="1"/>
  <c r="F19" i="1" s="1"/>
  <c r="E17" i="1"/>
  <c r="D19" i="1" s="1"/>
  <c r="C17" i="1"/>
  <c r="B17" i="1"/>
  <c r="B19" i="1" l="1"/>
</calcChain>
</file>

<file path=xl/sharedStrings.xml><?xml version="1.0" encoding="utf-8"?>
<sst xmlns="http://schemas.openxmlformats.org/spreadsheetml/2006/main" count="10" uniqueCount="7">
  <si>
    <t>HEALTHCARE (1a)</t>
  </si>
  <si>
    <t>DENTAL (1b)</t>
  </si>
  <si>
    <t>LTD (1c)</t>
  </si>
  <si>
    <t>Total</t>
  </si>
  <si>
    <t>Active</t>
  </si>
  <si>
    <t>Retiree</t>
  </si>
  <si>
    <t>Retiee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</si>
</sst>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\-yy;@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1" applyBorder="1"/>
    <xf numFmtId="0" fontId="2" fillId="0" borderId="2" xfId="1" applyBorder="1"/>
    <xf numFmtId="0" fontId="2" fillId="0" borderId="3" xfId="1" applyBorder="1"/>
    <xf numFmtId="164" fontId="2" fillId="0" borderId="4" xfId="1" applyNumberFormat="1" applyBorder="1"/>
    <xf numFmtId="164" fontId="2" fillId="0" borderId="4" xfId="1" applyNumberFormat="1" applyBorder="1" applyAlignment="1">
      <alignment horizontal="center"/>
    </xf>
    <xf numFmtId="0" fontId="2" fillId="0" borderId="0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2" fillId="0" borderId="4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0" xfId="1" applyBorder="1" applyAlignment="1">
      <alignment vertical="center"/>
    </xf>
    <xf numFmtId="164" fontId="2" fillId="0" borderId="4" xfId="1" applyNumberFormat="1" applyBorder="1" applyAlignment="1">
      <alignment vertical="center"/>
    </xf>
    <xf numFmtId="0" fontId="2" fillId="0" borderId="7" xfId="1" applyBorder="1"/>
    <xf numFmtId="0" fontId="3" fillId="0" borderId="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2" fillId="0" borderId="12" xfId="1" applyBorder="1"/>
    <xf numFmtId="0" fontId="3" fillId="0" borderId="13" xfId="1" applyFont="1" applyBorder="1" applyAlignment="1">
      <alignment horizontal="center" vertical="center" wrapText="1"/>
    </xf>
    <xf numFmtId="0" fontId="2" fillId="0" borderId="14" xfId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3" fontId="2" fillId="0" borderId="0" xfId="1" applyNumberFormat="1" applyBorder="1" applyAlignment="1">
      <alignment horizontal="center"/>
    </xf>
    <xf numFmtId="3" fontId="2" fillId="0" borderId="10" xfId="1" applyNumberFormat="1" applyBorder="1" applyAlignment="1">
      <alignment horizontal="center"/>
    </xf>
    <xf numFmtId="3" fontId="2" fillId="0" borderId="3" xfId="1" applyNumberFormat="1" applyBorder="1" applyAlignment="1">
      <alignment vertical="center"/>
    </xf>
    <xf numFmtId="165" fontId="2" fillId="0" borderId="0" xfId="1" applyNumberForma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5" fontId="2" fillId="0" borderId="0" xfId="2" applyNumberFormat="1" applyFont="1" applyBorder="1" applyAlignment="1">
      <alignment horizontal="center" vertical="center"/>
    </xf>
    <xf numFmtId="165" fontId="2" fillId="0" borderId="4" xfId="1" applyNumberFormat="1" applyBorder="1" applyAlignment="1">
      <alignment horizontal="center"/>
    </xf>
    <xf numFmtId="165" fontId="2" fillId="0" borderId="3" xfId="1" applyNumberFormat="1" applyBorder="1" applyAlignment="1">
      <alignment horizontal="center"/>
    </xf>
    <xf numFmtId="165" fontId="2" fillId="0" borderId="14" xfId="1" applyNumberFormat="1" applyBorder="1" applyAlignment="1">
      <alignment horizontal="center"/>
    </xf>
    <xf numFmtId="165" fontId="2" fillId="0" borderId="9" xfId="1" applyNumberFormat="1" applyBorder="1" applyAlignment="1">
      <alignment horizontal="center"/>
    </xf>
    <xf numFmtId="165" fontId="2" fillId="0" borderId="8" xfId="1" applyNumberFormat="1" applyBorder="1" applyAlignment="1">
      <alignment horizontal="center"/>
    </xf>
  </cellXfs>
  <cellStyles count="3">
    <cellStyle name="Currency 2" xfId="2" xr:uid="{32401CB6-3397-4C5E-8D80-37D0E6AB4B68}"/>
    <cellStyle name="Normal" xfId="0" builtinId="0"/>
    <cellStyle name="Normal 2" xfId="1" xr:uid="{03669094-02C1-4032-9878-A3B310E0A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C1D9-04ED-4808-8C5D-364FB6B70DB4}">
  <dimension ref="A1:I20"/>
  <sheetViews>
    <sheetView tabSelected="1" view="pageLayout" zoomScaleNormal="100" workbookViewId="0">
      <selection activeCell="C10" sqref="C10"/>
    </sheetView>
  </sheetViews>
  <sheetFormatPr defaultRowHeight="15" x14ac:dyDescent="0.25"/>
  <cols>
    <col min="2" max="2" width="13.42578125" bestFit="1" customWidth="1"/>
    <col min="3" max="3" width="13.7109375" customWidth="1"/>
    <col min="4" max="4" width="11" bestFit="1" customWidth="1"/>
    <col min="5" max="5" width="9.42578125" bestFit="1" customWidth="1"/>
    <col min="6" max="6" width="12.28515625" customWidth="1"/>
    <col min="7" max="7" width="13.42578125" bestFit="1" customWidth="1"/>
  </cols>
  <sheetData>
    <row r="1" spans="1:9" x14ac:dyDescent="0.25">
      <c r="A1" s="9"/>
      <c r="B1" s="9"/>
      <c r="C1" s="8"/>
      <c r="D1" s="9"/>
      <c r="E1" s="8"/>
      <c r="F1" s="17"/>
      <c r="G1" s="8"/>
      <c r="H1" s="6"/>
      <c r="I1" s="6"/>
    </row>
    <row r="2" spans="1:9" x14ac:dyDescent="0.25">
      <c r="A2" s="7"/>
      <c r="B2" s="26" t="s">
        <v>0</v>
      </c>
      <c r="C2" s="27"/>
      <c r="D2" s="26" t="s">
        <v>1</v>
      </c>
      <c r="E2" s="27"/>
      <c r="F2" s="18" t="s">
        <v>2</v>
      </c>
      <c r="G2" s="15" t="s">
        <v>3</v>
      </c>
      <c r="H2" s="6"/>
      <c r="I2" s="6"/>
    </row>
    <row r="3" spans="1:9" x14ac:dyDescent="0.25">
      <c r="A3" s="7"/>
      <c r="B3" s="20" t="s">
        <v>4</v>
      </c>
      <c r="C3" s="21" t="s">
        <v>5</v>
      </c>
      <c r="D3" s="20" t="s">
        <v>4</v>
      </c>
      <c r="E3" s="21" t="s">
        <v>6</v>
      </c>
      <c r="F3" s="18" t="s">
        <v>4</v>
      </c>
      <c r="G3" s="16"/>
      <c r="H3" s="6"/>
      <c r="I3" s="6"/>
    </row>
    <row r="4" spans="1:9" x14ac:dyDescent="0.25">
      <c r="A4" s="7"/>
      <c r="B4" s="10"/>
      <c r="C4" s="11"/>
      <c r="D4" s="10"/>
      <c r="E4" s="11"/>
      <c r="F4" s="19"/>
      <c r="G4" s="3"/>
      <c r="H4" s="6"/>
      <c r="I4" s="6"/>
    </row>
    <row r="5" spans="1:9" x14ac:dyDescent="0.25">
      <c r="A5" s="5">
        <v>44865</v>
      </c>
      <c r="B5" s="29">
        <v>1494425.6200000003</v>
      </c>
      <c r="C5" s="29">
        <v>895983.05</v>
      </c>
      <c r="D5" s="29">
        <v>71959.26999999999</v>
      </c>
      <c r="E5" s="30">
        <v>63919.4</v>
      </c>
      <c r="F5" s="31">
        <v>75860.56</v>
      </c>
      <c r="G5" s="30">
        <f>SUM(B5:F5)</f>
        <v>2602147.9000000004</v>
      </c>
      <c r="H5" s="6"/>
      <c r="I5" s="6"/>
    </row>
    <row r="6" spans="1:9" x14ac:dyDescent="0.25">
      <c r="A6" s="5">
        <v>44895</v>
      </c>
      <c r="B6" s="29">
        <v>1477278.0400000003</v>
      </c>
      <c r="C6" s="29">
        <v>887387.51</v>
      </c>
      <c r="D6" s="29">
        <v>81936.14</v>
      </c>
      <c r="E6" s="30">
        <v>50504.61</v>
      </c>
      <c r="F6" s="31">
        <v>86268.77</v>
      </c>
      <c r="G6" s="30">
        <f t="shared" ref="G6:G16" si="0">SUM(B6:F6)</f>
        <v>2583375.0700000003</v>
      </c>
      <c r="H6" s="6"/>
      <c r="I6" s="6"/>
    </row>
    <row r="7" spans="1:9" x14ac:dyDescent="0.25">
      <c r="A7" s="5">
        <v>44926</v>
      </c>
      <c r="B7" s="29">
        <v>1603203.8</v>
      </c>
      <c r="C7" s="29">
        <v>925321.17</v>
      </c>
      <c r="D7" s="29">
        <v>100189.13000000002</v>
      </c>
      <c r="E7" s="30">
        <v>44956.58</v>
      </c>
      <c r="F7" s="31">
        <v>77158.14</v>
      </c>
      <c r="G7" s="30">
        <f t="shared" si="0"/>
        <v>2750828.8200000003</v>
      </c>
      <c r="H7" s="6"/>
      <c r="I7" s="6"/>
    </row>
    <row r="8" spans="1:9" x14ac:dyDescent="0.25">
      <c r="A8" s="5">
        <v>44957</v>
      </c>
      <c r="B8" s="29">
        <v>1720841.56</v>
      </c>
      <c r="C8" s="29">
        <v>1140179.29</v>
      </c>
      <c r="D8" s="29">
        <v>87202.52</v>
      </c>
      <c r="E8" s="30">
        <v>62970.060000000005</v>
      </c>
      <c r="F8" s="31">
        <v>80108.800000000003</v>
      </c>
      <c r="G8" s="30">
        <f t="shared" si="0"/>
        <v>3091302.23</v>
      </c>
      <c r="H8" s="6"/>
      <c r="I8" s="6"/>
    </row>
    <row r="9" spans="1:9" x14ac:dyDescent="0.25">
      <c r="A9" s="5">
        <v>44985</v>
      </c>
      <c r="B9" s="29">
        <v>1671615.3699999999</v>
      </c>
      <c r="C9" s="29">
        <v>693867.98000000021</v>
      </c>
      <c r="D9" s="29">
        <v>99305.700000000012</v>
      </c>
      <c r="E9" s="30">
        <v>53305.070000000007</v>
      </c>
      <c r="F9" s="31">
        <v>75303.939999999988</v>
      </c>
      <c r="G9" s="30">
        <f t="shared" si="0"/>
        <v>2593398.06</v>
      </c>
      <c r="H9" s="6"/>
      <c r="I9" s="6"/>
    </row>
    <row r="10" spans="1:9" x14ac:dyDescent="0.25">
      <c r="A10" s="5">
        <v>45016</v>
      </c>
      <c r="B10" s="29">
        <v>1106424.02</v>
      </c>
      <c r="C10" s="29">
        <v>698097.0500000004</v>
      </c>
      <c r="D10" s="29">
        <v>118759.87</v>
      </c>
      <c r="E10" s="30">
        <v>59275.06</v>
      </c>
      <c r="F10" s="31">
        <v>100924.68000000001</v>
      </c>
      <c r="G10" s="30">
        <f t="shared" si="0"/>
        <v>2083480.6800000004</v>
      </c>
      <c r="H10" s="6"/>
      <c r="I10" s="6"/>
    </row>
    <row r="11" spans="1:9" x14ac:dyDescent="0.25">
      <c r="A11" s="5">
        <v>45046</v>
      </c>
      <c r="B11" s="29">
        <v>1021517.2799999999</v>
      </c>
      <c r="C11" s="29">
        <v>861886.85</v>
      </c>
      <c r="D11" s="29">
        <v>86710.74</v>
      </c>
      <c r="E11" s="30">
        <v>62289.73</v>
      </c>
      <c r="F11" s="31">
        <v>76509.550000000017</v>
      </c>
      <c r="G11" s="30">
        <f t="shared" si="0"/>
        <v>2108914.15</v>
      </c>
      <c r="H11" s="6"/>
      <c r="I11" s="6"/>
    </row>
    <row r="12" spans="1:9" x14ac:dyDescent="0.25">
      <c r="A12" s="5">
        <v>45077</v>
      </c>
      <c r="B12" s="29">
        <v>1571523.0799999998</v>
      </c>
      <c r="C12" s="29">
        <v>895316.88</v>
      </c>
      <c r="D12" s="29">
        <v>96955.810000000012</v>
      </c>
      <c r="E12" s="30">
        <v>67871.3</v>
      </c>
      <c r="F12" s="31">
        <v>76895.170000000013</v>
      </c>
      <c r="G12" s="30">
        <f t="shared" si="0"/>
        <v>2708562.2399999998</v>
      </c>
      <c r="H12" s="6"/>
      <c r="I12" s="6"/>
    </row>
    <row r="13" spans="1:9" x14ac:dyDescent="0.25">
      <c r="A13" s="5">
        <v>45107</v>
      </c>
      <c r="B13" s="29">
        <v>1555347.8599999996</v>
      </c>
      <c r="C13" s="29">
        <v>813898.23000000021</v>
      </c>
      <c r="D13" s="29">
        <v>108274.73</v>
      </c>
      <c r="E13" s="30">
        <v>56083.17</v>
      </c>
      <c r="F13" s="31">
        <v>65097.910000000011</v>
      </c>
      <c r="G13" s="30">
        <f t="shared" si="0"/>
        <v>2598701.9</v>
      </c>
      <c r="H13" s="6"/>
      <c r="I13" s="6"/>
    </row>
    <row r="14" spans="1:9" x14ac:dyDescent="0.25">
      <c r="A14" s="5">
        <v>45138</v>
      </c>
      <c r="B14" s="29">
        <v>2006471.4200000002</v>
      </c>
      <c r="C14" s="29">
        <v>939026.53999999992</v>
      </c>
      <c r="D14" s="29">
        <v>94818.98</v>
      </c>
      <c r="E14" s="30">
        <v>48129.340000000004</v>
      </c>
      <c r="F14" s="31">
        <v>117056.4</v>
      </c>
      <c r="G14" s="30">
        <f t="shared" si="0"/>
        <v>3205502.6799999997</v>
      </c>
      <c r="H14" s="6"/>
      <c r="I14" s="6"/>
    </row>
    <row r="15" spans="1:9" x14ac:dyDescent="0.25">
      <c r="A15" s="5">
        <v>45169</v>
      </c>
      <c r="B15" s="29">
        <v>1982288.0099999998</v>
      </c>
      <c r="C15" s="29">
        <v>1015235.79</v>
      </c>
      <c r="D15" s="29">
        <v>99410.87</v>
      </c>
      <c r="E15" s="30">
        <v>55072.32</v>
      </c>
      <c r="F15" s="31">
        <v>36644.329999999994</v>
      </c>
      <c r="G15" s="30">
        <f t="shared" si="0"/>
        <v>3188651.32</v>
      </c>
      <c r="H15" s="6"/>
      <c r="I15" s="6"/>
    </row>
    <row r="16" spans="1:9" x14ac:dyDescent="0.25">
      <c r="A16" s="5">
        <v>45199</v>
      </c>
      <c r="B16" s="29">
        <v>1734287</v>
      </c>
      <c r="C16" s="29">
        <v>886559.00000000023</v>
      </c>
      <c r="D16" s="29">
        <v>79198.64</v>
      </c>
      <c r="E16" s="30">
        <v>48871.37</v>
      </c>
      <c r="F16" s="31">
        <v>10892.17</v>
      </c>
      <c r="G16" s="30">
        <f t="shared" si="0"/>
        <v>2759808.18</v>
      </c>
      <c r="H16" s="6"/>
      <c r="I16" s="6"/>
    </row>
    <row r="17" spans="1:9" ht="15.75" thickBot="1" x14ac:dyDescent="0.3">
      <c r="A17" s="4"/>
      <c r="B17" s="32">
        <f t="shared" ref="B17:G17" si="1">SUM(B5:B16)</f>
        <v>18945223.060000002</v>
      </c>
      <c r="C17" s="33">
        <f t="shared" si="1"/>
        <v>10652759.34</v>
      </c>
      <c r="D17" s="32">
        <f t="shared" si="1"/>
        <v>1124722.3999999999</v>
      </c>
      <c r="E17" s="33">
        <f t="shared" si="1"/>
        <v>673248.00999999989</v>
      </c>
      <c r="F17" s="33">
        <f t="shared" si="1"/>
        <v>878720.42000000016</v>
      </c>
      <c r="G17" s="33">
        <f>SUM(G5:G16)</f>
        <v>32274673.229999997</v>
      </c>
      <c r="H17" s="6"/>
      <c r="I17" s="6"/>
    </row>
    <row r="18" spans="1:9" ht="15.75" thickTop="1" x14ac:dyDescent="0.25">
      <c r="A18" s="4"/>
      <c r="B18" s="22"/>
      <c r="C18" s="22"/>
      <c r="D18" s="22"/>
      <c r="E18" s="22"/>
      <c r="F18" s="22"/>
      <c r="G18" s="23"/>
      <c r="H18" s="6"/>
      <c r="I18" s="6"/>
    </row>
    <row r="19" spans="1:9" x14ac:dyDescent="0.25">
      <c r="A19" s="13" t="s">
        <v>3</v>
      </c>
      <c r="B19" s="28">
        <f>SUM(B17:C17)</f>
        <v>29597982.400000002</v>
      </c>
      <c r="C19" s="28"/>
      <c r="D19" s="28">
        <f>SUM(D17:E17)</f>
        <v>1797970.4099999997</v>
      </c>
      <c r="E19" s="28"/>
      <c r="F19" s="25">
        <f>F17</f>
        <v>878720.42000000016</v>
      </c>
      <c r="G19" s="24"/>
      <c r="H19" s="12"/>
      <c r="I19" s="12"/>
    </row>
    <row r="20" spans="1:9" x14ac:dyDescent="0.25">
      <c r="A20" s="14"/>
      <c r="B20" s="2"/>
      <c r="C20" s="2"/>
      <c r="D20" s="2"/>
      <c r="E20" s="2"/>
      <c r="F20" s="2"/>
      <c r="G20" s="1"/>
      <c r="H20" s="6"/>
      <c r="I20" s="6"/>
    </row>
  </sheetData>
  <mergeCells count="4">
    <mergeCell ref="B2:C2"/>
    <mergeCell ref="D2:E2"/>
    <mergeCell ref="B19:C19"/>
    <mergeCell ref="D19:E19"/>
  </mergeCells>
  <printOptions horizontalCentered="1" verticalCentered="1"/>
  <pageMargins left="0.7" right="0.7" top="1.1875" bottom="0.75" header="0.3" footer="0.3"/>
  <pageSetup orientation="portrait" r:id="rId1"/>
  <headerFooter>
    <oddHeader>&amp;CPUBLIC UTILITY COMMISSION OF TEXAS
AEP TEXAS INC
SELF INSURED PLANS - CLAIMS PAYMENT SUMMARY
TEST YEAR ENDING 09/30/2023&amp;RDocket No: 56165
Schedule II-D-3-7-2
Attachment 1</oddHeader>
    <oddFooter>&amp;LSponsored by: Andrew R. Carlin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joyODo1MyBQTTwvRGF0ZVRpbWU+PExhYmVsU3RyaW5nPlVuY2F0ZWdvcml6ZWQ8L0xhYmVsU3RyaW5nPjwvaXRlbT48L2xhYmVsSGlzdG9yeT4=</Value>
</WrappedLabelHistor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4DEB799C-6129-46B8-95B6-5E444329A2BD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FA7B92DC-0877-4248-AAB1-B8006FA0F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7D45BC-2CED-4651-A8AA-5325FF176D5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03CAC5-D02F-44C2-99E2-E3E6DFC18796}">
  <ds:schemaRefs>
    <ds:schemaRef ds:uri="http://schemas.openxmlformats.org/package/2006/metadata/core-properties"/>
    <ds:schemaRef ds:uri="a1040523-5304-4b09-b6d4-64a124c994e2"/>
    <ds:schemaRef ds:uri="http://purl.org/dc/elements/1.1/"/>
    <ds:schemaRef ds:uri="http://purl.org/dc/dcmitype/"/>
    <ds:schemaRef ds:uri="5b640fb8-5a34-41c1-9307-1b790ff29a8b"/>
    <ds:schemaRef ds:uri="http://purl.org/dc/terms/"/>
    <ds:schemaRef ds:uri="http://schemas.microsoft.com/office/2006/documentManagement/types"/>
    <ds:schemaRef ds:uri="http://schemas.microsoft.com/sharepoint/v3"/>
    <ds:schemaRef ds:uri="51831b8d-857f-44dd-949b-652450d1a5df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4D5E95B4-31C1-4E34-9B9D-F086A232173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TestYr Self Insured Claims Paid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2024-02-19T05:40:29Z</cp:lastPrinted>
  <dcterms:created xsi:type="dcterms:W3CDTF">2024-02-12T18:22:27Z</dcterms:created>
  <dcterms:modified xsi:type="dcterms:W3CDTF">2024-02-25T16:45:22Z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86e688c7-06c4-48df-9a36-9de8f394bc70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{4DEB799C-6129-46B8-95B6-5E444329A2BD}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