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aepenergy.sharepoint.com/sites/regsvcs/Regulatory Base Cases/AEP Texas/2024 Base Rate Case/Testimony Drafts/18. Andy Carlin/Exhibits/"/>
    </mc:Choice>
  </mc:AlternateContent>
  <xr:revisionPtr revIDLastSave="3" documentId="13_ncr:1_{4E855B9F-74B2-4CC1-AF9F-38080DFDDE60}" xr6:coauthVersionLast="47" xr6:coauthVersionMax="47" xr10:uidLastSave="{65C9229B-4FB4-44A2-8EAE-E2197CB5D848}"/>
  <bookViews>
    <workbookView xWindow="-108" yWindow="-108" windowWidth="41496" windowHeight="16776" activeTab="2" xr2:uid="{00000000-000D-0000-FFFF-FFFF00000000}"/>
  </bookViews>
  <sheets>
    <sheet name="Exec" sheetId="11" r:id="rId1"/>
    <sheet name="Exec Chart1" sheetId="5" r:id="rId2"/>
    <sheet name="Exec Graph Data" sheetId="6" r:id="rId3"/>
  </sheets>
  <definedNames>
    <definedName name="_xlnm._FilterDatabase" localSheetId="2" hidden="1">'Exec Graph Data'!$A$2:$D$18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11" l="1"/>
  <c r="E15" i="11" s="1"/>
  <c r="G15" i="11" s="1"/>
  <c r="I4" i="11"/>
  <c r="L4" i="11"/>
  <c r="N4" i="11"/>
  <c r="R15" i="11" l="1"/>
  <c r="M15" i="11"/>
  <c r="K15" i="11"/>
  <c r="Q15" i="11" l="1"/>
  <c r="P15" i="11"/>
  <c r="M19" i="11"/>
  <c r="K19" i="11"/>
  <c r="M10" i="11"/>
  <c r="K10" i="11"/>
  <c r="M8" i="11"/>
  <c r="K8" i="11"/>
  <c r="R11" i="11" l="1"/>
  <c r="R9" i="11"/>
  <c r="R8" i="11"/>
  <c r="R7" i="11"/>
  <c r="M11" i="11"/>
  <c r="K11" i="11"/>
  <c r="M9" i="11"/>
  <c r="K9" i="11"/>
  <c r="M7" i="11"/>
  <c r="K7" i="11"/>
  <c r="K4" i="11"/>
  <c r="K12" i="11"/>
  <c r="M14" i="11"/>
  <c r="M12" i="11"/>
  <c r="M18" i="11"/>
  <c r="M17" i="11"/>
  <c r="M13" i="11"/>
  <c r="M16" i="11"/>
  <c r="M5" i="11"/>
  <c r="K14" i="11"/>
  <c r="K18" i="11"/>
  <c r="K17" i="11"/>
  <c r="K13" i="11"/>
  <c r="K16" i="11"/>
  <c r="K5" i="11"/>
  <c r="K6" i="11" l="1"/>
  <c r="D11" i="11"/>
  <c r="E11" i="11" s="1"/>
  <c r="D9" i="11"/>
  <c r="E9" i="11" s="1"/>
  <c r="R10" i="11"/>
  <c r="D7" i="6" s="1"/>
  <c r="D10" i="11"/>
  <c r="E10" i="11" s="1"/>
  <c r="D8" i="11"/>
  <c r="E8" i="11" s="1"/>
  <c r="D7" i="11"/>
  <c r="E7" i="11" s="1"/>
  <c r="M4" i="11"/>
  <c r="M6" i="11"/>
  <c r="R12" i="11"/>
  <c r="D17" i="11"/>
  <c r="E17" i="11" s="1"/>
  <c r="G17" i="11" s="1"/>
  <c r="D13" i="11"/>
  <c r="E13" i="11" s="1"/>
  <c r="G13" i="11" s="1"/>
  <c r="D6" i="11"/>
  <c r="E6" i="11" s="1"/>
  <c r="G6" i="11" s="1"/>
  <c r="D5" i="11"/>
  <c r="E5" i="11" s="1"/>
  <c r="G5" i="11" s="1"/>
  <c r="D4" i="11"/>
  <c r="E4" i="11" s="1"/>
  <c r="G4" i="11" s="1"/>
  <c r="Q11" i="11" l="1"/>
  <c r="G11" i="11"/>
  <c r="P11" i="11" s="1"/>
  <c r="Q9" i="11"/>
  <c r="G9" i="11"/>
  <c r="P9" i="11" s="1"/>
  <c r="G10" i="11"/>
  <c r="P10" i="11" s="1"/>
  <c r="Q10" i="11"/>
  <c r="Q7" i="11"/>
  <c r="G7" i="11"/>
  <c r="P7" i="11" s="1"/>
  <c r="Q8" i="11"/>
  <c r="G8" i="11"/>
  <c r="P8" i="11" s="1"/>
  <c r="D16" i="11"/>
  <c r="E16" i="11" s="1"/>
  <c r="G16" i="11" s="1"/>
  <c r="D18" i="11"/>
  <c r="E18" i="11" s="1"/>
  <c r="G18" i="11" s="1"/>
  <c r="D12" i="11"/>
  <c r="E12" i="11" s="1"/>
  <c r="D14" i="11"/>
  <c r="E14" i="11" s="1"/>
  <c r="G14" i="11" s="1"/>
  <c r="D19" i="11"/>
  <c r="E19" i="11" s="1"/>
  <c r="G19" i="11" s="1"/>
  <c r="B7" i="6" l="1"/>
  <c r="C7" i="6"/>
  <c r="G12" i="11"/>
  <c r="P12" i="11" s="1"/>
  <c r="Q12" i="11"/>
  <c r="R19" i="11"/>
  <c r="R14" i="11"/>
  <c r="R18" i="11"/>
  <c r="R17" i="11"/>
  <c r="R13" i="11"/>
  <c r="R16" i="11"/>
  <c r="R6" i="11"/>
  <c r="D4" i="6" s="1"/>
  <c r="R5" i="11"/>
  <c r="D16" i="6" s="1"/>
  <c r="R4" i="11"/>
  <c r="D3" i="6" s="1"/>
  <c r="Q19" i="11"/>
  <c r="P14" i="11"/>
  <c r="P18" i="11"/>
  <c r="B12" i="6" s="1"/>
  <c r="P17" i="11"/>
  <c r="P13" i="11"/>
  <c r="P16" i="11"/>
  <c r="P6" i="11"/>
  <c r="P5" i="11"/>
  <c r="B16" i="6" s="1"/>
  <c r="B18" i="6" l="1"/>
  <c r="B6" i="6"/>
  <c r="D9" i="6"/>
  <c r="B4" i="6"/>
  <c r="D12" i="6"/>
  <c r="D8" i="6"/>
  <c r="B8" i="6"/>
  <c r="D17" i="6"/>
  <c r="D6" i="6"/>
  <c r="D13" i="6"/>
  <c r="D15" i="6"/>
  <c r="B10" i="6"/>
  <c r="D18" i="6"/>
  <c r="D11" i="6"/>
  <c r="B11" i="6"/>
  <c r="D10" i="6"/>
  <c r="Q5" i="11"/>
  <c r="Q17" i="11"/>
  <c r="C15" i="6" s="1"/>
  <c r="P4" i="11"/>
  <c r="B3" i="6" s="1"/>
  <c r="Q14" i="11"/>
  <c r="Q6" i="11"/>
  <c r="C4" i="6" s="1"/>
  <c r="Q4" i="11"/>
  <c r="Q16" i="11"/>
  <c r="Q13" i="11"/>
  <c r="Q18" i="11"/>
  <c r="C8" i="6" s="1"/>
  <c r="B13" i="6"/>
  <c r="P19" i="11"/>
  <c r="B17" i="6" s="1"/>
  <c r="C9" i="6" l="1"/>
  <c r="C16" i="6"/>
  <c r="C3" i="6"/>
  <c r="C17" i="6"/>
  <c r="C6" i="6"/>
  <c r="B15" i="6"/>
  <c r="C11" i="6"/>
  <c r="C12" i="6"/>
  <c r="B9" i="6"/>
  <c r="C18" i="6"/>
  <c r="C13" i="6"/>
  <c r="C10" i="6"/>
  <c r="C5" i="6"/>
  <c r="C14" i="6" l="1"/>
  <c r="D5" i="6"/>
  <c r="D14" i="6"/>
  <c r="B5" i="6" l="1"/>
  <c r="B14" i="6"/>
  <c r="Q21" i="11"/>
  <c r="R21" i="11"/>
  <c r="P21" i="11"/>
</calcChain>
</file>

<file path=xl/sharedStrings.xml><?xml version="1.0" encoding="utf-8"?>
<sst xmlns="http://schemas.openxmlformats.org/spreadsheetml/2006/main" count="63" uniqueCount="41">
  <si>
    <t>Target TCC</t>
  </si>
  <si>
    <t>Base</t>
  </si>
  <si>
    <t>Notes:</t>
  </si>
  <si>
    <t>Market Low</t>
  </si>
  <si>
    <t>Market Median Compensation</t>
  </si>
  <si>
    <t>Market Max</t>
  </si>
  <si>
    <t>Market Competitive Range</t>
  </si>
  <si>
    <r>
      <t>AEP Incumbent Data ($000)</t>
    </r>
    <r>
      <rPr>
        <b/>
        <vertAlign val="superscript"/>
        <sz val="10"/>
        <rFont val="Arial"/>
        <family val="2"/>
      </rPr>
      <t>(1)</t>
    </r>
  </si>
  <si>
    <r>
      <t>Survey Results ($000)</t>
    </r>
    <r>
      <rPr>
        <b/>
        <vertAlign val="superscript"/>
        <sz val="10"/>
        <rFont val="Arial"/>
        <family val="2"/>
      </rPr>
      <t>(2)</t>
    </r>
  </si>
  <si>
    <t>% Difference AEP Target TC vs Survey Target TC</t>
  </si>
  <si>
    <t>% Difference AEP Target TCC vs Survey TC</t>
  </si>
  <si>
    <t>% Difference AEP Base vs Survey TC</t>
  </si>
  <si>
    <t>AEP Job</t>
  </si>
  <si>
    <t>Base Salary</t>
  </si>
  <si>
    <t>Target STI %</t>
  </si>
  <si>
    <t>Target STI $</t>
  </si>
  <si>
    <t>Target LTI</t>
  </si>
  <si>
    <t>Target TC</t>
  </si>
  <si>
    <t>E16</t>
  </si>
  <si>
    <t>AEP Target TC vs. Survey Target TC</t>
  </si>
  <si>
    <t>AEP Target TCC vs. Survey Target TC</t>
  </si>
  <si>
    <t>AEP Target Base vs. Survey Target TC</t>
  </si>
  <si>
    <t>E9</t>
  </si>
  <si>
    <t>(3) Position benchmarked at 75th percentile</t>
  </si>
  <si>
    <t>(4) A market competitive range of +/- 15 percent has been used for all executive positions.</t>
  </si>
  <si>
    <t>(1) AEP data as of September 30, 2023</t>
  </si>
  <si>
    <t>(2) Median AEP Compensation Peer Group data from April 1, 2023 Towers Watson Energy Services Executive Survey, Towers Watson General Industry Executive Survey, or proxy filings (unless otherwise noted), in either case aged to September 30, 2023 at 4% annual rate.</t>
  </si>
  <si>
    <t>E5</t>
  </si>
  <si>
    <t>E8</t>
  </si>
  <si>
    <t>E12</t>
  </si>
  <si>
    <t>E15</t>
  </si>
  <si>
    <t>E1</t>
  </si>
  <si>
    <t>E2</t>
  </si>
  <si>
    <t>E3</t>
  </si>
  <si>
    <t>E4</t>
  </si>
  <si>
    <r>
      <t>E6</t>
    </r>
    <r>
      <rPr>
        <vertAlign val="superscript"/>
        <sz val="10"/>
        <color theme="1"/>
        <rFont val="Arial"/>
        <family val="2"/>
      </rPr>
      <t xml:space="preserve"> (3)</t>
    </r>
  </si>
  <si>
    <t>E7</t>
  </si>
  <si>
    <r>
      <t xml:space="preserve">E10 </t>
    </r>
    <r>
      <rPr>
        <vertAlign val="superscript"/>
        <sz val="10"/>
        <color theme="1"/>
        <rFont val="Arial"/>
        <family val="2"/>
      </rPr>
      <t>(3)</t>
    </r>
  </si>
  <si>
    <t>E11</t>
  </si>
  <si>
    <r>
      <t>E13</t>
    </r>
    <r>
      <rPr>
        <vertAlign val="superscript"/>
        <sz val="10"/>
        <color theme="1"/>
        <rFont val="Arial"/>
        <family val="2"/>
      </rPr>
      <t xml:space="preserve"> (3)</t>
    </r>
  </si>
  <si>
    <t>E14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</si>
</sst>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11" x14ac:knownFonts="1">
    <font>
      <sz val="11"/>
      <color theme="1"/>
      <name val="Calibri"/>
      <family val="2"/>
      <scheme val="minor"/>
    </font>
    <font>
      <sz val="11"/>
      <color theme="1"/>
      <name val="Calibri"/>
      <family val="2"/>
      <scheme val="minor"/>
    </font>
    <font>
      <sz val="10"/>
      <color theme="1"/>
      <name val="Arial"/>
      <family val="2"/>
    </font>
    <font>
      <b/>
      <sz val="10"/>
      <name val="Arial"/>
      <family val="2"/>
    </font>
    <font>
      <b/>
      <vertAlign val="superscript"/>
      <sz val="10"/>
      <name val="Arial"/>
      <family val="2"/>
    </font>
    <font>
      <sz val="10"/>
      <name val="Arial"/>
      <family val="2"/>
    </font>
    <font>
      <b/>
      <sz val="10"/>
      <color theme="1"/>
      <name val="Arial"/>
      <family val="2"/>
    </font>
    <font>
      <b/>
      <u/>
      <sz val="10"/>
      <name val="Arial"/>
      <family val="2"/>
    </font>
    <font>
      <sz val="10"/>
      <color rgb="FFFF0000"/>
      <name val="Arial"/>
      <family val="2"/>
    </font>
    <font>
      <vertAlign val="superscript"/>
      <sz val="10"/>
      <color theme="1"/>
      <name val="Arial"/>
      <family val="2"/>
    </font>
    <font>
      <b/>
      <sz val="10"/>
      <color rgb="FFFF0000"/>
      <name val="Arial"/>
      <family val="2"/>
    </font>
  </fonts>
  <fills count="2">
    <fill>
      <patternFill patternType="none"/>
    </fill>
    <fill>
      <patternFill patternType="gray125"/>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5" fillId="0" borderId="0"/>
  </cellStyleXfs>
  <cellXfs count="51">
    <xf numFmtId="0" fontId="0" fillId="0" borderId="0" xfId="0"/>
    <xf numFmtId="0" fontId="2" fillId="0" borderId="0" xfId="0" applyFont="1"/>
    <xf numFmtId="164" fontId="2" fillId="0" borderId="0" xfId="0" applyNumberFormat="1" applyFont="1" applyFill="1"/>
    <xf numFmtId="165" fontId="2" fillId="0" borderId="0" xfId="1" applyNumberFormat="1" applyFont="1"/>
    <xf numFmtId="0" fontId="2" fillId="0" borderId="0" xfId="0" applyFont="1" applyFill="1"/>
    <xf numFmtId="0" fontId="7" fillId="0" borderId="4" xfId="2" applyFont="1" applyBorder="1"/>
    <xf numFmtId="0" fontId="3" fillId="0" borderId="4" xfId="2" applyFont="1" applyBorder="1" applyAlignment="1">
      <alignment horizontal="center" wrapText="1"/>
    </xf>
    <xf numFmtId="0" fontId="5" fillId="0" borderId="0" xfId="2"/>
    <xf numFmtId="165" fontId="5" fillId="0" borderId="0" xfId="2" applyNumberFormat="1" applyFont="1" applyAlignment="1">
      <alignment horizontal="center"/>
    </xf>
    <xf numFmtId="0" fontId="3" fillId="0" borderId="4" xfId="0" applyFont="1" applyBorder="1" applyAlignment="1">
      <alignment horizontal="center" wrapText="1"/>
    </xf>
    <xf numFmtId="0" fontId="3" fillId="0" borderId="0" xfId="0" applyFont="1" applyFill="1" applyBorder="1" applyAlignment="1">
      <alignment horizontal="center" vertical="center" wrapText="1"/>
    </xf>
    <xf numFmtId="0" fontId="5" fillId="0" borderId="0" xfId="0" applyFont="1"/>
    <xf numFmtId="0" fontId="3" fillId="0" borderId="0" xfId="0" applyFont="1" applyBorder="1" applyAlignment="1">
      <alignment horizontal="center"/>
    </xf>
    <xf numFmtId="0" fontId="3" fillId="0" borderId="5" xfId="0" applyFont="1" applyBorder="1" applyAlignment="1">
      <alignment horizontal="center"/>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2" fillId="0" borderId="0" xfId="0" applyFont="1" applyFill="1" applyAlignment="1">
      <alignment vertical="center"/>
    </xf>
    <xf numFmtId="164" fontId="2" fillId="0" borderId="0" xfId="0" applyNumberFormat="1" applyFont="1" applyFill="1" applyAlignment="1">
      <alignment horizontal="right"/>
    </xf>
    <xf numFmtId="165" fontId="2" fillId="0" borderId="0" xfId="1" applyNumberFormat="1" applyFont="1" applyFill="1"/>
    <xf numFmtId="165" fontId="6" fillId="0" borderId="0" xfId="1" applyNumberFormat="1" applyFont="1"/>
    <xf numFmtId="0" fontId="5" fillId="0" borderId="0" xfId="0" applyFont="1" applyAlignment="1"/>
    <xf numFmtId="0" fontId="2" fillId="0" borderId="0" xfId="0" applyFont="1" applyAlignment="1"/>
    <xf numFmtId="0" fontId="2" fillId="0" borderId="0" xfId="0" applyFont="1" applyAlignment="1">
      <alignment horizontal="left"/>
    </xf>
    <xf numFmtId="0" fontId="5" fillId="0" borderId="0" xfId="0" applyFont="1" applyAlignment="1">
      <alignment horizontal="left" vertical="top"/>
    </xf>
    <xf numFmtId="0" fontId="5" fillId="0" borderId="0" xfId="0" applyFont="1" applyAlignment="1">
      <alignment horizontal="left" vertical="top" wrapText="1"/>
    </xf>
    <xf numFmtId="0" fontId="8" fillId="0" borderId="0" xfId="0" applyFont="1"/>
    <xf numFmtId="0" fontId="2" fillId="0" borderId="0" xfId="0" applyFont="1" applyFill="1"/>
    <xf numFmtId="165" fontId="2" fillId="0" borderId="0" xfId="1" applyNumberFormat="1" applyFont="1" applyFill="1"/>
    <xf numFmtId="165" fontId="2" fillId="0" borderId="0" xfId="1" applyNumberFormat="1" applyFont="1" applyFill="1" applyAlignment="1">
      <alignment horizontal="right"/>
    </xf>
    <xf numFmtId="0" fontId="3" fillId="0" borderId="4" xfId="2" applyFont="1" applyBorder="1" applyAlignment="1">
      <alignment horizontal="center" vertical="center" wrapText="1"/>
    </xf>
    <xf numFmtId="0" fontId="3" fillId="0" borderId="3" xfId="2" applyFont="1" applyBorder="1" applyAlignment="1">
      <alignment horizontal="center" vertical="center" wrapText="1"/>
    </xf>
    <xf numFmtId="9" fontId="2" fillId="0" borderId="0" xfId="1" applyFont="1" applyFill="1" applyAlignment="1">
      <alignment horizontal="right"/>
    </xf>
    <xf numFmtId="9" fontId="2" fillId="0" borderId="0" xfId="1" applyNumberFormat="1" applyFont="1" applyFill="1" applyAlignment="1">
      <alignment horizontal="right"/>
    </xf>
    <xf numFmtId="0" fontId="7" fillId="0" borderId="0" xfId="0" applyFont="1" applyFill="1"/>
    <xf numFmtId="0" fontId="3" fillId="0" borderId="0" xfId="0" applyFont="1" applyFill="1"/>
    <xf numFmtId="0" fontId="3" fillId="0" borderId="4" xfId="0" applyFont="1" applyFill="1" applyBorder="1" applyAlignment="1">
      <alignment horizontal="center" vertical="center"/>
    </xf>
    <xf numFmtId="0" fontId="3" fillId="0" borderId="1" xfId="0" applyFont="1" applyFill="1" applyBorder="1" applyAlignment="1">
      <alignment horizontal="center" vertical="center" wrapText="1"/>
    </xf>
    <xf numFmtId="0" fontId="5" fillId="0" borderId="0" xfId="0" applyFont="1" applyFill="1"/>
    <xf numFmtId="0" fontId="10" fillId="0" borderId="0" xfId="0" applyFont="1" applyFill="1"/>
    <xf numFmtId="165" fontId="5" fillId="0" borderId="0" xfId="2" applyNumberFormat="1" applyAlignment="1">
      <alignment horizontal="center"/>
    </xf>
    <xf numFmtId="164" fontId="2" fillId="0" borderId="0" xfId="0" applyNumberFormat="1" applyFont="1" applyAlignment="1">
      <alignment horizontal="right"/>
    </xf>
    <xf numFmtId="164" fontId="2" fillId="0" borderId="0" xfId="0" applyNumberFormat="1" applyFont="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1" xfId="0" applyFont="1" applyFill="1" applyBorder="1" applyAlignment="1">
      <alignment horizontal="center"/>
    </xf>
    <xf numFmtId="0" fontId="3" fillId="0" borderId="2" xfId="0" applyFont="1" applyFill="1" applyBorder="1" applyAlignment="1">
      <alignment horizontal="center"/>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cellXfs>
  <cellStyles count="3">
    <cellStyle name="Normal" xfId="0" builtinId="0"/>
    <cellStyle name="Normal 2" xfId="2" xr:uid="{00000000-0005-0000-0000-000001000000}"/>
    <cellStyle name="Percent" xfId="1" builtinId="5"/>
  </cellStyles>
  <dxfs count="14">
    <dxf>
      <font>
        <color rgb="FFFF0000"/>
      </font>
    </dxf>
    <dxf>
      <font>
        <color rgb="FF0070C0"/>
      </font>
    </dxf>
    <dxf>
      <font>
        <color rgb="FFFF0000"/>
      </font>
    </dxf>
    <dxf>
      <font>
        <color rgb="FF0070C0"/>
      </font>
    </dxf>
    <dxf>
      <font>
        <color rgb="FFFF0000"/>
      </font>
    </dxf>
    <dxf>
      <font>
        <color rgb="FF0070C0"/>
      </font>
    </dxf>
    <dxf>
      <font>
        <color rgb="FFFF0000"/>
      </font>
    </dxf>
    <dxf>
      <font>
        <color rgb="FF0070C0"/>
      </font>
    </dxf>
    <dxf>
      <font>
        <color rgb="FFFF0000"/>
      </font>
    </dxf>
    <dxf>
      <font>
        <color rgb="FF0070C0"/>
      </font>
    </dxf>
    <dxf>
      <font>
        <color rgb="FFFF0000"/>
      </font>
    </dxf>
    <dxf>
      <font>
        <color rgb="FF0070C0"/>
      </font>
    </dxf>
    <dxf>
      <font>
        <color rgb="FFFF0000"/>
      </font>
    </dxf>
    <dxf>
      <font>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SWEPCO (TX) and AEPSC Executive Positions</a:t>
            </a:r>
          </a:p>
          <a:p>
            <a:pPr>
              <a:defRPr b="1"/>
            </a:pPr>
            <a:r>
              <a:rPr lang="en-US" b="1"/>
              <a:t>vs.</a:t>
            </a:r>
            <a:r>
              <a:rPr lang="en-US" b="1" baseline="0"/>
              <a:t> Market-Competitive Compensation (High to Low)</a:t>
            </a:r>
          </a:p>
          <a:p>
            <a:pPr>
              <a:defRPr b="1"/>
            </a:pPr>
            <a:r>
              <a:rPr lang="en-US" b="1" baseline="0"/>
              <a:t>With and Without STI</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2"/>
          <c:order val="0"/>
          <c:tx>
            <c:strRef>
              <c:f>'Exec Graph Data'!$E$2</c:f>
              <c:strCache>
                <c:ptCount val="1"/>
                <c:pt idx="0">
                  <c:v>Market Low</c:v>
                </c:pt>
              </c:strCache>
            </c:strRef>
          </c:tx>
          <c:spPr>
            <a:pattFill prst="pct60">
              <a:fgClr>
                <a:srgbClr val="FF0000"/>
              </a:fgClr>
              <a:bgClr>
                <a:schemeClr val="bg1"/>
              </a:bgClr>
            </a:pattFill>
            <a:ln>
              <a:noFill/>
            </a:ln>
            <a:effectLst/>
          </c:spPr>
          <c:cat>
            <c:strRef>
              <c:f>'Exec Graph Data'!$A$3:$A$18</c:f>
              <c:strCache>
                <c:ptCount val="16"/>
                <c:pt idx="0">
                  <c:v>E16</c:v>
                </c:pt>
                <c:pt idx="1">
                  <c:v>E12</c:v>
                </c:pt>
                <c:pt idx="2">
                  <c:v>E13 (3)</c:v>
                </c:pt>
                <c:pt idx="3">
                  <c:v>E11</c:v>
                </c:pt>
                <c:pt idx="4">
                  <c:v>E6 (3)</c:v>
                </c:pt>
                <c:pt idx="5">
                  <c:v>E7</c:v>
                </c:pt>
                <c:pt idx="6">
                  <c:v>E15</c:v>
                </c:pt>
                <c:pt idx="7">
                  <c:v>E4</c:v>
                </c:pt>
                <c:pt idx="8">
                  <c:v>E5</c:v>
                </c:pt>
                <c:pt idx="9">
                  <c:v>E14</c:v>
                </c:pt>
                <c:pt idx="10">
                  <c:v>E9</c:v>
                </c:pt>
                <c:pt idx="11">
                  <c:v>E10 (3)</c:v>
                </c:pt>
                <c:pt idx="12">
                  <c:v>E8</c:v>
                </c:pt>
                <c:pt idx="13">
                  <c:v>E3</c:v>
                </c:pt>
                <c:pt idx="14">
                  <c:v>E1</c:v>
                </c:pt>
                <c:pt idx="15">
                  <c:v>E2</c:v>
                </c:pt>
              </c:strCache>
            </c:strRef>
          </c:cat>
          <c:val>
            <c:numRef>
              <c:f>'Exec Graph Data'!$E$3:$E$18</c:f>
              <c:numCache>
                <c:formatCode>0.0%</c:formatCode>
                <c:ptCount val="16"/>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pt idx="15">
                  <c:v>0.85</c:v>
                </c:pt>
              </c:numCache>
            </c:numRef>
          </c:val>
          <c:extLst>
            <c:ext xmlns:c16="http://schemas.microsoft.com/office/drawing/2014/chart" uri="{C3380CC4-5D6E-409C-BE32-E72D297353CC}">
              <c16:uniqueId val="{00000000-3DCF-4B47-A293-69FAF5077973}"/>
            </c:ext>
          </c:extLst>
        </c:ser>
        <c:ser>
          <c:idx val="3"/>
          <c:order val="1"/>
          <c:tx>
            <c:strRef>
              <c:f>'Exec Graph Data'!$G$2</c:f>
              <c:strCache>
                <c:ptCount val="1"/>
                <c:pt idx="0">
                  <c:v>Market Competitive Range</c:v>
                </c:pt>
              </c:strCache>
            </c:strRef>
          </c:tx>
          <c:spPr>
            <a:pattFill prst="pct20">
              <a:fgClr>
                <a:srgbClr val="00B050"/>
              </a:fgClr>
              <a:bgClr>
                <a:schemeClr val="bg1"/>
              </a:bgClr>
            </a:pattFill>
            <a:ln>
              <a:noFill/>
            </a:ln>
            <a:effectLst/>
          </c:spPr>
          <c:cat>
            <c:strRef>
              <c:f>'Exec Graph Data'!$A$3:$A$18</c:f>
              <c:strCache>
                <c:ptCount val="16"/>
                <c:pt idx="0">
                  <c:v>E16</c:v>
                </c:pt>
                <c:pt idx="1">
                  <c:v>E12</c:v>
                </c:pt>
                <c:pt idx="2">
                  <c:v>E13 (3)</c:v>
                </c:pt>
                <c:pt idx="3">
                  <c:v>E11</c:v>
                </c:pt>
                <c:pt idx="4">
                  <c:v>E6 (3)</c:v>
                </c:pt>
                <c:pt idx="5">
                  <c:v>E7</c:v>
                </c:pt>
                <c:pt idx="6">
                  <c:v>E15</c:v>
                </c:pt>
                <c:pt idx="7">
                  <c:v>E4</c:v>
                </c:pt>
                <c:pt idx="8">
                  <c:v>E5</c:v>
                </c:pt>
                <c:pt idx="9">
                  <c:v>E14</c:v>
                </c:pt>
                <c:pt idx="10">
                  <c:v>E9</c:v>
                </c:pt>
                <c:pt idx="11">
                  <c:v>E10 (3)</c:v>
                </c:pt>
                <c:pt idx="12">
                  <c:v>E8</c:v>
                </c:pt>
                <c:pt idx="13">
                  <c:v>E3</c:v>
                </c:pt>
                <c:pt idx="14">
                  <c:v>E1</c:v>
                </c:pt>
                <c:pt idx="15">
                  <c:v>E2</c:v>
                </c:pt>
              </c:strCache>
            </c:strRef>
          </c:cat>
          <c:val>
            <c:numRef>
              <c:f>'Exec Graph Data'!$G$3:$G$18</c:f>
              <c:numCache>
                <c:formatCode>0.0%</c:formatCode>
                <c:ptCount val="16"/>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0.3</c:v>
                </c:pt>
                <c:pt idx="15">
                  <c:v>0.3</c:v>
                </c:pt>
              </c:numCache>
            </c:numRef>
          </c:val>
          <c:extLst>
            <c:ext xmlns:c16="http://schemas.microsoft.com/office/drawing/2014/chart" uri="{C3380CC4-5D6E-409C-BE32-E72D297353CC}">
              <c16:uniqueId val="{00000001-3DCF-4B47-A293-69FAF5077973}"/>
            </c:ext>
          </c:extLst>
        </c:ser>
        <c:ser>
          <c:idx val="4"/>
          <c:order val="3"/>
          <c:tx>
            <c:strRef>
              <c:f>'Exec Graph Data'!$H$2</c:f>
              <c:strCache>
                <c:ptCount val="1"/>
                <c:pt idx="0">
                  <c:v>Market Max</c:v>
                </c:pt>
              </c:strCache>
            </c:strRef>
          </c:tx>
          <c:spPr>
            <a:pattFill prst="pct5">
              <a:fgClr>
                <a:schemeClr val="tx2"/>
              </a:fgClr>
              <a:bgClr>
                <a:schemeClr val="bg1"/>
              </a:bgClr>
            </a:pattFill>
            <a:ln>
              <a:noFill/>
            </a:ln>
            <a:effectLst/>
            <a:scene3d>
              <a:camera prst="orthographicFront"/>
              <a:lightRig rig="threePt" dir="t"/>
            </a:scene3d>
            <a:sp3d/>
          </c:spPr>
          <c:cat>
            <c:strRef>
              <c:f>'Exec Graph Data'!$A$3:$A$18</c:f>
              <c:strCache>
                <c:ptCount val="16"/>
                <c:pt idx="0">
                  <c:v>E16</c:v>
                </c:pt>
                <c:pt idx="1">
                  <c:v>E12</c:v>
                </c:pt>
                <c:pt idx="2">
                  <c:v>E13 (3)</c:v>
                </c:pt>
                <c:pt idx="3">
                  <c:v>E11</c:v>
                </c:pt>
                <c:pt idx="4">
                  <c:v>E6 (3)</c:v>
                </c:pt>
                <c:pt idx="5">
                  <c:v>E7</c:v>
                </c:pt>
                <c:pt idx="6">
                  <c:v>E15</c:v>
                </c:pt>
                <c:pt idx="7">
                  <c:v>E4</c:v>
                </c:pt>
                <c:pt idx="8">
                  <c:v>E5</c:v>
                </c:pt>
                <c:pt idx="9">
                  <c:v>E14</c:v>
                </c:pt>
                <c:pt idx="10">
                  <c:v>E9</c:v>
                </c:pt>
                <c:pt idx="11">
                  <c:v>E10 (3)</c:v>
                </c:pt>
                <c:pt idx="12">
                  <c:v>E8</c:v>
                </c:pt>
                <c:pt idx="13">
                  <c:v>E3</c:v>
                </c:pt>
                <c:pt idx="14">
                  <c:v>E1</c:v>
                </c:pt>
                <c:pt idx="15">
                  <c:v>E2</c:v>
                </c:pt>
              </c:strCache>
            </c:strRef>
          </c:cat>
          <c:val>
            <c:numRef>
              <c:f>'Exec Graph Data'!$H$3:$H$18</c:f>
              <c:numCache>
                <c:formatCode>0.0%</c:formatCode>
                <c:ptCount val="16"/>
                <c:pt idx="0">
                  <c:v>0.35</c:v>
                </c:pt>
                <c:pt idx="1">
                  <c:v>0.35</c:v>
                </c:pt>
                <c:pt idx="2">
                  <c:v>0.35</c:v>
                </c:pt>
                <c:pt idx="3">
                  <c:v>0.35</c:v>
                </c:pt>
                <c:pt idx="4">
                  <c:v>0.35</c:v>
                </c:pt>
                <c:pt idx="5">
                  <c:v>0.35</c:v>
                </c:pt>
                <c:pt idx="6">
                  <c:v>0.35</c:v>
                </c:pt>
                <c:pt idx="7">
                  <c:v>0.35</c:v>
                </c:pt>
                <c:pt idx="8">
                  <c:v>0.35</c:v>
                </c:pt>
                <c:pt idx="9">
                  <c:v>0.35</c:v>
                </c:pt>
                <c:pt idx="10">
                  <c:v>0.35</c:v>
                </c:pt>
                <c:pt idx="11">
                  <c:v>0.35</c:v>
                </c:pt>
                <c:pt idx="12">
                  <c:v>0.35</c:v>
                </c:pt>
                <c:pt idx="13">
                  <c:v>0.35</c:v>
                </c:pt>
                <c:pt idx="14">
                  <c:v>0.35</c:v>
                </c:pt>
                <c:pt idx="15">
                  <c:v>0.35</c:v>
                </c:pt>
              </c:numCache>
            </c:numRef>
          </c:val>
          <c:extLst>
            <c:ext xmlns:c16="http://schemas.microsoft.com/office/drawing/2014/chart" uri="{C3380CC4-5D6E-409C-BE32-E72D297353CC}">
              <c16:uniqueId val="{00000002-3DCF-4B47-A293-69FAF5077973}"/>
            </c:ext>
          </c:extLst>
        </c:ser>
        <c:dLbls>
          <c:showLegendKey val="0"/>
          <c:showVal val="0"/>
          <c:showCatName val="0"/>
          <c:showSerName val="0"/>
          <c:showPercent val="0"/>
          <c:showBubbleSize val="0"/>
        </c:dLbls>
        <c:axId val="474125712"/>
        <c:axId val="474122432"/>
      </c:areaChart>
      <c:lineChart>
        <c:grouping val="standard"/>
        <c:varyColors val="0"/>
        <c:ser>
          <c:idx val="5"/>
          <c:order val="2"/>
          <c:tx>
            <c:strRef>
              <c:f>'Exec Graph Data'!$F$2</c:f>
              <c:strCache>
                <c:ptCount val="1"/>
                <c:pt idx="0">
                  <c:v>Market Median Compensation</c:v>
                </c:pt>
              </c:strCache>
            </c:strRef>
          </c:tx>
          <c:spPr>
            <a:ln w="28575" cap="rnd">
              <a:solidFill>
                <a:schemeClr val="tx1"/>
              </a:solidFill>
              <a:prstDash val="sysDot"/>
              <a:round/>
            </a:ln>
            <a:effectLst/>
          </c:spPr>
          <c:marker>
            <c:symbol val="none"/>
          </c:marker>
          <c:cat>
            <c:strRef>
              <c:f>'Exec Graph Data'!$A$3:$A$18</c:f>
              <c:strCache>
                <c:ptCount val="16"/>
                <c:pt idx="0">
                  <c:v>E16</c:v>
                </c:pt>
                <c:pt idx="1">
                  <c:v>E12</c:v>
                </c:pt>
                <c:pt idx="2">
                  <c:v>E13 (3)</c:v>
                </c:pt>
                <c:pt idx="3">
                  <c:v>E11</c:v>
                </c:pt>
                <c:pt idx="4">
                  <c:v>E6 (3)</c:v>
                </c:pt>
                <c:pt idx="5">
                  <c:v>E7</c:v>
                </c:pt>
                <c:pt idx="6">
                  <c:v>E15</c:v>
                </c:pt>
                <c:pt idx="7">
                  <c:v>E4</c:v>
                </c:pt>
                <c:pt idx="8">
                  <c:v>E5</c:v>
                </c:pt>
                <c:pt idx="9">
                  <c:v>E14</c:v>
                </c:pt>
                <c:pt idx="10">
                  <c:v>E9</c:v>
                </c:pt>
                <c:pt idx="11">
                  <c:v>E10 (3)</c:v>
                </c:pt>
                <c:pt idx="12">
                  <c:v>E8</c:v>
                </c:pt>
                <c:pt idx="13">
                  <c:v>E3</c:v>
                </c:pt>
                <c:pt idx="14">
                  <c:v>E1</c:v>
                </c:pt>
                <c:pt idx="15">
                  <c:v>E2</c:v>
                </c:pt>
              </c:strCache>
            </c:strRef>
          </c:cat>
          <c:val>
            <c:numRef>
              <c:f>'Exec Graph Data'!$F$3:$F$18</c:f>
              <c:numCache>
                <c:formatCode>0.0%</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05-3DCF-4B47-A293-69FAF5077973}"/>
            </c:ext>
          </c:extLst>
        </c:ser>
        <c:ser>
          <c:idx val="0"/>
          <c:order val="4"/>
          <c:tx>
            <c:strRef>
              <c:f>'Exec Graph Data'!$B$2</c:f>
              <c:strCache>
                <c:ptCount val="1"/>
                <c:pt idx="0">
                  <c:v>AEP Target TC vs. Survey Target TC</c:v>
                </c:pt>
              </c:strCache>
            </c:strRef>
          </c:tx>
          <c:spPr>
            <a:ln w="28575" cap="rnd">
              <a:solidFill>
                <a:schemeClr val="tx2"/>
              </a:solidFill>
              <a:prstDash val="solid"/>
              <a:round/>
            </a:ln>
            <a:effectLst/>
          </c:spPr>
          <c:marker>
            <c:symbol val="none"/>
          </c:marker>
          <c:cat>
            <c:strRef>
              <c:f>'Exec Graph Data'!$A$3:$A$18</c:f>
              <c:strCache>
                <c:ptCount val="16"/>
                <c:pt idx="0">
                  <c:v>E16</c:v>
                </c:pt>
                <c:pt idx="1">
                  <c:v>E12</c:v>
                </c:pt>
                <c:pt idx="2">
                  <c:v>E13 (3)</c:v>
                </c:pt>
                <c:pt idx="3">
                  <c:v>E11</c:v>
                </c:pt>
                <c:pt idx="4">
                  <c:v>E6 (3)</c:v>
                </c:pt>
                <c:pt idx="5">
                  <c:v>E7</c:v>
                </c:pt>
                <c:pt idx="6">
                  <c:v>E15</c:v>
                </c:pt>
                <c:pt idx="7">
                  <c:v>E4</c:v>
                </c:pt>
                <c:pt idx="8">
                  <c:v>E5</c:v>
                </c:pt>
                <c:pt idx="9">
                  <c:v>E14</c:v>
                </c:pt>
                <c:pt idx="10">
                  <c:v>E9</c:v>
                </c:pt>
                <c:pt idx="11">
                  <c:v>E10 (3)</c:v>
                </c:pt>
                <c:pt idx="12">
                  <c:v>E8</c:v>
                </c:pt>
                <c:pt idx="13">
                  <c:v>E3</c:v>
                </c:pt>
                <c:pt idx="14">
                  <c:v>E1</c:v>
                </c:pt>
                <c:pt idx="15">
                  <c:v>E2</c:v>
                </c:pt>
              </c:strCache>
            </c:strRef>
          </c:cat>
          <c:val>
            <c:numRef>
              <c:f>'Exec Graph Data'!$B$3:$B$18</c:f>
              <c:numCache>
                <c:formatCode>0.0%</c:formatCode>
                <c:ptCount val="16"/>
                <c:pt idx="0">
                  <c:v>1.3128150297846342</c:v>
                </c:pt>
                <c:pt idx="1">
                  <c:v>1.2854317046085508</c:v>
                </c:pt>
                <c:pt idx="2">
                  <c:v>1.2771815815878591</c:v>
                </c:pt>
                <c:pt idx="3">
                  <c:v>1.1668377070810731</c:v>
                </c:pt>
                <c:pt idx="4">
                  <c:v>1.1588450567784296</c:v>
                </c:pt>
                <c:pt idx="5">
                  <c:v>1.0829213020189534</c:v>
                </c:pt>
                <c:pt idx="6">
                  <c:v>1.0735929595278246</c:v>
                </c:pt>
                <c:pt idx="7">
                  <c:v>1.035766826038985</c:v>
                </c:pt>
                <c:pt idx="8">
                  <c:v>1.035766826038985</c:v>
                </c:pt>
                <c:pt idx="9">
                  <c:v>0.99296330574912894</c:v>
                </c:pt>
                <c:pt idx="10">
                  <c:v>0.96792826493563644</c:v>
                </c:pt>
                <c:pt idx="11">
                  <c:v>0.95558650572578152</c:v>
                </c:pt>
                <c:pt idx="12">
                  <c:v>0.94552690692450436</c:v>
                </c:pt>
                <c:pt idx="13">
                  <c:v>0.9124764196968711</c:v>
                </c:pt>
                <c:pt idx="14">
                  <c:v>0.82696082490169243</c:v>
                </c:pt>
                <c:pt idx="15">
                  <c:v>0.78094052402240965</c:v>
                </c:pt>
              </c:numCache>
            </c:numRef>
          </c:val>
          <c:smooth val="0"/>
          <c:extLst>
            <c:ext xmlns:c16="http://schemas.microsoft.com/office/drawing/2014/chart" uri="{C3380CC4-5D6E-409C-BE32-E72D297353CC}">
              <c16:uniqueId val="{00000003-3DCF-4B47-A293-69FAF5077973}"/>
            </c:ext>
          </c:extLst>
        </c:ser>
        <c:ser>
          <c:idx val="1"/>
          <c:order val="5"/>
          <c:tx>
            <c:strRef>
              <c:f>'Exec Graph Data'!$C$2</c:f>
              <c:strCache>
                <c:ptCount val="1"/>
                <c:pt idx="0">
                  <c:v>AEP Target TCC vs. Survey Target TC</c:v>
                </c:pt>
              </c:strCache>
            </c:strRef>
          </c:tx>
          <c:spPr>
            <a:ln w="28575" cap="rnd">
              <a:solidFill>
                <a:schemeClr val="tx2"/>
              </a:solidFill>
              <a:prstDash val="sysDash"/>
              <a:round/>
            </a:ln>
            <a:effectLst/>
          </c:spPr>
          <c:marker>
            <c:symbol val="none"/>
          </c:marker>
          <c:cat>
            <c:strRef>
              <c:f>'Exec Graph Data'!$A$3:$A$18</c:f>
              <c:strCache>
                <c:ptCount val="16"/>
                <c:pt idx="0">
                  <c:v>E16</c:v>
                </c:pt>
                <c:pt idx="1">
                  <c:v>E12</c:v>
                </c:pt>
                <c:pt idx="2">
                  <c:v>E13 (3)</c:v>
                </c:pt>
                <c:pt idx="3">
                  <c:v>E11</c:v>
                </c:pt>
                <c:pt idx="4">
                  <c:v>E6 (3)</c:v>
                </c:pt>
                <c:pt idx="5">
                  <c:v>E7</c:v>
                </c:pt>
                <c:pt idx="6">
                  <c:v>E15</c:v>
                </c:pt>
                <c:pt idx="7">
                  <c:v>E4</c:v>
                </c:pt>
                <c:pt idx="8">
                  <c:v>E5</c:v>
                </c:pt>
                <c:pt idx="9">
                  <c:v>E14</c:v>
                </c:pt>
                <c:pt idx="10">
                  <c:v>E9</c:v>
                </c:pt>
                <c:pt idx="11">
                  <c:v>E10 (3)</c:v>
                </c:pt>
                <c:pt idx="12">
                  <c:v>E8</c:v>
                </c:pt>
                <c:pt idx="13">
                  <c:v>E3</c:v>
                </c:pt>
                <c:pt idx="14">
                  <c:v>E1</c:v>
                </c:pt>
                <c:pt idx="15">
                  <c:v>E2</c:v>
                </c:pt>
              </c:strCache>
            </c:strRef>
          </c:cat>
          <c:val>
            <c:numRef>
              <c:f>'Exec Graph Data'!$C$3:$C$18</c:f>
              <c:numCache>
                <c:formatCode>0.0%</c:formatCode>
                <c:ptCount val="16"/>
                <c:pt idx="0">
                  <c:v>0.87750114556285319</c:v>
                </c:pt>
                <c:pt idx="1">
                  <c:v>0.889818156579678</c:v>
                </c:pt>
                <c:pt idx="2">
                  <c:v>0.84572541703248461</c:v>
                </c:pt>
                <c:pt idx="3">
                  <c:v>0.72701949860724235</c:v>
                </c:pt>
                <c:pt idx="4">
                  <c:v>0.62066089015661152</c:v>
                </c:pt>
                <c:pt idx="5">
                  <c:v>0.51637824474660077</c:v>
                </c:pt>
                <c:pt idx="6">
                  <c:v>0.7110297217537942</c:v>
                </c:pt>
                <c:pt idx="7">
                  <c:v>0.4840934166973152</c:v>
                </c:pt>
                <c:pt idx="8">
                  <c:v>0.4840934166973152</c:v>
                </c:pt>
                <c:pt idx="9">
                  <c:v>0.61839884581881532</c:v>
                </c:pt>
                <c:pt idx="10">
                  <c:v>0.51023214875123779</c:v>
                </c:pt>
                <c:pt idx="11">
                  <c:v>0.58805323429278866</c:v>
                </c:pt>
                <c:pt idx="12">
                  <c:v>0.45719796855161632</c:v>
                </c:pt>
                <c:pt idx="13">
                  <c:v>0.42460807909972031</c:v>
                </c:pt>
                <c:pt idx="14">
                  <c:v>0.21890139482691862</c:v>
                </c:pt>
                <c:pt idx="15">
                  <c:v>0.35651632618414353</c:v>
                </c:pt>
              </c:numCache>
            </c:numRef>
          </c:val>
          <c:smooth val="0"/>
          <c:extLst>
            <c:ext xmlns:c16="http://schemas.microsoft.com/office/drawing/2014/chart" uri="{C3380CC4-5D6E-409C-BE32-E72D297353CC}">
              <c16:uniqueId val="{00000004-3DCF-4B47-A293-69FAF5077973}"/>
            </c:ext>
          </c:extLst>
        </c:ser>
        <c:ser>
          <c:idx val="6"/>
          <c:order val="6"/>
          <c:tx>
            <c:v>AEP Base vs. Survey Actual Base</c:v>
          </c:tx>
          <c:spPr>
            <a:ln w="28575" cap="sq" cmpd="dbl">
              <a:solidFill>
                <a:schemeClr val="accent1">
                  <a:lumMod val="60000"/>
                </a:schemeClr>
              </a:solidFill>
              <a:prstDash val="dashDot"/>
              <a:bevel/>
            </a:ln>
            <a:effectLst/>
          </c:spPr>
          <c:marker>
            <c:symbol val="none"/>
          </c:marker>
          <c:val>
            <c:numRef>
              <c:f>'Exec Graph Data'!$D$3:$D$18</c:f>
              <c:numCache>
                <c:formatCode>0.0%</c:formatCode>
                <c:ptCount val="16"/>
                <c:pt idx="0">
                  <c:v>0.58500076370856879</c:v>
                </c:pt>
                <c:pt idx="1">
                  <c:v>0.56496390893947801</c:v>
                </c:pt>
                <c:pt idx="2">
                  <c:v>0.53696851875078389</c:v>
                </c:pt>
                <c:pt idx="3">
                  <c:v>0.50139275766016711</c:v>
                </c:pt>
                <c:pt idx="4">
                  <c:v>0.35466336580377811</c:v>
                </c:pt>
                <c:pt idx="5">
                  <c:v>0.28687680263700044</c:v>
                </c:pt>
                <c:pt idx="6">
                  <c:v>0.4740198145025295</c:v>
                </c:pt>
                <c:pt idx="7">
                  <c:v>0.26894078705406399</c:v>
                </c:pt>
                <c:pt idx="8">
                  <c:v>0.26894078705406399</c:v>
                </c:pt>
                <c:pt idx="9">
                  <c:v>0.41226589721254359</c:v>
                </c:pt>
                <c:pt idx="10">
                  <c:v>0.2915612278578501</c:v>
                </c:pt>
                <c:pt idx="11">
                  <c:v>0.36753327143299286</c:v>
                </c:pt>
                <c:pt idx="12">
                  <c:v>0.26125598202949507</c:v>
                </c:pt>
                <c:pt idx="13">
                  <c:v>0.24263318805698297</c:v>
                </c:pt>
                <c:pt idx="14">
                  <c:v>9.1208914511216044E-2</c:v>
                </c:pt>
                <c:pt idx="15">
                  <c:v>0.19806462565785754</c:v>
                </c:pt>
              </c:numCache>
            </c:numRef>
          </c:val>
          <c:smooth val="0"/>
          <c:extLst>
            <c:ext xmlns:c16="http://schemas.microsoft.com/office/drawing/2014/chart" uri="{C3380CC4-5D6E-409C-BE32-E72D297353CC}">
              <c16:uniqueId val="{00000000-C2E6-495B-882C-408F7BF571AD}"/>
            </c:ext>
          </c:extLst>
        </c:ser>
        <c:dLbls>
          <c:showLegendKey val="0"/>
          <c:showVal val="0"/>
          <c:showCatName val="0"/>
          <c:showSerName val="0"/>
          <c:showPercent val="0"/>
          <c:showBubbleSize val="0"/>
        </c:dLbls>
        <c:marker val="1"/>
        <c:smooth val="0"/>
        <c:axId val="474125712"/>
        <c:axId val="474122432"/>
      </c:lineChart>
      <c:catAx>
        <c:axId val="47412571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AEP Jobs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122432"/>
        <c:crosses val="autoZero"/>
        <c:auto val="1"/>
        <c:lblAlgn val="ctr"/>
        <c:lblOffset val="100"/>
        <c:tickLblSkip val="1"/>
        <c:noMultiLvlLbl val="0"/>
      </c:catAx>
      <c:valAx>
        <c:axId val="474122432"/>
        <c:scaling>
          <c:orientation val="minMax"/>
          <c:max val="1.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AEP Compensation as a Percent of Market Median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cross"/>
        <c:minorTickMark val="out"/>
        <c:tickLblPos val="nextTo"/>
        <c:spPr>
          <a:noFill/>
          <a:ln>
            <a:solidFill>
              <a:schemeClr val="accent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4125712"/>
        <c:crosses val="autoZero"/>
        <c:crossBetween val="between"/>
        <c:majorUnit val="0.1"/>
        <c:minorUnit val="5.000000000000001E-2"/>
      </c:valAx>
      <c:spPr>
        <a:noFill/>
        <a:ln>
          <a:noFill/>
        </a:ln>
        <a:effectLst/>
      </c:spPr>
    </c:plotArea>
    <c:legend>
      <c:legendPos val="b"/>
      <c:legendEntry>
        <c:idx val="0"/>
        <c:delete val="1"/>
      </c:legendEntry>
      <c:legendEntry>
        <c:idx val="2"/>
        <c:delete val="1"/>
      </c:legendEntry>
      <c:layout>
        <c:manualLayout>
          <c:xMode val="edge"/>
          <c:yMode val="edge"/>
          <c:x val="0.14575202368124859"/>
          <c:y val="0.90865821941399472"/>
          <c:w val="0.80521485137818993"/>
          <c:h val="6.51000800602335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133" workbookViewId="0" zoomToFit="1"/>
  </sheetViews>
  <pageMargins left="0.7" right="0.7" top="0.85" bottom="0.75" header="0.3" footer="0.3"/>
  <pageSetup orientation="landscape" copies="2" r:id="rId1"/>
  <headerFooter>
    <oddHeader>&amp;RDocket No. 56165
Exhibit ARC-7
Page &amp;P of &amp;N</oddHead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3533" cy="6186742"/>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R25"/>
  <sheetViews>
    <sheetView zoomScaleNormal="100" workbookViewId="0">
      <pane ySplit="3" topLeftCell="A4" activePane="bottomLeft" state="frozen"/>
      <selection pane="bottomLeft" activeCell="A22" sqref="A22"/>
    </sheetView>
  </sheetViews>
  <sheetFormatPr defaultColWidth="9.21875" defaultRowHeight="13.2" x14ac:dyDescent="0.25"/>
  <cols>
    <col min="1" max="1" width="29.77734375" style="1" customWidth="1"/>
    <col min="2" max="2" width="14.21875" style="1" customWidth="1"/>
    <col min="3" max="3" width="9.21875" style="1" customWidth="1"/>
    <col min="4" max="5" width="14.44140625" style="1" customWidth="1"/>
    <col min="6" max="6" width="12.77734375" style="1" customWidth="1"/>
    <col min="7" max="7" width="15.5546875" style="1" customWidth="1"/>
    <col min="8" max="8" width="3" style="1" customWidth="1"/>
    <col min="9" max="9" width="12.77734375" style="1" bestFit="1" customWidth="1"/>
    <col min="10" max="10" width="9.44140625" style="1" bestFit="1" customWidth="1"/>
    <col min="11" max="13" width="12.77734375" style="1" bestFit="1" customWidth="1"/>
    <col min="14" max="14" width="13.77734375" style="1" bestFit="1" customWidth="1"/>
    <col min="15" max="15" width="3.44140625" style="1" customWidth="1"/>
    <col min="16" max="18" width="13.21875" style="1" customWidth="1"/>
    <col min="19" max="16384" width="9.21875" style="1"/>
  </cols>
  <sheetData>
    <row r="1" spans="1:18" s="4" customFormat="1" x14ac:dyDescent="0.25">
      <c r="A1" s="38"/>
      <c r="B1" s="26"/>
      <c r="C1" s="26"/>
    </row>
    <row r="2" spans="1:18" ht="15.6" x14ac:dyDescent="0.25">
      <c r="B2" s="42" t="s">
        <v>7</v>
      </c>
      <c r="C2" s="43"/>
      <c r="D2" s="43"/>
      <c r="E2" s="43"/>
      <c r="F2" s="43"/>
      <c r="G2" s="44"/>
      <c r="H2" s="12"/>
      <c r="I2" s="45" t="s">
        <v>8</v>
      </c>
      <c r="J2" s="46"/>
      <c r="K2" s="46"/>
      <c r="L2" s="46"/>
      <c r="M2" s="46"/>
      <c r="N2" s="46"/>
      <c r="O2" s="13"/>
      <c r="P2" s="47" t="s">
        <v>9</v>
      </c>
      <c r="Q2" s="49" t="s">
        <v>10</v>
      </c>
      <c r="R2" s="49" t="s">
        <v>11</v>
      </c>
    </row>
    <row r="3" spans="1:18" s="16" customFormat="1" ht="40.5" customHeight="1" x14ac:dyDescent="0.3">
      <c r="A3" s="14" t="s">
        <v>12</v>
      </c>
      <c r="B3" s="14" t="s">
        <v>13</v>
      </c>
      <c r="C3" s="14" t="s">
        <v>14</v>
      </c>
      <c r="D3" s="14" t="s">
        <v>15</v>
      </c>
      <c r="E3" s="14" t="s">
        <v>0</v>
      </c>
      <c r="F3" s="14" t="s">
        <v>16</v>
      </c>
      <c r="G3" s="14" t="s">
        <v>17</v>
      </c>
      <c r="H3" s="10"/>
      <c r="I3" s="35" t="s">
        <v>1</v>
      </c>
      <c r="J3" s="14" t="s">
        <v>14</v>
      </c>
      <c r="K3" s="14" t="s">
        <v>15</v>
      </c>
      <c r="L3" s="14" t="s">
        <v>0</v>
      </c>
      <c r="M3" s="14" t="s">
        <v>16</v>
      </c>
      <c r="N3" s="36" t="s">
        <v>17</v>
      </c>
      <c r="O3" s="15"/>
      <c r="P3" s="48"/>
      <c r="Q3" s="50"/>
      <c r="R3" s="50"/>
    </row>
    <row r="4" spans="1:18" s="4" customFormat="1" ht="15.75" customHeight="1" x14ac:dyDescent="0.25">
      <c r="A4" s="26" t="s">
        <v>31</v>
      </c>
      <c r="B4" s="17">
        <v>1200000</v>
      </c>
      <c r="C4" s="31">
        <v>1.4</v>
      </c>
      <c r="D4" s="17">
        <f t="shared" ref="D4:D19" si="0">B4*C4</f>
        <v>1680000</v>
      </c>
      <c r="E4" s="2">
        <f t="shared" ref="E4:E19" si="1">B4+D4</f>
        <v>2880000</v>
      </c>
      <c r="F4" s="2">
        <v>8000000</v>
      </c>
      <c r="G4" s="2">
        <f t="shared" ref="G4:G19" si="2">F4+E4</f>
        <v>10880000</v>
      </c>
      <c r="H4" s="26"/>
      <c r="I4" s="2">
        <f>1302965*(1+((0.04/12)*21))</f>
        <v>1394172.55</v>
      </c>
      <c r="J4" s="27">
        <v>1.45</v>
      </c>
      <c r="K4" s="2">
        <f t="shared" ref="K4:K5" si="3">J4*I4</f>
        <v>2021550.1975</v>
      </c>
      <c r="L4" s="2">
        <f>3112500*(1+((0.04/12)*21))</f>
        <v>3330375</v>
      </c>
      <c r="M4" s="2">
        <f t="shared" ref="M4:M5" si="4">N4-L4</f>
        <v>9826233.7200000007</v>
      </c>
      <c r="N4" s="2">
        <f>12295896*(1+((0.04/12)*21))</f>
        <v>13156608.720000001</v>
      </c>
      <c r="P4" s="18">
        <f t="shared" ref="P4:P19" si="5">(G4-N4)/N4</f>
        <v>-0.1730391750983076</v>
      </c>
      <c r="Q4" s="18">
        <f t="shared" ref="Q4:Q19" si="6">(E4-N4)/N4</f>
        <v>-0.78109860517308138</v>
      </c>
      <c r="R4" s="18">
        <f t="shared" ref="R4:R19" si="7">(B4-N4)/N4</f>
        <v>-0.90879108548878396</v>
      </c>
    </row>
    <row r="5" spans="1:18" s="4" customFormat="1" ht="15.75" customHeight="1" x14ac:dyDescent="0.25">
      <c r="A5" s="26" t="s">
        <v>32</v>
      </c>
      <c r="B5" s="17">
        <v>700000</v>
      </c>
      <c r="C5" s="31">
        <v>0.8</v>
      </c>
      <c r="D5" s="17">
        <f t="shared" si="0"/>
        <v>560000</v>
      </c>
      <c r="E5" s="2">
        <f t="shared" si="1"/>
        <v>1260000</v>
      </c>
      <c r="F5" s="2">
        <v>1500000</v>
      </c>
      <c r="G5" s="2">
        <f t="shared" si="2"/>
        <v>2760000</v>
      </c>
      <c r="H5" s="26"/>
      <c r="I5" s="2">
        <v>765000</v>
      </c>
      <c r="J5" s="27">
        <v>0.9</v>
      </c>
      <c r="K5" s="2">
        <f t="shared" si="3"/>
        <v>688500</v>
      </c>
      <c r="L5" s="2">
        <v>1433000</v>
      </c>
      <c r="M5" s="2">
        <f t="shared" si="4"/>
        <v>2101200</v>
      </c>
      <c r="N5" s="2">
        <v>3534200</v>
      </c>
      <c r="P5" s="18">
        <f t="shared" si="5"/>
        <v>-0.2190594759775904</v>
      </c>
      <c r="Q5" s="18">
        <f t="shared" si="6"/>
        <v>-0.64348367381585647</v>
      </c>
      <c r="R5" s="18">
        <f t="shared" si="7"/>
        <v>-0.80193537434214246</v>
      </c>
    </row>
    <row r="6" spans="1:18" s="4" customFormat="1" ht="15.75" customHeight="1" x14ac:dyDescent="0.25">
      <c r="A6" s="26" t="s">
        <v>33</v>
      </c>
      <c r="B6" s="17">
        <v>746000</v>
      </c>
      <c r="C6" s="31">
        <v>0.75</v>
      </c>
      <c r="D6" s="17">
        <f t="shared" si="0"/>
        <v>559500</v>
      </c>
      <c r="E6" s="2">
        <f t="shared" si="1"/>
        <v>1305500</v>
      </c>
      <c r="F6" s="2">
        <v>1500000</v>
      </c>
      <c r="G6" s="2">
        <f t="shared" si="2"/>
        <v>2805500</v>
      </c>
      <c r="H6" s="26"/>
      <c r="I6" s="2">
        <v>714000</v>
      </c>
      <c r="J6" s="27">
        <v>0.8</v>
      </c>
      <c r="K6" s="2">
        <f>J6*I6</f>
        <v>571200</v>
      </c>
      <c r="L6" s="2">
        <v>1301700</v>
      </c>
      <c r="M6" s="2">
        <f>N6-L6</f>
        <v>1772900</v>
      </c>
      <c r="N6" s="2">
        <v>3074600</v>
      </c>
      <c r="P6" s="18">
        <f t="shared" si="5"/>
        <v>-8.7523580303128859E-2</v>
      </c>
      <c r="Q6" s="18">
        <f t="shared" si="6"/>
        <v>-0.57539192090027969</v>
      </c>
      <c r="R6" s="18">
        <f t="shared" si="7"/>
        <v>-0.75736681194301703</v>
      </c>
    </row>
    <row r="7" spans="1:18" s="26" customFormat="1" ht="15.75" customHeight="1" x14ac:dyDescent="0.25">
      <c r="A7" s="26" t="s">
        <v>34</v>
      </c>
      <c r="B7" s="17">
        <v>585000</v>
      </c>
      <c r="C7" s="32">
        <v>0.8</v>
      </c>
      <c r="D7" s="17">
        <f t="shared" ref="D7:D11" si="8">B7*C7</f>
        <v>468000</v>
      </c>
      <c r="E7" s="2">
        <f t="shared" ref="E7:E11" si="9">B7+D7</f>
        <v>1053000</v>
      </c>
      <c r="F7" s="2">
        <v>1200000</v>
      </c>
      <c r="G7" s="2">
        <f t="shared" ref="G7:G11" si="10">F7+E7</f>
        <v>2253000</v>
      </c>
      <c r="I7" s="2">
        <v>657900</v>
      </c>
      <c r="J7" s="27">
        <v>0.8</v>
      </c>
      <c r="K7" s="2">
        <f t="shared" ref="K7:K11" si="11">J7*I7</f>
        <v>526320</v>
      </c>
      <c r="L7" s="2">
        <v>1148800</v>
      </c>
      <c r="M7" s="2">
        <f t="shared" ref="M7:M11" si="12">N7-L7</f>
        <v>1026400</v>
      </c>
      <c r="N7" s="2">
        <v>2175200</v>
      </c>
      <c r="P7" s="27">
        <f t="shared" ref="P7:P11" si="13">(G7-N7)/N7</f>
        <v>3.5766826038984921E-2</v>
      </c>
      <c r="Q7" s="27">
        <f t="shared" ref="Q7:Q11" si="14">(E7-N7)/N7</f>
        <v>-0.5159065833026848</v>
      </c>
      <c r="R7" s="27">
        <f t="shared" ref="R7:R11" si="15">(B7-N7)/N7</f>
        <v>-0.73105921294593601</v>
      </c>
    </row>
    <row r="8" spans="1:18" s="26" customFormat="1" ht="15.75" customHeight="1" x14ac:dyDescent="0.25">
      <c r="A8" s="26" t="s">
        <v>27</v>
      </c>
      <c r="B8" s="17">
        <v>585000</v>
      </c>
      <c r="C8" s="32">
        <v>0.8</v>
      </c>
      <c r="D8" s="17">
        <f t="shared" si="8"/>
        <v>468000</v>
      </c>
      <c r="E8" s="2">
        <f t="shared" si="9"/>
        <v>1053000</v>
      </c>
      <c r="F8" s="2">
        <v>1200000</v>
      </c>
      <c r="G8" s="2">
        <f t="shared" si="10"/>
        <v>2253000</v>
      </c>
      <c r="I8" s="2">
        <v>657900</v>
      </c>
      <c r="J8" s="27">
        <v>0.8</v>
      </c>
      <c r="K8" s="2">
        <f t="shared" ref="K8" si="16">J8*I8</f>
        <v>526320</v>
      </c>
      <c r="L8" s="2">
        <v>1148800</v>
      </c>
      <c r="M8" s="2">
        <f t="shared" ref="M8" si="17">N8-L8</f>
        <v>1026400</v>
      </c>
      <c r="N8" s="2">
        <v>2175200</v>
      </c>
      <c r="P8" s="27">
        <f t="shared" si="13"/>
        <v>3.5766826038984921E-2</v>
      </c>
      <c r="Q8" s="27">
        <f t="shared" si="14"/>
        <v>-0.5159065833026848</v>
      </c>
      <c r="R8" s="27">
        <f t="shared" si="15"/>
        <v>-0.73105921294593601</v>
      </c>
    </row>
    <row r="9" spans="1:18" s="26" customFormat="1" ht="15.75" customHeight="1" x14ac:dyDescent="0.25">
      <c r="A9" s="26" t="s">
        <v>35</v>
      </c>
      <c r="B9" s="17">
        <v>659000</v>
      </c>
      <c r="C9" s="31">
        <v>0.75</v>
      </c>
      <c r="D9" s="17">
        <f t="shared" si="8"/>
        <v>494250</v>
      </c>
      <c r="E9" s="2">
        <f t="shared" si="9"/>
        <v>1153250</v>
      </c>
      <c r="F9" s="2">
        <v>1000000</v>
      </c>
      <c r="G9" s="2">
        <f t="shared" si="10"/>
        <v>2153250</v>
      </c>
      <c r="I9" s="2">
        <v>527900</v>
      </c>
      <c r="J9" s="27">
        <v>0.61</v>
      </c>
      <c r="K9" s="2">
        <f t="shared" si="11"/>
        <v>322019</v>
      </c>
      <c r="L9" s="2">
        <v>947200</v>
      </c>
      <c r="M9" s="2">
        <f t="shared" si="12"/>
        <v>910900</v>
      </c>
      <c r="N9" s="2">
        <v>1858100</v>
      </c>
      <c r="P9" s="27">
        <f t="shared" si="13"/>
        <v>0.15884505677842958</v>
      </c>
      <c r="Q9" s="27">
        <f t="shared" si="14"/>
        <v>-0.37933910984338842</v>
      </c>
      <c r="R9" s="27">
        <f t="shared" si="15"/>
        <v>-0.64533663419622189</v>
      </c>
    </row>
    <row r="10" spans="1:18" s="26" customFormat="1" ht="15.75" customHeight="1" x14ac:dyDescent="0.25">
      <c r="A10" s="26" t="s">
        <v>36</v>
      </c>
      <c r="B10" s="17">
        <v>557000</v>
      </c>
      <c r="C10" s="32">
        <v>0.8</v>
      </c>
      <c r="D10" s="17">
        <f t="shared" si="8"/>
        <v>445600</v>
      </c>
      <c r="E10" s="2">
        <f t="shared" si="9"/>
        <v>1002600</v>
      </c>
      <c r="F10" s="2">
        <v>1100000</v>
      </c>
      <c r="G10" s="2">
        <f t="shared" si="10"/>
        <v>2102600</v>
      </c>
      <c r="I10" s="2">
        <v>598200</v>
      </c>
      <c r="J10" s="27">
        <v>0.7</v>
      </c>
      <c r="K10" s="2">
        <f t="shared" ref="K10" si="18">J10*I10</f>
        <v>418740</v>
      </c>
      <c r="L10" s="2">
        <v>1060600</v>
      </c>
      <c r="M10" s="2">
        <f t="shared" ref="M10" si="19">N10-L10</f>
        <v>881000</v>
      </c>
      <c r="N10" s="2">
        <v>1941600</v>
      </c>
      <c r="P10" s="27">
        <f t="shared" si="13"/>
        <v>8.2921302018953438E-2</v>
      </c>
      <c r="Q10" s="27">
        <f t="shared" si="14"/>
        <v>-0.48362175525339923</v>
      </c>
      <c r="R10" s="27">
        <f t="shared" si="15"/>
        <v>-0.71312319736299956</v>
      </c>
    </row>
    <row r="11" spans="1:18" s="26" customFormat="1" ht="15.75" customHeight="1" x14ac:dyDescent="0.25">
      <c r="A11" s="26" t="s">
        <v>28</v>
      </c>
      <c r="B11" s="17">
        <v>535000</v>
      </c>
      <c r="C11" s="31">
        <v>0.75</v>
      </c>
      <c r="D11" s="17">
        <f t="shared" si="8"/>
        <v>401250</v>
      </c>
      <c r="E11" s="2">
        <f t="shared" si="9"/>
        <v>936250</v>
      </c>
      <c r="F11" s="2">
        <v>1000000</v>
      </c>
      <c r="G11" s="2">
        <f t="shared" si="10"/>
        <v>1936250</v>
      </c>
      <c r="I11" s="2">
        <v>582100</v>
      </c>
      <c r="J11" s="27">
        <v>0.7</v>
      </c>
      <c r="K11" s="2">
        <f t="shared" si="11"/>
        <v>407470</v>
      </c>
      <c r="L11" s="2">
        <v>1027200</v>
      </c>
      <c r="M11" s="2">
        <f t="shared" si="12"/>
        <v>1020600</v>
      </c>
      <c r="N11" s="2">
        <v>2047800</v>
      </c>
      <c r="P11" s="27">
        <f t="shared" si="13"/>
        <v>-5.4473093075495652E-2</v>
      </c>
      <c r="Q11" s="27">
        <f t="shared" si="14"/>
        <v>-0.54280203144838368</v>
      </c>
      <c r="R11" s="27">
        <f t="shared" si="15"/>
        <v>-0.73874401797050493</v>
      </c>
    </row>
    <row r="12" spans="1:18" s="26" customFormat="1" ht="15.75" customHeight="1" x14ac:dyDescent="0.25">
      <c r="A12" s="26" t="s">
        <v>22</v>
      </c>
      <c r="B12" s="17">
        <v>530000</v>
      </c>
      <c r="C12" s="28">
        <v>0.75</v>
      </c>
      <c r="D12" s="17">
        <f>B12*C12</f>
        <v>397500</v>
      </c>
      <c r="E12" s="2">
        <f>B12+D12</f>
        <v>927500</v>
      </c>
      <c r="F12" s="2">
        <v>832000</v>
      </c>
      <c r="G12" s="2">
        <f>F12+E12</f>
        <v>1759500</v>
      </c>
      <c r="I12" s="2">
        <v>561100</v>
      </c>
      <c r="J12" s="27">
        <v>0.6</v>
      </c>
      <c r="K12" s="2">
        <f>J12*I12</f>
        <v>336660</v>
      </c>
      <c r="L12" s="2">
        <v>960400</v>
      </c>
      <c r="M12" s="2">
        <f>N12-L12</f>
        <v>857400</v>
      </c>
      <c r="N12" s="2">
        <v>1817800</v>
      </c>
      <c r="P12" s="27">
        <f>(G12-N12)/N12</f>
        <v>-3.2071735064363519E-2</v>
      </c>
      <c r="Q12" s="27">
        <f>(E12-N12)/N12</f>
        <v>-0.48976785124876226</v>
      </c>
      <c r="R12" s="27">
        <f>(B12-N12)/N12</f>
        <v>-0.7084387721421499</v>
      </c>
    </row>
    <row r="13" spans="1:18" s="4" customFormat="1" ht="15.75" customHeight="1" x14ac:dyDescent="0.25">
      <c r="A13" s="26" t="s">
        <v>37</v>
      </c>
      <c r="B13" s="17">
        <v>475000</v>
      </c>
      <c r="C13" s="31">
        <v>0.6</v>
      </c>
      <c r="D13" s="17">
        <f t="shared" si="0"/>
        <v>285000</v>
      </c>
      <c r="E13" s="2">
        <f t="shared" si="1"/>
        <v>760000</v>
      </c>
      <c r="F13" s="2">
        <v>475000</v>
      </c>
      <c r="G13" s="2">
        <f t="shared" si="2"/>
        <v>1235000</v>
      </c>
      <c r="H13" s="26"/>
      <c r="I13" s="2">
        <v>483800</v>
      </c>
      <c r="J13" s="27">
        <v>0.56000000000000005</v>
      </c>
      <c r="K13" s="2">
        <f t="shared" ref="K13:K19" si="20">J13*I13</f>
        <v>270928</v>
      </c>
      <c r="L13" s="2">
        <v>737200</v>
      </c>
      <c r="M13" s="2">
        <f t="shared" ref="M13:M19" si="21">N13-L13</f>
        <v>555200</v>
      </c>
      <c r="N13" s="2">
        <v>1292400</v>
      </c>
      <c r="P13" s="18">
        <f t="shared" si="5"/>
        <v>-4.4413494274218507E-2</v>
      </c>
      <c r="Q13" s="18">
        <f t="shared" si="6"/>
        <v>-0.41194676570721139</v>
      </c>
      <c r="R13" s="18">
        <f t="shared" si="7"/>
        <v>-0.63246672856700714</v>
      </c>
    </row>
    <row r="14" spans="1:18" s="4" customFormat="1" ht="15.75" customHeight="1" x14ac:dyDescent="0.25">
      <c r="A14" s="26" t="s">
        <v>38</v>
      </c>
      <c r="B14" s="17">
        <v>342000</v>
      </c>
      <c r="C14" s="31">
        <v>0.45</v>
      </c>
      <c r="D14" s="17">
        <f t="shared" si="0"/>
        <v>153900</v>
      </c>
      <c r="E14" s="2">
        <f t="shared" si="1"/>
        <v>495900</v>
      </c>
      <c r="F14" s="2">
        <v>300000</v>
      </c>
      <c r="G14" s="2">
        <f t="shared" si="2"/>
        <v>795900</v>
      </c>
      <c r="H14" s="26"/>
      <c r="I14" s="2">
        <v>310600</v>
      </c>
      <c r="J14" s="27">
        <v>0.45</v>
      </c>
      <c r="K14" s="2">
        <f t="shared" si="20"/>
        <v>139770</v>
      </c>
      <c r="L14" s="2">
        <v>490700</v>
      </c>
      <c r="M14" s="2">
        <f t="shared" si="21"/>
        <v>191400</v>
      </c>
      <c r="N14" s="2">
        <v>682100</v>
      </c>
      <c r="P14" s="18">
        <f t="shared" si="5"/>
        <v>0.16683770708107315</v>
      </c>
      <c r="Q14" s="18">
        <f t="shared" si="6"/>
        <v>-0.27298050139275765</v>
      </c>
      <c r="R14" s="18">
        <f t="shared" si="7"/>
        <v>-0.49860724233983289</v>
      </c>
    </row>
    <row r="15" spans="1:18" s="26" customFormat="1" ht="15.75" customHeight="1" x14ac:dyDescent="0.25">
      <c r="A15" s="26" t="s">
        <v>29</v>
      </c>
      <c r="B15" s="40">
        <v>407000</v>
      </c>
      <c r="C15" s="28">
        <v>0.57499999999999996</v>
      </c>
      <c r="D15" s="40">
        <f t="shared" si="0"/>
        <v>234024.99999999997</v>
      </c>
      <c r="E15" s="41">
        <f t="shared" si="1"/>
        <v>641025</v>
      </c>
      <c r="F15" s="41">
        <v>285000</v>
      </c>
      <c r="G15" s="41">
        <f t="shared" si="2"/>
        <v>926025</v>
      </c>
      <c r="I15" s="2">
        <v>344000</v>
      </c>
      <c r="J15" s="27">
        <v>0.47</v>
      </c>
      <c r="K15" s="2">
        <f t="shared" ref="K15" si="22">J15*I15</f>
        <v>161680</v>
      </c>
      <c r="L15" s="2">
        <v>497800</v>
      </c>
      <c r="M15" s="2">
        <f t="shared" ref="M15" si="23">N15-L15</f>
        <v>222600</v>
      </c>
      <c r="N15" s="2">
        <v>720400</v>
      </c>
      <c r="P15" s="27">
        <f t="shared" ref="P15" si="24">(G15-N15)/N15</f>
        <v>0.28543170460855083</v>
      </c>
      <c r="Q15" s="27">
        <f t="shared" ref="Q15" si="25">(E15-N15)/N15</f>
        <v>-0.11018184342032204</v>
      </c>
      <c r="R15" s="27">
        <f t="shared" ref="R15" si="26">(B15-N15)/N15</f>
        <v>-0.43503609106052193</v>
      </c>
    </row>
    <row r="16" spans="1:18" s="4" customFormat="1" ht="15.75" customHeight="1" x14ac:dyDescent="0.25">
      <c r="A16" s="26" t="s">
        <v>39</v>
      </c>
      <c r="B16" s="17">
        <v>428125</v>
      </c>
      <c r="C16" s="28">
        <v>0.57499999999999996</v>
      </c>
      <c r="D16" s="17">
        <f>B16*C16</f>
        <v>246171.87499999997</v>
      </c>
      <c r="E16" s="2">
        <f>B16+D16</f>
        <v>674296.875</v>
      </c>
      <c r="F16" s="2">
        <v>344000</v>
      </c>
      <c r="G16" s="2">
        <f>F16+E16</f>
        <v>1018296.875</v>
      </c>
      <c r="H16" s="26"/>
      <c r="I16" s="2">
        <v>413700</v>
      </c>
      <c r="J16" s="27">
        <v>0.5</v>
      </c>
      <c r="K16" s="2">
        <f>J16*I16</f>
        <v>206850</v>
      </c>
      <c r="L16" s="2">
        <v>620600</v>
      </c>
      <c r="M16" s="2">
        <f>N16-L16</f>
        <v>176700</v>
      </c>
      <c r="N16" s="2">
        <v>797300</v>
      </c>
      <c r="P16" s="18">
        <f>(G16-N16)/N16</f>
        <v>0.27718158158785905</v>
      </c>
      <c r="Q16" s="18">
        <f>(E16-N16)/N16</f>
        <v>-0.15427458296751537</v>
      </c>
      <c r="R16" s="18">
        <f>(B16-N16)/N16</f>
        <v>-0.46303148124921611</v>
      </c>
    </row>
    <row r="17" spans="1:18" s="4" customFormat="1" ht="15.75" customHeight="1" x14ac:dyDescent="0.25">
      <c r="A17" s="26" t="s">
        <v>40</v>
      </c>
      <c r="B17" s="17">
        <v>378625</v>
      </c>
      <c r="C17" s="32">
        <v>0.5</v>
      </c>
      <c r="D17" s="17">
        <f>B17*C17</f>
        <v>189312.5</v>
      </c>
      <c r="E17" s="2">
        <f>B17+D17</f>
        <v>567937.5</v>
      </c>
      <c r="F17" s="2">
        <v>344000</v>
      </c>
      <c r="G17" s="2">
        <f>F17+E17</f>
        <v>911937.5</v>
      </c>
      <c r="H17" s="26"/>
      <c r="I17" s="2">
        <v>398100</v>
      </c>
      <c r="J17" s="27">
        <v>0.5</v>
      </c>
      <c r="K17" s="2">
        <f>J17*I17</f>
        <v>199050</v>
      </c>
      <c r="L17" s="2">
        <v>603600</v>
      </c>
      <c r="M17" s="2">
        <f>N17-L17</f>
        <v>314800</v>
      </c>
      <c r="N17" s="2">
        <v>918400</v>
      </c>
      <c r="P17" s="18">
        <f>(G17-N17)/N17</f>
        <v>-7.0366942508710804E-3</v>
      </c>
      <c r="Q17" s="18">
        <f>(E17-N17)/N17</f>
        <v>-0.38160115418118468</v>
      </c>
      <c r="R17" s="18">
        <f>(B17-N17)/N17</f>
        <v>-0.58773410278745641</v>
      </c>
    </row>
    <row r="18" spans="1:18" s="4" customFormat="1" ht="15.75" customHeight="1" x14ac:dyDescent="0.25">
      <c r="A18" s="26" t="s">
        <v>30</v>
      </c>
      <c r="B18" s="17">
        <v>449750</v>
      </c>
      <c r="C18" s="31">
        <v>0.5</v>
      </c>
      <c r="D18" s="17">
        <f>B18*C18</f>
        <v>224875</v>
      </c>
      <c r="E18" s="2">
        <f>B18+D18</f>
        <v>674625</v>
      </c>
      <c r="F18" s="2">
        <v>344000</v>
      </c>
      <c r="G18" s="2">
        <f>F18+E18</f>
        <v>1018625</v>
      </c>
      <c r="H18" s="26"/>
      <c r="I18" s="2">
        <v>425800</v>
      </c>
      <c r="J18" s="27">
        <v>0.45</v>
      </c>
      <c r="K18" s="2">
        <f>J18*I18</f>
        <v>191610</v>
      </c>
      <c r="L18" s="2">
        <v>633600</v>
      </c>
      <c r="M18" s="2">
        <f>N18-L18</f>
        <v>315200</v>
      </c>
      <c r="N18" s="2">
        <v>948800</v>
      </c>
      <c r="P18" s="18">
        <f>(G18-N18)/N18</f>
        <v>7.3592959527824617E-2</v>
      </c>
      <c r="Q18" s="18">
        <f>(E18-N18)/N18</f>
        <v>-0.28897027824620575</v>
      </c>
      <c r="R18" s="18">
        <f>(B18-N18)/N18</f>
        <v>-0.5259801854974705</v>
      </c>
    </row>
    <row r="19" spans="1:18" s="4" customFormat="1" ht="15.75" customHeight="1" x14ac:dyDescent="0.25">
      <c r="A19" s="26" t="s">
        <v>18</v>
      </c>
      <c r="B19" s="17">
        <v>383000</v>
      </c>
      <c r="C19" s="31">
        <v>0.5</v>
      </c>
      <c r="D19" s="17">
        <f t="shared" si="0"/>
        <v>191500</v>
      </c>
      <c r="E19" s="2">
        <f t="shared" si="1"/>
        <v>574500</v>
      </c>
      <c r="F19" s="2">
        <v>285000</v>
      </c>
      <c r="G19" s="2">
        <f t="shared" si="2"/>
        <v>859500</v>
      </c>
      <c r="H19" s="26"/>
      <c r="I19" s="2">
        <v>331000</v>
      </c>
      <c r="J19" s="27">
        <v>0.38</v>
      </c>
      <c r="K19" s="2">
        <f t="shared" si="20"/>
        <v>125780</v>
      </c>
      <c r="L19" s="2">
        <v>474800</v>
      </c>
      <c r="M19" s="2">
        <f t="shared" si="21"/>
        <v>179900</v>
      </c>
      <c r="N19" s="2">
        <v>654700</v>
      </c>
      <c r="P19" s="18">
        <f t="shared" si="5"/>
        <v>0.31281502978463416</v>
      </c>
      <c r="Q19" s="18">
        <f t="shared" si="6"/>
        <v>-0.12249885443714678</v>
      </c>
      <c r="R19" s="18">
        <f t="shared" si="7"/>
        <v>-0.41499923629143121</v>
      </c>
    </row>
    <row r="20" spans="1:18" ht="15.75" customHeight="1" x14ac:dyDescent="0.25">
      <c r="A20" s="33" t="s">
        <v>2</v>
      </c>
      <c r="B20" s="33"/>
      <c r="C20" s="33"/>
      <c r="D20" s="34"/>
      <c r="E20" s="34"/>
      <c r="F20" s="26"/>
      <c r="G20" s="26"/>
      <c r="H20" s="26"/>
      <c r="I20" s="26"/>
      <c r="J20" s="26"/>
      <c r="K20" s="26"/>
      <c r="L20" s="26"/>
      <c r="M20" s="26"/>
      <c r="N20" s="26"/>
      <c r="P20" s="18"/>
      <c r="Q20" s="18"/>
      <c r="R20" s="18"/>
    </row>
    <row r="21" spans="1:18" ht="15.75" customHeight="1" x14ac:dyDescent="0.25">
      <c r="A21" s="11" t="s">
        <v>25</v>
      </c>
      <c r="B21" s="20"/>
      <c r="C21" s="20"/>
      <c r="D21" s="21"/>
      <c r="E21" s="22"/>
      <c r="P21" s="19">
        <f>AVERAGE(P4:P20)</f>
        <v>5.0721359088832435E-2</v>
      </c>
      <c r="Q21" s="19">
        <f>AVERAGE(Q4:Q20)</f>
        <v>-0.41686075591505412</v>
      </c>
      <c r="R21" s="19">
        <f>AVERAGE(R4:R20)</f>
        <v>-0.64335683669566412</v>
      </c>
    </row>
    <row r="22" spans="1:18" ht="15.75" customHeight="1" x14ac:dyDescent="0.25">
      <c r="A22" s="23" t="s">
        <v>26</v>
      </c>
      <c r="B22" s="24"/>
      <c r="C22" s="24"/>
      <c r="D22" s="24"/>
      <c r="E22" s="24"/>
      <c r="F22" s="24"/>
      <c r="G22" s="24"/>
      <c r="H22" s="24"/>
      <c r="I22" s="24"/>
      <c r="J22" s="24"/>
      <c r="K22" s="24"/>
      <c r="L22" s="24"/>
      <c r="M22" s="24"/>
      <c r="N22" s="24"/>
      <c r="P22" s="3"/>
      <c r="Q22" s="3"/>
      <c r="R22" s="3"/>
    </row>
    <row r="23" spans="1:18" ht="15.75" customHeight="1" x14ac:dyDescent="0.25">
      <c r="A23" s="37" t="s">
        <v>23</v>
      </c>
    </row>
    <row r="24" spans="1:18" ht="15.75" customHeight="1" x14ac:dyDescent="0.25">
      <c r="A24" s="11" t="s">
        <v>24</v>
      </c>
      <c r="B24" s="20"/>
      <c r="C24" s="20"/>
    </row>
    <row r="25" spans="1:18" x14ac:dyDescent="0.25">
      <c r="A25" s="25"/>
    </row>
  </sheetData>
  <mergeCells count="5">
    <mergeCell ref="B2:G2"/>
    <mergeCell ref="I2:N2"/>
    <mergeCell ref="P2:P3"/>
    <mergeCell ref="Q2:Q3"/>
    <mergeCell ref="R2:R3"/>
  </mergeCells>
  <conditionalFormatting sqref="P12:R14 P16:R19 P4:R8">
    <cfRule type="cellIs" dxfId="13" priority="13" operator="greaterThan">
      <formula>0.15</formula>
    </cfRule>
    <cfRule type="cellIs" dxfId="12" priority="14" operator="lessThan">
      <formula>-0.15</formula>
    </cfRule>
  </conditionalFormatting>
  <conditionalFormatting sqref="P20:R20">
    <cfRule type="cellIs" dxfId="11" priority="11" operator="greaterThan">
      <formula>0.15</formula>
    </cfRule>
    <cfRule type="cellIs" dxfId="10" priority="12" operator="lessThan">
      <formula>-0.15</formula>
    </cfRule>
  </conditionalFormatting>
  <conditionalFormatting sqref="P6:R6">
    <cfRule type="cellIs" dxfId="9" priority="9" operator="greaterThan">
      <formula>0.15</formula>
    </cfRule>
    <cfRule type="cellIs" dxfId="8" priority="10" operator="lessThan">
      <formula>-0.15</formula>
    </cfRule>
  </conditionalFormatting>
  <conditionalFormatting sqref="P10:R10">
    <cfRule type="cellIs" dxfId="7" priority="7" operator="greaterThan">
      <formula>0.15</formula>
    </cfRule>
    <cfRule type="cellIs" dxfId="6" priority="8" operator="lessThan">
      <formula>-0.15</formula>
    </cfRule>
  </conditionalFormatting>
  <conditionalFormatting sqref="P9:R9">
    <cfRule type="cellIs" dxfId="5" priority="5" operator="greaterThan">
      <formula>0.15</formula>
    </cfRule>
    <cfRule type="cellIs" dxfId="4" priority="6" operator="lessThan">
      <formula>-0.15</formula>
    </cfRule>
  </conditionalFormatting>
  <conditionalFormatting sqref="P11:R12">
    <cfRule type="cellIs" dxfId="3" priority="3" operator="greaterThan">
      <formula>0.15</formula>
    </cfRule>
    <cfRule type="cellIs" dxfId="2" priority="4" operator="lessThan">
      <formula>-0.15</formula>
    </cfRule>
  </conditionalFormatting>
  <conditionalFormatting sqref="P15:R15">
    <cfRule type="cellIs" dxfId="1" priority="1" operator="greaterThan">
      <formula>0.15</formula>
    </cfRule>
    <cfRule type="cellIs" dxfId="0" priority="2" operator="lessThan">
      <formula>-0.15</formula>
    </cfRule>
  </conditionalFormatting>
  <pageMargins left="0.25" right="0.25" top="0.75" bottom="0.75" header="0.3" footer="0.3"/>
  <pageSetup scale="57" fitToHeight="0" orientation="landscape" r:id="rId1"/>
  <headerFooter>
    <oddHeader>&amp;CCONFIDENTIAL: VYO_6 W/P&amp;RDocket No. 56165
Exhibit ARC-7
Page &amp;P of &amp;N</oddHeader>
    <oddFooter>&amp;C&amp;"Calibri,Regular"&amp;11&amp;B&amp;K000000AEP CONFIDENTIAL</oddFooter>
    <evenFooter>&amp;C&amp;"Calibri,Regular"&amp;11&amp;B&amp;K000000AEP CONFIDENTIAL</evenFooter>
    <firstFooter>&amp;C&amp;"Calibri,Regular"&amp;11&amp;B&amp;K000000AEP CONFIDENTIAL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fitToPage="1"/>
  </sheetPr>
  <dimension ref="A2:H18"/>
  <sheetViews>
    <sheetView tabSelected="1" workbookViewId="0">
      <selection activeCell="A22" sqref="A22"/>
    </sheetView>
  </sheetViews>
  <sheetFormatPr defaultColWidth="9.21875" defaultRowHeight="13.2" x14ac:dyDescent="0.25"/>
  <cols>
    <col min="1" max="1" width="10.77734375" style="7" bestFit="1" customWidth="1"/>
    <col min="2" max="5" width="9.21875" style="7"/>
    <col min="6" max="6" width="13.5546875" style="7" bestFit="1" customWidth="1"/>
    <col min="7" max="7" width="11" style="7" bestFit="1" customWidth="1"/>
    <col min="8" max="16384" width="9.21875" style="7"/>
  </cols>
  <sheetData>
    <row r="2" spans="1:8" ht="79.2" x14ac:dyDescent="0.25">
      <c r="A2" s="5" t="s">
        <v>12</v>
      </c>
      <c r="B2" s="29" t="s">
        <v>19</v>
      </c>
      <c r="C2" s="30" t="s">
        <v>20</v>
      </c>
      <c r="D2" s="30" t="s">
        <v>21</v>
      </c>
      <c r="E2" s="6" t="s">
        <v>3</v>
      </c>
      <c r="F2" s="6" t="s">
        <v>4</v>
      </c>
      <c r="G2" s="9" t="s">
        <v>6</v>
      </c>
      <c r="H2" s="6" t="s">
        <v>5</v>
      </c>
    </row>
    <row r="3" spans="1:8" x14ac:dyDescent="0.25">
      <c r="A3" s="26" t="s">
        <v>18</v>
      </c>
      <c r="B3" s="8">
        <f>VLOOKUP($A3,Exec!$A:$R,16,FALSE)+1</f>
        <v>1.3128150297846342</v>
      </c>
      <c r="C3" s="8">
        <f>VLOOKUP($A3,Exec!$A:$R,17,FALSE)+1</f>
        <v>0.87750114556285319</v>
      </c>
      <c r="D3" s="8">
        <f>VLOOKUP($A3,Exec!$A:$R,18,FALSE)+1</f>
        <v>0.58500076370856879</v>
      </c>
      <c r="E3" s="8">
        <v>0.85</v>
      </c>
      <c r="F3" s="8">
        <v>1</v>
      </c>
      <c r="G3" s="8">
        <v>0.3</v>
      </c>
      <c r="H3" s="8">
        <v>0.35</v>
      </c>
    </row>
    <row r="4" spans="1:8" x14ac:dyDescent="0.25">
      <c r="A4" s="26" t="s">
        <v>29</v>
      </c>
      <c r="B4" s="8">
        <f>VLOOKUP($A4,Exec!$A:$R,16,FALSE)+1</f>
        <v>1.2854317046085508</v>
      </c>
      <c r="C4" s="8">
        <f>VLOOKUP($A4,Exec!$A:$R,17,FALSE)+1</f>
        <v>0.889818156579678</v>
      </c>
      <c r="D4" s="8">
        <f>VLOOKUP($A4,Exec!$A:$R,18,FALSE)+1</f>
        <v>0.56496390893947801</v>
      </c>
      <c r="E4" s="8">
        <v>0.85</v>
      </c>
      <c r="F4" s="8">
        <v>1</v>
      </c>
      <c r="G4" s="8">
        <v>0.3</v>
      </c>
      <c r="H4" s="8">
        <v>0.35</v>
      </c>
    </row>
    <row r="5" spans="1:8" ht="15.6" x14ac:dyDescent="0.25">
      <c r="A5" s="26" t="s">
        <v>39</v>
      </c>
      <c r="B5" s="8">
        <f>VLOOKUP($A5,Exec!$A:$R,16,FALSE)+1</f>
        <v>1.2771815815878591</v>
      </c>
      <c r="C5" s="8">
        <f>VLOOKUP($A5,Exec!$A:$R,17,FALSE)+1</f>
        <v>0.84572541703248461</v>
      </c>
      <c r="D5" s="8">
        <f>VLOOKUP($A5,Exec!$A:$R,18,FALSE)+1</f>
        <v>0.53696851875078389</v>
      </c>
      <c r="E5" s="8">
        <v>0.85</v>
      </c>
      <c r="F5" s="8">
        <v>1</v>
      </c>
      <c r="G5" s="8">
        <v>0.3</v>
      </c>
      <c r="H5" s="8">
        <v>0.35</v>
      </c>
    </row>
    <row r="6" spans="1:8" x14ac:dyDescent="0.25">
      <c r="A6" s="26" t="s">
        <v>38</v>
      </c>
      <c r="B6" s="8">
        <f>VLOOKUP($A6,Exec!$A:$R,16,FALSE)+1</f>
        <v>1.1668377070810731</v>
      </c>
      <c r="C6" s="8">
        <f>VLOOKUP($A6,Exec!$A:$R,17,FALSE)+1</f>
        <v>0.72701949860724235</v>
      </c>
      <c r="D6" s="8">
        <f>VLOOKUP($A6,Exec!$A:$R,18,FALSE)+1</f>
        <v>0.50139275766016711</v>
      </c>
      <c r="E6" s="8">
        <v>0.85</v>
      </c>
      <c r="F6" s="8">
        <v>1</v>
      </c>
      <c r="G6" s="8">
        <v>0.3</v>
      </c>
      <c r="H6" s="8">
        <v>0.35</v>
      </c>
    </row>
    <row r="7" spans="1:8" ht="15.6" x14ac:dyDescent="0.25">
      <c r="A7" s="26" t="s">
        <v>35</v>
      </c>
      <c r="B7" s="8">
        <f>VLOOKUP($A7,Exec!$A:$R,16,FALSE)+1</f>
        <v>1.1588450567784296</v>
      </c>
      <c r="C7" s="8">
        <f>VLOOKUP($A7,Exec!$A:$R,17,FALSE)+1</f>
        <v>0.62066089015661152</v>
      </c>
      <c r="D7" s="8">
        <f>VLOOKUP($A7,Exec!$A:$R,18,FALSE)+1</f>
        <v>0.35466336580377811</v>
      </c>
      <c r="E7" s="8">
        <v>0.85</v>
      </c>
      <c r="F7" s="8">
        <v>1</v>
      </c>
      <c r="G7" s="8">
        <v>0.3</v>
      </c>
      <c r="H7" s="8">
        <v>0.35</v>
      </c>
    </row>
    <row r="8" spans="1:8" x14ac:dyDescent="0.25">
      <c r="A8" s="26" t="s">
        <v>36</v>
      </c>
      <c r="B8" s="8">
        <f>VLOOKUP($A8,Exec!$A:$R,16,FALSE)+1</f>
        <v>1.0829213020189534</v>
      </c>
      <c r="C8" s="8">
        <f>VLOOKUP($A8,Exec!$A:$R,17,FALSE)+1</f>
        <v>0.51637824474660077</v>
      </c>
      <c r="D8" s="8">
        <f>VLOOKUP($A8,Exec!$A:$R,18,FALSE)+1</f>
        <v>0.28687680263700044</v>
      </c>
      <c r="E8" s="8">
        <v>0.85</v>
      </c>
      <c r="F8" s="8">
        <v>1</v>
      </c>
      <c r="G8" s="8">
        <v>0.3</v>
      </c>
      <c r="H8" s="8">
        <v>0.35</v>
      </c>
    </row>
    <row r="9" spans="1:8" x14ac:dyDescent="0.25">
      <c r="A9" s="26" t="s">
        <v>30</v>
      </c>
      <c r="B9" s="8">
        <f>VLOOKUP($A9,Exec!$A:$R,16,FALSE)+1</f>
        <v>1.0735929595278246</v>
      </c>
      <c r="C9" s="8">
        <f>VLOOKUP($A9,Exec!$A:$R,17,FALSE)+1</f>
        <v>0.7110297217537942</v>
      </c>
      <c r="D9" s="8">
        <f>VLOOKUP($A9,Exec!$A:$R,18,FALSE)+1</f>
        <v>0.4740198145025295</v>
      </c>
      <c r="E9" s="8">
        <v>0.85</v>
      </c>
      <c r="F9" s="8">
        <v>1</v>
      </c>
      <c r="G9" s="8">
        <v>0.3</v>
      </c>
      <c r="H9" s="8">
        <v>0.35</v>
      </c>
    </row>
    <row r="10" spans="1:8" x14ac:dyDescent="0.25">
      <c r="A10" s="26" t="s">
        <v>34</v>
      </c>
      <c r="B10" s="8">
        <f>VLOOKUP($A10,Exec!$A:$R,16,FALSE)+1</f>
        <v>1.035766826038985</v>
      </c>
      <c r="C10" s="8">
        <f>VLOOKUP($A10,Exec!$A:$R,17,FALSE)+1</f>
        <v>0.4840934166973152</v>
      </c>
      <c r="D10" s="8">
        <f>VLOOKUP($A10,Exec!$A:$R,18,FALSE)+1</f>
        <v>0.26894078705406399</v>
      </c>
      <c r="E10" s="8">
        <v>0.85</v>
      </c>
      <c r="F10" s="8">
        <v>1</v>
      </c>
      <c r="G10" s="8">
        <v>0.3</v>
      </c>
      <c r="H10" s="8">
        <v>0.35</v>
      </c>
    </row>
    <row r="11" spans="1:8" x14ac:dyDescent="0.25">
      <c r="A11" s="26" t="s">
        <v>27</v>
      </c>
      <c r="B11" s="8">
        <f>VLOOKUP($A11,Exec!$A:$R,16,FALSE)+1</f>
        <v>1.035766826038985</v>
      </c>
      <c r="C11" s="8">
        <f>VLOOKUP($A11,Exec!$A:$R,17,FALSE)+1</f>
        <v>0.4840934166973152</v>
      </c>
      <c r="D11" s="8">
        <f>VLOOKUP($A11,Exec!$A:$R,18,FALSE)+1</f>
        <v>0.26894078705406399</v>
      </c>
      <c r="E11" s="8">
        <v>0.85</v>
      </c>
      <c r="F11" s="8">
        <v>1</v>
      </c>
      <c r="G11" s="8">
        <v>0.3</v>
      </c>
      <c r="H11" s="8">
        <v>0.35</v>
      </c>
    </row>
    <row r="12" spans="1:8" x14ac:dyDescent="0.25">
      <c r="A12" s="26" t="s">
        <v>40</v>
      </c>
      <c r="B12" s="8">
        <f>VLOOKUP($A12,Exec!$A:$R,16,FALSE)+1</f>
        <v>0.99296330574912894</v>
      </c>
      <c r="C12" s="8">
        <f>VLOOKUP($A12,Exec!$A:$R,17,FALSE)+1</f>
        <v>0.61839884581881532</v>
      </c>
      <c r="D12" s="8">
        <f>VLOOKUP($A12,Exec!$A:$R,18,FALSE)+1</f>
        <v>0.41226589721254359</v>
      </c>
      <c r="E12" s="8">
        <v>0.85</v>
      </c>
      <c r="F12" s="8">
        <v>1</v>
      </c>
      <c r="G12" s="8">
        <v>0.3</v>
      </c>
      <c r="H12" s="8">
        <v>0.35</v>
      </c>
    </row>
    <row r="13" spans="1:8" x14ac:dyDescent="0.25">
      <c r="A13" s="26" t="s">
        <v>22</v>
      </c>
      <c r="B13" s="8">
        <f>VLOOKUP($A13,Exec!$A:$R,16,FALSE)+1</f>
        <v>0.96792826493563644</v>
      </c>
      <c r="C13" s="8">
        <f>VLOOKUP($A13,Exec!$A:$R,17,FALSE)+1</f>
        <v>0.51023214875123779</v>
      </c>
      <c r="D13" s="8">
        <f>VLOOKUP($A13,Exec!$A:$R,18,FALSE)+1</f>
        <v>0.2915612278578501</v>
      </c>
      <c r="E13" s="8">
        <v>0.85</v>
      </c>
      <c r="F13" s="8">
        <v>1</v>
      </c>
      <c r="G13" s="8">
        <v>0.3</v>
      </c>
      <c r="H13" s="8">
        <v>0.35</v>
      </c>
    </row>
    <row r="14" spans="1:8" ht="15.6" x14ac:dyDescent="0.25">
      <c r="A14" s="26" t="s">
        <v>37</v>
      </c>
      <c r="B14" s="8">
        <f>VLOOKUP($A14,Exec!$A:$R,16,FALSE)+1</f>
        <v>0.95558650572578152</v>
      </c>
      <c r="C14" s="8">
        <f>VLOOKUP($A14,Exec!$A:$R,17,FALSE)+1</f>
        <v>0.58805323429278866</v>
      </c>
      <c r="D14" s="8">
        <f>VLOOKUP($A14,Exec!$A:$R,18,FALSE)+1</f>
        <v>0.36753327143299286</v>
      </c>
      <c r="E14" s="8">
        <v>0.85</v>
      </c>
      <c r="F14" s="8">
        <v>1</v>
      </c>
      <c r="G14" s="8">
        <v>0.3</v>
      </c>
      <c r="H14" s="8">
        <v>0.35</v>
      </c>
    </row>
    <row r="15" spans="1:8" x14ac:dyDescent="0.25">
      <c r="A15" s="26" t="s">
        <v>28</v>
      </c>
      <c r="B15" s="8">
        <f>VLOOKUP($A15,Exec!$A:$R,16,FALSE)+1</f>
        <v>0.94552690692450436</v>
      </c>
      <c r="C15" s="8">
        <f>VLOOKUP($A15,Exec!$A:$R,17,FALSE)+1</f>
        <v>0.45719796855161632</v>
      </c>
      <c r="D15" s="8">
        <f>VLOOKUP($A15,Exec!$A:$R,18,FALSE)+1</f>
        <v>0.26125598202949507</v>
      </c>
      <c r="E15" s="8">
        <v>0.85</v>
      </c>
      <c r="F15" s="8">
        <v>1</v>
      </c>
      <c r="G15" s="8">
        <v>0.3</v>
      </c>
      <c r="H15" s="8">
        <v>0.35</v>
      </c>
    </row>
    <row r="16" spans="1:8" x14ac:dyDescent="0.25">
      <c r="A16" s="26" t="s">
        <v>33</v>
      </c>
      <c r="B16" s="39">
        <f>VLOOKUP($A16,Exec!$A:$R,16,FALSE)+1</f>
        <v>0.9124764196968711</v>
      </c>
      <c r="C16" s="39">
        <f>VLOOKUP($A16,Exec!$A:$R,17,FALSE)+1</f>
        <v>0.42460807909972031</v>
      </c>
      <c r="D16" s="39">
        <f>VLOOKUP($A16,Exec!$A:$R,18,FALSE)+1</f>
        <v>0.24263318805698297</v>
      </c>
      <c r="E16" s="8">
        <v>0.85</v>
      </c>
      <c r="F16" s="8">
        <v>1</v>
      </c>
      <c r="G16" s="8">
        <v>0.3</v>
      </c>
      <c r="H16" s="8">
        <v>0.35</v>
      </c>
    </row>
    <row r="17" spans="1:8" x14ac:dyDescent="0.25">
      <c r="A17" s="26" t="s">
        <v>31</v>
      </c>
      <c r="B17" s="8">
        <f>VLOOKUP($A17,Exec!$A:$R,16,FALSE)+1</f>
        <v>0.82696082490169243</v>
      </c>
      <c r="C17" s="8">
        <f>VLOOKUP($A17,Exec!$A:$R,17,FALSE)+1</f>
        <v>0.21890139482691862</v>
      </c>
      <c r="D17" s="8">
        <f>VLOOKUP($A17,Exec!$A:$R,18,FALSE)+1</f>
        <v>9.1208914511216044E-2</v>
      </c>
      <c r="E17" s="8">
        <v>0.85</v>
      </c>
      <c r="F17" s="8">
        <v>1</v>
      </c>
      <c r="G17" s="8">
        <v>0.3</v>
      </c>
      <c r="H17" s="8">
        <v>0.35</v>
      </c>
    </row>
    <row r="18" spans="1:8" x14ac:dyDescent="0.25">
      <c r="A18" s="26" t="s">
        <v>32</v>
      </c>
      <c r="B18" s="8">
        <f>VLOOKUP($A18,Exec!$A:$R,16,FALSE)+1</f>
        <v>0.78094052402240965</v>
      </c>
      <c r="C18" s="8">
        <f>VLOOKUP($A18,Exec!$A:$R,17,FALSE)+1</f>
        <v>0.35651632618414353</v>
      </c>
      <c r="D18" s="8">
        <f>VLOOKUP($A18,Exec!$A:$R,18,FALSE)+1</f>
        <v>0.19806462565785754</v>
      </c>
      <c r="E18" s="8">
        <v>0.85</v>
      </c>
      <c r="F18" s="8">
        <v>1</v>
      </c>
      <c r="G18" s="8">
        <v>0.3</v>
      </c>
      <c r="H18" s="8">
        <v>0.35</v>
      </c>
    </row>
  </sheetData>
  <autoFilter ref="A2:D18" xr:uid="{00000000-0009-0000-0000-000002000000}">
    <sortState xmlns:xlrd2="http://schemas.microsoft.com/office/spreadsheetml/2017/richdata2" ref="A4:D18">
      <sortCondition descending="1" ref="B3:B18"/>
    </sortState>
  </autoFilter>
  <sortState xmlns:xlrd2="http://schemas.microsoft.com/office/spreadsheetml/2017/richdata2" ref="A3:H18">
    <sortCondition descending="1" ref="B3:B18"/>
  </sortState>
  <pageMargins left="0.25" right="0.25" top="0.75" bottom="0.75" header="0.3" footer="0.3"/>
  <pageSetup fitToHeight="0" orientation="landscape" r:id="rId1"/>
  <headerFooter>
    <oddHeader>&amp;CCONFIDENTIAL: VYO_6 W/P&amp;RDocket No. 56165
Exhibit ARC-7
Page &amp;P of &amp;N</oddHeader>
    <oddFooter>&amp;C&amp;"Calibri,Regular"&amp;11&amp;B&amp;K000000AEP CONFIDENTIAL</oddFooter>
    <evenFooter>&amp;C&amp;"Calibri,Regular"&amp;11&amp;B&amp;K000000AEP CONFIDENTIAL</evenFooter>
    <firstFooter>&amp;C&amp;"Calibri,Regular"&amp;11&amp;B&amp;K000000AEP CONFIDENTIAL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b640fb8-5a34-41c1-9307-1b790ff29a8b">
      <Terms xmlns="http://schemas.microsoft.com/office/infopath/2007/PartnerControls"/>
    </lcf76f155ced4ddcb4097134ff3c332f>
    <_Flow_SignoffStatus xmlns="5b640fb8-5a34-41c1-9307-1b790ff29a8b" xsi:nil="true"/>
    <_ip_UnifiedCompliancePolicyProperties xmlns="http://schemas.microsoft.com/sharepoint/v3" xsi:nil="true"/>
    <TaxCatchAll xmlns="51831b8d-857f-44dd-949b-652450d1a5df" xsi:nil="true"/>
    <Operating_x0020_Company xmlns="a1040523-5304-4b09-b6d4-64a124c994e2">AEP Ohio</Operating_x0020_Compan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136CE24ED5F449BD16740FFC7FAF6F" ma:contentTypeVersion="34" ma:contentTypeDescription="Create a new document." ma:contentTypeScope="" ma:versionID="0a99a1cdd4ca07724118b4aa0f80c874">
  <xsd:schema xmlns:xsd="http://www.w3.org/2001/XMLSchema" xmlns:xs="http://www.w3.org/2001/XMLSchema" xmlns:p="http://schemas.microsoft.com/office/2006/metadata/properties" xmlns:ns1="http://schemas.microsoft.com/sharepoint/v3" xmlns:ns2="a1040523-5304-4b09-b6d4-64a124c994e2" xmlns:ns3="5b640fb8-5a34-41c1-9307-1b790ff29a8b" xmlns:ns4="51831b8d-857f-44dd-949b-652450d1a5df" targetNamespace="http://schemas.microsoft.com/office/2006/metadata/properties" ma:root="true" ma:fieldsID="0bd3e32b2c584a0e837a10f45775a766" ns1:_="" ns2:_="" ns3:_="" ns4:_="">
    <xsd:import namespace="http://schemas.microsoft.com/sharepoint/v3"/>
    <xsd:import namespace="a1040523-5304-4b09-b6d4-64a124c994e2"/>
    <xsd:import namespace="5b640fb8-5a34-41c1-9307-1b790ff29a8b"/>
    <xsd:import namespace="51831b8d-857f-44dd-949b-652450d1a5df"/>
    <xsd:element name="properties">
      <xsd:complexType>
        <xsd:sequence>
          <xsd:element name="documentManagement">
            <xsd:complexType>
              <xsd:all>
                <xsd:element ref="ns2:Operating_x0020_Company"/>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3:lcf76f155ced4ddcb4097134ff3c332f" minOccurs="0"/>
                <xsd:element ref="ns4:TaxCatchAll" minOccurs="0"/>
                <xsd:element ref="ns3:MediaServiceGenerationTime" minOccurs="0"/>
                <xsd:element ref="ns3:MediaServiceEventHashCode" minOccurs="0"/>
                <xsd:element ref="ns3:MediaServiceOCR" minOccurs="0"/>
                <xsd:element ref="ns3:MediaServiceObjectDetectorVersions" minOccurs="0"/>
                <xsd:element ref="ns3:_Flow_SignoffStatus" minOccurs="0"/>
                <xsd:element ref="ns1:_ip_UnifiedCompliancePolicyProperties" minOccurs="0"/>
                <xsd:element ref="ns1:_ip_UnifiedCompliancePolicyUIAction"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040523-5304-4b09-b6d4-64a124c994e2" elementFormDefault="qualified">
    <xsd:import namespace="http://schemas.microsoft.com/office/2006/documentManagement/types"/>
    <xsd:import namespace="http://schemas.microsoft.com/office/infopath/2007/PartnerControls"/>
    <xsd:element name="Operating_x0020_Company" ma:index="8" ma:displayName="Operating Company" ma:default="AEP Ohio" ma:format="Dropdown" ma:internalName="Operating_x0020_Company" ma:readOnly="false">
      <xsd:simpleType>
        <xsd:restriction base="dms:Choice">
          <xsd:enumeration value="AEP Ohio"/>
          <xsd:enumeration value="AEP Texas"/>
          <xsd:enumeration value="Appalachian Power - Tennessee"/>
          <xsd:enumeration value="Appalachian Power - Virginia"/>
          <xsd:enumeration value="Appalachian Power - West Virginia"/>
          <xsd:enumeration value="FERC"/>
          <xsd:enumeration value="Indiana &amp; Michigan Power - Indiana"/>
          <xsd:enumeration value="Indiana &amp; Michigan Power - Michigan"/>
          <xsd:enumeration value="Kentucky Power"/>
          <xsd:enumeration value="PSO"/>
          <xsd:enumeration value="SWEPCO - Arkansas"/>
          <xsd:enumeration value="SWEPCO - Louisiana"/>
          <xsd:enumeration value="SWEPCO - TEXAS"/>
          <xsd:enumeration value="SWEPCO - Peine"/>
          <xsd:enumeration value="ETT"/>
        </xsd:restriction>
      </xsd:simpleType>
    </xsd:element>
  </xsd:schema>
  <xsd:schema xmlns:xsd="http://www.w3.org/2001/XMLSchema" xmlns:xs="http://www.w3.org/2001/XMLSchema" xmlns:dms="http://schemas.microsoft.com/office/2006/documentManagement/types" xmlns:pc="http://schemas.microsoft.com/office/infopath/2007/PartnerControls" targetNamespace="5b640fb8-5a34-41c1-9307-1b790ff29a8b"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efa54f2-5b03-49c6-9483-51c08a9736b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1831b8d-857f-44dd-949b-652450d1a5d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3b4476ce-ac5c-42b1-bccc-28ba47756ae8}" ma:internalName="TaxCatchAll" ma:showField="CatchAllData" ma:web="51831b8d-857f-44dd-949b-652450d1a5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PGVsZW1lbnQgdWlkPSJjNWY4ZWIxMi01YjI3LTQzOWQtYWFhNi0zNDAyYWY2MjZmYTM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Q09SUFxzMjkxNjc5PC9Vc2VyTmFtZT48RGF0ZVRpbWU+OS8yOC8yMDIyIDU6MjA6MzkgUE08L0RhdGVUaW1lPjxMYWJlbFN0cmluZz5BRVAgUHVibGljPC9MYWJlbFN0cmluZz48L2l0ZW0+PC9sYWJlbEhpc3Rvcnk+</Value>
</WrappedLabelHistory>
</file>

<file path=customXml/item5.xml><?xml version="1.0" encoding="utf-8"?>
<sisl xmlns:xsd="http://www.w3.org/2001/XMLSchema" xmlns:xsi="http://www.w3.org/2001/XMLSchema-instance" xmlns="http://www.boldonjames.com/2008/01/sie/internal/label" sislVersion="0" policy="e9c0b8d7-bdb4-4fd3-b62a-f50327aaefce" origin="autoSelectedSuggestion">
  <element uid="c5f8eb12-5b27-439d-aaa6-3402af626fa3" value=""/>
  <element uid="c64218ab-b8d1-40b6-a478-cb8be1e10ecc" value=""/>
</sisl>
</file>

<file path=customXml/itemProps1.xml><?xml version="1.0" encoding="utf-8"?>
<ds:datastoreItem xmlns:ds="http://schemas.openxmlformats.org/officeDocument/2006/customXml" ds:itemID="{25800718-A1A7-401F-9975-F76F85A16DF2}">
  <ds:schemaRefs>
    <ds:schemaRef ds:uri="http://schemas.microsoft.com/office/2006/metadata/properties"/>
    <ds:schemaRef ds:uri="http://schemas.microsoft.com/office/infopath/2007/PartnerControls"/>
    <ds:schemaRef ds:uri="http://schemas.microsoft.com/sharepoint/v3"/>
    <ds:schemaRef ds:uri="5b640fb8-5a34-41c1-9307-1b790ff29a8b"/>
    <ds:schemaRef ds:uri="51831b8d-857f-44dd-949b-652450d1a5df"/>
    <ds:schemaRef ds:uri="a1040523-5304-4b09-b6d4-64a124c994e2"/>
  </ds:schemaRefs>
</ds:datastoreItem>
</file>

<file path=customXml/itemProps2.xml><?xml version="1.0" encoding="utf-8"?>
<ds:datastoreItem xmlns:ds="http://schemas.openxmlformats.org/officeDocument/2006/customXml" ds:itemID="{4632F6B6-65DA-42D1-8C7D-14D35D898F28}">
  <ds:schemaRefs>
    <ds:schemaRef ds:uri="http://schemas.microsoft.com/sharepoint/v3/contenttype/forms"/>
  </ds:schemaRefs>
</ds:datastoreItem>
</file>

<file path=customXml/itemProps3.xml><?xml version="1.0" encoding="utf-8"?>
<ds:datastoreItem xmlns:ds="http://schemas.openxmlformats.org/officeDocument/2006/customXml" ds:itemID="{521EE8C2-EED4-42FB-83DF-4151543C7C52}"/>
</file>

<file path=customXml/itemProps4.xml><?xml version="1.0" encoding="utf-8"?>
<ds:datastoreItem xmlns:ds="http://schemas.openxmlformats.org/officeDocument/2006/customXml" ds:itemID="{DEB6F64F-D164-4F92-99FC-A41D110A461B}">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21D39E74-D1B6-4893-B068-9B153B10C08D}">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Exec</vt:lpstr>
      <vt:lpstr>Exec Graph Data</vt:lpstr>
      <vt:lpstr>Exec Chart1</vt:lpstr>
    </vt:vector>
  </TitlesOfParts>
  <Company>American Electric Power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s291679</dc:creator>
  <cp:keywords/>
  <cp:lastModifiedBy>d000298</cp:lastModifiedBy>
  <cp:lastPrinted>2024-02-05T14:41:01Z</cp:lastPrinted>
  <dcterms:created xsi:type="dcterms:W3CDTF">2018-12-19T20:55:02Z</dcterms:created>
  <dcterms:modified xsi:type="dcterms:W3CDTF">2024-02-05T14:41:07Z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deb6b411-49f2-4409-be19-ca73a14a1d3a</vt:lpwstr>
  </property>
  <property fmtid="{D5CDD505-2E9C-101B-9397-08002B2CF9AE}" pid="3" name="bjSaver">
    <vt:lpwstr>ymOzOy9TozdO3fPkFt/NYaxMcqEF9d4G</vt:lpwstr>
  </property>
  <property fmtid="{D5CDD505-2E9C-101B-9397-08002B2CF9AE}" pid="4" name="bjDocumentSecurityLabel">
    <vt:lpwstr>AEP Public</vt:lpwstr>
  </property>
  <property fmtid="{D5CDD505-2E9C-101B-9397-08002B2CF9AE}" pid="5" name="Visual Markings Removed">
    <vt:lpwstr>No</vt:lpwstr>
  </property>
  <property fmtid="{D5CDD505-2E9C-101B-9397-08002B2CF9AE}" pid="6" name="bjDocumentLabelXML">
    <vt:lpwstr>&lt;?xml version="1.0" encoding="us-ascii"?&gt;&lt;sisl xmlns:xsd="http://www.w3.org/2001/XMLSchema" xmlns:xsi="http://www.w3.org/2001/XMLSchema-instance" sislVersion="0" policy="e9c0b8d7-bdb4-4fd3-b62a-f50327aaefce" origin="autoSelectedSuggestion" xmlns="http://w</vt:lpwstr>
  </property>
  <property fmtid="{D5CDD505-2E9C-101B-9397-08002B2CF9AE}" pid="7" name="bjDocumentLabelXML-0">
    <vt:lpwstr>ww.boldonjames.com/2008/01/sie/internal/label"&gt;&lt;element uid="c5f8eb12-5b27-439d-aaa6-3402af626fa3" value="" /&gt;&lt;element uid="c64218ab-b8d1-40b6-a478-cb8be1e10ecc" value="" /&gt;&lt;/sisl&gt;</vt:lpwstr>
  </property>
  <property fmtid="{D5CDD505-2E9C-101B-9397-08002B2CF9AE}" pid="8" name="MSIP_Label_5c34e43d-0b77-4b2c-b224-1b46981ccfdb_SiteId">
    <vt:lpwstr>15f3c881-6b03-4ff6-8559-77bf5177818f</vt:lpwstr>
  </property>
  <property fmtid="{D5CDD505-2E9C-101B-9397-08002B2CF9AE}" pid="9" name="MSIP_Label_5c34e43d-0b77-4b2c-b224-1b46981ccfdb_Name">
    <vt:lpwstr>AEP Public</vt:lpwstr>
  </property>
  <property fmtid="{D5CDD505-2E9C-101B-9397-08002B2CF9AE}" pid="10" name="MSIP_Label_5c34e43d-0b77-4b2c-b224-1b46981ccfdb_Enabled">
    <vt:lpwstr>true</vt:lpwstr>
  </property>
  <property fmtid="{D5CDD505-2E9C-101B-9397-08002B2CF9AE}" pid="11" name="bjClsUserRVM">
    <vt:lpwstr>[]</vt:lpwstr>
  </property>
  <property fmtid="{D5CDD505-2E9C-101B-9397-08002B2CF9AE}" pid="12" name="bjLabelHistoryID">
    <vt:lpwstr>{DEB6F64F-D164-4F92-99FC-A41D110A461B}</vt:lpwstr>
  </property>
  <property fmtid="{D5CDD505-2E9C-101B-9397-08002B2CF9AE}" pid="13" name="ContentTypeId">
    <vt:lpwstr>0x01010001136CE24ED5F449BD16740FFC7FAF6F</vt:lpwstr>
  </property>
  <property fmtid="{D5CDD505-2E9C-101B-9397-08002B2CF9AE}" pid="14" name="MediaServiceImageTags">
    <vt:lpwstr/>
  </property>
</Properties>
</file>