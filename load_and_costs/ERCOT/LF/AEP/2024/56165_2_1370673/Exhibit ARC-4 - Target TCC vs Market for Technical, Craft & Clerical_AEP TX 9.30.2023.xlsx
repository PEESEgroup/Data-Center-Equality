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Testimony Drafts/20. Andy Carlin/Exhibits/"/>
    </mc:Choice>
  </mc:AlternateContent>
  <xr:revisionPtr revIDLastSave="2" documentId="13_ncr:1_{DBE181BE-CCAC-4664-877D-191BDDFE31CE}" xr6:coauthVersionLast="47" xr6:coauthVersionMax="47" xr10:uidLastSave="{F936ECEA-4682-4B0F-9513-0061ABE63B74}"/>
  <bookViews>
    <workbookView xWindow="28680" yWindow="-525" windowWidth="29040" windowHeight="15720" xr2:uid="{00000000-000D-0000-FFFF-FFFF00000000}"/>
  </bookViews>
  <sheets>
    <sheet name="Mkt data_9.30.2023" sheetId="1" r:id="rId1"/>
    <sheet name="Chart1" sheetId="3" r:id="rId2"/>
    <sheet name="Graph Data" sheetId="2" r:id="rId3"/>
  </sheets>
  <definedNames>
    <definedName name="_xlnm._FilterDatabase" localSheetId="2" hidden="1">'Graph Data'!$A$3:$B$7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  <c r="D29" i="1"/>
  <c r="H28" i="1"/>
  <c r="D28" i="1"/>
  <c r="H27" i="1"/>
  <c r="D27" i="1"/>
  <c r="H26" i="1"/>
  <c r="D26" i="1"/>
  <c r="H25" i="1"/>
  <c r="D25" i="1"/>
  <c r="H24" i="1"/>
  <c r="D24" i="1"/>
  <c r="H23" i="1"/>
  <c r="D23" i="1"/>
  <c r="H22" i="1"/>
  <c r="D22" i="1"/>
  <c r="B13" i="2" l="1"/>
  <c r="B17" i="2"/>
  <c r="J26" i="1"/>
  <c r="J27" i="1"/>
  <c r="J25" i="1"/>
  <c r="J24" i="1"/>
  <c r="J23" i="1"/>
  <c r="B7" i="2" l="1"/>
  <c r="J16" i="1"/>
  <c r="B6" i="2" s="1"/>
  <c r="H16" i="1"/>
  <c r="D16" i="1"/>
  <c r="J15" i="1"/>
  <c r="H15" i="1"/>
  <c r="D15" i="1"/>
  <c r="J14" i="1"/>
  <c r="B11" i="2" s="1"/>
  <c r="H14" i="1"/>
  <c r="D14" i="1"/>
  <c r="J13" i="1"/>
  <c r="B14" i="2" s="1"/>
  <c r="H13" i="1"/>
  <c r="D13" i="1"/>
  <c r="J12" i="1"/>
  <c r="B4" i="2" s="1"/>
  <c r="H12" i="1"/>
  <c r="D12" i="1"/>
  <c r="J11" i="1"/>
  <c r="B19" i="2" s="1"/>
  <c r="H11" i="1"/>
  <c r="D11" i="1"/>
  <c r="J10" i="1"/>
  <c r="H10" i="1"/>
  <c r="D10" i="1"/>
  <c r="J9" i="1"/>
  <c r="B12" i="2" s="1"/>
  <c r="H9" i="1"/>
  <c r="D9" i="1"/>
  <c r="B31" i="1"/>
  <c r="B30" i="1"/>
  <c r="B18" i="1"/>
  <c r="B17" i="1"/>
  <c r="J29" i="1"/>
  <c r="J28" i="1"/>
  <c r="J22" i="1"/>
  <c r="B5" i="2" s="1"/>
  <c r="D8" i="1"/>
  <c r="D7" i="1"/>
  <c r="D6" i="1"/>
  <c r="B16" i="2" l="1"/>
  <c r="C33" i="1"/>
  <c r="C34" i="1"/>
  <c r="B22" i="2"/>
  <c r="A3" i="2"/>
  <c r="J6" i="1" l="1"/>
  <c r="B20" i="2" s="1"/>
  <c r="H6" i="1"/>
  <c r="J7" i="1"/>
  <c r="H7" i="1"/>
  <c r="J8" i="1"/>
  <c r="H8" i="1"/>
  <c r="B8" i="2"/>
  <c r="B18" i="2" l="1"/>
  <c r="B15" i="2"/>
  <c r="B10" i="2"/>
  <c r="B9" i="2"/>
  <c r="B21" i="2"/>
  <c r="J32" i="1"/>
  <c r="J34" i="1"/>
  <c r="J33" i="1"/>
</calcChain>
</file>

<file path=xl/sharedStrings.xml><?xml version="1.0" encoding="utf-8"?>
<sst xmlns="http://schemas.openxmlformats.org/spreadsheetml/2006/main" count="72" uniqueCount="51">
  <si>
    <t>Average</t>
  </si>
  <si>
    <t>Target TCC</t>
  </si>
  <si>
    <t>% Difference</t>
  </si>
  <si>
    <r>
      <t>Target Annual Incentive</t>
    </r>
    <r>
      <rPr>
        <b/>
        <vertAlign val="superscript"/>
        <sz val="10"/>
        <rFont val="Arial"/>
        <family val="2"/>
      </rPr>
      <t>2</t>
    </r>
  </si>
  <si>
    <r>
      <t>Base</t>
    </r>
    <r>
      <rPr>
        <b/>
        <vertAlign val="superscript"/>
        <sz val="10"/>
        <rFont val="Arial"/>
        <family val="2"/>
      </rPr>
      <t>3</t>
    </r>
  </si>
  <si>
    <t>(4) A market competitive range of +/- 10 percent has been used for all physical and craft positions</t>
  </si>
  <si>
    <r>
      <t>% of Jobs Above Market Competitive Range</t>
    </r>
    <r>
      <rPr>
        <vertAlign val="superscript"/>
        <sz val="10"/>
        <rFont val="Arial"/>
        <family val="2"/>
      </rPr>
      <t>4</t>
    </r>
  </si>
  <si>
    <r>
      <t>% of Jobs Below Market Competitive Range</t>
    </r>
    <r>
      <rPr>
        <vertAlign val="superscript"/>
        <sz val="10"/>
        <rFont val="Arial"/>
        <family val="2"/>
      </rPr>
      <t>4</t>
    </r>
  </si>
  <si>
    <t>Notes</t>
  </si>
  <si>
    <t>AEP Job</t>
  </si>
  <si>
    <t>TOTAL JOB COUNT</t>
  </si>
  <si>
    <t>TOTAL INCUMBENT COUNT</t>
  </si>
  <si>
    <t>Market Competitive Range</t>
  </si>
  <si>
    <t>Market Median</t>
  </si>
  <si>
    <t>Below Market</t>
  </si>
  <si>
    <t>Above Market</t>
  </si>
  <si>
    <t>(2) Target payout is 3 percent of base earnings for all physical and craft jobs</t>
  </si>
  <si>
    <r>
      <t>Avg Base</t>
    </r>
    <r>
      <rPr>
        <b/>
        <vertAlign val="superscript"/>
        <sz val="10"/>
        <rFont val="Arial"/>
        <family val="2"/>
      </rPr>
      <t>1</t>
    </r>
  </si>
  <si>
    <t>Target Incentive</t>
  </si>
  <si>
    <t>AEP Target TCC vs. Survey Target TCC</t>
  </si>
  <si>
    <t>L</t>
  </si>
  <si>
    <t>WTW Energy Service Mid-Mgmt, Prof &amp; Support 2022</t>
  </si>
  <si>
    <t>SVC_PC1</t>
  </si>
  <si>
    <t>SVC_PC2</t>
  </si>
  <si>
    <t>SVC_PC3</t>
  </si>
  <si>
    <t>AEP SERVICE CORP</t>
  </si>
  <si>
    <t>AEPSC Count</t>
  </si>
  <si>
    <t>AEPSC Incumbents</t>
  </si>
  <si>
    <t>AEP Texas Target TCC vs. Physical &amp; Craft positions, Total Sample Data</t>
  </si>
  <si>
    <t>AEP Texas Employees</t>
  </si>
  <si>
    <t>AEP Texas</t>
  </si>
  <si>
    <t>AEP Texas_PC1</t>
  </si>
  <si>
    <t>AEP Texas_PC2</t>
  </si>
  <si>
    <t>AEP Texas_PC3</t>
  </si>
  <si>
    <t>AEP Texas_PC4</t>
  </si>
  <si>
    <t>AEP Texas_PC5</t>
  </si>
  <si>
    <t>AEP Texas_PC6</t>
  </si>
  <si>
    <t>AEP Texas_PC7</t>
  </si>
  <si>
    <t>AEP Texas_PC8</t>
  </si>
  <si>
    <t>AEP Texas_PC9</t>
  </si>
  <si>
    <t>AEP Texas_PC10</t>
  </si>
  <si>
    <t>AEP Texas_PC11</t>
  </si>
  <si>
    <t>AEP Texas Count</t>
  </si>
  <si>
    <t>AEP Texas Incumbents</t>
  </si>
  <si>
    <t>(1) As of  September 30, 2023</t>
  </si>
  <si>
    <t>SVC_PC4</t>
  </si>
  <si>
    <t>SVC_PC5</t>
  </si>
  <si>
    <t>SVC_PC6</t>
  </si>
  <si>
    <t>SVC_PC7</t>
  </si>
  <si>
    <t>SVC_PC8</t>
  </si>
  <si>
    <t>(3) Annualized from April 1, 2023 to September 30, 2023 @ 4.0% salary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</si>
</sst>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vertAlign val="superscript"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37">
    <xf numFmtId="0" fontId="0" fillId="0" borderId="0" xfId="0"/>
    <xf numFmtId="0" fontId="4" fillId="0" borderId="0" xfId="0" applyFont="1"/>
    <xf numFmtId="164" fontId="0" fillId="0" borderId="0" xfId="0" applyNumberFormat="1"/>
    <xf numFmtId="164" fontId="6" fillId="0" borderId="0" xfId="0" applyNumberFormat="1" applyFont="1"/>
    <xf numFmtId="0" fontId="0" fillId="0" borderId="0" xfId="0" applyBorder="1"/>
    <xf numFmtId="0" fontId="3" fillId="0" borderId="0" xfId="0" applyFont="1"/>
    <xf numFmtId="0" fontId="7" fillId="0" borderId="0" xfId="0" applyFont="1"/>
    <xf numFmtId="0" fontId="3" fillId="0" borderId="0" xfId="0" quotePrefix="1" applyFont="1"/>
    <xf numFmtId="0" fontId="9" fillId="0" borderId="0" xfId="0" applyFont="1"/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4" fillId="0" borderId="0" xfId="0" applyNumberFormat="1" applyFont="1" applyAlignment="1">
      <alignment horizontal="right"/>
    </xf>
    <xf numFmtId="165" fontId="3" fillId="0" borderId="0" xfId="1" applyNumberFormat="1" applyFont="1" applyAlignment="1">
      <alignment horizontal="center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center"/>
    </xf>
    <xf numFmtId="0" fontId="9" fillId="0" borderId="1" xfId="0" applyFont="1" applyBorder="1"/>
    <xf numFmtId="0" fontId="0" fillId="0" borderId="0" xfId="0" applyAlignment="1">
      <alignment horizontal="center"/>
    </xf>
    <xf numFmtId="0" fontId="3" fillId="0" borderId="0" xfId="0" applyFont="1" applyFill="1"/>
    <xf numFmtId="0" fontId="10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5">
    <cellStyle name="Normal" xfId="0" builtinId="0"/>
    <cellStyle name="Normal 2" xfId="2" xr:uid="{00000000-0005-0000-0000-000001000000}"/>
    <cellStyle name="Normal 3" xfId="3" xr:uid="{00000000-0005-0000-0000-000002000000}"/>
    <cellStyle name="Normal 4" xfId="4" xr:uid="{00000000-0005-0000-0000-000003000000}"/>
    <cellStyle name="Percent" xfId="1" builtinId="5"/>
  </cellStyles>
  <dxfs count="4"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AEP Texas &amp; AEPSC Physical and Craft Positions</a:t>
            </a:r>
          </a:p>
          <a:p>
            <a:pPr>
              <a:defRPr b="1"/>
            </a:pPr>
            <a:r>
              <a:rPr lang="en-US" b="1"/>
              <a:t>vs.</a:t>
            </a:r>
            <a:r>
              <a:rPr lang="en-US" b="1" baseline="0"/>
              <a:t> Market-Competitive Compensation (High to Low)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2"/>
          <c:order val="1"/>
          <c:tx>
            <c:strRef>
              <c:f>'Graph Data'!$C$3</c:f>
              <c:strCache>
                <c:ptCount val="1"/>
                <c:pt idx="0">
                  <c:v>Below Market</c:v>
                </c:pt>
              </c:strCache>
            </c:strRef>
          </c:tx>
          <c:spPr>
            <a:pattFill prst="pct60">
              <a:fgClr>
                <a:srgbClr val="FF0000"/>
              </a:fgClr>
              <a:bgClr>
                <a:schemeClr val="bg1"/>
              </a:bgClr>
            </a:pattFill>
            <a:ln>
              <a:noFill/>
            </a:ln>
            <a:effectLst/>
          </c:spPr>
          <c:val>
            <c:numRef>
              <c:f>'Graph Data'!$C$4:$C$22</c:f>
              <c:numCache>
                <c:formatCode>0.0%</c:formatCode>
                <c:ptCount val="19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39-4336-BC16-EF8C5B6137E1}"/>
            </c:ext>
          </c:extLst>
        </c:ser>
        <c:ser>
          <c:idx val="3"/>
          <c:order val="2"/>
          <c:tx>
            <c:strRef>
              <c:f>'Graph Data'!$E$3</c:f>
              <c:strCache>
                <c:ptCount val="1"/>
                <c:pt idx="0">
                  <c:v>Market Competitive Range</c:v>
                </c:pt>
              </c:strCache>
            </c:strRef>
          </c:tx>
          <c:spPr>
            <a:pattFill prst="pct20">
              <a:fgClr>
                <a:srgbClr val="00B050"/>
              </a:fgClr>
              <a:bgClr>
                <a:schemeClr val="bg1"/>
              </a:bgClr>
            </a:pattFill>
            <a:ln>
              <a:noFill/>
            </a:ln>
            <a:effectLst/>
          </c:spPr>
          <c:val>
            <c:numRef>
              <c:f>'Graph Data'!$E$4:$E$22</c:f>
              <c:numCache>
                <c:formatCode>0.0%</c:formatCode>
                <c:ptCount val="19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539-4336-BC16-EF8C5B6137E1}"/>
            </c:ext>
          </c:extLst>
        </c:ser>
        <c:ser>
          <c:idx val="4"/>
          <c:order val="3"/>
          <c:tx>
            <c:strRef>
              <c:f>'Graph Data'!$F$3</c:f>
              <c:strCache>
                <c:ptCount val="1"/>
                <c:pt idx="0">
                  <c:v>Above Market</c:v>
                </c:pt>
              </c:strCache>
            </c:strRef>
          </c:tx>
          <c:spPr>
            <a:pattFill prst="pct5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  <a:scene3d>
              <a:camera prst="orthographicFront"/>
              <a:lightRig rig="threePt" dir="t"/>
            </a:scene3d>
            <a:sp3d/>
          </c:spPr>
          <c:val>
            <c:numRef>
              <c:f>'Graph Data'!$F$4:$F$22</c:f>
              <c:numCache>
                <c:formatCode>0.0%</c:formatCode>
                <c:ptCount val="19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39-4336-BC16-EF8C5B613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125712"/>
        <c:axId val="474122432"/>
      </c:areaChart>
      <c:lineChart>
        <c:grouping val="standard"/>
        <c:varyColors val="0"/>
        <c:ser>
          <c:idx val="5"/>
          <c:order val="0"/>
          <c:tx>
            <c:strRef>
              <c:f>'Graph Data'!$D$3</c:f>
              <c:strCache>
                <c:ptCount val="1"/>
                <c:pt idx="0">
                  <c:v>Market Median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'Graph Data'!$A$4:$A$22</c:f>
              <c:strCache>
                <c:ptCount val="19"/>
                <c:pt idx="0">
                  <c:v>AEP Texas_PC7</c:v>
                </c:pt>
                <c:pt idx="1">
                  <c:v>SVC_PC1</c:v>
                </c:pt>
                <c:pt idx="2">
                  <c:v>AEP Texas_PC11</c:v>
                </c:pt>
                <c:pt idx="3">
                  <c:v>SVC_PC5</c:v>
                </c:pt>
                <c:pt idx="4">
                  <c:v>SVC_PC8</c:v>
                </c:pt>
                <c:pt idx="5">
                  <c:v>AEP Texas_PC10</c:v>
                </c:pt>
                <c:pt idx="6">
                  <c:v>SVC_PC7</c:v>
                </c:pt>
                <c:pt idx="7">
                  <c:v>AEP Texas_PC9</c:v>
                </c:pt>
                <c:pt idx="8">
                  <c:v>AEP Texas_PC4</c:v>
                </c:pt>
                <c:pt idx="9">
                  <c:v>SVC_PC3</c:v>
                </c:pt>
                <c:pt idx="10">
                  <c:v>SVC_PC6</c:v>
                </c:pt>
                <c:pt idx="11">
                  <c:v>AEP Texas_PC3</c:v>
                </c:pt>
                <c:pt idx="12">
                  <c:v>AEP Texas_PC5</c:v>
                </c:pt>
                <c:pt idx="13">
                  <c:v>SVC_PC2</c:v>
                </c:pt>
                <c:pt idx="14">
                  <c:v>AEP Texas_PC8</c:v>
                </c:pt>
                <c:pt idx="15">
                  <c:v>AEP Texas_PC6</c:v>
                </c:pt>
                <c:pt idx="16">
                  <c:v>AEP Texas_PC1</c:v>
                </c:pt>
                <c:pt idx="17">
                  <c:v>AEP Texas_PC2</c:v>
                </c:pt>
                <c:pt idx="18">
                  <c:v>SVC_PC4</c:v>
                </c:pt>
              </c:strCache>
            </c:strRef>
          </c:cat>
          <c:val>
            <c:numRef>
              <c:f>'Graph Data'!$D$4:$D$22</c:f>
              <c:numCache>
                <c:formatCode>0.0%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2A-4E5C-B4B6-277C6494FD6C}"/>
            </c:ext>
          </c:extLst>
        </c:ser>
        <c:ser>
          <c:idx val="0"/>
          <c:order val="4"/>
          <c:tx>
            <c:strRef>
              <c:f>'Graph Data'!$B$3</c:f>
              <c:strCache>
                <c:ptCount val="1"/>
                <c:pt idx="0">
                  <c:v>AEP Target TCC vs. Survey Target TCC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'Graph Data'!$A$4:$A$22</c:f>
              <c:strCache>
                <c:ptCount val="19"/>
                <c:pt idx="0">
                  <c:v>AEP Texas_PC7</c:v>
                </c:pt>
                <c:pt idx="1">
                  <c:v>SVC_PC1</c:v>
                </c:pt>
                <c:pt idx="2">
                  <c:v>AEP Texas_PC11</c:v>
                </c:pt>
                <c:pt idx="3">
                  <c:v>SVC_PC5</c:v>
                </c:pt>
                <c:pt idx="4">
                  <c:v>SVC_PC8</c:v>
                </c:pt>
                <c:pt idx="5">
                  <c:v>AEP Texas_PC10</c:v>
                </c:pt>
                <c:pt idx="6">
                  <c:v>SVC_PC7</c:v>
                </c:pt>
                <c:pt idx="7">
                  <c:v>AEP Texas_PC9</c:v>
                </c:pt>
                <c:pt idx="8">
                  <c:v>AEP Texas_PC4</c:v>
                </c:pt>
                <c:pt idx="9">
                  <c:v>SVC_PC3</c:v>
                </c:pt>
                <c:pt idx="10">
                  <c:v>SVC_PC6</c:v>
                </c:pt>
                <c:pt idx="11">
                  <c:v>AEP Texas_PC3</c:v>
                </c:pt>
                <c:pt idx="12">
                  <c:v>AEP Texas_PC5</c:v>
                </c:pt>
                <c:pt idx="13">
                  <c:v>SVC_PC2</c:v>
                </c:pt>
                <c:pt idx="14">
                  <c:v>AEP Texas_PC8</c:v>
                </c:pt>
                <c:pt idx="15">
                  <c:v>AEP Texas_PC6</c:v>
                </c:pt>
                <c:pt idx="16">
                  <c:v>AEP Texas_PC1</c:v>
                </c:pt>
                <c:pt idx="17">
                  <c:v>AEP Texas_PC2</c:v>
                </c:pt>
                <c:pt idx="18">
                  <c:v>SVC_PC4</c:v>
                </c:pt>
              </c:strCache>
            </c:strRef>
          </c:cat>
          <c:val>
            <c:numRef>
              <c:f>'Graph Data'!$B$4:$B$22</c:f>
              <c:numCache>
                <c:formatCode>0.0%</c:formatCode>
                <c:ptCount val="19"/>
                <c:pt idx="0">
                  <c:v>1.1402578448994227</c:v>
                </c:pt>
                <c:pt idx="1">
                  <c:v>1.1058881815449864</c:v>
                </c:pt>
                <c:pt idx="2">
                  <c:v>1.0423979902023026</c:v>
                </c:pt>
                <c:pt idx="3">
                  <c:v>1.0289966834916826</c:v>
                </c:pt>
                <c:pt idx="4">
                  <c:v>1.0236695909297153</c:v>
                </c:pt>
                <c:pt idx="5">
                  <c:v>1.0213101588138116</c:v>
                </c:pt>
                <c:pt idx="6">
                  <c:v>1.0146341399254191</c:v>
                </c:pt>
                <c:pt idx="7">
                  <c:v>0.99958925849219504</c:v>
                </c:pt>
                <c:pt idx="8">
                  <c:v>0.99907409350714138</c:v>
                </c:pt>
                <c:pt idx="9">
                  <c:v>0.99643206836673492</c:v>
                </c:pt>
                <c:pt idx="10">
                  <c:v>0.98479390762993702</c:v>
                </c:pt>
                <c:pt idx="11">
                  <c:v>0.98327780435670165</c:v>
                </c:pt>
                <c:pt idx="12">
                  <c:v>0.97801153523472584</c:v>
                </c:pt>
                <c:pt idx="13">
                  <c:v>0.97110694784819929</c:v>
                </c:pt>
                <c:pt idx="14">
                  <c:v>0.9644332568357934</c:v>
                </c:pt>
                <c:pt idx="15">
                  <c:v>0.95609209922861571</c:v>
                </c:pt>
                <c:pt idx="16">
                  <c:v>0.95184058546802452</c:v>
                </c:pt>
                <c:pt idx="17">
                  <c:v>0.81796253717706557</c:v>
                </c:pt>
                <c:pt idx="18">
                  <c:v>0.76942713685126574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9-4336-BC16-EF8C5B613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125712"/>
        <c:axId val="474122432"/>
        <c:extLst>
          <c:ext xmlns:c15="http://schemas.microsoft.com/office/drawing/2012/chart" uri="{02D57815-91ED-43cb-92C2-25804820EDAC}">
            <c15:filteredLineSeries>
              <c15:ser>
                <c:idx val="1"/>
                <c:order val="5"/>
                <c:tx>
                  <c:strRef>
                    <c:extLst>
                      <c:ext uri="{02D57815-91ED-43cb-92C2-25804820EDAC}">
                        <c15:formulaRef>
                          <c15:sqref>'Graph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tx2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'Graph Data'!$A$4:$A$22</c15:sqref>
                        </c15:formulaRef>
                      </c:ext>
                    </c:extLst>
                    <c:strCache>
                      <c:ptCount val="19"/>
                      <c:pt idx="0">
                        <c:v>AEP Texas_PC7</c:v>
                      </c:pt>
                      <c:pt idx="1">
                        <c:v>SVC_PC1</c:v>
                      </c:pt>
                      <c:pt idx="2">
                        <c:v>AEP Texas_PC11</c:v>
                      </c:pt>
                      <c:pt idx="3">
                        <c:v>SVC_PC5</c:v>
                      </c:pt>
                      <c:pt idx="4">
                        <c:v>SVC_PC8</c:v>
                      </c:pt>
                      <c:pt idx="5">
                        <c:v>AEP Texas_PC10</c:v>
                      </c:pt>
                      <c:pt idx="6">
                        <c:v>SVC_PC7</c:v>
                      </c:pt>
                      <c:pt idx="7">
                        <c:v>AEP Texas_PC9</c:v>
                      </c:pt>
                      <c:pt idx="8">
                        <c:v>AEP Texas_PC4</c:v>
                      </c:pt>
                      <c:pt idx="9">
                        <c:v>SVC_PC3</c:v>
                      </c:pt>
                      <c:pt idx="10">
                        <c:v>SVC_PC6</c:v>
                      </c:pt>
                      <c:pt idx="11">
                        <c:v>AEP Texas_PC3</c:v>
                      </c:pt>
                      <c:pt idx="12">
                        <c:v>AEP Texas_PC5</c:v>
                      </c:pt>
                      <c:pt idx="13">
                        <c:v>SVC_PC2</c:v>
                      </c:pt>
                      <c:pt idx="14">
                        <c:v>AEP Texas_PC8</c:v>
                      </c:pt>
                      <c:pt idx="15">
                        <c:v>AEP Texas_PC6</c:v>
                      </c:pt>
                      <c:pt idx="16">
                        <c:v>AEP Texas_PC1</c:v>
                      </c:pt>
                      <c:pt idx="17">
                        <c:v>AEP Texas_PC2</c:v>
                      </c:pt>
                      <c:pt idx="18">
                        <c:v>SVC_PC4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'Graph Data'!#REF!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539-4336-BC16-EF8C5B6137E1}"/>
                  </c:ext>
                </c:extLst>
              </c15:ser>
            </c15:filteredLineSeries>
          </c:ext>
        </c:extLst>
      </c:lineChart>
      <c:catAx>
        <c:axId val="474125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AEP Jobs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22432"/>
        <c:crosses val="autoZero"/>
        <c:auto val="1"/>
        <c:lblAlgn val="ctr"/>
        <c:lblOffset val="100"/>
        <c:noMultiLvlLbl val="0"/>
      </c:catAx>
      <c:valAx>
        <c:axId val="474122432"/>
        <c:scaling>
          <c:orientation val="minMax"/>
          <c:max val="1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AEP Compensation as a Percent of Market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cross"/>
        <c:minorTickMark val="out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25712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3" workbookViewId="0" zoomToFit="1"/>
  </sheetViews>
  <pageMargins left="0.7" right="0.7" top="0.75" bottom="0.75" header="0.3" footer="0.3"/>
  <pageSetup orientation="landscape" copies="2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S40"/>
  <sheetViews>
    <sheetView showGridLines="0" tabSelected="1" zoomScaleNormal="100" workbookViewId="0">
      <selection activeCell="V18" sqref="V18"/>
    </sheetView>
  </sheetViews>
  <sheetFormatPr defaultRowHeight="12.75" x14ac:dyDescent="0.2"/>
  <cols>
    <col min="1" max="1" width="19.7109375" customWidth="1"/>
    <col min="2" max="2" width="12" customWidth="1"/>
    <col min="3" max="3" width="11.28515625" bestFit="1" customWidth="1"/>
    <col min="4" max="4" width="13.5703125" style="10" customWidth="1"/>
    <col min="5" max="5" width="10.42578125" customWidth="1"/>
    <col min="6" max="6" width="2.42578125" customWidth="1"/>
    <col min="7" max="7" width="10.42578125" customWidth="1"/>
    <col min="8" max="8" width="10.28515625" customWidth="1"/>
    <col min="9" max="9" width="9.7109375" customWidth="1"/>
    <col min="10" max="10" width="18.7109375" style="5" bestFit="1" customWidth="1"/>
    <col min="11" max="11" width="8.28515625" customWidth="1"/>
    <col min="12" max="14" width="2.28515625" customWidth="1"/>
    <col min="15" max="15" width="8.42578125" customWidth="1"/>
    <col min="16" max="19" width="2.28515625" customWidth="1"/>
    <col min="20" max="20" width="3" customWidth="1"/>
  </cols>
  <sheetData>
    <row r="1" spans="1:16" x14ac:dyDescent="0.2">
      <c r="A1" s="1" t="s">
        <v>28</v>
      </c>
      <c r="J1" s="32"/>
    </row>
    <row r="2" spans="1:16" x14ac:dyDescent="0.2">
      <c r="J2" s="32"/>
    </row>
    <row r="3" spans="1:16" ht="45" customHeight="1" x14ac:dyDescent="0.2">
      <c r="C3" s="9"/>
      <c r="D3" s="9"/>
      <c r="E3" s="9"/>
      <c r="G3" s="34" t="s">
        <v>21</v>
      </c>
      <c r="H3" s="35"/>
      <c r="I3" s="36"/>
      <c r="J3" s="13" t="s">
        <v>2</v>
      </c>
    </row>
    <row r="4" spans="1:16" ht="39" customHeight="1" x14ac:dyDescent="0.2">
      <c r="A4" s="17" t="s">
        <v>9</v>
      </c>
      <c r="B4" s="12" t="s">
        <v>29</v>
      </c>
      <c r="C4" s="12" t="s">
        <v>17</v>
      </c>
      <c r="D4" s="12" t="s">
        <v>3</v>
      </c>
      <c r="E4" s="12" t="s">
        <v>1</v>
      </c>
      <c r="F4" s="13"/>
      <c r="G4" s="13" t="s">
        <v>4</v>
      </c>
      <c r="H4" s="12" t="s">
        <v>18</v>
      </c>
      <c r="I4" s="12" t="s">
        <v>1</v>
      </c>
      <c r="J4" s="12" t="s">
        <v>19</v>
      </c>
    </row>
    <row r="5" spans="1:16" x14ac:dyDescent="0.2">
      <c r="A5" s="21" t="s">
        <v>30</v>
      </c>
      <c r="B5" s="19"/>
      <c r="C5" s="19"/>
      <c r="D5" s="19"/>
      <c r="E5" s="19"/>
      <c r="F5" s="20"/>
      <c r="G5" s="20"/>
      <c r="H5" s="19"/>
      <c r="I5" s="19"/>
      <c r="J5" s="19"/>
    </row>
    <row r="6" spans="1:16" x14ac:dyDescent="0.2">
      <c r="A6" s="5" t="s">
        <v>31</v>
      </c>
      <c r="B6" s="10">
        <v>2</v>
      </c>
      <c r="C6" s="2">
        <v>98555.990999999995</v>
      </c>
      <c r="D6" s="11">
        <f>E6-C6</f>
        <v>2956.6797300000035</v>
      </c>
      <c r="E6" s="2">
        <v>101512.67073</v>
      </c>
      <c r="F6" s="4"/>
      <c r="G6" s="3">
        <v>101093.08119624</v>
      </c>
      <c r="H6" s="3">
        <f t="shared" ref="H6:H8" si="0">I6-G6</f>
        <v>5308.3803236940003</v>
      </c>
      <c r="I6" s="3">
        <v>106401.461519934</v>
      </c>
      <c r="J6" s="15">
        <f t="shared" ref="J6:J8" si="1">(1-I6/E6)</f>
        <v>-4.8159414531975475E-2</v>
      </c>
      <c r="O6" s="16"/>
      <c r="P6" s="16"/>
    </row>
    <row r="7" spans="1:16" x14ac:dyDescent="0.2">
      <c r="A7" s="5" t="s">
        <v>32</v>
      </c>
      <c r="B7" s="14">
        <v>6</v>
      </c>
      <c r="C7" s="2">
        <v>87393.498999999996</v>
      </c>
      <c r="D7" s="11">
        <f t="shared" ref="D7:D8" si="2">E7-C7</f>
        <v>2621.8049699999974</v>
      </c>
      <c r="E7" s="2">
        <v>90015.303969999994</v>
      </c>
      <c r="G7" s="3">
        <v>101093.08119624</v>
      </c>
      <c r="H7" s="3">
        <f t="shared" si="0"/>
        <v>5308.3803236940003</v>
      </c>
      <c r="I7" s="3">
        <v>106401.461519934</v>
      </c>
      <c r="J7" s="15">
        <f t="shared" si="1"/>
        <v>-0.18203746282293443</v>
      </c>
      <c r="O7" s="16"/>
    </row>
    <row r="8" spans="1:16" x14ac:dyDescent="0.2">
      <c r="A8" s="5" t="s">
        <v>33</v>
      </c>
      <c r="B8" s="14">
        <v>106</v>
      </c>
      <c r="C8" s="2">
        <v>101603.35858490564</v>
      </c>
      <c r="D8" s="11">
        <f t="shared" si="2"/>
        <v>3048.100757547174</v>
      </c>
      <c r="E8" s="2">
        <v>104651.45934245281</v>
      </c>
      <c r="G8" s="3">
        <v>101093.08119624</v>
      </c>
      <c r="H8" s="3">
        <f t="shared" si="0"/>
        <v>5308.3803236940003</v>
      </c>
      <c r="I8" s="3">
        <v>106401.461519934</v>
      </c>
      <c r="J8" s="15">
        <f t="shared" si="1"/>
        <v>-1.6722195643298354E-2</v>
      </c>
      <c r="O8" s="16"/>
    </row>
    <row r="9" spans="1:16" x14ac:dyDescent="0.2">
      <c r="A9" s="5" t="s">
        <v>34</v>
      </c>
      <c r="B9" s="14">
        <v>123</v>
      </c>
      <c r="C9" s="2">
        <v>103206.82995121946</v>
      </c>
      <c r="D9" s="11">
        <f t="shared" ref="D9:D16" si="3">E9-C9</f>
        <v>3096.2048985365836</v>
      </c>
      <c r="E9" s="2">
        <v>106303.03484975605</v>
      </c>
      <c r="G9" s="3">
        <v>101093.08119624</v>
      </c>
      <c r="H9" s="3">
        <f t="shared" ref="H9:H16" si="4">I9-G9</f>
        <v>5308.3803236940003</v>
      </c>
      <c r="I9" s="3">
        <v>106401.461519934</v>
      </c>
      <c r="J9" s="15">
        <f t="shared" ref="J9:J16" si="5">(1-I9/E9)</f>
        <v>-9.2590649285861915E-4</v>
      </c>
      <c r="O9" s="16"/>
    </row>
    <row r="10" spans="1:16" x14ac:dyDescent="0.2">
      <c r="A10" s="5" t="s">
        <v>35</v>
      </c>
      <c r="B10" s="14">
        <v>5</v>
      </c>
      <c r="C10" s="2">
        <v>101079.8002</v>
      </c>
      <c r="D10" s="11">
        <f t="shared" si="3"/>
        <v>3032.3940060000023</v>
      </c>
      <c r="E10" s="2">
        <v>104112.194206</v>
      </c>
      <c r="G10" s="3">
        <v>101093.08119624</v>
      </c>
      <c r="H10" s="3">
        <f t="shared" si="4"/>
        <v>5308.3803236940003</v>
      </c>
      <c r="I10" s="3">
        <v>106401.461519934</v>
      </c>
      <c r="J10" s="15">
        <f t="shared" si="5"/>
        <v>-2.1988464765274163E-2</v>
      </c>
      <c r="O10" s="16"/>
    </row>
    <row r="11" spans="1:16" x14ac:dyDescent="0.2">
      <c r="A11" s="5" t="s">
        <v>36</v>
      </c>
      <c r="B11" s="14">
        <v>22</v>
      </c>
      <c r="C11" s="2">
        <v>98957.379045454552</v>
      </c>
      <c r="D11" s="11">
        <f t="shared" si="3"/>
        <v>2968.7213713636447</v>
      </c>
      <c r="E11" s="2">
        <v>101926.1004168182</v>
      </c>
      <c r="G11" s="3">
        <v>101093.08119624</v>
      </c>
      <c r="H11" s="3">
        <f t="shared" si="4"/>
        <v>5308.3803236940003</v>
      </c>
      <c r="I11" s="3">
        <v>106401.461519934</v>
      </c>
      <c r="J11" s="15">
        <f t="shared" si="5"/>
        <v>-4.3907900771384289E-2</v>
      </c>
      <c r="O11" s="16"/>
    </row>
    <row r="12" spans="1:16" x14ac:dyDescent="0.2">
      <c r="A12" s="5" t="s">
        <v>37</v>
      </c>
      <c r="B12" s="14">
        <v>50</v>
      </c>
      <c r="C12" s="2">
        <v>114596.06819601331</v>
      </c>
      <c r="D12" s="11">
        <f t="shared" si="3"/>
        <v>3437.8820458803966</v>
      </c>
      <c r="E12" s="2">
        <v>118033.9502418937</v>
      </c>
      <c r="G12" s="3">
        <v>96646.377617999999</v>
      </c>
      <c r="H12" s="3">
        <f t="shared" si="4"/>
        <v>4832.3851379999978</v>
      </c>
      <c r="I12" s="3">
        <v>101478.762756</v>
      </c>
      <c r="J12" s="15">
        <f t="shared" si="5"/>
        <v>0.14025784489942272</v>
      </c>
      <c r="O12" s="16"/>
    </row>
    <row r="13" spans="1:16" x14ac:dyDescent="0.2">
      <c r="A13" s="5" t="s">
        <v>38</v>
      </c>
      <c r="B13" s="14">
        <v>20</v>
      </c>
      <c r="C13" s="2">
        <v>102847.595</v>
      </c>
      <c r="D13" s="11">
        <f t="shared" si="3"/>
        <v>3085.4278500000073</v>
      </c>
      <c r="E13" s="2">
        <v>105933.02285000001</v>
      </c>
      <c r="G13" s="3">
        <v>103946.181135426</v>
      </c>
      <c r="H13" s="3">
        <f t="shared" si="4"/>
        <v>5754.5343308879965</v>
      </c>
      <c r="I13" s="3">
        <v>109700.715466314</v>
      </c>
      <c r="J13" s="15">
        <f t="shared" si="5"/>
        <v>-3.5566743164206605E-2</v>
      </c>
      <c r="O13" s="16"/>
    </row>
    <row r="14" spans="1:16" x14ac:dyDescent="0.2">
      <c r="A14" s="5" t="s">
        <v>39</v>
      </c>
      <c r="B14" s="14">
        <v>18</v>
      </c>
      <c r="C14" s="2">
        <v>103259.97666666667</v>
      </c>
      <c r="D14" s="11">
        <f t="shared" si="3"/>
        <v>3097.7992999999988</v>
      </c>
      <c r="E14" s="2">
        <v>106357.77596666667</v>
      </c>
      <c r="G14" s="3">
        <v>101093.08119624</v>
      </c>
      <c r="H14" s="3">
        <f t="shared" si="4"/>
        <v>5308.3803236940003</v>
      </c>
      <c r="I14" s="3">
        <v>106401.461519934</v>
      </c>
      <c r="J14" s="15">
        <f t="shared" si="5"/>
        <v>-4.10741507804957E-4</v>
      </c>
      <c r="O14" s="16"/>
    </row>
    <row r="15" spans="1:16" x14ac:dyDescent="0.2">
      <c r="A15" s="5" t="s">
        <v>40</v>
      </c>
      <c r="B15" s="14">
        <v>32</v>
      </c>
      <c r="C15" s="2">
        <v>110633.04056249998</v>
      </c>
      <c r="D15" s="11">
        <f t="shared" si="3"/>
        <v>3318.9912168750016</v>
      </c>
      <c r="E15" s="2">
        <v>113952.03177937499</v>
      </c>
      <c r="G15" s="3">
        <v>105632.680898304</v>
      </c>
      <c r="H15" s="3">
        <f t="shared" si="4"/>
        <v>5891.0149866959982</v>
      </c>
      <c r="I15" s="3">
        <v>111523.69588499999</v>
      </c>
      <c r="J15" s="15">
        <f t="shared" si="5"/>
        <v>2.1310158813811597E-2</v>
      </c>
      <c r="O15" s="16"/>
    </row>
    <row r="16" spans="1:16" x14ac:dyDescent="0.2">
      <c r="A16" s="5" t="s">
        <v>41</v>
      </c>
      <c r="B16" s="14">
        <v>19</v>
      </c>
      <c r="C16" s="2">
        <v>107876.12052631579</v>
      </c>
      <c r="D16" s="11">
        <f t="shared" si="3"/>
        <v>3236.2836157894781</v>
      </c>
      <c r="E16" s="2">
        <v>111112.40414210527</v>
      </c>
      <c r="G16" s="3">
        <v>101093.08119624</v>
      </c>
      <c r="H16" s="3">
        <f t="shared" si="4"/>
        <v>5308.3803236940003</v>
      </c>
      <c r="I16" s="3">
        <v>106401.461519934</v>
      </c>
      <c r="J16" s="15">
        <f t="shared" si="5"/>
        <v>4.2397990202302616E-2</v>
      </c>
      <c r="O16" s="16"/>
    </row>
    <row r="17" spans="1:16" x14ac:dyDescent="0.2">
      <c r="A17" s="1" t="s">
        <v>42</v>
      </c>
      <c r="B17" s="18">
        <f>COUNT(B6:B16)</f>
        <v>11</v>
      </c>
      <c r="C17" s="2"/>
      <c r="D17" s="11"/>
      <c r="E17" s="2"/>
      <c r="G17" s="3"/>
      <c r="H17" s="3"/>
      <c r="I17" s="3"/>
      <c r="J17" s="15"/>
      <c r="O17" s="16"/>
    </row>
    <row r="18" spans="1:16" x14ac:dyDescent="0.2">
      <c r="A18" s="1" t="s">
        <v>43</v>
      </c>
      <c r="B18" s="18">
        <f>SUM(B6:B16)</f>
        <v>403</v>
      </c>
      <c r="C18" s="2"/>
      <c r="D18" s="11"/>
      <c r="E18" s="2"/>
      <c r="G18" s="3"/>
      <c r="H18" s="3"/>
      <c r="I18" s="3"/>
      <c r="J18" s="15"/>
      <c r="O18" s="16"/>
    </row>
    <row r="19" spans="1:16" x14ac:dyDescent="0.2">
      <c r="A19" s="1"/>
      <c r="B19" s="18"/>
      <c r="C19" s="2"/>
      <c r="D19" s="11"/>
      <c r="E19" s="2"/>
      <c r="G19" s="3"/>
      <c r="H19" s="3"/>
      <c r="I19" s="3"/>
      <c r="J19" s="15"/>
      <c r="O19" s="16"/>
    </row>
    <row r="20" spans="1:16" x14ac:dyDescent="0.2">
      <c r="A20" s="1"/>
      <c r="B20" s="18"/>
      <c r="C20" s="2"/>
      <c r="D20" s="11"/>
      <c r="E20" s="2"/>
      <c r="G20" s="3"/>
      <c r="H20" s="3"/>
      <c r="I20" s="3"/>
      <c r="J20" s="15"/>
      <c r="O20" s="16"/>
    </row>
    <row r="21" spans="1:16" x14ac:dyDescent="0.2">
      <c r="A21" s="31" t="s">
        <v>25</v>
      </c>
      <c r="B21" s="18"/>
      <c r="C21" s="2"/>
      <c r="D21" s="11"/>
      <c r="E21" s="2"/>
      <c r="G21" s="3"/>
      <c r="H21" s="3"/>
      <c r="I21" s="3"/>
      <c r="J21" s="15"/>
      <c r="O21" s="16"/>
    </row>
    <row r="22" spans="1:16" x14ac:dyDescent="0.2">
      <c r="A22" s="5" t="s">
        <v>22</v>
      </c>
      <c r="B22" s="29">
        <v>4</v>
      </c>
      <c r="C22" s="2">
        <v>77147.199999999997</v>
      </c>
      <c r="D22" s="11">
        <f>E22-C22</f>
        <v>2314.4159999999974</v>
      </c>
      <c r="E22" s="2">
        <v>79461.615999999995</v>
      </c>
      <c r="G22" s="3">
        <v>70009.800210000001</v>
      </c>
      <c r="H22" s="3">
        <f t="shared" ref="H22:H29" si="6">I22-G22</f>
        <v>1037.7697691339999</v>
      </c>
      <c r="I22" s="3">
        <v>71047.569979134001</v>
      </c>
      <c r="J22" s="15">
        <f t="shared" ref="J22:J29" si="7">(1-I22/E22)</f>
        <v>0.10588818154498636</v>
      </c>
      <c r="O22" s="16"/>
      <c r="P22" s="16"/>
    </row>
    <row r="23" spans="1:16" x14ac:dyDescent="0.2">
      <c r="A23" s="5" t="s">
        <v>23</v>
      </c>
      <c r="B23" s="29">
        <v>21</v>
      </c>
      <c r="C23" s="2">
        <v>92351.009523809553</v>
      </c>
      <c r="D23" s="11">
        <f t="shared" ref="D23:D29" si="8">E23-C23</f>
        <v>2770.530285714296</v>
      </c>
      <c r="E23" s="2">
        <v>95121.539809523849</v>
      </c>
      <c r="G23" s="3">
        <v>94145.284832004007</v>
      </c>
      <c r="H23" s="3">
        <f t="shared" si="6"/>
        <v>3724.6065879959933</v>
      </c>
      <c r="I23" s="3">
        <v>97869.89142</v>
      </c>
      <c r="J23" s="15">
        <f t="shared" ref="J23:J27" si="9">(1-I23/E23)</f>
        <v>-2.8893052151800713E-2</v>
      </c>
      <c r="O23" s="16"/>
    </row>
    <row r="24" spans="1:16" x14ac:dyDescent="0.2">
      <c r="A24" s="5" t="s">
        <v>24</v>
      </c>
      <c r="B24" s="29">
        <v>7</v>
      </c>
      <c r="C24" s="2">
        <v>94681.599999999991</v>
      </c>
      <c r="D24" s="11">
        <f t="shared" si="8"/>
        <v>2840.448000000004</v>
      </c>
      <c r="E24" s="2">
        <v>97522.047999999995</v>
      </c>
      <c r="G24" s="3">
        <v>94145.284832004007</v>
      </c>
      <c r="H24" s="3">
        <f t="shared" si="6"/>
        <v>3724.7151679959934</v>
      </c>
      <c r="I24" s="3">
        <v>97870</v>
      </c>
      <c r="J24" s="15">
        <f t="shared" si="9"/>
        <v>-3.5679316332650757E-3</v>
      </c>
      <c r="O24" s="16"/>
    </row>
    <row r="25" spans="1:16" x14ac:dyDescent="0.2">
      <c r="A25" s="5" t="s">
        <v>45</v>
      </c>
      <c r="B25" s="29">
        <v>6</v>
      </c>
      <c r="C25" s="2">
        <v>83359.46666666666</v>
      </c>
      <c r="D25" s="11">
        <f t="shared" si="8"/>
        <v>2500.7839999999997</v>
      </c>
      <c r="E25" s="2">
        <v>85860.25066666666</v>
      </c>
      <c r="G25" s="3">
        <v>100571.97644398799</v>
      </c>
      <c r="H25" s="3">
        <f t="shared" si="6"/>
        <v>5085.31804956001</v>
      </c>
      <c r="I25" s="3">
        <v>105657.294493548</v>
      </c>
      <c r="J25" s="15">
        <f t="shared" si="9"/>
        <v>-0.23057286314873426</v>
      </c>
      <c r="O25" s="16"/>
    </row>
    <row r="26" spans="1:16" x14ac:dyDescent="0.2">
      <c r="A26" s="5" t="s">
        <v>46</v>
      </c>
      <c r="B26" s="29">
        <v>2</v>
      </c>
      <c r="C26" s="2">
        <v>105643.2</v>
      </c>
      <c r="D26" s="11">
        <f t="shared" si="8"/>
        <v>3169.2960000000021</v>
      </c>
      <c r="E26" s="2">
        <v>108812.496</v>
      </c>
      <c r="G26" s="3">
        <v>100571.97644398799</v>
      </c>
      <c r="H26" s="3">
        <f t="shared" si="6"/>
        <v>5085.31804956001</v>
      </c>
      <c r="I26" s="3">
        <v>105657.294493548</v>
      </c>
      <c r="J26" s="15">
        <f t="shared" ref="J26" si="10">(1-I26/E26)</f>
        <v>2.8996683491682718E-2</v>
      </c>
      <c r="O26" s="16"/>
    </row>
    <row r="27" spans="1:16" x14ac:dyDescent="0.2">
      <c r="A27" s="5" t="s">
        <v>47</v>
      </c>
      <c r="B27" s="29">
        <v>76</v>
      </c>
      <c r="C27" s="2">
        <v>104910.27368421065</v>
      </c>
      <c r="D27" s="11">
        <f t="shared" si="8"/>
        <v>3147.3082105263165</v>
      </c>
      <c r="E27" s="2">
        <v>108057.58189473697</v>
      </c>
      <c r="G27" s="3">
        <v>103946.181135426</v>
      </c>
      <c r="H27" s="3">
        <f t="shared" si="6"/>
        <v>5754.5343308879965</v>
      </c>
      <c r="I27" s="3">
        <v>109700.715466314</v>
      </c>
      <c r="J27" s="15">
        <f t="shared" si="9"/>
        <v>-1.5206092370062985E-2</v>
      </c>
      <c r="O27" s="16"/>
    </row>
    <row r="28" spans="1:16" x14ac:dyDescent="0.2">
      <c r="A28" s="5" t="s">
        <v>48</v>
      </c>
      <c r="B28" s="29">
        <v>59</v>
      </c>
      <c r="C28" s="2">
        <v>104836.58305084756</v>
      </c>
      <c r="D28" s="11">
        <f t="shared" si="8"/>
        <v>3145.0974915254337</v>
      </c>
      <c r="E28" s="2">
        <v>107981.680542373</v>
      </c>
      <c r="G28" s="3">
        <v>101093.08119624</v>
      </c>
      <c r="H28" s="3">
        <f t="shared" si="6"/>
        <v>5308.3803236940003</v>
      </c>
      <c r="I28" s="3">
        <v>106401.461519934</v>
      </c>
      <c r="J28" s="15">
        <f t="shared" si="7"/>
        <v>1.4634139925419065E-2</v>
      </c>
      <c r="O28" s="16"/>
    </row>
    <row r="29" spans="1:16" x14ac:dyDescent="0.2">
      <c r="A29" s="5" t="s">
        <v>49</v>
      </c>
      <c r="B29" s="29">
        <v>32</v>
      </c>
      <c r="C29" s="2">
        <v>110900.40000000005</v>
      </c>
      <c r="D29" s="11">
        <f t="shared" si="8"/>
        <v>3327.0120000000024</v>
      </c>
      <c r="E29" s="2">
        <v>114227.41200000005</v>
      </c>
      <c r="G29" s="3">
        <v>105632.680898304</v>
      </c>
      <c r="H29" s="3">
        <f t="shared" si="6"/>
        <v>5891.0149866959982</v>
      </c>
      <c r="I29" s="3">
        <v>111523.69588499999</v>
      </c>
      <c r="J29" s="15">
        <f t="shared" si="7"/>
        <v>2.3669590929715323E-2</v>
      </c>
      <c r="O29" s="16"/>
    </row>
    <row r="30" spans="1:16" x14ac:dyDescent="0.2">
      <c r="A30" s="1" t="s">
        <v>26</v>
      </c>
      <c r="B30" s="18">
        <f>COUNT(B21:B29)</f>
        <v>8</v>
      </c>
      <c r="C30" s="2"/>
      <c r="D30" s="11"/>
      <c r="E30" s="2"/>
      <c r="G30" s="3"/>
      <c r="H30" s="3"/>
      <c r="I30" s="3"/>
      <c r="J30" s="15"/>
      <c r="O30" s="16"/>
    </row>
    <row r="31" spans="1:16" x14ac:dyDescent="0.2">
      <c r="A31" s="1" t="s">
        <v>27</v>
      </c>
      <c r="B31" s="18">
        <f>SUM(B21:B29)</f>
        <v>207</v>
      </c>
      <c r="C31" s="2"/>
      <c r="D31" s="11"/>
      <c r="E31" s="2"/>
      <c r="G31" s="3"/>
      <c r="H31" s="3"/>
      <c r="I31" s="3"/>
      <c r="J31" s="15"/>
      <c r="O31" s="16"/>
    </row>
    <row r="32" spans="1:16" x14ac:dyDescent="0.2">
      <c r="A32" s="1"/>
      <c r="B32" s="18"/>
      <c r="C32" s="2"/>
      <c r="D32" s="11"/>
      <c r="E32" s="2"/>
      <c r="G32" s="3"/>
      <c r="H32" s="3"/>
      <c r="I32" s="26" t="s">
        <v>0</v>
      </c>
      <c r="J32" s="27">
        <f>AVERAGE(J6:J29)</f>
        <v>-1.320021995769787E-2</v>
      </c>
      <c r="O32" s="16"/>
    </row>
    <row r="33" spans="1:19" ht="14.25" x14ac:dyDescent="0.2">
      <c r="A33" s="22" t="s">
        <v>10</v>
      </c>
      <c r="C33" s="23">
        <f>B17+B30</f>
        <v>19</v>
      </c>
      <c r="D33" s="11"/>
      <c r="E33" s="33" t="s">
        <v>6</v>
      </c>
      <c r="F33" s="33"/>
      <c r="G33" s="33"/>
      <c r="H33" s="33"/>
      <c r="I33" s="33"/>
      <c r="J33" s="25">
        <f>COUNTIF(J6:J31,"&gt;.1")/C33</f>
        <v>0.10526315789473684</v>
      </c>
      <c r="O33" s="16"/>
    </row>
    <row r="34" spans="1:19" ht="14.25" x14ac:dyDescent="0.2">
      <c r="A34" s="22" t="s">
        <v>11</v>
      </c>
      <c r="C34" s="24">
        <f>B18+B31</f>
        <v>610</v>
      </c>
      <c r="D34" s="11"/>
      <c r="E34" s="33" t="s">
        <v>7</v>
      </c>
      <c r="F34" s="33"/>
      <c r="G34" s="33"/>
      <c r="H34" s="33"/>
      <c r="I34" s="33"/>
      <c r="J34" s="25">
        <f>COUNTIF(J6:J31,"&lt;-.1")/C33</f>
        <v>0.10526315789473684</v>
      </c>
      <c r="K34" s="6"/>
      <c r="L34" s="6"/>
      <c r="M34" s="6"/>
      <c r="N34" s="6"/>
      <c r="O34" s="16"/>
      <c r="P34" s="6"/>
      <c r="Q34" s="6"/>
      <c r="R34" s="6"/>
      <c r="S34" s="6"/>
    </row>
    <row r="35" spans="1:19" x14ac:dyDescent="0.2">
      <c r="D35" s="11"/>
      <c r="O35" s="16"/>
    </row>
    <row r="36" spans="1:19" x14ac:dyDescent="0.2">
      <c r="A36" s="8" t="s">
        <v>8</v>
      </c>
      <c r="O36" s="16"/>
    </row>
    <row r="37" spans="1:19" x14ac:dyDescent="0.2">
      <c r="A37" s="5" t="s">
        <v>44</v>
      </c>
    </row>
    <row r="38" spans="1:19" x14ac:dyDescent="0.2">
      <c r="A38" s="5" t="s">
        <v>16</v>
      </c>
    </row>
    <row r="39" spans="1:19" x14ac:dyDescent="0.2">
      <c r="A39" s="30" t="s">
        <v>50</v>
      </c>
      <c r="C39" s="2"/>
      <c r="G39" s="2"/>
    </row>
    <row r="40" spans="1:19" x14ac:dyDescent="0.2">
      <c r="A40" s="7" t="s">
        <v>5</v>
      </c>
    </row>
  </sheetData>
  <mergeCells count="3">
    <mergeCell ref="E33:I33"/>
    <mergeCell ref="E34:I34"/>
    <mergeCell ref="G3:I3"/>
  </mergeCells>
  <phoneticPr fontId="0" type="noConversion"/>
  <conditionalFormatting sqref="J1 J36:J1048576 J5:J25 J27:J32">
    <cfRule type="cellIs" dxfId="3" priority="3" operator="lessThan">
      <formula>-0.1</formula>
    </cfRule>
    <cfRule type="cellIs" dxfId="2" priority="4" operator="greaterThan">
      <formula>0.1</formula>
    </cfRule>
  </conditionalFormatting>
  <conditionalFormatting sqref="J26">
    <cfRule type="cellIs" dxfId="1" priority="1" operator="lessThan">
      <formula>-0.1</formula>
    </cfRule>
    <cfRule type="cellIs" dxfId="0" priority="2" operator="greaterThan">
      <formula>0.1</formula>
    </cfRule>
  </conditionalFormatting>
  <pageMargins left="0.75" right="0.75" top="1" bottom="1" header="0.5" footer="0.5"/>
  <pageSetup orientation="landscape" r:id="rId1"/>
  <headerFooter alignWithMargins="0">
    <oddHeader>&amp;RDocket No. 56165
W/P &amp;F
&amp;A
Page &amp;P of &amp;N</oddHeader>
    <oddFooter>&amp;C&amp;"Calibri,Regular"&amp;11&amp;B&amp;K000000AEP CONFIDENTIAL</oddFooter>
    <evenFooter>&amp;C&amp;"Calibri,Regular"&amp;11&amp;B&amp;K000000AEP CONFIDENTIAL</evenFooter>
    <firstFooter>&amp;C&amp;"Calibri,Regular"&amp;11&amp;B&amp;K000000AEP CONFIDENTIAL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F23"/>
  <sheetViews>
    <sheetView tabSelected="1" workbookViewId="0">
      <selection activeCell="V18" sqref="V18"/>
    </sheetView>
  </sheetViews>
  <sheetFormatPr defaultRowHeight="12.75" x14ac:dyDescent="0.2"/>
  <cols>
    <col min="1" max="1" width="15.5703125" customWidth="1"/>
    <col min="2" max="2" width="13.42578125" customWidth="1"/>
    <col min="3" max="4" width="9.140625" customWidth="1"/>
    <col min="5" max="5" width="11" bestFit="1" customWidth="1"/>
    <col min="6" max="6" width="9.140625" customWidth="1"/>
  </cols>
  <sheetData>
    <row r="1" spans="1:6" x14ac:dyDescent="0.2">
      <c r="B1" t="s">
        <v>20</v>
      </c>
    </row>
    <row r="3" spans="1:6" ht="51" x14ac:dyDescent="0.2">
      <c r="A3" s="28" t="str">
        <f>'Mkt data_9.30.2023'!A4</f>
        <v>AEP Job</v>
      </c>
      <c r="B3" s="12" t="s">
        <v>19</v>
      </c>
      <c r="C3" s="12" t="s">
        <v>14</v>
      </c>
      <c r="D3" s="12" t="s">
        <v>13</v>
      </c>
      <c r="E3" s="12" t="s">
        <v>12</v>
      </c>
      <c r="F3" s="12" t="s">
        <v>15</v>
      </c>
    </row>
    <row r="4" spans="1:6" x14ac:dyDescent="0.2">
      <c r="A4" s="5" t="s">
        <v>37</v>
      </c>
      <c r="B4" s="15">
        <f>VLOOKUP($A4,'Mkt data_9.30.2023'!$A:$J,10,FALSE)+1</f>
        <v>1.1402578448994227</v>
      </c>
      <c r="C4" s="15">
        <v>0.9</v>
      </c>
      <c r="D4" s="15">
        <v>1</v>
      </c>
      <c r="E4" s="15">
        <v>0.2</v>
      </c>
      <c r="F4" s="15">
        <v>0.4</v>
      </c>
    </row>
    <row r="5" spans="1:6" x14ac:dyDescent="0.2">
      <c r="A5" s="5" t="s">
        <v>22</v>
      </c>
      <c r="B5" s="15">
        <f>VLOOKUP($A5,'Mkt data_9.30.2023'!$A:$J,10,FALSE)+1</f>
        <v>1.1058881815449864</v>
      </c>
      <c r="C5" s="15">
        <v>0.9</v>
      </c>
      <c r="D5" s="15">
        <v>1</v>
      </c>
      <c r="E5" s="15">
        <v>0.2</v>
      </c>
      <c r="F5" s="15">
        <v>0.4</v>
      </c>
    </row>
    <row r="6" spans="1:6" x14ac:dyDescent="0.2">
      <c r="A6" s="5" t="s">
        <v>41</v>
      </c>
      <c r="B6" s="15">
        <f>VLOOKUP($A6,'Mkt data_9.30.2023'!$A:$J,10,FALSE)+1</f>
        <v>1.0423979902023026</v>
      </c>
      <c r="C6" s="15">
        <v>0.9</v>
      </c>
      <c r="D6" s="15">
        <v>1</v>
      </c>
      <c r="E6" s="15">
        <v>0.2</v>
      </c>
      <c r="F6" s="15">
        <v>0.4</v>
      </c>
    </row>
    <row r="7" spans="1:6" x14ac:dyDescent="0.2">
      <c r="A7" s="5" t="s">
        <v>46</v>
      </c>
      <c r="B7" s="15">
        <f>VLOOKUP($A7,'Mkt data_9.30.2023'!$A:$J,10,FALSE)+1</f>
        <v>1.0289966834916826</v>
      </c>
      <c r="C7" s="15">
        <v>0.9</v>
      </c>
      <c r="D7" s="15">
        <v>1</v>
      </c>
      <c r="E7" s="15">
        <v>0.2</v>
      </c>
      <c r="F7" s="15">
        <v>0.4</v>
      </c>
    </row>
    <row r="8" spans="1:6" x14ac:dyDescent="0.2">
      <c r="A8" s="5" t="s">
        <v>49</v>
      </c>
      <c r="B8" s="15">
        <f>VLOOKUP($A8,'Mkt data_9.30.2023'!$A:$J,10,FALSE)+1</f>
        <v>1.0236695909297153</v>
      </c>
      <c r="C8" s="15">
        <v>0.9</v>
      </c>
      <c r="D8" s="15">
        <v>1</v>
      </c>
      <c r="E8" s="15">
        <v>0.2</v>
      </c>
      <c r="F8" s="15">
        <v>0.4</v>
      </c>
    </row>
    <row r="9" spans="1:6" x14ac:dyDescent="0.2">
      <c r="A9" s="5" t="s">
        <v>40</v>
      </c>
      <c r="B9" s="15">
        <f>VLOOKUP($A9,'Mkt data_9.30.2023'!$A:$J,10,FALSE)+1</f>
        <v>1.0213101588138116</v>
      </c>
      <c r="C9" s="15">
        <v>0.9</v>
      </c>
      <c r="D9" s="15">
        <v>1</v>
      </c>
      <c r="E9" s="15">
        <v>0.2</v>
      </c>
      <c r="F9" s="15">
        <v>0.4</v>
      </c>
    </row>
    <row r="10" spans="1:6" x14ac:dyDescent="0.2">
      <c r="A10" s="5" t="s">
        <v>48</v>
      </c>
      <c r="B10" s="15">
        <f>VLOOKUP($A10,'Mkt data_9.30.2023'!$A:$J,10,FALSE)+1</f>
        <v>1.0146341399254191</v>
      </c>
      <c r="C10" s="15">
        <v>0.9</v>
      </c>
      <c r="D10" s="15">
        <v>1</v>
      </c>
      <c r="E10" s="15">
        <v>0.2</v>
      </c>
      <c r="F10" s="15">
        <v>0.4</v>
      </c>
    </row>
    <row r="11" spans="1:6" x14ac:dyDescent="0.2">
      <c r="A11" s="5" t="s">
        <v>39</v>
      </c>
      <c r="B11" s="15">
        <f>VLOOKUP($A11,'Mkt data_9.30.2023'!$A:$J,10,FALSE)+1</f>
        <v>0.99958925849219504</v>
      </c>
      <c r="C11" s="15">
        <v>0.9</v>
      </c>
      <c r="D11" s="15">
        <v>1</v>
      </c>
      <c r="E11" s="15">
        <v>0.2</v>
      </c>
      <c r="F11" s="15">
        <v>0.4</v>
      </c>
    </row>
    <row r="12" spans="1:6" x14ac:dyDescent="0.2">
      <c r="A12" s="5" t="s">
        <v>34</v>
      </c>
      <c r="B12" s="15">
        <f>VLOOKUP($A12,'Mkt data_9.30.2023'!$A:$J,10,FALSE)+1</f>
        <v>0.99907409350714138</v>
      </c>
      <c r="C12" s="15">
        <v>0.9</v>
      </c>
      <c r="D12" s="15">
        <v>1</v>
      </c>
      <c r="E12" s="15">
        <v>0.2</v>
      </c>
      <c r="F12" s="15">
        <v>0.4</v>
      </c>
    </row>
    <row r="13" spans="1:6" x14ac:dyDescent="0.2">
      <c r="A13" s="5" t="s">
        <v>24</v>
      </c>
      <c r="B13" s="15">
        <f>VLOOKUP($A13,'Mkt data_9.30.2023'!$A:$J,10,FALSE)+1</f>
        <v>0.99643206836673492</v>
      </c>
      <c r="C13" s="15">
        <v>0.9</v>
      </c>
      <c r="D13" s="15">
        <v>1</v>
      </c>
      <c r="E13" s="15">
        <v>0.2</v>
      </c>
      <c r="F13" s="15">
        <v>0.4</v>
      </c>
    </row>
    <row r="14" spans="1:6" x14ac:dyDescent="0.2">
      <c r="A14" s="5" t="s">
        <v>47</v>
      </c>
      <c r="B14" s="15">
        <f>VLOOKUP($A14,'Mkt data_9.30.2023'!$A:$J,10,FALSE)+1</f>
        <v>0.98479390762993702</v>
      </c>
      <c r="C14" s="15">
        <v>0.9</v>
      </c>
      <c r="D14" s="15">
        <v>1</v>
      </c>
      <c r="E14" s="15">
        <v>0.2</v>
      </c>
      <c r="F14" s="15">
        <v>0.4</v>
      </c>
    </row>
    <row r="15" spans="1:6" x14ac:dyDescent="0.2">
      <c r="A15" s="5" t="s">
        <v>33</v>
      </c>
      <c r="B15" s="15">
        <f>VLOOKUP($A15,'Mkt data_9.30.2023'!$A:$J,10,FALSE)+1</f>
        <v>0.98327780435670165</v>
      </c>
      <c r="C15" s="15">
        <v>0.9</v>
      </c>
      <c r="D15" s="15">
        <v>1</v>
      </c>
      <c r="E15" s="15">
        <v>0.2</v>
      </c>
      <c r="F15" s="15">
        <v>0.4</v>
      </c>
    </row>
    <row r="16" spans="1:6" x14ac:dyDescent="0.2">
      <c r="A16" s="5" t="s">
        <v>35</v>
      </c>
      <c r="B16" s="15">
        <f>VLOOKUP($A16,'Mkt data_9.30.2023'!$A:$J,10,FALSE)+1</f>
        <v>0.97801153523472584</v>
      </c>
      <c r="C16" s="15">
        <v>0.9</v>
      </c>
      <c r="D16" s="15">
        <v>1</v>
      </c>
      <c r="E16" s="15">
        <v>0.2</v>
      </c>
      <c r="F16" s="15">
        <v>0.4</v>
      </c>
    </row>
    <row r="17" spans="1:6" x14ac:dyDescent="0.2">
      <c r="A17" s="5" t="s">
        <v>23</v>
      </c>
      <c r="B17" s="15">
        <f>VLOOKUP($A17,'Mkt data_9.30.2023'!$A:$J,10,FALSE)+1</f>
        <v>0.97110694784819929</v>
      </c>
      <c r="C17" s="15">
        <v>0.9</v>
      </c>
      <c r="D17" s="15">
        <v>1</v>
      </c>
      <c r="E17" s="15">
        <v>0.2</v>
      </c>
      <c r="F17" s="15">
        <v>0.4</v>
      </c>
    </row>
    <row r="18" spans="1:6" x14ac:dyDescent="0.2">
      <c r="A18" s="5" t="s">
        <v>38</v>
      </c>
      <c r="B18" s="15">
        <f>VLOOKUP($A18,'Mkt data_9.30.2023'!$A:$J,10,FALSE)+1</f>
        <v>0.9644332568357934</v>
      </c>
      <c r="C18" s="15">
        <v>0.9</v>
      </c>
      <c r="D18" s="15">
        <v>1</v>
      </c>
      <c r="E18" s="15">
        <v>0.2</v>
      </c>
      <c r="F18" s="15">
        <v>0.4</v>
      </c>
    </row>
    <row r="19" spans="1:6" x14ac:dyDescent="0.2">
      <c r="A19" s="5" t="s">
        <v>36</v>
      </c>
      <c r="B19" s="15">
        <f>VLOOKUP($A19,'Mkt data_9.30.2023'!$A:$J,10,FALSE)+1</f>
        <v>0.95609209922861571</v>
      </c>
      <c r="C19" s="15">
        <v>0.9</v>
      </c>
      <c r="D19" s="15">
        <v>1</v>
      </c>
      <c r="E19" s="15">
        <v>0.2</v>
      </c>
      <c r="F19" s="15">
        <v>0.4</v>
      </c>
    </row>
    <row r="20" spans="1:6" x14ac:dyDescent="0.2">
      <c r="A20" s="5" t="s">
        <v>31</v>
      </c>
      <c r="B20" s="15">
        <f>VLOOKUP($A20,'Mkt data_9.30.2023'!$A:$J,10,FALSE)+1</f>
        <v>0.95184058546802452</v>
      </c>
      <c r="C20" s="15">
        <v>0.9</v>
      </c>
      <c r="D20" s="15">
        <v>1</v>
      </c>
      <c r="E20" s="15">
        <v>0.2</v>
      </c>
      <c r="F20" s="15">
        <v>0.4</v>
      </c>
    </row>
    <row r="21" spans="1:6" x14ac:dyDescent="0.2">
      <c r="A21" s="5" t="s">
        <v>32</v>
      </c>
      <c r="B21" s="15">
        <f>VLOOKUP($A21,'Mkt data_9.30.2023'!$A:$J,10,FALSE)+1</f>
        <v>0.81796253717706557</v>
      </c>
      <c r="C21" s="15">
        <v>0.9</v>
      </c>
      <c r="D21" s="15">
        <v>1</v>
      </c>
      <c r="E21" s="15">
        <v>0.2</v>
      </c>
      <c r="F21" s="15">
        <v>0.4</v>
      </c>
    </row>
    <row r="22" spans="1:6" x14ac:dyDescent="0.2">
      <c r="A22" s="5" t="s">
        <v>45</v>
      </c>
      <c r="B22" s="15">
        <f>VLOOKUP($A22,'Mkt data_9.30.2023'!$A:$J,10,FALSE)+1</f>
        <v>0.76942713685126574</v>
      </c>
      <c r="C22" s="15">
        <v>0.9</v>
      </c>
      <c r="D22" s="15">
        <v>1</v>
      </c>
      <c r="E22" s="15">
        <v>0.2</v>
      </c>
      <c r="F22" s="15">
        <v>0.4</v>
      </c>
    </row>
    <row r="23" spans="1:6" x14ac:dyDescent="0.2">
      <c r="A23" s="5"/>
    </row>
  </sheetData>
  <autoFilter ref="A3:B7" xr:uid="{00000000-0009-0000-0000-000002000000}">
    <sortState xmlns:xlrd2="http://schemas.microsoft.com/office/spreadsheetml/2017/richdata2" ref="A4:B7">
      <sortCondition descending="1" ref="B3:B7"/>
    </sortState>
  </autoFilter>
  <sortState xmlns:xlrd2="http://schemas.microsoft.com/office/spreadsheetml/2017/richdata2" ref="A4:F22">
    <sortCondition descending="1" ref="B4:B22"/>
  </sortState>
  <pageMargins left="0.75" right="0.75" top="1" bottom="1" header="0.5" footer="0.5"/>
  <pageSetup orientation="landscape" r:id="rId1"/>
  <headerFooter alignWithMargins="0">
    <oddHeader>&amp;RDocket No. 56165
W/P &amp;F
&amp;A
Page &amp;P of &amp;N</oddHeader>
    <oddFooter>&amp;C&amp;"Calibri,Regular"&amp;11&amp;B&amp;K000000AEP CONFIDENTIAL</oddFooter>
    <evenFooter>&amp;C&amp;"Calibri,Regular"&amp;11&amp;B&amp;K000000AEP CONFIDENTIAL</evenFooter>
    <firstFooter>&amp;C&amp;"Calibri,Regular"&amp;11&amp;B&amp;K000000AEP 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kFwcHJvdmVkU3VnZ2VzdGlvbiI+PGVsZW1lbnQgdWlkPSIxZjZhOThkNS00ZTZhLTQwNmYtODI1OC0zZjA3YjYxYTFiOTgiIHZhbHVlPSIiIHhtbG5zPSJodHRwOi8vd3d3LmJvbGRvbmphbWVzLmNvbS8yMDA4LzAxL3NpZS9pbnRlcm5hbC9sYWJlbCIgLz48ZWxlbWVudCB1aWQ9ImI3NjBhZGE1LTEyYmUtNGE5OS05YzU4LWUzODY1NTc4N2UzMyIgdmFsdWU9IiIgeG1sbnM9Imh0dHA6Ly93d3cuYm9sZG9uamFtZXMuY29tLzIwMDgvMDEvc2llL2ludGVybmFsL2xhYmVsIiAvPjwvc2lzbD48VXNlck5hbWU+Q09SUFxzMjkxNjc5PC9Vc2VyTmFtZT48RGF0ZVRpbWU+MTAvNC8yMDIyIDI6MDY6MzYgUE08L0RhdGVUaW1lPjxMYWJlbFN0cmluZz5BRVAgQ29uZmlkZW50aWFs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ApprovedSuggestion">
  <element uid="1f6a98d5-4e6a-406f-8258-3f07b61a1b98" value=""/>
  <element uid="b760ada5-12be-4a99-9c58-e38655787e33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perating_x0020_Company xmlns="a1040523-5304-4b09-b6d4-64a124c994e2">AEP Ohio</Operating_x0020_Company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</documentManagement>
</p:properties>
</file>

<file path=customXml/itemProps1.xml><?xml version="1.0" encoding="utf-8"?>
<ds:datastoreItem xmlns:ds="http://schemas.openxmlformats.org/officeDocument/2006/customXml" ds:itemID="{5BC3FAEB-892B-4C83-B3F4-E4075C4872CE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DDAFD0C-3894-4974-AFA3-2DFFF7F4E477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3EC0CA88-CB40-48C0-8BF0-7D4476933E3E}"/>
</file>

<file path=customXml/itemProps4.xml><?xml version="1.0" encoding="utf-8"?>
<ds:datastoreItem xmlns:ds="http://schemas.openxmlformats.org/officeDocument/2006/customXml" ds:itemID="{A6853656-12C6-4615-B533-D58B7223DAF8}"/>
</file>

<file path=customXml/itemProps5.xml><?xml version="1.0" encoding="utf-8"?>
<ds:datastoreItem xmlns:ds="http://schemas.openxmlformats.org/officeDocument/2006/customXml" ds:itemID="{7FD5CEF7-9C51-4028-AA74-30F0958FB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Mkt data_9.30.2023</vt:lpstr>
      <vt:lpstr>Graph Data</vt:lpstr>
      <vt:lpstr>Chart1</vt:lpstr>
    </vt:vector>
  </TitlesOfParts>
  <Company>IT-CPS-3/8/1-(Help#=8-835-3050) Full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 Jolley</dc:creator>
  <cp:keywords/>
  <cp:lastModifiedBy>Stephanie L White</cp:lastModifiedBy>
  <cp:lastPrinted>2020-03-26T16:58:47Z</cp:lastPrinted>
  <dcterms:created xsi:type="dcterms:W3CDTF">2006-04-24T18:34:11Z</dcterms:created>
  <dcterms:modified xsi:type="dcterms:W3CDTF">2024-02-27T21:37:19Z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3ebf4b24-7b60-4fbc-bcc0-5d899d7ef0ad</vt:lpwstr>
  </property>
  <property fmtid="{D5CDD505-2E9C-101B-9397-08002B2CF9AE}" pid="3" name="bjSaver">
    <vt:lpwstr>dxSJG2EiS6sbSoQmZxiBQylT3SO8hDM+</vt:lpwstr>
  </property>
  <property fmtid="{D5CDD505-2E9C-101B-9397-08002B2CF9AE}" pid="4" name="bjDocumentSecurityLabel">
    <vt:lpwstr>AEP Confidential</vt:lpwstr>
  </property>
  <property fmtid="{D5CDD505-2E9C-101B-9397-08002B2CF9AE}" pid="5" name="bjCentreFooterLabel-even">
    <vt:lpwstr>&amp;"Calibri,Regular"&amp;11&amp;B&amp;K000000AEP CONFIDENTIAL</vt:lpwstr>
  </property>
  <property fmtid="{D5CDD505-2E9C-101B-9397-08002B2CF9AE}" pid="6" name="Visual Markings Removed">
    <vt:lpwstr>No</vt:lpwstr>
  </property>
  <property fmtid="{D5CDD505-2E9C-101B-9397-08002B2CF9AE}" pid="7" name="bjCentreFooterLabel-first">
    <vt:lpwstr>&amp;"Calibri,Regular"&amp;11&amp;B&amp;K000000AEP CONFIDENTIAL</vt:lpwstr>
  </property>
  <property fmtid="{D5CDD505-2E9C-101B-9397-08002B2CF9AE}" pid="8" name="bjCentreFooterLabel">
    <vt:lpwstr>&amp;"Calibri,Regular"&amp;11&amp;B&amp;K000000AEP CONFIDENTIAL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policy="e9c0b8d7-bdb4-4fd3-b62a-f50327aaefce" origin="userApprovedSuggestion" xmlns="http://w</vt:lpwstr>
  </property>
  <property fmtid="{D5CDD505-2E9C-101B-9397-08002B2CF9AE}" pid="10" name="bjDocumentLabelXML-0">
    <vt:lpwstr>ww.boldonjames.com/2008/01/sie/internal/label"&gt;&lt;element uid="1f6a98d5-4e6a-406f-8258-3f07b61a1b98" value="" /&gt;&lt;element uid="b760ada5-12be-4a99-9c58-e38655787e33" value="" /&gt;&lt;/sisl&gt;</vt:lpwstr>
  </property>
  <property fmtid="{D5CDD505-2E9C-101B-9397-08002B2CF9AE}" pid="11" name="MSIP_Label_ca1b0da0-8f50-4f04-9edf-df46c2e35df5_SiteId">
    <vt:lpwstr>15f3c881-6b03-4ff6-8559-77bf5177818f</vt:lpwstr>
  </property>
  <property fmtid="{D5CDD505-2E9C-101B-9397-08002B2CF9AE}" pid="12" name="MSIP_Label_ca1b0da0-8f50-4f04-9edf-df46c2e35df5_Name">
    <vt:lpwstr>AEP Confidential</vt:lpwstr>
  </property>
  <property fmtid="{D5CDD505-2E9C-101B-9397-08002B2CF9AE}" pid="13" name="MSIP_Label_ca1b0da0-8f50-4f04-9edf-df46c2e35df5_Enabled">
    <vt:lpwstr>true</vt:lpwstr>
  </property>
  <property fmtid="{D5CDD505-2E9C-101B-9397-08002B2CF9AE}" pid="14" name="bjClsUserRVM">
    <vt:lpwstr>[]</vt:lpwstr>
  </property>
  <property fmtid="{D5CDD505-2E9C-101B-9397-08002B2CF9AE}" pid="15" name="bjLabelHistoryID">
    <vt:lpwstr>{5BC3FAEB-892B-4C83-B3F4-E4075C4872CE}</vt:lpwstr>
  </property>
  <property fmtid="{D5CDD505-2E9C-101B-9397-08002B2CF9AE}" pid="16" name="ContentTypeId">
    <vt:lpwstr>0x01010001136CE24ED5F449BD16740FFC7FAF6F</vt:lpwstr>
  </property>
  <property fmtid="{D5CDD505-2E9C-101B-9397-08002B2CF9AE}" pid="17" name="MediaServiceImageTags">
    <vt:lpwstr/>
  </property>
</Properties>
</file>