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defaultThemeVersion="124226"/>
  <mc:AlternateContent xmlns:mc="http://schemas.openxmlformats.org/markup-compatibility/2006">
    <mc:Choice Requires="x15">
      <x15ac:absPath xmlns:x15ac="http://schemas.microsoft.com/office/spreadsheetml/2010/11/ac" url="https://aepenergy.sharepoint.com/sites/regsvcs/Regulatory Base Cases/AEP Texas/2024 Base Rate Case/Testimony Drafts/17. Brian Frantz/"/>
    </mc:Choice>
  </mc:AlternateContent>
  <xr:revisionPtr revIDLastSave="5" documentId="8_{CFCF6A20-D791-4A59-9624-7DB2E273A53B}" xr6:coauthVersionLast="47" xr6:coauthVersionMax="47" xr10:uidLastSave="{693EC876-3A9D-44B0-AF7F-328C9AB75627}"/>
  <bookViews>
    <workbookView xWindow="-108" yWindow="-108" windowWidth="23256" windowHeight="12456" tabRatio="934" xr2:uid="{00000000-000D-0000-FFFF-FFFF00000000}"/>
  </bookViews>
  <sheets>
    <sheet name="Cover" sheetId="11" r:id="rId1"/>
    <sheet name="AEPSC Total" sheetId="6" r:id="rId2"/>
    <sheet name="Other Affiliate" sheetId="9" r:id="rId3"/>
    <sheet name="Cust Svc" sheetId="2" r:id="rId4"/>
    <sheet name="Dist" sheetId="5" r:id="rId5"/>
    <sheet name="Energy Delivery" sheetId="4" r:id="rId6"/>
    <sheet name="Federal &amp; External Affairs" sheetId="16" r:id="rId7"/>
    <sheet name="Reg" sheetId="13" r:id="rId8"/>
    <sheet name="Safety &amp; Health" sheetId="28" r:id="rId9"/>
    <sheet name="IT" sheetId="19" r:id="rId10"/>
    <sheet name="Telecommunications" sheetId="29" r:id="rId11"/>
    <sheet name="SCPFO" sheetId="25" r:id="rId12"/>
    <sheet name="RE &amp; WP Svcs" sheetId="17" r:id="rId13"/>
    <sheet name="HR" sheetId="18" r:id="rId14"/>
    <sheet name="CFO" sheetId="1" r:id="rId15"/>
    <sheet name="CEO" sheetId="12" r:id="rId16"/>
    <sheet name="Legal" sheetId="7" r:id="rId17"/>
    <sheet name="Physical_Cyber Security" sheetId="27" r:id="rId18"/>
    <sheet name="CC" sheetId="15" r:id="rId19"/>
    <sheet name="Environmental Services" sheetId="23" r:id="rId20"/>
    <sheet name="Incentives" sheetId="26" r:id="rId21"/>
    <sheet name="ISC" sheetId="20" r:id="rId22"/>
  </sheets>
  <definedNames>
    <definedName name="_xlnm.Print_Area" localSheetId="1">'AEPSC Total'!$A$1:$M$31</definedName>
  </definedNames>
  <calcPr calcId="191029" iterate="1" iterateCount="10000"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29" l="1"/>
  <c r="E9" i="29"/>
  <c r="C13" i="28" l="1"/>
  <c r="E9" i="28"/>
  <c r="C13" i="27"/>
  <c r="E9" i="27"/>
  <c r="C13" i="26"/>
  <c r="E9" i="26"/>
  <c r="C13" i="9"/>
  <c r="C12" i="4"/>
  <c r="C13" i="16"/>
  <c r="C13" i="15"/>
  <c r="C13" i="7"/>
  <c r="C13" i="12"/>
  <c r="C13" i="20"/>
  <c r="C13" i="1"/>
  <c r="C13" i="25"/>
  <c r="C13" i="18"/>
  <c r="C13" i="19"/>
  <c r="C13" i="17"/>
  <c r="C13" i="23"/>
  <c r="C13" i="2"/>
  <c r="C13" i="5"/>
  <c r="C13" i="13"/>
  <c r="C10" i="11"/>
  <c r="C11" i="11" s="1"/>
  <c r="C12" i="11" s="1"/>
  <c r="C13" i="11" s="1"/>
  <c r="C14" i="11" s="1"/>
  <c r="C15" i="11" s="1"/>
  <c r="C16" i="11" s="1"/>
  <c r="C17" i="11" s="1"/>
  <c r="C18" i="11" s="1"/>
  <c r="C19" i="11" s="1"/>
  <c r="C20" i="11" s="1"/>
  <c r="C21" i="11" s="1"/>
  <c r="C22" i="11" s="1"/>
  <c r="C23" i="11" s="1"/>
  <c r="C24" i="11" s="1"/>
  <c r="C25" i="11" s="1"/>
  <c r="C26" i="11" s="1"/>
  <c r="C27" i="11" s="1"/>
  <c r="C28" i="11" s="1"/>
  <c r="C29" i="11" s="1"/>
  <c r="E9" i="25"/>
  <c r="E9" i="1"/>
  <c r="D9" i="6"/>
  <c r="E9" i="19"/>
  <c r="E9" i="23"/>
  <c r="E9" i="18"/>
  <c r="E9" i="16"/>
  <c r="E9" i="7"/>
  <c r="E9" i="4"/>
  <c r="E9" i="20"/>
  <c r="E9" i="2"/>
  <c r="E9" i="15"/>
  <c r="E9" i="12"/>
  <c r="E9" i="5"/>
  <c r="E9" i="17"/>
  <c r="E9" i="9"/>
  <c r="E9" i="13"/>
</calcChain>
</file>

<file path=xl/sharedStrings.xml><?xml version="1.0" encoding="utf-8"?>
<sst xmlns="http://schemas.openxmlformats.org/spreadsheetml/2006/main" count="1163" uniqueCount="162">
  <si>
    <t>Class of Service:</t>
  </si>
  <si>
    <t>Distribution</t>
  </si>
  <si>
    <t>Total</t>
  </si>
  <si>
    <t>Supporting Witness:</t>
  </si>
  <si>
    <t>To review the amount included in the Company's request for this Class of Service:</t>
  </si>
  <si>
    <t>by Allocation Factor used to bill services:</t>
  </si>
  <si>
    <t>by the Activities performed by this Class:</t>
  </si>
  <si>
    <t>Discussion of reasonableness, necessity and methods of allocation for this Class:</t>
  </si>
  <si>
    <t>Discussion of affiliate accounting and billing process:</t>
  </si>
  <si>
    <t>by Category of Service discussed in testimony:</t>
  </si>
  <si>
    <t>by Benefiting Locations billed by this Class:</t>
  </si>
  <si>
    <t>listing of invoices removed from request for this Class:</t>
  </si>
  <si>
    <t>Discussion of AEPSC cost trends, benchmarking and cost allocation:</t>
  </si>
  <si>
    <t>Discussion of reasonableness and necessity of employee benefit costs:</t>
  </si>
  <si>
    <t>Discussion of reasonableness and necessity of salaries and incentives:</t>
  </si>
  <si>
    <t>w</t>
  </si>
  <si>
    <t>Customer Service</t>
  </si>
  <si>
    <t>AEPSC Total Affiliate Cost</t>
  </si>
  <si>
    <t>by Allocation Factor used to bill AEPSC charges:</t>
  </si>
  <si>
    <t>by Benefiting Locations billed by AEPSC:</t>
  </si>
  <si>
    <t>by the Activities performed by by AEPSC:</t>
  </si>
  <si>
    <t>listing of invoices removed from request:</t>
  </si>
  <si>
    <t>by Component of cost, i.e. labor, outside services, materials:</t>
  </si>
  <si>
    <t>Discussion of reasonableness, necessity and methods of allocation for Classes of Service presented by AEPSC:</t>
  </si>
  <si>
    <t>Work Order by which costs were accumulated and billed by AEPSC:</t>
  </si>
  <si>
    <t>To review the amount included in the Company's request for total AEPSC charges:</t>
  </si>
  <si>
    <t>Legal Services</t>
  </si>
  <si>
    <t>Affiliates Other Than AEPSC</t>
  </si>
  <si>
    <t>showing comparable amounts billed to each AEP affiliate company:</t>
  </si>
  <si>
    <t>Page No.</t>
  </si>
  <si>
    <t>Total AEPSC Included in Test Year</t>
  </si>
  <si>
    <t>Total Other Affiliates Included in Test Year</t>
  </si>
  <si>
    <t>CLASS:  Distribution</t>
  </si>
  <si>
    <t>CLASS:  Customer Service</t>
  </si>
  <si>
    <t>CLASS:  Legal Services</t>
  </si>
  <si>
    <t>CLASS:  Regulatory Services</t>
  </si>
  <si>
    <t>CLASS:  Corporate Communications</t>
  </si>
  <si>
    <t>CLASS:  Human Resources</t>
  </si>
  <si>
    <t>CLASS:  Information Technology</t>
  </si>
  <si>
    <t>CLASS:  Internal Support</t>
  </si>
  <si>
    <t>by Departments within each Class:</t>
  </si>
  <si>
    <t>Discussion of reasonableness, necessity and methods of allocation for Affiliates Other Than AEPSC:</t>
  </si>
  <si>
    <t>To review the amount included in the Company's request for Affiliates Other Than AEPSC:</t>
  </si>
  <si>
    <t>by Departments within this Class:</t>
  </si>
  <si>
    <t>Corporate Communications</t>
  </si>
  <si>
    <t>Human Resources</t>
  </si>
  <si>
    <t>Information Technology</t>
  </si>
  <si>
    <t>Internal Support</t>
  </si>
  <si>
    <t>To review other testimony supporting elements of AEPSC charges:</t>
  </si>
  <si>
    <t>To review other testimony supporting elements of Affiliates Other Than AEPSC:</t>
  </si>
  <si>
    <t>To review other testimony supporting elements of this Class:</t>
  </si>
  <si>
    <t>by Class, by FERC Account, with total pro-formas:</t>
  </si>
  <si>
    <t>showing pro-forma adjustments made to test year numbers:</t>
  </si>
  <si>
    <t xml:space="preserve">by FERC Account and total pro-forma amount: </t>
  </si>
  <si>
    <t>by FERC Account with pro-formas by FERC:</t>
  </si>
  <si>
    <t>by Affiliate Company, by FERC Account, with total pro-formas:</t>
  </si>
  <si>
    <t>Per Books:</t>
  </si>
  <si>
    <t>AEPSC Per Books:</t>
  </si>
  <si>
    <t>AEPSC Requested in Cost of Service:</t>
  </si>
  <si>
    <t>Pro-Forma Adjustments:</t>
  </si>
  <si>
    <t>Requested in Cost of Service:</t>
  </si>
  <si>
    <t>Testimony of Andrew R. Carlin</t>
  </si>
  <si>
    <t>Real Estate and Work Place Services</t>
  </si>
  <si>
    <t>CLASS:  Real Estate and Work Place Services</t>
  </si>
  <si>
    <t xml:space="preserve">     This Exhibit provides a cross-reference for each class of affiliate transactions.  It shows, for Total AEPSC, Total Other Affiliates, and each of the Classes of Service, the references in the rate filing package for reviewing the costs for each individual class.</t>
  </si>
  <si>
    <t xml:space="preserve">    These references include the affiliate Exhibit schedules, individual witness testimonies, Exhibits provided to the testimony of Brian J. Frantz, and Workpapers (W/P) provided by Brian J. Frantz.</t>
  </si>
  <si>
    <t>W/P Frantz - 2A</t>
  </si>
  <si>
    <t>W/P Frantz - 3A</t>
  </si>
  <si>
    <t>W/P Frantz - 4A</t>
  </si>
  <si>
    <t>W/P Frantz - 5</t>
  </si>
  <si>
    <t>W/P Frantz - 6A &amp; 6B</t>
  </si>
  <si>
    <t>W/P Frantz - 7A</t>
  </si>
  <si>
    <t>Testimony of Brian J. Frantz, Section III</t>
  </si>
  <si>
    <t>Testimony of Patrick Baryenbruch</t>
  </si>
  <si>
    <t>Brian J. Frantz</t>
  </si>
  <si>
    <t>Testimony of Brian J. Frantz</t>
  </si>
  <si>
    <t>Chief Financial Officer</t>
  </si>
  <si>
    <t>AEPSC Incentives</t>
  </si>
  <si>
    <t>CLASS:  Chief Financial Officer</t>
  </si>
  <si>
    <t>W/P Frantz - 9A</t>
  </si>
  <si>
    <t>Corporate Safety &amp; Health</t>
  </si>
  <si>
    <t>CLASS:  Corporate Safety &amp; Health</t>
  </si>
  <si>
    <t>CLASS:  AEPSC Incentives</t>
  </si>
  <si>
    <t>*</t>
  </si>
  <si>
    <t>Index to EXHIBIT BJF-2</t>
  </si>
  <si>
    <t>As Shown on Exhibit BJF-1</t>
  </si>
  <si>
    <t>Schedule V-K-1, W/P Frantz - 1</t>
  </si>
  <si>
    <t>Exhibit BJF-4</t>
  </si>
  <si>
    <t>Schedules V-K-12A, 12B, 12C</t>
  </si>
  <si>
    <t>Schedule V-K-1</t>
  </si>
  <si>
    <t>Telecommunications</t>
  </si>
  <si>
    <t>CLASS:  Telecommunications</t>
  </si>
  <si>
    <t>CLASS:  Physical/Cyber Security</t>
  </si>
  <si>
    <t>Gilbert Hughes</t>
  </si>
  <si>
    <t>Physical/Cyber Security</t>
  </si>
  <si>
    <t xml:space="preserve">* </t>
  </si>
  <si>
    <t>CLASS:  Energy Delivery</t>
  </si>
  <si>
    <t>CLASS:  Federal &amp; External Affairs</t>
  </si>
  <si>
    <t>CLASS:  Supply Chain/Fleet/Property Management</t>
  </si>
  <si>
    <t>CLASS:  Chief Executive Officer</t>
  </si>
  <si>
    <t>CLASS:  Environmental Services/Project Solutions</t>
  </si>
  <si>
    <t>Each Class of Service as shown on pages 1 - 18</t>
  </si>
  <si>
    <t>W/P Frantz - 2B</t>
  </si>
  <si>
    <t>W/P Frantz - 3B</t>
  </si>
  <si>
    <t>W/P Frantz - 4B</t>
  </si>
  <si>
    <t>W/P Frantz - 7B</t>
  </si>
  <si>
    <t>Schedule V-K-7A</t>
  </si>
  <si>
    <t>Schedule V-K-1A</t>
  </si>
  <si>
    <t>W/P Frantz - 1</t>
  </si>
  <si>
    <t>Jeffery Stracener</t>
  </si>
  <si>
    <t>Energy Delivery</t>
  </si>
  <si>
    <t>Shawn Robinson</t>
  </si>
  <si>
    <r>
      <rPr>
        <b/>
        <sz val="10"/>
        <rFont val="Arial"/>
        <family val="2"/>
      </rPr>
      <t>Federal &amp; External Affairs</t>
    </r>
    <r>
      <rPr>
        <b/>
        <sz val="8"/>
        <rFont val="Arial"/>
        <family val="2"/>
      </rPr>
      <t xml:space="preserve">
(including AEPSC Donations &amp; Contributions)</t>
    </r>
  </si>
  <si>
    <t>Gilbert Hughes/Chad Burnett</t>
  </si>
  <si>
    <t>Chad Burnett</t>
  </si>
  <si>
    <t>Regulatory Services</t>
  </si>
  <si>
    <t>Joe Brenner</t>
  </si>
  <si>
    <t>Supply Chain, Fleet &amp; Property Management</t>
  </si>
  <si>
    <t>Brian Steinke</t>
  </si>
  <si>
    <t>Kweku Ofei-Amoh</t>
  </si>
  <si>
    <t>Mary Catherine Grayem</t>
  </si>
  <si>
    <t>*  Amounts include costs in classes of service (Energy Supply) that are not included in adjusted test year cost of service.</t>
  </si>
  <si>
    <t>Chief Executive Officer</t>
  </si>
  <si>
    <t>Environmental Services/Project Solutions</t>
  </si>
  <si>
    <t>W/P Frantz - 9A through 9I</t>
  </si>
  <si>
    <t>Section III.B.</t>
  </si>
  <si>
    <t>Section V.P.</t>
  </si>
  <si>
    <t>Section VIII.</t>
  </si>
  <si>
    <t>W/P Frantz - 9B</t>
  </si>
  <si>
    <t>Section V.Q.</t>
  </si>
  <si>
    <t>Section V.R.</t>
  </si>
  <si>
    <t>W/P Frantz - 9C</t>
  </si>
  <si>
    <t>Section V.S.</t>
  </si>
  <si>
    <t>W/P Frantz - 9A,9D</t>
  </si>
  <si>
    <t>Section V.T.</t>
  </si>
  <si>
    <t>W/P Frantz - 9D</t>
  </si>
  <si>
    <t>Section V.U.</t>
  </si>
  <si>
    <t>Section VI.</t>
  </si>
  <si>
    <t>Section V.V.</t>
  </si>
  <si>
    <t>W/P Frantz - 9E</t>
  </si>
  <si>
    <t>Section V.W.</t>
  </si>
  <si>
    <t>Section IV.</t>
  </si>
  <si>
    <t>Section V.X.</t>
  </si>
  <si>
    <t>W/P Frantz - 9F</t>
  </si>
  <si>
    <t>Section V.Y.</t>
  </si>
  <si>
    <t>W/P Frantz - 9G</t>
  </si>
  <si>
    <t>Section IV &amp; V.</t>
  </si>
  <si>
    <t>Section V.Z.</t>
  </si>
  <si>
    <t>W/P Frantz - 9H</t>
  </si>
  <si>
    <t>Sections IV.A., and V.AA.</t>
  </si>
  <si>
    <t>W/P Frantz - 9I</t>
  </si>
  <si>
    <t>Sections IV.B., and V.BB.</t>
  </si>
  <si>
    <t>Section V.CC.</t>
  </si>
  <si>
    <t>Section V.DD.</t>
  </si>
  <si>
    <t>Sections VI.</t>
  </si>
  <si>
    <t>Section V.EE.</t>
  </si>
  <si>
    <t>Section V.FF.</t>
  </si>
  <si>
    <t>Sections IV.D.</t>
  </si>
  <si>
    <t>Section IV.C.</t>
  </si>
  <si>
    <t>Section IV. in Hughes, Section VI. In Burnett</t>
  </si>
  <si>
    <t>*  Witness Burnett included $129,250 of Corporate Sustainability charges in the Legal section of his direct testimony ($1,669,402 + $129,250 = $1,798,652)</t>
  </si>
  <si>
    <t>*  Amount represents Federal &amp; External Affairs charges discussed in Gilbert Hughes testimony and Chad Burnett testimony.  $129,250 of Corporate Sustainability charges are discussed in the Legal class of service section of Witness Burnett's testimony.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</si>
</sst>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_(&quot;$&quot;* #,##0_);_(&quot;$&quot;* \(#,##0\);_(&quot;$&quot;* &quot;-&quot;??_);_(@_)"/>
  </numFmts>
  <fonts count="27" x14ac:knownFonts="1">
    <font>
      <sz val="10"/>
      <name val="Arial"/>
    </font>
    <font>
      <sz val="10"/>
      <name val="Arial"/>
      <family val="2"/>
    </font>
    <font>
      <b/>
      <sz val="10"/>
      <name val="Arial"/>
      <family val="2"/>
    </font>
    <font>
      <sz val="10"/>
      <name val="Arial"/>
      <family val="2"/>
    </font>
    <font>
      <sz val="10"/>
      <name val="Wingdings"/>
      <charset val="2"/>
    </font>
    <font>
      <sz val="8"/>
      <name val="Arial"/>
      <family val="2"/>
    </font>
    <font>
      <sz val="10"/>
      <name val="Arial"/>
      <family val="2"/>
    </font>
    <font>
      <sz val="10"/>
      <name val="MS Sans Serif"/>
      <family val="2"/>
    </font>
    <font>
      <b/>
      <sz val="10"/>
      <name val="MS Sans Serif"/>
      <family val="2"/>
    </font>
    <font>
      <sz val="10"/>
      <color indexed="8"/>
      <name val="Arial"/>
      <family val="2"/>
    </font>
    <font>
      <sz val="10"/>
      <color indexed="9"/>
      <name val="Arial"/>
      <family val="2"/>
    </font>
    <font>
      <sz val="10"/>
      <color indexed="20"/>
      <name val="Arial"/>
      <family val="2"/>
    </font>
    <font>
      <b/>
      <sz val="10"/>
      <color indexed="52"/>
      <name val="Arial"/>
      <family val="2"/>
    </font>
    <font>
      <b/>
      <sz val="10"/>
      <color indexed="9"/>
      <name val="Arial"/>
      <family val="2"/>
    </font>
    <font>
      <i/>
      <sz val="10"/>
      <color indexed="23"/>
      <name val="Arial"/>
      <family val="2"/>
    </font>
    <font>
      <sz val="10"/>
      <color indexed="17"/>
      <name val="Arial"/>
      <family val="2"/>
    </font>
    <font>
      <b/>
      <sz val="15"/>
      <color indexed="56"/>
      <name val="Arial"/>
      <family val="2"/>
    </font>
    <font>
      <b/>
      <sz val="13"/>
      <color indexed="56"/>
      <name val="Arial"/>
      <family val="2"/>
    </font>
    <font>
      <b/>
      <sz val="11"/>
      <color indexed="56"/>
      <name val="Arial"/>
      <family val="2"/>
    </font>
    <font>
      <sz val="10"/>
      <color indexed="62"/>
      <name val="Arial"/>
      <family val="2"/>
    </font>
    <font>
      <sz val="10"/>
      <color indexed="52"/>
      <name val="Arial"/>
      <family val="2"/>
    </font>
    <font>
      <sz val="10"/>
      <color indexed="60"/>
      <name val="Arial"/>
      <family val="2"/>
    </font>
    <font>
      <b/>
      <sz val="10"/>
      <color indexed="63"/>
      <name val="Arial"/>
      <family val="2"/>
    </font>
    <font>
      <b/>
      <sz val="18"/>
      <color indexed="56"/>
      <name val="Cambria"/>
      <family val="2"/>
    </font>
    <font>
      <b/>
      <sz val="10"/>
      <color indexed="8"/>
      <name val="Arial"/>
      <family val="2"/>
    </font>
    <font>
      <sz val="10"/>
      <color indexed="10"/>
      <name val="Arial"/>
      <family val="2"/>
    </font>
    <font>
      <b/>
      <sz val="8"/>
      <name val="Arial"/>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mediumGray">
        <fgColor indexed="22"/>
      </patternFill>
    </fill>
    <fill>
      <patternFill patternType="solid">
        <fgColor indexed="43"/>
        <bgColor indexed="64"/>
      </patternFill>
    </fill>
  </fills>
  <borders count="1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52">
    <xf numFmtId="0" fontId="0" fillId="0" borderId="0"/>
    <xf numFmtId="0" fontId="9" fillId="2" borderId="0" applyNumberFormat="0" applyBorder="0" applyAlignment="0" applyProtection="0"/>
    <xf numFmtId="0" fontId="9" fillId="3" borderId="0" applyNumberFormat="0" applyBorder="0" applyAlignment="0" applyProtection="0"/>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5" borderId="0" applyNumberFormat="0" applyBorder="0" applyAlignment="0" applyProtection="0"/>
    <xf numFmtId="0" fontId="9" fillId="8" borderId="0" applyNumberFormat="0" applyBorder="0" applyAlignment="0" applyProtection="0"/>
    <xf numFmtId="0" fontId="9" fillId="11" borderId="0" applyNumberFormat="0" applyBorder="0" applyAlignment="0" applyProtection="0"/>
    <xf numFmtId="0" fontId="10" fillId="12"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9" borderId="0" applyNumberFormat="0" applyBorder="0" applyAlignment="0" applyProtection="0"/>
    <xf numFmtId="0" fontId="11" fillId="3" borderId="0" applyNumberFormat="0" applyBorder="0" applyAlignment="0" applyProtection="0"/>
    <xf numFmtId="0" fontId="12" fillId="20" borderId="1" applyNumberFormat="0" applyAlignment="0" applyProtection="0"/>
    <xf numFmtId="0" fontId="13" fillId="21" borderId="2" applyNumberFormat="0" applyAlignment="0" applyProtection="0"/>
    <xf numFmtId="43" fontId="6" fillId="0" borderId="0" applyFont="0" applyFill="0" applyBorder="0" applyAlignment="0" applyProtection="0"/>
    <xf numFmtId="44" fontId="1" fillId="0" borderId="0" applyFont="0" applyFill="0" applyBorder="0" applyAlignment="0" applyProtection="0"/>
    <xf numFmtId="0" fontId="14" fillId="0" borderId="0" applyNumberFormat="0" applyFill="0" applyBorder="0" applyAlignment="0" applyProtection="0"/>
    <xf numFmtId="0" fontId="15" fillId="4" borderId="0" applyNumberFormat="0" applyBorder="0" applyAlignment="0" applyProtection="0"/>
    <xf numFmtId="0" fontId="16" fillId="0" borderId="3" applyNumberFormat="0" applyFill="0" applyAlignment="0" applyProtection="0"/>
    <xf numFmtId="0" fontId="17" fillId="0" borderId="4" applyNumberFormat="0" applyFill="0" applyAlignment="0" applyProtection="0"/>
    <xf numFmtId="0" fontId="18" fillId="0" borderId="5" applyNumberFormat="0" applyFill="0" applyAlignment="0" applyProtection="0"/>
    <xf numFmtId="0" fontId="18" fillId="0" borderId="0" applyNumberFormat="0" applyFill="0" applyBorder="0" applyAlignment="0" applyProtection="0"/>
    <xf numFmtId="0" fontId="19" fillId="7" borderId="1" applyNumberFormat="0" applyAlignment="0" applyProtection="0"/>
    <xf numFmtId="0" fontId="20" fillId="0" borderId="6" applyNumberFormat="0" applyFill="0" applyAlignment="0" applyProtection="0"/>
    <xf numFmtId="0" fontId="21" fillId="22" borderId="0" applyNumberFormat="0" applyBorder="0" applyAlignment="0" applyProtection="0"/>
    <xf numFmtId="0" fontId="9" fillId="0" borderId="0"/>
    <xf numFmtId="0" fontId="9" fillId="23" borderId="7" applyNumberFormat="0" applyFont="0" applyAlignment="0" applyProtection="0"/>
    <xf numFmtId="0" fontId="22" fillId="20" borderId="8" applyNumberFormat="0" applyAlignment="0" applyProtection="0"/>
    <xf numFmtId="0" fontId="7" fillId="0" borderId="0" applyNumberFormat="0" applyFont="0" applyFill="0" applyBorder="0" applyAlignment="0" applyProtection="0">
      <alignment horizontal="left"/>
    </xf>
    <xf numFmtId="15" fontId="7" fillId="0" borderId="0" applyFont="0" applyFill="0" applyBorder="0" applyAlignment="0" applyProtection="0"/>
    <xf numFmtId="4" fontId="7" fillId="0" borderId="0" applyFont="0" applyFill="0" applyBorder="0" applyAlignment="0" applyProtection="0"/>
    <xf numFmtId="0" fontId="8" fillId="0" borderId="9">
      <alignment horizontal="center"/>
    </xf>
    <xf numFmtId="3" fontId="7" fillId="0" borderId="0" applyFont="0" applyFill="0" applyBorder="0" applyAlignment="0" applyProtection="0"/>
    <xf numFmtId="0" fontId="7" fillId="24" borderId="0" applyNumberFormat="0" applyFont="0" applyBorder="0" applyAlignment="0" applyProtection="0"/>
    <xf numFmtId="0" fontId="23" fillId="0" borderId="0" applyNumberFormat="0" applyFill="0" applyBorder="0" applyAlignment="0" applyProtection="0"/>
    <xf numFmtId="0" fontId="24" fillId="0" borderId="10" applyNumberFormat="0" applyFill="0" applyAlignment="0" applyProtection="0"/>
    <xf numFmtId="0" fontId="25" fillId="0" borderId="0" applyNumberFormat="0" applyFill="0" applyBorder="0" applyAlignment="0" applyProtection="0"/>
    <xf numFmtId="43" fontId="1" fillId="0" borderId="0" applyFont="0" applyFill="0" applyBorder="0" applyAlignment="0" applyProtection="0"/>
  </cellStyleXfs>
  <cellXfs count="58">
    <xf numFmtId="0" fontId="0" fillId="0" borderId="0" xfId="0"/>
    <xf numFmtId="0" fontId="2" fillId="0" borderId="0" xfId="0" applyFont="1" applyFill="1" applyBorder="1" applyAlignment="1">
      <alignment horizontal="left"/>
    </xf>
    <xf numFmtId="0" fontId="0" fillId="25" borderId="11" xfId="0" applyFill="1" applyBorder="1" applyAlignment="1">
      <alignment horizontal="center"/>
    </xf>
    <xf numFmtId="0" fontId="3" fillId="0" borderId="0" xfId="0" applyFont="1" applyFill="1" applyBorder="1" applyAlignment="1">
      <alignment horizontal="left"/>
    </xf>
    <xf numFmtId="0" fontId="0" fillId="0" borderId="0" xfId="0" applyFill="1"/>
    <xf numFmtId="0" fontId="0" fillId="0" borderId="0" xfId="0" applyFill="1" applyBorder="1"/>
    <xf numFmtId="0" fontId="0" fillId="0" borderId="0" xfId="0" applyFill="1" applyBorder="1" applyAlignment="1">
      <alignment horizontal="center"/>
    </xf>
    <xf numFmtId="0" fontId="2" fillId="0" borderId="0" xfId="0" applyFont="1" applyFill="1" applyAlignment="1">
      <alignment vertical="center"/>
    </xf>
    <xf numFmtId="0" fontId="0" fillId="0" borderId="0" xfId="0" applyFill="1" applyAlignment="1">
      <alignment horizontal="right" vertical="center"/>
    </xf>
    <xf numFmtId="0" fontId="0" fillId="0" borderId="0" xfId="0" applyFill="1" applyBorder="1" applyAlignment="1">
      <alignment vertical="center"/>
    </xf>
    <xf numFmtId="0" fontId="0" fillId="0" borderId="0" xfId="0" applyFill="1" applyAlignment="1">
      <alignment vertical="center"/>
    </xf>
    <xf numFmtId="0" fontId="0" fillId="0" borderId="0" xfId="0" applyFill="1" applyBorder="1" applyAlignment="1">
      <alignment horizontal="right"/>
    </xf>
    <xf numFmtId="0" fontId="0" fillId="0" borderId="0" xfId="0" applyFill="1" applyAlignment="1">
      <alignment horizontal="right"/>
    </xf>
    <xf numFmtId="164" fontId="1" fillId="0" borderId="11" xfId="29" applyNumberFormat="1" applyFill="1" applyBorder="1"/>
    <xf numFmtId="164" fontId="1" fillId="0" borderId="12" xfId="29" applyNumberFormat="1" applyFill="1" applyBorder="1"/>
    <xf numFmtId="164" fontId="2" fillId="0" borderId="13" xfId="29" applyNumberFormat="1" applyFont="1" applyFill="1" applyBorder="1"/>
    <xf numFmtId="0" fontId="2" fillId="0" borderId="0" xfId="0" applyFont="1" applyFill="1"/>
    <xf numFmtId="0" fontId="4" fillId="0" borderId="0" xfId="0" applyFont="1" applyFill="1" applyAlignment="1">
      <alignment horizontal="right"/>
    </xf>
    <xf numFmtId="0" fontId="3" fillId="0" borderId="0" xfId="0" applyFont="1" applyFill="1"/>
    <xf numFmtId="0" fontId="0" fillId="0" borderId="0" xfId="0" applyFill="1" applyAlignment="1">
      <alignment wrapText="1"/>
    </xf>
    <xf numFmtId="0" fontId="0" fillId="0" borderId="0" xfId="0" applyFill="1" applyAlignment="1">
      <alignment horizontal="center"/>
    </xf>
    <xf numFmtId="164" fontId="1" fillId="0" borderId="0" xfId="29" applyNumberFormat="1" applyFont="1" applyFill="1" applyBorder="1" applyAlignment="1">
      <alignment wrapText="1"/>
    </xf>
    <xf numFmtId="164" fontId="1" fillId="0" borderId="0" xfId="29" applyNumberFormat="1" applyFill="1" applyBorder="1" applyAlignment="1">
      <alignment horizontal="center"/>
    </xf>
    <xf numFmtId="0" fontId="0" fillId="0" borderId="0" xfId="0" applyFill="1" applyBorder="1" applyAlignment="1">
      <alignment wrapText="1"/>
    </xf>
    <xf numFmtId="0" fontId="0" fillId="0" borderId="14" xfId="0" applyFill="1" applyBorder="1" applyAlignment="1">
      <alignment horizontal="center" wrapText="1"/>
    </xf>
    <xf numFmtId="0" fontId="0" fillId="0" borderId="0" xfId="0" applyFill="1" applyBorder="1" applyAlignment="1">
      <alignment horizontal="center" wrapText="1"/>
    </xf>
    <xf numFmtId="0" fontId="0" fillId="0" borderId="14" xfId="0" applyFill="1" applyBorder="1" applyAlignment="1">
      <alignment horizontal="center"/>
    </xf>
    <xf numFmtId="164" fontId="0" fillId="0" borderId="11" xfId="29" applyNumberFormat="1" applyFont="1" applyFill="1" applyBorder="1"/>
    <xf numFmtId="164" fontId="0" fillId="0" borderId="12" xfId="29" applyNumberFormat="1" applyFont="1" applyFill="1" applyBorder="1"/>
    <xf numFmtId="164" fontId="0" fillId="0" borderId="0" xfId="29" applyNumberFormat="1" applyFont="1" applyFill="1" applyBorder="1"/>
    <xf numFmtId="0" fontId="0" fillId="0" borderId="0" xfId="0" applyFill="1" applyAlignment="1"/>
    <xf numFmtId="164" fontId="2" fillId="0" borderId="0" xfId="29" applyNumberFormat="1" applyFont="1" applyFill="1" applyBorder="1" applyAlignment="1"/>
    <xf numFmtId="0" fontId="0" fillId="0" borderId="0" xfId="0" applyFill="1" applyBorder="1" applyAlignment="1"/>
    <xf numFmtId="164" fontId="0" fillId="0" borderId="0" xfId="29" applyNumberFormat="1" applyFont="1" applyFill="1" applyBorder="1" applyAlignment="1">
      <alignment wrapText="1"/>
    </xf>
    <xf numFmtId="0" fontId="3" fillId="0" borderId="0" xfId="0" applyFont="1" applyFill="1" applyAlignment="1"/>
    <xf numFmtId="43" fontId="0" fillId="0" borderId="0" xfId="51" applyFont="1" applyFill="1"/>
    <xf numFmtId="0" fontId="1" fillId="0" borderId="0" xfId="0" applyFont="1" applyFill="1"/>
    <xf numFmtId="0" fontId="1" fillId="0" borderId="0" xfId="0" applyFont="1" applyFill="1" applyAlignment="1">
      <alignment wrapText="1"/>
    </xf>
    <xf numFmtId="0" fontId="1" fillId="0" borderId="0" xfId="0" applyFont="1" applyFill="1" applyAlignment="1"/>
    <xf numFmtId="0" fontId="2" fillId="0" borderId="15" xfId="0" applyFont="1" applyFill="1" applyBorder="1" applyAlignment="1">
      <alignment horizontal="center" vertical="center"/>
    </xf>
    <xf numFmtId="0" fontId="2" fillId="0" borderId="16" xfId="0" applyFont="1" applyFill="1" applyBorder="1" applyAlignment="1">
      <alignment horizontal="center" vertical="center"/>
    </xf>
    <xf numFmtId="0" fontId="3" fillId="0" borderId="15" xfId="0" applyFont="1" applyFill="1" applyBorder="1" applyAlignment="1">
      <alignment horizontal="center" vertical="center"/>
    </xf>
    <xf numFmtId="0" fontId="0" fillId="0" borderId="17" xfId="0" applyFill="1" applyBorder="1" applyAlignment="1">
      <alignment horizontal="center" vertical="center"/>
    </xf>
    <xf numFmtId="0" fontId="0" fillId="0" borderId="16" xfId="0" applyFill="1" applyBorder="1" applyAlignment="1">
      <alignment horizontal="center" vertical="center"/>
    </xf>
    <xf numFmtId="0" fontId="2" fillId="0" borderId="17" xfId="0" applyFont="1" applyFill="1" applyBorder="1" applyAlignment="1">
      <alignment horizontal="center" vertical="center"/>
    </xf>
    <xf numFmtId="0" fontId="1" fillId="0" borderId="15" xfId="0" applyFont="1" applyFill="1" applyBorder="1" applyAlignment="1">
      <alignment horizontal="center" vertical="center"/>
    </xf>
    <xf numFmtId="0" fontId="26" fillId="0" borderId="15" xfId="0" applyFont="1" applyFill="1" applyBorder="1" applyAlignment="1">
      <alignment horizontal="left" vertical="center" wrapText="1"/>
    </xf>
    <xf numFmtId="0" fontId="26" fillId="0" borderId="17" xfId="0" applyFont="1" applyFill="1" applyBorder="1" applyAlignment="1">
      <alignment horizontal="left" vertical="center" wrapText="1"/>
    </xf>
    <xf numFmtId="0" fontId="26" fillId="0" borderId="16" xfId="0" applyFont="1" applyFill="1" applyBorder="1" applyAlignment="1">
      <alignment horizontal="left" vertical="center" wrapText="1"/>
    </xf>
    <xf numFmtId="0" fontId="2" fillId="0" borderId="15" xfId="0" applyFont="1" applyFill="1" applyBorder="1" applyAlignment="1">
      <alignment horizontal="center" vertical="center" wrapText="1"/>
    </xf>
    <xf numFmtId="0" fontId="2" fillId="0" borderId="17" xfId="0" applyFont="1" applyFill="1" applyBorder="1" applyAlignment="1">
      <alignment horizontal="center" vertical="center" wrapText="1"/>
    </xf>
    <xf numFmtId="0" fontId="2" fillId="0" borderId="16" xfId="0" applyFont="1" applyFill="1" applyBorder="1" applyAlignment="1">
      <alignment horizontal="center" vertical="center" wrapText="1"/>
    </xf>
    <xf numFmtId="0" fontId="9" fillId="0" borderId="0" xfId="39" applyFont="1" applyAlignment="1">
      <alignment horizontal="left" wrapText="1"/>
    </xf>
    <xf numFmtId="0" fontId="0" fillId="0" borderId="0" xfId="0" applyAlignment="1">
      <alignment horizontal="left" wrapText="1"/>
    </xf>
    <xf numFmtId="0" fontId="0" fillId="0" borderId="0" xfId="0" applyAlignment="1">
      <alignment wrapText="1"/>
    </xf>
    <xf numFmtId="0" fontId="2" fillId="0" borderId="15" xfId="0" applyFont="1" applyFill="1" applyBorder="1" applyAlignment="1">
      <alignment horizontal="left" vertical="center" wrapText="1"/>
    </xf>
    <xf numFmtId="0" fontId="2" fillId="0" borderId="17" xfId="0" applyFont="1" applyFill="1" applyBorder="1" applyAlignment="1">
      <alignment horizontal="left" vertical="center" wrapText="1"/>
    </xf>
    <xf numFmtId="0" fontId="2" fillId="0" borderId="16" xfId="0" applyFont="1" applyFill="1" applyBorder="1" applyAlignment="1">
      <alignment horizontal="left" vertical="center" wrapText="1"/>
    </xf>
  </cellXfs>
  <cellStyles count="52">
    <cellStyle name="20% - Accent1 2" xfId="1" xr:uid="{00000000-0005-0000-0000-000000000000}"/>
    <cellStyle name="20% - Accent2 2" xfId="2" xr:uid="{00000000-0005-0000-0000-000001000000}"/>
    <cellStyle name="20% - Accent3 2" xfId="3" xr:uid="{00000000-0005-0000-0000-000002000000}"/>
    <cellStyle name="20% - Accent4 2" xfId="4" xr:uid="{00000000-0005-0000-0000-000003000000}"/>
    <cellStyle name="20% - Accent5 2" xfId="5" xr:uid="{00000000-0005-0000-0000-000004000000}"/>
    <cellStyle name="20% - Accent6 2" xfId="6" xr:uid="{00000000-0005-0000-0000-000005000000}"/>
    <cellStyle name="40% - Accent1 2" xfId="7" xr:uid="{00000000-0005-0000-0000-000006000000}"/>
    <cellStyle name="40% - Accent2 2" xfId="8" xr:uid="{00000000-0005-0000-0000-000007000000}"/>
    <cellStyle name="40% - Accent3 2" xfId="9" xr:uid="{00000000-0005-0000-0000-000008000000}"/>
    <cellStyle name="40% - Accent4 2" xfId="10" xr:uid="{00000000-0005-0000-0000-000009000000}"/>
    <cellStyle name="40% - Accent5 2" xfId="11" xr:uid="{00000000-0005-0000-0000-00000A000000}"/>
    <cellStyle name="40% - Accent6 2" xfId="12" xr:uid="{00000000-0005-0000-0000-00000B000000}"/>
    <cellStyle name="60% - Accent1 2" xfId="13" xr:uid="{00000000-0005-0000-0000-00000C000000}"/>
    <cellStyle name="60% - Accent2 2" xfId="14" xr:uid="{00000000-0005-0000-0000-00000D000000}"/>
    <cellStyle name="60% - Accent3 2" xfId="15" xr:uid="{00000000-0005-0000-0000-00000E000000}"/>
    <cellStyle name="60% - Accent4 2" xfId="16" xr:uid="{00000000-0005-0000-0000-00000F000000}"/>
    <cellStyle name="60% - Accent5 2" xfId="17" xr:uid="{00000000-0005-0000-0000-000010000000}"/>
    <cellStyle name="60% - Accent6 2" xfId="18" xr:uid="{00000000-0005-0000-0000-000011000000}"/>
    <cellStyle name="Accent1 2" xfId="19" xr:uid="{00000000-0005-0000-0000-000012000000}"/>
    <cellStyle name="Accent2 2" xfId="20" xr:uid="{00000000-0005-0000-0000-000013000000}"/>
    <cellStyle name="Accent3 2" xfId="21" xr:uid="{00000000-0005-0000-0000-000014000000}"/>
    <cellStyle name="Accent4 2" xfId="22" xr:uid="{00000000-0005-0000-0000-000015000000}"/>
    <cellStyle name="Accent5 2" xfId="23" xr:uid="{00000000-0005-0000-0000-000016000000}"/>
    <cellStyle name="Accent6 2" xfId="24" xr:uid="{00000000-0005-0000-0000-000017000000}"/>
    <cellStyle name="Bad 2" xfId="25" xr:uid="{00000000-0005-0000-0000-000018000000}"/>
    <cellStyle name="Calculation 2" xfId="26" xr:uid="{00000000-0005-0000-0000-000019000000}"/>
    <cellStyle name="Check Cell 2" xfId="27" xr:uid="{00000000-0005-0000-0000-00001A000000}"/>
    <cellStyle name="Comma" xfId="51" builtinId="3"/>
    <cellStyle name="Comma 2" xfId="28" xr:uid="{00000000-0005-0000-0000-00001C000000}"/>
    <cellStyle name="Currency" xfId="29" builtinId="4"/>
    <cellStyle name="Explanatory Text 2" xfId="30" xr:uid="{00000000-0005-0000-0000-00001E000000}"/>
    <cellStyle name="Good 2" xfId="31" xr:uid="{00000000-0005-0000-0000-00001F000000}"/>
    <cellStyle name="Heading 1 2" xfId="32" xr:uid="{00000000-0005-0000-0000-000020000000}"/>
    <cellStyle name="Heading 2 2" xfId="33" xr:uid="{00000000-0005-0000-0000-000021000000}"/>
    <cellStyle name="Heading 3 2" xfId="34" xr:uid="{00000000-0005-0000-0000-000022000000}"/>
    <cellStyle name="Heading 4 2" xfId="35" xr:uid="{00000000-0005-0000-0000-000023000000}"/>
    <cellStyle name="Input 2" xfId="36" xr:uid="{00000000-0005-0000-0000-000024000000}"/>
    <cellStyle name="Linked Cell 2" xfId="37" xr:uid="{00000000-0005-0000-0000-000025000000}"/>
    <cellStyle name="Neutral 2" xfId="38" xr:uid="{00000000-0005-0000-0000-000026000000}"/>
    <cellStyle name="Normal" xfId="0" builtinId="0"/>
    <cellStyle name="Normal 2 2" xfId="39" xr:uid="{00000000-0005-0000-0000-000028000000}"/>
    <cellStyle name="Note 2" xfId="40" xr:uid="{00000000-0005-0000-0000-000029000000}"/>
    <cellStyle name="Output 2" xfId="41" xr:uid="{00000000-0005-0000-0000-00002A000000}"/>
    <cellStyle name="PSChar" xfId="42" xr:uid="{00000000-0005-0000-0000-00002B000000}"/>
    <cellStyle name="PSDate" xfId="43" xr:uid="{00000000-0005-0000-0000-00002C000000}"/>
    <cellStyle name="PSDec" xfId="44" xr:uid="{00000000-0005-0000-0000-00002D000000}"/>
    <cellStyle name="PSHeading" xfId="45" xr:uid="{00000000-0005-0000-0000-00002E000000}"/>
    <cellStyle name="PSInt" xfId="46" xr:uid="{00000000-0005-0000-0000-00002F000000}"/>
    <cellStyle name="PSSpacer" xfId="47" xr:uid="{00000000-0005-0000-0000-000030000000}"/>
    <cellStyle name="Title 2" xfId="48" xr:uid="{00000000-0005-0000-0000-000031000000}"/>
    <cellStyle name="Total 2" xfId="49" xr:uid="{00000000-0005-0000-0000-000032000000}"/>
    <cellStyle name="Warning Text 2" xfId="50" xr:uid="{00000000-0005-0000-0000-00003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 Id="rId30" Type="http://schemas.openxmlformats.org/officeDocument/2006/relationships/customXml" Target="../customXml/item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E29"/>
  <sheetViews>
    <sheetView tabSelected="1" zoomScaleNormal="100" workbookViewId="0">
      <selection activeCell="D5" sqref="D5"/>
    </sheetView>
  </sheetViews>
  <sheetFormatPr defaultColWidth="9.109375" defaultRowHeight="13.2" x14ac:dyDescent="0.25"/>
  <cols>
    <col min="1" max="1" width="62.33203125" style="19" customWidth="1"/>
    <col min="2" max="2" width="2" style="19" customWidth="1"/>
    <col min="3" max="3" width="9.33203125" style="20" customWidth="1"/>
    <col min="4" max="4" width="14" style="30" customWidth="1"/>
    <col min="5" max="5" width="14.88671875" style="4" customWidth="1"/>
    <col min="6" max="6" width="3" style="4" customWidth="1"/>
    <col min="7" max="10" width="9.109375" style="4"/>
    <col min="11" max="14" width="11.33203125" style="4" customWidth="1"/>
    <col min="15" max="16384" width="9.109375" style="4"/>
  </cols>
  <sheetData>
    <row r="3" spans="1:5" ht="52.8" x14ac:dyDescent="0.25">
      <c r="A3" s="19" t="s">
        <v>64</v>
      </c>
    </row>
    <row r="5" spans="1:5" ht="39.6" x14ac:dyDescent="0.25">
      <c r="A5" s="33" t="s">
        <v>65</v>
      </c>
      <c r="B5" s="21"/>
      <c r="C5" s="22"/>
      <c r="D5" s="31"/>
      <c r="E5" s="5"/>
    </row>
    <row r="6" spans="1:5" x14ac:dyDescent="0.25">
      <c r="A6" s="23"/>
      <c r="B6" s="23"/>
      <c r="C6" s="6"/>
      <c r="D6" s="32"/>
      <c r="E6" s="5"/>
    </row>
    <row r="7" spans="1:5" x14ac:dyDescent="0.25">
      <c r="A7" s="24" t="s">
        <v>84</v>
      </c>
      <c r="B7" s="25"/>
      <c r="C7" s="26" t="s">
        <v>29</v>
      </c>
      <c r="D7" s="32"/>
      <c r="E7" s="5"/>
    </row>
    <row r="9" spans="1:5" x14ac:dyDescent="0.25">
      <c r="A9" s="19" t="s">
        <v>30</v>
      </c>
      <c r="C9" s="20">
        <v>2</v>
      </c>
    </row>
    <row r="10" spans="1:5" x14ac:dyDescent="0.25">
      <c r="A10" s="19" t="s">
        <v>31</v>
      </c>
      <c r="C10" s="20">
        <f>+C9+1</f>
        <v>3</v>
      </c>
    </row>
    <row r="11" spans="1:5" x14ac:dyDescent="0.25">
      <c r="A11" s="19" t="s">
        <v>33</v>
      </c>
      <c r="C11" s="20">
        <f t="shared" ref="C11:C29" si="0">+C10+1</f>
        <v>4</v>
      </c>
    </row>
    <row r="12" spans="1:5" x14ac:dyDescent="0.25">
      <c r="A12" s="19" t="s">
        <v>32</v>
      </c>
      <c r="C12" s="20">
        <f t="shared" si="0"/>
        <v>5</v>
      </c>
    </row>
    <row r="13" spans="1:5" x14ac:dyDescent="0.25">
      <c r="A13" s="37" t="s">
        <v>96</v>
      </c>
      <c r="C13" s="20">
        <f t="shared" si="0"/>
        <v>6</v>
      </c>
    </row>
    <row r="14" spans="1:5" x14ac:dyDescent="0.25">
      <c r="A14" s="37" t="s">
        <v>97</v>
      </c>
      <c r="C14" s="20">
        <f t="shared" si="0"/>
        <v>7</v>
      </c>
    </row>
    <row r="15" spans="1:5" x14ac:dyDescent="0.25">
      <c r="A15" s="19" t="s">
        <v>35</v>
      </c>
      <c r="C15" s="20">
        <f t="shared" si="0"/>
        <v>8</v>
      </c>
    </row>
    <row r="16" spans="1:5" x14ac:dyDescent="0.25">
      <c r="A16" s="34" t="s">
        <v>81</v>
      </c>
      <c r="C16" s="20">
        <f t="shared" si="0"/>
        <v>9</v>
      </c>
    </row>
    <row r="17" spans="1:4" ht="14.25" customHeight="1" x14ac:dyDescent="0.25">
      <c r="A17" s="30" t="s">
        <v>38</v>
      </c>
      <c r="C17" s="20">
        <f t="shared" si="0"/>
        <v>10</v>
      </c>
    </row>
    <row r="18" spans="1:4" ht="14.25" customHeight="1" x14ac:dyDescent="0.25">
      <c r="A18" s="34" t="s">
        <v>91</v>
      </c>
      <c r="C18" s="20">
        <f t="shared" si="0"/>
        <v>11</v>
      </c>
    </row>
    <row r="19" spans="1:4" x14ac:dyDescent="0.25">
      <c r="A19" s="38" t="s">
        <v>98</v>
      </c>
      <c r="C19" s="20">
        <f t="shared" si="0"/>
        <v>12</v>
      </c>
      <c r="D19" s="4"/>
    </row>
    <row r="20" spans="1:4" x14ac:dyDescent="0.25">
      <c r="A20" s="30" t="s">
        <v>63</v>
      </c>
      <c r="C20" s="20">
        <f t="shared" si="0"/>
        <v>13</v>
      </c>
    </row>
    <row r="21" spans="1:4" x14ac:dyDescent="0.25">
      <c r="A21" s="34" t="s">
        <v>37</v>
      </c>
      <c r="C21" s="20">
        <f t="shared" si="0"/>
        <v>14</v>
      </c>
      <c r="D21" s="4"/>
    </row>
    <row r="22" spans="1:4" x14ac:dyDescent="0.25">
      <c r="A22" s="30" t="s">
        <v>78</v>
      </c>
      <c r="C22" s="20">
        <f t="shared" si="0"/>
        <v>15</v>
      </c>
    </row>
    <row r="23" spans="1:4" x14ac:dyDescent="0.25">
      <c r="A23" s="38" t="s">
        <v>99</v>
      </c>
      <c r="C23" s="20">
        <f t="shared" si="0"/>
        <v>16</v>
      </c>
    </row>
    <row r="24" spans="1:4" x14ac:dyDescent="0.25">
      <c r="A24" s="30" t="s">
        <v>34</v>
      </c>
      <c r="C24" s="20">
        <f t="shared" si="0"/>
        <v>17</v>
      </c>
      <c r="D24" s="4"/>
    </row>
    <row r="25" spans="1:4" ht="13.5" customHeight="1" x14ac:dyDescent="0.25">
      <c r="A25" s="34" t="s">
        <v>92</v>
      </c>
      <c r="C25" s="20">
        <f t="shared" si="0"/>
        <v>18</v>
      </c>
      <c r="D25" s="4"/>
    </row>
    <row r="26" spans="1:4" x14ac:dyDescent="0.25">
      <c r="A26" s="30" t="s">
        <v>36</v>
      </c>
      <c r="C26" s="20">
        <f t="shared" si="0"/>
        <v>19</v>
      </c>
      <c r="D26" s="4"/>
    </row>
    <row r="27" spans="1:4" x14ac:dyDescent="0.25">
      <c r="A27" s="38" t="s">
        <v>100</v>
      </c>
      <c r="C27" s="20">
        <f t="shared" si="0"/>
        <v>20</v>
      </c>
    </row>
    <row r="28" spans="1:4" x14ac:dyDescent="0.25">
      <c r="A28" s="30" t="s">
        <v>82</v>
      </c>
      <c r="C28" s="20">
        <f t="shared" si="0"/>
        <v>21</v>
      </c>
    </row>
    <row r="29" spans="1:4" x14ac:dyDescent="0.25">
      <c r="A29" s="30" t="s">
        <v>39</v>
      </c>
      <c r="C29" s="20">
        <f t="shared" si="0"/>
        <v>22</v>
      </c>
      <c r="D29" s="4"/>
    </row>
  </sheetData>
  <phoneticPr fontId="0" type="noConversion"/>
  <printOptions horizontalCentered="1"/>
  <pageMargins left="0.75" right="0.51" top="1.64" bottom="0.64" header="1" footer="0.37"/>
  <pageSetup orientation="landscape" r:id="rId1"/>
  <headerFooter alignWithMargins="0">
    <oddHeader>&amp;CPUBLIC UTILITY COMMISSION OF TEXAS
AEP TEXAS INC
Roadmap of Affiliate Class of Service
for the Test Year Ended September 30, 2023&amp;RDocket No. 56165
EXHIBIT BJF-2
Page &amp;P of &amp;N</oddHeader>
    <oddFooter>&amp;CBJF-2</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2:O31"/>
  <sheetViews>
    <sheetView tabSelected="1" zoomScaleNormal="100" workbookViewId="0">
      <selection activeCell="D5" sqref="D5"/>
    </sheetView>
  </sheetViews>
  <sheetFormatPr defaultColWidth="9.109375" defaultRowHeight="13.2" x14ac:dyDescent="0.25"/>
  <cols>
    <col min="1" max="1" width="13.109375" style="4" customWidth="1"/>
    <col min="2" max="2" width="3.5546875" style="4" customWidth="1"/>
    <col min="3" max="3" width="18" style="4" customWidth="1"/>
    <col min="4" max="4" width="17.5546875" style="4" bestFit="1" customWidth="1"/>
    <col min="5" max="5" width="14" style="4" customWidth="1"/>
    <col min="6" max="6" width="14.88671875" style="4" customWidth="1"/>
    <col min="7" max="7" width="3" style="4" customWidth="1"/>
    <col min="8" max="8" width="9.109375" style="4"/>
    <col min="9" max="9" width="7.88671875" style="4" customWidth="1"/>
    <col min="10" max="11" width="9.109375" style="4"/>
    <col min="12" max="15" width="11.33203125" style="4" customWidth="1"/>
    <col min="16" max="16384" width="9.109375" style="4"/>
  </cols>
  <sheetData>
    <row r="2" spans="1:15" ht="13.8" thickBot="1" x14ac:dyDescent="0.3">
      <c r="I2" s="5"/>
      <c r="J2" s="5"/>
      <c r="K2" s="6"/>
      <c r="L2" s="6"/>
      <c r="N2" s="6"/>
      <c r="O2" s="6"/>
    </row>
    <row r="3" spans="1:15" s="10" customFormat="1" ht="18.600000000000001" customHeight="1" thickBot="1" x14ac:dyDescent="0.3">
      <c r="A3" s="10" t="s">
        <v>64</v>
      </c>
      <c r="B3" s="8" t="s">
        <v>0</v>
      </c>
      <c r="C3" s="39" t="s">
        <v>17</v>
      </c>
      <c r="D3" s="40"/>
      <c r="G3" s="8" t="s">
        <v>3</v>
      </c>
      <c r="H3" s="41" t="s">
        <v>85</v>
      </c>
      <c r="I3" s="42"/>
      <c r="J3" s="43"/>
      <c r="N3" s="9"/>
      <c r="O3" s="9"/>
    </row>
    <row r="4" spans="1:15" x14ac:dyDescent="0.25">
      <c r="I4" s="5"/>
      <c r="J4" s="11"/>
      <c r="K4" s="5"/>
      <c r="L4" s="5"/>
      <c r="N4" s="5"/>
      <c r="O4" s="5"/>
    </row>
    <row r="5" spans="1:15" x14ac:dyDescent="0.25">
      <c r="I5" s="5"/>
      <c r="J5" s="5"/>
      <c r="K5" s="5"/>
      <c r="L5" s="5"/>
      <c r="N5" s="5"/>
      <c r="O5" s="5"/>
    </row>
    <row r="6" spans="1:15" x14ac:dyDescent="0.25">
      <c r="D6" s="2" t="s">
        <v>2</v>
      </c>
    </row>
    <row r="7" spans="1:15" x14ac:dyDescent="0.25">
      <c r="C7" s="12" t="s">
        <v>57</v>
      </c>
      <c r="D7" s="13">
        <v>88335568.769999295</v>
      </c>
      <c r="E7" s="35"/>
    </row>
    <row r="8" spans="1:15" ht="13.8" thickBot="1" x14ac:dyDescent="0.3">
      <c r="C8" s="12" t="s">
        <v>59</v>
      </c>
      <c r="D8" s="13">
        <v>3899289.5599999656</v>
      </c>
      <c r="E8" s="35"/>
    </row>
    <row r="9" spans="1:15" ht="13.8" thickBot="1" x14ac:dyDescent="0.3">
      <c r="C9" s="12" t="s">
        <v>58</v>
      </c>
      <c r="D9" s="15">
        <f>SUM(D7:D8)</f>
        <v>92234858.329999268</v>
      </c>
      <c r="E9" s="35"/>
    </row>
    <row r="12" spans="1:15" x14ac:dyDescent="0.25">
      <c r="B12" s="16" t="s">
        <v>23</v>
      </c>
      <c r="C12" s="16"/>
    </row>
    <row r="13" spans="1:15" x14ac:dyDescent="0.25">
      <c r="B13" s="17" t="s">
        <v>15</v>
      </c>
      <c r="C13" s="36" t="s">
        <v>101</v>
      </c>
    </row>
    <row r="15" spans="1:15" x14ac:dyDescent="0.25">
      <c r="B15" s="1" t="s">
        <v>25</v>
      </c>
      <c r="C15" s="1"/>
    </row>
    <row r="16" spans="1:15" x14ac:dyDescent="0.25">
      <c r="B16" s="17" t="s">
        <v>15</v>
      </c>
      <c r="C16" s="3" t="s">
        <v>51</v>
      </c>
      <c r="G16" s="18" t="s">
        <v>86</v>
      </c>
    </row>
    <row r="17" spans="2:7" x14ac:dyDescent="0.25">
      <c r="B17" s="17" t="s">
        <v>15</v>
      </c>
      <c r="C17" s="4" t="s">
        <v>18</v>
      </c>
      <c r="G17" s="18" t="s">
        <v>66</v>
      </c>
    </row>
    <row r="18" spans="2:7" x14ac:dyDescent="0.25">
      <c r="B18" s="17" t="s">
        <v>15</v>
      </c>
      <c r="C18" s="4" t="s">
        <v>19</v>
      </c>
      <c r="G18" s="18" t="s">
        <v>67</v>
      </c>
    </row>
    <row r="19" spans="2:7" x14ac:dyDescent="0.25">
      <c r="B19" s="17" t="s">
        <v>15</v>
      </c>
      <c r="C19" s="4" t="s">
        <v>20</v>
      </c>
      <c r="G19" s="18" t="s">
        <v>68</v>
      </c>
    </row>
    <row r="20" spans="2:7" x14ac:dyDescent="0.25">
      <c r="B20" s="17" t="s">
        <v>15</v>
      </c>
      <c r="C20" s="4" t="s">
        <v>40</v>
      </c>
      <c r="G20" s="18" t="s">
        <v>69</v>
      </c>
    </row>
    <row r="21" spans="2:7" x14ac:dyDescent="0.25">
      <c r="B21" s="17" t="s">
        <v>15</v>
      </c>
      <c r="C21" s="4" t="s">
        <v>24</v>
      </c>
      <c r="G21" s="18" t="s">
        <v>70</v>
      </c>
    </row>
    <row r="22" spans="2:7" x14ac:dyDescent="0.25">
      <c r="B22" s="17" t="s">
        <v>15</v>
      </c>
      <c r="C22" s="4" t="s">
        <v>22</v>
      </c>
      <c r="G22" s="18" t="s">
        <v>71</v>
      </c>
    </row>
    <row r="23" spans="2:7" x14ac:dyDescent="0.25">
      <c r="B23" s="17" t="s">
        <v>15</v>
      </c>
      <c r="C23" s="4" t="s">
        <v>52</v>
      </c>
      <c r="G23" s="18" t="s">
        <v>87</v>
      </c>
    </row>
    <row r="24" spans="2:7" x14ac:dyDescent="0.25">
      <c r="B24" s="17" t="s">
        <v>15</v>
      </c>
      <c r="C24" s="4" t="s">
        <v>28</v>
      </c>
      <c r="G24" s="18" t="s">
        <v>88</v>
      </c>
    </row>
    <row r="25" spans="2:7" x14ac:dyDescent="0.25">
      <c r="B25" s="17" t="s">
        <v>15</v>
      </c>
      <c r="C25" s="4" t="s">
        <v>21</v>
      </c>
      <c r="G25" s="36" t="s">
        <v>124</v>
      </c>
    </row>
    <row r="27" spans="2:7" x14ac:dyDescent="0.25">
      <c r="B27" s="16" t="s">
        <v>48</v>
      </c>
      <c r="C27" s="16"/>
    </row>
    <row r="28" spans="2:7" x14ac:dyDescent="0.25">
      <c r="B28" s="17" t="s">
        <v>15</v>
      </c>
      <c r="C28" s="18" t="s">
        <v>8</v>
      </c>
      <c r="G28" s="18" t="s">
        <v>72</v>
      </c>
    </row>
    <row r="29" spans="2:7" x14ac:dyDescent="0.25">
      <c r="B29" s="17" t="s">
        <v>15</v>
      </c>
      <c r="C29" s="4" t="s">
        <v>12</v>
      </c>
      <c r="G29" s="18" t="s">
        <v>73</v>
      </c>
    </row>
    <row r="30" spans="2:7" x14ac:dyDescent="0.25">
      <c r="B30" s="17" t="s">
        <v>15</v>
      </c>
      <c r="C30" s="4" t="s">
        <v>13</v>
      </c>
      <c r="G30" s="4" t="s">
        <v>61</v>
      </c>
    </row>
    <row r="31" spans="2:7" x14ac:dyDescent="0.25">
      <c r="B31" s="17" t="s">
        <v>15</v>
      </c>
      <c r="C31" s="4" t="s">
        <v>14</v>
      </c>
      <c r="G31" s="4" t="s">
        <v>61</v>
      </c>
    </row>
  </sheetData>
  <mergeCells count="2">
    <mergeCell ref="C3:D3"/>
    <mergeCell ref="H3:J3"/>
  </mergeCells>
  <phoneticPr fontId="0" type="noConversion"/>
  <printOptions horizontalCentered="1"/>
  <pageMargins left="0.75" right="0.51" top="1.64" bottom="0.64" header="1" footer="0.37"/>
  <pageSetup scale="89" orientation="landscape" r:id="rId1"/>
  <headerFooter alignWithMargins="0">
    <oddHeader>&amp;CPUBLIC UTILITY COMMISSION OF TEXAS
AEP TEXAS INC
Roadmap of Affiliate Class of Service
for the Test Year Ended September 30, 2023&amp;RDocket No. 56165
EXHIBIT BJF-2
Page &amp;P of &amp;N</oddHeader>
    <oddFooter>&amp;CBJF-2</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2:P22"/>
  <sheetViews>
    <sheetView tabSelected="1" zoomScaleNormal="100" workbookViewId="0">
      <selection activeCell="D5" sqref="D5"/>
    </sheetView>
  </sheetViews>
  <sheetFormatPr defaultColWidth="9.109375" defaultRowHeight="13.2" x14ac:dyDescent="0.25"/>
  <cols>
    <col min="1" max="1" width="13" style="4" customWidth="1"/>
    <col min="2" max="2" width="3.5546875" style="4" customWidth="1"/>
    <col min="3" max="3" width="4" style="4" customWidth="1"/>
    <col min="4" max="6" width="14" style="4" customWidth="1"/>
    <col min="7" max="7" width="14.88671875" style="4" customWidth="1"/>
    <col min="8" max="8" width="3" style="4" customWidth="1"/>
    <col min="9" max="9" width="9.109375" style="4"/>
    <col min="10" max="10" width="7.88671875" style="4" customWidth="1"/>
    <col min="11" max="12" width="9.109375" style="4"/>
    <col min="13" max="16" width="11.33203125" style="4" customWidth="1"/>
    <col min="17" max="16384" width="9.109375" style="4"/>
  </cols>
  <sheetData>
    <row r="2" spans="1:16" ht="13.8" thickBot="1" x14ac:dyDescent="0.3">
      <c r="J2" s="5"/>
      <c r="K2" s="5"/>
      <c r="L2" s="6"/>
      <c r="M2" s="6"/>
      <c r="O2" s="6"/>
      <c r="P2" s="6"/>
    </row>
    <row r="3" spans="1:16" s="10" customFormat="1" ht="18.600000000000001" customHeight="1" thickBot="1" x14ac:dyDescent="0.3">
      <c r="A3" s="10" t="s">
        <v>64</v>
      </c>
      <c r="B3" s="7"/>
      <c r="C3" s="8" t="s">
        <v>0</v>
      </c>
      <c r="D3" s="39" t="s">
        <v>27</v>
      </c>
      <c r="E3" s="44"/>
      <c r="F3" s="40"/>
      <c r="G3" s="9"/>
      <c r="H3" s="9"/>
      <c r="I3" s="8"/>
      <c r="J3" s="8" t="s">
        <v>3</v>
      </c>
      <c r="K3" s="41" t="s">
        <v>74</v>
      </c>
      <c r="L3" s="42"/>
      <c r="M3" s="43"/>
      <c r="O3" s="9"/>
      <c r="P3" s="9"/>
    </row>
    <row r="4" spans="1:16" x14ac:dyDescent="0.25">
      <c r="J4" s="5"/>
      <c r="K4" s="11"/>
      <c r="L4" s="5"/>
      <c r="M4" s="5"/>
      <c r="O4" s="5"/>
      <c r="P4" s="5"/>
    </row>
    <row r="5" spans="1:16" x14ac:dyDescent="0.25">
      <c r="J5" s="5"/>
      <c r="K5" s="5"/>
      <c r="L5" s="5"/>
      <c r="M5" s="5"/>
      <c r="O5" s="5"/>
      <c r="P5" s="5"/>
    </row>
    <row r="6" spans="1:16" x14ac:dyDescent="0.25">
      <c r="E6" s="2" t="s">
        <v>2</v>
      </c>
    </row>
    <row r="7" spans="1:16" x14ac:dyDescent="0.25">
      <c r="C7" s="12"/>
      <c r="D7" s="12" t="s">
        <v>56</v>
      </c>
      <c r="E7" s="13">
        <v>1667911</v>
      </c>
    </row>
    <row r="8" spans="1:16" ht="13.8" thickBot="1" x14ac:dyDescent="0.3">
      <c r="C8" s="12"/>
      <c r="D8" s="12" t="s">
        <v>59</v>
      </c>
      <c r="E8" s="14">
        <v>-53411</v>
      </c>
    </row>
    <row r="9" spans="1:16" ht="13.8" thickBot="1" x14ac:dyDescent="0.3">
      <c r="C9" s="12"/>
      <c r="D9" s="12" t="s">
        <v>60</v>
      </c>
      <c r="E9" s="15">
        <f>SUM(E7:E8)</f>
        <v>1614500</v>
      </c>
    </row>
    <row r="12" spans="1:16" x14ac:dyDescent="0.25">
      <c r="B12" s="16" t="s">
        <v>41</v>
      </c>
      <c r="C12" s="16"/>
    </row>
    <row r="13" spans="1:16" x14ac:dyDescent="0.25">
      <c r="B13" s="17" t="s">
        <v>15</v>
      </c>
      <c r="C13" s="4" t="str">
        <f>"Testimony of "&amp;K3</f>
        <v>Testimony of Brian J. Frantz</v>
      </c>
      <c r="H13" s="36" t="s">
        <v>125</v>
      </c>
    </row>
    <row r="15" spans="1:16" x14ac:dyDescent="0.25">
      <c r="B15" s="1" t="s">
        <v>42</v>
      </c>
      <c r="C15" s="1"/>
    </row>
    <row r="16" spans="1:16" x14ac:dyDescent="0.25">
      <c r="B16" s="17" t="s">
        <v>15</v>
      </c>
      <c r="C16" s="3" t="s">
        <v>55</v>
      </c>
      <c r="H16" s="18" t="s">
        <v>89</v>
      </c>
    </row>
    <row r="17" spans="2:8" x14ac:dyDescent="0.25">
      <c r="B17" s="17" t="s">
        <v>15</v>
      </c>
      <c r="C17" s="4" t="s">
        <v>52</v>
      </c>
      <c r="H17" s="18" t="s">
        <v>87</v>
      </c>
    </row>
    <row r="19" spans="2:8" x14ac:dyDescent="0.25">
      <c r="B19" s="16" t="s">
        <v>49</v>
      </c>
      <c r="C19" s="16"/>
    </row>
    <row r="20" spans="2:8" x14ac:dyDescent="0.25">
      <c r="B20" s="17" t="s">
        <v>15</v>
      </c>
      <c r="C20" s="18" t="s">
        <v>8</v>
      </c>
      <c r="H20" s="18" t="s">
        <v>72</v>
      </c>
    </row>
    <row r="21" spans="2:8" x14ac:dyDescent="0.25">
      <c r="B21" s="17" t="s">
        <v>15</v>
      </c>
      <c r="C21" s="4" t="s">
        <v>13</v>
      </c>
      <c r="H21" s="4" t="s">
        <v>61</v>
      </c>
    </row>
    <row r="22" spans="2:8" x14ac:dyDescent="0.25">
      <c r="B22" s="17" t="s">
        <v>15</v>
      </c>
      <c r="C22" s="4" t="s">
        <v>14</v>
      </c>
      <c r="H22" s="4" t="s">
        <v>61</v>
      </c>
    </row>
  </sheetData>
  <mergeCells count="2">
    <mergeCell ref="K3:M3"/>
    <mergeCell ref="D3:F3"/>
  </mergeCells>
  <phoneticPr fontId="0" type="noConversion"/>
  <printOptions horizontalCentered="1"/>
  <pageMargins left="0.75" right="0.51" top="1.64" bottom="0.64" header="1" footer="0.37"/>
  <pageSetup scale="97" orientation="landscape" r:id="rId1"/>
  <headerFooter alignWithMargins="0">
    <oddHeader>&amp;CPUBLIC UTILITY COMMISSION OF TEXAS
AEP TEXAS INC
Roadmap of Affiliate Class of Service
for the Test Year Ended September 30, 2023&amp;RDocket No. 56165
EXHIBIT BJF-2
Page &amp;P of &amp;N</oddHeader>
    <oddFooter>&amp;CBJF-2</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2:P31"/>
  <sheetViews>
    <sheetView tabSelected="1" zoomScaleNormal="100" workbookViewId="0">
      <selection activeCell="D5" sqref="D5"/>
    </sheetView>
  </sheetViews>
  <sheetFormatPr defaultColWidth="9.109375" defaultRowHeight="13.2" x14ac:dyDescent="0.25"/>
  <cols>
    <col min="1" max="1" width="13" style="4" customWidth="1"/>
    <col min="2" max="2" width="3.5546875" style="4" customWidth="1"/>
    <col min="3" max="3" width="4" style="4" customWidth="1"/>
    <col min="4" max="4" width="14" style="4" customWidth="1"/>
    <col min="5" max="5" width="15.88671875" style="4" bestFit="1" customWidth="1"/>
    <col min="6" max="6" width="14" style="4" customWidth="1"/>
    <col min="7" max="7" width="14.88671875" style="4" customWidth="1"/>
    <col min="8" max="8" width="3" style="4" customWidth="1"/>
    <col min="9" max="9" width="9.109375" style="4"/>
    <col min="10" max="10" width="7.88671875" style="4" customWidth="1"/>
    <col min="11" max="12" width="9.109375" style="4"/>
    <col min="13" max="16" width="11.33203125" style="4" customWidth="1"/>
    <col min="17" max="16384" width="9.109375" style="4"/>
  </cols>
  <sheetData>
    <row r="2" spans="1:16" ht="13.8" thickBot="1" x14ac:dyDescent="0.3">
      <c r="J2" s="5"/>
      <c r="K2" s="5"/>
      <c r="L2" s="6"/>
      <c r="M2" s="6"/>
      <c r="O2" s="6"/>
      <c r="P2" s="6"/>
    </row>
    <row r="3" spans="1:16" s="10" customFormat="1" ht="18.600000000000001" customHeight="1" thickBot="1" x14ac:dyDescent="0.3">
      <c r="A3" s="10" t="s">
        <v>64</v>
      </c>
      <c r="B3" s="7"/>
      <c r="C3" s="8" t="s">
        <v>0</v>
      </c>
      <c r="D3" s="39" t="s">
        <v>16</v>
      </c>
      <c r="E3" s="44"/>
      <c r="F3" s="40"/>
      <c r="G3" s="9"/>
      <c r="H3" s="9"/>
      <c r="I3" s="8"/>
      <c r="J3" s="8" t="s">
        <v>3</v>
      </c>
      <c r="K3" s="45" t="s">
        <v>93</v>
      </c>
      <c r="L3" s="42"/>
      <c r="M3" s="43"/>
      <c r="O3" s="9"/>
      <c r="P3" s="9"/>
    </row>
    <row r="4" spans="1:16" x14ac:dyDescent="0.25">
      <c r="J4" s="5"/>
      <c r="K4" s="11"/>
      <c r="L4" s="5"/>
      <c r="M4" s="5"/>
      <c r="O4" s="5"/>
      <c r="P4" s="5"/>
    </row>
    <row r="5" spans="1:16" x14ac:dyDescent="0.25">
      <c r="J5" s="5"/>
      <c r="K5" s="5"/>
      <c r="L5" s="5"/>
      <c r="M5" s="5"/>
      <c r="O5" s="5"/>
      <c r="P5" s="5"/>
    </row>
    <row r="6" spans="1:16" x14ac:dyDescent="0.25">
      <c r="E6" s="2" t="s">
        <v>2</v>
      </c>
      <c r="G6" s="12"/>
    </row>
    <row r="7" spans="1:16" x14ac:dyDescent="0.25">
      <c r="C7" s="12"/>
      <c r="D7" s="12" t="s">
        <v>57</v>
      </c>
      <c r="E7" s="27">
        <v>6656741.200000002</v>
      </c>
      <c r="G7" s="12"/>
    </row>
    <row r="8" spans="1:16" ht="13.8" thickBot="1" x14ac:dyDescent="0.3">
      <c r="C8" s="12"/>
      <c r="D8" s="12" t="s">
        <v>59</v>
      </c>
      <c r="E8" s="28">
        <v>-120593.27999999998</v>
      </c>
      <c r="G8" s="12"/>
    </row>
    <row r="9" spans="1:16" ht="13.8" thickBot="1" x14ac:dyDescent="0.3">
      <c r="C9" s="12"/>
      <c r="D9" s="12" t="s">
        <v>58</v>
      </c>
      <c r="E9" s="15">
        <f>SUM(E7:E8)</f>
        <v>6536147.9200000018</v>
      </c>
      <c r="G9" s="12"/>
    </row>
    <row r="12" spans="1:16" x14ac:dyDescent="0.25">
      <c r="B12" s="16" t="s">
        <v>7</v>
      </c>
      <c r="C12" s="16"/>
    </row>
    <row r="13" spans="1:16" x14ac:dyDescent="0.25">
      <c r="B13" s="17" t="s">
        <v>15</v>
      </c>
      <c r="C13" s="4" t="str">
        <f>"Testimony of "&amp;K3</f>
        <v>Testimony of Gilbert Hughes</v>
      </c>
      <c r="H13" s="36" t="s">
        <v>127</v>
      </c>
    </row>
    <row r="14" spans="1:16" x14ac:dyDescent="0.25">
      <c r="B14" s="17" t="s">
        <v>15</v>
      </c>
      <c r="C14" s="18" t="s">
        <v>75</v>
      </c>
      <c r="H14" s="36" t="s">
        <v>126</v>
      </c>
    </row>
    <row r="16" spans="1:16" x14ac:dyDescent="0.25">
      <c r="B16" s="1" t="s">
        <v>4</v>
      </c>
      <c r="C16" s="1"/>
    </row>
    <row r="17" spans="2:8" x14ac:dyDescent="0.25">
      <c r="B17" s="17" t="s">
        <v>15</v>
      </c>
      <c r="C17" s="4" t="s">
        <v>5</v>
      </c>
      <c r="H17" s="36" t="s">
        <v>102</v>
      </c>
    </row>
    <row r="18" spans="2:8" x14ac:dyDescent="0.25">
      <c r="B18" s="17" t="s">
        <v>15</v>
      </c>
      <c r="C18" s="4" t="s">
        <v>10</v>
      </c>
      <c r="H18" s="36" t="s">
        <v>103</v>
      </c>
    </row>
    <row r="19" spans="2:8" x14ac:dyDescent="0.25">
      <c r="B19" s="17" t="s">
        <v>15</v>
      </c>
      <c r="C19" s="4" t="s">
        <v>6</v>
      </c>
      <c r="H19" s="36" t="s">
        <v>104</v>
      </c>
    </row>
    <row r="20" spans="2:8" x14ac:dyDescent="0.25">
      <c r="B20" s="17" t="s">
        <v>15</v>
      </c>
      <c r="C20" s="4" t="s">
        <v>43</v>
      </c>
      <c r="H20" s="36" t="s">
        <v>69</v>
      </c>
    </row>
    <row r="21" spans="2:8" x14ac:dyDescent="0.25">
      <c r="B21" s="17" t="s">
        <v>15</v>
      </c>
      <c r="C21" s="4" t="s">
        <v>22</v>
      </c>
      <c r="H21" s="36" t="s">
        <v>105</v>
      </c>
    </row>
    <row r="22" spans="2:8" x14ac:dyDescent="0.25">
      <c r="B22" s="17" t="s">
        <v>15</v>
      </c>
      <c r="C22" s="4" t="s">
        <v>9</v>
      </c>
      <c r="H22" s="36" t="s">
        <v>106</v>
      </c>
    </row>
    <row r="23" spans="2:8" x14ac:dyDescent="0.25">
      <c r="B23" s="17" t="s">
        <v>15</v>
      </c>
      <c r="C23" s="4" t="s">
        <v>53</v>
      </c>
      <c r="H23" s="36" t="s">
        <v>107</v>
      </c>
    </row>
    <row r="24" spans="2:8" x14ac:dyDescent="0.25">
      <c r="B24" s="17" t="s">
        <v>15</v>
      </c>
      <c r="C24" s="4" t="s">
        <v>54</v>
      </c>
      <c r="H24" s="36" t="s">
        <v>108</v>
      </c>
    </row>
    <row r="25" spans="2:8" x14ac:dyDescent="0.25">
      <c r="B25" s="17" t="s">
        <v>15</v>
      </c>
      <c r="C25" s="4" t="s">
        <v>11</v>
      </c>
      <c r="H25" s="18" t="s">
        <v>79</v>
      </c>
    </row>
    <row r="27" spans="2:8" x14ac:dyDescent="0.25">
      <c r="B27" s="16" t="s">
        <v>50</v>
      </c>
      <c r="C27" s="16"/>
    </row>
    <row r="28" spans="2:8" x14ac:dyDescent="0.25">
      <c r="B28" s="17" t="s">
        <v>15</v>
      </c>
      <c r="C28" s="18" t="s">
        <v>8</v>
      </c>
      <c r="H28" s="18" t="s">
        <v>72</v>
      </c>
    </row>
    <row r="29" spans="2:8" x14ac:dyDescent="0.25">
      <c r="B29" s="17" t="s">
        <v>15</v>
      </c>
      <c r="C29" s="4" t="s">
        <v>12</v>
      </c>
      <c r="H29" s="18" t="s">
        <v>73</v>
      </c>
    </row>
    <row r="30" spans="2:8" x14ac:dyDescent="0.25">
      <c r="B30" s="17" t="s">
        <v>15</v>
      </c>
      <c r="C30" s="4" t="s">
        <v>13</v>
      </c>
      <c r="H30" s="4" t="s">
        <v>61</v>
      </c>
    </row>
    <row r="31" spans="2:8" x14ac:dyDescent="0.25">
      <c r="B31" s="17" t="s">
        <v>15</v>
      </c>
      <c r="C31" s="4" t="s">
        <v>14</v>
      </c>
      <c r="H31" s="4" t="s">
        <v>61</v>
      </c>
    </row>
  </sheetData>
  <mergeCells count="2">
    <mergeCell ref="D3:F3"/>
    <mergeCell ref="K3:M3"/>
  </mergeCells>
  <phoneticPr fontId="0" type="noConversion"/>
  <printOptions horizontalCentered="1"/>
  <pageMargins left="0.75" right="0.51" top="1.64" bottom="0.64" header="1" footer="0.37"/>
  <pageSetup scale="96" orientation="landscape" r:id="rId1"/>
  <headerFooter alignWithMargins="0">
    <oddHeader>&amp;CPUBLIC UTILITY COMMISSION OF TEXAS
AEP TEXAS INC
Roadmap of Affiliate Class of Service
for the Test Year Ended September 30, 2023&amp;RDocket No. 56165
EXHIBIT BJF-2
Page &amp;P of &amp;N</oddHeader>
    <oddFooter>&amp;CBJF-2</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2:P31"/>
  <sheetViews>
    <sheetView tabSelected="1" zoomScaleNormal="100" workbookViewId="0">
      <selection activeCell="D5" sqref="D5"/>
    </sheetView>
  </sheetViews>
  <sheetFormatPr defaultColWidth="9.109375" defaultRowHeight="13.2" x14ac:dyDescent="0.25"/>
  <cols>
    <col min="1" max="1" width="13" style="4" customWidth="1"/>
    <col min="2" max="2" width="3.5546875" style="4" customWidth="1"/>
    <col min="3" max="3" width="4" style="4" customWidth="1"/>
    <col min="4" max="4" width="14" style="4" customWidth="1"/>
    <col min="5" max="5" width="15.88671875" style="4" bestFit="1" customWidth="1"/>
    <col min="6" max="6" width="14" style="4" customWidth="1"/>
    <col min="7" max="7" width="20.33203125" style="4" customWidth="1"/>
    <col min="8" max="8" width="6.6640625" style="4" customWidth="1"/>
    <col min="9" max="9" width="4.33203125" style="4" customWidth="1"/>
    <col min="10" max="10" width="7.88671875" style="4" customWidth="1"/>
    <col min="11" max="11" width="5.44140625" style="4" customWidth="1"/>
    <col min="12" max="12" width="9.109375" style="4"/>
    <col min="13" max="16" width="11.33203125" style="4" customWidth="1"/>
    <col min="17" max="16384" width="9.109375" style="4"/>
  </cols>
  <sheetData>
    <row r="2" spans="1:16" ht="13.8" thickBot="1" x14ac:dyDescent="0.3">
      <c r="J2" s="5"/>
      <c r="K2" s="5"/>
      <c r="L2" s="6"/>
      <c r="M2" s="6"/>
      <c r="O2" s="6"/>
      <c r="P2" s="6"/>
    </row>
    <row r="3" spans="1:16" s="10" customFormat="1" ht="18.600000000000001" customHeight="1" thickBot="1" x14ac:dyDescent="0.3">
      <c r="A3" s="10" t="s">
        <v>64</v>
      </c>
      <c r="B3" s="7"/>
      <c r="C3" s="8" t="s">
        <v>0</v>
      </c>
      <c r="D3" s="39" t="s">
        <v>1</v>
      </c>
      <c r="E3" s="44"/>
      <c r="F3" s="40"/>
      <c r="G3" s="9"/>
      <c r="H3" s="9"/>
      <c r="I3" s="8"/>
      <c r="J3" s="8" t="s">
        <v>3</v>
      </c>
      <c r="K3" s="45" t="s">
        <v>109</v>
      </c>
      <c r="L3" s="42"/>
      <c r="M3" s="43"/>
      <c r="O3" s="9"/>
      <c r="P3" s="9"/>
    </row>
    <row r="4" spans="1:16" x14ac:dyDescent="0.25">
      <c r="J4" s="5"/>
      <c r="K4" s="11"/>
      <c r="L4" s="5"/>
      <c r="M4" s="5"/>
      <c r="O4" s="5"/>
      <c r="P4" s="5"/>
    </row>
    <row r="5" spans="1:16" x14ac:dyDescent="0.25">
      <c r="J5" s="5"/>
      <c r="K5" s="5"/>
      <c r="L5" s="5"/>
      <c r="M5" s="5"/>
      <c r="O5" s="5"/>
      <c r="P5" s="5"/>
    </row>
    <row r="6" spans="1:16" x14ac:dyDescent="0.25">
      <c r="E6" s="2" t="s">
        <v>2</v>
      </c>
    </row>
    <row r="7" spans="1:16" x14ac:dyDescent="0.25">
      <c r="C7" s="12"/>
      <c r="D7" s="12" t="s">
        <v>57</v>
      </c>
      <c r="E7" s="13">
        <v>2132877.1199999996</v>
      </c>
    </row>
    <row r="8" spans="1:16" ht="13.8" thickBot="1" x14ac:dyDescent="0.3">
      <c r="C8" s="12"/>
      <c r="D8" s="12" t="s">
        <v>59</v>
      </c>
      <c r="E8" s="14">
        <v>-18752.47</v>
      </c>
    </row>
    <row r="9" spans="1:16" ht="13.8" thickBot="1" x14ac:dyDescent="0.3">
      <c r="C9" s="12"/>
      <c r="D9" s="12" t="s">
        <v>58</v>
      </c>
      <c r="E9" s="15">
        <f>SUM(E7:E8)</f>
        <v>2114124.6499999994</v>
      </c>
    </row>
    <row r="12" spans="1:16" x14ac:dyDescent="0.25">
      <c r="B12" s="16" t="s">
        <v>7</v>
      </c>
      <c r="C12" s="16"/>
    </row>
    <row r="13" spans="1:16" x14ac:dyDescent="0.25">
      <c r="B13" s="17" t="s">
        <v>15</v>
      </c>
      <c r="C13" s="4" t="str">
        <f>"Testimony of "&amp;K3</f>
        <v>Testimony of Jeffery Stracener</v>
      </c>
      <c r="H13" s="36" t="s">
        <v>127</v>
      </c>
    </row>
    <row r="14" spans="1:16" x14ac:dyDescent="0.25">
      <c r="B14" s="17" t="s">
        <v>15</v>
      </c>
      <c r="C14" s="18" t="s">
        <v>75</v>
      </c>
      <c r="H14" s="36" t="s">
        <v>129</v>
      </c>
    </row>
    <row r="16" spans="1:16" x14ac:dyDescent="0.25">
      <c r="B16" s="1" t="s">
        <v>4</v>
      </c>
      <c r="C16" s="1"/>
    </row>
    <row r="17" spans="2:8" x14ac:dyDescent="0.25">
      <c r="B17" s="17" t="s">
        <v>15</v>
      </c>
      <c r="C17" s="4" t="s">
        <v>5</v>
      </c>
      <c r="H17" s="36" t="s">
        <v>102</v>
      </c>
    </row>
    <row r="18" spans="2:8" x14ac:dyDescent="0.25">
      <c r="B18" s="17" t="s">
        <v>15</v>
      </c>
      <c r="C18" s="4" t="s">
        <v>10</v>
      </c>
      <c r="H18" s="36" t="s">
        <v>103</v>
      </c>
    </row>
    <row r="19" spans="2:8" x14ac:dyDescent="0.25">
      <c r="B19" s="17" t="s">
        <v>15</v>
      </c>
      <c r="C19" s="4" t="s">
        <v>6</v>
      </c>
      <c r="H19" s="36" t="s">
        <v>104</v>
      </c>
    </row>
    <row r="20" spans="2:8" x14ac:dyDescent="0.25">
      <c r="B20" s="17" t="s">
        <v>15</v>
      </c>
      <c r="C20" s="4" t="s">
        <v>43</v>
      </c>
      <c r="H20" s="36" t="s">
        <v>69</v>
      </c>
    </row>
    <row r="21" spans="2:8" x14ac:dyDescent="0.25">
      <c r="B21" s="17" t="s">
        <v>15</v>
      </c>
      <c r="C21" s="4" t="s">
        <v>22</v>
      </c>
      <c r="H21" s="36" t="s">
        <v>105</v>
      </c>
    </row>
    <row r="22" spans="2:8" x14ac:dyDescent="0.25">
      <c r="B22" s="17" t="s">
        <v>15</v>
      </c>
      <c r="C22" s="4" t="s">
        <v>9</v>
      </c>
      <c r="H22" s="36" t="s">
        <v>106</v>
      </c>
    </row>
    <row r="23" spans="2:8" x14ac:dyDescent="0.25">
      <c r="B23" s="17" t="s">
        <v>15</v>
      </c>
      <c r="C23" s="4" t="s">
        <v>53</v>
      </c>
      <c r="H23" s="36" t="s">
        <v>107</v>
      </c>
    </row>
    <row r="24" spans="2:8" x14ac:dyDescent="0.25">
      <c r="B24" s="17" t="s">
        <v>15</v>
      </c>
      <c r="C24" s="4" t="s">
        <v>54</v>
      </c>
      <c r="H24" s="36" t="s">
        <v>108</v>
      </c>
    </row>
    <row r="25" spans="2:8" x14ac:dyDescent="0.25">
      <c r="B25" s="17" t="s">
        <v>15</v>
      </c>
      <c r="C25" s="4" t="s">
        <v>11</v>
      </c>
      <c r="H25" s="36" t="s">
        <v>128</v>
      </c>
    </row>
    <row r="27" spans="2:8" x14ac:dyDescent="0.25">
      <c r="B27" s="16" t="s">
        <v>50</v>
      </c>
      <c r="C27" s="16"/>
    </row>
    <row r="28" spans="2:8" x14ac:dyDescent="0.25">
      <c r="B28" s="17" t="s">
        <v>15</v>
      </c>
      <c r="C28" s="18" t="s">
        <v>8</v>
      </c>
      <c r="H28" s="18" t="s">
        <v>72</v>
      </c>
    </row>
    <row r="29" spans="2:8" x14ac:dyDescent="0.25">
      <c r="B29" s="17" t="s">
        <v>15</v>
      </c>
      <c r="C29" s="4" t="s">
        <v>12</v>
      </c>
      <c r="H29" s="18" t="s">
        <v>73</v>
      </c>
    </row>
    <row r="30" spans="2:8" x14ac:dyDescent="0.25">
      <c r="B30" s="17" t="s">
        <v>15</v>
      </c>
      <c r="C30" s="4" t="s">
        <v>13</v>
      </c>
      <c r="H30" s="4" t="s">
        <v>61</v>
      </c>
    </row>
    <row r="31" spans="2:8" x14ac:dyDescent="0.25">
      <c r="B31" s="17" t="s">
        <v>15</v>
      </c>
      <c r="C31" s="4" t="s">
        <v>14</v>
      </c>
      <c r="H31" s="4" t="s">
        <v>61</v>
      </c>
    </row>
  </sheetData>
  <mergeCells count="2">
    <mergeCell ref="D3:F3"/>
    <mergeCell ref="K3:M3"/>
  </mergeCells>
  <phoneticPr fontId="0" type="noConversion"/>
  <printOptions horizontalCentered="1"/>
  <pageMargins left="0.75" right="0.51" top="1.64" bottom="0.64" header="1" footer="0.37"/>
  <pageSetup scale="96" orientation="landscape" r:id="rId1"/>
  <headerFooter alignWithMargins="0">
    <oddHeader>&amp;CPUBLIC UTILITY COMMISSION OF TEXAS
AEP TEXAS INC
Roadmap of Affiliate Class of Service
for the Test Year Ended September 30, 2023&amp;RDocket No. 56165
EXHIBIT BJF-2
Page &amp;P of &amp;N</oddHeader>
    <oddFooter>&amp;CBJF-2</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2:P30"/>
  <sheetViews>
    <sheetView tabSelected="1" zoomScaleNormal="100" workbookViewId="0">
      <selection activeCell="D5" sqref="D5"/>
    </sheetView>
  </sheetViews>
  <sheetFormatPr defaultColWidth="9.109375" defaultRowHeight="13.2" x14ac:dyDescent="0.25"/>
  <cols>
    <col min="1" max="1" width="13" style="4" customWidth="1"/>
    <col min="2" max="2" width="3.5546875" style="4" customWidth="1"/>
    <col min="3" max="3" width="4" style="4" customWidth="1"/>
    <col min="4" max="4" width="17.88671875" style="4" customWidth="1"/>
    <col min="5" max="5" width="15.44140625" style="4" bestFit="1" customWidth="1"/>
    <col min="6" max="6" width="14" style="4" customWidth="1"/>
    <col min="7" max="7" width="20.33203125" style="4" customWidth="1"/>
    <col min="8" max="8" width="6.6640625" style="4" customWidth="1"/>
    <col min="9" max="9" width="4.33203125" style="4" customWidth="1"/>
    <col min="10" max="10" width="7.88671875" style="4" customWidth="1"/>
    <col min="11" max="11" width="5.44140625" style="4" customWidth="1"/>
    <col min="12" max="12" width="9.109375" style="4"/>
    <col min="13" max="16" width="11.33203125" style="4" customWidth="1"/>
    <col min="17" max="16384" width="9.109375" style="4"/>
  </cols>
  <sheetData>
    <row r="2" spans="1:16" ht="13.8" thickBot="1" x14ac:dyDescent="0.3">
      <c r="J2" s="5"/>
      <c r="K2" s="5"/>
      <c r="L2" s="6"/>
      <c r="M2" s="6"/>
      <c r="O2" s="6"/>
      <c r="P2" s="6"/>
    </row>
    <row r="3" spans="1:16" s="10" customFormat="1" ht="18.600000000000001" customHeight="1" thickBot="1" x14ac:dyDescent="0.3">
      <c r="A3" s="10" t="s">
        <v>64</v>
      </c>
      <c r="B3" s="7"/>
      <c r="C3" s="8" t="s">
        <v>0</v>
      </c>
      <c r="D3" s="39" t="s">
        <v>110</v>
      </c>
      <c r="E3" s="44"/>
      <c r="F3" s="40"/>
      <c r="G3" s="9"/>
      <c r="H3" s="9"/>
      <c r="I3" s="8"/>
      <c r="J3" s="8" t="s">
        <v>3</v>
      </c>
      <c r="K3" s="45" t="s">
        <v>111</v>
      </c>
      <c r="L3" s="42"/>
      <c r="M3" s="43"/>
      <c r="O3" s="9"/>
      <c r="P3" s="9"/>
    </row>
    <row r="4" spans="1:16" x14ac:dyDescent="0.25">
      <c r="J4" s="5"/>
      <c r="K4" s="11"/>
      <c r="L4" s="5"/>
      <c r="M4" s="5"/>
      <c r="O4" s="5"/>
      <c r="P4" s="5"/>
    </row>
    <row r="5" spans="1:16" x14ac:dyDescent="0.25">
      <c r="J5" s="5"/>
      <c r="K5" s="5"/>
      <c r="L5" s="5"/>
      <c r="M5" s="5"/>
      <c r="O5" s="5"/>
      <c r="P5" s="5"/>
    </row>
    <row r="6" spans="1:16" x14ac:dyDescent="0.25">
      <c r="E6" s="2" t="s">
        <v>2</v>
      </c>
    </row>
    <row r="7" spans="1:16" x14ac:dyDescent="0.25">
      <c r="C7" s="12"/>
      <c r="D7" s="12" t="s">
        <v>57</v>
      </c>
      <c r="E7" s="13">
        <v>21439272.499999966</v>
      </c>
    </row>
    <row r="8" spans="1:16" ht="13.8" thickBot="1" x14ac:dyDescent="0.3">
      <c r="C8" s="12"/>
      <c r="D8" s="12" t="s">
        <v>59</v>
      </c>
      <c r="E8" s="14">
        <v>-210118.83999999994</v>
      </c>
    </row>
    <row r="9" spans="1:16" ht="13.8" thickBot="1" x14ac:dyDescent="0.3">
      <c r="C9" s="12"/>
      <c r="D9" s="12" t="s">
        <v>58</v>
      </c>
      <c r="E9" s="15">
        <f>SUM(E7:E8)</f>
        <v>21229153.659999967</v>
      </c>
    </row>
    <row r="11" spans="1:16" x14ac:dyDescent="0.25">
      <c r="B11" s="16" t="s">
        <v>7</v>
      </c>
      <c r="C11" s="16"/>
    </row>
    <row r="12" spans="1:16" x14ac:dyDescent="0.25">
      <c r="B12" s="17" t="s">
        <v>15</v>
      </c>
      <c r="C12" s="4" t="str">
        <f>"Testimony of "&amp;K3</f>
        <v>Testimony of Shawn Robinson</v>
      </c>
      <c r="H12" s="36" t="s">
        <v>127</v>
      </c>
    </row>
    <row r="13" spans="1:16" x14ac:dyDescent="0.25">
      <c r="B13" s="17" t="s">
        <v>15</v>
      </c>
      <c r="C13" s="4" t="s">
        <v>75</v>
      </c>
      <c r="H13" s="36" t="s">
        <v>130</v>
      </c>
    </row>
    <row r="15" spans="1:16" x14ac:dyDescent="0.25">
      <c r="B15" s="1" t="s">
        <v>4</v>
      </c>
      <c r="C15" s="1"/>
    </row>
    <row r="16" spans="1:16" x14ac:dyDescent="0.25">
      <c r="B16" s="17" t="s">
        <v>15</v>
      </c>
      <c r="C16" s="4" t="s">
        <v>5</v>
      </c>
      <c r="H16" s="36" t="s">
        <v>102</v>
      </c>
    </row>
    <row r="17" spans="2:8" x14ac:dyDescent="0.25">
      <c r="B17" s="17" t="s">
        <v>15</v>
      </c>
      <c r="C17" s="4" t="s">
        <v>10</v>
      </c>
      <c r="H17" s="36" t="s">
        <v>103</v>
      </c>
    </row>
    <row r="18" spans="2:8" x14ac:dyDescent="0.25">
      <c r="B18" s="17" t="s">
        <v>15</v>
      </c>
      <c r="C18" s="4" t="s">
        <v>6</v>
      </c>
      <c r="H18" s="36" t="s">
        <v>104</v>
      </c>
    </row>
    <row r="19" spans="2:8" x14ac:dyDescent="0.25">
      <c r="B19" s="17" t="s">
        <v>15</v>
      </c>
      <c r="C19" s="4" t="s">
        <v>43</v>
      </c>
      <c r="H19" s="36" t="s">
        <v>69</v>
      </c>
    </row>
    <row r="20" spans="2:8" x14ac:dyDescent="0.25">
      <c r="B20" s="17" t="s">
        <v>15</v>
      </c>
      <c r="C20" s="4" t="s">
        <v>22</v>
      </c>
      <c r="H20" s="36" t="s">
        <v>105</v>
      </c>
    </row>
    <row r="21" spans="2:8" x14ac:dyDescent="0.25">
      <c r="B21" s="17" t="s">
        <v>15</v>
      </c>
      <c r="C21" s="4" t="s">
        <v>9</v>
      </c>
      <c r="H21" s="36" t="s">
        <v>106</v>
      </c>
    </row>
    <row r="22" spans="2:8" x14ac:dyDescent="0.25">
      <c r="B22" s="17" t="s">
        <v>15</v>
      </c>
      <c r="C22" s="4" t="s">
        <v>53</v>
      </c>
      <c r="H22" s="36" t="s">
        <v>107</v>
      </c>
    </row>
    <row r="23" spans="2:8" x14ac:dyDescent="0.25">
      <c r="B23" s="17" t="s">
        <v>15</v>
      </c>
      <c r="C23" s="4" t="s">
        <v>54</v>
      </c>
      <c r="H23" s="36" t="s">
        <v>108</v>
      </c>
    </row>
    <row r="24" spans="2:8" x14ac:dyDescent="0.25">
      <c r="B24" s="17" t="s">
        <v>15</v>
      </c>
      <c r="C24" s="4" t="s">
        <v>11</v>
      </c>
      <c r="H24" s="36" t="s">
        <v>131</v>
      </c>
    </row>
    <row r="26" spans="2:8" x14ac:dyDescent="0.25">
      <c r="B26" s="16" t="s">
        <v>50</v>
      </c>
      <c r="C26" s="16"/>
    </row>
    <row r="27" spans="2:8" x14ac:dyDescent="0.25">
      <c r="B27" s="17" t="s">
        <v>15</v>
      </c>
      <c r="C27" s="18" t="s">
        <v>8</v>
      </c>
      <c r="H27" s="18" t="s">
        <v>72</v>
      </c>
    </row>
    <row r="28" spans="2:8" x14ac:dyDescent="0.25">
      <c r="B28" s="17" t="s">
        <v>15</v>
      </c>
      <c r="C28" s="4" t="s">
        <v>12</v>
      </c>
      <c r="H28" s="18" t="s">
        <v>73</v>
      </c>
    </row>
    <row r="29" spans="2:8" x14ac:dyDescent="0.25">
      <c r="B29" s="17" t="s">
        <v>15</v>
      </c>
      <c r="C29" s="4" t="s">
        <v>13</v>
      </c>
      <c r="H29" s="4" t="s">
        <v>61</v>
      </c>
    </row>
    <row r="30" spans="2:8" x14ac:dyDescent="0.25">
      <c r="B30" s="17" t="s">
        <v>15</v>
      </c>
      <c r="C30" s="4" t="s">
        <v>14</v>
      </c>
      <c r="H30" s="4" t="s">
        <v>61</v>
      </c>
    </row>
  </sheetData>
  <mergeCells count="2">
    <mergeCell ref="D3:F3"/>
    <mergeCell ref="K3:M3"/>
  </mergeCells>
  <phoneticPr fontId="0" type="noConversion"/>
  <printOptions horizontalCentered="1"/>
  <pageMargins left="0.75" right="0.51" top="1.64" bottom="0.64" header="1" footer="0.37"/>
  <pageSetup scale="94" orientation="landscape" r:id="rId1"/>
  <headerFooter alignWithMargins="0">
    <oddHeader>&amp;CPUBLIC UTILITY COMMISSION OF TEXAS
AEP TEXAS INC
Roadmap of Affiliate Class of Service
for the Test Year Ended September 30, 2023&amp;RDocket No. 56165
EXHIBIT BJF-2
Page &amp;P of &amp;N</oddHeader>
    <oddFooter>&amp;CBJF-2</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2:P33"/>
  <sheetViews>
    <sheetView tabSelected="1" zoomScaleNormal="100" workbookViewId="0">
      <selection activeCell="D5" sqref="D5"/>
    </sheetView>
  </sheetViews>
  <sheetFormatPr defaultColWidth="9.109375" defaultRowHeight="13.2" x14ac:dyDescent="0.25"/>
  <cols>
    <col min="1" max="1" width="13" style="4" customWidth="1"/>
    <col min="2" max="2" width="3.5546875" style="4" customWidth="1"/>
    <col min="3" max="3" width="4" style="4" customWidth="1"/>
    <col min="4" max="6" width="14" style="4" customWidth="1"/>
    <col min="7" max="7" width="14.88671875" style="4" customWidth="1"/>
    <col min="8" max="8" width="3" style="4" customWidth="1"/>
    <col min="9" max="9" width="9.109375" style="4"/>
    <col min="10" max="10" width="7.88671875" style="4" customWidth="1"/>
    <col min="11" max="12" width="9.109375" style="4"/>
    <col min="13" max="16" width="11.33203125" style="4" customWidth="1"/>
    <col min="17" max="16384" width="9.109375" style="4"/>
  </cols>
  <sheetData>
    <row r="2" spans="1:16" ht="13.8" thickBot="1" x14ac:dyDescent="0.3">
      <c r="J2" s="5"/>
      <c r="K2" s="5"/>
      <c r="L2" s="6"/>
      <c r="M2" s="6"/>
      <c r="O2" s="6"/>
      <c r="P2" s="6"/>
    </row>
    <row r="3" spans="1:16" s="10" customFormat="1" ht="28.5" customHeight="1" thickBot="1" x14ac:dyDescent="0.3">
      <c r="A3" s="10" t="s">
        <v>64</v>
      </c>
      <c r="B3" s="7"/>
      <c r="C3" s="8" t="s">
        <v>0</v>
      </c>
      <c r="D3" s="46" t="s">
        <v>112</v>
      </c>
      <c r="E3" s="47"/>
      <c r="F3" s="48"/>
      <c r="G3" s="9"/>
      <c r="H3" s="9"/>
      <c r="I3" s="8"/>
      <c r="J3" s="8" t="s">
        <v>3</v>
      </c>
      <c r="K3" s="45" t="s">
        <v>113</v>
      </c>
      <c r="L3" s="42"/>
      <c r="M3" s="43"/>
      <c r="O3" s="9"/>
      <c r="P3" s="9"/>
    </row>
    <row r="4" spans="1:16" x14ac:dyDescent="0.25">
      <c r="J4" s="5"/>
      <c r="K4" s="11"/>
      <c r="L4" s="5"/>
      <c r="M4" s="5"/>
      <c r="O4" s="5"/>
      <c r="P4" s="5"/>
    </row>
    <row r="5" spans="1:16" x14ac:dyDescent="0.25">
      <c r="J5" s="5"/>
      <c r="K5" s="5"/>
      <c r="L5" s="5"/>
      <c r="M5" s="5"/>
      <c r="O5" s="5"/>
      <c r="P5" s="5"/>
    </row>
    <row r="6" spans="1:16" x14ac:dyDescent="0.25">
      <c r="E6" s="2" t="s">
        <v>2</v>
      </c>
    </row>
    <row r="7" spans="1:16" x14ac:dyDescent="0.25">
      <c r="C7" s="12"/>
      <c r="D7" s="12" t="s">
        <v>57</v>
      </c>
      <c r="E7" s="13">
        <v>1044855.4000000005</v>
      </c>
    </row>
    <row r="8" spans="1:16" ht="13.8" thickBot="1" x14ac:dyDescent="0.3">
      <c r="C8" s="12"/>
      <c r="D8" s="12" t="s">
        <v>59</v>
      </c>
      <c r="E8" s="14">
        <v>24070.750000000135</v>
      </c>
    </row>
    <row r="9" spans="1:16" ht="13.8" thickBot="1" x14ac:dyDescent="0.3">
      <c r="C9" s="12"/>
      <c r="D9" s="12" t="s">
        <v>58</v>
      </c>
      <c r="E9" s="15">
        <f>SUM(E7:E8)</f>
        <v>1068926.1500000006</v>
      </c>
      <c r="F9" s="18" t="s">
        <v>83</v>
      </c>
    </row>
    <row r="12" spans="1:16" x14ac:dyDescent="0.25">
      <c r="B12" s="16" t="s">
        <v>7</v>
      </c>
      <c r="C12" s="16"/>
    </row>
    <row r="13" spans="1:16" x14ac:dyDescent="0.25">
      <c r="B13" s="17" t="s">
        <v>15</v>
      </c>
      <c r="C13" s="4" t="str">
        <f>"Testimony of "&amp;K3</f>
        <v>Testimony of Gilbert Hughes/Chad Burnett</v>
      </c>
      <c r="H13" s="36" t="s">
        <v>159</v>
      </c>
    </row>
    <row r="14" spans="1:16" x14ac:dyDescent="0.25">
      <c r="B14" s="17" t="s">
        <v>15</v>
      </c>
      <c r="C14" s="4" t="s">
        <v>75</v>
      </c>
      <c r="H14" s="36" t="s">
        <v>132</v>
      </c>
    </row>
    <row r="16" spans="1:16" x14ac:dyDescent="0.25">
      <c r="B16" s="1" t="s">
        <v>4</v>
      </c>
      <c r="C16" s="1"/>
    </row>
    <row r="17" spans="2:8" x14ac:dyDescent="0.25">
      <c r="B17" s="17" t="s">
        <v>15</v>
      </c>
      <c r="C17" s="4" t="s">
        <v>5</v>
      </c>
      <c r="H17" s="36" t="s">
        <v>102</v>
      </c>
    </row>
    <row r="18" spans="2:8" x14ac:dyDescent="0.25">
      <c r="B18" s="17" t="s">
        <v>15</v>
      </c>
      <c r="C18" s="4" t="s">
        <v>10</v>
      </c>
      <c r="H18" s="36" t="s">
        <v>103</v>
      </c>
    </row>
    <row r="19" spans="2:8" x14ac:dyDescent="0.25">
      <c r="B19" s="17" t="s">
        <v>15</v>
      </c>
      <c r="C19" s="4" t="s">
        <v>6</v>
      </c>
      <c r="H19" s="36" t="s">
        <v>104</v>
      </c>
    </row>
    <row r="20" spans="2:8" x14ac:dyDescent="0.25">
      <c r="B20" s="17" t="s">
        <v>15</v>
      </c>
      <c r="C20" s="4" t="s">
        <v>43</v>
      </c>
      <c r="H20" s="36" t="s">
        <v>69</v>
      </c>
    </row>
    <row r="21" spans="2:8" x14ac:dyDescent="0.25">
      <c r="B21" s="17" t="s">
        <v>15</v>
      </c>
      <c r="C21" s="4" t="s">
        <v>22</v>
      </c>
      <c r="H21" s="36" t="s">
        <v>105</v>
      </c>
    </row>
    <row r="22" spans="2:8" ht="13.5" customHeight="1" x14ac:dyDescent="0.25">
      <c r="B22" s="17" t="s">
        <v>15</v>
      </c>
      <c r="C22" s="4" t="s">
        <v>9</v>
      </c>
      <c r="H22" s="36" t="s">
        <v>106</v>
      </c>
    </row>
    <row r="23" spans="2:8" x14ac:dyDescent="0.25">
      <c r="B23" s="17" t="s">
        <v>15</v>
      </c>
      <c r="C23" s="4" t="s">
        <v>53</v>
      </c>
      <c r="H23" s="36" t="s">
        <v>107</v>
      </c>
    </row>
    <row r="24" spans="2:8" x14ac:dyDescent="0.25">
      <c r="B24" s="17" t="s">
        <v>15</v>
      </c>
      <c r="C24" s="4" t="s">
        <v>54</v>
      </c>
      <c r="H24" s="36" t="s">
        <v>108</v>
      </c>
    </row>
    <row r="25" spans="2:8" x14ac:dyDescent="0.25">
      <c r="B25" s="17" t="s">
        <v>15</v>
      </c>
      <c r="C25" s="4" t="s">
        <v>11</v>
      </c>
      <c r="H25" s="36" t="s">
        <v>133</v>
      </c>
    </row>
    <row r="27" spans="2:8" x14ac:dyDescent="0.25">
      <c r="B27" s="16" t="s">
        <v>50</v>
      </c>
      <c r="C27" s="16"/>
    </row>
    <row r="28" spans="2:8" x14ac:dyDescent="0.25">
      <c r="B28" s="17" t="s">
        <v>15</v>
      </c>
      <c r="C28" s="18" t="s">
        <v>8</v>
      </c>
      <c r="H28" s="18" t="s">
        <v>72</v>
      </c>
    </row>
    <row r="29" spans="2:8" x14ac:dyDescent="0.25">
      <c r="B29" s="17" t="s">
        <v>15</v>
      </c>
      <c r="C29" s="4" t="s">
        <v>12</v>
      </c>
      <c r="H29" s="18" t="s">
        <v>73</v>
      </c>
    </row>
    <row r="30" spans="2:8" x14ac:dyDescent="0.25">
      <c r="B30" s="17" t="s">
        <v>15</v>
      </c>
      <c r="C30" s="4" t="s">
        <v>13</v>
      </c>
      <c r="H30" s="4" t="s">
        <v>61</v>
      </c>
    </row>
    <row r="31" spans="2:8" x14ac:dyDescent="0.25">
      <c r="B31" s="17" t="s">
        <v>15</v>
      </c>
      <c r="C31" s="4" t="s">
        <v>14</v>
      </c>
      <c r="H31" s="4" t="s">
        <v>61</v>
      </c>
    </row>
    <row r="33" spans="1:1" x14ac:dyDescent="0.25">
      <c r="A33" s="36" t="s">
        <v>161</v>
      </c>
    </row>
  </sheetData>
  <mergeCells count="2">
    <mergeCell ref="K3:M3"/>
    <mergeCell ref="D3:F3"/>
  </mergeCells>
  <phoneticPr fontId="0" type="noConversion"/>
  <printOptions horizontalCentered="1"/>
  <pageMargins left="0.75" right="0.51" top="1.64" bottom="0.64" header="1" footer="0.37"/>
  <pageSetup scale="61" orientation="landscape" r:id="rId1"/>
  <headerFooter alignWithMargins="0">
    <oddHeader>&amp;CPUBLIC UTILITY COMMISSION OF TEXAS
AEP TEXAS INC
Roadmap of Affiliate Class of Service
for the Test Year Ended September 30, 2023&amp;RDocket No. 56165
EXHIBIT BJF-2
Page &amp;P of &amp;N</oddHeader>
    <oddFooter>&amp;CBJF-2</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2:P31"/>
  <sheetViews>
    <sheetView tabSelected="1" zoomScaleNormal="100" workbookViewId="0">
      <selection activeCell="D5" sqref="D5"/>
    </sheetView>
  </sheetViews>
  <sheetFormatPr defaultColWidth="9.109375" defaultRowHeight="13.2" x14ac:dyDescent="0.25"/>
  <cols>
    <col min="1" max="1" width="13" style="4" customWidth="1"/>
    <col min="2" max="2" width="3.5546875" style="4" customWidth="1"/>
    <col min="3" max="3" width="4" style="4" customWidth="1"/>
    <col min="4" max="4" width="14" style="4" customWidth="1"/>
    <col min="5" max="5" width="15.88671875" style="4" bestFit="1" customWidth="1"/>
    <col min="6" max="6" width="14" style="4" customWidth="1"/>
    <col min="7" max="7" width="14.88671875" style="4" customWidth="1"/>
    <col min="8" max="8" width="3" style="4" customWidth="1"/>
    <col min="9" max="9" width="9.109375" style="4"/>
    <col min="10" max="10" width="7.88671875" style="4" customWidth="1"/>
    <col min="11" max="12" width="9.109375" style="4"/>
    <col min="13" max="16" width="11.33203125" style="4" customWidth="1"/>
    <col min="17" max="16384" width="9.109375" style="4"/>
  </cols>
  <sheetData>
    <row r="2" spans="1:16" ht="13.8" thickBot="1" x14ac:dyDescent="0.3">
      <c r="J2" s="5"/>
      <c r="K2" s="5"/>
      <c r="L2" s="6"/>
      <c r="M2" s="6"/>
      <c r="O2" s="6"/>
      <c r="P2" s="6"/>
    </row>
    <row r="3" spans="1:16" s="10" customFormat="1" ht="18.600000000000001" customHeight="1" thickBot="1" x14ac:dyDescent="0.3">
      <c r="A3" s="10" t="s">
        <v>64</v>
      </c>
      <c r="B3" s="7"/>
      <c r="C3" s="8" t="s">
        <v>0</v>
      </c>
      <c r="D3" s="39" t="s">
        <v>115</v>
      </c>
      <c r="E3" s="44"/>
      <c r="F3" s="40"/>
      <c r="G3" s="9"/>
      <c r="H3" s="9"/>
      <c r="I3" s="8"/>
      <c r="J3" s="8" t="s">
        <v>3</v>
      </c>
      <c r="K3" s="45" t="s">
        <v>114</v>
      </c>
      <c r="L3" s="42"/>
      <c r="M3" s="43"/>
      <c r="O3" s="9"/>
      <c r="P3" s="9"/>
    </row>
    <row r="4" spans="1:16" x14ac:dyDescent="0.25">
      <c r="J4" s="5"/>
      <c r="K4" s="11"/>
      <c r="L4" s="5"/>
      <c r="M4" s="5"/>
      <c r="O4" s="5"/>
      <c r="P4" s="5"/>
    </row>
    <row r="5" spans="1:16" x14ac:dyDescent="0.25">
      <c r="J5" s="5"/>
      <c r="K5" s="5"/>
      <c r="L5" s="5"/>
      <c r="M5" s="5"/>
      <c r="O5" s="5"/>
      <c r="P5" s="5"/>
    </row>
    <row r="6" spans="1:16" x14ac:dyDescent="0.25">
      <c r="E6" s="2" t="s">
        <v>2</v>
      </c>
    </row>
    <row r="7" spans="1:16" x14ac:dyDescent="0.25">
      <c r="C7" s="12"/>
      <c r="D7" s="12" t="s">
        <v>57</v>
      </c>
      <c r="E7" s="13">
        <v>2858556.2400000012</v>
      </c>
    </row>
    <row r="8" spans="1:16" ht="13.8" thickBot="1" x14ac:dyDescent="0.3">
      <c r="C8" s="12"/>
      <c r="D8" s="12" t="s">
        <v>59</v>
      </c>
      <c r="E8" s="14">
        <v>-101113.37000000002</v>
      </c>
    </row>
    <row r="9" spans="1:16" ht="13.8" thickBot="1" x14ac:dyDescent="0.3">
      <c r="C9" s="12"/>
      <c r="D9" s="12" t="s">
        <v>58</v>
      </c>
      <c r="E9" s="15">
        <f>SUM(E7:E8)</f>
        <v>2757442.870000001</v>
      </c>
    </row>
    <row r="12" spans="1:16" x14ac:dyDescent="0.25">
      <c r="B12" s="16" t="s">
        <v>7</v>
      </c>
      <c r="C12" s="16"/>
    </row>
    <row r="13" spans="1:16" x14ac:dyDescent="0.25">
      <c r="B13" s="17" t="s">
        <v>15</v>
      </c>
      <c r="C13" s="4" t="str">
        <f>"Testimony of "&amp;K3</f>
        <v>Testimony of Chad Burnett</v>
      </c>
      <c r="H13" s="36" t="s">
        <v>137</v>
      </c>
    </row>
    <row r="14" spans="1:16" x14ac:dyDescent="0.25">
      <c r="B14" s="17" t="s">
        <v>15</v>
      </c>
      <c r="C14" s="18" t="s">
        <v>75</v>
      </c>
      <c r="H14" s="36" t="s">
        <v>134</v>
      </c>
    </row>
    <row r="16" spans="1:16" x14ac:dyDescent="0.25">
      <c r="B16" s="1" t="s">
        <v>4</v>
      </c>
      <c r="C16" s="1"/>
    </row>
    <row r="17" spans="2:8" x14ac:dyDescent="0.25">
      <c r="B17" s="17" t="s">
        <v>15</v>
      </c>
      <c r="C17" s="4" t="s">
        <v>5</v>
      </c>
      <c r="H17" s="36" t="s">
        <v>102</v>
      </c>
    </row>
    <row r="18" spans="2:8" x14ac:dyDescent="0.25">
      <c r="B18" s="17" t="s">
        <v>15</v>
      </c>
      <c r="C18" s="4" t="s">
        <v>10</v>
      </c>
      <c r="H18" s="36" t="s">
        <v>103</v>
      </c>
    </row>
    <row r="19" spans="2:8" x14ac:dyDescent="0.25">
      <c r="B19" s="17" t="s">
        <v>15</v>
      </c>
      <c r="C19" s="4" t="s">
        <v>6</v>
      </c>
      <c r="H19" s="36" t="s">
        <v>104</v>
      </c>
    </row>
    <row r="20" spans="2:8" x14ac:dyDescent="0.25">
      <c r="B20" s="17" t="s">
        <v>15</v>
      </c>
      <c r="C20" s="4" t="s">
        <v>43</v>
      </c>
      <c r="H20" s="36" t="s">
        <v>69</v>
      </c>
    </row>
    <row r="21" spans="2:8" x14ac:dyDescent="0.25">
      <c r="B21" s="17" t="s">
        <v>15</v>
      </c>
      <c r="C21" s="4" t="s">
        <v>22</v>
      </c>
      <c r="H21" s="36" t="s">
        <v>105</v>
      </c>
    </row>
    <row r="22" spans="2:8" x14ac:dyDescent="0.25">
      <c r="B22" s="17" t="s">
        <v>15</v>
      </c>
      <c r="C22" s="4" t="s">
        <v>9</v>
      </c>
      <c r="H22" s="36" t="s">
        <v>106</v>
      </c>
    </row>
    <row r="23" spans="2:8" x14ac:dyDescent="0.25">
      <c r="B23" s="17" t="s">
        <v>15</v>
      </c>
      <c r="C23" s="4" t="s">
        <v>53</v>
      </c>
      <c r="H23" s="36" t="s">
        <v>107</v>
      </c>
    </row>
    <row r="24" spans="2:8" x14ac:dyDescent="0.25">
      <c r="B24" s="17" t="s">
        <v>15</v>
      </c>
      <c r="C24" s="4" t="s">
        <v>54</v>
      </c>
      <c r="H24" s="36" t="s">
        <v>108</v>
      </c>
    </row>
    <row r="25" spans="2:8" x14ac:dyDescent="0.25">
      <c r="B25" s="17" t="s">
        <v>15</v>
      </c>
      <c r="C25" s="4" t="s">
        <v>11</v>
      </c>
      <c r="H25" s="36" t="s">
        <v>135</v>
      </c>
    </row>
    <row r="27" spans="2:8" x14ac:dyDescent="0.25">
      <c r="B27" s="16" t="s">
        <v>50</v>
      </c>
      <c r="C27" s="16"/>
    </row>
    <row r="28" spans="2:8" x14ac:dyDescent="0.25">
      <c r="B28" s="17" t="s">
        <v>15</v>
      </c>
      <c r="C28" s="18" t="s">
        <v>8</v>
      </c>
      <c r="H28" s="18" t="s">
        <v>72</v>
      </c>
    </row>
    <row r="29" spans="2:8" x14ac:dyDescent="0.25">
      <c r="B29" s="17" t="s">
        <v>15</v>
      </c>
      <c r="C29" s="4" t="s">
        <v>12</v>
      </c>
      <c r="H29" s="18" t="s">
        <v>73</v>
      </c>
    </row>
    <row r="30" spans="2:8" x14ac:dyDescent="0.25">
      <c r="B30" s="17" t="s">
        <v>15</v>
      </c>
      <c r="C30" s="4" t="s">
        <v>13</v>
      </c>
      <c r="H30" s="4" t="s">
        <v>61</v>
      </c>
    </row>
    <row r="31" spans="2:8" x14ac:dyDescent="0.25">
      <c r="B31" s="17" t="s">
        <v>15</v>
      </c>
      <c r="C31" s="4" t="s">
        <v>14</v>
      </c>
      <c r="H31" s="4" t="s">
        <v>61</v>
      </c>
    </row>
  </sheetData>
  <mergeCells count="2">
    <mergeCell ref="K3:M3"/>
    <mergeCell ref="D3:F3"/>
  </mergeCells>
  <phoneticPr fontId="0" type="noConversion"/>
  <printOptions horizontalCentered="1"/>
  <pageMargins left="0.75" right="0.51" top="1.64" bottom="0.64" header="1" footer="0.37"/>
  <pageSetup scale="96" orientation="landscape" r:id="rId1"/>
  <headerFooter alignWithMargins="0">
    <oddHeader>&amp;CPUBLIC UTILITY COMMISSION OF TEXAS
AEP TEXAS INC
Roadmap of Affiliate Class of Service
for the Test Year Ended September 30, 2023&amp;RDocket No. 56165
EXHIBIT BJF-2
Page &amp;P of &amp;N</oddHeader>
    <oddFooter>&amp;CBJF-2</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2:P31"/>
  <sheetViews>
    <sheetView tabSelected="1" zoomScaleNormal="100" workbookViewId="0">
      <selection activeCell="D5" sqref="D5"/>
    </sheetView>
  </sheetViews>
  <sheetFormatPr defaultColWidth="9.109375" defaultRowHeight="13.2" x14ac:dyDescent="0.25"/>
  <cols>
    <col min="1" max="1" width="13" style="4" customWidth="1"/>
    <col min="2" max="2" width="3.5546875" style="4" customWidth="1"/>
    <col min="3" max="3" width="4" style="4" customWidth="1"/>
    <col min="4" max="6" width="14" style="4" customWidth="1"/>
    <col min="7" max="7" width="14.88671875" style="4" customWidth="1"/>
    <col min="8" max="8" width="3" style="4" customWidth="1"/>
    <col min="9" max="9" width="9.109375" style="4"/>
    <col min="10" max="10" width="7.88671875" style="4" customWidth="1"/>
    <col min="11" max="12" width="9.109375" style="4"/>
    <col min="13" max="16" width="11.33203125" style="4" customWidth="1"/>
    <col min="17" max="16384" width="9.109375" style="4"/>
  </cols>
  <sheetData>
    <row r="2" spans="1:16" ht="13.8" thickBot="1" x14ac:dyDescent="0.3">
      <c r="J2" s="5"/>
      <c r="K2" s="5"/>
      <c r="L2" s="6"/>
      <c r="M2" s="6"/>
      <c r="O2" s="6"/>
      <c r="P2" s="6"/>
    </row>
    <row r="3" spans="1:16" s="10" customFormat="1" ht="18.600000000000001" customHeight="1" thickBot="1" x14ac:dyDescent="0.3">
      <c r="A3" s="10" t="s">
        <v>64</v>
      </c>
      <c r="B3" s="7"/>
      <c r="C3" s="8" t="s">
        <v>0</v>
      </c>
      <c r="D3" s="39" t="s">
        <v>80</v>
      </c>
      <c r="E3" s="44"/>
      <c r="F3" s="40"/>
      <c r="G3" s="9"/>
      <c r="H3" s="9"/>
      <c r="I3" s="8"/>
      <c r="J3" s="8" t="s">
        <v>3</v>
      </c>
      <c r="K3" s="45" t="s">
        <v>111</v>
      </c>
      <c r="L3" s="42"/>
      <c r="M3" s="43"/>
      <c r="O3" s="9"/>
      <c r="P3" s="9"/>
    </row>
    <row r="4" spans="1:16" x14ac:dyDescent="0.25">
      <c r="J4" s="5"/>
      <c r="K4" s="11"/>
      <c r="L4" s="5"/>
      <c r="M4" s="5"/>
      <c r="O4" s="5"/>
      <c r="P4" s="5"/>
    </row>
    <row r="5" spans="1:16" x14ac:dyDescent="0.25">
      <c r="J5" s="5"/>
      <c r="K5" s="5"/>
      <c r="L5" s="5"/>
      <c r="M5" s="5"/>
      <c r="O5" s="5"/>
      <c r="P5" s="5"/>
    </row>
    <row r="6" spans="1:16" x14ac:dyDescent="0.25">
      <c r="E6" s="2" t="s">
        <v>2</v>
      </c>
      <c r="G6" s="12"/>
    </row>
    <row r="7" spans="1:16" x14ac:dyDescent="0.25">
      <c r="C7" s="12"/>
      <c r="D7" s="12" t="s">
        <v>57</v>
      </c>
      <c r="E7" s="27">
        <v>1471775.8600000015</v>
      </c>
      <c r="G7" s="12"/>
    </row>
    <row r="8" spans="1:16" ht="13.8" thickBot="1" x14ac:dyDescent="0.3">
      <c r="C8" s="12"/>
      <c r="D8" s="12" t="s">
        <v>59</v>
      </c>
      <c r="E8" s="28">
        <v>-9108.4399999999987</v>
      </c>
      <c r="G8" s="12"/>
    </row>
    <row r="9" spans="1:16" ht="13.8" thickBot="1" x14ac:dyDescent="0.3">
      <c r="C9" s="12"/>
      <c r="D9" s="12" t="s">
        <v>58</v>
      </c>
      <c r="E9" s="15">
        <f>SUM(E7:E8)</f>
        <v>1462667.4200000016</v>
      </c>
      <c r="G9" s="12"/>
    </row>
    <row r="12" spans="1:16" x14ac:dyDescent="0.25">
      <c r="B12" s="16" t="s">
        <v>7</v>
      </c>
      <c r="C12" s="16"/>
    </row>
    <row r="13" spans="1:16" x14ac:dyDescent="0.25">
      <c r="B13" s="17" t="s">
        <v>15</v>
      </c>
      <c r="C13" s="4" t="str">
        <f>"Testimony of "&amp;K3</f>
        <v>Testimony of Shawn Robinson</v>
      </c>
      <c r="H13" s="36" t="s">
        <v>127</v>
      </c>
    </row>
    <row r="14" spans="1:16" x14ac:dyDescent="0.25">
      <c r="B14" s="17" t="s">
        <v>15</v>
      </c>
      <c r="C14" s="18" t="s">
        <v>75</v>
      </c>
      <c r="H14" s="36" t="s">
        <v>136</v>
      </c>
    </row>
    <row r="16" spans="1:16" x14ac:dyDescent="0.25">
      <c r="B16" s="1" t="s">
        <v>4</v>
      </c>
      <c r="C16" s="1"/>
    </row>
    <row r="17" spans="2:8" x14ac:dyDescent="0.25">
      <c r="B17" s="17" t="s">
        <v>15</v>
      </c>
      <c r="C17" s="4" t="s">
        <v>5</v>
      </c>
      <c r="H17" s="36" t="s">
        <v>102</v>
      </c>
    </row>
    <row r="18" spans="2:8" x14ac:dyDescent="0.25">
      <c r="B18" s="17" t="s">
        <v>15</v>
      </c>
      <c r="C18" s="4" t="s">
        <v>10</v>
      </c>
      <c r="H18" s="36" t="s">
        <v>103</v>
      </c>
    </row>
    <row r="19" spans="2:8" x14ac:dyDescent="0.25">
      <c r="B19" s="17" t="s">
        <v>15</v>
      </c>
      <c r="C19" s="4" t="s">
        <v>6</v>
      </c>
      <c r="H19" s="36" t="s">
        <v>104</v>
      </c>
    </row>
    <row r="20" spans="2:8" x14ac:dyDescent="0.25">
      <c r="B20" s="17" t="s">
        <v>15</v>
      </c>
      <c r="C20" s="4" t="s">
        <v>43</v>
      </c>
      <c r="H20" s="36" t="s">
        <v>69</v>
      </c>
    </row>
    <row r="21" spans="2:8" x14ac:dyDescent="0.25">
      <c r="B21" s="17" t="s">
        <v>15</v>
      </c>
      <c r="C21" s="4" t="s">
        <v>22</v>
      </c>
      <c r="H21" s="36" t="s">
        <v>105</v>
      </c>
    </row>
    <row r="22" spans="2:8" x14ac:dyDescent="0.25">
      <c r="B22" s="17" t="s">
        <v>15</v>
      </c>
      <c r="C22" s="4" t="s">
        <v>9</v>
      </c>
      <c r="H22" s="36" t="s">
        <v>106</v>
      </c>
    </row>
    <row r="23" spans="2:8" x14ac:dyDescent="0.25">
      <c r="B23" s="17" t="s">
        <v>15</v>
      </c>
      <c r="C23" s="4" t="s">
        <v>53</v>
      </c>
      <c r="H23" s="36" t="s">
        <v>107</v>
      </c>
    </row>
    <row r="24" spans="2:8" x14ac:dyDescent="0.25">
      <c r="B24" s="17" t="s">
        <v>15</v>
      </c>
      <c r="C24" s="4" t="s">
        <v>54</v>
      </c>
      <c r="H24" s="36" t="s">
        <v>108</v>
      </c>
    </row>
    <row r="25" spans="2:8" x14ac:dyDescent="0.25">
      <c r="B25" s="17" t="s">
        <v>15</v>
      </c>
      <c r="C25" s="4" t="s">
        <v>11</v>
      </c>
      <c r="H25" s="36" t="s">
        <v>131</v>
      </c>
    </row>
    <row r="27" spans="2:8" x14ac:dyDescent="0.25">
      <c r="B27" s="16" t="s">
        <v>50</v>
      </c>
      <c r="C27" s="16"/>
    </row>
    <row r="28" spans="2:8" x14ac:dyDescent="0.25">
      <c r="B28" s="17" t="s">
        <v>15</v>
      </c>
      <c r="C28" s="18" t="s">
        <v>8</v>
      </c>
      <c r="H28" s="18" t="s">
        <v>72</v>
      </c>
    </row>
    <row r="29" spans="2:8" x14ac:dyDescent="0.25">
      <c r="B29" s="17" t="s">
        <v>15</v>
      </c>
      <c r="C29" s="4" t="s">
        <v>12</v>
      </c>
      <c r="H29" s="18" t="s">
        <v>73</v>
      </c>
    </row>
    <row r="30" spans="2:8" x14ac:dyDescent="0.25">
      <c r="B30" s="17" t="s">
        <v>15</v>
      </c>
      <c r="C30" s="4" t="s">
        <v>13</v>
      </c>
      <c r="H30" s="4" t="s">
        <v>61</v>
      </c>
    </row>
    <row r="31" spans="2:8" x14ac:dyDescent="0.25">
      <c r="B31" s="17" t="s">
        <v>15</v>
      </c>
      <c r="C31" s="4" t="s">
        <v>14</v>
      </c>
      <c r="H31" s="4" t="s">
        <v>61</v>
      </c>
    </row>
  </sheetData>
  <mergeCells count="2">
    <mergeCell ref="D3:F3"/>
    <mergeCell ref="K3:M3"/>
  </mergeCells>
  <printOptions horizontalCentered="1"/>
  <pageMargins left="0.75" right="0.51" top="1.64" bottom="0.64" header="1" footer="0.37"/>
  <pageSetup scale="97" orientation="landscape" r:id="rId1"/>
  <headerFooter alignWithMargins="0">
    <oddHeader>&amp;CPUBLIC UTILITY COMMISSION OF TEXAS
AEP TEXAS INC
Roadmap of Affiliate Class of Service
for the Test Year Ended September 30, 2023&amp;RDocket No. 56165
EXHIBIT BJF-2
Page &amp;P of &amp;N</oddHeader>
    <oddFooter>&amp;CBJF-2</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2:P31"/>
  <sheetViews>
    <sheetView tabSelected="1" zoomScaleNormal="100" workbookViewId="0">
      <selection activeCell="D5" sqref="D5"/>
    </sheetView>
  </sheetViews>
  <sheetFormatPr defaultColWidth="9.109375" defaultRowHeight="13.2" x14ac:dyDescent="0.25"/>
  <cols>
    <col min="1" max="1" width="13" style="4" customWidth="1"/>
    <col min="2" max="2" width="3.5546875" style="4" customWidth="1"/>
    <col min="3" max="3" width="4" style="4" customWidth="1"/>
    <col min="4" max="4" width="14" style="4" customWidth="1"/>
    <col min="5" max="5" width="17.5546875" style="4" bestFit="1" customWidth="1"/>
    <col min="6" max="6" width="14" style="4" customWidth="1"/>
    <col min="7" max="7" width="14.88671875" style="4" customWidth="1"/>
    <col min="8" max="8" width="3" style="4" customWidth="1"/>
    <col min="9" max="9" width="9.109375" style="4"/>
    <col min="10" max="10" width="7.88671875" style="4" customWidth="1"/>
    <col min="11" max="12" width="9.109375" style="4"/>
    <col min="13" max="16" width="11.33203125" style="4" customWidth="1"/>
    <col min="17" max="16384" width="9.109375" style="4"/>
  </cols>
  <sheetData>
    <row r="2" spans="1:16" ht="13.8" thickBot="1" x14ac:dyDescent="0.3">
      <c r="J2" s="5"/>
      <c r="K2" s="5"/>
      <c r="L2" s="6"/>
      <c r="M2" s="6"/>
      <c r="O2" s="6"/>
      <c r="P2" s="6"/>
    </row>
    <row r="3" spans="1:16" s="10" customFormat="1" ht="18" customHeight="1" thickBot="1" x14ac:dyDescent="0.3">
      <c r="A3" s="10" t="s">
        <v>64</v>
      </c>
      <c r="B3" s="7"/>
      <c r="C3" s="8" t="s">
        <v>0</v>
      </c>
      <c r="D3" s="49" t="s">
        <v>46</v>
      </c>
      <c r="E3" s="50"/>
      <c r="F3" s="51"/>
      <c r="G3" s="9"/>
      <c r="H3" s="9"/>
      <c r="I3" s="8"/>
      <c r="J3" s="8" t="s">
        <v>3</v>
      </c>
      <c r="K3" s="45" t="s">
        <v>116</v>
      </c>
      <c r="L3" s="42"/>
      <c r="M3" s="43"/>
      <c r="O3" s="9"/>
      <c r="P3" s="9"/>
    </row>
    <row r="4" spans="1:16" x14ac:dyDescent="0.25">
      <c r="J4" s="5"/>
      <c r="K4" s="11"/>
      <c r="L4" s="5"/>
      <c r="M4" s="5"/>
      <c r="O4" s="5"/>
      <c r="P4" s="5"/>
    </row>
    <row r="5" spans="1:16" x14ac:dyDescent="0.25">
      <c r="J5" s="5"/>
      <c r="K5" s="5"/>
      <c r="L5" s="5"/>
      <c r="M5" s="5"/>
      <c r="O5" s="5"/>
      <c r="P5" s="5"/>
    </row>
    <row r="6" spans="1:16" x14ac:dyDescent="0.25">
      <c r="E6" s="2" t="s">
        <v>2</v>
      </c>
    </row>
    <row r="7" spans="1:16" x14ac:dyDescent="0.25">
      <c r="C7" s="12"/>
      <c r="D7" s="12" t="s">
        <v>57</v>
      </c>
      <c r="E7" s="13">
        <v>18640513.169999976</v>
      </c>
    </row>
    <row r="8" spans="1:16" ht="13.8" thickBot="1" x14ac:dyDescent="0.3">
      <c r="C8" s="12"/>
      <c r="D8" s="12" t="s">
        <v>59</v>
      </c>
      <c r="E8" s="14">
        <v>-95912.939999999988</v>
      </c>
    </row>
    <row r="9" spans="1:16" ht="13.8" thickBot="1" x14ac:dyDescent="0.3">
      <c r="C9" s="12"/>
      <c r="D9" s="12" t="s">
        <v>58</v>
      </c>
      <c r="E9" s="15">
        <f>SUM(E7:E8)</f>
        <v>18544600.229999974</v>
      </c>
    </row>
    <row r="12" spans="1:16" x14ac:dyDescent="0.25">
      <c r="B12" s="16" t="s">
        <v>7</v>
      </c>
      <c r="C12" s="16"/>
    </row>
    <row r="13" spans="1:16" x14ac:dyDescent="0.25">
      <c r="B13" s="17" t="s">
        <v>15</v>
      </c>
      <c r="C13" s="4" t="str">
        <f>"Testimony of "&amp;K3</f>
        <v>Testimony of Joe Brenner</v>
      </c>
      <c r="H13" s="36" t="s">
        <v>137</v>
      </c>
    </row>
    <row r="14" spans="1:16" x14ac:dyDescent="0.25">
      <c r="B14" s="17" t="s">
        <v>15</v>
      </c>
      <c r="C14" s="18" t="s">
        <v>75</v>
      </c>
      <c r="H14" s="36" t="s">
        <v>138</v>
      </c>
    </row>
    <row r="16" spans="1:16" x14ac:dyDescent="0.25">
      <c r="B16" s="1" t="s">
        <v>4</v>
      </c>
      <c r="C16" s="1"/>
    </row>
    <row r="17" spans="2:8" x14ac:dyDescent="0.25">
      <c r="B17" s="17" t="s">
        <v>15</v>
      </c>
      <c r="C17" s="4" t="s">
        <v>5</v>
      </c>
      <c r="H17" s="36" t="s">
        <v>102</v>
      </c>
    </row>
    <row r="18" spans="2:8" x14ac:dyDescent="0.25">
      <c r="B18" s="17" t="s">
        <v>15</v>
      </c>
      <c r="C18" s="4" t="s">
        <v>10</v>
      </c>
      <c r="H18" s="36" t="s">
        <v>103</v>
      </c>
    </row>
    <row r="19" spans="2:8" x14ac:dyDescent="0.25">
      <c r="B19" s="17" t="s">
        <v>15</v>
      </c>
      <c r="C19" s="4" t="s">
        <v>6</v>
      </c>
      <c r="H19" s="36" t="s">
        <v>104</v>
      </c>
    </row>
    <row r="20" spans="2:8" x14ac:dyDescent="0.25">
      <c r="B20" s="17" t="s">
        <v>15</v>
      </c>
      <c r="C20" s="4" t="s">
        <v>43</v>
      </c>
      <c r="H20" s="36" t="s">
        <v>69</v>
      </c>
    </row>
    <row r="21" spans="2:8" x14ac:dyDescent="0.25">
      <c r="B21" s="17" t="s">
        <v>15</v>
      </c>
      <c r="C21" s="4" t="s">
        <v>22</v>
      </c>
      <c r="H21" s="36" t="s">
        <v>105</v>
      </c>
    </row>
    <row r="22" spans="2:8" x14ac:dyDescent="0.25">
      <c r="B22" s="17" t="s">
        <v>15</v>
      </c>
      <c r="C22" s="4" t="s">
        <v>9</v>
      </c>
      <c r="H22" s="36" t="s">
        <v>106</v>
      </c>
    </row>
    <row r="23" spans="2:8" x14ac:dyDescent="0.25">
      <c r="B23" s="17" t="s">
        <v>15</v>
      </c>
      <c r="C23" s="4" t="s">
        <v>53</v>
      </c>
      <c r="H23" s="36" t="s">
        <v>107</v>
      </c>
    </row>
    <row r="24" spans="2:8" x14ac:dyDescent="0.25">
      <c r="B24" s="17" t="s">
        <v>15</v>
      </c>
      <c r="C24" s="4" t="s">
        <v>54</v>
      </c>
      <c r="H24" s="36" t="s">
        <v>108</v>
      </c>
    </row>
    <row r="25" spans="2:8" x14ac:dyDescent="0.25">
      <c r="B25" s="17" t="s">
        <v>15</v>
      </c>
      <c r="C25" s="4" t="s">
        <v>11</v>
      </c>
      <c r="H25" s="36" t="s">
        <v>139</v>
      </c>
    </row>
    <row r="27" spans="2:8" x14ac:dyDescent="0.25">
      <c r="B27" s="16" t="s">
        <v>50</v>
      </c>
      <c r="C27" s="16"/>
    </row>
    <row r="28" spans="2:8" x14ac:dyDescent="0.25">
      <c r="B28" s="17" t="s">
        <v>15</v>
      </c>
      <c r="C28" s="18" t="s">
        <v>8</v>
      </c>
      <c r="H28" s="18" t="s">
        <v>72</v>
      </c>
    </row>
    <row r="29" spans="2:8" x14ac:dyDescent="0.25">
      <c r="B29" s="17" t="s">
        <v>15</v>
      </c>
      <c r="C29" s="4" t="s">
        <v>12</v>
      </c>
      <c r="H29" s="18" t="s">
        <v>73</v>
      </c>
    </row>
    <row r="30" spans="2:8" x14ac:dyDescent="0.25">
      <c r="B30" s="17" t="s">
        <v>15</v>
      </c>
      <c r="C30" s="4" t="s">
        <v>13</v>
      </c>
      <c r="H30" s="4" t="s">
        <v>61</v>
      </c>
    </row>
    <row r="31" spans="2:8" x14ac:dyDescent="0.25">
      <c r="B31" s="17" t="s">
        <v>15</v>
      </c>
      <c r="C31" s="4" t="s">
        <v>14</v>
      </c>
      <c r="H31" s="4" t="s">
        <v>61</v>
      </c>
    </row>
  </sheetData>
  <mergeCells count="2">
    <mergeCell ref="K3:M3"/>
    <mergeCell ref="D3:F3"/>
  </mergeCells>
  <phoneticPr fontId="0" type="noConversion"/>
  <printOptions horizontalCentered="1"/>
  <pageMargins left="0.75" right="0.51" top="1.64" bottom="0.64" header="1" footer="0.37"/>
  <pageSetup scale="96" orientation="landscape" r:id="rId1"/>
  <headerFooter alignWithMargins="0">
    <oddHeader>&amp;CPUBLIC UTILITY COMMISSION OF TEXAS
AEP TEXAS INC
Roadmap of Affiliate Class of Service
for the Test Year Ended September 30, 2023&amp;RDocket No. 56165
EXHIBIT BJF-2
Page &amp;P of &amp;N</oddHeader>
    <oddFooter>&amp;CBJF-2</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4">
    <pageSetUpPr fitToPage="1"/>
  </sheetPr>
  <dimension ref="A2:P31"/>
  <sheetViews>
    <sheetView tabSelected="1" zoomScaleNormal="100" workbookViewId="0">
      <selection activeCell="D5" sqref="D5"/>
    </sheetView>
  </sheetViews>
  <sheetFormatPr defaultColWidth="9.109375" defaultRowHeight="13.2" x14ac:dyDescent="0.25"/>
  <cols>
    <col min="1" max="1" width="13" style="4" customWidth="1"/>
    <col min="2" max="2" width="3.5546875" style="4" customWidth="1"/>
    <col min="3" max="3" width="4" style="4" customWidth="1"/>
    <col min="4" max="4" width="14" style="4" customWidth="1"/>
    <col min="5" max="5" width="17.5546875" style="4" bestFit="1" customWidth="1"/>
    <col min="6" max="6" width="14" style="4" customWidth="1"/>
    <col min="7" max="7" width="14.88671875" style="4" customWidth="1"/>
    <col min="8" max="8" width="3" style="4" customWidth="1"/>
    <col min="9" max="9" width="9.109375" style="4"/>
    <col min="10" max="10" width="7.88671875" style="4" customWidth="1"/>
    <col min="11" max="12" width="9.109375" style="4"/>
    <col min="13" max="16" width="11.33203125" style="4" customWidth="1"/>
    <col min="17" max="16384" width="9.109375" style="4"/>
  </cols>
  <sheetData>
    <row r="2" spans="1:16" ht="13.8" thickBot="1" x14ac:dyDescent="0.3">
      <c r="J2" s="5"/>
      <c r="K2" s="5"/>
      <c r="L2" s="6"/>
      <c r="M2" s="6"/>
      <c r="O2" s="6"/>
      <c r="P2" s="6"/>
    </row>
    <row r="3" spans="1:16" s="10" customFormat="1" ht="18" customHeight="1" thickBot="1" x14ac:dyDescent="0.3">
      <c r="A3" s="10" t="s">
        <v>64</v>
      </c>
      <c r="B3" s="7"/>
      <c r="C3" s="8" t="s">
        <v>0</v>
      </c>
      <c r="D3" s="49" t="s">
        <v>90</v>
      </c>
      <c r="E3" s="50"/>
      <c r="F3" s="51"/>
      <c r="G3" s="9"/>
      <c r="H3" s="9"/>
      <c r="I3" s="8"/>
      <c r="J3" s="8" t="s">
        <v>3</v>
      </c>
      <c r="K3" s="45" t="s">
        <v>111</v>
      </c>
      <c r="L3" s="42"/>
      <c r="M3" s="43"/>
      <c r="O3" s="9"/>
      <c r="P3" s="9"/>
    </row>
    <row r="4" spans="1:16" x14ac:dyDescent="0.25">
      <c r="J4" s="5"/>
      <c r="K4" s="11"/>
      <c r="L4" s="5"/>
      <c r="M4" s="5"/>
      <c r="O4" s="5"/>
      <c r="P4" s="5"/>
    </row>
    <row r="5" spans="1:16" x14ac:dyDescent="0.25">
      <c r="J5" s="5"/>
      <c r="K5" s="5"/>
      <c r="L5" s="5"/>
      <c r="M5" s="5"/>
      <c r="O5" s="5"/>
      <c r="P5" s="5"/>
    </row>
    <row r="6" spans="1:16" x14ac:dyDescent="0.25">
      <c r="E6" s="2" t="s">
        <v>2</v>
      </c>
    </row>
    <row r="7" spans="1:16" x14ac:dyDescent="0.25">
      <c r="C7" s="12"/>
      <c r="D7" s="12" t="s">
        <v>57</v>
      </c>
      <c r="E7" s="13">
        <v>985833.98000000021</v>
      </c>
    </row>
    <row r="8" spans="1:16" ht="13.8" thickBot="1" x14ac:dyDescent="0.3">
      <c r="C8" s="12"/>
      <c r="D8" s="12" t="s">
        <v>59</v>
      </c>
      <c r="E8" s="14">
        <v>337.51000000000005</v>
      </c>
    </row>
    <row r="9" spans="1:16" ht="13.8" thickBot="1" x14ac:dyDescent="0.3">
      <c r="C9" s="12"/>
      <c r="D9" s="12" t="s">
        <v>58</v>
      </c>
      <c r="E9" s="15">
        <f>SUM(E7:E8)</f>
        <v>986171.49000000022</v>
      </c>
    </row>
    <row r="12" spans="1:16" x14ac:dyDescent="0.25">
      <c r="B12" s="16" t="s">
        <v>7</v>
      </c>
      <c r="C12" s="16"/>
    </row>
    <row r="13" spans="1:16" x14ac:dyDescent="0.25">
      <c r="B13" s="17" t="s">
        <v>15</v>
      </c>
      <c r="C13" s="4" t="str">
        <f>"Testimony of "&amp;K3</f>
        <v>Testimony of Shawn Robinson</v>
      </c>
      <c r="H13" s="36" t="s">
        <v>127</v>
      </c>
    </row>
    <row r="14" spans="1:16" x14ac:dyDescent="0.25">
      <c r="B14" s="17" t="s">
        <v>15</v>
      </c>
      <c r="C14" s="18" t="s">
        <v>75</v>
      </c>
      <c r="H14" s="36" t="s">
        <v>140</v>
      </c>
    </row>
    <row r="16" spans="1:16" x14ac:dyDescent="0.25">
      <c r="B16" s="1" t="s">
        <v>4</v>
      </c>
      <c r="C16" s="1"/>
    </row>
    <row r="17" spans="2:8" x14ac:dyDescent="0.25">
      <c r="B17" s="17" t="s">
        <v>15</v>
      </c>
      <c r="C17" s="4" t="s">
        <v>5</v>
      </c>
      <c r="H17" s="36" t="s">
        <v>102</v>
      </c>
    </row>
    <row r="18" spans="2:8" x14ac:dyDescent="0.25">
      <c r="B18" s="17" t="s">
        <v>15</v>
      </c>
      <c r="C18" s="4" t="s">
        <v>10</v>
      </c>
      <c r="H18" s="36" t="s">
        <v>103</v>
      </c>
    </row>
    <row r="19" spans="2:8" x14ac:dyDescent="0.25">
      <c r="B19" s="17" t="s">
        <v>15</v>
      </c>
      <c r="C19" s="4" t="s">
        <v>6</v>
      </c>
      <c r="H19" s="36" t="s">
        <v>104</v>
      </c>
    </row>
    <row r="20" spans="2:8" x14ac:dyDescent="0.25">
      <c r="B20" s="17" t="s">
        <v>15</v>
      </c>
      <c r="C20" s="4" t="s">
        <v>43</v>
      </c>
      <c r="H20" s="36" t="s">
        <v>69</v>
      </c>
    </row>
    <row r="21" spans="2:8" x14ac:dyDescent="0.25">
      <c r="B21" s="17" t="s">
        <v>15</v>
      </c>
      <c r="C21" s="4" t="s">
        <v>22</v>
      </c>
      <c r="H21" s="36" t="s">
        <v>105</v>
      </c>
    </row>
    <row r="22" spans="2:8" x14ac:dyDescent="0.25">
      <c r="B22" s="17" t="s">
        <v>15</v>
      </c>
      <c r="C22" s="4" t="s">
        <v>9</v>
      </c>
      <c r="H22" s="36" t="s">
        <v>106</v>
      </c>
    </row>
    <row r="23" spans="2:8" x14ac:dyDescent="0.25">
      <c r="B23" s="17" t="s">
        <v>15</v>
      </c>
      <c r="C23" s="4" t="s">
        <v>53</v>
      </c>
      <c r="H23" s="36" t="s">
        <v>107</v>
      </c>
    </row>
    <row r="24" spans="2:8" x14ac:dyDescent="0.25">
      <c r="B24" s="17" t="s">
        <v>15</v>
      </c>
      <c r="C24" s="4" t="s">
        <v>54</v>
      </c>
      <c r="H24" s="36" t="s">
        <v>108</v>
      </c>
    </row>
    <row r="25" spans="2:8" x14ac:dyDescent="0.25">
      <c r="B25" s="17" t="s">
        <v>15</v>
      </c>
      <c r="C25" s="4" t="s">
        <v>11</v>
      </c>
      <c r="H25" s="36" t="s">
        <v>131</v>
      </c>
    </row>
    <row r="27" spans="2:8" x14ac:dyDescent="0.25">
      <c r="B27" s="16" t="s">
        <v>50</v>
      </c>
      <c r="C27" s="16"/>
    </row>
    <row r="28" spans="2:8" x14ac:dyDescent="0.25">
      <c r="B28" s="17" t="s">
        <v>15</v>
      </c>
      <c r="C28" s="18" t="s">
        <v>8</v>
      </c>
      <c r="H28" s="18" t="s">
        <v>72</v>
      </c>
    </row>
    <row r="29" spans="2:8" x14ac:dyDescent="0.25">
      <c r="B29" s="17" t="s">
        <v>15</v>
      </c>
      <c r="C29" s="4" t="s">
        <v>12</v>
      </c>
      <c r="H29" s="18" t="s">
        <v>73</v>
      </c>
    </row>
    <row r="30" spans="2:8" x14ac:dyDescent="0.25">
      <c r="B30" s="17" t="s">
        <v>15</v>
      </c>
      <c r="C30" s="4" t="s">
        <v>13</v>
      </c>
      <c r="H30" s="4" t="s">
        <v>61</v>
      </c>
    </row>
    <row r="31" spans="2:8" x14ac:dyDescent="0.25">
      <c r="B31" s="17" t="s">
        <v>15</v>
      </c>
      <c r="C31" s="4" t="s">
        <v>14</v>
      </c>
      <c r="H31" s="4" t="s">
        <v>61</v>
      </c>
    </row>
  </sheetData>
  <mergeCells count="2">
    <mergeCell ref="D3:F3"/>
    <mergeCell ref="K3:M3"/>
  </mergeCells>
  <printOptions horizontalCentered="1"/>
  <pageMargins left="0.75" right="0.51" top="1.64" bottom="0.64" header="1" footer="0.37"/>
  <pageSetup scale="96" orientation="landscape" r:id="rId1"/>
  <headerFooter alignWithMargins="0">
    <oddHeader>&amp;CPUBLIC UTILITY COMMISSION OF TEXAS
AEP TEXAS INC
Roadmap of Affiliate Class of Service
for the Test Year Ended September 30, 2023&amp;RDocket No. 56165
EXHIBIT BJF-2
Page &amp;P of &amp;N</oddHeader>
    <oddFooter>&amp;CBJF-2</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31"/>
  <sheetViews>
    <sheetView tabSelected="1" zoomScaleNormal="100" workbookViewId="0">
      <selection activeCell="D5" sqref="D5"/>
    </sheetView>
  </sheetViews>
  <sheetFormatPr defaultColWidth="9.109375" defaultRowHeight="13.2" x14ac:dyDescent="0.25"/>
  <cols>
    <col min="1" max="1" width="13" style="4" customWidth="1"/>
    <col min="2" max="2" width="3.5546875" style="4" customWidth="1"/>
    <col min="3" max="3" width="4" style="4" customWidth="1"/>
    <col min="4" max="6" width="14" style="4" customWidth="1"/>
    <col min="7" max="7" width="14.88671875" style="4" customWidth="1"/>
    <col min="8" max="8" width="3" style="4" customWidth="1"/>
    <col min="9" max="9" width="9.109375" style="4"/>
    <col min="10" max="10" width="7.88671875" style="4" customWidth="1"/>
    <col min="11" max="12" width="9.109375" style="4"/>
    <col min="13" max="16" width="11.33203125" style="4" customWidth="1"/>
    <col min="17" max="16384" width="9.109375" style="4"/>
  </cols>
  <sheetData>
    <row r="2" spans="1:16" ht="13.8" thickBot="1" x14ac:dyDescent="0.3">
      <c r="J2" s="5"/>
      <c r="K2" s="5"/>
      <c r="L2" s="6"/>
      <c r="M2" s="6"/>
      <c r="O2" s="6"/>
      <c r="P2" s="6"/>
    </row>
    <row r="3" spans="1:16" s="10" customFormat="1" ht="18" customHeight="1" thickBot="1" x14ac:dyDescent="0.3">
      <c r="A3" s="10" t="s">
        <v>64</v>
      </c>
      <c r="B3" s="7"/>
      <c r="C3" s="8" t="s">
        <v>0</v>
      </c>
      <c r="D3" s="49" t="s">
        <v>117</v>
      </c>
      <c r="E3" s="50"/>
      <c r="F3" s="51"/>
      <c r="G3" s="9"/>
      <c r="H3" s="9"/>
      <c r="I3" s="8"/>
      <c r="J3" s="8" t="s">
        <v>3</v>
      </c>
      <c r="K3" s="45" t="s">
        <v>118</v>
      </c>
      <c r="L3" s="42"/>
      <c r="M3" s="43"/>
      <c r="O3" s="9"/>
      <c r="P3" s="9"/>
    </row>
    <row r="4" spans="1:16" x14ac:dyDescent="0.25">
      <c r="J4" s="5"/>
      <c r="K4" s="11"/>
      <c r="L4" s="5"/>
      <c r="M4" s="5"/>
      <c r="O4" s="5"/>
      <c r="P4" s="5"/>
    </row>
    <row r="5" spans="1:16" x14ac:dyDescent="0.25">
      <c r="J5" s="5"/>
      <c r="K5" s="5"/>
      <c r="L5" s="5"/>
      <c r="M5" s="5"/>
      <c r="O5" s="5"/>
      <c r="P5" s="5"/>
    </row>
    <row r="6" spans="1:16" x14ac:dyDescent="0.25">
      <c r="E6" s="2" t="s">
        <v>2</v>
      </c>
    </row>
    <row r="7" spans="1:16" x14ac:dyDescent="0.25">
      <c r="C7" s="12"/>
      <c r="D7" s="12" t="s">
        <v>57</v>
      </c>
      <c r="E7" s="13">
        <v>1110033.8099999994</v>
      </c>
    </row>
    <row r="8" spans="1:16" ht="13.8" thickBot="1" x14ac:dyDescent="0.3">
      <c r="C8" s="12"/>
      <c r="D8" s="12" t="s">
        <v>59</v>
      </c>
      <c r="E8" s="14">
        <v>-797123.89999999991</v>
      </c>
    </row>
    <row r="9" spans="1:16" ht="13.8" thickBot="1" x14ac:dyDescent="0.3">
      <c r="C9" s="12"/>
      <c r="D9" s="12" t="s">
        <v>58</v>
      </c>
      <c r="E9" s="15">
        <f>SUM(E7:E8)</f>
        <v>312909.90999999945</v>
      </c>
    </row>
    <row r="12" spans="1:16" x14ac:dyDescent="0.25">
      <c r="B12" s="16" t="s">
        <v>7</v>
      </c>
      <c r="C12" s="16"/>
    </row>
    <row r="13" spans="1:16" x14ac:dyDescent="0.25">
      <c r="B13" s="17" t="s">
        <v>15</v>
      </c>
      <c r="C13" s="4" t="str">
        <f>"Testimony of "&amp;K3</f>
        <v>Testimony of Brian Steinke</v>
      </c>
      <c r="H13" s="36" t="s">
        <v>141</v>
      </c>
    </row>
    <row r="14" spans="1:16" x14ac:dyDescent="0.25">
      <c r="B14" s="17" t="s">
        <v>15</v>
      </c>
      <c r="C14" s="18" t="s">
        <v>75</v>
      </c>
      <c r="H14" s="36" t="s">
        <v>142</v>
      </c>
    </row>
    <row r="16" spans="1:16" x14ac:dyDescent="0.25">
      <c r="B16" s="1" t="s">
        <v>4</v>
      </c>
      <c r="C16" s="1"/>
    </row>
    <row r="17" spans="2:8" x14ac:dyDescent="0.25">
      <c r="B17" s="17" t="s">
        <v>15</v>
      </c>
      <c r="C17" s="4" t="s">
        <v>5</v>
      </c>
      <c r="H17" s="36" t="s">
        <v>102</v>
      </c>
    </row>
    <row r="18" spans="2:8" x14ac:dyDescent="0.25">
      <c r="B18" s="17" t="s">
        <v>15</v>
      </c>
      <c r="C18" s="4" t="s">
        <v>10</v>
      </c>
      <c r="H18" s="36" t="s">
        <v>103</v>
      </c>
    </row>
    <row r="19" spans="2:8" x14ac:dyDescent="0.25">
      <c r="B19" s="17" t="s">
        <v>15</v>
      </c>
      <c r="C19" s="4" t="s">
        <v>6</v>
      </c>
      <c r="H19" s="36" t="s">
        <v>104</v>
      </c>
    </row>
    <row r="20" spans="2:8" x14ac:dyDescent="0.25">
      <c r="B20" s="17" t="s">
        <v>15</v>
      </c>
      <c r="C20" s="4" t="s">
        <v>43</v>
      </c>
      <c r="H20" s="36" t="s">
        <v>69</v>
      </c>
    </row>
    <row r="21" spans="2:8" x14ac:dyDescent="0.25">
      <c r="B21" s="17" t="s">
        <v>15</v>
      </c>
      <c r="C21" s="4" t="s">
        <v>22</v>
      </c>
      <c r="H21" s="36" t="s">
        <v>105</v>
      </c>
    </row>
    <row r="22" spans="2:8" x14ac:dyDescent="0.25">
      <c r="B22" s="17" t="s">
        <v>15</v>
      </c>
      <c r="C22" s="4" t="s">
        <v>9</v>
      </c>
      <c r="H22" s="36" t="s">
        <v>106</v>
      </c>
    </row>
    <row r="23" spans="2:8" x14ac:dyDescent="0.25">
      <c r="B23" s="17" t="s">
        <v>15</v>
      </c>
      <c r="C23" s="4" t="s">
        <v>53</v>
      </c>
      <c r="H23" s="36" t="s">
        <v>107</v>
      </c>
    </row>
    <row r="24" spans="2:8" x14ac:dyDescent="0.25">
      <c r="B24" s="17" t="s">
        <v>15</v>
      </c>
      <c r="C24" s="4" t="s">
        <v>54</v>
      </c>
      <c r="H24" s="36" t="s">
        <v>108</v>
      </c>
    </row>
    <row r="25" spans="2:8" x14ac:dyDescent="0.25">
      <c r="B25" s="17" t="s">
        <v>15</v>
      </c>
      <c r="C25" s="4" t="s">
        <v>11</v>
      </c>
      <c r="H25" s="36" t="s">
        <v>143</v>
      </c>
    </row>
    <row r="27" spans="2:8" x14ac:dyDescent="0.25">
      <c r="B27" s="16" t="s">
        <v>50</v>
      </c>
      <c r="C27" s="16"/>
    </row>
    <row r="28" spans="2:8" x14ac:dyDescent="0.25">
      <c r="B28" s="17" t="s">
        <v>15</v>
      </c>
      <c r="C28" s="18" t="s">
        <v>8</v>
      </c>
      <c r="H28" s="18" t="s">
        <v>72</v>
      </c>
    </row>
    <row r="29" spans="2:8" x14ac:dyDescent="0.25">
      <c r="B29" s="17" t="s">
        <v>15</v>
      </c>
      <c r="C29" s="4" t="s">
        <v>12</v>
      </c>
      <c r="H29" s="18" t="s">
        <v>73</v>
      </c>
    </row>
    <row r="30" spans="2:8" x14ac:dyDescent="0.25">
      <c r="B30" s="17" t="s">
        <v>15</v>
      </c>
      <c r="C30" s="4" t="s">
        <v>13</v>
      </c>
      <c r="H30" s="4" t="s">
        <v>61</v>
      </c>
    </row>
    <row r="31" spans="2:8" x14ac:dyDescent="0.25">
      <c r="B31" s="17" t="s">
        <v>15</v>
      </c>
      <c r="C31" s="4" t="s">
        <v>14</v>
      </c>
      <c r="H31" s="4" t="s">
        <v>61</v>
      </c>
    </row>
  </sheetData>
  <mergeCells count="2">
    <mergeCell ref="D3:F3"/>
    <mergeCell ref="K3:M3"/>
  </mergeCells>
  <printOptions horizontalCentered="1"/>
  <pageMargins left="0.75" right="0.51" top="1.64" bottom="0.64" header="1" footer="0.37"/>
  <pageSetup scale="97" orientation="landscape" r:id="rId1"/>
  <headerFooter alignWithMargins="0">
    <oddHeader>&amp;CPUBLIC UTILITY COMMISSION OF TEXAS
AEP TEXAS INC
Roadmap of Affiliate Class of Service
for the Test Year Ended September 30, 2023&amp;RDocket No. 56165
EXHIBIT BJF-2
Page &amp;P of &amp;N</oddHeader>
    <oddFooter>&amp;CBJF-2</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pageSetUpPr fitToPage="1"/>
  </sheetPr>
  <dimension ref="A2:P33"/>
  <sheetViews>
    <sheetView tabSelected="1" zoomScaleNormal="100" workbookViewId="0">
      <selection activeCell="D5" sqref="D5"/>
    </sheetView>
  </sheetViews>
  <sheetFormatPr defaultColWidth="9.109375" defaultRowHeight="13.2" x14ac:dyDescent="0.25"/>
  <cols>
    <col min="1" max="1" width="13" style="4" customWidth="1"/>
    <col min="2" max="2" width="3.5546875" style="4" customWidth="1"/>
    <col min="3" max="3" width="4" style="4" customWidth="1"/>
    <col min="4" max="4" width="14" style="4" customWidth="1"/>
    <col min="5" max="5" width="16.33203125" style="4" bestFit="1" customWidth="1"/>
    <col min="6" max="6" width="14" style="4" customWidth="1"/>
    <col min="7" max="7" width="14.88671875" style="4" customWidth="1"/>
    <col min="8" max="8" width="3" style="4" customWidth="1"/>
    <col min="9" max="9" width="9.109375" style="4"/>
    <col min="10" max="10" width="7.88671875" style="4" customWidth="1"/>
    <col min="11" max="12" width="9.109375" style="4"/>
    <col min="13" max="16" width="11.33203125" style="4" customWidth="1"/>
    <col min="17" max="16384" width="9.109375" style="4"/>
  </cols>
  <sheetData>
    <row r="2" spans="1:16" ht="13.8" thickBot="1" x14ac:dyDescent="0.3">
      <c r="J2" s="5"/>
      <c r="K2" s="5"/>
      <c r="L2" s="6"/>
      <c r="M2" s="6"/>
      <c r="O2" s="6"/>
      <c r="P2" s="6"/>
    </row>
    <row r="3" spans="1:16" s="10" customFormat="1" ht="18" customHeight="1" thickBot="1" x14ac:dyDescent="0.3">
      <c r="A3" s="10" t="s">
        <v>64</v>
      </c>
      <c r="B3" s="7"/>
      <c r="C3" s="8" t="s">
        <v>0</v>
      </c>
      <c r="D3" s="49" t="s">
        <v>62</v>
      </c>
      <c r="E3" s="50"/>
      <c r="F3" s="51"/>
      <c r="G3" s="9"/>
      <c r="H3" s="9"/>
      <c r="I3" s="8"/>
      <c r="J3" s="8" t="s">
        <v>3</v>
      </c>
      <c r="K3" s="45" t="s">
        <v>119</v>
      </c>
      <c r="L3" s="42"/>
      <c r="M3" s="43"/>
      <c r="O3" s="9"/>
      <c r="P3" s="9"/>
    </row>
    <row r="4" spans="1:16" x14ac:dyDescent="0.25">
      <c r="J4" s="5"/>
      <c r="K4" s="11"/>
      <c r="L4" s="5"/>
      <c r="M4" s="5"/>
      <c r="O4" s="5"/>
      <c r="P4" s="5"/>
    </row>
    <row r="5" spans="1:16" x14ac:dyDescent="0.25">
      <c r="J5" s="5"/>
      <c r="K5" s="5"/>
      <c r="L5" s="5"/>
      <c r="M5" s="5"/>
      <c r="O5" s="5"/>
      <c r="P5" s="5"/>
    </row>
    <row r="6" spans="1:16" x14ac:dyDescent="0.25">
      <c r="E6" s="2" t="s">
        <v>2</v>
      </c>
    </row>
    <row r="7" spans="1:16" x14ac:dyDescent="0.25">
      <c r="C7" s="12"/>
      <c r="D7" s="12" t="s">
        <v>57</v>
      </c>
      <c r="E7" s="13">
        <v>5190874.2200000109</v>
      </c>
    </row>
    <row r="8" spans="1:16" ht="13.8" thickBot="1" x14ac:dyDescent="0.3">
      <c r="C8" s="12"/>
      <c r="D8" s="12" t="s">
        <v>59</v>
      </c>
      <c r="E8" s="14">
        <v>-48548.580000000009</v>
      </c>
    </row>
    <row r="9" spans="1:16" ht="13.8" thickBot="1" x14ac:dyDescent="0.3">
      <c r="C9" s="12"/>
      <c r="D9" s="12" t="s">
        <v>58</v>
      </c>
      <c r="E9" s="15">
        <f>SUM(E7:E8)</f>
        <v>5142325.6400000108</v>
      </c>
      <c r="F9" s="18"/>
    </row>
    <row r="12" spans="1:16" ht="12" customHeight="1" x14ac:dyDescent="0.25">
      <c r="B12" s="16" t="s">
        <v>7</v>
      </c>
      <c r="C12" s="16"/>
    </row>
    <row r="13" spans="1:16" x14ac:dyDescent="0.25">
      <c r="B13" s="17" t="s">
        <v>15</v>
      </c>
      <c r="C13" s="4" t="str">
        <f>"Testimony of "&amp;K3</f>
        <v>Testimony of Kweku Ofei-Amoh</v>
      </c>
      <c r="H13" s="36" t="s">
        <v>141</v>
      </c>
    </row>
    <row r="14" spans="1:16" x14ac:dyDescent="0.25">
      <c r="B14" s="17" t="s">
        <v>15</v>
      </c>
      <c r="C14" s="18" t="s">
        <v>75</v>
      </c>
      <c r="H14" s="36" t="s">
        <v>144</v>
      </c>
    </row>
    <row r="16" spans="1:16" x14ac:dyDescent="0.25">
      <c r="B16" s="1" t="s">
        <v>4</v>
      </c>
      <c r="C16" s="1"/>
    </row>
    <row r="17" spans="2:8" x14ac:dyDescent="0.25">
      <c r="B17" s="17" t="s">
        <v>15</v>
      </c>
      <c r="C17" s="4" t="s">
        <v>5</v>
      </c>
      <c r="H17" s="36" t="s">
        <v>102</v>
      </c>
    </row>
    <row r="18" spans="2:8" x14ac:dyDescent="0.25">
      <c r="B18" s="17" t="s">
        <v>15</v>
      </c>
      <c r="C18" s="4" t="s">
        <v>10</v>
      </c>
      <c r="H18" s="36" t="s">
        <v>103</v>
      </c>
    </row>
    <row r="19" spans="2:8" x14ac:dyDescent="0.25">
      <c r="B19" s="17" t="s">
        <v>15</v>
      </c>
      <c r="C19" s="4" t="s">
        <v>6</v>
      </c>
      <c r="H19" s="36" t="s">
        <v>104</v>
      </c>
    </row>
    <row r="20" spans="2:8" x14ac:dyDescent="0.25">
      <c r="B20" s="17" t="s">
        <v>15</v>
      </c>
      <c r="C20" s="4" t="s">
        <v>43</v>
      </c>
      <c r="H20" s="36" t="s">
        <v>69</v>
      </c>
    </row>
    <row r="21" spans="2:8" x14ac:dyDescent="0.25">
      <c r="B21" s="17" t="s">
        <v>15</v>
      </c>
      <c r="C21" s="4" t="s">
        <v>22</v>
      </c>
      <c r="H21" s="36" t="s">
        <v>105</v>
      </c>
    </row>
    <row r="22" spans="2:8" x14ac:dyDescent="0.25">
      <c r="B22" s="17" t="s">
        <v>15</v>
      </c>
      <c r="C22" s="4" t="s">
        <v>9</v>
      </c>
      <c r="H22" s="36" t="s">
        <v>106</v>
      </c>
    </row>
    <row r="23" spans="2:8" x14ac:dyDescent="0.25">
      <c r="B23" s="17" t="s">
        <v>15</v>
      </c>
      <c r="C23" s="4" t="s">
        <v>53</v>
      </c>
      <c r="H23" s="36" t="s">
        <v>107</v>
      </c>
    </row>
    <row r="24" spans="2:8" x14ac:dyDescent="0.25">
      <c r="B24" s="17" t="s">
        <v>15</v>
      </c>
      <c r="C24" s="4" t="s">
        <v>54</v>
      </c>
      <c r="H24" s="36" t="s">
        <v>108</v>
      </c>
    </row>
    <row r="25" spans="2:8" x14ac:dyDescent="0.25">
      <c r="B25" s="17" t="s">
        <v>15</v>
      </c>
      <c r="C25" s="4" t="s">
        <v>11</v>
      </c>
      <c r="H25" s="36" t="s">
        <v>145</v>
      </c>
    </row>
    <row r="27" spans="2:8" x14ac:dyDescent="0.25">
      <c r="B27" s="16" t="s">
        <v>50</v>
      </c>
      <c r="C27" s="16"/>
    </row>
    <row r="28" spans="2:8" x14ac:dyDescent="0.25">
      <c r="B28" s="17" t="s">
        <v>15</v>
      </c>
      <c r="C28" s="18" t="s">
        <v>8</v>
      </c>
      <c r="H28" s="18" t="s">
        <v>72</v>
      </c>
    </row>
    <row r="29" spans="2:8" x14ac:dyDescent="0.25">
      <c r="B29" s="17" t="s">
        <v>15</v>
      </c>
      <c r="C29" s="4" t="s">
        <v>12</v>
      </c>
      <c r="H29" s="18" t="s">
        <v>73</v>
      </c>
    </row>
    <row r="30" spans="2:8" x14ac:dyDescent="0.25">
      <c r="B30" s="17" t="s">
        <v>15</v>
      </c>
      <c r="C30" s="4" t="s">
        <v>13</v>
      </c>
      <c r="H30" s="4" t="s">
        <v>61</v>
      </c>
    </row>
    <row r="31" spans="2:8" x14ac:dyDescent="0.25">
      <c r="B31" s="17" t="s">
        <v>15</v>
      </c>
      <c r="C31" s="4" t="s">
        <v>14</v>
      </c>
      <c r="H31" s="4" t="s">
        <v>61</v>
      </c>
    </row>
    <row r="33" spans="1:14" x14ac:dyDescent="0.25">
      <c r="A33" s="52"/>
      <c r="B33" s="53"/>
      <c r="C33" s="53"/>
      <c r="D33" s="53"/>
      <c r="E33" s="53"/>
      <c r="F33" s="53"/>
      <c r="G33" s="53"/>
      <c r="H33" s="54"/>
      <c r="I33" s="54"/>
      <c r="J33" s="54"/>
      <c r="K33" s="54"/>
      <c r="L33" s="54"/>
      <c r="M33" s="54"/>
      <c r="N33" s="54"/>
    </row>
  </sheetData>
  <mergeCells count="3">
    <mergeCell ref="K3:M3"/>
    <mergeCell ref="D3:F3"/>
    <mergeCell ref="A33:N33"/>
  </mergeCells>
  <phoneticPr fontId="0" type="noConversion"/>
  <printOptions horizontalCentered="1"/>
  <pageMargins left="0.75" right="0.51" top="1.64" bottom="0.64" header="1" footer="0.37"/>
  <pageSetup scale="89" orientation="landscape" r:id="rId1"/>
  <headerFooter alignWithMargins="0">
    <oddHeader>&amp;CPUBLIC UTILITY COMMISSION OF TEXAS
AEP TEXAS INC
Roadmap of Affiliate Class of Service
for the Test Year Ended September 30, 2023&amp;RDocket No. 56165
EXHIBIT BJF-2
Page &amp;P of &amp;N</oddHeader>
    <oddFooter>&amp;CBJF-2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pageSetUpPr fitToPage="1"/>
  </sheetPr>
  <dimension ref="A2:P31"/>
  <sheetViews>
    <sheetView tabSelected="1" zoomScaleNormal="100" workbookViewId="0">
      <selection activeCell="D5" sqref="D5"/>
    </sheetView>
  </sheetViews>
  <sheetFormatPr defaultColWidth="9.109375" defaultRowHeight="13.2" x14ac:dyDescent="0.25"/>
  <cols>
    <col min="1" max="1" width="13" style="4" customWidth="1"/>
    <col min="2" max="2" width="3.5546875" style="4" customWidth="1"/>
    <col min="3" max="3" width="4" style="4" customWidth="1"/>
    <col min="4" max="4" width="14" style="4" customWidth="1"/>
    <col min="5" max="5" width="15.88671875" style="4" bestFit="1" customWidth="1"/>
    <col min="6" max="6" width="14" style="4" customWidth="1"/>
    <col min="7" max="7" width="14.88671875" style="4" customWidth="1"/>
    <col min="8" max="8" width="3" style="4" customWidth="1"/>
    <col min="9" max="9" width="9.109375" style="4"/>
    <col min="10" max="10" width="7.88671875" style="4" customWidth="1"/>
    <col min="11" max="12" width="9.109375" style="4"/>
    <col min="13" max="16" width="11.33203125" style="4" customWidth="1"/>
    <col min="17" max="16384" width="9.109375" style="4"/>
  </cols>
  <sheetData>
    <row r="2" spans="1:16" ht="13.8" thickBot="1" x14ac:dyDescent="0.3">
      <c r="J2" s="5"/>
      <c r="K2" s="5"/>
      <c r="L2" s="6"/>
      <c r="M2" s="6"/>
      <c r="O2" s="6"/>
      <c r="P2" s="6"/>
    </row>
    <row r="3" spans="1:16" s="10" customFormat="1" ht="18" customHeight="1" thickBot="1" x14ac:dyDescent="0.3">
      <c r="A3" s="10" t="s">
        <v>64</v>
      </c>
      <c r="B3" s="7"/>
      <c r="C3" s="8" t="s">
        <v>0</v>
      </c>
      <c r="D3" s="49" t="s">
        <v>45</v>
      </c>
      <c r="E3" s="50"/>
      <c r="F3" s="51"/>
      <c r="G3" s="9"/>
      <c r="H3" s="9"/>
      <c r="I3" s="8"/>
      <c r="J3" s="8" t="s">
        <v>3</v>
      </c>
      <c r="K3" s="45" t="s">
        <v>120</v>
      </c>
      <c r="L3" s="42"/>
      <c r="M3" s="43"/>
      <c r="O3" s="9"/>
      <c r="P3" s="9"/>
    </row>
    <row r="4" spans="1:16" x14ac:dyDescent="0.25">
      <c r="J4" s="5"/>
      <c r="K4" s="11"/>
      <c r="L4" s="5"/>
      <c r="M4" s="5"/>
      <c r="O4" s="5"/>
      <c r="P4" s="5"/>
    </row>
    <row r="5" spans="1:16" x14ac:dyDescent="0.25">
      <c r="J5" s="5"/>
      <c r="K5" s="5"/>
      <c r="L5" s="5"/>
      <c r="M5" s="5"/>
      <c r="O5" s="5"/>
      <c r="P5" s="5"/>
    </row>
    <row r="6" spans="1:16" x14ac:dyDescent="0.25">
      <c r="E6" s="2" t="s">
        <v>2</v>
      </c>
    </row>
    <row r="7" spans="1:16" x14ac:dyDescent="0.25">
      <c r="C7" s="12"/>
      <c r="D7" s="12" t="s">
        <v>57</v>
      </c>
      <c r="E7" s="13">
        <v>3461426.9800000298</v>
      </c>
    </row>
    <row r="8" spans="1:16" ht="13.8" thickBot="1" x14ac:dyDescent="0.3">
      <c r="C8" s="12"/>
      <c r="D8" s="12" t="s">
        <v>59</v>
      </c>
      <c r="E8" s="14">
        <v>-16020.759999999993</v>
      </c>
    </row>
    <row r="9" spans="1:16" ht="13.8" thickBot="1" x14ac:dyDescent="0.3">
      <c r="C9" s="12"/>
      <c r="D9" s="12" t="s">
        <v>58</v>
      </c>
      <c r="E9" s="15">
        <f>SUM(E7:E8)</f>
        <v>3445406.22000003</v>
      </c>
    </row>
    <row r="12" spans="1:16" x14ac:dyDescent="0.25">
      <c r="B12" s="16" t="s">
        <v>7</v>
      </c>
      <c r="C12" s="16"/>
    </row>
    <row r="13" spans="1:16" x14ac:dyDescent="0.25">
      <c r="B13" s="17" t="s">
        <v>15</v>
      </c>
      <c r="C13" s="4" t="str">
        <f>"Testimony of "&amp;K3</f>
        <v>Testimony of Mary Catherine Grayem</v>
      </c>
      <c r="H13" s="36" t="s">
        <v>146</v>
      </c>
    </row>
    <row r="14" spans="1:16" x14ac:dyDescent="0.25">
      <c r="B14" s="17" t="s">
        <v>15</v>
      </c>
      <c r="C14" s="18" t="s">
        <v>75</v>
      </c>
      <c r="H14" s="36" t="s">
        <v>147</v>
      </c>
    </row>
    <row r="16" spans="1:16" x14ac:dyDescent="0.25">
      <c r="B16" s="1" t="s">
        <v>4</v>
      </c>
      <c r="C16" s="1"/>
    </row>
    <row r="17" spans="2:8" x14ac:dyDescent="0.25">
      <c r="B17" s="17" t="s">
        <v>15</v>
      </c>
      <c r="C17" s="4" t="s">
        <v>5</v>
      </c>
      <c r="H17" s="36" t="s">
        <v>102</v>
      </c>
    </row>
    <row r="18" spans="2:8" x14ac:dyDescent="0.25">
      <c r="B18" s="17" t="s">
        <v>15</v>
      </c>
      <c r="C18" s="4" t="s">
        <v>10</v>
      </c>
      <c r="H18" s="36" t="s">
        <v>103</v>
      </c>
    </row>
    <row r="19" spans="2:8" x14ac:dyDescent="0.25">
      <c r="B19" s="17" t="s">
        <v>15</v>
      </c>
      <c r="C19" s="4" t="s">
        <v>6</v>
      </c>
      <c r="H19" s="36" t="s">
        <v>104</v>
      </c>
    </row>
    <row r="20" spans="2:8" x14ac:dyDescent="0.25">
      <c r="B20" s="17" t="s">
        <v>15</v>
      </c>
      <c r="C20" s="4" t="s">
        <v>43</v>
      </c>
      <c r="H20" s="36" t="s">
        <v>69</v>
      </c>
    </row>
    <row r="21" spans="2:8" x14ac:dyDescent="0.25">
      <c r="B21" s="17" t="s">
        <v>15</v>
      </c>
      <c r="C21" s="4" t="s">
        <v>22</v>
      </c>
      <c r="H21" s="36" t="s">
        <v>105</v>
      </c>
    </row>
    <row r="22" spans="2:8" x14ac:dyDescent="0.25">
      <c r="B22" s="17" t="s">
        <v>15</v>
      </c>
      <c r="C22" s="4" t="s">
        <v>9</v>
      </c>
      <c r="H22" s="36" t="s">
        <v>106</v>
      </c>
    </row>
    <row r="23" spans="2:8" x14ac:dyDescent="0.25">
      <c r="B23" s="17" t="s">
        <v>15</v>
      </c>
      <c r="C23" s="4" t="s">
        <v>53</v>
      </c>
      <c r="H23" s="36" t="s">
        <v>107</v>
      </c>
    </row>
    <row r="24" spans="2:8" x14ac:dyDescent="0.25">
      <c r="B24" s="17" t="s">
        <v>15</v>
      </c>
      <c r="C24" s="4" t="s">
        <v>54</v>
      </c>
      <c r="H24" s="36" t="s">
        <v>108</v>
      </c>
    </row>
    <row r="25" spans="2:8" x14ac:dyDescent="0.25">
      <c r="B25" s="17" t="s">
        <v>15</v>
      </c>
      <c r="C25" s="4" t="s">
        <v>11</v>
      </c>
      <c r="H25" s="36" t="s">
        <v>148</v>
      </c>
    </row>
    <row r="27" spans="2:8" x14ac:dyDescent="0.25">
      <c r="B27" s="16" t="s">
        <v>50</v>
      </c>
      <c r="C27" s="16"/>
    </row>
    <row r="28" spans="2:8" x14ac:dyDescent="0.25">
      <c r="B28" s="17" t="s">
        <v>15</v>
      </c>
      <c r="C28" s="18" t="s">
        <v>8</v>
      </c>
      <c r="H28" s="18" t="s">
        <v>72</v>
      </c>
    </row>
    <row r="29" spans="2:8" x14ac:dyDescent="0.25">
      <c r="B29" s="17" t="s">
        <v>15</v>
      </c>
      <c r="C29" s="4" t="s">
        <v>12</v>
      </c>
      <c r="H29" s="18" t="s">
        <v>73</v>
      </c>
    </row>
    <row r="30" spans="2:8" x14ac:dyDescent="0.25">
      <c r="B30" s="17" t="s">
        <v>15</v>
      </c>
      <c r="C30" s="4" t="s">
        <v>13</v>
      </c>
      <c r="H30" s="4" t="s">
        <v>61</v>
      </c>
    </row>
    <row r="31" spans="2:8" x14ac:dyDescent="0.25">
      <c r="B31" s="17" t="s">
        <v>15</v>
      </c>
      <c r="C31" s="4" t="s">
        <v>14</v>
      </c>
      <c r="H31" s="4" t="s">
        <v>61</v>
      </c>
    </row>
  </sheetData>
  <mergeCells count="2">
    <mergeCell ref="K3:M3"/>
    <mergeCell ref="D3:F3"/>
  </mergeCells>
  <phoneticPr fontId="0" type="noConversion"/>
  <printOptions horizontalCentered="1"/>
  <pageMargins left="0.75" right="0.51" top="1.64" bottom="0.64" header="1" footer="0.37"/>
  <pageSetup scale="96" orientation="landscape" r:id="rId1"/>
  <headerFooter alignWithMargins="0">
    <oddHeader>&amp;CPUBLIC UTILITY COMMISSION OF TEXAS
AEP TEXAS INC
Roadmap of Affiliate Class of Service
for the Test Year Ended September 30, 2023&amp;RDocket No. 56165
EXHIBIT BJF-2
Page &amp;P of &amp;N</oddHeader>
    <oddFooter>&amp;CBJF-2</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pageSetUpPr fitToPage="1"/>
  </sheetPr>
  <dimension ref="A2:P32"/>
  <sheetViews>
    <sheetView tabSelected="1" zoomScaleNormal="100" workbookViewId="0">
      <selection activeCell="D5" sqref="D5"/>
    </sheetView>
  </sheetViews>
  <sheetFormatPr defaultColWidth="9.109375" defaultRowHeight="13.2" x14ac:dyDescent="0.25"/>
  <cols>
    <col min="1" max="1" width="13" style="4" customWidth="1"/>
    <col min="2" max="2" width="3.5546875" style="4" customWidth="1"/>
    <col min="3" max="3" width="4" style="4" customWidth="1"/>
    <col min="4" max="4" width="14" style="4" customWidth="1"/>
    <col min="5" max="5" width="16.88671875" style="4" bestFit="1" customWidth="1"/>
    <col min="6" max="6" width="14" style="4" customWidth="1"/>
    <col min="7" max="7" width="14.88671875" style="4" customWidth="1"/>
    <col min="8" max="8" width="3" style="4" customWidth="1"/>
    <col min="9" max="9" width="9.109375" style="4"/>
    <col min="10" max="10" width="7.88671875" style="4" customWidth="1"/>
    <col min="11" max="12" width="9.109375" style="4"/>
    <col min="13" max="16" width="11.33203125" style="4" customWidth="1"/>
    <col min="17" max="16384" width="9.109375" style="4"/>
  </cols>
  <sheetData>
    <row r="2" spans="1:16" ht="13.8" thickBot="1" x14ac:dyDescent="0.3">
      <c r="J2" s="5"/>
      <c r="K2" s="5"/>
      <c r="L2" s="6"/>
      <c r="M2" s="6"/>
      <c r="O2" s="6"/>
      <c r="P2" s="6"/>
    </row>
    <row r="3" spans="1:16" s="10" customFormat="1" ht="18.600000000000001" customHeight="1" thickBot="1" x14ac:dyDescent="0.3">
      <c r="A3" s="10" t="s">
        <v>64</v>
      </c>
      <c r="B3" s="7"/>
      <c r="C3" s="8" t="s">
        <v>0</v>
      </c>
      <c r="D3" s="39" t="s">
        <v>76</v>
      </c>
      <c r="E3" s="44"/>
      <c r="F3" s="40"/>
      <c r="G3" s="9"/>
      <c r="H3" s="9"/>
      <c r="I3" s="8"/>
      <c r="J3" s="8" t="s">
        <v>3</v>
      </c>
      <c r="K3" s="41" t="s">
        <v>74</v>
      </c>
      <c r="L3" s="42"/>
      <c r="M3" s="43"/>
      <c r="O3" s="9"/>
      <c r="P3" s="9"/>
    </row>
    <row r="4" spans="1:16" x14ac:dyDescent="0.25">
      <c r="J4" s="5"/>
      <c r="K4" s="11"/>
      <c r="L4" s="5"/>
      <c r="M4" s="5"/>
      <c r="O4" s="5"/>
      <c r="P4" s="5"/>
    </row>
    <row r="5" spans="1:16" x14ac:dyDescent="0.25">
      <c r="J5" s="5"/>
      <c r="K5" s="5"/>
      <c r="L5" s="5"/>
      <c r="M5" s="5"/>
      <c r="O5" s="5"/>
      <c r="P5" s="5"/>
    </row>
    <row r="6" spans="1:16" x14ac:dyDescent="0.25">
      <c r="E6" s="2" t="s">
        <v>2</v>
      </c>
    </row>
    <row r="7" spans="1:16" x14ac:dyDescent="0.25">
      <c r="C7" s="12"/>
      <c r="D7" s="12" t="s">
        <v>57</v>
      </c>
      <c r="E7" s="27">
        <v>4199077.9999999916</v>
      </c>
      <c r="F7" s="18" t="s">
        <v>95</v>
      </c>
      <c r="G7" s="5"/>
    </row>
    <row r="8" spans="1:16" ht="14.25" customHeight="1" thickBot="1" x14ac:dyDescent="0.3">
      <c r="C8" s="12"/>
      <c r="D8" s="12" t="s">
        <v>59</v>
      </c>
      <c r="E8" s="27">
        <v>6760918.3599999985</v>
      </c>
      <c r="F8" s="18" t="s">
        <v>95</v>
      </c>
      <c r="G8" s="29"/>
    </row>
    <row r="9" spans="1:16" ht="13.8" thickBot="1" x14ac:dyDescent="0.3">
      <c r="C9" s="12"/>
      <c r="D9" s="12" t="s">
        <v>58</v>
      </c>
      <c r="E9" s="15">
        <f>SUM(E7:E8)</f>
        <v>10959996.35999999</v>
      </c>
      <c r="G9" s="5"/>
    </row>
    <row r="10" spans="1:16" x14ac:dyDescent="0.25">
      <c r="G10" s="5"/>
    </row>
    <row r="12" spans="1:16" x14ac:dyDescent="0.25">
      <c r="B12" s="16" t="s">
        <v>7</v>
      </c>
      <c r="C12" s="16"/>
    </row>
    <row r="13" spans="1:16" x14ac:dyDescent="0.25">
      <c r="B13" s="17" t="s">
        <v>15</v>
      </c>
      <c r="C13" s="4" t="str">
        <f>"Testimony of "&amp;K3</f>
        <v>Testimony of Brian J. Frantz</v>
      </c>
      <c r="H13" s="36" t="s">
        <v>149</v>
      </c>
    </row>
    <row r="15" spans="1:16" x14ac:dyDescent="0.25">
      <c r="B15" s="1" t="s">
        <v>4</v>
      </c>
      <c r="C15" s="1"/>
    </row>
    <row r="16" spans="1:16" x14ac:dyDescent="0.25">
      <c r="B16" s="17" t="s">
        <v>15</v>
      </c>
      <c r="C16" s="4" t="s">
        <v>5</v>
      </c>
      <c r="H16" s="36" t="s">
        <v>102</v>
      </c>
    </row>
    <row r="17" spans="1:8" x14ac:dyDescent="0.25">
      <c r="B17" s="17" t="s">
        <v>15</v>
      </c>
      <c r="C17" s="4" t="s">
        <v>10</v>
      </c>
      <c r="H17" s="36" t="s">
        <v>103</v>
      </c>
    </row>
    <row r="18" spans="1:8" x14ac:dyDescent="0.25">
      <c r="B18" s="17" t="s">
        <v>15</v>
      </c>
      <c r="C18" s="4" t="s">
        <v>6</v>
      </c>
      <c r="H18" s="36" t="s">
        <v>104</v>
      </c>
    </row>
    <row r="19" spans="1:8" x14ac:dyDescent="0.25">
      <c r="B19" s="17" t="s">
        <v>15</v>
      </c>
      <c r="C19" s="4" t="s">
        <v>43</v>
      </c>
      <c r="H19" s="36" t="s">
        <v>69</v>
      </c>
    </row>
    <row r="20" spans="1:8" x14ac:dyDescent="0.25">
      <c r="B20" s="17" t="s">
        <v>15</v>
      </c>
      <c r="C20" s="4" t="s">
        <v>22</v>
      </c>
      <c r="H20" s="36" t="s">
        <v>105</v>
      </c>
    </row>
    <row r="21" spans="1:8" x14ac:dyDescent="0.25">
      <c r="B21" s="17" t="s">
        <v>15</v>
      </c>
      <c r="C21" s="4" t="s">
        <v>9</v>
      </c>
      <c r="H21" s="36" t="s">
        <v>106</v>
      </c>
    </row>
    <row r="22" spans="1:8" x14ac:dyDescent="0.25">
      <c r="B22" s="17" t="s">
        <v>15</v>
      </c>
      <c r="C22" s="4" t="s">
        <v>53</v>
      </c>
      <c r="H22" s="36" t="s">
        <v>107</v>
      </c>
    </row>
    <row r="23" spans="1:8" x14ac:dyDescent="0.25">
      <c r="B23" s="17" t="s">
        <v>15</v>
      </c>
      <c r="C23" s="4" t="s">
        <v>54</v>
      </c>
      <c r="H23" s="36" t="s">
        <v>108</v>
      </c>
    </row>
    <row r="24" spans="1:8" x14ac:dyDescent="0.25">
      <c r="B24" s="17" t="s">
        <v>15</v>
      </c>
      <c r="C24" s="4" t="s">
        <v>11</v>
      </c>
      <c r="H24" s="36" t="s">
        <v>150</v>
      </c>
    </row>
    <row r="26" spans="1:8" x14ac:dyDescent="0.25">
      <c r="B26" s="16" t="s">
        <v>50</v>
      </c>
      <c r="C26" s="16"/>
    </row>
    <row r="27" spans="1:8" x14ac:dyDescent="0.25">
      <c r="B27" s="17" t="s">
        <v>15</v>
      </c>
      <c r="C27" s="18" t="s">
        <v>8</v>
      </c>
      <c r="H27" s="18" t="s">
        <v>72</v>
      </c>
    </row>
    <row r="28" spans="1:8" x14ac:dyDescent="0.25">
      <c r="B28" s="17" t="s">
        <v>15</v>
      </c>
      <c r="C28" s="4" t="s">
        <v>12</v>
      </c>
      <c r="H28" s="18" t="s">
        <v>73</v>
      </c>
    </row>
    <row r="29" spans="1:8" x14ac:dyDescent="0.25">
      <c r="B29" s="17" t="s">
        <v>15</v>
      </c>
      <c r="C29" s="4" t="s">
        <v>13</v>
      </c>
      <c r="H29" s="4" t="s">
        <v>61</v>
      </c>
    </row>
    <row r="30" spans="1:8" x14ac:dyDescent="0.25">
      <c r="B30" s="17" t="s">
        <v>15</v>
      </c>
      <c r="C30" s="4" t="s">
        <v>14</v>
      </c>
      <c r="H30" s="4" t="s">
        <v>61</v>
      </c>
    </row>
    <row r="32" spans="1:8" x14ac:dyDescent="0.25">
      <c r="A32" s="36" t="s">
        <v>121</v>
      </c>
    </row>
  </sheetData>
  <mergeCells count="2">
    <mergeCell ref="K3:M3"/>
    <mergeCell ref="D3:F3"/>
  </mergeCells>
  <phoneticPr fontId="0" type="noConversion"/>
  <printOptions horizontalCentered="1"/>
  <pageMargins left="0.75" right="0.51" top="1.64" bottom="0.64" header="1" footer="0.37"/>
  <pageSetup scale="96" orientation="landscape" r:id="rId1"/>
  <headerFooter alignWithMargins="0">
    <oddHeader>&amp;CPUBLIC UTILITY COMMISSION OF TEXAS
AEP TEXAS INC
Roadmap of Affiliate Class of Service
for the Test Year Ended September 30, 2023&amp;RDocket No. 56165
EXHIBIT BJF-2
Page &amp;P of &amp;N</oddHeader>
    <oddFooter>&amp;CBJF-2</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8">
    <pageSetUpPr fitToPage="1"/>
  </sheetPr>
  <dimension ref="A2:P30"/>
  <sheetViews>
    <sheetView tabSelected="1" zoomScaleNormal="100" workbookViewId="0">
      <selection activeCell="D5" sqref="D5"/>
    </sheetView>
  </sheetViews>
  <sheetFormatPr defaultColWidth="9.109375" defaultRowHeight="13.2" x14ac:dyDescent="0.25"/>
  <cols>
    <col min="1" max="1" width="13" style="4" customWidth="1"/>
    <col min="2" max="2" width="3.5546875" style="4" customWidth="1"/>
    <col min="3" max="3" width="4" style="4" customWidth="1"/>
    <col min="4" max="4" width="14" style="4" customWidth="1"/>
    <col min="5" max="5" width="15.109375" style="4" bestFit="1" customWidth="1"/>
    <col min="6" max="6" width="14" style="4" customWidth="1"/>
    <col min="7" max="7" width="14.88671875" style="4" customWidth="1"/>
    <col min="8" max="8" width="3" style="4" customWidth="1"/>
    <col min="9" max="9" width="9.109375" style="4"/>
    <col min="10" max="10" width="7.88671875" style="4" customWidth="1"/>
    <col min="11" max="12" width="9.109375" style="4"/>
    <col min="13" max="16" width="11.33203125" style="4" customWidth="1"/>
    <col min="17" max="16384" width="9.109375" style="4"/>
  </cols>
  <sheetData>
    <row r="2" spans="1:16" ht="13.8" thickBot="1" x14ac:dyDescent="0.3">
      <c r="J2" s="5"/>
      <c r="K2" s="5"/>
      <c r="L2" s="6"/>
      <c r="M2" s="6"/>
      <c r="O2" s="6"/>
      <c r="P2" s="6"/>
    </row>
    <row r="3" spans="1:16" s="10" customFormat="1" ht="25.5" customHeight="1" thickBot="1" x14ac:dyDescent="0.3">
      <c r="A3" s="10" t="s">
        <v>64</v>
      </c>
      <c r="B3" s="7"/>
      <c r="C3" s="8" t="s">
        <v>0</v>
      </c>
      <c r="D3" s="55" t="s">
        <v>122</v>
      </c>
      <c r="E3" s="56"/>
      <c r="F3" s="57"/>
      <c r="G3" s="9"/>
      <c r="H3" s="9"/>
      <c r="I3" s="8"/>
      <c r="J3" s="8" t="s">
        <v>3</v>
      </c>
      <c r="K3" s="41" t="s">
        <v>74</v>
      </c>
      <c r="L3" s="42"/>
      <c r="M3" s="43"/>
      <c r="O3" s="9"/>
      <c r="P3" s="9"/>
    </row>
    <row r="4" spans="1:16" x14ac:dyDescent="0.25">
      <c r="J4" s="5"/>
      <c r="K4" s="11"/>
      <c r="L4" s="5"/>
      <c r="M4" s="5"/>
      <c r="O4" s="5"/>
      <c r="P4" s="5"/>
    </row>
    <row r="5" spans="1:16" x14ac:dyDescent="0.25">
      <c r="J5" s="5"/>
      <c r="K5" s="5"/>
      <c r="L5" s="5"/>
      <c r="M5" s="5"/>
      <c r="O5" s="5"/>
      <c r="P5" s="5"/>
    </row>
    <row r="6" spans="1:16" x14ac:dyDescent="0.25">
      <c r="E6" s="2" t="s">
        <v>2</v>
      </c>
    </row>
    <row r="7" spans="1:16" x14ac:dyDescent="0.25">
      <c r="C7" s="12"/>
      <c r="D7" s="12" t="s">
        <v>57</v>
      </c>
      <c r="E7" s="13">
        <v>861132.85999999987</v>
      </c>
    </row>
    <row r="8" spans="1:16" ht="13.8" thickBot="1" x14ac:dyDescent="0.3">
      <c r="C8" s="12"/>
      <c r="D8" s="12" t="s">
        <v>59</v>
      </c>
      <c r="E8" s="14">
        <v>-117229.37</v>
      </c>
    </row>
    <row r="9" spans="1:16" ht="13.8" thickBot="1" x14ac:dyDescent="0.3">
      <c r="C9" s="12"/>
      <c r="D9" s="12" t="s">
        <v>58</v>
      </c>
      <c r="E9" s="15">
        <f>SUM(E7:E8)</f>
        <v>743903.48999999987</v>
      </c>
    </row>
    <row r="12" spans="1:16" x14ac:dyDescent="0.25">
      <c r="B12" s="16" t="s">
        <v>7</v>
      </c>
      <c r="C12" s="16"/>
    </row>
    <row r="13" spans="1:16" x14ac:dyDescent="0.25">
      <c r="B13" s="17" t="s">
        <v>15</v>
      </c>
      <c r="C13" s="4" t="str">
        <f>"Testimony of "&amp;K3</f>
        <v>Testimony of Brian J. Frantz</v>
      </c>
      <c r="H13" s="36" t="s">
        <v>151</v>
      </c>
    </row>
    <row r="15" spans="1:16" x14ac:dyDescent="0.25">
      <c r="B15" s="1" t="s">
        <v>4</v>
      </c>
      <c r="C15" s="1"/>
    </row>
    <row r="16" spans="1:16" x14ac:dyDescent="0.25">
      <c r="B16" s="17" t="s">
        <v>15</v>
      </c>
      <c r="C16" s="4" t="s">
        <v>5</v>
      </c>
      <c r="H16" s="36" t="s">
        <v>102</v>
      </c>
    </row>
    <row r="17" spans="2:8" x14ac:dyDescent="0.25">
      <c r="B17" s="17" t="s">
        <v>15</v>
      </c>
      <c r="C17" s="4" t="s">
        <v>10</v>
      </c>
      <c r="H17" s="36" t="s">
        <v>103</v>
      </c>
    </row>
    <row r="18" spans="2:8" x14ac:dyDescent="0.25">
      <c r="B18" s="17" t="s">
        <v>15</v>
      </c>
      <c r="C18" s="4" t="s">
        <v>6</v>
      </c>
      <c r="H18" s="36" t="s">
        <v>104</v>
      </c>
    </row>
    <row r="19" spans="2:8" x14ac:dyDescent="0.25">
      <c r="B19" s="17" t="s">
        <v>15</v>
      </c>
      <c r="C19" s="4" t="s">
        <v>43</v>
      </c>
      <c r="H19" s="36" t="s">
        <v>69</v>
      </c>
    </row>
    <row r="20" spans="2:8" x14ac:dyDescent="0.25">
      <c r="B20" s="17" t="s">
        <v>15</v>
      </c>
      <c r="C20" s="4" t="s">
        <v>22</v>
      </c>
      <c r="H20" s="36" t="s">
        <v>105</v>
      </c>
    </row>
    <row r="21" spans="2:8" x14ac:dyDescent="0.25">
      <c r="B21" s="17" t="s">
        <v>15</v>
      </c>
      <c r="C21" s="4" t="s">
        <v>9</v>
      </c>
      <c r="H21" s="36" t="s">
        <v>106</v>
      </c>
    </row>
    <row r="22" spans="2:8" x14ac:dyDescent="0.25">
      <c r="B22" s="17" t="s">
        <v>15</v>
      </c>
      <c r="C22" s="4" t="s">
        <v>53</v>
      </c>
      <c r="H22" s="36" t="s">
        <v>107</v>
      </c>
    </row>
    <row r="23" spans="2:8" x14ac:dyDescent="0.25">
      <c r="B23" s="17" t="s">
        <v>15</v>
      </c>
      <c r="C23" s="4" t="s">
        <v>54</v>
      </c>
      <c r="H23" s="36" t="s">
        <v>108</v>
      </c>
    </row>
    <row r="24" spans="2:8" x14ac:dyDescent="0.25">
      <c r="B24" s="17" t="s">
        <v>15</v>
      </c>
      <c r="C24" s="4" t="s">
        <v>11</v>
      </c>
      <c r="H24" s="36" t="s">
        <v>150</v>
      </c>
    </row>
    <row r="26" spans="2:8" x14ac:dyDescent="0.25">
      <c r="B26" s="16" t="s">
        <v>50</v>
      </c>
      <c r="C26" s="16"/>
    </row>
    <row r="27" spans="2:8" x14ac:dyDescent="0.25">
      <c r="B27" s="17" t="s">
        <v>15</v>
      </c>
      <c r="C27" s="18" t="s">
        <v>8</v>
      </c>
      <c r="H27" s="18" t="s">
        <v>72</v>
      </c>
    </row>
    <row r="28" spans="2:8" x14ac:dyDescent="0.25">
      <c r="B28" s="17" t="s">
        <v>15</v>
      </c>
      <c r="C28" s="4" t="s">
        <v>12</v>
      </c>
      <c r="H28" s="18" t="s">
        <v>73</v>
      </c>
    </row>
    <row r="29" spans="2:8" x14ac:dyDescent="0.25">
      <c r="B29" s="17" t="s">
        <v>15</v>
      </c>
      <c r="C29" s="4" t="s">
        <v>13</v>
      </c>
      <c r="H29" s="4" t="s">
        <v>61</v>
      </c>
    </row>
    <row r="30" spans="2:8" x14ac:dyDescent="0.25">
      <c r="B30" s="17" t="s">
        <v>15</v>
      </c>
      <c r="C30" s="4" t="s">
        <v>14</v>
      </c>
      <c r="H30" s="4" t="s">
        <v>61</v>
      </c>
    </row>
  </sheetData>
  <mergeCells count="2">
    <mergeCell ref="K3:M3"/>
    <mergeCell ref="D3:F3"/>
  </mergeCells>
  <phoneticPr fontId="0" type="noConversion"/>
  <printOptions horizontalCentered="1"/>
  <pageMargins left="0.75" right="0.51" top="1.64" bottom="0.64" header="1" footer="0.37"/>
  <pageSetup scale="97" orientation="landscape" r:id="rId1"/>
  <headerFooter alignWithMargins="0">
    <oddHeader>&amp;CPUBLIC UTILITY COMMISSION OF TEXAS
AEP TEXAS INC
Roadmap of Affiliate Class of Service
for the Test Year Ended September 30, 2023&amp;RDocket No. 56165
EXHIBIT BJF-2
Page &amp;P of &amp;N</oddHeader>
    <oddFooter>&amp;CBJF-2</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pageSetUpPr fitToPage="1"/>
  </sheetPr>
  <dimension ref="A2:P33"/>
  <sheetViews>
    <sheetView tabSelected="1" zoomScaleNormal="100" workbookViewId="0">
      <selection activeCell="D5" sqref="D5"/>
    </sheetView>
  </sheetViews>
  <sheetFormatPr defaultColWidth="9.109375" defaultRowHeight="13.2" x14ac:dyDescent="0.25"/>
  <cols>
    <col min="1" max="1" width="13" style="4" customWidth="1"/>
    <col min="2" max="2" width="3.5546875" style="4" customWidth="1"/>
    <col min="3" max="3" width="4" style="4" customWidth="1"/>
    <col min="4" max="4" width="14" style="4" customWidth="1"/>
    <col min="5" max="5" width="15.5546875" style="4" bestFit="1" customWidth="1"/>
    <col min="6" max="6" width="14" style="4" customWidth="1"/>
    <col min="7" max="7" width="14.88671875" style="4" customWidth="1"/>
    <col min="8" max="8" width="3" style="4" customWidth="1"/>
    <col min="9" max="9" width="9.109375" style="4"/>
    <col min="10" max="10" width="7.88671875" style="4" customWidth="1"/>
    <col min="11" max="12" width="9.109375" style="4"/>
    <col min="13" max="16" width="11.33203125" style="4" customWidth="1"/>
    <col min="17" max="16384" width="9.109375" style="4"/>
  </cols>
  <sheetData>
    <row r="2" spans="1:16" ht="13.8" thickBot="1" x14ac:dyDescent="0.3">
      <c r="J2" s="5"/>
      <c r="K2" s="5"/>
      <c r="L2" s="6"/>
      <c r="M2" s="6"/>
      <c r="O2" s="6"/>
      <c r="P2" s="6"/>
    </row>
    <row r="3" spans="1:16" s="10" customFormat="1" ht="18.600000000000001" customHeight="1" thickBot="1" x14ac:dyDescent="0.3">
      <c r="A3" s="10" t="s">
        <v>64</v>
      </c>
      <c r="B3" s="7"/>
      <c r="C3" s="8" t="s">
        <v>0</v>
      </c>
      <c r="D3" s="39" t="s">
        <v>26</v>
      </c>
      <c r="E3" s="44"/>
      <c r="F3" s="40"/>
      <c r="G3" s="9"/>
      <c r="H3" s="9"/>
      <c r="I3" s="8"/>
      <c r="J3" s="8" t="s">
        <v>3</v>
      </c>
      <c r="K3" s="45" t="s">
        <v>114</v>
      </c>
      <c r="L3" s="42"/>
      <c r="M3" s="43"/>
      <c r="O3" s="9"/>
      <c r="P3" s="9"/>
    </row>
    <row r="4" spans="1:16" x14ac:dyDescent="0.25">
      <c r="J4" s="5"/>
      <c r="K4" s="11"/>
      <c r="L4" s="5"/>
      <c r="M4" s="5"/>
      <c r="O4" s="5"/>
      <c r="P4" s="5"/>
    </row>
    <row r="5" spans="1:16" x14ac:dyDescent="0.25">
      <c r="J5" s="5"/>
      <c r="K5" s="5"/>
      <c r="L5" s="5"/>
      <c r="M5" s="5"/>
      <c r="O5" s="5"/>
      <c r="P5" s="5"/>
    </row>
    <row r="6" spans="1:16" x14ac:dyDescent="0.25">
      <c r="E6" s="2" t="s">
        <v>2</v>
      </c>
    </row>
    <row r="7" spans="1:16" x14ac:dyDescent="0.25">
      <c r="C7" s="12"/>
      <c r="D7" s="12" t="s">
        <v>57</v>
      </c>
      <c r="E7" s="13">
        <v>1735907.0899999996</v>
      </c>
    </row>
    <row r="8" spans="1:16" ht="13.8" thickBot="1" x14ac:dyDescent="0.3">
      <c r="C8" s="12"/>
      <c r="D8" s="12" t="s">
        <v>59</v>
      </c>
      <c r="E8" s="14">
        <v>-66505.589999999938</v>
      </c>
    </row>
    <row r="9" spans="1:16" ht="13.8" thickBot="1" x14ac:dyDescent="0.3">
      <c r="C9" s="12"/>
      <c r="D9" s="12" t="s">
        <v>58</v>
      </c>
      <c r="E9" s="15">
        <f>SUM(E7:E8)</f>
        <v>1669401.4999999998</v>
      </c>
      <c r="F9" s="4" t="s">
        <v>83</v>
      </c>
    </row>
    <row r="12" spans="1:16" x14ac:dyDescent="0.25">
      <c r="B12" s="16" t="s">
        <v>7</v>
      </c>
      <c r="C12" s="16"/>
    </row>
    <row r="13" spans="1:16" x14ac:dyDescent="0.25">
      <c r="B13" s="17" t="s">
        <v>15</v>
      </c>
      <c r="C13" s="4" t="str">
        <f>"Testimony of "&amp;K3</f>
        <v>Testimony of Chad Burnett</v>
      </c>
      <c r="H13" s="36" t="s">
        <v>137</v>
      </c>
    </row>
    <row r="14" spans="1:16" x14ac:dyDescent="0.25">
      <c r="B14" s="17" t="s">
        <v>15</v>
      </c>
      <c r="C14" s="4" t="s">
        <v>75</v>
      </c>
      <c r="H14" s="36" t="s">
        <v>152</v>
      </c>
    </row>
    <row r="16" spans="1:16" x14ac:dyDescent="0.25">
      <c r="B16" s="1" t="s">
        <v>4</v>
      </c>
      <c r="C16" s="1"/>
    </row>
    <row r="17" spans="2:8" x14ac:dyDescent="0.25">
      <c r="B17" s="17" t="s">
        <v>15</v>
      </c>
      <c r="C17" s="4" t="s">
        <v>5</v>
      </c>
      <c r="H17" s="36" t="s">
        <v>102</v>
      </c>
    </row>
    <row r="18" spans="2:8" x14ac:dyDescent="0.25">
      <c r="B18" s="17" t="s">
        <v>15</v>
      </c>
      <c r="C18" s="4" t="s">
        <v>10</v>
      </c>
      <c r="H18" s="36" t="s">
        <v>103</v>
      </c>
    </row>
    <row r="19" spans="2:8" x14ac:dyDescent="0.25">
      <c r="B19" s="17" t="s">
        <v>15</v>
      </c>
      <c r="C19" s="4" t="s">
        <v>6</v>
      </c>
      <c r="H19" s="36" t="s">
        <v>104</v>
      </c>
    </row>
    <row r="20" spans="2:8" x14ac:dyDescent="0.25">
      <c r="B20" s="17" t="s">
        <v>15</v>
      </c>
      <c r="C20" s="4" t="s">
        <v>43</v>
      </c>
      <c r="H20" s="36" t="s">
        <v>69</v>
      </c>
    </row>
    <row r="21" spans="2:8" x14ac:dyDescent="0.25">
      <c r="B21" s="17" t="s">
        <v>15</v>
      </c>
      <c r="C21" s="4" t="s">
        <v>22</v>
      </c>
      <c r="H21" s="36" t="s">
        <v>105</v>
      </c>
    </row>
    <row r="22" spans="2:8" x14ac:dyDescent="0.25">
      <c r="B22" s="17" t="s">
        <v>15</v>
      </c>
      <c r="C22" s="4" t="s">
        <v>9</v>
      </c>
      <c r="H22" s="36" t="s">
        <v>106</v>
      </c>
    </row>
    <row r="23" spans="2:8" x14ac:dyDescent="0.25">
      <c r="B23" s="17" t="s">
        <v>15</v>
      </c>
      <c r="C23" s="4" t="s">
        <v>53</v>
      </c>
      <c r="H23" s="36" t="s">
        <v>107</v>
      </c>
    </row>
    <row r="24" spans="2:8" x14ac:dyDescent="0.25">
      <c r="B24" s="17" t="s">
        <v>15</v>
      </c>
      <c r="C24" s="4" t="s">
        <v>54</v>
      </c>
      <c r="H24" s="36" t="s">
        <v>108</v>
      </c>
    </row>
    <row r="25" spans="2:8" x14ac:dyDescent="0.25">
      <c r="B25" s="17" t="s">
        <v>15</v>
      </c>
      <c r="C25" s="4" t="s">
        <v>11</v>
      </c>
      <c r="H25" s="36" t="s">
        <v>135</v>
      </c>
    </row>
    <row r="27" spans="2:8" x14ac:dyDescent="0.25">
      <c r="B27" s="16" t="s">
        <v>50</v>
      </c>
      <c r="C27" s="16"/>
    </row>
    <row r="28" spans="2:8" x14ac:dyDescent="0.25">
      <c r="B28" s="17" t="s">
        <v>15</v>
      </c>
      <c r="C28" s="18" t="s">
        <v>8</v>
      </c>
      <c r="H28" s="18" t="s">
        <v>72</v>
      </c>
    </row>
    <row r="29" spans="2:8" x14ac:dyDescent="0.25">
      <c r="B29" s="17" t="s">
        <v>15</v>
      </c>
      <c r="C29" s="4" t="s">
        <v>12</v>
      </c>
      <c r="H29" s="18" t="s">
        <v>73</v>
      </c>
    </row>
    <row r="30" spans="2:8" x14ac:dyDescent="0.25">
      <c r="B30" s="17" t="s">
        <v>15</v>
      </c>
      <c r="C30" s="4" t="s">
        <v>13</v>
      </c>
      <c r="H30" s="4" t="s">
        <v>61</v>
      </c>
    </row>
    <row r="31" spans="2:8" x14ac:dyDescent="0.25">
      <c r="B31" s="17" t="s">
        <v>15</v>
      </c>
      <c r="C31" s="4" t="s">
        <v>14</v>
      </c>
      <c r="H31" s="4" t="s">
        <v>61</v>
      </c>
    </row>
    <row r="33" spans="1:1" x14ac:dyDescent="0.25">
      <c r="A33" s="36" t="s">
        <v>160</v>
      </c>
    </row>
  </sheetData>
  <mergeCells count="2">
    <mergeCell ref="K3:M3"/>
    <mergeCell ref="D3:F3"/>
  </mergeCells>
  <phoneticPr fontId="0" type="noConversion"/>
  <printOptions horizontalCentered="1"/>
  <pageMargins left="0.75" right="0.51" top="1.64" bottom="0.64" header="1" footer="0.37"/>
  <pageSetup scale="97" orientation="landscape" r:id="rId1"/>
  <headerFooter alignWithMargins="0">
    <oddHeader>&amp;CPUBLIC UTILITY COMMISSION OF TEXAS
AEP TEXAS INC
Roadmap of Affiliate Class of Service
for the Test Year Ended September 30, 2023&amp;RDocket No. 56165
EXHIBIT BJF-2
Page &amp;P of &amp;N</oddHeader>
    <oddFooter>&amp;CBJF-2</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2">
    <pageSetUpPr fitToPage="1"/>
  </sheetPr>
  <dimension ref="A2:P33"/>
  <sheetViews>
    <sheetView tabSelected="1" zoomScaleNormal="100" workbookViewId="0">
      <selection activeCell="D5" sqref="D5"/>
    </sheetView>
  </sheetViews>
  <sheetFormatPr defaultColWidth="9.109375" defaultRowHeight="13.2" x14ac:dyDescent="0.25"/>
  <cols>
    <col min="1" max="1" width="13" style="4" customWidth="1"/>
    <col min="2" max="2" width="3.5546875" style="4" customWidth="1"/>
    <col min="3" max="3" width="4" style="4" customWidth="1"/>
    <col min="4" max="4" width="15.109375" style="4" customWidth="1"/>
    <col min="5" max="6" width="14" style="4" customWidth="1"/>
    <col min="7" max="7" width="14.88671875" style="4" customWidth="1"/>
    <col min="8" max="8" width="3" style="4" customWidth="1"/>
    <col min="9" max="9" width="9.109375" style="4"/>
    <col min="10" max="10" width="7.88671875" style="4" customWidth="1"/>
    <col min="11" max="12" width="9.109375" style="4"/>
    <col min="13" max="16" width="11.33203125" style="4" customWidth="1"/>
    <col min="17" max="16384" width="9.109375" style="4"/>
  </cols>
  <sheetData>
    <row r="2" spans="1:16" ht="13.8" thickBot="1" x14ac:dyDescent="0.3">
      <c r="J2" s="5"/>
      <c r="K2" s="5"/>
      <c r="L2" s="6"/>
      <c r="M2" s="6"/>
      <c r="O2" s="6"/>
      <c r="P2" s="6"/>
    </row>
    <row r="3" spans="1:16" s="10" customFormat="1" ht="18" customHeight="1" thickBot="1" x14ac:dyDescent="0.3">
      <c r="A3" s="10" t="s">
        <v>64</v>
      </c>
      <c r="B3" s="7"/>
      <c r="C3" s="8" t="s">
        <v>0</v>
      </c>
      <c r="D3" s="49" t="s">
        <v>94</v>
      </c>
      <c r="E3" s="50"/>
      <c r="F3" s="51"/>
      <c r="G3" s="9"/>
      <c r="H3" s="9"/>
      <c r="I3" s="8"/>
      <c r="J3" s="8" t="s">
        <v>3</v>
      </c>
      <c r="K3" s="45" t="s">
        <v>116</v>
      </c>
      <c r="L3" s="42"/>
      <c r="M3" s="43"/>
      <c r="O3" s="9"/>
      <c r="P3" s="9"/>
    </row>
    <row r="4" spans="1:16" x14ac:dyDescent="0.25">
      <c r="J4" s="5"/>
      <c r="K4" s="11"/>
      <c r="L4" s="5"/>
      <c r="M4" s="5"/>
      <c r="O4" s="5"/>
      <c r="P4" s="5"/>
    </row>
    <row r="5" spans="1:16" x14ac:dyDescent="0.25">
      <c r="J5" s="5"/>
      <c r="K5" s="5"/>
      <c r="L5" s="5"/>
      <c r="M5" s="5"/>
      <c r="O5" s="5"/>
      <c r="P5" s="5"/>
    </row>
    <row r="6" spans="1:16" x14ac:dyDescent="0.25">
      <c r="E6" s="2" t="s">
        <v>2</v>
      </c>
    </row>
    <row r="7" spans="1:16" x14ac:dyDescent="0.25">
      <c r="C7" s="12"/>
      <c r="D7" s="12" t="s">
        <v>57</v>
      </c>
      <c r="E7" s="13">
        <v>1948046.5899999994</v>
      </c>
    </row>
    <row r="8" spans="1:16" ht="13.8" thickBot="1" x14ac:dyDescent="0.3">
      <c r="C8" s="12"/>
      <c r="D8" s="12" t="s">
        <v>59</v>
      </c>
      <c r="E8" s="14">
        <v>-26483.349999999984</v>
      </c>
    </row>
    <row r="9" spans="1:16" ht="13.8" thickBot="1" x14ac:dyDescent="0.3">
      <c r="C9" s="12"/>
      <c r="D9" s="12" t="s">
        <v>58</v>
      </c>
      <c r="E9" s="15">
        <f>SUM(E7:E8)</f>
        <v>1921563.2399999993</v>
      </c>
      <c r="F9" s="18"/>
    </row>
    <row r="12" spans="1:16" ht="12" customHeight="1" x14ac:dyDescent="0.25">
      <c r="B12" s="16" t="s">
        <v>7</v>
      </c>
      <c r="C12" s="16"/>
    </row>
    <row r="13" spans="1:16" x14ac:dyDescent="0.25">
      <c r="B13" s="17" t="s">
        <v>15</v>
      </c>
      <c r="C13" s="4" t="str">
        <f>"Testimony of "&amp;K3</f>
        <v>Testimony of Joe Brenner</v>
      </c>
      <c r="H13" s="36" t="s">
        <v>137</v>
      </c>
    </row>
    <row r="14" spans="1:16" x14ac:dyDescent="0.25">
      <c r="B14" s="17" t="s">
        <v>15</v>
      </c>
      <c r="C14" s="18" t="s">
        <v>75</v>
      </c>
      <c r="H14" s="36" t="s">
        <v>153</v>
      </c>
    </row>
    <row r="16" spans="1:16" x14ac:dyDescent="0.25">
      <c r="B16" s="1" t="s">
        <v>4</v>
      </c>
      <c r="C16" s="1"/>
    </row>
    <row r="17" spans="2:8" x14ac:dyDescent="0.25">
      <c r="B17" s="17" t="s">
        <v>15</v>
      </c>
      <c r="C17" s="4" t="s">
        <v>5</v>
      </c>
      <c r="H17" s="36" t="s">
        <v>102</v>
      </c>
    </row>
    <row r="18" spans="2:8" x14ac:dyDescent="0.25">
      <c r="B18" s="17" t="s">
        <v>15</v>
      </c>
      <c r="C18" s="4" t="s">
        <v>10</v>
      </c>
      <c r="H18" s="36" t="s">
        <v>103</v>
      </c>
    </row>
    <row r="19" spans="2:8" x14ac:dyDescent="0.25">
      <c r="B19" s="17" t="s">
        <v>15</v>
      </c>
      <c r="C19" s="4" t="s">
        <v>6</v>
      </c>
      <c r="H19" s="36" t="s">
        <v>104</v>
      </c>
    </row>
    <row r="20" spans="2:8" x14ac:dyDescent="0.25">
      <c r="B20" s="17" t="s">
        <v>15</v>
      </c>
      <c r="C20" s="4" t="s">
        <v>43</v>
      </c>
      <c r="H20" s="36" t="s">
        <v>69</v>
      </c>
    </row>
    <row r="21" spans="2:8" x14ac:dyDescent="0.25">
      <c r="B21" s="17" t="s">
        <v>15</v>
      </c>
      <c r="C21" s="4" t="s">
        <v>22</v>
      </c>
      <c r="H21" s="36" t="s">
        <v>105</v>
      </c>
    </row>
    <row r="22" spans="2:8" x14ac:dyDescent="0.25">
      <c r="B22" s="17" t="s">
        <v>15</v>
      </c>
      <c r="C22" s="4" t="s">
        <v>9</v>
      </c>
      <c r="H22" s="36" t="s">
        <v>106</v>
      </c>
    </row>
    <row r="23" spans="2:8" x14ac:dyDescent="0.25">
      <c r="B23" s="17" t="s">
        <v>15</v>
      </c>
      <c r="C23" s="4" t="s">
        <v>53</v>
      </c>
      <c r="H23" s="36" t="s">
        <v>107</v>
      </c>
    </row>
    <row r="24" spans="2:8" x14ac:dyDescent="0.25">
      <c r="B24" s="17" t="s">
        <v>15</v>
      </c>
      <c r="C24" s="4" t="s">
        <v>54</v>
      </c>
      <c r="H24" s="36" t="s">
        <v>108</v>
      </c>
    </row>
    <row r="25" spans="2:8" x14ac:dyDescent="0.25">
      <c r="B25" s="17" t="s">
        <v>15</v>
      </c>
      <c r="C25" s="4" t="s">
        <v>11</v>
      </c>
      <c r="H25" s="36" t="s">
        <v>139</v>
      </c>
    </row>
    <row r="27" spans="2:8" x14ac:dyDescent="0.25">
      <c r="B27" s="16" t="s">
        <v>50</v>
      </c>
      <c r="C27" s="16"/>
    </row>
    <row r="28" spans="2:8" x14ac:dyDescent="0.25">
      <c r="B28" s="17" t="s">
        <v>15</v>
      </c>
      <c r="C28" s="18" t="s">
        <v>8</v>
      </c>
      <c r="H28" s="18" t="s">
        <v>72</v>
      </c>
    </row>
    <row r="29" spans="2:8" x14ac:dyDescent="0.25">
      <c r="B29" s="17" t="s">
        <v>15</v>
      </c>
      <c r="C29" s="4" t="s">
        <v>12</v>
      </c>
      <c r="H29" s="18" t="s">
        <v>73</v>
      </c>
    </row>
    <row r="30" spans="2:8" x14ac:dyDescent="0.25">
      <c r="B30" s="17" t="s">
        <v>15</v>
      </c>
      <c r="C30" s="4" t="s">
        <v>13</v>
      </c>
      <c r="H30" s="4" t="s">
        <v>61</v>
      </c>
    </row>
    <row r="31" spans="2:8" x14ac:dyDescent="0.25">
      <c r="B31" s="17" t="s">
        <v>15</v>
      </c>
      <c r="C31" s="4" t="s">
        <v>14</v>
      </c>
      <c r="H31" s="4" t="s">
        <v>61</v>
      </c>
    </row>
    <row r="33" spans="1:14" x14ac:dyDescent="0.25">
      <c r="A33" s="52"/>
      <c r="B33" s="53"/>
      <c r="C33" s="53"/>
      <c r="D33" s="53"/>
      <c r="E33" s="53"/>
      <c r="F33" s="53"/>
      <c r="G33" s="53"/>
      <c r="H33" s="54"/>
      <c r="I33" s="54"/>
      <c r="J33" s="54"/>
      <c r="K33" s="54"/>
      <c r="L33" s="54"/>
      <c r="M33" s="54"/>
      <c r="N33" s="54"/>
    </row>
  </sheetData>
  <mergeCells count="3">
    <mergeCell ref="D3:F3"/>
    <mergeCell ref="K3:M3"/>
    <mergeCell ref="A33:N33"/>
  </mergeCells>
  <printOptions horizontalCentered="1"/>
  <pageMargins left="0.75" right="0.51" top="1.64" bottom="0.64" header="1" footer="0.37"/>
  <pageSetup scale="89" orientation="landscape" r:id="rId1"/>
  <headerFooter alignWithMargins="0">
    <oddHeader>&amp;CPUBLIC UTILITY COMMISSION OF TEXAS
AEP TEXAS INC
Roadmap of Affiliate Class of Service
for the Test Year Ended September 30, 2023&amp;RDocket No. 56165
EXHIBIT BJF-2
Page &amp;P of &amp;N</oddHeader>
    <oddFooter>&amp;CBJF-2</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1">
    <pageSetUpPr fitToPage="1"/>
  </sheetPr>
  <dimension ref="A2:P31"/>
  <sheetViews>
    <sheetView tabSelected="1" zoomScaleNormal="100" workbookViewId="0">
      <selection activeCell="D5" sqref="D5"/>
    </sheetView>
  </sheetViews>
  <sheetFormatPr defaultColWidth="9.109375" defaultRowHeight="13.2" x14ac:dyDescent="0.25"/>
  <cols>
    <col min="1" max="1" width="13" style="4" customWidth="1"/>
    <col min="2" max="2" width="3.5546875" style="4" customWidth="1"/>
    <col min="3" max="3" width="4" style="4" customWidth="1"/>
    <col min="4" max="6" width="14" style="4" customWidth="1"/>
    <col min="7" max="7" width="14.88671875" style="4" customWidth="1"/>
    <col min="8" max="8" width="3" style="4" customWidth="1"/>
    <col min="9" max="9" width="9.109375" style="4"/>
    <col min="10" max="10" width="7.88671875" style="4" customWidth="1"/>
    <col min="11" max="12" width="9.109375" style="4"/>
    <col min="13" max="16" width="11.33203125" style="4" customWidth="1"/>
    <col min="17" max="16384" width="9.109375" style="4"/>
  </cols>
  <sheetData>
    <row r="2" spans="1:16" ht="13.8" thickBot="1" x14ac:dyDescent="0.3">
      <c r="J2" s="5"/>
      <c r="K2" s="5"/>
      <c r="L2" s="6"/>
      <c r="M2" s="6"/>
      <c r="O2" s="6"/>
      <c r="P2" s="6"/>
    </row>
    <row r="3" spans="1:16" s="10" customFormat="1" ht="18.600000000000001" customHeight="1" thickBot="1" x14ac:dyDescent="0.3">
      <c r="A3" s="10" t="s">
        <v>64</v>
      </c>
      <c r="B3" s="7"/>
      <c r="C3" s="8" t="s">
        <v>0</v>
      </c>
      <c r="D3" s="39" t="s">
        <v>44</v>
      </c>
      <c r="E3" s="44"/>
      <c r="F3" s="40"/>
      <c r="G3" s="9"/>
      <c r="H3" s="9"/>
      <c r="I3" s="8"/>
      <c r="J3" s="8" t="s">
        <v>3</v>
      </c>
      <c r="K3" s="41" t="s">
        <v>93</v>
      </c>
      <c r="L3" s="42"/>
      <c r="M3" s="43"/>
      <c r="O3" s="9"/>
      <c r="P3" s="9"/>
    </row>
    <row r="4" spans="1:16" x14ac:dyDescent="0.25">
      <c r="J4" s="5"/>
      <c r="K4" s="11"/>
      <c r="L4" s="5"/>
      <c r="M4" s="5"/>
      <c r="O4" s="5"/>
      <c r="P4" s="5"/>
    </row>
    <row r="5" spans="1:16" x14ac:dyDescent="0.25">
      <c r="J5" s="5"/>
      <c r="K5" s="5"/>
      <c r="L5" s="5"/>
      <c r="M5" s="5"/>
      <c r="O5" s="5"/>
      <c r="P5" s="5"/>
    </row>
    <row r="6" spans="1:16" x14ac:dyDescent="0.25">
      <c r="E6" s="2" t="s">
        <v>2</v>
      </c>
    </row>
    <row r="7" spans="1:16" x14ac:dyDescent="0.25">
      <c r="C7" s="12"/>
      <c r="D7" s="12" t="s">
        <v>57</v>
      </c>
      <c r="E7" s="13">
        <v>994130.5</v>
      </c>
    </row>
    <row r="8" spans="1:16" ht="13.8" thickBot="1" x14ac:dyDescent="0.3">
      <c r="C8" s="12"/>
      <c r="D8" s="12" t="s">
        <v>59</v>
      </c>
      <c r="E8" s="14">
        <v>-4994.62</v>
      </c>
    </row>
    <row r="9" spans="1:16" ht="13.8" thickBot="1" x14ac:dyDescent="0.3">
      <c r="C9" s="12"/>
      <c r="D9" s="12" t="s">
        <v>58</v>
      </c>
      <c r="E9" s="15">
        <f>SUM(E7:E8)</f>
        <v>989135.88</v>
      </c>
    </row>
    <row r="12" spans="1:16" x14ac:dyDescent="0.25">
      <c r="B12" s="16" t="s">
        <v>7</v>
      </c>
      <c r="C12" s="16"/>
    </row>
    <row r="13" spans="1:16" x14ac:dyDescent="0.25">
      <c r="B13" s="17" t="s">
        <v>15</v>
      </c>
      <c r="C13" s="4" t="str">
        <f>"Testimony of "&amp;K3</f>
        <v>Testimony of Gilbert Hughes</v>
      </c>
      <c r="H13" s="36" t="s">
        <v>154</v>
      </c>
    </row>
    <row r="14" spans="1:16" x14ac:dyDescent="0.25">
      <c r="B14" s="17" t="s">
        <v>15</v>
      </c>
      <c r="C14" s="4" t="s">
        <v>75</v>
      </c>
      <c r="H14" s="36" t="s">
        <v>155</v>
      </c>
    </row>
    <row r="16" spans="1:16" x14ac:dyDescent="0.25">
      <c r="B16" s="1" t="s">
        <v>4</v>
      </c>
      <c r="C16" s="1"/>
    </row>
    <row r="17" spans="2:8" x14ac:dyDescent="0.25">
      <c r="B17" s="17" t="s">
        <v>15</v>
      </c>
      <c r="C17" s="4" t="s">
        <v>5</v>
      </c>
      <c r="H17" s="36" t="s">
        <v>102</v>
      </c>
    </row>
    <row r="18" spans="2:8" x14ac:dyDescent="0.25">
      <c r="B18" s="17" t="s">
        <v>15</v>
      </c>
      <c r="C18" s="4" t="s">
        <v>10</v>
      </c>
      <c r="H18" s="36" t="s">
        <v>103</v>
      </c>
    </row>
    <row r="19" spans="2:8" x14ac:dyDescent="0.25">
      <c r="B19" s="17" t="s">
        <v>15</v>
      </c>
      <c r="C19" s="4" t="s">
        <v>6</v>
      </c>
      <c r="H19" s="36" t="s">
        <v>104</v>
      </c>
    </row>
    <row r="20" spans="2:8" x14ac:dyDescent="0.25">
      <c r="B20" s="17" t="s">
        <v>15</v>
      </c>
      <c r="C20" s="4" t="s">
        <v>43</v>
      </c>
      <c r="H20" s="36" t="s">
        <v>69</v>
      </c>
    </row>
    <row r="21" spans="2:8" x14ac:dyDescent="0.25">
      <c r="B21" s="17" t="s">
        <v>15</v>
      </c>
      <c r="C21" s="4" t="s">
        <v>22</v>
      </c>
      <c r="H21" s="36" t="s">
        <v>105</v>
      </c>
    </row>
    <row r="22" spans="2:8" x14ac:dyDescent="0.25">
      <c r="B22" s="17" t="s">
        <v>15</v>
      </c>
      <c r="C22" s="4" t="s">
        <v>9</v>
      </c>
      <c r="H22" s="36" t="s">
        <v>106</v>
      </c>
    </row>
    <row r="23" spans="2:8" x14ac:dyDescent="0.25">
      <c r="B23" s="17" t="s">
        <v>15</v>
      </c>
      <c r="C23" s="4" t="s">
        <v>53</v>
      </c>
      <c r="H23" s="36" t="s">
        <v>107</v>
      </c>
    </row>
    <row r="24" spans="2:8" x14ac:dyDescent="0.25">
      <c r="B24" s="17" t="s">
        <v>15</v>
      </c>
      <c r="C24" s="4" t="s">
        <v>54</v>
      </c>
      <c r="H24" s="36" t="s">
        <v>108</v>
      </c>
    </row>
    <row r="25" spans="2:8" x14ac:dyDescent="0.25">
      <c r="B25" s="17" t="s">
        <v>15</v>
      </c>
      <c r="C25" s="4" t="s">
        <v>11</v>
      </c>
      <c r="H25" s="18" t="s">
        <v>79</v>
      </c>
    </row>
    <row r="27" spans="2:8" x14ac:dyDescent="0.25">
      <c r="B27" s="16" t="s">
        <v>50</v>
      </c>
      <c r="C27" s="16"/>
    </row>
    <row r="28" spans="2:8" x14ac:dyDescent="0.25">
      <c r="B28" s="17" t="s">
        <v>15</v>
      </c>
      <c r="C28" s="18" t="s">
        <v>8</v>
      </c>
      <c r="H28" s="18" t="s">
        <v>72</v>
      </c>
    </row>
    <row r="29" spans="2:8" x14ac:dyDescent="0.25">
      <c r="B29" s="17" t="s">
        <v>15</v>
      </c>
      <c r="C29" s="4" t="s">
        <v>12</v>
      </c>
      <c r="H29" s="18" t="s">
        <v>73</v>
      </c>
    </row>
    <row r="30" spans="2:8" x14ac:dyDescent="0.25">
      <c r="B30" s="17" t="s">
        <v>15</v>
      </c>
      <c r="C30" s="4" t="s">
        <v>13</v>
      </c>
      <c r="H30" s="4" t="s">
        <v>61</v>
      </c>
    </row>
    <row r="31" spans="2:8" x14ac:dyDescent="0.25">
      <c r="B31" s="17" t="s">
        <v>15</v>
      </c>
      <c r="C31" s="4" t="s">
        <v>14</v>
      </c>
      <c r="H31" s="4" t="s">
        <v>61</v>
      </c>
    </row>
  </sheetData>
  <mergeCells count="2">
    <mergeCell ref="K3:M3"/>
    <mergeCell ref="D3:F3"/>
  </mergeCells>
  <phoneticPr fontId="0" type="noConversion"/>
  <printOptions horizontalCentered="1"/>
  <pageMargins left="0.75" right="0.51" top="1.64" bottom="0.64" header="1" footer="0.37"/>
  <pageSetup scale="97" orientation="landscape" r:id="rId1"/>
  <headerFooter alignWithMargins="0">
    <oddHeader>&amp;CPUBLIC UTILITY COMMISSION OF TEXAS
AEP TEXAS INC
Roadmap of Affiliate Class of Service
for the Test Year Ended September 30, 2023&amp;RDocket No. 56165
EXHIBIT BJF-2
Page &amp;P of &amp;N</oddHeader>
    <oddFooter>&amp;CBJF-2</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6">
    <pageSetUpPr fitToPage="1"/>
  </sheetPr>
  <dimension ref="A2:P31"/>
  <sheetViews>
    <sheetView tabSelected="1" zoomScaleNormal="100" workbookViewId="0">
      <selection activeCell="D5" sqref="D5"/>
    </sheetView>
  </sheetViews>
  <sheetFormatPr defaultColWidth="9.109375" defaultRowHeight="13.2" x14ac:dyDescent="0.25"/>
  <cols>
    <col min="1" max="1" width="13" style="4" customWidth="1"/>
    <col min="2" max="2" width="3.5546875" style="4" customWidth="1"/>
    <col min="3" max="3" width="4" style="4" customWidth="1"/>
    <col min="4" max="4" width="14" style="4" customWidth="1"/>
    <col min="5" max="5" width="15.88671875" style="4" customWidth="1"/>
    <col min="6" max="6" width="14" style="4" customWidth="1"/>
    <col min="7" max="7" width="14.88671875" style="4" customWidth="1"/>
    <col min="8" max="8" width="3" style="4" customWidth="1"/>
    <col min="9" max="9" width="9.109375" style="4"/>
    <col min="10" max="10" width="7.88671875" style="4" customWidth="1"/>
    <col min="11" max="12" width="9.109375" style="4"/>
    <col min="13" max="16" width="11.33203125" style="4" customWidth="1"/>
    <col min="17" max="16384" width="9.109375" style="4"/>
  </cols>
  <sheetData>
    <row r="2" spans="1:16" ht="13.8" thickBot="1" x14ac:dyDescent="0.3">
      <c r="J2" s="5"/>
      <c r="K2" s="5"/>
      <c r="L2" s="6"/>
      <c r="M2" s="6"/>
      <c r="O2" s="6"/>
      <c r="P2" s="6"/>
    </row>
    <row r="3" spans="1:16" s="10" customFormat="1" ht="18" customHeight="1" thickBot="1" x14ac:dyDescent="0.3">
      <c r="A3" s="10" t="s">
        <v>64</v>
      </c>
      <c r="B3" s="7"/>
      <c r="C3" s="8" t="s">
        <v>0</v>
      </c>
      <c r="D3" s="49" t="s">
        <v>123</v>
      </c>
      <c r="E3" s="50"/>
      <c r="F3" s="51"/>
      <c r="G3" s="9"/>
      <c r="H3" s="9"/>
      <c r="I3" s="8"/>
      <c r="J3" s="8" t="s">
        <v>3</v>
      </c>
      <c r="K3" s="45" t="s">
        <v>114</v>
      </c>
      <c r="L3" s="42"/>
      <c r="M3" s="43"/>
      <c r="O3" s="9"/>
      <c r="P3" s="9"/>
    </row>
    <row r="4" spans="1:16" x14ac:dyDescent="0.25">
      <c r="J4" s="5"/>
      <c r="K4" s="11"/>
      <c r="L4" s="5"/>
      <c r="M4" s="5"/>
      <c r="O4" s="5"/>
      <c r="P4" s="5"/>
    </row>
    <row r="5" spans="1:16" x14ac:dyDescent="0.25">
      <c r="J5" s="5"/>
      <c r="K5" s="5"/>
      <c r="L5" s="5"/>
      <c r="M5" s="5"/>
      <c r="O5" s="5"/>
      <c r="P5" s="5"/>
    </row>
    <row r="6" spans="1:16" x14ac:dyDescent="0.25">
      <c r="E6" s="2" t="s">
        <v>2</v>
      </c>
    </row>
    <row r="7" spans="1:16" x14ac:dyDescent="0.25">
      <c r="C7" s="12"/>
      <c r="D7" s="12" t="s">
        <v>57</v>
      </c>
      <c r="E7" s="13">
        <v>789454.96000000008</v>
      </c>
    </row>
    <row r="8" spans="1:16" ht="13.8" thickBot="1" x14ac:dyDescent="0.3">
      <c r="C8" s="12"/>
      <c r="D8" s="12" t="s">
        <v>59</v>
      </c>
      <c r="E8" s="14">
        <v>-256206.27000000005</v>
      </c>
    </row>
    <row r="9" spans="1:16" ht="13.8" thickBot="1" x14ac:dyDescent="0.3">
      <c r="C9" s="12"/>
      <c r="D9" s="12" t="s">
        <v>58</v>
      </c>
      <c r="E9" s="15">
        <f>SUM(E7:E8)</f>
        <v>533248.69000000006</v>
      </c>
    </row>
    <row r="12" spans="1:16" x14ac:dyDescent="0.25">
      <c r="B12" s="16" t="s">
        <v>7</v>
      </c>
      <c r="C12" s="16"/>
    </row>
    <row r="13" spans="1:16" x14ac:dyDescent="0.25">
      <c r="B13" s="17" t="s">
        <v>15</v>
      </c>
      <c r="C13" s="4" t="str">
        <f>"Testimony of "&amp;K3</f>
        <v>Testimony of Chad Burnett</v>
      </c>
      <c r="H13" s="36" t="s">
        <v>137</v>
      </c>
    </row>
    <row r="14" spans="1:16" x14ac:dyDescent="0.25">
      <c r="B14" s="17" t="s">
        <v>15</v>
      </c>
      <c r="C14" s="18" t="s">
        <v>75</v>
      </c>
      <c r="H14" s="36" t="s">
        <v>156</v>
      </c>
    </row>
    <row r="16" spans="1:16" x14ac:dyDescent="0.25">
      <c r="B16" s="1" t="s">
        <v>4</v>
      </c>
      <c r="C16" s="1"/>
    </row>
    <row r="17" spans="2:8" x14ac:dyDescent="0.25">
      <c r="B17" s="17" t="s">
        <v>15</v>
      </c>
      <c r="C17" s="4" t="s">
        <v>5</v>
      </c>
      <c r="H17" s="36" t="s">
        <v>102</v>
      </c>
    </row>
    <row r="18" spans="2:8" x14ac:dyDescent="0.25">
      <c r="B18" s="17" t="s">
        <v>15</v>
      </c>
      <c r="C18" s="4" t="s">
        <v>10</v>
      </c>
      <c r="H18" s="36" t="s">
        <v>103</v>
      </c>
    </row>
    <row r="19" spans="2:8" x14ac:dyDescent="0.25">
      <c r="B19" s="17" t="s">
        <v>15</v>
      </c>
      <c r="C19" s="4" t="s">
        <v>6</v>
      </c>
      <c r="H19" s="36" t="s">
        <v>104</v>
      </c>
    </row>
    <row r="20" spans="2:8" x14ac:dyDescent="0.25">
      <c r="B20" s="17" t="s">
        <v>15</v>
      </c>
      <c r="C20" s="4" t="s">
        <v>43</v>
      </c>
      <c r="H20" s="36" t="s">
        <v>69</v>
      </c>
    </row>
    <row r="21" spans="2:8" x14ac:dyDescent="0.25">
      <c r="B21" s="17" t="s">
        <v>15</v>
      </c>
      <c r="C21" s="4" t="s">
        <v>22</v>
      </c>
      <c r="H21" s="36" t="s">
        <v>105</v>
      </c>
    </row>
    <row r="22" spans="2:8" x14ac:dyDescent="0.25">
      <c r="B22" s="17" t="s">
        <v>15</v>
      </c>
      <c r="C22" s="4" t="s">
        <v>9</v>
      </c>
      <c r="H22" s="36" t="s">
        <v>106</v>
      </c>
    </row>
    <row r="23" spans="2:8" x14ac:dyDescent="0.25">
      <c r="B23" s="17" t="s">
        <v>15</v>
      </c>
      <c r="C23" s="4" t="s">
        <v>53</v>
      </c>
      <c r="H23" s="36" t="s">
        <v>107</v>
      </c>
    </row>
    <row r="24" spans="2:8" x14ac:dyDescent="0.25">
      <c r="B24" s="17" t="s">
        <v>15</v>
      </c>
      <c r="C24" s="4" t="s">
        <v>54</v>
      </c>
      <c r="H24" s="36" t="s">
        <v>108</v>
      </c>
    </row>
    <row r="25" spans="2:8" x14ac:dyDescent="0.25">
      <c r="B25" s="17" t="s">
        <v>15</v>
      </c>
      <c r="C25" s="4" t="s">
        <v>11</v>
      </c>
      <c r="H25" s="36" t="s">
        <v>135</v>
      </c>
    </row>
    <row r="27" spans="2:8" x14ac:dyDescent="0.25">
      <c r="B27" s="16" t="s">
        <v>50</v>
      </c>
      <c r="C27" s="16"/>
    </row>
    <row r="28" spans="2:8" x14ac:dyDescent="0.25">
      <c r="B28" s="17" t="s">
        <v>15</v>
      </c>
      <c r="C28" s="18" t="s">
        <v>8</v>
      </c>
      <c r="H28" s="18" t="s">
        <v>72</v>
      </c>
    </row>
    <row r="29" spans="2:8" x14ac:dyDescent="0.25">
      <c r="B29" s="17" t="s">
        <v>15</v>
      </c>
      <c r="C29" s="4" t="s">
        <v>12</v>
      </c>
      <c r="H29" s="18" t="s">
        <v>73</v>
      </c>
    </row>
    <row r="30" spans="2:8" x14ac:dyDescent="0.25">
      <c r="B30" s="17" t="s">
        <v>15</v>
      </c>
      <c r="C30" s="4" t="s">
        <v>13</v>
      </c>
      <c r="H30" s="4" t="s">
        <v>61</v>
      </c>
    </row>
    <row r="31" spans="2:8" x14ac:dyDescent="0.25">
      <c r="B31" s="17" t="s">
        <v>15</v>
      </c>
      <c r="C31" s="4" t="s">
        <v>14</v>
      </c>
      <c r="H31" s="4" t="s">
        <v>61</v>
      </c>
    </row>
  </sheetData>
  <mergeCells count="2">
    <mergeCell ref="D3:F3"/>
    <mergeCell ref="K3:M3"/>
  </mergeCells>
  <phoneticPr fontId="5" type="noConversion"/>
  <printOptions horizontalCentered="1"/>
  <pageMargins left="0.75" right="0.51" top="1.64" bottom="0.64" header="1" footer="0.37"/>
  <pageSetup scale="96" orientation="landscape" r:id="rId1"/>
  <headerFooter alignWithMargins="0">
    <oddHeader>&amp;CPUBLIC UTILITY COMMISSION OF TEXAS
AEP TEXAS INC
Roadmap of Affiliate Class of Service
for the Test Year Ended September 30, 2023&amp;RDocket No. 56165
EXHIBIT BJF-2
Page &amp;P of &amp;N</oddHeader>
    <oddFooter>&amp;CBJF-2</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9">
    <pageSetUpPr fitToPage="1"/>
  </sheetPr>
  <dimension ref="A2:P29"/>
  <sheetViews>
    <sheetView tabSelected="1" zoomScaleNormal="100" workbookViewId="0">
      <selection activeCell="D5" sqref="D5"/>
    </sheetView>
  </sheetViews>
  <sheetFormatPr defaultColWidth="9.109375" defaultRowHeight="13.2" x14ac:dyDescent="0.25"/>
  <cols>
    <col min="1" max="1" width="13" style="4" customWidth="1"/>
    <col min="2" max="2" width="3.5546875" style="4" customWidth="1"/>
    <col min="3" max="3" width="4" style="4" customWidth="1"/>
    <col min="4" max="4" width="14" style="4" customWidth="1"/>
    <col min="5" max="5" width="15.109375" style="4" bestFit="1" customWidth="1"/>
    <col min="6" max="6" width="14" style="4" customWidth="1"/>
    <col min="7" max="7" width="14.88671875" style="4" customWidth="1"/>
    <col min="8" max="8" width="3" style="4" customWidth="1"/>
    <col min="9" max="9" width="9.109375" style="4"/>
    <col min="10" max="10" width="7.88671875" style="4" customWidth="1"/>
    <col min="11" max="12" width="9.109375" style="4"/>
    <col min="13" max="16" width="11.33203125" style="4" customWidth="1"/>
    <col min="17" max="16384" width="9.109375" style="4"/>
  </cols>
  <sheetData>
    <row r="2" spans="1:16" ht="13.8" thickBot="1" x14ac:dyDescent="0.3">
      <c r="J2" s="5"/>
      <c r="K2" s="5"/>
      <c r="L2" s="6"/>
      <c r="M2" s="6"/>
      <c r="O2" s="6"/>
      <c r="P2" s="6"/>
    </row>
    <row r="3" spans="1:16" s="10" customFormat="1" ht="18" customHeight="1" thickBot="1" x14ac:dyDescent="0.3">
      <c r="A3" s="10" t="s">
        <v>64</v>
      </c>
      <c r="B3" s="7"/>
      <c r="C3" s="8" t="s">
        <v>0</v>
      </c>
      <c r="D3" s="49" t="s">
        <v>77</v>
      </c>
      <c r="E3" s="50"/>
      <c r="F3" s="51"/>
      <c r="G3" s="9"/>
      <c r="H3" s="9"/>
      <c r="I3" s="8"/>
      <c r="J3" s="8" t="s">
        <v>3</v>
      </c>
      <c r="K3" s="41" t="s">
        <v>74</v>
      </c>
      <c r="L3" s="42"/>
      <c r="M3" s="43"/>
      <c r="O3" s="9"/>
      <c r="P3" s="9"/>
    </row>
    <row r="4" spans="1:16" x14ac:dyDescent="0.25">
      <c r="J4" s="5"/>
      <c r="K4" s="11"/>
      <c r="L4" s="5"/>
      <c r="M4" s="5"/>
      <c r="O4" s="5"/>
      <c r="P4" s="5"/>
    </row>
    <row r="5" spans="1:16" x14ac:dyDescent="0.25">
      <c r="J5" s="5"/>
      <c r="K5" s="5"/>
      <c r="L5" s="5"/>
      <c r="M5" s="5"/>
      <c r="O5" s="5"/>
      <c r="P5" s="5"/>
    </row>
    <row r="6" spans="1:16" x14ac:dyDescent="0.25">
      <c r="E6" s="2" t="s">
        <v>2</v>
      </c>
    </row>
    <row r="7" spans="1:16" x14ac:dyDescent="0.25">
      <c r="C7" s="12"/>
      <c r="D7" s="12" t="s">
        <v>57</v>
      </c>
      <c r="E7" s="13">
        <v>11437153.799999306</v>
      </c>
    </row>
    <row r="8" spans="1:16" ht="13.8" thickBot="1" x14ac:dyDescent="0.3">
      <c r="C8" s="12"/>
      <c r="D8" s="12" t="s">
        <v>59</v>
      </c>
      <c r="E8" s="14">
        <v>-995167.4900000334</v>
      </c>
    </row>
    <row r="9" spans="1:16" ht="13.8" thickBot="1" x14ac:dyDescent="0.3">
      <c r="C9" s="12"/>
      <c r="D9" s="12" t="s">
        <v>58</v>
      </c>
      <c r="E9" s="15">
        <f>SUM(E7:E8)</f>
        <v>10441986.309999272</v>
      </c>
    </row>
    <row r="12" spans="1:16" x14ac:dyDescent="0.25">
      <c r="B12" s="16" t="s">
        <v>7</v>
      </c>
      <c r="C12" s="16"/>
    </row>
    <row r="13" spans="1:16" x14ac:dyDescent="0.25">
      <c r="B13" s="17" t="s">
        <v>15</v>
      </c>
      <c r="C13" s="4" t="str">
        <f>"Testimony of "&amp;K3</f>
        <v>Testimony of Brian J. Frantz</v>
      </c>
      <c r="H13" s="36" t="s">
        <v>157</v>
      </c>
    </row>
    <row r="15" spans="1:16" x14ac:dyDescent="0.25">
      <c r="B15" s="1" t="s">
        <v>4</v>
      </c>
      <c r="C15" s="1"/>
    </row>
    <row r="16" spans="1:16" x14ac:dyDescent="0.25">
      <c r="B16" s="17" t="s">
        <v>15</v>
      </c>
      <c r="C16" s="4" t="s">
        <v>5</v>
      </c>
      <c r="H16" s="36" t="s">
        <v>102</v>
      </c>
    </row>
    <row r="17" spans="2:8" x14ac:dyDescent="0.25">
      <c r="B17" s="17" t="s">
        <v>15</v>
      </c>
      <c r="C17" s="4" t="s">
        <v>10</v>
      </c>
      <c r="H17" s="36" t="s">
        <v>103</v>
      </c>
    </row>
    <row r="18" spans="2:8" x14ac:dyDescent="0.25">
      <c r="B18" s="17" t="s">
        <v>15</v>
      </c>
      <c r="C18" s="4" t="s">
        <v>6</v>
      </c>
      <c r="H18" s="36" t="s">
        <v>104</v>
      </c>
    </row>
    <row r="19" spans="2:8" x14ac:dyDescent="0.25">
      <c r="B19" s="17" t="s">
        <v>15</v>
      </c>
      <c r="C19" s="4" t="s">
        <v>43</v>
      </c>
      <c r="H19" s="36" t="s">
        <v>69</v>
      </c>
    </row>
    <row r="20" spans="2:8" x14ac:dyDescent="0.25">
      <c r="B20" s="17" t="s">
        <v>15</v>
      </c>
      <c r="C20" s="4" t="s">
        <v>22</v>
      </c>
      <c r="H20" s="36" t="s">
        <v>105</v>
      </c>
    </row>
    <row r="21" spans="2:8" x14ac:dyDescent="0.25">
      <c r="B21" s="17" t="s">
        <v>15</v>
      </c>
      <c r="C21" s="4" t="s">
        <v>9</v>
      </c>
      <c r="H21" s="36" t="s">
        <v>106</v>
      </c>
    </row>
    <row r="22" spans="2:8" x14ac:dyDescent="0.25">
      <c r="B22" s="17" t="s">
        <v>15</v>
      </c>
      <c r="C22" s="4" t="s">
        <v>53</v>
      </c>
      <c r="H22" s="36" t="s">
        <v>107</v>
      </c>
    </row>
    <row r="23" spans="2:8" x14ac:dyDescent="0.25">
      <c r="B23" s="17" t="s">
        <v>15</v>
      </c>
      <c r="C23" s="4" t="s">
        <v>54</v>
      </c>
      <c r="H23" s="36" t="s">
        <v>108</v>
      </c>
    </row>
    <row r="25" spans="2:8" x14ac:dyDescent="0.25">
      <c r="B25" s="16" t="s">
        <v>50</v>
      </c>
      <c r="C25" s="16"/>
    </row>
    <row r="26" spans="2:8" x14ac:dyDescent="0.25">
      <c r="B26" s="17" t="s">
        <v>15</v>
      </c>
      <c r="C26" s="18" t="s">
        <v>8</v>
      </c>
      <c r="H26" s="18" t="s">
        <v>72</v>
      </c>
    </row>
    <row r="27" spans="2:8" x14ac:dyDescent="0.25">
      <c r="B27" s="17" t="s">
        <v>15</v>
      </c>
      <c r="C27" s="4" t="s">
        <v>12</v>
      </c>
      <c r="H27" s="18" t="s">
        <v>73</v>
      </c>
    </row>
    <row r="28" spans="2:8" x14ac:dyDescent="0.25">
      <c r="B28" s="17" t="s">
        <v>15</v>
      </c>
      <c r="C28" s="4" t="s">
        <v>13</v>
      </c>
      <c r="H28" s="4" t="s">
        <v>61</v>
      </c>
    </row>
    <row r="29" spans="2:8" x14ac:dyDescent="0.25">
      <c r="B29" s="17" t="s">
        <v>15</v>
      </c>
      <c r="C29" s="4" t="s">
        <v>14</v>
      </c>
      <c r="H29" s="4" t="s">
        <v>61</v>
      </c>
    </row>
  </sheetData>
  <mergeCells count="2">
    <mergeCell ref="D3:F3"/>
    <mergeCell ref="K3:M3"/>
  </mergeCells>
  <printOptions horizontalCentered="1"/>
  <pageMargins left="0.75" right="0.51" top="1.64" bottom="0.64" header="1" footer="0.37"/>
  <pageSetup scale="97" orientation="landscape" r:id="rId1"/>
  <headerFooter alignWithMargins="0">
    <oddHeader>&amp;CPUBLIC UTILITY COMMISSION OF TEXAS
AEP TEXAS INC
Roadmap of Affiliate Class of Service
for the Test Year Ended September 30, 2023&amp;RDocket No. 56165
EXHIBIT BJF-2
Page &amp;P of &amp;N</oddHeader>
    <oddFooter>&amp;CBJF-2</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7">
    <pageSetUpPr fitToPage="1"/>
  </sheetPr>
  <dimension ref="A2:P30"/>
  <sheetViews>
    <sheetView tabSelected="1" zoomScaleNormal="100" workbookViewId="0">
      <selection activeCell="D5" sqref="D5"/>
    </sheetView>
  </sheetViews>
  <sheetFormatPr defaultColWidth="9.109375" defaultRowHeight="13.2" x14ac:dyDescent="0.25"/>
  <cols>
    <col min="1" max="1" width="13" style="4" customWidth="1"/>
    <col min="2" max="2" width="3.5546875" style="4" customWidth="1"/>
    <col min="3" max="3" width="4" style="4" customWidth="1"/>
    <col min="4" max="6" width="14" style="4" customWidth="1"/>
    <col min="7" max="7" width="14.88671875" style="4" customWidth="1"/>
    <col min="8" max="8" width="3" style="4" customWidth="1"/>
    <col min="9" max="9" width="9.109375" style="4"/>
    <col min="10" max="10" width="7.88671875" style="4" customWidth="1"/>
    <col min="11" max="12" width="9.109375" style="4"/>
    <col min="13" max="16" width="11.33203125" style="4" customWidth="1"/>
    <col min="17" max="16384" width="9.109375" style="4"/>
  </cols>
  <sheetData>
    <row r="2" spans="1:16" ht="13.8" thickBot="1" x14ac:dyDescent="0.3">
      <c r="J2" s="5"/>
      <c r="K2" s="5"/>
      <c r="L2" s="6"/>
      <c r="M2" s="6"/>
      <c r="O2" s="6"/>
      <c r="P2" s="6"/>
    </row>
    <row r="3" spans="1:16" s="10" customFormat="1" ht="18.600000000000001" customHeight="1" thickBot="1" x14ac:dyDescent="0.3">
      <c r="A3" s="10" t="s">
        <v>64</v>
      </c>
      <c r="B3" s="7"/>
      <c r="C3" s="8" t="s">
        <v>0</v>
      </c>
      <c r="D3" s="39" t="s">
        <v>47</v>
      </c>
      <c r="E3" s="44"/>
      <c r="F3" s="40"/>
      <c r="G3" s="9"/>
      <c r="H3" s="9"/>
      <c r="I3" s="8"/>
      <c r="J3" s="8" t="s">
        <v>3</v>
      </c>
      <c r="K3" s="41" t="s">
        <v>74</v>
      </c>
      <c r="L3" s="42"/>
      <c r="M3" s="43"/>
      <c r="O3" s="9"/>
      <c r="P3" s="9"/>
    </row>
    <row r="4" spans="1:16" x14ac:dyDescent="0.25">
      <c r="J4" s="5"/>
      <c r="K4" s="11"/>
      <c r="L4" s="5"/>
      <c r="M4" s="5"/>
      <c r="O4" s="5"/>
      <c r="P4" s="5"/>
    </row>
    <row r="5" spans="1:16" x14ac:dyDescent="0.25">
      <c r="J5" s="5"/>
      <c r="K5" s="5"/>
      <c r="L5" s="5"/>
      <c r="M5" s="5"/>
      <c r="O5" s="5"/>
      <c r="P5" s="5"/>
    </row>
    <row r="6" spans="1:16" x14ac:dyDescent="0.25">
      <c r="E6" s="2" t="s">
        <v>2</v>
      </c>
    </row>
    <row r="7" spans="1:16" x14ac:dyDescent="0.25">
      <c r="C7" s="12"/>
      <c r="D7" s="12" t="s">
        <v>57</v>
      </c>
      <c r="E7" s="13">
        <v>1377904.4900000009</v>
      </c>
    </row>
    <row r="8" spans="1:16" ht="13.8" thickBot="1" x14ac:dyDescent="0.3">
      <c r="C8" s="12"/>
      <c r="D8" s="12" t="s">
        <v>59</v>
      </c>
      <c r="E8" s="14">
        <v>-2157.7900000000081</v>
      </c>
    </row>
    <row r="9" spans="1:16" ht="13.8" thickBot="1" x14ac:dyDescent="0.3">
      <c r="C9" s="12"/>
      <c r="D9" s="12" t="s">
        <v>58</v>
      </c>
      <c r="E9" s="15">
        <f>SUM(E7:E8)</f>
        <v>1375746.7000000009</v>
      </c>
    </row>
    <row r="12" spans="1:16" x14ac:dyDescent="0.25">
      <c r="B12" s="16" t="s">
        <v>7</v>
      </c>
      <c r="C12" s="16"/>
    </row>
    <row r="13" spans="1:16" x14ac:dyDescent="0.25">
      <c r="B13" s="17" t="s">
        <v>15</v>
      </c>
      <c r="C13" s="4" t="str">
        <f>"Testimony of "&amp;K3</f>
        <v>Testimony of Brian J. Frantz</v>
      </c>
      <c r="H13" s="36" t="s">
        <v>158</v>
      </c>
    </row>
    <row r="15" spans="1:16" x14ac:dyDescent="0.25">
      <c r="B15" s="1" t="s">
        <v>4</v>
      </c>
      <c r="C15" s="1"/>
    </row>
    <row r="16" spans="1:16" x14ac:dyDescent="0.25">
      <c r="B16" s="17" t="s">
        <v>15</v>
      </c>
      <c r="C16" s="4" t="s">
        <v>5</v>
      </c>
      <c r="H16" s="36" t="s">
        <v>102</v>
      </c>
    </row>
    <row r="17" spans="2:8" x14ac:dyDescent="0.25">
      <c r="B17" s="17" t="s">
        <v>15</v>
      </c>
      <c r="C17" s="4" t="s">
        <v>10</v>
      </c>
      <c r="H17" s="36" t="s">
        <v>103</v>
      </c>
    </row>
    <row r="18" spans="2:8" x14ac:dyDescent="0.25">
      <c r="B18" s="17" t="s">
        <v>15</v>
      </c>
      <c r="C18" s="4" t="s">
        <v>6</v>
      </c>
      <c r="H18" s="36" t="s">
        <v>104</v>
      </c>
    </row>
    <row r="19" spans="2:8" x14ac:dyDescent="0.25">
      <c r="B19" s="17" t="s">
        <v>15</v>
      </c>
      <c r="C19" s="4" t="s">
        <v>43</v>
      </c>
      <c r="H19" s="36" t="s">
        <v>69</v>
      </c>
    </row>
    <row r="20" spans="2:8" x14ac:dyDescent="0.25">
      <c r="B20" s="17" t="s">
        <v>15</v>
      </c>
      <c r="C20" s="4" t="s">
        <v>22</v>
      </c>
      <c r="H20" s="36" t="s">
        <v>105</v>
      </c>
    </row>
    <row r="21" spans="2:8" x14ac:dyDescent="0.25">
      <c r="B21" s="17" t="s">
        <v>15</v>
      </c>
      <c r="C21" s="4" t="s">
        <v>9</v>
      </c>
      <c r="H21" s="36" t="s">
        <v>106</v>
      </c>
    </row>
    <row r="22" spans="2:8" x14ac:dyDescent="0.25">
      <c r="B22" s="17" t="s">
        <v>15</v>
      </c>
      <c r="C22" s="4" t="s">
        <v>53</v>
      </c>
      <c r="H22" s="36" t="s">
        <v>107</v>
      </c>
    </row>
    <row r="23" spans="2:8" x14ac:dyDescent="0.25">
      <c r="B23" s="17" t="s">
        <v>15</v>
      </c>
      <c r="C23" s="4" t="s">
        <v>54</v>
      </c>
      <c r="H23" s="36" t="s">
        <v>108</v>
      </c>
    </row>
    <row r="24" spans="2:8" x14ac:dyDescent="0.25">
      <c r="B24" s="17"/>
    </row>
    <row r="25" spans="2:8" x14ac:dyDescent="0.25">
      <c r="B25" s="16" t="s">
        <v>50</v>
      </c>
      <c r="C25" s="16"/>
    </row>
    <row r="26" spans="2:8" x14ac:dyDescent="0.25">
      <c r="B26" s="17" t="s">
        <v>15</v>
      </c>
      <c r="C26" s="18" t="s">
        <v>8</v>
      </c>
      <c r="H26" s="18" t="s">
        <v>72</v>
      </c>
    </row>
    <row r="27" spans="2:8" x14ac:dyDescent="0.25">
      <c r="B27" s="17" t="s">
        <v>15</v>
      </c>
      <c r="C27" s="4" t="s">
        <v>12</v>
      </c>
      <c r="H27" s="18" t="s">
        <v>73</v>
      </c>
    </row>
    <row r="28" spans="2:8" x14ac:dyDescent="0.25">
      <c r="B28" s="17" t="s">
        <v>15</v>
      </c>
      <c r="C28" s="4" t="s">
        <v>13</v>
      </c>
      <c r="H28" s="4" t="s">
        <v>61</v>
      </c>
    </row>
    <row r="29" spans="2:8" x14ac:dyDescent="0.25">
      <c r="B29" s="17" t="s">
        <v>15</v>
      </c>
      <c r="C29" s="4" t="s">
        <v>14</v>
      </c>
      <c r="H29" s="4" t="s">
        <v>61</v>
      </c>
    </row>
    <row r="30" spans="2:8" x14ac:dyDescent="0.25">
      <c r="B30" s="17"/>
    </row>
  </sheetData>
  <mergeCells count="2">
    <mergeCell ref="K3:M3"/>
    <mergeCell ref="D3:F3"/>
  </mergeCells>
  <phoneticPr fontId="0" type="noConversion"/>
  <printOptions horizontalCentered="1"/>
  <pageMargins left="0.75" right="0.51" top="1.64" bottom="0.64" header="1" footer="0.37"/>
  <pageSetup scale="97" orientation="landscape" r:id="rId1"/>
  <headerFooter alignWithMargins="0">
    <oddHeader>&amp;CPUBLIC UTILITY COMMISSION OF TEXAS
AEP TEXAS INC
Roadmap of Affiliate Class of Service
for the Test Year Ended September 30, 2023&amp;RDocket No. 56165
EXHIBIT BJF-2
Page &amp;P of &amp;N</oddHeader>
    <oddFooter>&amp;CBJF-2</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OWMwYjhkNy1iZGI0LTRmZDMtYjYyYS1mNTAzMjdhYWVmY2UiIG9yaWdpbj0iYXV0b1NlbGVjdGVkU3VnZ2VzdGlvbiI+PGVsZW1lbnQgdWlkPSI1MGMzMTgyNC0wNzgwLTQ5MTAtODdkMS1lYWFmZmQxODJkNDIiIHZhbHVlPSIiIHhtbG5zPSJodHRwOi8vd3d3LmJvbGRvbmphbWVzLmNvbS8yMDA4LzAxL3NpZS9pbnRlcm5hbC9sYWJlbCIgLz48ZWxlbWVudCB1aWQ9ImM2NDIxOGFiLWI4ZDEtNDBiNi1hNDc4LWNiOGJlMWUxMGVjYyIgdmFsdWU9IiIgeG1sbnM9Imh0dHA6Ly93d3cuYm9sZG9uamFtZXMuY29tLzIwMDgvMDEvc2llL2ludGVybmFsL2xhYmVsIiAvPjwvc2lzbD48VXNlck5hbWU+Q09SUFxzMTg2MzY5PC9Vc2VyTmFtZT48RGF0ZVRpbWU+Mi80LzIwMjQgODo1ODoxNyBQTTwvRGF0ZVRpbWU+PExhYmVsU3RyaW5nPkFFUCBJbnRlcm5hbDwvTGFiZWxTdHJpbmc+PC9pdGVtPjwvbGFiZWxIaXN0b3J5Pg==</Value>
</WrappedLabelHistory>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5b640fb8-5a34-41c1-9307-1b790ff29a8b">
      <Terms xmlns="http://schemas.microsoft.com/office/infopath/2007/PartnerControls"/>
    </lcf76f155ced4ddcb4097134ff3c332f>
    <_Flow_SignoffStatus xmlns="5b640fb8-5a34-41c1-9307-1b790ff29a8b" xsi:nil="true"/>
    <_ip_UnifiedCompliancePolicyProperties xmlns="http://schemas.microsoft.com/sharepoint/v3" xsi:nil="true"/>
    <TaxCatchAll xmlns="51831b8d-857f-44dd-949b-652450d1a5df" xsi:nil="true"/>
    <Operating_x0020_Company xmlns="a1040523-5304-4b09-b6d4-64a124c994e2">AEP Ohio</Operating_x0020_Company>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1136CE24ED5F449BD16740FFC7FAF6F" ma:contentTypeVersion="34" ma:contentTypeDescription="Create a new document." ma:contentTypeScope="" ma:versionID="0a99a1cdd4ca07724118b4aa0f80c874">
  <xsd:schema xmlns:xsd="http://www.w3.org/2001/XMLSchema" xmlns:xs="http://www.w3.org/2001/XMLSchema" xmlns:p="http://schemas.microsoft.com/office/2006/metadata/properties" xmlns:ns1="http://schemas.microsoft.com/sharepoint/v3" xmlns:ns2="a1040523-5304-4b09-b6d4-64a124c994e2" xmlns:ns3="5b640fb8-5a34-41c1-9307-1b790ff29a8b" xmlns:ns4="51831b8d-857f-44dd-949b-652450d1a5df" targetNamespace="http://schemas.microsoft.com/office/2006/metadata/properties" ma:root="true" ma:fieldsID="0bd3e32b2c584a0e837a10f45775a766" ns1:_="" ns2:_="" ns3:_="" ns4:_="">
    <xsd:import namespace="http://schemas.microsoft.com/sharepoint/v3"/>
    <xsd:import namespace="a1040523-5304-4b09-b6d4-64a124c994e2"/>
    <xsd:import namespace="5b640fb8-5a34-41c1-9307-1b790ff29a8b"/>
    <xsd:import namespace="51831b8d-857f-44dd-949b-652450d1a5df"/>
    <xsd:element name="properties">
      <xsd:complexType>
        <xsd:sequence>
          <xsd:element name="documentManagement">
            <xsd:complexType>
              <xsd:all>
                <xsd:element ref="ns2:Operating_x0020_Company"/>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3:lcf76f155ced4ddcb4097134ff3c332f" minOccurs="0"/>
                <xsd:element ref="ns4:TaxCatchAll" minOccurs="0"/>
                <xsd:element ref="ns3:MediaServiceGenerationTime" minOccurs="0"/>
                <xsd:element ref="ns3:MediaServiceEventHashCode" minOccurs="0"/>
                <xsd:element ref="ns3:MediaServiceOCR" minOccurs="0"/>
                <xsd:element ref="ns3:MediaServiceObjectDetectorVersions" minOccurs="0"/>
                <xsd:element ref="ns3:_Flow_SignoffStatus" minOccurs="0"/>
                <xsd:element ref="ns1:_ip_UnifiedCompliancePolicyProperties" minOccurs="0"/>
                <xsd:element ref="ns1:_ip_UnifiedCompliancePolicyUIAction" minOccurs="0"/>
                <xsd:element ref="ns3:MediaServiceSearchProperties"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1040523-5304-4b09-b6d4-64a124c994e2" elementFormDefault="qualified">
    <xsd:import namespace="http://schemas.microsoft.com/office/2006/documentManagement/types"/>
    <xsd:import namespace="http://schemas.microsoft.com/office/infopath/2007/PartnerControls"/>
    <xsd:element name="Operating_x0020_Company" ma:index="8" ma:displayName="Operating Company" ma:default="AEP Ohio" ma:format="Dropdown" ma:internalName="Operating_x0020_Company" ma:readOnly="false">
      <xsd:simpleType>
        <xsd:restriction base="dms:Choice">
          <xsd:enumeration value="AEP Ohio"/>
          <xsd:enumeration value="AEP Texas"/>
          <xsd:enumeration value="Appalachian Power - Tennessee"/>
          <xsd:enumeration value="Appalachian Power - Virginia"/>
          <xsd:enumeration value="Appalachian Power - West Virginia"/>
          <xsd:enumeration value="FERC"/>
          <xsd:enumeration value="Indiana &amp; Michigan Power - Indiana"/>
          <xsd:enumeration value="Indiana &amp; Michigan Power - Michigan"/>
          <xsd:enumeration value="Kentucky Power"/>
          <xsd:enumeration value="PSO"/>
          <xsd:enumeration value="SWEPCO - Arkansas"/>
          <xsd:enumeration value="SWEPCO - Louisiana"/>
          <xsd:enumeration value="SWEPCO - TEXAS"/>
          <xsd:enumeration value="SWEPCO - Peine"/>
          <xsd:enumeration value="ETT"/>
        </xsd:restriction>
      </xsd:simpleType>
    </xsd:element>
  </xsd:schema>
  <xsd:schema xmlns:xsd="http://www.w3.org/2001/XMLSchema" xmlns:xs="http://www.w3.org/2001/XMLSchema" xmlns:dms="http://schemas.microsoft.com/office/2006/documentManagement/types" xmlns:pc="http://schemas.microsoft.com/office/infopath/2007/PartnerControls" targetNamespace="5b640fb8-5a34-41c1-9307-1b790ff29a8b"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efa54f2-5b03-49c6-9483-51c08a9736bb" ma:termSetId="09814cd3-568e-fe90-9814-8d621ff8fb84" ma:anchorId="fba54fb3-c3e1-fe81-a776-ca4b69148c4d" ma:open="true" ma:isKeyword="false">
      <xsd:complexType>
        <xsd:sequence>
          <xsd:element ref="pc:Terms" minOccurs="0" maxOccurs="1"/>
        </xsd:sequence>
      </xsd:complex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_Flow_SignoffStatus" ma:index="22" nillable="true" ma:displayName="Sign-off status" ma:internalName="Sign_x002d_off_x0020_status">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DateTaken" ma:index="26" nillable="true" ma:displayName="MediaServiceDateTaken" ma:hidden="true" ma:indexed="true" ma:internalName="MediaServiceDateTake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1831b8d-857f-44dd-949b-652450d1a5d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3b4476ce-ac5c-42b1-bccc-28ba47756ae8}" ma:internalName="TaxCatchAll" ma:showField="CatchAllData" ma:web="51831b8d-857f-44dd-949b-652450d1a5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sisl xmlns:xsd="http://www.w3.org/2001/XMLSchema" xmlns:xsi="http://www.w3.org/2001/XMLSchema-instance" xmlns="http://www.boldonjames.com/2008/01/sie/internal/label" sislVersion="0" policy="e9c0b8d7-bdb4-4fd3-b62a-f50327aaefce" origin="autoSelectedSuggestion">
  <element uid="50c31824-0780-4910-87d1-eaaffd182d42" value=""/>
  <element uid="c64218ab-b8d1-40b6-a478-cb8be1e10ecc" value=""/>
</sisl>
</file>

<file path=customXml/itemProps1.xml><?xml version="1.0" encoding="utf-8"?>
<ds:datastoreItem xmlns:ds="http://schemas.openxmlformats.org/officeDocument/2006/customXml" ds:itemID="{58D7EAE4-4B4F-4C77-A242-3B684449E634}">
  <ds:schemaRefs>
    <ds:schemaRef ds:uri="http://www.w3.org/2001/XMLSchema"/>
    <ds:schemaRef ds:uri="http://www.boldonjames.com/2016/02/Classifier/internal/wrappedLabelHistory"/>
  </ds:schemaRefs>
</ds:datastoreItem>
</file>

<file path=customXml/itemProps2.xml><?xml version="1.0" encoding="utf-8"?>
<ds:datastoreItem xmlns:ds="http://schemas.openxmlformats.org/officeDocument/2006/customXml" ds:itemID="{4F5460AC-BD35-4D29-88EC-0FDC409FBF82}">
  <ds:schemaRefs>
    <ds:schemaRef ds:uri="http://schemas.microsoft.com/office/2006/metadata/properties"/>
    <ds:schemaRef ds:uri="http://schemas.microsoft.com/office/infopath/2007/PartnerControls"/>
    <ds:schemaRef ds:uri="http://schemas.microsoft.com/sharepoint/v3"/>
    <ds:schemaRef ds:uri="5b640fb8-5a34-41c1-9307-1b790ff29a8b"/>
    <ds:schemaRef ds:uri="51831b8d-857f-44dd-949b-652450d1a5df"/>
    <ds:schemaRef ds:uri="a1040523-5304-4b09-b6d4-64a124c994e2"/>
  </ds:schemaRefs>
</ds:datastoreItem>
</file>

<file path=customXml/itemProps3.xml><?xml version="1.0" encoding="utf-8"?>
<ds:datastoreItem xmlns:ds="http://schemas.openxmlformats.org/officeDocument/2006/customXml" ds:itemID="{521E0615-80BA-4253-AACA-F375C58D3F3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1040523-5304-4b09-b6d4-64a124c994e2"/>
    <ds:schemaRef ds:uri="5b640fb8-5a34-41c1-9307-1b790ff29a8b"/>
    <ds:schemaRef ds:uri="51831b8d-857f-44dd-949b-652450d1a5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E4479EC-E269-4D0E-BA37-40EC1F4A7A83}">
  <ds:schemaRefs>
    <ds:schemaRef ds:uri="http://schemas.microsoft.com/sharepoint/v3/contenttype/forms"/>
  </ds:schemaRefs>
</ds:datastoreItem>
</file>

<file path=customXml/itemProps5.xml><?xml version="1.0" encoding="utf-8"?>
<ds:datastoreItem xmlns:ds="http://schemas.openxmlformats.org/officeDocument/2006/customXml" ds:itemID="{24913B0C-260E-43AD-B738-84F7E54E57A6}">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vt:i4>
      </vt:variant>
    </vt:vector>
  </HeadingPairs>
  <TitlesOfParts>
    <vt:vector size="23" baseType="lpstr">
      <vt:lpstr>Cover</vt:lpstr>
      <vt:lpstr>AEPSC Total</vt:lpstr>
      <vt:lpstr>Other Affiliate</vt:lpstr>
      <vt:lpstr>Cust Svc</vt:lpstr>
      <vt:lpstr>Dist</vt:lpstr>
      <vt:lpstr>Energy Delivery</vt:lpstr>
      <vt:lpstr>Federal &amp; External Affairs</vt:lpstr>
      <vt:lpstr>Reg</vt:lpstr>
      <vt:lpstr>Safety &amp; Health</vt:lpstr>
      <vt:lpstr>IT</vt:lpstr>
      <vt:lpstr>Telecommunications</vt:lpstr>
      <vt:lpstr>SCPFO</vt:lpstr>
      <vt:lpstr>RE &amp; WP Svcs</vt:lpstr>
      <vt:lpstr>HR</vt:lpstr>
      <vt:lpstr>CFO</vt:lpstr>
      <vt:lpstr>CEO</vt:lpstr>
      <vt:lpstr>Legal</vt:lpstr>
      <vt:lpstr>Physical_Cyber Security</vt:lpstr>
      <vt:lpstr>CC</vt:lpstr>
      <vt:lpstr>Environmental Services</vt:lpstr>
      <vt:lpstr>Incentives</vt:lpstr>
      <vt:lpstr>ISC</vt:lpstr>
      <vt:lpstr>'AEPSC Total'!Print_Area</vt:lpstr>
    </vt:vector>
  </TitlesOfParts>
  <Company>IT-CPS-6/6/2-(Help#=8-835-3050) Full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 Bennett</dc:creator>
  <cp:keywords>AEP Internal</cp:keywords>
  <cp:lastModifiedBy>d000298</cp:lastModifiedBy>
  <cp:lastPrinted>2024-02-26T21:17:07Z</cp:lastPrinted>
  <dcterms:created xsi:type="dcterms:W3CDTF">2006-10-29T04:23:05Z</dcterms:created>
  <dcterms:modified xsi:type="dcterms:W3CDTF">2024-02-27T13:55:18Z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5b8e9d05-475b-4882-8d5d-83da5b504a78</vt:lpwstr>
  </property>
  <property fmtid="{D5CDD505-2E9C-101B-9397-08002B2CF9AE}" pid="3" name="bjSaver">
    <vt:lpwstr>i5lfAags2z4Y8Fsh08PLxCGFvRlu448e</vt:lpwstr>
  </property>
  <property fmtid="{D5CDD505-2E9C-101B-9397-08002B2CF9AE}" pid="4" name="bjDocumentSecurityLabel">
    <vt:lpwstr>AEP Internal</vt:lpwstr>
  </property>
  <property fmtid="{D5CDD505-2E9C-101B-9397-08002B2CF9AE}" pid="5" name="Visual Markings Removed">
    <vt:lpwstr>No</vt:lpwstr>
  </property>
  <property fmtid="{D5CDD505-2E9C-101B-9397-08002B2CF9AE}" pid="6" name="bjDocumentLabelXML">
    <vt:lpwstr>&lt;?xml version="1.0" encoding="us-ascii"?&gt;&lt;sisl xmlns:xsd="http://www.w3.org/2001/XMLSchema" xmlns:xsi="http://www.w3.org/2001/XMLSchema-instance" sislVersion="0" policy="e9c0b8d7-bdb4-4fd3-b62a-f50327aaefce" origin="autoSelectedSuggestion" xmlns="http://w</vt:lpwstr>
  </property>
  <property fmtid="{D5CDD505-2E9C-101B-9397-08002B2CF9AE}" pid="7" name="bjDocumentLabelXML-0">
    <vt:lpwstr>ww.boldonjames.com/2008/01/sie/internal/label"&gt;&lt;element uid="50c31824-0780-4910-87d1-eaaffd182d42" value="" /&gt;&lt;element uid="c64218ab-b8d1-40b6-a478-cb8be1e10ecc" value="" /&gt;&lt;/sisl&gt;</vt:lpwstr>
  </property>
  <property fmtid="{D5CDD505-2E9C-101B-9397-08002B2CF9AE}" pid="8" name="MSIP_Label_69f43042-6bda-44b2-91eb-eca3d3d484f4_SiteId">
    <vt:lpwstr>15f3c881-6b03-4ff6-8559-77bf5177818f</vt:lpwstr>
  </property>
  <property fmtid="{D5CDD505-2E9C-101B-9397-08002B2CF9AE}" pid="9" name="MSIP_Label_69f43042-6bda-44b2-91eb-eca3d3d484f4_Name">
    <vt:lpwstr>AEP Internal</vt:lpwstr>
  </property>
  <property fmtid="{D5CDD505-2E9C-101B-9397-08002B2CF9AE}" pid="10" name="MSIP_Label_69f43042-6bda-44b2-91eb-eca3d3d484f4_Enabled">
    <vt:lpwstr>true</vt:lpwstr>
  </property>
  <property fmtid="{D5CDD505-2E9C-101B-9397-08002B2CF9AE}" pid="11" name="bjClsUserRVM">
    <vt:lpwstr>[]</vt:lpwstr>
  </property>
  <property fmtid="{D5CDD505-2E9C-101B-9397-08002B2CF9AE}" pid="12" name="bjLabelHistoryID">
    <vt:lpwstr>{58D7EAE4-4B4F-4C77-A242-3B684449E634}</vt:lpwstr>
  </property>
  <property fmtid="{D5CDD505-2E9C-101B-9397-08002B2CF9AE}" pid="13" name="ContentTypeId">
    <vt:lpwstr>0x01010001136CE24ED5F449BD16740FFC7FAF6F</vt:lpwstr>
  </property>
  <property fmtid="{D5CDD505-2E9C-101B-9397-08002B2CF9AE}" pid="14" name="MediaServiceImageTags">
    <vt:lpwstr/>
  </property>
</Properties>
</file>