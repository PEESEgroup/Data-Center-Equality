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J:\RegCaseMgmt\56165 - 2024 AEPTX BRC\Initial Direct Filing 2-28-2024\Filer\2. Schedules\"/>
    </mc:Choice>
  </mc:AlternateContent>
  <xr:revisionPtr revIDLastSave="0" documentId="13_ncr:1_{D67CC668-6B07-4684-B98B-38DDEEF51B85}" xr6:coauthVersionLast="47" xr6:coauthVersionMax="47" xr10:uidLastSave="{00000000-0000-0000-0000-000000000000}"/>
  <bookViews>
    <workbookView xWindow="1185" yWindow="1005" windowWidth="25230" windowHeight="14220" tabRatio="834" xr2:uid="{00000000-000D-0000-FFFF-FFFF00000000}"/>
  </bookViews>
  <sheets>
    <sheet name="II-H-1.3.(1) TEX TYE2309" sheetId="8" r:id="rId1"/>
    <sheet name="II-H-1.3.(2) TEX TYE2309" sheetId="9" r:id="rId2"/>
    <sheet name="II-H-1.3.(3) TEX TYE2309" sheetId="10" r:id="rId3"/>
    <sheet name="II-H-1.3.(4) TEX TYE2309" sheetId="11" r:id="rId4"/>
    <sheet name="II-H-1.3.(5) TEX TYE2309" sheetId="12" r:id="rId5"/>
    <sheet name="II-H-1.3.(6) TEX TYE2309" sheetId="7" r:id="rId6"/>
    <sheet name="II-H-1.3.(6) TEX YE2209" sheetId="13" r:id="rId7"/>
    <sheet name="II-H-1.3.(6) TEX YE2109" sheetId="14" r:id="rId8"/>
    <sheet name="II-H-1.3.(6) TEX YE2009" sheetId="15" r:id="rId9"/>
  </sheets>
  <externalReferences>
    <externalReference r:id="rId10"/>
  </externalReferences>
  <definedNames>
    <definedName name="H_Rate_Class">'[1]Tariff Mapping'!$E$5:$E$114</definedName>
  </definedNames>
  <calcPr calcId="18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2" l="1"/>
  <c r="P25" i="11"/>
  <c r="P25" i="10"/>
  <c r="P25" i="9"/>
  <c r="P25" i="8"/>
  <c r="O67" i="11"/>
  <c r="N67" i="11"/>
  <c r="M67" i="11"/>
  <c r="L67" i="11"/>
  <c r="K67" i="11"/>
  <c r="J67" i="11"/>
  <c r="I67" i="11"/>
  <c r="H67" i="11"/>
  <c r="G67" i="11"/>
  <c r="F67" i="11"/>
  <c r="E67" i="11"/>
  <c r="D67" i="11"/>
  <c r="P66" i="11"/>
  <c r="P65" i="11"/>
  <c r="P61" i="11"/>
  <c r="P59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P56" i="11"/>
  <c r="P55" i="11"/>
  <c r="P54" i="11"/>
  <c r="P53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P50" i="11"/>
  <c r="P49" i="11"/>
  <c r="P47" i="11"/>
  <c r="P45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P30" i="11"/>
  <c r="P29" i="11"/>
  <c r="P23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1" i="11"/>
  <c r="P9" i="11"/>
  <c r="D51" i="10"/>
  <c r="P56" i="10"/>
  <c r="P55" i="10"/>
  <c r="P54" i="10"/>
  <c r="P53" i="10"/>
  <c r="P45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P66" i="10"/>
  <c r="P65" i="10"/>
  <c r="P61" i="10"/>
  <c r="P59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O51" i="10"/>
  <c r="N51" i="10"/>
  <c r="M51" i="10"/>
  <c r="L51" i="10"/>
  <c r="K51" i="10"/>
  <c r="J51" i="10"/>
  <c r="I51" i="10"/>
  <c r="H51" i="10"/>
  <c r="G51" i="10"/>
  <c r="F51" i="10"/>
  <c r="E51" i="10"/>
  <c r="P50" i="10"/>
  <c r="P49" i="10"/>
  <c r="P47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P30" i="10"/>
  <c r="P29" i="10"/>
  <c r="P23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P20" i="10"/>
  <c r="P19" i="10"/>
  <c r="P18" i="10"/>
  <c r="P17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P14" i="10"/>
  <c r="P13" i="10"/>
  <c r="P11" i="10"/>
  <c r="P9" i="10"/>
  <c r="O67" i="9"/>
  <c r="N67" i="9"/>
  <c r="M67" i="9"/>
  <c r="L67" i="9"/>
  <c r="K67" i="9"/>
  <c r="J67" i="9"/>
  <c r="I67" i="9"/>
  <c r="H67" i="9"/>
  <c r="G67" i="9"/>
  <c r="F67" i="9"/>
  <c r="E67" i="9"/>
  <c r="D67" i="9"/>
  <c r="P66" i="9"/>
  <c r="P65" i="9"/>
  <c r="P61" i="9"/>
  <c r="P59" i="9"/>
  <c r="O57" i="9"/>
  <c r="N57" i="9"/>
  <c r="M57" i="9"/>
  <c r="L57" i="9"/>
  <c r="K57" i="9"/>
  <c r="J57" i="9"/>
  <c r="I57" i="9"/>
  <c r="H57" i="9"/>
  <c r="G57" i="9"/>
  <c r="F57" i="9"/>
  <c r="E57" i="9"/>
  <c r="D57" i="9"/>
  <c r="P56" i="9"/>
  <c r="P55" i="9"/>
  <c r="P54" i="9"/>
  <c r="P53" i="9"/>
  <c r="O51" i="9"/>
  <c r="N51" i="9"/>
  <c r="M51" i="9"/>
  <c r="L51" i="9"/>
  <c r="K51" i="9"/>
  <c r="J51" i="9"/>
  <c r="I51" i="9"/>
  <c r="H51" i="9"/>
  <c r="G51" i="9"/>
  <c r="F51" i="9"/>
  <c r="E51" i="9"/>
  <c r="D51" i="9"/>
  <c r="P50" i="9"/>
  <c r="P49" i="9"/>
  <c r="P47" i="9"/>
  <c r="P45" i="9"/>
  <c r="O31" i="9"/>
  <c r="N31" i="9"/>
  <c r="M31" i="9"/>
  <c r="L31" i="9"/>
  <c r="K31" i="9"/>
  <c r="J31" i="9"/>
  <c r="I31" i="9"/>
  <c r="H31" i="9"/>
  <c r="G31" i="9"/>
  <c r="F31" i="9"/>
  <c r="E31" i="9"/>
  <c r="D31" i="9"/>
  <c r="P30" i="9"/>
  <c r="P29" i="9"/>
  <c r="O27" i="9"/>
  <c r="P23" i="9"/>
  <c r="O21" i="9"/>
  <c r="N21" i="9"/>
  <c r="M21" i="9"/>
  <c r="L21" i="9"/>
  <c r="K21" i="9"/>
  <c r="J21" i="9"/>
  <c r="I21" i="9"/>
  <c r="H21" i="9"/>
  <c r="G21" i="9"/>
  <c r="F21" i="9"/>
  <c r="E21" i="9"/>
  <c r="D21" i="9"/>
  <c r="P20" i="9"/>
  <c r="P19" i="9"/>
  <c r="P18" i="9"/>
  <c r="P17" i="9"/>
  <c r="O15" i="9"/>
  <c r="N15" i="9"/>
  <c r="M15" i="9"/>
  <c r="L15" i="9"/>
  <c r="K15" i="9"/>
  <c r="J15" i="9"/>
  <c r="J27" i="9" s="1"/>
  <c r="I15" i="9"/>
  <c r="H15" i="9"/>
  <c r="G15" i="9"/>
  <c r="F15" i="9"/>
  <c r="E15" i="9"/>
  <c r="D15" i="9"/>
  <c r="P14" i="9"/>
  <c r="P13" i="9"/>
  <c r="P11" i="9"/>
  <c r="P9" i="9"/>
  <c r="O67" i="12"/>
  <c r="N67" i="12"/>
  <c r="M67" i="12"/>
  <c r="L67" i="12"/>
  <c r="K67" i="12"/>
  <c r="J67" i="12"/>
  <c r="I67" i="12"/>
  <c r="H67" i="12"/>
  <c r="G67" i="12"/>
  <c r="F67" i="12"/>
  <c r="E67" i="12"/>
  <c r="D67" i="12"/>
  <c r="P66" i="12"/>
  <c r="P65" i="12"/>
  <c r="P61" i="12"/>
  <c r="P59" i="12"/>
  <c r="O57" i="12"/>
  <c r="N57" i="12"/>
  <c r="M57" i="12"/>
  <c r="L57" i="12"/>
  <c r="K57" i="12"/>
  <c r="J57" i="12"/>
  <c r="I57" i="12"/>
  <c r="H57" i="12"/>
  <c r="G57" i="12"/>
  <c r="F57" i="12"/>
  <c r="F63" i="12" s="1"/>
  <c r="E57" i="12"/>
  <c r="E63" i="12" s="1"/>
  <c r="D57" i="12"/>
  <c r="P56" i="12"/>
  <c r="P55" i="12"/>
  <c r="P54" i="12"/>
  <c r="P53" i="12"/>
  <c r="O51" i="12"/>
  <c r="N51" i="12"/>
  <c r="M51" i="12"/>
  <c r="M63" i="12" s="1"/>
  <c r="M69" i="12" s="1"/>
  <c r="L51" i="12"/>
  <c r="K51" i="12"/>
  <c r="J51" i="12"/>
  <c r="I51" i="12"/>
  <c r="H51" i="12"/>
  <c r="G51" i="12"/>
  <c r="G63" i="12" s="1"/>
  <c r="F51" i="12"/>
  <c r="E51" i="12"/>
  <c r="D51" i="12"/>
  <c r="P50" i="12"/>
  <c r="P49" i="12"/>
  <c r="P47" i="12"/>
  <c r="P45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P30" i="12"/>
  <c r="P29" i="12"/>
  <c r="P23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P20" i="12"/>
  <c r="P19" i="12"/>
  <c r="P18" i="12"/>
  <c r="P17" i="12"/>
  <c r="O15" i="12"/>
  <c r="N15" i="12"/>
  <c r="N27" i="12" s="1"/>
  <c r="M15" i="12"/>
  <c r="L15" i="12"/>
  <c r="K15" i="12"/>
  <c r="J15" i="12"/>
  <c r="I15" i="12"/>
  <c r="H15" i="12"/>
  <c r="H27" i="12" s="1"/>
  <c r="G15" i="12"/>
  <c r="F15" i="12"/>
  <c r="E15" i="12"/>
  <c r="D15" i="12"/>
  <c r="P14" i="12"/>
  <c r="P13" i="12"/>
  <c r="P11" i="12"/>
  <c r="P9" i="12"/>
  <c r="D15" i="8"/>
  <c r="D21" i="8"/>
  <c r="P23" i="8"/>
  <c r="P19" i="8"/>
  <c r="P18" i="8"/>
  <c r="P17" i="8"/>
  <c r="O67" i="8"/>
  <c r="N67" i="8"/>
  <c r="M67" i="8"/>
  <c r="L67" i="8"/>
  <c r="K67" i="8"/>
  <c r="J67" i="8"/>
  <c r="I67" i="8"/>
  <c r="H67" i="8"/>
  <c r="G67" i="8"/>
  <c r="F67" i="8"/>
  <c r="E67" i="8"/>
  <c r="D67" i="8"/>
  <c r="P66" i="8"/>
  <c r="P65" i="8"/>
  <c r="P61" i="8"/>
  <c r="P59" i="8"/>
  <c r="O57" i="8"/>
  <c r="N57" i="8"/>
  <c r="M57" i="8"/>
  <c r="L57" i="8"/>
  <c r="K57" i="8"/>
  <c r="J57" i="8"/>
  <c r="I57" i="8"/>
  <c r="H57" i="8"/>
  <c r="G57" i="8"/>
  <c r="F57" i="8"/>
  <c r="E57" i="8"/>
  <c r="D57" i="8"/>
  <c r="P56" i="8"/>
  <c r="P55" i="8"/>
  <c r="P54" i="8"/>
  <c r="P53" i="8"/>
  <c r="O51" i="8"/>
  <c r="N51" i="8"/>
  <c r="M51" i="8"/>
  <c r="L51" i="8"/>
  <c r="K51" i="8"/>
  <c r="J51" i="8"/>
  <c r="I51" i="8"/>
  <c r="H51" i="8"/>
  <c r="G51" i="8"/>
  <c r="F51" i="8"/>
  <c r="E51" i="8"/>
  <c r="D51" i="8"/>
  <c r="P50" i="8"/>
  <c r="P49" i="8"/>
  <c r="P47" i="8"/>
  <c r="P45" i="8"/>
  <c r="P30" i="8"/>
  <c r="P29" i="8"/>
  <c r="P20" i="8"/>
  <c r="P14" i="8"/>
  <c r="P13" i="8"/>
  <c r="P11" i="8"/>
  <c r="P9" i="8"/>
  <c r="O31" i="8"/>
  <c r="N31" i="8"/>
  <c r="M31" i="8"/>
  <c r="L31" i="8"/>
  <c r="K31" i="8"/>
  <c r="J31" i="8"/>
  <c r="I31" i="8"/>
  <c r="H31" i="8"/>
  <c r="G31" i="8"/>
  <c r="F31" i="8"/>
  <c r="E31" i="8"/>
  <c r="D31" i="8"/>
  <c r="O21" i="8"/>
  <c r="N21" i="8"/>
  <c r="H21" i="8"/>
  <c r="L21" i="8"/>
  <c r="F21" i="8"/>
  <c r="K21" i="8"/>
  <c r="J21" i="8"/>
  <c r="M15" i="8"/>
  <c r="G15" i="8"/>
  <c r="O15" i="8"/>
  <c r="N15" i="8"/>
  <c r="K15" i="8"/>
  <c r="I15" i="8"/>
  <c r="H15" i="8"/>
  <c r="E15" i="8"/>
  <c r="L63" i="12" l="1"/>
  <c r="N33" i="12"/>
  <c r="G27" i="12"/>
  <c r="H63" i="9"/>
  <c r="J63" i="9"/>
  <c r="J69" i="9" s="1"/>
  <c r="K63" i="12"/>
  <c r="K69" i="12" s="1"/>
  <c r="D27" i="12"/>
  <c r="L27" i="12"/>
  <c r="I27" i="9"/>
  <c r="I33" i="9" s="1"/>
  <c r="I63" i="9"/>
  <c r="I69" i="9" s="1"/>
  <c r="J33" i="9"/>
  <c r="M27" i="12"/>
  <c r="F27" i="12"/>
  <c r="G69" i="12"/>
  <c r="N63" i="9"/>
  <c r="P31" i="8"/>
  <c r="O63" i="9"/>
  <c r="J63" i="12"/>
  <c r="J69" i="12" s="1"/>
  <c r="F27" i="9"/>
  <c r="N27" i="9"/>
  <c r="P51" i="9"/>
  <c r="P57" i="9"/>
  <c r="L63" i="9"/>
  <c r="N69" i="9"/>
  <c r="P57" i="10"/>
  <c r="O27" i="12"/>
  <c r="G27" i="9"/>
  <c r="G33" i="9" s="1"/>
  <c r="E63" i="9"/>
  <c r="E69" i="9" s="1"/>
  <c r="M63" i="9"/>
  <c r="H33" i="12"/>
  <c r="P51" i="12"/>
  <c r="D63" i="12"/>
  <c r="H27" i="9"/>
  <c r="F63" i="9"/>
  <c r="F69" i="9" s="1"/>
  <c r="H69" i="9"/>
  <c r="P67" i="8"/>
  <c r="I27" i="12"/>
  <c r="O33" i="9"/>
  <c r="G63" i="9"/>
  <c r="G69" i="9" s="1"/>
  <c r="J27" i="12"/>
  <c r="N63" i="12"/>
  <c r="K27" i="12"/>
  <c r="K33" i="12" s="1"/>
  <c r="O63" i="12"/>
  <c r="O69" i="12" s="1"/>
  <c r="P57" i="12"/>
  <c r="P67" i="12"/>
  <c r="L69" i="12"/>
  <c r="D27" i="9"/>
  <c r="D33" i="9" s="1"/>
  <c r="L27" i="9"/>
  <c r="D63" i="9"/>
  <c r="D69" i="9" s="1"/>
  <c r="P67" i="9"/>
  <c r="L69" i="9"/>
  <c r="P31" i="10"/>
  <c r="P67" i="11"/>
  <c r="K27" i="9"/>
  <c r="K33" i="9" s="1"/>
  <c r="P15" i="12"/>
  <c r="P21" i="9"/>
  <c r="E27" i="12"/>
  <c r="E33" i="12" s="1"/>
  <c r="I63" i="12"/>
  <c r="I69" i="12" s="1"/>
  <c r="E69" i="12"/>
  <c r="E27" i="9"/>
  <c r="E33" i="9" s="1"/>
  <c r="M27" i="9"/>
  <c r="M33" i="9" s="1"/>
  <c r="K63" i="9"/>
  <c r="K69" i="9" s="1"/>
  <c r="M69" i="9"/>
  <c r="E63" i="11"/>
  <c r="O69" i="9"/>
  <c r="D63" i="11"/>
  <c r="D69" i="11" s="1"/>
  <c r="J63" i="11"/>
  <c r="J69" i="11" s="1"/>
  <c r="K63" i="11"/>
  <c r="K69" i="11" s="1"/>
  <c r="H27" i="11"/>
  <c r="H33" i="11" s="1"/>
  <c r="N27" i="11"/>
  <c r="N33" i="11" s="1"/>
  <c r="P21" i="11"/>
  <c r="E27" i="11"/>
  <c r="E33" i="11" s="1"/>
  <c r="K27" i="11"/>
  <c r="K33" i="11" s="1"/>
  <c r="G27" i="11"/>
  <c r="G33" i="11" s="1"/>
  <c r="M27" i="11"/>
  <c r="M33" i="11" s="1"/>
  <c r="I27" i="11"/>
  <c r="I33" i="11" s="1"/>
  <c r="O27" i="11"/>
  <c r="O33" i="11" s="1"/>
  <c r="D27" i="11"/>
  <c r="J27" i="11"/>
  <c r="J33" i="11" s="1"/>
  <c r="P15" i="11"/>
  <c r="F27" i="11"/>
  <c r="F33" i="11" s="1"/>
  <c r="L27" i="11"/>
  <c r="L33" i="11" s="1"/>
  <c r="P57" i="11"/>
  <c r="E69" i="11"/>
  <c r="F63" i="11"/>
  <c r="F69" i="11" s="1"/>
  <c r="L63" i="11"/>
  <c r="L69" i="11" s="1"/>
  <c r="G63" i="11"/>
  <c r="G69" i="11" s="1"/>
  <c r="M63" i="11"/>
  <c r="M69" i="11" s="1"/>
  <c r="H63" i="11"/>
  <c r="H69" i="11" s="1"/>
  <c r="N63" i="11"/>
  <c r="N69" i="11" s="1"/>
  <c r="I63" i="11"/>
  <c r="I69" i="11" s="1"/>
  <c r="O63" i="11"/>
  <c r="O69" i="11" s="1"/>
  <c r="P51" i="11"/>
  <c r="P31" i="11"/>
  <c r="D27" i="10"/>
  <c r="D33" i="10" s="1"/>
  <c r="J27" i="10"/>
  <c r="J33" i="10" s="1"/>
  <c r="E27" i="10"/>
  <c r="E33" i="10" s="1"/>
  <c r="K27" i="10"/>
  <c r="K33" i="10" s="1"/>
  <c r="J63" i="10"/>
  <c r="J69" i="10" s="1"/>
  <c r="E63" i="10"/>
  <c r="E69" i="10" s="1"/>
  <c r="K63" i="10"/>
  <c r="K69" i="10" s="1"/>
  <c r="H63" i="10"/>
  <c r="H69" i="10" s="1"/>
  <c r="N63" i="10"/>
  <c r="N69" i="10" s="1"/>
  <c r="I63" i="10"/>
  <c r="I69" i="10" s="1"/>
  <c r="O63" i="10"/>
  <c r="O69" i="10" s="1"/>
  <c r="F63" i="10"/>
  <c r="F69" i="10" s="1"/>
  <c r="L63" i="10"/>
  <c r="L69" i="10" s="1"/>
  <c r="G63" i="10"/>
  <c r="G69" i="10" s="1"/>
  <c r="M63" i="10"/>
  <c r="M69" i="10" s="1"/>
  <c r="P51" i="10"/>
  <c r="H27" i="10"/>
  <c r="H33" i="10" s="1"/>
  <c r="N27" i="10"/>
  <c r="N33" i="10" s="1"/>
  <c r="P21" i="10"/>
  <c r="I27" i="10"/>
  <c r="I33" i="10" s="1"/>
  <c r="O27" i="10"/>
  <c r="O33" i="10" s="1"/>
  <c r="F27" i="10"/>
  <c r="F33" i="10" s="1"/>
  <c r="L27" i="10"/>
  <c r="L33" i="10" s="1"/>
  <c r="G27" i="10"/>
  <c r="G33" i="10" s="1"/>
  <c r="M27" i="10"/>
  <c r="M33" i="10" s="1"/>
  <c r="D63" i="10"/>
  <c r="P67" i="10"/>
  <c r="P15" i="10"/>
  <c r="N33" i="9"/>
  <c r="H33" i="9"/>
  <c r="F33" i="9"/>
  <c r="L33" i="9"/>
  <c r="P15" i="9"/>
  <c r="P31" i="9"/>
  <c r="H63" i="8"/>
  <c r="H69" i="8" s="1"/>
  <c r="N63" i="8"/>
  <c r="N69" i="8" s="1"/>
  <c r="P57" i="8"/>
  <c r="I63" i="8"/>
  <c r="I69" i="8" s="1"/>
  <c r="O63" i="8"/>
  <c r="O69" i="8" s="1"/>
  <c r="F63" i="8"/>
  <c r="F69" i="8" s="1"/>
  <c r="L63" i="8"/>
  <c r="L69" i="8" s="1"/>
  <c r="E63" i="8"/>
  <c r="E69" i="8" s="1"/>
  <c r="K63" i="8"/>
  <c r="K69" i="8" s="1"/>
  <c r="J63" i="8"/>
  <c r="J69" i="8" s="1"/>
  <c r="P51" i="8"/>
  <c r="G63" i="8"/>
  <c r="G69" i="8" s="1"/>
  <c r="M63" i="8"/>
  <c r="M69" i="8" s="1"/>
  <c r="F69" i="12"/>
  <c r="F33" i="12"/>
  <c r="L33" i="12"/>
  <c r="G33" i="12"/>
  <c r="M33" i="12"/>
  <c r="N69" i="12"/>
  <c r="H63" i="12"/>
  <c r="D69" i="12"/>
  <c r="I33" i="12"/>
  <c r="O33" i="12"/>
  <c r="D33" i="12"/>
  <c r="J33" i="12"/>
  <c r="P21" i="12"/>
  <c r="P31" i="12"/>
  <c r="D63" i="8"/>
  <c r="F15" i="8"/>
  <c r="F27" i="8" s="1"/>
  <c r="F33" i="8" s="1"/>
  <c r="L15" i="8"/>
  <c r="L27" i="8" s="1"/>
  <c r="L33" i="8" s="1"/>
  <c r="M21" i="8"/>
  <c r="M27" i="8" s="1"/>
  <c r="M33" i="8" s="1"/>
  <c r="I21" i="8"/>
  <c r="I27" i="8" s="1"/>
  <c r="I33" i="8" s="1"/>
  <c r="K27" i="8"/>
  <c r="K33" i="8" s="1"/>
  <c r="J15" i="8"/>
  <c r="J27" i="8" s="1"/>
  <c r="J33" i="8" s="1"/>
  <c r="E21" i="8"/>
  <c r="E27" i="8" s="1"/>
  <c r="E33" i="8" s="1"/>
  <c r="O27" i="8"/>
  <c r="O33" i="8" s="1"/>
  <c r="H27" i="8"/>
  <c r="H33" i="8" s="1"/>
  <c r="N27" i="8"/>
  <c r="N33" i="8" s="1"/>
  <c r="G21" i="8"/>
  <c r="G27" i="8" s="1"/>
  <c r="G33" i="8" s="1"/>
  <c r="P69" i="9" l="1"/>
  <c r="P33" i="9"/>
  <c r="P27" i="9"/>
  <c r="P27" i="12"/>
  <c r="P63" i="9"/>
  <c r="P63" i="12"/>
  <c r="P27" i="11"/>
  <c r="D33" i="11"/>
  <c r="P33" i="11" s="1"/>
  <c r="P63" i="11"/>
  <c r="P69" i="11"/>
  <c r="P63" i="10"/>
  <c r="D69" i="10"/>
  <c r="P69" i="10" s="1"/>
  <c r="P27" i="10"/>
  <c r="P33" i="10"/>
  <c r="H69" i="12"/>
  <c r="P69" i="12" s="1"/>
  <c r="P33" i="12"/>
  <c r="P15" i="8"/>
  <c r="P63" i="8"/>
  <c r="D69" i="8"/>
  <c r="P69" i="8" s="1"/>
  <c r="P21" i="8"/>
  <c r="D27" i="8"/>
  <c r="D33" i="8" l="1"/>
  <c r="P33" i="8" s="1"/>
  <c r="P27" i="8"/>
</calcChain>
</file>

<file path=xl/sharedStrings.xml><?xml version="1.0" encoding="utf-8"?>
<sst xmlns="http://schemas.openxmlformats.org/spreadsheetml/2006/main" count="892" uniqueCount="94">
  <si>
    <t>LINE</t>
  </si>
  <si>
    <t>DESCRIPTION</t>
  </si>
  <si>
    <t>VOLT</t>
  </si>
  <si>
    <t>1</t>
  </si>
  <si>
    <t>RESIDENTIAL SERVICE</t>
  </si>
  <si>
    <t>SEC</t>
  </si>
  <si>
    <t xml:space="preserve"> </t>
  </si>
  <si>
    <t>PRI</t>
  </si>
  <si>
    <t>TRA</t>
  </si>
  <si>
    <t>LIGHTING</t>
  </si>
  <si>
    <t>TOTAL</t>
  </si>
  <si>
    <t>TOTAL SECONDARY &gt; 10 kW</t>
  </si>
  <si>
    <t>TOTAL PRIMARY</t>
  </si>
  <si>
    <t>PUBLIC UTILITY OF COMMISSION OF TEXAS</t>
  </si>
  <si>
    <t>AEP TEXAS INC</t>
  </si>
  <si>
    <t>Unadjusted Class Peak Demand (Non-Coincident) (At Source)</t>
  </si>
  <si>
    <t>Unadjusted Class Peak Demand (Non-Coincident) (At Meter)</t>
  </si>
  <si>
    <t>Unadjusted Coincident Peaks at Time of ERCOT Peak (At Source)</t>
  </si>
  <si>
    <t>Unadjusted Coincident Peaks at Time of ERCOT Peak (At Meter)</t>
  </si>
  <si>
    <t>Unadjusted Energy Usage (kWh) (At Source)</t>
  </si>
  <si>
    <t>Unadjusted Energy Usage (kWh) (At Meter)</t>
  </si>
  <si>
    <t>Unadjusted Class Coincidence Factors</t>
  </si>
  <si>
    <t xml:space="preserve">Unadjusted Class Load Factors </t>
  </si>
  <si>
    <t>FOR TEST YEAR ENDED SEPTEMBER 30, 2023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</si>
  <si>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</si>
  <si>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</si>
  <si>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</si>
  <si>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</si>
  <si>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</si>
  <si>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</si>
  <si>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</si>
  <si>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</si>
  <si>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</si>
  <si>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</si>
  <si>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</si>
  <si>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</si>
  <si>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r>
      <t xml:space="preserve">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</t>
    </r>
  </si>
  <si>
    <r>
      <t>SECONDARY &gt;</t>
    </r>
    <r>
      <rPr>
        <sz val="8"/>
        <rFont val="Arial"/>
        <family val="2"/>
      </rPr>
      <t xml:space="preserve"> 10 kW NCP</t>
    </r>
  </si>
  <si>
    <t>SECONDARY &gt; 10 kW 4CP</t>
  </si>
  <si>
    <t>PRIMARY NCP</t>
  </si>
  <si>
    <t>PRIMARY 4CP</t>
  </si>
  <si>
    <t>PRIMARY SUB NCP</t>
  </si>
  <si>
    <t>PRIMARY SUB 4CP</t>
  </si>
  <si>
    <t xml:space="preserve">TRANSMISSION </t>
  </si>
  <si>
    <t>TOTAL RETAIL</t>
  </si>
  <si>
    <t>WHOLESALE PRI</t>
  </si>
  <si>
    <t>WHOLESALE TRANS</t>
  </si>
  <si>
    <t>TOTAL WHOLESALE</t>
  </si>
  <si>
    <t>TOTAL AEP TEXAS</t>
  </si>
  <si>
    <t>SECONDARY &lt; 10 kW</t>
  </si>
  <si>
    <t>SECONDARY &gt; 10 kW NCP</t>
  </si>
  <si>
    <t>Unadjusted Sum of Customer Maximum Demands (Non-Coincident Peak) (At Meter)</t>
  </si>
  <si>
    <t>Unadjusted Sum of Customer Maximum Demands (Non-Coincident Peak) (At Source)</t>
  </si>
  <si>
    <t>Unadjusted Coincident Peaks at Time of AEP Texas System Peak  (At Source)</t>
  </si>
  <si>
    <t>Unadjusted Coincident Peaks at of Time AEP TexasSystem Peak  (At Meter)</t>
  </si>
  <si>
    <t>FOR 12 MONTHS ENDED SEPTEMBER 30, 2022</t>
  </si>
  <si>
    <t>FOR 12 MONTHS ENDED SEPTEMBER 30, 2021</t>
  </si>
  <si>
    <t>FOR 12 MONTHS ENDED SEPTEMBER 30, 2020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</si>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</sst>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6" fontId="2" fillId="0" borderId="0" xfId="0" applyNumberFormat="1" applyFont="1"/>
    <xf numFmtId="0" fontId="2" fillId="0" borderId="0" xfId="0" applyFont="1" applyFill="1"/>
    <xf numFmtId="165" fontId="5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Fill="1" applyBorder="1"/>
    <xf numFmtId="43" fontId="3" fillId="0" borderId="0" xfId="1" applyFont="1" applyFill="1" applyBorder="1" applyAlignment="1">
      <alignment horizontal="center"/>
    </xf>
    <xf numFmtId="37" fontId="2" fillId="0" borderId="0" xfId="1" applyNumberFormat="1" applyFont="1" applyFill="1" applyBorder="1"/>
    <xf numFmtId="43" fontId="4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 applyAlignment="1">
      <alignment horizontal="centerContinuous"/>
    </xf>
    <xf numFmtId="0" fontId="3" fillId="0" borderId="0" xfId="1" applyNumberFormat="1" applyFont="1" applyFill="1" applyBorder="1" applyAlignment="1">
      <alignment horizontal="center"/>
    </xf>
    <xf numFmtId="37" fontId="3" fillId="0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Border="1"/>
    <xf numFmtId="43" fontId="3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8" fillId="0" borderId="0" xfId="1" applyNumberFormat="1" applyFont="1" applyFill="1"/>
    <xf numFmtId="37" fontId="8" fillId="0" borderId="0" xfId="1" applyNumberFormat="1" applyFont="1" applyFill="1"/>
    <xf numFmtId="37" fontId="11" fillId="0" borderId="0" xfId="1" applyNumberFormat="1" applyFont="1" applyFill="1"/>
    <xf numFmtId="164" fontId="8" fillId="0" borderId="0" xfId="1" applyNumberFormat="1" applyFont="1" applyFill="1" applyBorder="1"/>
    <xf numFmtId="164" fontId="8" fillId="0" borderId="1" xfId="1" applyNumberFormat="1" applyFont="1" applyFill="1" applyBorder="1"/>
    <xf numFmtId="164" fontId="10" fillId="0" borderId="0" xfId="1" applyNumberFormat="1" applyFont="1" applyFill="1"/>
    <xf numFmtId="37" fontId="8" fillId="0" borderId="0" xfId="1" applyNumberFormat="1" applyFont="1" applyFill="1" applyBorder="1"/>
    <xf numFmtId="164" fontId="8" fillId="0" borderId="2" xfId="1" applyNumberFormat="1" applyFont="1" applyFill="1" applyBorder="1"/>
    <xf numFmtId="43" fontId="8" fillId="0" borderId="0" xfId="1" applyNumberFormat="1" applyFont="1" applyFill="1"/>
    <xf numFmtId="37" fontId="10" fillId="0" borderId="3" xfId="1" applyNumberFormat="1" applyFont="1" applyFill="1" applyBorder="1"/>
    <xf numFmtId="37" fontId="10" fillId="0" borderId="0" xfId="1" applyNumberFormat="1" applyFont="1" applyFill="1"/>
    <xf numFmtId="37" fontId="8" fillId="0" borderId="1" xfId="1" applyNumberFormat="1" applyFont="1" applyFill="1" applyBorder="1"/>
    <xf numFmtId="37" fontId="10" fillId="0" borderId="4" xfId="1" applyNumberFormat="1" applyFont="1" applyFill="1" applyBorder="1"/>
    <xf numFmtId="166" fontId="8" fillId="0" borderId="0" xfId="1" applyNumberFormat="1" applyFont="1" applyFill="1"/>
    <xf numFmtId="166" fontId="11" fillId="0" borderId="0" xfId="1" applyNumberFormat="1" applyFont="1" applyFill="1"/>
    <xf numFmtId="166" fontId="8" fillId="0" borderId="0" xfId="1" applyNumberFormat="1" applyFont="1" applyFill="1" applyBorder="1"/>
    <xf numFmtId="166" fontId="10" fillId="0" borderId="0" xfId="1" applyNumberFormat="1" applyFont="1" applyFill="1" applyBorder="1"/>
    <xf numFmtId="1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epenergy.sharepoint.com/dsmpa/joe/TEX_LR/Rate_Case_2023/REF/AEP%20TX%20%20H%20-1%20Schedules%20TYE%209.31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-H-1"/>
      <sheetName val="II-H-1.1"/>
      <sheetName val="II-H-1.2"/>
      <sheetName val="II-H-1.3"/>
      <sheetName val="Sch II-H-1.5"/>
      <sheetName val="II-H-3.1-3"/>
      <sheetName val="II-H-4.1 Monthly"/>
      <sheetName val="II-H-4.1 Functions"/>
      <sheetName val="II-H-4.1 Tran kW"/>
      <sheetName val="II-H-4.1 Dist kW"/>
      <sheetName val="Sch II-H-4.2"/>
      <sheetName val="Riders"/>
      <sheetName val="Primary Sub"/>
      <sheetName val="Prm Sb Rev Rider"/>
      <sheetName val="TCRF and DCRF Rider Revenues"/>
      <sheetName val="Tariff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E5" t="str">
            <v>RESIDENTIAL SERVICE</v>
          </cell>
        </row>
        <row r="6">
          <cell r="E6" t="str">
            <v>RESIDENTIAL SERVICE</v>
          </cell>
        </row>
        <row r="7">
          <cell r="E7" t="str">
            <v>RESIDENTIAL SERVICE</v>
          </cell>
        </row>
        <row r="8">
          <cell r="E8" t="str">
            <v>SECONDARY &lt; 10 kW</v>
          </cell>
        </row>
        <row r="9">
          <cell r="E9" t="str">
            <v>SECONDARY &lt; 10 kW</v>
          </cell>
        </row>
        <row r="10">
          <cell r="E10" t="str">
            <v>SECONDARY &lt; 10 kW</v>
          </cell>
        </row>
        <row r="11">
          <cell r="E11" t="str">
            <v>SECONDARY &lt; 10 kW</v>
          </cell>
        </row>
        <row r="12">
          <cell r="E12" t="str">
            <v>SECONDARY &lt; 10 kW</v>
          </cell>
        </row>
        <row r="13">
          <cell r="E13" t="str">
            <v>SECONDARY &lt; 10 kW</v>
          </cell>
        </row>
        <row r="14">
          <cell r="E14" t="str">
            <v>SECONDARY &gt; 10 kW NCP</v>
          </cell>
        </row>
        <row r="15">
          <cell r="E15" t="str">
            <v>SECONDARY &gt; 10 kW NCP</v>
          </cell>
        </row>
        <row r="16">
          <cell r="E16" t="str">
            <v>SECONDARY &gt; 10 kW NCP</v>
          </cell>
        </row>
        <row r="17">
          <cell r="E17" t="str">
            <v>SECONDARY &gt; 10 kW 4CP</v>
          </cell>
        </row>
        <row r="18">
          <cell r="E18" t="str">
            <v>SECONDARY &gt; 10 kW 4CP</v>
          </cell>
        </row>
        <row r="19">
          <cell r="E19" t="str">
            <v>SECONDARY &gt; 10 kW NCP</v>
          </cell>
        </row>
        <row r="20">
          <cell r="E20" t="str">
            <v>SECONDARY &gt; 10 kW 4CP</v>
          </cell>
        </row>
        <row r="21">
          <cell r="E21" t="str">
            <v>SECONDARY &gt; 10 kW NCP</v>
          </cell>
        </row>
        <row r="22">
          <cell r="E22" t="str">
            <v>SECONDARY &gt; 10 kW 4CP</v>
          </cell>
        </row>
        <row r="23">
          <cell r="E23" t="str">
            <v>PRIMARY NCP</v>
          </cell>
        </row>
        <row r="24">
          <cell r="E24" t="str">
            <v>PRIMARY 4CP</v>
          </cell>
        </row>
        <row r="25">
          <cell r="E25" t="str">
            <v>PRIMARY NCP</v>
          </cell>
        </row>
        <row r="26">
          <cell r="E26" t="str">
            <v>PRIMARY 4CP</v>
          </cell>
        </row>
        <row r="27">
          <cell r="E27" t="str">
            <v>PRIMARY 4CP</v>
          </cell>
        </row>
        <row r="28">
          <cell r="E28" t="str">
            <v>PRIMARY NCP</v>
          </cell>
        </row>
        <row r="29">
          <cell r="E29" t="str">
            <v>PRIMARY 4CP</v>
          </cell>
        </row>
        <row r="30">
          <cell r="E30" t="str">
            <v>SECONDARY &lt; 10 kW</v>
          </cell>
        </row>
        <row r="31">
          <cell r="E31" t="str">
            <v>SECONDARY &lt; 10 kW</v>
          </cell>
        </row>
        <row r="32">
          <cell r="E32" t="str">
            <v>SECONDARY &lt; 10 kW</v>
          </cell>
        </row>
        <row r="33">
          <cell r="E33" t="str">
            <v>SECONDARY &gt; 10 kW 4CP</v>
          </cell>
        </row>
        <row r="34">
          <cell r="E34" t="str">
            <v>SECONDARY &gt; 10 kW NCP</v>
          </cell>
        </row>
        <row r="35">
          <cell r="E35" t="str">
            <v>SECONDARY &gt; 10 kW 4CP</v>
          </cell>
        </row>
        <row r="36">
          <cell r="E36" t="str">
            <v>SECONDARY &gt; 10 kW NCP</v>
          </cell>
        </row>
        <row r="37">
          <cell r="E37" t="str">
            <v>SECONDARY &gt; 10 kW 4CP</v>
          </cell>
        </row>
        <row r="38">
          <cell r="E38" t="str">
            <v xml:space="preserve">TRANSMISSION </v>
          </cell>
        </row>
        <row r="39">
          <cell r="E39" t="str">
            <v xml:space="preserve">TRANSMISSION </v>
          </cell>
        </row>
        <row r="40">
          <cell r="E40" t="str">
            <v xml:space="preserve">TRANSMISSION </v>
          </cell>
        </row>
        <row r="41">
          <cell r="E41" t="str">
            <v xml:space="preserve">TRANSMISSION </v>
          </cell>
        </row>
        <row r="42">
          <cell r="E42" t="str">
            <v xml:space="preserve">TRANSMISSION </v>
          </cell>
        </row>
        <row r="43">
          <cell r="E43" t="str">
            <v xml:space="preserve">TRANSMISSION </v>
          </cell>
        </row>
        <row r="44">
          <cell r="E44" t="str">
            <v xml:space="preserve">TRANSMISSION </v>
          </cell>
        </row>
        <row r="45">
          <cell r="E45" t="str">
            <v xml:space="preserve">TRANSMISSION </v>
          </cell>
        </row>
        <row r="46">
          <cell r="E46" t="str">
            <v xml:space="preserve">TRANSMISSION </v>
          </cell>
        </row>
        <row r="47">
          <cell r="E47" t="str">
            <v xml:space="preserve">TRANSMISSION </v>
          </cell>
        </row>
        <row r="48">
          <cell r="E48" t="str">
            <v xml:space="preserve">TRANSMISSION </v>
          </cell>
        </row>
        <row r="49">
          <cell r="E49" t="str">
            <v>SECONDARY &gt; 10 kW NCP</v>
          </cell>
        </row>
        <row r="50">
          <cell r="E50" t="str">
            <v>SECONDARY &gt; 10 kW 4CP</v>
          </cell>
        </row>
        <row r="51">
          <cell r="E51" t="str">
            <v>PRIMARY NCP</v>
          </cell>
        </row>
        <row r="52">
          <cell r="E52" t="str">
            <v>PRIMARY 4CP</v>
          </cell>
        </row>
        <row r="53">
          <cell r="E53" t="str">
            <v>LIGHTING</v>
          </cell>
        </row>
        <row r="54">
          <cell r="E54" t="str">
            <v>LIGHTING</v>
          </cell>
        </row>
        <row r="55">
          <cell r="E55" t="str">
            <v>LIGHTING</v>
          </cell>
        </row>
        <row r="56">
          <cell r="E56" t="str">
            <v>LIGHTING</v>
          </cell>
        </row>
        <row r="57">
          <cell r="E57" t="str">
            <v>LIGHTING</v>
          </cell>
        </row>
        <row r="58">
          <cell r="E58" t="str">
            <v>LIGHTING</v>
          </cell>
        </row>
        <row r="59">
          <cell r="E59" t="str">
            <v>LIGHTING</v>
          </cell>
        </row>
        <row r="60">
          <cell r="E60" t="str">
            <v>LIGHTING</v>
          </cell>
        </row>
        <row r="61">
          <cell r="E61" t="str">
            <v>LIGHTING</v>
          </cell>
        </row>
        <row r="62">
          <cell r="E62" t="str">
            <v>LIGHTING</v>
          </cell>
        </row>
        <row r="63">
          <cell r="E63" t="str">
            <v>LIGHTING</v>
          </cell>
        </row>
        <row r="64">
          <cell r="E64" t="str">
            <v>LIGHTING</v>
          </cell>
        </row>
        <row r="65">
          <cell r="E65" t="str">
            <v>LIGHTING</v>
          </cell>
        </row>
        <row r="66">
          <cell r="E66" t="str">
            <v>LIGHTING</v>
          </cell>
        </row>
        <row r="67">
          <cell r="E67" t="str">
            <v>LIGHTING</v>
          </cell>
        </row>
        <row r="68">
          <cell r="E68" t="str">
            <v>LIGHTING</v>
          </cell>
        </row>
        <row r="69">
          <cell r="E69" t="str">
            <v>LIGHTING</v>
          </cell>
        </row>
        <row r="70">
          <cell r="E70" t="str">
            <v>LIGHTING</v>
          </cell>
        </row>
        <row r="71">
          <cell r="E71" t="str">
            <v>LIGHTING</v>
          </cell>
        </row>
        <row r="72">
          <cell r="E72" t="str">
            <v>LIGHTING</v>
          </cell>
        </row>
        <row r="73">
          <cell r="E73" t="str">
            <v>LIGHTING</v>
          </cell>
        </row>
        <row r="74">
          <cell r="E74" t="str">
            <v>LIGHTING</v>
          </cell>
        </row>
        <row r="75">
          <cell r="E75" t="str">
            <v>LIGHTING</v>
          </cell>
        </row>
        <row r="76">
          <cell r="E76" t="str">
            <v>LIGHTING</v>
          </cell>
        </row>
        <row r="77">
          <cell r="E77" t="str">
            <v>LIGHTING</v>
          </cell>
        </row>
        <row r="78">
          <cell r="E78" t="str">
            <v>LIGHTING</v>
          </cell>
        </row>
        <row r="79">
          <cell r="E79" t="str">
            <v>LIGHTING</v>
          </cell>
        </row>
        <row r="80">
          <cell r="E80" t="str">
            <v>LIGHTING</v>
          </cell>
        </row>
        <row r="81">
          <cell r="E81" t="str">
            <v>LIGHTING</v>
          </cell>
        </row>
        <row r="82">
          <cell r="E82" t="str">
            <v>LIGHTING</v>
          </cell>
        </row>
        <row r="83">
          <cell r="E83" t="str">
            <v>LIGHTING</v>
          </cell>
        </row>
        <row r="84">
          <cell r="E84" t="str">
            <v>LIGHTING</v>
          </cell>
        </row>
        <row r="85">
          <cell r="E85" t="str">
            <v>LIGHTING</v>
          </cell>
        </row>
        <row r="86">
          <cell r="E86" t="str">
            <v>LIGHTING</v>
          </cell>
        </row>
        <row r="87">
          <cell r="E87" t="str">
            <v>LIGHTING</v>
          </cell>
        </row>
        <row r="88">
          <cell r="E88" t="str">
            <v>LIGHTING</v>
          </cell>
        </row>
        <row r="89">
          <cell r="E89" t="str">
            <v>LIGHTING</v>
          </cell>
        </row>
        <row r="90">
          <cell r="E90" t="str">
            <v>LIGHTING</v>
          </cell>
        </row>
        <row r="91">
          <cell r="E91" t="str">
            <v>LIGHTING</v>
          </cell>
        </row>
        <row r="92">
          <cell r="E92" t="str">
            <v>LIGHTING</v>
          </cell>
        </row>
        <row r="93">
          <cell r="E93" t="str">
            <v>LIGHTING</v>
          </cell>
        </row>
        <row r="94">
          <cell r="E94" t="str">
            <v>LIGHTING</v>
          </cell>
        </row>
        <row r="95">
          <cell r="E95" t="str">
            <v>LIGHTING</v>
          </cell>
        </row>
        <row r="96">
          <cell r="E96" t="str">
            <v>LIGHTING</v>
          </cell>
        </row>
        <row r="97">
          <cell r="E97" t="str">
            <v>LIGHTING</v>
          </cell>
        </row>
        <row r="98">
          <cell r="E98" t="str">
            <v>LIGHTING</v>
          </cell>
        </row>
        <row r="99">
          <cell r="E99" t="str">
            <v>LIGHTING</v>
          </cell>
        </row>
        <row r="100">
          <cell r="E100" t="str">
            <v>LIGHTING</v>
          </cell>
        </row>
        <row r="101">
          <cell r="E101" t="str">
            <v>LIGHTING</v>
          </cell>
        </row>
        <row r="102">
          <cell r="E102" t="str">
            <v>LIGHTING</v>
          </cell>
        </row>
        <row r="103">
          <cell r="E103" t="str">
            <v>LIGHTING</v>
          </cell>
        </row>
        <row r="104">
          <cell r="E104" t="str">
            <v>LIGHTING</v>
          </cell>
        </row>
        <row r="105">
          <cell r="E105" t="str">
            <v>LIGHTING</v>
          </cell>
        </row>
        <row r="106">
          <cell r="E106" t="str">
            <v>LIGHTING</v>
          </cell>
        </row>
        <row r="107">
          <cell r="E107" t="str">
            <v>LIGHTING</v>
          </cell>
        </row>
        <row r="108">
          <cell r="E108" t="str">
            <v>LIGHTING</v>
          </cell>
        </row>
        <row r="109">
          <cell r="E109" t="str">
            <v>PRIMARY SUB NCP</v>
          </cell>
        </row>
        <row r="110">
          <cell r="E110" t="str">
            <v>PRIMARY SUB 4CP</v>
          </cell>
        </row>
        <row r="111">
          <cell r="E111" t="str">
            <v>Battery Storage</v>
          </cell>
        </row>
        <row r="112">
          <cell r="E112" t="str">
            <v>Description #108</v>
          </cell>
        </row>
        <row r="113">
          <cell r="E113" t="str">
            <v>Description #109</v>
          </cell>
        </row>
        <row r="114">
          <cell r="E114" t="str">
            <v>Description #110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A10" zoomScale="80" zoomScaleNormal="80" workbookViewId="0">
      <selection activeCell="A36" sqref="A36:XFD36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52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7" x14ac:dyDescent="0.25">
      <c r="A6" s="10"/>
      <c r="B6" s="9"/>
      <c r="C6" s="9"/>
      <c r="D6" s="1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  <c r="Q6" s="8"/>
    </row>
    <row r="7" spans="1:17" x14ac:dyDescent="0.25">
      <c r="A7" s="15" t="s">
        <v>0</v>
      </c>
      <c r="B7" s="9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20" t="s">
        <v>10</v>
      </c>
      <c r="Q7" s="8"/>
    </row>
    <row r="8" spans="1:17" x14ac:dyDescent="0.25">
      <c r="A8" s="10"/>
      <c r="B8" s="9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6695795.346261574</v>
      </c>
      <c r="E9" s="36">
        <v>6440316.0101942597</v>
      </c>
      <c r="F9" s="36">
        <v>7726174.5393301528</v>
      </c>
      <c r="G9" s="36">
        <v>8967316.4318858683</v>
      </c>
      <c r="H9" s="36">
        <v>7882226.6348492894</v>
      </c>
      <c r="I9" s="36">
        <v>6544470.9313384863</v>
      </c>
      <c r="J9" s="36">
        <v>6066872.8975415183</v>
      </c>
      <c r="K9" s="36">
        <v>4923649.5100198984</v>
      </c>
      <c r="L9" s="36">
        <v>5326070.9106547898</v>
      </c>
      <c r="M9" s="36">
        <v>6303496.4691926865</v>
      </c>
      <c r="N9" s="36">
        <v>6245840.732589066</v>
      </c>
      <c r="O9" s="36">
        <v>6784700.6683549061</v>
      </c>
      <c r="P9" s="37">
        <f>SUM(D9:O9)</f>
        <v>79906931.082212478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36</v>
      </c>
      <c r="C11" s="23" t="s">
        <v>5</v>
      </c>
      <c r="D11" s="36">
        <v>241612.89660498136</v>
      </c>
      <c r="E11" s="36">
        <v>246731.08382815143</v>
      </c>
      <c r="F11" s="36">
        <v>260648.70341282262</v>
      </c>
      <c r="G11" s="36">
        <v>261388.38523429612</v>
      </c>
      <c r="H11" s="36">
        <v>260887.02657279768</v>
      </c>
      <c r="I11" s="36">
        <v>225921.46733783151</v>
      </c>
      <c r="J11" s="36">
        <v>228456.72683191314</v>
      </c>
      <c r="K11" s="36">
        <v>210797.58478798214</v>
      </c>
      <c r="L11" s="36">
        <v>228803.7505362528</v>
      </c>
      <c r="M11" s="36">
        <v>248244.03546673537</v>
      </c>
      <c r="N11" s="36">
        <v>246574.01396073305</v>
      </c>
      <c r="O11" s="36">
        <v>260468.66778977166</v>
      </c>
      <c r="P11" s="37">
        <f>SUM(D11:O11)</f>
        <v>2920534.3423642688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37</v>
      </c>
      <c r="C13" s="25" t="s">
        <v>5</v>
      </c>
      <c r="D13" s="39">
        <v>2316896.019913808</v>
      </c>
      <c r="E13" s="39">
        <v>2341829.9959637942</v>
      </c>
      <c r="F13" s="39">
        <v>2399229.7454603119</v>
      </c>
      <c r="G13" s="39">
        <v>2303609.091955456</v>
      </c>
      <c r="H13" s="39">
        <v>2351192.1747880825</v>
      </c>
      <c r="I13" s="39">
        <v>2082118.2570460169</v>
      </c>
      <c r="J13" s="39">
        <v>2147175.3907715837</v>
      </c>
      <c r="K13" s="39">
        <v>1982442.1279575627</v>
      </c>
      <c r="L13" s="39">
        <v>2224971.1449158103</v>
      </c>
      <c r="M13" s="39">
        <v>2399316.0854446036</v>
      </c>
      <c r="N13" s="39">
        <v>2413636.6287258249</v>
      </c>
      <c r="O13" s="39">
        <v>2615282.6520538549</v>
      </c>
      <c r="P13" s="37">
        <f t="shared" ref="P13:P15" si="0">SUM(D13:O13)</f>
        <v>27577699.314996712</v>
      </c>
    </row>
    <row r="14" spans="1:17" x14ac:dyDescent="0.25">
      <c r="A14" s="21">
        <v>4</v>
      </c>
      <c r="B14" s="22" t="s">
        <v>38</v>
      </c>
      <c r="C14" s="25" t="s">
        <v>5</v>
      </c>
      <c r="D14" s="40">
        <v>317207.49058438826</v>
      </c>
      <c r="E14" s="40">
        <v>307865.20814723539</v>
      </c>
      <c r="F14" s="40">
        <v>310219.88418413204</v>
      </c>
      <c r="G14" s="40">
        <v>281966.77099399775</v>
      </c>
      <c r="H14" s="40">
        <v>277950.98930867255</v>
      </c>
      <c r="I14" s="40">
        <v>256519.11585275573</v>
      </c>
      <c r="J14" s="40">
        <v>286106.60851820151</v>
      </c>
      <c r="K14" s="40">
        <v>262577.16522365197</v>
      </c>
      <c r="L14" s="40">
        <v>304346.78695763444</v>
      </c>
      <c r="M14" s="40">
        <v>311505.4273628848</v>
      </c>
      <c r="N14" s="40">
        <v>317944.72713916603</v>
      </c>
      <c r="O14" s="40">
        <v>356297.86757236777</v>
      </c>
      <c r="P14" s="40">
        <f t="shared" si="0"/>
        <v>3590508.0418450884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2634103.5104981964</v>
      </c>
      <c r="E15" s="41">
        <f t="shared" ref="E15:O15" si="1">SUM(E13:E14)</f>
        <v>2649695.2041110294</v>
      </c>
      <c r="F15" s="41">
        <f t="shared" si="1"/>
        <v>2709449.6296444437</v>
      </c>
      <c r="G15" s="41">
        <f t="shared" si="1"/>
        <v>2585575.8629494538</v>
      </c>
      <c r="H15" s="41">
        <f t="shared" si="1"/>
        <v>2629143.164096755</v>
      </c>
      <c r="I15" s="41">
        <f t="shared" si="1"/>
        <v>2338637.3728987724</v>
      </c>
      <c r="J15" s="41">
        <f t="shared" si="1"/>
        <v>2433281.999289785</v>
      </c>
      <c r="K15" s="41">
        <f t="shared" si="1"/>
        <v>2245019.2931812145</v>
      </c>
      <c r="L15" s="41">
        <f t="shared" si="1"/>
        <v>2529317.9318734449</v>
      </c>
      <c r="M15" s="41">
        <f t="shared" si="1"/>
        <v>2710821.5128074884</v>
      </c>
      <c r="N15" s="41">
        <f t="shared" si="1"/>
        <v>2731581.355864991</v>
      </c>
      <c r="O15" s="41">
        <f t="shared" si="1"/>
        <v>2971580.5196262226</v>
      </c>
      <c r="P15" s="41">
        <f t="shared" si="0"/>
        <v>31168207.356841795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39</v>
      </c>
      <c r="C17" s="25" t="s">
        <v>7</v>
      </c>
      <c r="D17" s="36">
        <v>48690.207727014058</v>
      </c>
      <c r="E17" s="36">
        <v>50180.393227145629</v>
      </c>
      <c r="F17" s="36">
        <v>59647.378928497943</v>
      </c>
      <c r="G17" s="36">
        <v>50996.853786340318</v>
      </c>
      <c r="H17" s="36">
        <v>55688.792870230049</v>
      </c>
      <c r="I17" s="36">
        <v>54044.412530267262</v>
      </c>
      <c r="J17" s="36">
        <v>58911.635087760144</v>
      </c>
      <c r="K17" s="36">
        <v>60293.038682721286</v>
      </c>
      <c r="L17" s="36">
        <v>58681.434825796809</v>
      </c>
      <c r="M17" s="36">
        <v>56301.589776700697</v>
      </c>
      <c r="N17" s="36">
        <v>57927.614490503212</v>
      </c>
      <c r="O17" s="36">
        <v>63043.313951255543</v>
      </c>
      <c r="P17" s="37">
        <f t="shared" ref="P17:P21" si="2">SUM(D17:O17)</f>
        <v>674406.66588423296</v>
      </c>
    </row>
    <row r="18" spans="1:16" x14ac:dyDescent="0.25">
      <c r="A18" s="21">
        <v>7</v>
      </c>
      <c r="B18" s="22" t="s">
        <v>40</v>
      </c>
      <c r="C18" s="25" t="s">
        <v>7</v>
      </c>
      <c r="D18" s="39">
        <v>658771.82613513304</v>
      </c>
      <c r="E18" s="39">
        <v>694780.93788625544</v>
      </c>
      <c r="F18" s="39">
        <v>694838.78611165751</v>
      </c>
      <c r="G18" s="39">
        <v>692379.30265302816</v>
      </c>
      <c r="H18" s="39">
        <v>698853.17462966603</v>
      </c>
      <c r="I18" s="39">
        <v>650996.45419859572</v>
      </c>
      <c r="J18" s="39">
        <v>697454.80325834767</v>
      </c>
      <c r="K18" s="39">
        <v>669274.97647821857</v>
      </c>
      <c r="L18" s="39">
        <v>757511.1620143879</v>
      </c>
      <c r="M18" s="39">
        <v>723611.70168196445</v>
      </c>
      <c r="N18" s="39">
        <v>743301.60235093872</v>
      </c>
      <c r="O18" s="39">
        <v>771245.27889988048</v>
      </c>
      <c r="P18" s="42">
        <f t="shared" si="2"/>
        <v>8453020.0062980726</v>
      </c>
    </row>
    <row r="19" spans="1:16" x14ac:dyDescent="0.25">
      <c r="A19" s="21">
        <v>8</v>
      </c>
      <c r="B19" s="22" t="s">
        <v>41</v>
      </c>
      <c r="C19" s="25" t="s">
        <v>7</v>
      </c>
      <c r="D19" s="39">
        <v>1508.8700739866379</v>
      </c>
      <c r="E19" s="39">
        <v>1306.4355440334461</v>
      </c>
      <c r="F19" s="39">
        <v>1611.1443390841628</v>
      </c>
      <c r="G19" s="39">
        <v>1162.3753190463265</v>
      </c>
      <c r="H19" s="39">
        <v>1353.2753963598052</v>
      </c>
      <c r="I19" s="39">
        <v>1303.0012872433415</v>
      </c>
      <c r="J19" s="39">
        <v>1466.9799322015535</v>
      </c>
      <c r="K19" s="39">
        <v>1463.0997470853165</v>
      </c>
      <c r="L19" s="39">
        <v>1671.1452489432938</v>
      </c>
      <c r="M19" s="39">
        <v>1574.130918244208</v>
      </c>
      <c r="N19" s="39">
        <v>1433.7622197630158</v>
      </c>
      <c r="O19" s="39">
        <v>1766.1810262275924</v>
      </c>
      <c r="P19" s="42">
        <f t="shared" si="2"/>
        <v>17620.401052218698</v>
      </c>
    </row>
    <row r="20" spans="1:16" x14ac:dyDescent="0.25">
      <c r="A20" s="21">
        <v>9</v>
      </c>
      <c r="B20" s="22" t="s">
        <v>42</v>
      </c>
      <c r="C20" s="25" t="s">
        <v>7</v>
      </c>
      <c r="D20" s="39">
        <v>118722.66519807099</v>
      </c>
      <c r="E20" s="39">
        <v>114173.37086675914</v>
      </c>
      <c r="F20" s="39">
        <v>106171.0537461083</v>
      </c>
      <c r="G20" s="39">
        <v>110574.53214209629</v>
      </c>
      <c r="H20" s="39">
        <v>121887.78363274471</v>
      </c>
      <c r="I20" s="39">
        <v>86834.368695576239</v>
      </c>
      <c r="J20" s="39">
        <v>111494.88257898361</v>
      </c>
      <c r="K20" s="39">
        <v>94879.724241725329</v>
      </c>
      <c r="L20" s="39">
        <v>106639.94844555535</v>
      </c>
      <c r="M20" s="39">
        <v>80054.528650630455</v>
      </c>
      <c r="N20" s="39">
        <v>69251.723032417125</v>
      </c>
      <c r="O20" s="39">
        <v>83709.831608359644</v>
      </c>
      <c r="P20" s="42">
        <f t="shared" si="2"/>
        <v>1204394.4128390271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827693.56913420465</v>
      </c>
      <c r="E21" s="43">
        <f t="shared" ref="E21:O21" si="3">SUM(E17:E20)</f>
        <v>860441.13752419362</v>
      </c>
      <c r="F21" s="43">
        <f t="shared" si="3"/>
        <v>862268.36312534788</v>
      </c>
      <c r="G21" s="43">
        <f t="shared" si="3"/>
        <v>855113.06390051113</v>
      </c>
      <c r="H21" s="43">
        <f t="shared" si="3"/>
        <v>877783.02652900061</v>
      </c>
      <c r="I21" s="43">
        <f t="shared" si="3"/>
        <v>793178.23671168252</v>
      </c>
      <c r="J21" s="43">
        <f t="shared" si="3"/>
        <v>869328.30085729295</v>
      </c>
      <c r="K21" s="43">
        <f t="shared" si="3"/>
        <v>825910.83914975054</v>
      </c>
      <c r="L21" s="43">
        <f t="shared" si="3"/>
        <v>924503.69053468318</v>
      </c>
      <c r="M21" s="43">
        <f t="shared" si="3"/>
        <v>861541.95102753991</v>
      </c>
      <c r="N21" s="43">
        <f t="shared" si="3"/>
        <v>871914.70209362207</v>
      </c>
      <c r="O21" s="43">
        <f t="shared" si="3"/>
        <v>919764.60548572312</v>
      </c>
      <c r="P21" s="43">
        <f t="shared" si="2"/>
        <v>10349441.486073552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43</v>
      </c>
      <c r="C23" s="25" t="s">
        <v>8</v>
      </c>
      <c r="D23" s="36">
        <v>1726368.7383608739</v>
      </c>
      <c r="E23" s="36">
        <v>2496961.1841814411</v>
      </c>
      <c r="F23" s="36">
        <v>2100594.2502571726</v>
      </c>
      <c r="G23" s="36">
        <v>2195498.3824549187</v>
      </c>
      <c r="H23" s="36">
        <v>2336262.6079253885</v>
      </c>
      <c r="I23" s="36">
        <v>2308208.4324635952</v>
      </c>
      <c r="J23" s="36">
        <v>2117902.2872210881</v>
      </c>
      <c r="K23" s="36">
        <v>2076520.0644142681</v>
      </c>
      <c r="L23" s="36">
        <v>2269758.6406993866</v>
      </c>
      <c r="M23" s="36">
        <v>2166690.2805159385</v>
      </c>
      <c r="N23" s="36">
        <v>2220110.4749228414</v>
      </c>
      <c r="O23" s="36">
        <v>2343882.8475880455</v>
      </c>
      <c r="P23" s="37">
        <f>SUM(D23:O23)</f>
        <v>26358758.191004962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62910.874698827218</v>
      </c>
      <c r="E25" s="36">
        <v>60798.318473649793</v>
      </c>
      <c r="F25" s="36">
        <v>56344.101310675615</v>
      </c>
      <c r="G25" s="36">
        <v>57048.508423330088</v>
      </c>
      <c r="H25" s="36">
        <v>66734.533090584358</v>
      </c>
      <c r="I25" s="36">
        <v>69944.619802296191</v>
      </c>
      <c r="J25" s="36">
        <v>72079.053051094423</v>
      </c>
      <c r="K25" s="36">
        <v>71600.528695238536</v>
      </c>
      <c r="L25" s="36">
        <v>79821.306478807295</v>
      </c>
      <c r="M25" s="36">
        <v>77354.448254575007</v>
      </c>
      <c r="N25" s="36">
        <v>70518.438418052174</v>
      </c>
      <c r="O25" s="36">
        <v>72528.04175633048</v>
      </c>
      <c r="P25" s="37">
        <f>SUM(D25:O25)</f>
        <v>817682.77245346108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44</v>
      </c>
      <c r="C27" s="30"/>
      <c r="D27" s="45">
        <f>D25+D23+D21+D15+D11+D9</f>
        <v>12188484.935558658</v>
      </c>
      <c r="E27" s="45">
        <f>E25+E23+E21+E15+E11+E9</f>
        <v>12754942.938312724</v>
      </c>
      <c r="F27" s="45">
        <f>F25+F23+F21+F15+F11+F9</f>
        <v>13715479.587080617</v>
      </c>
      <c r="G27" s="45">
        <f>G25+G23+G21+G15+G11+G9</f>
        <v>14921940.634848379</v>
      </c>
      <c r="H27" s="45">
        <f>H25+H23+H21+H15+H11+H9</f>
        <v>14053036.993063815</v>
      </c>
      <c r="I27" s="45">
        <f>I25+I23+I21+I15+I11+I9</f>
        <v>12280361.060552664</v>
      </c>
      <c r="J27" s="45">
        <f>J25+J23+J21+J15+J11+J9</f>
        <v>11787921.264792692</v>
      </c>
      <c r="K27" s="45">
        <f>K25+K23+K21+K15+K11+K9</f>
        <v>10353497.820248352</v>
      </c>
      <c r="L27" s="45">
        <f>L25+L23+L21+L15+L11+L9</f>
        <v>11358276.230777364</v>
      </c>
      <c r="M27" s="45">
        <f>M25+M23+M21+M15+M11+M9</f>
        <v>12368148.697264964</v>
      </c>
      <c r="N27" s="45">
        <f>N25+N23+N21+N15+N11+N9</f>
        <v>12386539.717849307</v>
      </c>
      <c r="O27" s="45">
        <f>O25+O23+O21+O15+O11+O9</f>
        <v>13352925.350600999</v>
      </c>
      <c r="P27" s="45">
        <f>SUM(D27:O27)</f>
        <v>151521555.23095053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45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4">SUM(D29:O29)</f>
        <v>0</v>
      </c>
    </row>
    <row r="30" spans="1:16" x14ac:dyDescent="0.25">
      <c r="A30" s="21">
        <v>15</v>
      </c>
      <c r="B30" s="28" t="s">
        <v>46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4"/>
        <v>0</v>
      </c>
    </row>
    <row r="31" spans="1:16" x14ac:dyDescent="0.25">
      <c r="A31" s="21">
        <v>16</v>
      </c>
      <c r="B31" s="29" t="s">
        <v>47</v>
      </c>
      <c r="C31" s="31"/>
      <c r="D31" s="46">
        <f t="shared" ref="D31:O31" si="5">SUM(D29:D30)</f>
        <v>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  <c r="N31" s="46">
        <f t="shared" si="5"/>
        <v>0</v>
      </c>
      <c r="O31" s="37">
        <f t="shared" si="5"/>
        <v>0</v>
      </c>
      <c r="P31" s="37">
        <f t="shared" si="4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48</v>
      </c>
      <c r="C33" s="31"/>
      <c r="D33" s="48">
        <f t="shared" ref="D33:O33" si="6">+D31+D27</f>
        <v>12188484.935558658</v>
      </c>
      <c r="E33" s="48">
        <f t="shared" si="6"/>
        <v>12754942.938312724</v>
      </c>
      <c r="F33" s="48">
        <f t="shared" si="6"/>
        <v>13715479.587080617</v>
      </c>
      <c r="G33" s="48">
        <f t="shared" si="6"/>
        <v>14921940.634848379</v>
      </c>
      <c r="H33" s="48">
        <f t="shared" si="6"/>
        <v>14053036.993063815</v>
      </c>
      <c r="I33" s="48">
        <f t="shared" si="6"/>
        <v>12280361.060552664</v>
      </c>
      <c r="J33" s="48">
        <f t="shared" si="6"/>
        <v>11787921.264792692</v>
      </c>
      <c r="K33" s="48">
        <f t="shared" si="6"/>
        <v>10353497.820248352</v>
      </c>
      <c r="L33" s="48">
        <f t="shared" si="6"/>
        <v>11358276.230777364</v>
      </c>
      <c r="M33" s="48">
        <f t="shared" si="6"/>
        <v>12368148.697264964</v>
      </c>
      <c r="N33" s="48">
        <f t="shared" si="6"/>
        <v>12386539.717849307</v>
      </c>
      <c r="O33" s="48">
        <f t="shared" si="6"/>
        <v>13352925.350600999</v>
      </c>
      <c r="P33" s="48">
        <f>SUM(D33:O33)</f>
        <v>151521555.23095053</v>
      </c>
    </row>
    <row r="34" spans="1:16" ht="15.75" thickTop="1" x14ac:dyDescent="0.25"/>
    <row r="36" spans="1:16" hidden="1" x14ac:dyDescent="0.25"/>
    <row r="37" spans="1:16" x14ac:dyDescent="0.25">
      <c r="A37" s="10"/>
      <c r="B37" s="54" t="s">
        <v>13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14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1"/>
    </row>
    <row r="39" spans="1:16" x14ac:dyDescent="0.25">
      <c r="A39" s="10"/>
      <c r="B39" s="54" t="s">
        <v>51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3" t="s">
        <v>6</v>
      </c>
    </row>
    <row r="40" spans="1:16" x14ac:dyDescent="0.25">
      <c r="A40" s="10"/>
      <c r="B40" s="55" t="s">
        <v>23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8" t="s">
        <v>6</v>
      </c>
    </row>
    <row r="41" spans="1:16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8"/>
    </row>
    <row r="42" spans="1:16" x14ac:dyDescent="0.25">
      <c r="A42" s="10"/>
      <c r="B42" s="9"/>
      <c r="C42" s="9"/>
      <c r="D42" s="1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8"/>
    </row>
    <row r="43" spans="1:16" x14ac:dyDescent="0.25">
      <c r="A43" s="15" t="s">
        <v>0</v>
      </c>
      <c r="B43" s="17" t="s">
        <v>1</v>
      </c>
      <c r="C43" s="34" t="s">
        <v>2</v>
      </c>
      <c r="D43" s="19" t="s">
        <v>24</v>
      </c>
      <c r="E43" s="19" t="s">
        <v>25</v>
      </c>
      <c r="F43" s="19" t="s">
        <v>26</v>
      </c>
      <c r="G43" s="19" t="s">
        <v>27</v>
      </c>
      <c r="H43" s="19" t="s">
        <v>28</v>
      </c>
      <c r="I43" s="19" t="s">
        <v>29</v>
      </c>
      <c r="J43" s="19" t="s">
        <v>30</v>
      </c>
      <c r="K43" s="19" t="s">
        <v>31</v>
      </c>
      <c r="L43" s="19" t="s">
        <v>32</v>
      </c>
      <c r="M43" s="19" t="s">
        <v>33</v>
      </c>
      <c r="N43" s="19" t="s">
        <v>34</v>
      </c>
      <c r="O43" s="19" t="s">
        <v>35</v>
      </c>
      <c r="P43" s="20" t="s">
        <v>10</v>
      </c>
    </row>
    <row r="44" spans="1:16" x14ac:dyDescent="0.25">
      <c r="A44" s="10"/>
      <c r="B44" s="17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0"/>
      <c r="P44" s="20"/>
    </row>
    <row r="45" spans="1:16" x14ac:dyDescent="0.25">
      <c r="A45" s="21" t="s">
        <v>3</v>
      </c>
      <c r="B45" s="22" t="s">
        <v>4</v>
      </c>
      <c r="C45" s="23" t="s">
        <v>5</v>
      </c>
      <c r="D45" s="36">
        <v>6151566.2776756119</v>
      </c>
      <c r="E45" s="36">
        <v>5916852.1045084009</v>
      </c>
      <c r="F45" s="36">
        <v>7098197.0466160318</v>
      </c>
      <c r="G45" s="36">
        <v>8238459.885790024</v>
      </c>
      <c r="H45" s="36">
        <v>7241565.3484701365</v>
      </c>
      <c r="I45" s="36">
        <v>6012541.3941941308</v>
      </c>
      <c r="J45" s="36">
        <v>5573762.1593075767</v>
      </c>
      <c r="K45" s="36">
        <v>4523459.0847886465</v>
      </c>
      <c r="L45" s="36">
        <v>4893171.985130311</v>
      </c>
      <c r="M45" s="36">
        <v>5791153.1500111958</v>
      </c>
      <c r="N45" s="36">
        <v>5738183.6270995671</v>
      </c>
      <c r="O45" s="36">
        <v>6233245.4439303847</v>
      </c>
      <c r="P45" s="37">
        <f>SUM(D45:O45)</f>
        <v>73412157.507522032</v>
      </c>
    </row>
    <row r="46" spans="1:16" x14ac:dyDescent="0.25">
      <c r="A46" s="24"/>
      <c r="B46" s="22"/>
      <c r="C46" s="23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7"/>
      <c r="P46" s="37"/>
    </row>
    <row r="47" spans="1:16" x14ac:dyDescent="0.25">
      <c r="A47" s="21">
        <v>2</v>
      </c>
      <c r="B47" s="22" t="s">
        <v>36</v>
      </c>
      <c r="C47" s="23" t="s">
        <v>5</v>
      </c>
      <c r="D47" s="36">
        <v>221974.78718290935</v>
      </c>
      <c r="E47" s="36">
        <v>226676.972105939</v>
      </c>
      <c r="F47" s="36">
        <v>239463.37833180759</v>
      </c>
      <c r="G47" s="36">
        <v>240142.93938675031</v>
      </c>
      <c r="H47" s="36">
        <v>239682.33076961024</v>
      </c>
      <c r="I47" s="36">
        <v>207558.74515405248</v>
      </c>
      <c r="J47" s="36">
        <v>209887.94071670613</v>
      </c>
      <c r="K47" s="36">
        <v>193664.12008413841</v>
      </c>
      <c r="L47" s="36">
        <v>210206.75860267421</v>
      </c>
      <c r="M47" s="36">
        <v>228066.95220514608</v>
      </c>
      <c r="N47" s="36">
        <v>226532.66875589869</v>
      </c>
      <c r="O47" s="36">
        <v>239297.9758649955</v>
      </c>
      <c r="P47" s="37">
        <f>SUM(D47:O47)</f>
        <v>2683155.5691606281</v>
      </c>
    </row>
    <row r="48" spans="1:16" x14ac:dyDescent="0.25">
      <c r="A48" s="21"/>
      <c r="B48" s="22"/>
      <c r="C48" s="2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spans="1:16" x14ac:dyDescent="0.25">
      <c r="A49" s="21">
        <v>3</v>
      </c>
      <c r="B49" s="22" t="s">
        <v>37</v>
      </c>
      <c r="C49" s="25" t="s">
        <v>5</v>
      </c>
      <c r="D49" s="39">
        <v>2128580.502828565</v>
      </c>
      <c r="E49" s="39">
        <v>2151487.8645840436</v>
      </c>
      <c r="F49" s="39">
        <v>2204222.2068227069</v>
      </c>
      <c r="G49" s="39">
        <v>2116373.5261012758</v>
      </c>
      <c r="H49" s="39">
        <v>2160089.0927522876</v>
      </c>
      <c r="I49" s="39">
        <v>1912885.2949975808</v>
      </c>
      <c r="J49" s="39">
        <v>1972654.6351958101</v>
      </c>
      <c r="K49" s="39">
        <v>1821310.7646123115</v>
      </c>
      <c r="L49" s="39">
        <v>2044127.2105945135</v>
      </c>
      <c r="M49" s="39">
        <v>2204301.5291598332</v>
      </c>
      <c r="N49" s="39">
        <v>2217458.1097557349</v>
      </c>
      <c r="O49" s="39">
        <v>2402714.500219441</v>
      </c>
      <c r="P49" s="37">
        <f t="shared" ref="P49:P51" si="7">SUM(D49:O49)</f>
        <v>25336205.237624105</v>
      </c>
    </row>
    <row r="50" spans="1:16" x14ac:dyDescent="0.25">
      <c r="A50" s="21">
        <v>4</v>
      </c>
      <c r="B50" s="22" t="s">
        <v>38</v>
      </c>
      <c r="C50" s="25" t="s">
        <v>5</v>
      </c>
      <c r="D50" s="40">
        <v>291425.11101306259</v>
      </c>
      <c r="E50" s="40">
        <v>282842.16206899169</v>
      </c>
      <c r="F50" s="40">
        <v>285005.45185823407</v>
      </c>
      <c r="G50" s="40">
        <v>259048.72986301663</v>
      </c>
      <c r="H50" s="40">
        <v>255359.34780809074</v>
      </c>
      <c r="I50" s="40">
        <v>235669.44045564483</v>
      </c>
      <c r="J50" s="40">
        <v>262852.08459415648</v>
      </c>
      <c r="K50" s="40">
        <v>241235.09625773053</v>
      </c>
      <c r="L50" s="40">
        <v>279609.71543325443</v>
      </c>
      <c r="M50" s="40">
        <v>286186.50708139385</v>
      </c>
      <c r="N50" s="40">
        <v>292102.42555069597</v>
      </c>
      <c r="O50" s="40">
        <v>327338.2523839589</v>
      </c>
      <c r="P50" s="40">
        <f t="shared" si="7"/>
        <v>3298674.324368231</v>
      </c>
    </row>
    <row r="51" spans="1:16" x14ac:dyDescent="0.25">
      <c r="A51" s="21">
        <v>5</v>
      </c>
      <c r="B51" s="26" t="s">
        <v>11</v>
      </c>
      <c r="C51" s="23"/>
      <c r="D51" s="41">
        <f>SUM(D49:D50)</f>
        <v>2420005.6138416277</v>
      </c>
      <c r="E51" s="41">
        <f t="shared" ref="E51:O51" si="8">SUM(E49:E50)</f>
        <v>2434330.0266530355</v>
      </c>
      <c r="F51" s="41">
        <f t="shared" si="8"/>
        <v>2489227.658680941</v>
      </c>
      <c r="G51" s="41">
        <f t="shared" si="8"/>
        <v>2375422.2559642922</v>
      </c>
      <c r="H51" s="41">
        <f t="shared" si="8"/>
        <v>2415448.4405603781</v>
      </c>
      <c r="I51" s="41">
        <f t="shared" si="8"/>
        <v>2148554.7354532257</v>
      </c>
      <c r="J51" s="41">
        <f t="shared" si="8"/>
        <v>2235506.7197899665</v>
      </c>
      <c r="K51" s="41">
        <f t="shared" si="8"/>
        <v>2062545.8608700421</v>
      </c>
      <c r="L51" s="41">
        <f t="shared" si="8"/>
        <v>2323736.9260277678</v>
      </c>
      <c r="M51" s="41">
        <f t="shared" si="8"/>
        <v>2490488.0362412268</v>
      </c>
      <c r="N51" s="41">
        <f t="shared" si="8"/>
        <v>2509560.5353064309</v>
      </c>
      <c r="O51" s="41">
        <f t="shared" si="8"/>
        <v>2730052.7526034</v>
      </c>
      <c r="P51" s="41">
        <f t="shared" si="7"/>
        <v>28634879.561992332</v>
      </c>
    </row>
    <row r="52" spans="1:16" x14ac:dyDescent="0.25">
      <c r="A52" s="24"/>
      <c r="B52" s="27"/>
      <c r="C52" s="2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6"/>
      <c r="P52" s="36"/>
    </row>
    <row r="53" spans="1:16" x14ac:dyDescent="0.25">
      <c r="A53" s="21">
        <v>6</v>
      </c>
      <c r="B53" s="22" t="s">
        <v>39</v>
      </c>
      <c r="C53" s="25" t="s">
        <v>7</v>
      </c>
      <c r="D53" s="36">
        <v>45854.993480137171</v>
      </c>
      <c r="E53" s="36">
        <v>47258.405985087658</v>
      </c>
      <c r="F53" s="36">
        <v>56174.13232673586</v>
      </c>
      <c r="G53" s="36">
        <v>48027.324323423069</v>
      </c>
      <c r="H53" s="36">
        <v>52446.053389177221</v>
      </c>
      <c r="I53" s="36">
        <v>50897.424757510395</v>
      </c>
      <c r="J53" s="36">
        <v>55481.23059977599</v>
      </c>
      <c r="K53" s="36">
        <v>56782.195532920792</v>
      </c>
      <c r="L53" s="36">
        <v>55264.434820825183</v>
      </c>
      <c r="M53" s="36">
        <v>53023.167340064509</v>
      </c>
      <c r="N53" s="36">
        <v>54554.509187443575</v>
      </c>
      <c r="O53" s="36">
        <v>59372.323207345376</v>
      </c>
      <c r="P53" s="37">
        <f t="shared" ref="P53:P57" si="9">SUM(D53:O53)</f>
        <v>635136.1949504466</v>
      </c>
    </row>
    <row r="54" spans="1:16" x14ac:dyDescent="0.25">
      <c r="A54" s="21">
        <v>7</v>
      </c>
      <c r="B54" s="22" t="s">
        <v>40</v>
      </c>
      <c r="C54" s="25" t="s">
        <v>7</v>
      </c>
      <c r="D54" s="39">
        <v>620411.76660589082</v>
      </c>
      <c r="E54" s="39">
        <v>654324.08001869929</v>
      </c>
      <c r="F54" s="39">
        <v>654378.55976159789</v>
      </c>
      <c r="G54" s="39">
        <v>652062.29118882318</v>
      </c>
      <c r="H54" s="39">
        <v>658159.19180063286</v>
      </c>
      <c r="I54" s="39">
        <v>613089.15193448635</v>
      </c>
      <c r="J54" s="39">
        <v>656842.24711898109</v>
      </c>
      <c r="K54" s="39">
        <v>630303.3220743608</v>
      </c>
      <c r="L54" s="39">
        <v>713401.54451690742</v>
      </c>
      <c r="M54" s="39">
        <v>681476.03823772585</v>
      </c>
      <c r="N54" s="39">
        <v>700019.40268304595</v>
      </c>
      <c r="O54" s="39">
        <v>726335.92844417703</v>
      </c>
      <c r="P54" s="42">
        <f t="shared" si="9"/>
        <v>7960803.5243853275</v>
      </c>
    </row>
    <row r="55" spans="1:16" x14ac:dyDescent="0.25">
      <c r="A55" s="21">
        <v>8</v>
      </c>
      <c r="B55" s="22" t="s">
        <v>41</v>
      </c>
      <c r="C55" s="25" t="s">
        <v>7</v>
      </c>
      <c r="D55" s="39">
        <v>1421.0090824205738</v>
      </c>
      <c r="E55" s="39">
        <v>1230.3622463421132</v>
      </c>
      <c r="F55" s="39">
        <v>1517.3279518229497</v>
      </c>
      <c r="G55" s="39">
        <v>1094.6905992920961</v>
      </c>
      <c r="H55" s="39">
        <v>1274.4746299876676</v>
      </c>
      <c r="I55" s="39">
        <v>1227.1279651576442</v>
      </c>
      <c r="J55" s="39">
        <v>1381.5581893538076</v>
      </c>
      <c r="K55" s="39">
        <v>1377.9039460980725</v>
      </c>
      <c r="L55" s="39">
        <v>1573.8350290943877</v>
      </c>
      <c r="M55" s="39">
        <v>1482.4698098982021</v>
      </c>
      <c r="N55" s="39">
        <v>1350.2747330203665</v>
      </c>
      <c r="O55" s="39">
        <v>1663.3369053686488</v>
      </c>
      <c r="P55" s="42">
        <f t="shared" si="9"/>
        <v>16594.371087856529</v>
      </c>
    </row>
    <row r="56" spans="1:16" x14ac:dyDescent="0.25">
      <c r="A56" s="21">
        <v>9</v>
      </c>
      <c r="B56" s="22" t="s">
        <v>42</v>
      </c>
      <c r="C56" s="25" t="s">
        <v>7</v>
      </c>
      <c r="D56" s="39">
        <v>111809.48475563036</v>
      </c>
      <c r="E56" s="39">
        <v>107525.09428699428</v>
      </c>
      <c r="F56" s="39">
        <v>99988.749372412058</v>
      </c>
      <c r="G56" s="39">
        <v>104135.81471807754</v>
      </c>
      <c r="H56" s="39">
        <v>114790.29941962904</v>
      </c>
      <c r="I56" s="39">
        <v>81778.032920124911</v>
      </c>
      <c r="J56" s="39">
        <v>105002.57346183815</v>
      </c>
      <c r="K56" s="39">
        <v>89354.910147316725</v>
      </c>
      <c r="L56" s="39">
        <v>100430.34049288054</v>
      </c>
      <c r="M56" s="39">
        <v>75392.980656630956</v>
      </c>
      <c r="N56" s="39">
        <v>65219.21873785551</v>
      </c>
      <c r="O56" s="39">
        <v>78835.436565513912</v>
      </c>
      <c r="P56" s="42">
        <f t="shared" si="9"/>
        <v>1134262.935534904</v>
      </c>
    </row>
    <row r="57" spans="1:16" x14ac:dyDescent="0.25">
      <c r="A57" s="21">
        <v>10</v>
      </c>
      <c r="B57" s="22" t="s">
        <v>12</v>
      </c>
      <c r="C57" s="25"/>
      <c r="D57" s="43">
        <f>SUM(D53:D56)</f>
        <v>779497.25392407901</v>
      </c>
      <c r="E57" s="43">
        <f t="shared" ref="E57:O57" si="10">SUM(E53:E56)</f>
        <v>810337.94253712334</v>
      </c>
      <c r="F57" s="43">
        <f t="shared" si="10"/>
        <v>812058.76941256877</v>
      </c>
      <c r="G57" s="43">
        <f t="shared" si="10"/>
        <v>805320.12082961586</v>
      </c>
      <c r="H57" s="43">
        <f t="shared" si="10"/>
        <v>826670.01923942671</v>
      </c>
      <c r="I57" s="43">
        <f t="shared" si="10"/>
        <v>746991.73757727933</v>
      </c>
      <c r="J57" s="43">
        <f t="shared" si="10"/>
        <v>818707.60936994909</v>
      </c>
      <c r="K57" s="43">
        <f t="shared" si="10"/>
        <v>777818.33170069638</v>
      </c>
      <c r="L57" s="43">
        <f t="shared" si="10"/>
        <v>870670.15485970757</v>
      </c>
      <c r="M57" s="43">
        <f t="shared" si="10"/>
        <v>811374.6560443195</v>
      </c>
      <c r="N57" s="43">
        <f t="shared" si="10"/>
        <v>821143.40534136537</v>
      </c>
      <c r="O57" s="43">
        <f t="shared" si="10"/>
        <v>866207.02512240491</v>
      </c>
      <c r="P57" s="43">
        <f t="shared" si="9"/>
        <v>9746797.0259585343</v>
      </c>
    </row>
    <row r="58" spans="1:16" x14ac:dyDescent="0.25">
      <c r="A58" s="21"/>
      <c r="B58" s="22"/>
      <c r="C58" s="25"/>
      <c r="D58" s="4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x14ac:dyDescent="0.25">
      <c r="A59" s="21">
        <v>11</v>
      </c>
      <c r="B59" s="26" t="s">
        <v>43</v>
      </c>
      <c r="C59" s="25" t="s">
        <v>8</v>
      </c>
      <c r="D59" s="36">
        <v>1680425.8944077657</v>
      </c>
      <c r="E59" s="36">
        <v>2430511.0130837322</v>
      </c>
      <c r="F59" s="36">
        <v>2044692.3611045738</v>
      </c>
      <c r="G59" s="36">
        <v>2137070.8650056641</v>
      </c>
      <c r="H59" s="36">
        <v>2274089.0142751071</v>
      </c>
      <c r="I59" s="36">
        <v>2246781.4282161654</v>
      </c>
      <c r="J59" s="36">
        <v>2061539.789379454</v>
      </c>
      <c r="K59" s="36">
        <v>2021258.8475229898</v>
      </c>
      <c r="L59" s="36">
        <v>2209354.878325955</v>
      </c>
      <c r="M59" s="36">
        <v>2109029.4162749806</v>
      </c>
      <c r="N59" s="36">
        <v>2161027.9702171059</v>
      </c>
      <c r="O59" s="36">
        <v>2281506.4609457878</v>
      </c>
      <c r="P59" s="37">
        <f>SUM(D59:O59)</f>
        <v>25657287.938759279</v>
      </c>
    </row>
    <row r="60" spans="1:16" x14ac:dyDescent="0.25">
      <c r="A60" s="24"/>
      <c r="B60" s="22"/>
      <c r="C60" s="2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6"/>
    </row>
    <row r="61" spans="1:16" x14ac:dyDescent="0.25">
      <c r="A61" s="21">
        <v>12</v>
      </c>
      <c r="B61" s="28" t="s">
        <v>9</v>
      </c>
      <c r="C61" s="25" t="s">
        <v>5</v>
      </c>
      <c r="D61" s="36">
        <v>57797.527445705637</v>
      </c>
      <c r="E61" s="36">
        <v>55856.678157091876</v>
      </c>
      <c r="F61" s="36">
        <v>51764.496321144004</v>
      </c>
      <c r="G61" s="36">
        <v>52411.649768326264</v>
      </c>
      <c r="H61" s="36">
        <v>61310.401839815844</v>
      </c>
      <c r="I61" s="36">
        <v>64259.575185624031</v>
      </c>
      <c r="J61" s="36">
        <v>66220.523350293923</v>
      </c>
      <c r="K61" s="36">
        <v>65780.89308408917</v>
      </c>
      <c r="L61" s="36">
        <v>73333.49240567704</v>
      </c>
      <c r="M61" s="36">
        <v>71067.138510546923</v>
      </c>
      <c r="N61" s="36">
        <v>64786.754267965283</v>
      </c>
      <c r="O61" s="36">
        <v>66633.01860072439</v>
      </c>
      <c r="P61" s="37">
        <f>SUM(D61:O61)</f>
        <v>751222.14893700427</v>
      </c>
    </row>
    <row r="62" spans="1:16" x14ac:dyDescent="0.25">
      <c r="A62" s="21"/>
      <c r="B62" s="22"/>
      <c r="C62" s="2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36"/>
    </row>
    <row r="63" spans="1:16" x14ac:dyDescent="0.25">
      <c r="A63" s="21">
        <v>13</v>
      </c>
      <c r="B63" s="29" t="s">
        <v>44</v>
      </c>
      <c r="C63" s="30"/>
      <c r="D63" s="45">
        <f>D61+D59+D57+D51+D47+D45</f>
        <v>11311267.3544777</v>
      </c>
      <c r="E63" s="45">
        <f t="shared" ref="E63:O63" si="11">E61+E59+E57+E51+E47+E45</f>
        <v>11874564.737045322</v>
      </c>
      <c r="F63" s="45">
        <f t="shared" si="11"/>
        <v>12735403.710467067</v>
      </c>
      <c r="G63" s="45">
        <f t="shared" si="11"/>
        <v>13848827.716744673</v>
      </c>
      <c r="H63" s="45">
        <f t="shared" si="11"/>
        <v>13058765.555154476</v>
      </c>
      <c r="I63" s="45">
        <f t="shared" si="11"/>
        <v>11426687.615780476</v>
      </c>
      <c r="J63" s="45">
        <f t="shared" si="11"/>
        <v>10965624.741913946</v>
      </c>
      <c r="K63" s="45">
        <f t="shared" si="11"/>
        <v>9644527.1380506027</v>
      </c>
      <c r="L63" s="45">
        <f t="shared" si="11"/>
        <v>10580474.195352092</v>
      </c>
      <c r="M63" s="45">
        <f t="shared" si="11"/>
        <v>11501179.349287417</v>
      </c>
      <c r="N63" s="45">
        <f t="shared" si="11"/>
        <v>11521234.960988332</v>
      </c>
      <c r="O63" s="45">
        <f t="shared" si="11"/>
        <v>12416942.677067697</v>
      </c>
      <c r="P63" s="45">
        <f>SUM(D63:O63)</f>
        <v>140885499.7523298</v>
      </c>
    </row>
    <row r="64" spans="1:16" x14ac:dyDescent="0.25">
      <c r="A64" s="24"/>
      <c r="B64" s="30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37"/>
      <c r="P64" s="37"/>
    </row>
    <row r="65" spans="1:16" x14ac:dyDescent="0.25">
      <c r="A65" s="21">
        <v>14</v>
      </c>
      <c r="B65" s="28" t="s">
        <v>45</v>
      </c>
      <c r="C65" s="25" t="s">
        <v>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7">
        <f t="shared" ref="P65:P67" si="12">SUM(D65:O65)</f>
        <v>0</v>
      </c>
    </row>
    <row r="66" spans="1:16" x14ac:dyDescent="0.25">
      <c r="A66" s="21">
        <v>15</v>
      </c>
      <c r="B66" s="28" t="s">
        <v>46</v>
      </c>
      <c r="C66" s="25" t="s">
        <v>8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7">
        <f t="shared" si="12"/>
        <v>0</v>
      </c>
    </row>
    <row r="67" spans="1:16" x14ac:dyDescent="0.25">
      <c r="A67" s="21">
        <v>16</v>
      </c>
      <c r="B67" s="29" t="s">
        <v>47</v>
      </c>
      <c r="C67" s="31"/>
      <c r="D67" s="46">
        <f t="shared" ref="D67:O67" si="13">SUM(D65:D66)</f>
        <v>0</v>
      </c>
      <c r="E67" s="46">
        <f t="shared" si="13"/>
        <v>0</v>
      </c>
      <c r="F67" s="46">
        <f t="shared" si="13"/>
        <v>0</v>
      </c>
      <c r="G67" s="46">
        <f t="shared" si="13"/>
        <v>0</v>
      </c>
      <c r="H67" s="46">
        <f t="shared" si="13"/>
        <v>0</v>
      </c>
      <c r="I67" s="46">
        <f t="shared" si="13"/>
        <v>0</v>
      </c>
      <c r="J67" s="46">
        <f t="shared" si="13"/>
        <v>0</v>
      </c>
      <c r="K67" s="46">
        <f t="shared" si="13"/>
        <v>0</v>
      </c>
      <c r="L67" s="46">
        <f t="shared" si="13"/>
        <v>0</v>
      </c>
      <c r="M67" s="46">
        <f t="shared" si="13"/>
        <v>0</v>
      </c>
      <c r="N67" s="46">
        <f t="shared" si="13"/>
        <v>0</v>
      </c>
      <c r="O67" s="37">
        <f t="shared" si="13"/>
        <v>0</v>
      </c>
      <c r="P67" s="37">
        <f t="shared" si="12"/>
        <v>0</v>
      </c>
    </row>
    <row r="68" spans="1:16" x14ac:dyDescent="0.25">
      <c r="A68" s="21"/>
      <c r="B68" s="22"/>
      <c r="C68" s="32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36"/>
    </row>
    <row r="69" spans="1:16" ht="15.75" thickBot="1" x14ac:dyDescent="0.3">
      <c r="A69" s="21">
        <v>17</v>
      </c>
      <c r="B69" s="33" t="s">
        <v>48</v>
      </c>
      <c r="C69" s="31"/>
      <c r="D69" s="48">
        <f t="shared" ref="D69:O69" si="14">+D67+D63</f>
        <v>11311267.3544777</v>
      </c>
      <c r="E69" s="48">
        <f t="shared" si="14"/>
        <v>11874564.737045322</v>
      </c>
      <c r="F69" s="48">
        <f t="shared" si="14"/>
        <v>12735403.710467067</v>
      </c>
      <c r="G69" s="48">
        <f t="shared" si="14"/>
        <v>13848827.716744673</v>
      </c>
      <c r="H69" s="48">
        <f t="shared" si="14"/>
        <v>13058765.555154476</v>
      </c>
      <c r="I69" s="48">
        <f t="shared" si="14"/>
        <v>11426687.615780476</v>
      </c>
      <c r="J69" s="48">
        <f t="shared" si="14"/>
        <v>10965624.741913946</v>
      </c>
      <c r="K69" s="48">
        <f t="shared" si="14"/>
        <v>9644527.1380506027</v>
      </c>
      <c r="L69" s="48">
        <f t="shared" si="14"/>
        <v>10580474.195352092</v>
      </c>
      <c r="M69" s="48">
        <f t="shared" si="14"/>
        <v>11501179.349287417</v>
      </c>
      <c r="N69" s="48">
        <f t="shared" si="14"/>
        <v>11521234.960988332</v>
      </c>
      <c r="O69" s="48">
        <f t="shared" si="14"/>
        <v>12416942.677067697</v>
      </c>
      <c r="P69" s="48">
        <f>SUM(D69:O69)</f>
        <v>140885499.7523298</v>
      </c>
    </row>
    <row r="70" spans="1:16" ht="15.75" thickTop="1" x14ac:dyDescent="0.25"/>
  </sheetData>
  <mergeCells count="8">
    <mergeCell ref="B1:O1"/>
    <mergeCell ref="B37:O37"/>
    <mergeCell ref="B40:O40"/>
    <mergeCell ref="B2:O2"/>
    <mergeCell ref="B3:O3"/>
    <mergeCell ref="B4:O4"/>
    <mergeCell ref="B38:O38"/>
    <mergeCell ref="B39:O39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"/>
  <sheetViews>
    <sheetView tabSelected="1" topLeftCell="A7" zoomScale="80" zoomScaleNormal="80" workbookViewId="0">
      <selection activeCell="A36" sqref="A36:XFD36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15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3055019.3897201419</v>
      </c>
      <c r="E9" s="36">
        <v>2170603.0144910053</v>
      </c>
      <c r="F9" s="36">
        <v>3908869.595841893</v>
      </c>
      <c r="G9" s="36">
        <v>4095180.9130413067</v>
      </c>
      <c r="H9" s="36">
        <v>3494929.3210478821</v>
      </c>
      <c r="I9" s="36">
        <v>2256711.7878895616</v>
      </c>
      <c r="J9" s="36">
        <v>2484530.2320020208</v>
      </c>
      <c r="K9" s="36">
        <v>2196886.0488172169</v>
      </c>
      <c r="L9" s="36">
        <v>2898678.6787200505</v>
      </c>
      <c r="M9" s="36">
        <v>3335358.6684068646</v>
      </c>
      <c r="N9" s="36">
        <v>3433082.4201802844</v>
      </c>
      <c r="O9" s="36">
        <v>3748115.0098267202</v>
      </c>
      <c r="P9" s="37">
        <f>SUM(D9:O9)</f>
        <v>37077965.079984948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36</v>
      </c>
      <c r="C11" s="23" t="s">
        <v>5</v>
      </c>
      <c r="D11" s="36">
        <v>121133.62385599638</v>
      </c>
      <c r="E11" s="36">
        <v>100587.83142809205</v>
      </c>
      <c r="F11" s="36">
        <v>110634.73028562867</v>
      </c>
      <c r="G11" s="36">
        <v>110815.48583579862</v>
      </c>
      <c r="H11" s="36">
        <v>108428.35171647268</v>
      </c>
      <c r="I11" s="36">
        <v>95244.363704120435</v>
      </c>
      <c r="J11" s="36">
        <v>103652.23933545301</v>
      </c>
      <c r="K11" s="36">
        <v>102549.44958738334</v>
      </c>
      <c r="L11" s="36">
        <v>125772.41864628228</v>
      </c>
      <c r="M11" s="36">
        <v>134453.93843177668</v>
      </c>
      <c r="N11" s="36">
        <v>137124.901326897</v>
      </c>
      <c r="O11" s="36">
        <v>147050.11593329761</v>
      </c>
      <c r="P11" s="37">
        <f>SUM(D11:O11)</f>
        <v>1397447.4500871988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37</v>
      </c>
      <c r="C13" s="25" t="s">
        <v>5</v>
      </c>
      <c r="D13" s="39">
        <v>1655497.5786660127</v>
      </c>
      <c r="E13" s="39">
        <v>1466933.7112450462</v>
      </c>
      <c r="F13" s="39">
        <v>1283221.5429428101</v>
      </c>
      <c r="G13" s="39">
        <v>1300997.8410877804</v>
      </c>
      <c r="H13" s="39">
        <v>1366704.2405551884</v>
      </c>
      <c r="I13" s="39">
        <v>1308977.2561734633</v>
      </c>
      <c r="J13" s="39">
        <v>1463428.4251444805</v>
      </c>
      <c r="K13" s="39">
        <v>1356497.1017238151</v>
      </c>
      <c r="L13" s="39">
        <v>1634559.3597155013</v>
      </c>
      <c r="M13" s="39">
        <v>1747171.0142771862</v>
      </c>
      <c r="N13" s="39">
        <v>1763889.5952597046</v>
      </c>
      <c r="O13" s="39">
        <v>1920934.9939846713</v>
      </c>
      <c r="P13" s="37">
        <f t="shared" ref="P13:P15" si="0">SUM(D13:O13)</f>
        <v>18268812.660775661</v>
      </c>
    </row>
    <row r="14" spans="1:17" x14ac:dyDescent="0.25">
      <c r="A14" s="21">
        <v>4</v>
      </c>
      <c r="B14" s="22" t="s">
        <v>38</v>
      </c>
      <c r="C14" s="25" t="s">
        <v>5</v>
      </c>
      <c r="D14" s="40">
        <v>235059.41600457713</v>
      </c>
      <c r="E14" s="40">
        <v>224935.55053604487</v>
      </c>
      <c r="F14" s="40">
        <v>226220.83540600073</v>
      </c>
      <c r="G14" s="40">
        <v>204813.7394923711</v>
      </c>
      <c r="H14" s="40">
        <v>208484.92484280752</v>
      </c>
      <c r="I14" s="40">
        <v>196698.81967405428</v>
      </c>
      <c r="J14" s="40">
        <v>222836.18733823826</v>
      </c>
      <c r="K14" s="40">
        <v>203797.99699071702</v>
      </c>
      <c r="L14" s="40">
        <v>234460.21030480566</v>
      </c>
      <c r="M14" s="40">
        <v>239242.34246789489</v>
      </c>
      <c r="N14" s="40">
        <v>245645.03864072601</v>
      </c>
      <c r="O14" s="40">
        <v>290966.02914719889</v>
      </c>
      <c r="P14" s="40">
        <f t="shared" si="0"/>
        <v>2733161.0908454363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1890556.9946705899</v>
      </c>
      <c r="E15" s="41">
        <f t="shared" ref="E15:O15" si="1">SUM(E13:E14)</f>
        <v>1691869.2617810911</v>
      </c>
      <c r="F15" s="41">
        <f t="shared" si="1"/>
        <v>1509442.3783488108</v>
      </c>
      <c r="G15" s="41">
        <f t="shared" si="1"/>
        <v>1505811.5805801516</v>
      </c>
      <c r="H15" s="41">
        <f t="shared" si="1"/>
        <v>1575189.1653979959</v>
      </c>
      <c r="I15" s="41">
        <f t="shared" si="1"/>
        <v>1505676.0758475177</v>
      </c>
      <c r="J15" s="41">
        <f t="shared" si="1"/>
        <v>1686264.6124827189</v>
      </c>
      <c r="K15" s="41">
        <f t="shared" si="1"/>
        <v>1560295.0987145321</v>
      </c>
      <c r="L15" s="41">
        <f t="shared" si="1"/>
        <v>1869019.5700203069</v>
      </c>
      <c r="M15" s="41">
        <f t="shared" si="1"/>
        <v>1986413.356745081</v>
      </c>
      <c r="N15" s="41">
        <f t="shared" si="1"/>
        <v>2009534.6339004305</v>
      </c>
      <c r="O15" s="41">
        <f t="shared" si="1"/>
        <v>2211901.0231318702</v>
      </c>
      <c r="P15" s="41">
        <f t="shared" si="0"/>
        <v>21001973.751621097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39</v>
      </c>
      <c r="C17" s="25" t="s">
        <v>7</v>
      </c>
      <c r="D17" s="36">
        <v>33073.989526033976</v>
      </c>
      <c r="E17" s="36">
        <v>33801.173546945807</v>
      </c>
      <c r="F17" s="36">
        <v>35608.877381342223</v>
      </c>
      <c r="G17" s="36">
        <v>33066.062178398905</v>
      </c>
      <c r="H17" s="36">
        <v>35621.178554683029</v>
      </c>
      <c r="I17" s="36">
        <v>36456.703569706347</v>
      </c>
      <c r="J17" s="36">
        <v>40184.455023446717</v>
      </c>
      <c r="K17" s="36">
        <v>42677.871673124981</v>
      </c>
      <c r="L17" s="36">
        <v>40502.198451747208</v>
      </c>
      <c r="M17" s="36">
        <v>40505.682834343243</v>
      </c>
      <c r="N17" s="36">
        <v>40878.851453331052</v>
      </c>
      <c r="O17" s="36">
        <v>43706.295253132106</v>
      </c>
      <c r="P17" s="37">
        <f t="shared" ref="P17:P21" si="2">SUM(D17:O17)</f>
        <v>456083.33944623556</v>
      </c>
    </row>
    <row r="18" spans="1:16" x14ac:dyDescent="0.25">
      <c r="A18" s="21">
        <v>7</v>
      </c>
      <c r="B18" s="22" t="s">
        <v>40</v>
      </c>
      <c r="C18" s="25" t="s">
        <v>7</v>
      </c>
      <c r="D18" s="39">
        <v>527504.79827600042</v>
      </c>
      <c r="E18" s="39">
        <v>545302.30483807134</v>
      </c>
      <c r="F18" s="39">
        <v>548054.14075063646</v>
      </c>
      <c r="G18" s="39">
        <v>535312.0167669768</v>
      </c>
      <c r="H18" s="39">
        <v>555266.19377836282</v>
      </c>
      <c r="I18" s="39">
        <v>503389.66759492323</v>
      </c>
      <c r="J18" s="39">
        <v>548166.86851729522</v>
      </c>
      <c r="K18" s="39">
        <v>521657.16017177672</v>
      </c>
      <c r="L18" s="39">
        <v>577888.96931817348</v>
      </c>
      <c r="M18" s="39">
        <v>562232.34510144359</v>
      </c>
      <c r="N18" s="39">
        <v>596756.35499390797</v>
      </c>
      <c r="O18" s="39">
        <v>606803.20951688068</v>
      </c>
      <c r="P18" s="42">
        <f t="shared" si="2"/>
        <v>6628334.0296244491</v>
      </c>
    </row>
    <row r="19" spans="1:16" x14ac:dyDescent="0.25">
      <c r="A19" s="21">
        <v>8</v>
      </c>
      <c r="B19" s="22" t="s">
        <v>41</v>
      </c>
      <c r="C19" s="25" t="s">
        <v>7</v>
      </c>
      <c r="D19" s="39">
        <v>1068.1854424627397</v>
      </c>
      <c r="E19" s="39">
        <v>1189.3560150177159</v>
      </c>
      <c r="F19" s="39">
        <v>1378.0728431851005</v>
      </c>
      <c r="G19" s="39">
        <v>892.77497950896588</v>
      </c>
      <c r="H19" s="39">
        <v>903.68787775196745</v>
      </c>
      <c r="I19" s="39">
        <v>1089.3676017251348</v>
      </c>
      <c r="J19" s="39">
        <v>1163.6058705009732</v>
      </c>
      <c r="K19" s="39">
        <v>1172.5155963709167</v>
      </c>
      <c r="L19" s="39">
        <v>1383.2645283834604</v>
      </c>
      <c r="M19" s="39">
        <v>1194.7934022825164</v>
      </c>
      <c r="N19" s="39">
        <v>1161.3684545699925</v>
      </c>
      <c r="O19" s="39">
        <v>1389.6306472737101</v>
      </c>
      <c r="P19" s="42">
        <f t="shared" si="2"/>
        <v>13986.623259033193</v>
      </c>
    </row>
    <row r="20" spans="1:16" x14ac:dyDescent="0.25">
      <c r="A20" s="21">
        <v>9</v>
      </c>
      <c r="B20" s="22" t="s">
        <v>42</v>
      </c>
      <c r="C20" s="25" t="s">
        <v>7</v>
      </c>
      <c r="D20" s="39">
        <v>90053.530798286229</v>
      </c>
      <c r="E20" s="39">
        <v>89118.195398238313</v>
      </c>
      <c r="F20" s="39">
        <v>81149.331162845032</v>
      </c>
      <c r="G20" s="39">
        <v>83825.022537443612</v>
      </c>
      <c r="H20" s="39">
        <v>91877.725186246127</v>
      </c>
      <c r="I20" s="39">
        <v>71643.512038474073</v>
      </c>
      <c r="J20" s="39">
        <v>88352.006687863905</v>
      </c>
      <c r="K20" s="39">
        <v>74098.309480797689</v>
      </c>
      <c r="L20" s="39">
        <v>77925.745014370696</v>
      </c>
      <c r="M20" s="39">
        <v>57828.594957138608</v>
      </c>
      <c r="N20" s="39">
        <v>52919.290763201308</v>
      </c>
      <c r="O20" s="39">
        <v>63353.76080624231</v>
      </c>
      <c r="P20" s="42">
        <f t="shared" si="2"/>
        <v>922145.0248311481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651700.5040427834</v>
      </c>
      <c r="E21" s="43">
        <f t="shared" ref="E21:O21" si="3">SUM(E17:E20)</f>
        <v>669411.02979827323</v>
      </c>
      <c r="F21" s="43">
        <f t="shared" si="3"/>
        <v>666190.42213800875</v>
      </c>
      <c r="G21" s="43">
        <f t="shared" si="3"/>
        <v>653095.87646232825</v>
      </c>
      <c r="H21" s="43">
        <f t="shared" si="3"/>
        <v>683668.78539704392</v>
      </c>
      <c r="I21" s="43">
        <f t="shared" si="3"/>
        <v>612579.25080482883</v>
      </c>
      <c r="J21" s="43">
        <f t="shared" si="3"/>
        <v>677866.93609910691</v>
      </c>
      <c r="K21" s="43">
        <f t="shared" si="3"/>
        <v>639605.85692207038</v>
      </c>
      <c r="L21" s="43">
        <f t="shared" si="3"/>
        <v>697700.17731267482</v>
      </c>
      <c r="M21" s="43">
        <f t="shared" si="3"/>
        <v>661761.41629520804</v>
      </c>
      <c r="N21" s="43">
        <f t="shared" si="3"/>
        <v>691715.86566501029</v>
      </c>
      <c r="O21" s="43">
        <f t="shared" si="3"/>
        <v>715252.89622352889</v>
      </c>
      <c r="P21" s="43">
        <f t="shared" si="2"/>
        <v>8020549.0171608664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43</v>
      </c>
      <c r="C23" s="25" t="s">
        <v>8</v>
      </c>
      <c r="D23" s="36">
        <v>1197447.0282216903</v>
      </c>
      <c r="E23" s="36">
        <v>1769043.932970193</v>
      </c>
      <c r="F23" s="36">
        <v>1474797.5844607365</v>
      </c>
      <c r="G23" s="36">
        <v>1766138.9066692386</v>
      </c>
      <c r="H23" s="36">
        <v>1651597.6219243356</v>
      </c>
      <c r="I23" s="36">
        <v>1678222.6092826377</v>
      </c>
      <c r="J23" s="36">
        <v>1584134.867871504</v>
      </c>
      <c r="K23" s="36">
        <v>1542242.8022498479</v>
      </c>
      <c r="L23" s="36">
        <v>1762403.5433091787</v>
      </c>
      <c r="M23" s="36">
        <v>1598118.1887294424</v>
      </c>
      <c r="N23" s="36">
        <v>1694579.2593811252</v>
      </c>
      <c r="O23" s="36">
        <v>1713588.2067851056</v>
      </c>
      <c r="P23" s="37">
        <f>SUM(D23:O23)</f>
        <v>19432314.551855035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62910.874698827218</v>
      </c>
      <c r="E25" s="36">
        <v>60798.318473649793</v>
      </c>
      <c r="F25" s="36">
        <v>56344.101310675615</v>
      </c>
      <c r="G25" s="36">
        <v>57024.7039798716</v>
      </c>
      <c r="H25" s="36">
        <v>66694.563176660056</v>
      </c>
      <c r="I25" s="36">
        <v>69920.195525144984</v>
      </c>
      <c r="J25" s="36">
        <v>72068.341222444462</v>
      </c>
      <c r="K25" s="36">
        <v>71531.519248926124</v>
      </c>
      <c r="L25" s="36">
        <v>79702.322431262306</v>
      </c>
      <c r="M25" s="36">
        <v>77354.448254575007</v>
      </c>
      <c r="N25" s="36">
        <v>70274.105206535198</v>
      </c>
      <c r="O25" s="36">
        <v>72389.300974652448</v>
      </c>
      <c r="P25" s="37">
        <f>SUM(D25:O25)</f>
        <v>817012.79450322478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44</v>
      </c>
      <c r="C27" s="30"/>
      <c r="D27" s="45">
        <f>D25+D23+D21+D15+D11+D9</f>
        <v>6978768.4152100291</v>
      </c>
      <c r="E27" s="45">
        <f>E25+E23+E21+E15+E11+E9</f>
        <v>6462313.388942305</v>
      </c>
      <c r="F27" s="45">
        <f>F25+F23+F21+F15+F11+F9</f>
        <v>7726278.8123857537</v>
      </c>
      <c r="G27" s="45">
        <f>G25+G23+G21+G15+G11+G9</f>
        <v>8188067.4665686954</v>
      </c>
      <c r="H27" s="45">
        <f>H25+H23+H21+H15+H11+H9</f>
        <v>7580507.8086603899</v>
      </c>
      <c r="I27" s="45">
        <f>I25+I23+I21+I15+I11+I9</f>
        <v>6218354.2830538116</v>
      </c>
      <c r="J27" s="45">
        <f>J25+J23+J21+J15+J11+J9</f>
        <v>6608517.2290132483</v>
      </c>
      <c r="K27" s="45">
        <f>K25+K23+K21+K15+K11+K9</f>
        <v>6113110.7755399775</v>
      </c>
      <c r="L27" s="45">
        <f>L25+L23+L21+L15+L11+L9</f>
        <v>7433276.7104397556</v>
      </c>
      <c r="M27" s="45">
        <f>M25+M23+M21+M15+M11+M9</f>
        <v>7793460.0168629484</v>
      </c>
      <c r="N27" s="45">
        <f>N25+N23+N21+N15+N11+N9</f>
        <v>8036311.1856602821</v>
      </c>
      <c r="O27" s="45">
        <f>O25+O23+O21+O15+O11+O9</f>
        <v>8608296.5528751742</v>
      </c>
      <c r="P27" s="45">
        <f>SUM(D27:O27)</f>
        <v>87747262.645212382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45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4">SUM(D29:O29)</f>
        <v>0</v>
      </c>
    </row>
    <row r="30" spans="1:16" x14ac:dyDescent="0.25">
      <c r="A30" s="21">
        <v>15</v>
      </c>
      <c r="B30" s="28" t="s">
        <v>46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4"/>
        <v>0</v>
      </c>
    </row>
    <row r="31" spans="1:16" x14ac:dyDescent="0.25">
      <c r="A31" s="21">
        <v>16</v>
      </c>
      <c r="B31" s="29" t="s">
        <v>47</v>
      </c>
      <c r="C31" s="31"/>
      <c r="D31" s="46">
        <f t="shared" ref="D31:O31" si="5">SUM(D29:D30)</f>
        <v>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  <c r="N31" s="46">
        <f t="shared" si="5"/>
        <v>0</v>
      </c>
      <c r="O31" s="37">
        <f t="shared" si="5"/>
        <v>0</v>
      </c>
      <c r="P31" s="37">
        <f t="shared" si="4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48</v>
      </c>
      <c r="C33" s="31"/>
      <c r="D33" s="48">
        <f t="shared" ref="D33:O33" si="6">+D31+D27</f>
        <v>6978768.4152100291</v>
      </c>
      <c r="E33" s="48">
        <f t="shared" si="6"/>
        <v>6462313.388942305</v>
      </c>
      <c r="F33" s="48">
        <f t="shared" si="6"/>
        <v>7726278.8123857537</v>
      </c>
      <c r="G33" s="48">
        <f t="shared" si="6"/>
        <v>8188067.4665686954</v>
      </c>
      <c r="H33" s="48">
        <f t="shared" si="6"/>
        <v>7580507.8086603899</v>
      </c>
      <c r="I33" s="48">
        <f t="shared" si="6"/>
        <v>6218354.2830538116</v>
      </c>
      <c r="J33" s="48">
        <f t="shared" si="6"/>
        <v>6608517.2290132483</v>
      </c>
      <c r="K33" s="48">
        <f t="shared" si="6"/>
        <v>6113110.7755399775</v>
      </c>
      <c r="L33" s="48">
        <f t="shared" si="6"/>
        <v>7433276.7104397556</v>
      </c>
      <c r="M33" s="48">
        <f t="shared" si="6"/>
        <v>7793460.0168629484</v>
      </c>
      <c r="N33" s="48">
        <f t="shared" si="6"/>
        <v>8036311.1856602821</v>
      </c>
      <c r="O33" s="48">
        <f t="shared" si="6"/>
        <v>8608296.5528751742</v>
      </c>
      <c r="P33" s="48">
        <f>SUM(D33:O33)</f>
        <v>87747262.645212382</v>
      </c>
    </row>
    <row r="34" spans="1:16" ht="15.75" thickTop="1" x14ac:dyDescent="0.25"/>
    <row r="35" spans="1:16" hidden="1" x14ac:dyDescent="0.25"/>
    <row r="37" spans="1:16" x14ac:dyDescent="0.25">
      <c r="A37" s="10"/>
      <c r="B37" s="54" t="s">
        <v>13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14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1"/>
    </row>
    <row r="39" spans="1:16" x14ac:dyDescent="0.25">
      <c r="A39" s="10"/>
      <c r="B39" s="54" t="s">
        <v>16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3" t="s">
        <v>6</v>
      </c>
    </row>
    <row r="40" spans="1:16" x14ac:dyDescent="0.25">
      <c r="A40" s="10"/>
      <c r="B40" s="55" t="s">
        <v>23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8" t="s">
        <v>6</v>
      </c>
    </row>
    <row r="41" spans="1:16" x14ac:dyDescent="0.25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0"/>
      <c r="B42" s="17"/>
      <c r="C42" s="17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8"/>
    </row>
    <row r="43" spans="1:16" x14ac:dyDescent="0.25">
      <c r="A43" s="15" t="s">
        <v>0</v>
      </c>
      <c r="B43" s="17" t="s">
        <v>1</v>
      </c>
      <c r="C43" s="34" t="s">
        <v>2</v>
      </c>
      <c r="D43" s="19" t="s">
        <v>24</v>
      </c>
      <c r="E43" s="19" t="s">
        <v>25</v>
      </c>
      <c r="F43" s="19" t="s">
        <v>26</v>
      </c>
      <c r="G43" s="19" t="s">
        <v>27</v>
      </c>
      <c r="H43" s="19" t="s">
        <v>28</v>
      </c>
      <c r="I43" s="19" t="s">
        <v>29</v>
      </c>
      <c r="J43" s="19" t="s">
        <v>30</v>
      </c>
      <c r="K43" s="19" t="s">
        <v>31</v>
      </c>
      <c r="L43" s="19" t="s">
        <v>32</v>
      </c>
      <c r="M43" s="19" t="s">
        <v>33</v>
      </c>
      <c r="N43" s="19" t="s">
        <v>34</v>
      </c>
      <c r="O43" s="19" t="s">
        <v>35</v>
      </c>
      <c r="P43" s="20" t="s">
        <v>10</v>
      </c>
    </row>
    <row r="44" spans="1:16" x14ac:dyDescent="0.25">
      <c r="A44" s="10"/>
      <c r="B44" s="17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0"/>
      <c r="P44" s="20"/>
    </row>
    <row r="45" spans="1:16" x14ac:dyDescent="0.25">
      <c r="A45" s="21" t="s">
        <v>3</v>
      </c>
      <c r="B45" s="22" t="s">
        <v>4</v>
      </c>
      <c r="C45" s="23" t="s">
        <v>5</v>
      </c>
      <c r="D45" s="36">
        <v>2806709.775850636</v>
      </c>
      <c r="E45" s="36">
        <v>1994178.0797734484</v>
      </c>
      <c r="F45" s="36">
        <v>3591159.697411865</v>
      </c>
      <c r="G45" s="36">
        <v>3762327.7748043644</v>
      </c>
      <c r="H45" s="36">
        <v>3210864.1680963938</v>
      </c>
      <c r="I45" s="36">
        <v>2073287.9986490777</v>
      </c>
      <c r="J45" s="36">
        <v>2282589.5357722496</v>
      </c>
      <c r="K45" s="36">
        <v>2018324.8493915468</v>
      </c>
      <c r="L45" s="36">
        <v>2663076.3169587129</v>
      </c>
      <c r="M45" s="36">
        <v>3064263.2947227433</v>
      </c>
      <c r="N45" s="36">
        <v>3154044.1355115753</v>
      </c>
      <c r="O45" s="36">
        <v>3443471.1198532986</v>
      </c>
      <c r="P45" s="37">
        <f>SUM(D45:O45)</f>
        <v>34064296.746795908</v>
      </c>
    </row>
    <row r="46" spans="1:16" x14ac:dyDescent="0.25">
      <c r="A46" s="24"/>
      <c r="B46" s="22"/>
      <c r="C46" s="23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7"/>
      <c r="P46" s="37"/>
    </row>
    <row r="47" spans="1:16" x14ac:dyDescent="0.25">
      <c r="A47" s="21">
        <v>2</v>
      </c>
      <c r="B47" s="22" t="s">
        <v>36</v>
      </c>
      <c r="C47" s="23" t="s">
        <v>5</v>
      </c>
      <c r="D47" s="36">
        <v>111287.97656894207</v>
      </c>
      <c r="E47" s="36">
        <v>92412.130263665545</v>
      </c>
      <c r="F47" s="36">
        <v>101642.42495027761</v>
      </c>
      <c r="G47" s="36">
        <v>101808.48882908911</v>
      </c>
      <c r="H47" s="36">
        <v>99615.37912526085</v>
      </c>
      <c r="I47" s="36">
        <v>87502.975464753676</v>
      </c>
      <c r="J47" s="36">
        <v>95227.46546570232</v>
      </c>
      <c r="K47" s="36">
        <v>94214.309615683786</v>
      </c>
      <c r="L47" s="36">
        <v>115549.73370536834</v>
      </c>
      <c r="M47" s="36">
        <v>123525.62627520894</v>
      </c>
      <c r="N47" s="36">
        <v>125979.49537139012</v>
      </c>
      <c r="O47" s="36">
        <v>135097.99620871278</v>
      </c>
      <c r="P47" s="37">
        <f>SUM(D47:O47)</f>
        <v>1283864.001844055</v>
      </c>
    </row>
    <row r="48" spans="1:16" x14ac:dyDescent="0.25">
      <c r="A48" s="21"/>
      <c r="B48" s="22"/>
      <c r="C48" s="2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spans="1:16" x14ac:dyDescent="0.25">
      <c r="A49" s="21">
        <v>3</v>
      </c>
      <c r="B49" s="22" t="s">
        <v>37</v>
      </c>
      <c r="C49" s="25" t="s">
        <v>5</v>
      </c>
      <c r="D49" s="39">
        <v>1520940.0154951562</v>
      </c>
      <c r="E49" s="39">
        <v>1347702.4734214505</v>
      </c>
      <c r="F49" s="39">
        <v>1178922.2881134162</v>
      </c>
      <c r="G49" s="39">
        <v>1195253.7424897153</v>
      </c>
      <c r="H49" s="39">
        <v>1255619.5766122984</v>
      </c>
      <c r="I49" s="39">
        <v>1202584.5968868809</v>
      </c>
      <c r="J49" s="39">
        <v>1344482.0942648677</v>
      </c>
      <c r="K49" s="39">
        <v>1246242.0661330263</v>
      </c>
      <c r="L49" s="39">
        <v>1501703.6387916077</v>
      </c>
      <c r="M49" s="39">
        <v>1605162.3051413326</v>
      </c>
      <c r="N49" s="39">
        <v>1620522.0127883218</v>
      </c>
      <c r="O49" s="39">
        <v>1764802.8829317035</v>
      </c>
      <c r="P49" s="37">
        <f t="shared" ref="P49:P51" si="7">SUM(D49:O49)</f>
        <v>16783937.693069775</v>
      </c>
    </row>
    <row r="50" spans="1:16" x14ac:dyDescent="0.25">
      <c r="A50" s="21">
        <v>4</v>
      </c>
      <c r="B50" s="22" t="s">
        <v>38</v>
      </c>
      <c r="C50" s="25" t="s">
        <v>5</v>
      </c>
      <c r="D50" s="40">
        <v>215953.9684185849</v>
      </c>
      <c r="E50" s="40">
        <v>206652.96290760871</v>
      </c>
      <c r="F50" s="40">
        <v>207833.78081711091</v>
      </c>
      <c r="G50" s="40">
        <v>188166.63710747295</v>
      </c>
      <c r="H50" s="40">
        <v>191539.43135116954</v>
      </c>
      <c r="I50" s="40">
        <v>180711.29169757024</v>
      </c>
      <c r="J50" s="40">
        <v>204724.23432730185</v>
      </c>
      <c r="K50" s="40">
        <v>187233.4533709859</v>
      </c>
      <c r="L50" s="40">
        <v>215403.46569478777</v>
      </c>
      <c r="M50" s="40">
        <v>219796.90985318372</v>
      </c>
      <c r="N50" s="40">
        <v>225679.19983162236</v>
      </c>
      <c r="O50" s="40">
        <v>267316.53527171066</v>
      </c>
      <c r="P50" s="40">
        <f t="shared" si="7"/>
        <v>2511011.8706491091</v>
      </c>
    </row>
    <row r="51" spans="1:16" x14ac:dyDescent="0.25">
      <c r="A51" s="21">
        <v>5</v>
      </c>
      <c r="B51" s="26" t="s">
        <v>11</v>
      </c>
      <c r="C51" s="23"/>
      <c r="D51" s="41">
        <f>SUM(D49:D50)</f>
        <v>1736893.9839137411</v>
      </c>
      <c r="E51" s="41">
        <f t="shared" ref="E51:O51" si="8">SUM(E49:E50)</f>
        <v>1554355.4363290593</v>
      </c>
      <c r="F51" s="41">
        <f t="shared" si="8"/>
        <v>1386756.0689305272</v>
      </c>
      <c r="G51" s="41">
        <f t="shared" si="8"/>
        <v>1383420.3795971882</v>
      </c>
      <c r="H51" s="41">
        <f t="shared" si="8"/>
        <v>1447159.0079634679</v>
      </c>
      <c r="I51" s="41">
        <f t="shared" si="8"/>
        <v>1383295.8885844513</v>
      </c>
      <c r="J51" s="41">
        <f t="shared" si="8"/>
        <v>1549206.3285921696</v>
      </c>
      <c r="K51" s="41">
        <f t="shared" si="8"/>
        <v>1433475.5195040121</v>
      </c>
      <c r="L51" s="41">
        <f t="shared" si="8"/>
        <v>1717107.1044863954</v>
      </c>
      <c r="M51" s="41">
        <f t="shared" si="8"/>
        <v>1824959.2149945162</v>
      </c>
      <c r="N51" s="41">
        <f t="shared" si="8"/>
        <v>1846201.2126199442</v>
      </c>
      <c r="O51" s="41">
        <f t="shared" si="8"/>
        <v>2032119.4182034142</v>
      </c>
      <c r="P51" s="41">
        <f t="shared" si="7"/>
        <v>19294949.563718885</v>
      </c>
    </row>
    <row r="52" spans="1:16" x14ac:dyDescent="0.25">
      <c r="A52" s="24"/>
      <c r="B52" s="27"/>
      <c r="C52" s="2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6"/>
      <c r="P52" s="36"/>
    </row>
    <row r="53" spans="1:16" x14ac:dyDescent="0.25">
      <c r="A53" s="21">
        <v>6</v>
      </c>
      <c r="B53" s="22" t="s">
        <v>39</v>
      </c>
      <c r="C53" s="25" t="s">
        <v>7</v>
      </c>
      <c r="D53" s="36">
        <v>31148.102357283158</v>
      </c>
      <c r="E53" s="36">
        <v>31832.942699816169</v>
      </c>
      <c r="F53" s="36">
        <v>33535.384554346951</v>
      </c>
      <c r="G53" s="36">
        <v>31140.636616406493</v>
      </c>
      <c r="H53" s="36">
        <v>33546.969434545106</v>
      </c>
      <c r="I53" s="36">
        <v>34333.842111925966</v>
      </c>
      <c r="J53" s="36">
        <v>37844.527865521522</v>
      </c>
      <c r="K53" s="36">
        <v>40192.753711163728</v>
      </c>
      <c r="L53" s="36">
        <v>38143.769201988274</v>
      </c>
      <c r="M53" s="36">
        <v>38147.050690170028</v>
      </c>
      <c r="N53" s="36">
        <v>38498.489827308564</v>
      </c>
      <c r="O53" s="36">
        <v>41161.292535652698</v>
      </c>
      <c r="P53" s="37">
        <f t="shared" ref="P53:P57" si="9">SUM(D53:O53)</f>
        <v>429525.76160612871</v>
      </c>
    </row>
    <row r="54" spans="1:16" x14ac:dyDescent="0.25">
      <c r="A54" s="21">
        <v>7</v>
      </c>
      <c r="B54" s="22" t="s">
        <v>40</v>
      </c>
      <c r="C54" s="25" t="s">
        <v>7</v>
      </c>
      <c r="D54" s="39">
        <v>496788.37316331279</v>
      </c>
      <c r="E54" s="39">
        <v>513549.53696737828</v>
      </c>
      <c r="F54" s="39">
        <v>516141.13441006234</v>
      </c>
      <c r="G54" s="39">
        <v>504140.97997511533</v>
      </c>
      <c r="H54" s="39">
        <v>522933.23204125219</v>
      </c>
      <c r="I54" s="39">
        <v>474077.45834542555</v>
      </c>
      <c r="J54" s="39">
        <v>516247.29807718296</v>
      </c>
      <c r="K54" s="39">
        <v>491281.24103837402</v>
      </c>
      <c r="L54" s="39">
        <v>544238.69105051982</v>
      </c>
      <c r="M54" s="39">
        <v>529493.74674047972</v>
      </c>
      <c r="N54" s="39">
        <v>562007.43527109607</v>
      </c>
      <c r="O54" s="39">
        <v>571469.26486997039</v>
      </c>
      <c r="P54" s="42">
        <f t="shared" si="9"/>
        <v>6242368.3919501696</v>
      </c>
    </row>
    <row r="55" spans="1:16" x14ac:dyDescent="0.25">
      <c r="A55" s="21">
        <v>8</v>
      </c>
      <c r="B55" s="22" t="s">
        <v>41</v>
      </c>
      <c r="C55" s="25" t="s">
        <v>7</v>
      </c>
      <c r="D55" s="39">
        <v>1005.9853672082534</v>
      </c>
      <c r="E55" s="39">
        <v>1120.100218507403</v>
      </c>
      <c r="F55" s="39">
        <v>1297.828129912604</v>
      </c>
      <c r="G55" s="39">
        <v>840.78899589290734</v>
      </c>
      <c r="H55" s="39">
        <v>851.06643978034845</v>
      </c>
      <c r="I55" s="39">
        <v>1025.9340965362956</v>
      </c>
      <c r="J55" s="39">
        <v>1095.8494961537847</v>
      </c>
      <c r="K55" s="39">
        <v>1104.2404117146027</v>
      </c>
      <c r="L55" s="39">
        <v>1302.7175050464391</v>
      </c>
      <c r="M55" s="39">
        <v>1125.2209885598602</v>
      </c>
      <c r="N55" s="39">
        <v>1093.7423641920011</v>
      </c>
      <c r="O55" s="39">
        <v>1308.7129269974573</v>
      </c>
      <c r="P55" s="42">
        <f t="shared" si="9"/>
        <v>13172.186940501957</v>
      </c>
    </row>
    <row r="56" spans="1:16" x14ac:dyDescent="0.25">
      <c r="A56" s="21">
        <v>9</v>
      </c>
      <c r="B56" s="22" t="s">
        <v>42</v>
      </c>
      <c r="C56" s="25" t="s">
        <v>7</v>
      </c>
      <c r="D56" s="39">
        <v>84809.744307738743</v>
      </c>
      <c r="E56" s="39">
        <v>83928.873170129213</v>
      </c>
      <c r="F56" s="39">
        <v>76424.033190666145</v>
      </c>
      <c r="G56" s="39">
        <v>78943.919965948982</v>
      </c>
      <c r="H56" s="39">
        <v>86527.716476503891</v>
      </c>
      <c r="I56" s="39">
        <v>67471.734683022776</v>
      </c>
      <c r="J56" s="39">
        <v>83207.299367943924</v>
      </c>
      <c r="K56" s="39">
        <v>69783.5901046285</v>
      </c>
      <c r="L56" s="39">
        <v>73388.155367969157</v>
      </c>
      <c r="M56" s="39">
        <v>54461.255527851543</v>
      </c>
      <c r="N56" s="39">
        <v>49837.818448528771</v>
      </c>
      <c r="O56" s="39">
        <v>59664.692847482467</v>
      </c>
      <c r="P56" s="42">
        <f t="shared" si="9"/>
        <v>868448.83345841407</v>
      </c>
    </row>
    <row r="57" spans="1:16" x14ac:dyDescent="0.25">
      <c r="A57" s="21">
        <v>10</v>
      </c>
      <c r="B57" s="22" t="s">
        <v>12</v>
      </c>
      <c r="C57" s="25"/>
      <c r="D57" s="43">
        <f>SUM(D53:D56)</f>
        <v>613752.20519554289</v>
      </c>
      <c r="E57" s="43">
        <f t="shared" ref="E57:O57" si="10">SUM(E53:E56)</f>
        <v>630431.45305583114</v>
      </c>
      <c r="F57" s="43">
        <f t="shared" si="10"/>
        <v>627398.38028498797</v>
      </c>
      <c r="G57" s="43">
        <f t="shared" si="10"/>
        <v>615066.32555336365</v>
      </c>
      <c r="H57" s="43">
        <f t="shared" si="10"/>
        <v>643858.9843920815</v>
      </c>
      <c r="I57" s="43">
        <f t="shared" si="10"/>
        <v>576908.96923691058</v>
      </c>
      <c r="J57" s="43">
        <f t="shared" si="10"/>
        <v>638394.97480680211</v>
      </c>
      <c r="K57" s="43">
        <f t="shared" si="10"/>
        <v>602361.82526588091</v>
      </c>
      <c r="L57" s="43">
        <f t="shared" si="10"/>
        <v>657073.33312552364</v>
      </c>
      <c r="M57" s="43">
        <f t="shared" si="10"/>
        <v>623227.27394706116</v>
      </c>
      <c r="N57" s="43">
        <f t="shared" si="10"/>
        <v>651437.48591112543</v>
      </c>
      <c r="O57" s="43">
        <f t="shared" si="10"/>
        <v>673603.96318010311</v>
      </c>
      <c r="P57" s="43">
        <f t="shared" si="9"/>
        <v>7553515.1739552133</v>
      </c>
    </row>
    <row r="58" spans="1:16" x14ac:dyDescent="0.25">
      <c r="A58" s="21"/>
      <c r="B58" s="22"/>
      <c r="C58" s="25"/>
      <c r="D58" s="4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x14ac:dyDescent="0.25">
      <c r="A59" s="21">
        <v>11</v>
      </c>
      <c r="B59" s="26" t="s">
        <v>43</v>
      </c>
      <c r="C59" s="25" t="s">
        <v>8</v>
      </c>
      <c r="D59" s="36">
        <v>1165580.0691316316</v>
      </c>
      <c r="E59" s="36">
        <v>1721965.3989625569</v>
      </c>
      <c r="F59" s="36">
        <v>1435549.6568426583</v>
      </c>
      <c r="G59" s="36">
        <v>1719137.6824315598</v>
      </c>
      <c r="H59" s="36">
        <v>1607644.6180664003</v>
      </c>
      <c r="I59" s="36">
        <v>1633561.0501709636</v>
      </c>
      <c r="J59" s="36">
        <v>1541977.2109248196</v>
      </c>
      <c r="K59" s="36">
        <v>1501199.9944028736</v>
      </c>
      <c r="L59" s="36">
        <v>1715501.7261171362</v>
      </c>
      <c r="M59" s="36">
        <v>1555588.4018235856</v>
      </c>
      <c r="N59" s="36">
        <v>1649482.4102839618</v>
      </c>
      <c r="O59" s="36">
        <v>1667985.4836617925</v>
      </c>
      <c r="P59" s="37">
        <f>SUM(D59:O59)</f>
        <v>18915173.70281994</v>
      </c>
    </row>
    <row r="60" spans="1:16" x14ac:dyDescent="0.25">
      <c r="A60" s="24"/>
      <c r="B60" s="22"/>
      <c r="C60" s="2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6"/>
    </row>
    <row r="61" spans="1:16" x14ac:dyDescent="0.25">
      <c r="A61" s="21">
        <v>12</v>
      </c>
      <c r="B61" s="28" t="s">
        <v>9</v>
      </c>
      <c r="C61" s="25" t="s">
        <v>5</v>
      </c>
      <c r="D61" s="36">
        <v>57797.527445705637</v>
      </c>
      <c r="E61" s="36">
        <v>55856.678157091876</v>
      </c>
      <c r="F61" s="36">
        <v>51764.496321144004</v>
      </c>
      <c r="G61" s="36">
        <v>52389.78013162659</v>
      </c>
      <c r="H61" s="36">
        <v>61273.680649590759</v>
      </c>
      <c r="I61" s="36">
        <v>64237.136094834932</v>
      </c>
      <c r="J61" s="36">
        <v>66210.682170794287</v>
      </c>
      <c r="K61" s="36">
        <v>65717.492672215245</v>
      </c>
      <c r="L61" s="36">
        <v>73224.179289518594</v>
      </c>
      <c r="M61" s="36">
        <v>71067.138510546923</v>
      </c>
      <c r="N61" s="36">
        <v>64562.280270963092</v>
      </c>
      <c r="O61" s="36">
        <v>66505.554562507416</v>
      </c>
      <c r="P61" s="37">
        <f>SUM(D61:O61)</f>
        <v>750606.62627653929</v>
      </c>
    </row>
    <row r="62" spans="1:16" x14ac:dyDescent="0.25">
      <c r="A62" s="21"/>
      <c r="B62" s="22"/>
      <c r="C62" s="2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36"/>
    </row>
    <row r="63" spans="1:16" x14ac:dyDescent="0.25">
      <c r="A63" s="21">
        <v>13</v>
      </c>
      <c r="B63" s="29" t="s">
        <v>44</v>
      </c>
      <c r="C63" s="30"/>
      <c r="D63" s="45">
        <f>D61+D59+D57+D51+D47+D45</f>
        <v>6492021.5381061994</v>
      </c>
      <c r="E63" s="45">
        <f t="shared" ref="E63:O63" si="11">E61+E59+E57+E51+E47+E45</f>
        <v>6049199.1765416535</v>
      </c>
      <c r="F63" s="45">
        <f t="shared" si="11"/>
        <v>7194270.7247414598</v>
      </c>
      <c r="G63" s="45">
        <f t="shared" si="11"/>
        <v>7634150.4313471913</v>
      </c>
      <c r="H63" s="45">
        <f t="shared" si="11"/>
        <v>7070415.8382931948</v>
      </c>
      <c r="I63" s="45">
        <f t="shared" si="11"/>
        <v>5818794.0182009917</v>
      </c>
      <c r="J63" s="45">
        <f t="shared" si="11"/>
        <v>6173606.1977325371</v>
      </c>
      <c r="K63" s="45">
        <f t="shared" si="11"/>
        <v>5715293.9908522125</v>
      </c>
      <c r="L63" s="45">
        <f t="shared" si="11"/>
        <v>6941532.3936826549</v>
      </c>
      <c r="M63" s="45">
        <f t="shared" si="11"/>
        <v>7262630.9502736619</v>
      </c>
      <c r="N63" s="45">
        <f t="shared" si="11"/>
        <v>7491707.0199689595</v>
      </c>
      <c r="O63" s="45">
        <f t="shared" si="11"/>
        <v>8018783.5356698278</v>
      </c>
      <c r="P63" s="45">
        <f>SUM(D63:O63)</f>
        <v>81862405.815410554</v>
      </c>
    </row>
    <row r="64" spans="1:16" x14ac:dyDescent="0.25">
      <c r="A64" s="24"/>
      <c r="B64" s="30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37"/>
      <c r="P64" s="37"/>
    </row>
    <row r="65" spans="1:16" x14ac:dyDescent="0.25">
      <c r="A65" s="21">
        <v>14</v>
      </c>
      <c r="B65" s="28" t="s">
        <v>45</v>
      </c>
      <c r="C65" s="25" t="s">
        <v>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7">
        <f t="shared" ref="P65:P67" si="12">SUM(D65:O65)</f>
        <v>0</v>
      </c>
    </row>
    <row r="66" spans="1:16" x14ac:dyDescent="0.25">
      <c r="A66" s="21">
        <v>15</v>
      </c>
      <c r="B66" s="28" t="s">
        <v>46</v>
      </c>
      <c r="C66" s="25" t="s">
        <v>8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7">
        <f t="shared" si="12"/>
        <v>0</v>
      </c>
    </row>
    <row r="67" spans="1:16" x14ac:dyDescent="0.25">
      <c r="A67" s="21">
        <v>16</v>
      </c>
      <c r="B67" s="29" t="s">
        <v>47</v>
      </c>
      <c r="C67" s="31"/>
      <c r="D67" s="46">
        <f t="shared" ref="D67:O67" si="13">SUM(D65:D66)</f>
        <v>0</v>
      </c>
      <c r="E67" s="46">
        <f t="shared" si="13"/>
        <v>0</v>
      </c>
      <c r="F67" s="46">
        <f t="shared" si="13"/>
        <v>0</v>
      </c>
      <c r="G67" s="46">
        <f t="shared" si="13"/>
        <v>0</v>
      </c>
      <c r="H67" s="46">
        <f t="shared" si="13"/>
        <v>0</v>
      </c>
      <c r="I67" s="46">
        <f t="shared" si="13"/>
        <v>0</v>
      </c>
      <c r="J67" s="46">
        <f t="shared" si="13"/>
        <v>0</v>
      </c>
      <c r="K67" s="46">
        <f t="shared" si="13"/>
        <v>0</v>
      </c>
      <c r="L67" s="46">
        <f t="shared" si="13"/>
        <v>0</v>
      </c>
      <c r="M67" s="46">
        <f t="shared" si="13"/>
        <v>0</v>
      </c>
      <c r="N67" s="46">
        <f t="shared" si="13"/>
        <v>0</v>
      </c>
      <c r="O67" s="37">
        <f t="shared" si="13"/>
        <v>0</v>
      </c>
      <c r="P67" s="37">
        <f t="shared" si="12"/>
        <v>0</v>
      </c>
    </row>
    <row r="68" spans="1:16" x14ac:dyDescent="0.25">
      <c r="A68" s="21"/>
      <c r="B68" s="22"/>
      <c r="C68" s="32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36"/>
    </row>
    <row r="69" spans="1:16" ht="15.75" thickBot="1" x14ac:dyDescent="0.3">
      <c r="A69" s="21">
        <v>17</v>
      </c>
      <c r="B69" s="33" t="s">
        <v>48</v>
      </c>
      <c r="C69" s="31"/>
      <c r="D69" s="48">
        <f t="shared" ref="D69:O69" si="14">+D67+D63</f>
        <v>6492021.5381061994</v>
      </c>
      <c r="E69" s="48">
        <f t="shared" si="14"/>
        <v>6049199.1765416535</v>
      </c>
      <c r="F69" s="48">
        <f t="shared" si="14"/>
        <v>7194270.7247414598</v>
      </c>
      <c r="G69" s="48">
        <f t="shared" si="14"/>
        <v>7634150.4313471913</v>
      </c>
      <c r="H69" s="48">
        <f t="shared" si="14"/>
        <v>7070415.8382931948</v>
      </c>
      <c r="I69" s="48">
        <f t="shared" si="14"/>
        <v>5818794.0182009917</v>
      </c>
      <c r="J69" s="48">
        <f t="shared" si="14"/>
        <v>6173606.1977325371</v>
      </c>
      <c r="K69" s="48">
        <f t="shared" si="14"/>
        <v>5715293.9908522125</v>
      </c>
      <c r="L69" s="48">
        <f t="shared" si="14"/>
        <v>6941532.3936826549</v>
      </c>
      <c r="M69" s="48">
        <f t="shared" si="14"/>
        <v>7262630.9502736619</v>
      </c>
      <c r="N69" s="48">
        <f t="shared" si="14"/>
        <v>7491707.0199689595</v>
      </c>
      <c r="O69" s="48">
        <f t="shared" si="14"/>
        <v>8018783.5356698278</v>
      </c>
      <c r="P69" s="48">
        <f>SUM(D69:O69)</f>
        <v>81862405.815410554</v>
      </c>
    </row>
    <row r="70" spans="1:16" ht="15.75" thickTop="1" x14ac:dyDescent="0.25"/>
  </sheetData>
  <mergeCells count="8">
    <mergeCell ref="B1:O1"/>
    <mergeCell ref="B37:O37"/>
    <mergeCell ref="B40:O40"/>
    <mergeCell ref="B2:O2"/>
    <mergeCell ref="B3:O3"/>
    <mergeCell ref="B4:O4"/>
    <mergeCell ref="B38:O38"/>
    <mergeCell ref="B39:O39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0"/>
  <sheetViews>
    <sheetView tabSelected="1" zoomScale="80" zoomScaleNormal="80" workbookViewId="0">
      <selection activeCell="A36" sqref="A36:XFD36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53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2708520.3959252452</v>
      </c>
      <c r="E9" s="36">
        <v>1994935.2167852023</v>
      </c>
      <c r="F9" s="36">
        <v>3854524.260049379</v>
      </c>
      <c r="G9" s="36">
        <v>4078994.1420846665</v>
      </c>
      <c r="H9" s="36">
        <v>3494929.3210478821</v>
      </c>
      <c r="I9" s="36">
        <v>1783865.270405977</v>
      </c>
      <c r="J9" s="36">
        <v>2423789.6447679321</v>
      </c>
      <c r="K9" s="36">
        <v>2118617.6188640613</v>
      </c>
      <c r="L9" s="36">
        <v>2840006.3216894241</v>
      </c>
      <c r="M9" s="36">
        <v>3065631.7125105066</v>
      </c>
      <c r="N9" s="36">
        <v>3190373.2944125505</v>
      </c>
      <c r="O9" s="36">
        <v>3507923.4115299005</v>
      </c>
      <c r="P9" s="37">
        <f>SUM(D9:O9)</f>
        <v>35062110.610072725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36</v>
      </c>
      <c r="C11" s="23" t="s">
        <v>5</v>
      </c>
      <c r="D11" s="36">
        <v>119298.49516001139</v>
      </c>
      <c r="E11" s="36">
        <v>91159.809178066789</v>
      </c>
      <c r="F11" s="36">
        <v>105886.15679452172</v>
      </c>
      <c r="G11" s="36">
        <v>110139.45311882737</v>
      </c>
      <c r="H11" s="36">
        <v>108084.94952027325</v>
      </c>
      <c r="I11" s="36">
        <v>88763.275463645929</v>
      </c>
      <c r="J11" s="36">
        <v>90731.014390167562</v>
      </c>
      <c r="K11" s="36">
        <v>100086.17310759507</v>
      </c>
      <c r="L11" s="36">
        <v>124239.42017825082</v>
      </c>
      <c r="M11" s="36">
        <v>129832.25502153697</v>
      </c>
      <c r="N11" s="36">
        <v>133126.84414482221</v>
      </c>
      <c r="O11" s="36">
        <v>124558.28002492627</v>
      </c>
      <c r="P11" s="37">
        <f>SUM(D11:O11)</f>
        <v>1325906.1261026454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37</v>
      </c>
      <c r="C13" s="25" t="s">
        <v>5</v>
      </c>
      <c r="D13" s="39">
        <v>1624249.7827655047</v>
      </c>
      <c r="E13" s="39">
        <v>1129501.8248656977</v>
      </c>
      <c r="F13" s="39">
        <v>1276751.1047713901</v>
      </c>
      <c r="G13" s="39">
        <v>1113615.5306613166</v>
      </c>
      <c r="H13" s="39">
        <v>1077124.1195084082</v>
      </c>
      <c r="I13" s="39">
        <v>1199019.2459017807</v>
      </c>
      <c r="J13" s="39">
        <v>1160307.6661587956</v>
      </c>
      <c r="K13" s="39">
        <v>1304942.7290424895</v>
      </c>
      <c r="L13" s="39">
        <v>1601064.7581001483</v>
      </c>
      <c r="M13" s="39">
        <v>1648687.8354611972</v>
      </c>
      <c r="N13" s="39">
        <v>1678580.8689207218</v>
      </c>
      <c r="O13" s="39">
        <v>1536241.4214383489</v>
      </c>
      <c r="P13" s="37">
        <f t="shared" ref="P13:P15" si="0">SUM(D13:O13)</f>
        <v>16350086.887595799</v>
      </c>
    </row>
    <row r="14" spans="1:17" x14ac:dyDescent="0.25">
      <c r="A14" s="21">
        <v>4</v>
      </c>
      <c r="B14" s="22" t="s">
        <v>38</v>
      </c>
      <c r="C14" s="25" t="s">
        <v>5</v>
      </c>
      <c r="D14" s="40">
        <v>230757.77767937476</v>
      </c>
      <c r="E14" s="40">
        <v>169597.16061245018</v>
      </c>
      <c r="F14" s="40">
        <v>155296.57212029205</v>
      </c>
      <c r="G14" s="40">
        <v>147059.3872978969</v>
      </c>
      <c r="H14" s="40">
        <v>140444.90804888567</v>
      </c>
      <c r="I14" s="40">
        <v>177556.14409926877</v>
      </c>
      <c r="J14" s="40">
        <v>165006.73402987872</v>
      </c>
      <c r="K14" s="40">
        <v>193024.91377534895</v>
      </c>
      <c r="L14" s="40">
        <v>204218.8685802159</v>
      </c>
      <c r="M14" s="40">
        <v>224263.20667784428</v>
      </c>
      <c r="N14" s="40">
        <v>236781.43883373571</v>
      </c>
      <c r="O14" s="40">
        <v>208646.86411113339</v>
      </c>
      <c r="P14" s="40">
        <f t="shared" si="0"/>
        <v>2252653.9758663252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1855007.5604448793</v>
      </c>
      <c r="E15" s="41">
        <f t="shared" ref="E15:O15" si="1">SUM(E13:E14)</f>
        <v>1299098.9854781479</v>
      </c>
      <c r="F15" s="41">
        <f t="shared" si="1"/>
        <v>1432047.6768916822</v>
      </c>
      <c r="G15" s="41">
        <f t="shared" si="1"/>
        <v>1260674.9179592135</v>
      </c>
      <c r="H15" s="41">
        <f t="shared" si="1"/>
        <v>1217569.0275572939</v>
      </c>
      <c r="I15" s="41">
        <f t="shared" si="1"/>
        <v>1376575.3900010495</v>
      </c>
      <c r="J15" s="41">
        <f t="shared" si="1"/>
        <v>1325314.4001886742</v>
      </c>
      <c r="K15" s="41">
        <f t="shared" si="1"/>
        <v>1497967.6428178386</v>
      </c>
      <c r="L15" s="41">
        <f t="shared" si="1"/>
        <v>1805283.6266803641</v>
      </c>
      <c r="M15" s="41">
        <f t="shared" si="1"/>
        <v>1872951.0421390415</v>
      </c>
      <c r="N15" s="41">
        <f t="shared" si="1"/>
        <v>1915362.3077544575</v>
      </c>
      <c r="O15" s="41">
        <f t="shared" si="1"/>
        <v>1744888.2855494823</v>
      </c>
      <c r="P15" s="41">
        <f t="shared" si="0"/>
        <v>18602740.863462128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39</v>
      </c>
      <c r="C17" s="25" t="s">
        <v>7</v>
      </c>
      <c r="D17" s="36">
        <v>32134.115368239793</v>
      </c>
      <c r="E17" s="36">
        <v>28963.11939038297</v>
      </c>
      <c r="F17" s="36">
        <v>30881.99761782417</v>
      </c>
      <c r="G17" s="36">
        <v>29790.677968569325</v>
      </c>
      <c r="H17" s="36">
        <v>31086.600121469841</v>
      </c>
      <c r="I17" s="36">
        <v>32270.110473632241</v>
      </c>
      <c r="J17" s="36">
        <v>34657.354403361431</v>
      </c>
      <c r="K17" s="36">
        <v>39811.636849668466</v>
      </c>
      <c r="L17" s="36">
        <v>35231.070548790027</v>
      </c>
      <c r="M17" s="36">
        <v>40095.178198297566</v>
      </c>
      <c r="N17" s="36">
        <v>36332.894458122537</v>
      </c>
      <c r="O17" s="36">
        <v>35806.055629284623</v>
      </c>
      <c r="P17" s="37">
        <f t="shared" ref="P17:P21" si="2">SUM(D17:O17)</f>
        <v>407060.81102764304</v>
      </c>
    </row>
    <row r="18" spans="1:16" x14ac:dyDescent="0.25">
      <c r="A18" s="21">
        <v>7</v>
      </c>
      <c r="B18" s="22" t="s">
        <v>40</v>
      </c>
      <c r="C18" s="25" t="s">
        <v>7</v>
      </c>
      <c r="D18" s="39">
        <v>514046.08565679507</v>
      </c>
      <c r="E18" s="39">
        <v>455365.65422958793</v>
      </c>
      <c r="F18" s="39">
        <v>395228.00320841512</v>
      </c>
      <c r="G18" s="39">
        <v>454649.55153002037</v>
      </c>
      <c r="H18" s="39">
        <v>418662.82457514718</v>
      </c>
      <c r="I18" s="39">
        <v>479020.26057387952</v>
      </c>
      <c r="J18" s="39">
        <v>478510.62629838689</v>
      </c>
      <c r="K18" s="39">
        <v>496960.35867516918</v>
      </c>
      <c r="L18" s="39">
        <v>509319.47347248852</v>
      </c>
      <c r="M18" s="39">
        <v>542983.81979140081</v>
      </c>
      <c r="N18" s="39">
        <v>557227.48414093663</v>
      </c>
      <c r="O18" s="39">
        <v>522671.95304506755</v>
      </c>
      <c r="P18" s="42">
        <f t="shared" si="2"/>
        <v>5824646.0951972939</v>
      </c>
    </row>
    <row r="19" spans="1:16" x14ac:dyDescent="0.25">
      <c r="A19" s="21">
        <v>8</v>
      </c>
      <c r="B19" s="22" t="s">
        <v>41</v>
      </c>
      <c r="C19" s="25" t="s">
        <v>7</v>
      </c>
      <c r="D19" s="39">
        <v>733.87447750975537</v>
      </c>
      <c r="E19" s="39">
        <v>477.65174007801784</v>
      </c>
      <c r="F19" s="39">
        <v>205.72168579045078</v>
      </c>
      <c r="G19" s="39">
        <v>582.93344926681868</v>
      </c>
      <c r="H19" s="39">
        <v>372.76341050365676</v>
      </c>
      <c r="I19" s="39">
        <v>844.25089292623079</v>
      </c>
      <c r="J19" s="39">
        <v>904.78189432900183</v>
      </c>
      <c r="K19" s="39">
        <v>942.18888085211609</v>
      </c>
      <c r="L19" s="39">
        <v>959.69145470638307</v>
      </c>
      <c r="M19" s="39">
        <v>891.88977472662793</v>
      </c>
      <c r="N19" s="39">
        <v>856.57842652999216</v>
      </c>
      <c r="O19" s="39">
        <v>888.42340278137738</v>
      </c>
      <c r="P19" s="42">
        <f t="shared" si="2"/>
        <v>8660.7494900004313</v>
      </c>
    </row>
    <row r="20" spans="1:16" x14ac:dyDescent="0.25">
      <c r="A20" s="21">
        <v>9</v>
      </c>
      <c r="B20" s="22" t="s">
        <v>42</v>
      </c>
      <c r="C20" s="25" t="s">
        <v>7</v>
      </c>
      <c r="D20" s="39">
        <v>54798.73199586814</v>
      </c>
      <c r="E20" s="39">
        <v>59761.841997155767</v>
      </c>
      <c r="F20" s="39">
        <v>48581.069645428535</v>
      </c>
      <c r="G20" s="39">
        <v>64826.447849947828</v>
      </c>
      <c r="H20" s="39">
        <v>72023.529601888717</v>
      </c>
      <c r="I20" s="39">
        <v>57400.182823590367</v>
      </c>
      <c r="J20" s="39">
        <v>59293.943531868747</v>
      </c>
      <c r="K20" s="39">
        <v>50060.436651843906</v>
      </c>
      <c r="L20" s="39">
        <v>52526.484109714511</v>
      </c>
      <c r="M20" s="39">
        <v>50354.677992226993</v>
      </c>
      <c r="N20" s="39">
        <v>37062.972003189469</v>
      </c>
      <c r="O20" s="39">
        <v>60020.394886558817</v>
      </c>
      <c r="P20" s="42">
        <f t="shared" si="2"/>
        <v>666710.71308928193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601712.80749841279</v>
      </c>
      <c r="E21" s="43">
        <f t="shared" ref="E21:O21" si="3">SUM(E17:E20)</f>
        <v>544568.26735720469</v>
      </c>
      <c r="F21" s="43">
        <f t="shared" si="3"/>
        <v>474896.79215745826</v>
      </c>
      <c r="G21" s="43">
        <f t="shared" si="3"/>
        <v>549849.61079780431</v>
      </c>
      <c r="H21" s="43">
        <f t="shared" si="3"/>
        <v>522145.71770900942</v>
      </c>
      <c r="I21" s="43">
        <f t="shared" si="3"/>
        <v>569534.80476402841</v>
      </c>
      <c r="J21" s="43">
        <f t="shared" si="3"/>
        <v>573366.70612794603</v>
      </c>
      <c r="K21" s="43">
        <f t="shared" si="3"/>
        <v>587774.62105753366</v>
      </c>
      <c r="L21" s="43">
        <f t="shared" si="3"/>
        <v>598036.71958569938</v>
      </c>
      <c r="M21" s="43">
        <f t="shared" si="3"/>
        <v>634325.56575665192</v>
      </c>
      <c r="N21" s="43">
        <f t="shared" si="3"/>
        <v>631479.92902877869</v>
      </c>
      <c r="O21" s="43">
        <f t="shared" si="3"/>
        <v>619386.82696369244</v>
      </c>
      <c r="P21" s="43">
        <f t="shared" si="2"/>
        <v>6907078.3688042201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43</v>
      </c>
      <c r="C23" s="25" t="s">
        <v>8</v>
      </c>
      <c r="D23" s="36">
        <v>1191996.2516489073</v>
      </c>
      <c r="E23" s="36">
        <v>1647538.9100210834</v>
      </c>
      <c r="F23" s="36">
        <v>974635.08734001219</v>
      </c>
      <c r="G23" s="36">
        <v>1368425.6386410529</v>
      </c>
      <c r="H23" s="36">
        <v>1494672.1981282237</v>
      </c>
      <c r="I23" s="36">
        <v>1512778.4056392617</v>
      </c>
      <c r="J23" s="36">
        <v>1549717.7014733385</v>
      </c>
      <c r="K23" s="36">
        <v>1448799.6749123225</v>
      </c>
      <c r="L23" s="36">
        <v>1244555.0146562052</v>
      </c>
      <c r="M23" s="36">
        <v>1461694.3814125981</v>
      </c>
      <c r="N23" s="36">
        <v>1459712.8915436142</v>
      </c>
      <c r="O23" s="36">
        <v>1553773.6632164202</v>
      </c>
      <c r="P23" s="37">
        <f>SUM(D23:O23)</f>
        <v>16908299.818633039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0</v>
      </c>
      <c r="E25" s="36">
        <v>0</v>
      </c>
      <c r="F25" s="36">
        <v>0</v>
      </c>
      <c r="G25" s="36">
        <v>56919.485812637788</v>
      </c>
      <c r="H25" s="36">
        <v>62670.246842681452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7">
        <f>SUM(D25:O25)</f>
        <v>119589.73265531924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44</v>
      </c>
      <c r="C27" s="30"/>
      <c r="D27" s="45">
        <f>D25+D23+D21+D15+D11+D9</f>
        <v>6476535.5106774569</v>
      </c>
      <c r="E27" s="45">
        <f>E25+E23+E21+E15+E11+E9</f>
        <v>5577301.1888197046</v>
      </c>
      <c r="F27" s="45">
        <f>F25+F23+F21+F15+F11+F9</f>
        <v>6841989.9732330535</v>
      </c>
      <c r="G27" s="45">
        <f>G25+G23+G21+G15+G11+G9</f>
        <v>7425003.2484142017</v>
      </c>
      <c r="H27" s="45">
        <f>H25+H23+H21+H15+H11+H9</f>
        <v>6900071.460805364</v>
      </c>
      <c r="I27" s="45">
        <f>I25+I23+I21+I15+I11+I9</f>
        <v>5331517.1462739632</v>
      </c>
      <c r="J27" s="45">
        <f>J25+J23+J21+J15+J11+J9</f>
        <v>5962919.4669480585</v>
      </c>
      <c r="K27" s="45">
        <f>K25+K23+K21+K15+K11+K9</f>
        <v>5753245.7307593515</v>
      </c>
      <c r="L27" s="45">
        <f>L25+L23+L21+L15+L11+L9</f>
        <v>6612121.102789944</v>
      </c>
      <c r="M27" s="45">
        <f>M25+M23+M21+M15+M11+M9</f>
        <v>7164434.9568403345</v>
      </c>
      <c r="N27" s="45">
        <f>N25+N23+N21+N15+N11+N9</f>
        <v>7330055.2668842226</v>
      </c>
      <c r="O27" s="45">
        <f>O25+O23+O21+O15+O11+O9</f>
        <v>7550530.4672844214</v>
      </c>
      <c r="P27" s="45">
        <f>SUM(D27:O27)</f>
        <v>78925725.519730076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45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4">SUM(D29:O29)</f>
        <v>0</v>
      </c>
    </row>
    <row r="30" spans="1:16" x14ac:dyDescent="0.25">
      <c r="A30" s="21">
        <v>15</v>
      </c>
      <c r="B30" s="28" t="s">
        <v>46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4"/>
        <v>0</v>
      </c>
    </row>
    <row r="31" spans="1:16" x14ac:dyDescent="0.25">
      <c r="A31" s="21">
        <v>16</v>
      </c>
      <c r="B31" s="29" t="s">
        <v>47</v>
      </c>
      <c r="C31" s="31"/>
      <c r="D31" s="46">
        <f t="shared" ref="D31:O31" si="5">SUM(D29:D30)</f>
        <v>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  <c r="N31" s="46">
        <f t="shared" si="5"/>
        <v>0</v>
      </c>
      <c r="O31" s="37">
        <f t="shared" si="5"/>
        <v>0</v>
      </c>
      <c r="P31" s="37">
        <f t="shared" si="4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48</v>
      </c>
      <c r="C33" s="31"/>
      <c r="D33" s="48">
        <f t="shared" ref="D33:O33" si="6">+D31+D27</f>
        <v>6476535.5106774569</v>
      </c>
      <c r="E33" s="48">
        <f t="shared" si="6"/>
        <v>5577301.1888197046</v>
      </c>
      <c r="F33" s="48">
        <f t="shared" si="6"/>
        <v>6841989.9732330535</v>
      </c>
      <c r="G33" s="48">
        <f t="shared" si="6"/>
        <v>7425003.2484142017</v>
      </c>
      <c r="H33" s="48">
        <f t="shared" si="6"/>
        <v>6900071.460805364</v>
      </c>
      <c r="I33" s="48">
        <f t="shared" si="6"/>
        <v>5331517.1462739632</v>
      </c>
      <c r="J33" s="48">
        <f t="shared" si="6"/>
        <v>5962919.4669480585</v>
      </c>
      <c r="K33" s="48">
        <f t="shared" si="6"/>
        <v>5753245.7307593515</v>
      </c>
      <c r="L33" s="48">
        <f t="shared" si="6"/>
        <v>6612121.102789944</v>
      </c>
      <c r="M33" s="48">
        <f t="shared" si="6"/>
        <v>7164434.9568403345</v>
      </c>
      <c r="N33" s="48">
        <f t="shared" si="6"/>
        <v>7330055.2668842226</v>
      </c>
      <c r="O33" s="48">
        <f t="shared" si="6"/>
        <v>7550530.4672844214</v>
      </c>
      <c r="P33" s="48">
        <f>SUM(D33:O33)</f>
        <v>78925725.519730076</v>
      </c>
    </row>
    <row r="34" spans="1:16" ht="15.75" thickTop="1" x14ac:dyDescent="0.25"/>
    <row r="35" spans="1:16" hidden="1" x14ac:dyDescent="0.25"/>
    <row r="37" spans="1:16" x14ac:dyDescent="0.25">
      <c r="A37" s="10"/>
      <c r="B37" s="54" t="s">
        <v>13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14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1"/>
    </row>
    <row r="39" spans="1:16" x14ac:dyDescent="0.25">
      <c r="A39" s="10"/>
      <c r="B39" s="54" t="s">
        <v>54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3" t="s">
        <v>6</v>
      </c>
    </row>
    <row r="40" spans="1:16" x14ac:dyDescent="0.25">
      <c r="A40" s="10"/>
      <c r="B40" s="55" t="s">
        <v>23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8" t="s">
        <v>6</v>
      </c>
    </row>
    <row r="41" spans="1:16" x14ac:dyDescent="0.25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0"/>
      <c r="B42" s="17"/>
      <c r="C42" s="17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8"/>
    </row>
    <row r="43" spans="1:16" x14ac:dyDescent="0.25">
      <c r="A43" s="15" t="s">
        <v>0</v>
      </c>
      <c r="B43" s="17" t="s">
        <v>1</v>
      </c>
      <c r="C43" s="34" t="s">
        <v>2</v>
      </c>
      <c r="D43" s="19" t="s">
        <v>24</v>
      </c>
      <c r="E43" s="19" t="s">
        <v>25</v>
      </c>
      <c r="F43" s="19" t="s">
        <v>26</v>
      </c>
      <c r="G43" s="19" t="s">
        <v>27</v>
      </c>
      <c r="H43" s="19" t="s">
        <v>28</v>
      </c>
      <c r="I43" s="19" t="s">
        <v>29</v>
      </c>
      <c r="J43" s="19" t="s">
        <v>30</v>
      </c>
      <c r="K43" s="19" t="s">
        <v>31</v>
      </c>
      <c r="L43" s="19" t="s">
        <v>32</v>
      </c>
      <c r="M43" s="19" t="s">
        <v>33</v>
      </c>
      <c r="N43" s="19" t="s">
        <v>34</v>
      </c>
      <c r="O43" s="19" t="s">
        <v>35</v>
      </c>
      <c r="P43" s="20" t="s">
        <v>10</v>
      </c>
    </row>
    <row r="44" spans="1:16" x14ac:dyDescent="0.25">
      <c r="A44" s="10"/>
      <c r="B44" s="17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0"/>
      <c r="P44" s="20"/>
    </row>
    <row r="45" spans="1:16" x14ac:dyDescent="0.25">
      <c r="A45" s="21" t="s">
        <v>3</v>
      </c>
      <c r="B45" s="22" t="s">
        <v>4</v>
      </c>
      <c r="C45" s="23" t="s">
        <v>5</v>
      </c>
      <c r="D45" s="36">
        <v>2488373.9523599595</v>
      </c>
      <c r="E45" s="36">
        <v>1832788.4248396393</v>
      </c>
      <c r="F45" s="36">
        <v>3541231.508493003</v>
      </c>
      <c r="G45" s="36">
        <v>3747456.6520755431</v>
      </c>
      <c r="H45" s="36">
        <v>3210864.1680963938</v>
      </c>
      <c r="I45" s="36">
        <v>1638874.0805038053</v>
      </c>
      <c r="J45" s="36">
        <v>2226785.8965042052</v>
      </c>
      <c r="K45" s="36">
        <v>1946418.0169081935</v>
      </c>
      <c r="L45" s="36">
        <v>2609172.8037423394</v>
      </c>
      <c r="M45" s="36">
        <v>2816459.5372499991</v>
      </c>
      <c r="N45" s="36">
        <v>2931062.2198246624</v>
      </c>
      <c r="O45" s="36">
        <v>3222802.1089510052</v>
      </c>
      <c r="P45" s="37">
        <f>SUM(D45:O45)</f>
        <v>32212289.369548749</v>
      </c>
    </row>
    <row r="46" spans="1:16" x14ac:dyDescent="0.25">
      <c r="A46" s="24"/>
      <c r="B46" s="22"/>
      <c r="C46" s="23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7"/>
      <c r="P46" s="37"/>
    </row>
    <row r="47" spans="1:16" x14ac:dyDescent="0.25">
      <c r="A47" s="21">
        <v>2</v>
      </c>
      <c r="B47" s="22" t="s">
        <v>36</v>
      </c>
      <c r="C47" s="23" t="s">
        <v>5</v>
      </c>
      <c r="D47" s="36">
        <v>109602.00571445367</v>
      </c>
      <c r="E47" s="36">
        <v>83750.41037241889</v>
      </c>
      <c r="F47" s="36">
        <v>97279.811840952636</v>
      </c>
      <c r="G47" s="36">
        <v>101187.40352864789</v>
      </c>
      <c r="H47" s="36">
        <v>99299.888394051508</v>
      </c>
      <c r="I47" s="36">
        <v>81548.665065317298</v>
      </c>
      <c r="J47" s="36">
        <v>83356.467693337952</v>
      </c>
      <c r="K47" s="36">
        <v>91951.246343578663</v>
      </c>
      <c r="L47" s="36">
        <v>114141.33616751111</v>
      </c>
      <c r="M47" s="36">
        <v>119279.58971908914</v>
      </c>
      <c r="N47" s="36">
        <v>122306.39718579494</v>
      </c>
      <c r="O47" s="36">
        <v>114434.27933238973</v>
      </c>
      <c r="P47" s="37">
        <f>SUM(D47:O47)</f>
        <v>1218137.5013575435</v>
      </c>
    </row>
    <row r="48" spans="1:16" x14ac:dyDescent="0.25">
      <c r="A48" s="21"/>
      <c r="B48" s="22"/>
      <c r="C48" s="2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spans="1:16" x14ac:dyDescent="0.25">
      <c r="A49" s="21">
        <v>3</v>
      </c>
      <c r="B49" s="22" t="s">
        <v>37</v>
      </c>
      <c r="C49" s="25" t="s">
        <v>5</v>
      </c>
      <c r="D49" s="39">
        <v>1492232.0162847892</v>
      </c>
      <c r="E49" s="39">
        <v>1037696.789866232</v>
      </c>
      <c r="F49" s="39">
        <v>1172977.762153656</v>
      </c>
      <c r="G49" s="39">
        <v>1023101.7213715735</v>
      </c>
      <c r="H49" s="39">
        <v>989576.30390218215</v>
      </c>
      <c r="I49" s="39">
        <v>1101563.8886710526</v>
      </c>
      <c r="J49" s="39">
        <v>1065998.7561979617</v>
      </c>
      <c r="K49" s="39">
        <v>1198877.993001635</v>
      </c>
      <c r="L49" s="39">
        <v>1470931.4524976786</v>
      </c>
      <c r="M49" s="39">
        <v>1514683.7629527659</v>
      </c>
      <c r="N49" s="39">
        <v>1542147.1137658565</v>
      </c>
      <c r="O49" s="39">
        <v>1411376.9065186444</v>
      </c>
      <c r="P49" s="37">
        <f t="shared" ref="P49:P51" si="7">SUM(D49:O49)</f>
        <v>15021164.467184026</v>
      </c>
    </row>
    <row r="50" spans="1:16" x14ac:dyDescent="0.25">
      <c r="A50" s="21">
        <v>4</v>
      </c>
      <c r="B50" s="22" t="s">
        <v>38</v>
      </c>
      <c r="C50" s="25" t="s">
        <v>5</v>
      </c>
      <c r="D50" s="40">
        <v>212001.96393044802</v>
      </c>
      <c r="E50" s="40">
        <v>155812.43452961513</v>
      </c>
      <c r="F50" s="40">
        <v>142674.18681295033</v>
      </c>
      <c r="G50" s="40">
        <v>135106.51400396603</v>
      </c>
      <c r="H50" s="40">
        <v>129029.65451402948</v>
      </c>
      <c r="I50" s="40">
        <v>163124.51799247455</v>
      </c>
      <c r="J50" s="40">
        <v>151595.11427037834</v>
      </c>
      <c r="K50" s="40">
        <v>177335.99802966451</v>
      </c>
      <c r="L50" s="40">
        <v>187620.11684310628</v>
      </c>
      <c r="M50" s="40">
        <v>206035.26663834948</v>
      </c>
      <c r="N50" s="40">
        <v>217536.02656364962</v>
      </c>
      <c r="O50" s="40">
        <v>191688.20832097658</v>
      </c>
      <c r="P50" s="40">
        <f t="shared" si="7"/>
        <v>2069560.0024496079</v>
      </c>
    </row>
    <row r="51" spans="1:16" x14ac:dyDescent="0.25">
      <c r="A51" s="21">
        <v>5</v>
      </c>
      <c r="B51" s="26" t="s">
        <v>11</v>
      </c>
      <c r="C51" s="23"/>
      <c r="D51" s="41">
        <f>SUM(D49:D50)</f>
        <v>1704233.9802152372</v>
      </c>
      <c r="E51" s="41">
        <f t="shared" ref="E51:O51" si="8">SUM(E49:E50)</f>
        <v>1193509.2243958472</v>
      </c>
      <c r="F51" s="41">
        <f t="shared" si="8"/>
        <v>1315651.9489666063</v>
      </c>
      <c r="G51" s="41">
        <f t="shared" si="8"/>
        <v>1158208.2353755396</v>
      </c>
      <c r="H51" s="41">
        <f t="shared" si="8"/>
        <v>1118605.9584162117</v>
      </c>
      <c r="I51" s="41">
        <f t="shared" si="8"/>
        <v>1264688.4066635272</v>
      </c>
      <c r="J51" s="41">
        <f t="shared" si="8"/>
        <v>1217593.8704683401</v>
      </c>
      <c r="K51" s="41">
        <f t="shared" si="8"/>
        <v>1376213.9910312993</v>
      </c>
      <c r="L51" s="41">
        <f t="shared" si="8"/>
        <v>1658551.5693407848</v>
      </c>
      <c r="M51" s="41">
        <f t="shared" si="8"/>
        <v>1720719.0295911154</v>
      </c>
      <c r="N51" s="41">
        <f t="shared" si="8"/>
        <v>1759683.140329506</v>
      </c>
      <c r="O51" s="41">
        <f t="shared" si="8"/>
        <v>1603065.1148396209</v>
      </c>
      <c r="P51" s="41">
        <f t="shared" si="7"/>
        <v>17090724.469633639</v>
      </c>
    </row>
    <row r="52" spans="1:16" x14ac:dyDescent="0.25">
      <c r="A52" s="24"/>
      <c r="B52" s="27"/>
      <c r="C52" s="2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6"/>
      <c r="P52" s="36"/>
    </row>
    <row r="53" spans="1:16" x14ac:dyDescent="0.25">
      <c r="A53" s="21">
        <v>6</v>
      </c>
      <c r="B53" s="22" t="s">
        <v>39</v>
      </c>
      <c r="C53" s="25" t="s">
        <v>7</v>
      </c>
      <c r="D53" s="36">
        <v>30262.956752248279</v>
      </c>
      <c r="E53" s="36">
        <v>27276.606792408358</v>
      </c>
      <c r="F53" s="36">
        <v>29083.749392863425</v>
      </c>
      <c r="G53" s="36">
        <v>28055.9769158616</v>
      </c>
      <c r="H53" s="36">
        <v>29276.43796226311</v>
      </c>
      <c r="I53" s="36">
        <v>30391.032908876412</v>
      </c>
      <c r="J53" s="36">
        <v>32639.268435965674</v>
      </c>
      <c r="K53" s="36">
        <v>37493.418767287105</v>
      </c>
      <c r="L53" s="36">
        <v>33179.577285243424</v>
      </c>
      <c r="M53" s="36">
        <v>37760.44959955696</v>
      </c>
      <c r="N53" s="36">
        <v>34217.242362828831</v>
      </c>
      <c r="O53" s="36">
        <v>33721.081179929577</v>
      </c>
      <c r="P53" s="37">
        <f t="shared" ref="P53:P57" si="9">SUM(D53:O53)</f>
        <v>383357.79835533269</v>
      </c>
    </row>
    <row r="54" spans="1:16" x14ac:dyDescent="0.25">
      <c r="A54" s="21">
        <v>7</v>
      </c>
      <c r="B54" s="22" t="s">
        <v>40</v>
      </c>
      <c r="C54" s="25" t="s">
        <v>7</v>
      </c>
      <c r="D54" s="39">
        <v>484113.35680551035</v>
      </c>
      <c r="E54" s="39">
        <v>428849.86695571599</v>
      </c>
      <c r="F54" s="39">
        <v>372214.01091362565</v>
      </c>
      <c r="G54" s="39">
        <v>428175.46267295175</v>
      </c>
      <c r="H54" s="39">
        <v>394284.23059731518</v>
      </c>
      <c r="I54" s="39">
        <v>451127.07361242338</v>
      </c>
      <c r="J54" s="39">
        <v>450647.11516757566</v>
      </c>
      <c r="K54" s="39">
        <v>468022.52589884365</v>
      </c>
      <c r="L54" s="39">
        <v>479661.97364219179</v>
      </c>
      <c r="M54" s="39">
        <v>511366.05651695729</v>
      </c>
      <c r="N54" s="39">
        <v>524780.31713262631</v>
      </c>
      <c r="O54" s="39">
        <v>492236.9428675659</v>
      </c>
      <c r="P54" s="42">
        <f t="shared" si="9"/>
        <v>5485478.9327833029</v>
      </c>
    </row>
    <row r="55" spans="1:16" x14ac:dyDescent="0.25">
      <c r="A55" s="21">
        <v>8</v>
      </c>
      <c r="B55" s="22" t="s">
        <v>41</v>
      </c>
      <c r="C55" s="25" t="s">
        <v>7</v>
      </c>
      <c r="D55" s="39">
        <v>691.14121611722715</v>
      </c>
      <c r="E55" s="39">
        <v>449.83824159989621</v>
      </c>
      <c r="F55" s="39">
        <v>193.74258194857063</v>
      </c>
      <c r="G55" s="39">
        <v>548.98943264629804</v>
      </c>
      <c r="H55" s="39">
        <v>351.05752380668918</v>
      </c>
      <c r="I55" s="39">
        <v>795.0904503792799</v>
      </c>
      <c r="J55" s="39">
        <v>852.0967521439419</v>
      </c>
      <c r="K55" s="39">
        <v>887.32554255588559</v>
      </c>
      <c r="L55" s="39">
        <v>903.80894748347953</v>
      </c>
      <c r="M55" s="39">
        <v>839.95533628417718</v>
      </c>
      <c r="N55" s="39">
        <v>806.70015589123693</v>
      </c>
      <c r="O55" s="39">
        <v>836.69080999913103</v>
      </c>
      <c r="P55" s="42">
        <f t="shared" si="9"/>
        <v>8156.4369908558128</v>
      </c>
    </row>
    <row r="56" spans="1:16" x14ac:dyDescent="0.25">
      <c r="A56" s="21">
        <v>9</v>
      </c>
      <c r="B56" s="22" t="s">
        <v>42</v>
      </c>
      <c r="C56" s="25" t="s">
        <v>7</v>
      </c>
      <c r="D56" s="39">
        <v>51607.820457011141</v>
      </c>
      <c r="E56" s="39">
        <v>56281.930249810008</v>
      </c>
      <c r="F56" s="39">
        <v>45752.21047194799</v>
      </c>
      <c r="G56" s="39">
        <v>61051.625825177121</v>
      </c>
      <c r="H56" s="39">
        <v>67829.623952882015</v>
      </c>
      <c r="I56" s="39">
        <v>54057.789687228993</v>
      </c>
      <c r="J56" s="39">
        <v>55841.27735312502</v>
      </c>
      <c r="K56" s="39">
        <v>47145.434440394325</v>
      </c>
      <c r="L56" s="39">
        <v>49467.884792965451</v>
      </c>
      <c r="M56" s="39">
        <v>47422.542207535094</v>
      </c>
      <c r="N56" s="39">
        <v>34904.807740588854</v>
      </c>
      <c r="O56" s="39">
        <v>56525.427692341349</v>
      </c>
      <c r="P56" s="42">
        <f t="shared" si="9"/>
        <v>627888.37487100752</v>
      </c>
    </row>
    <row r="57" spans="1:16" x14ac:dyDescent="0.25">
      <c r="A57" s="21">
        <v>10</v>
      </c>
      <c r="B57" s="22" t="s">
        <v>12</v>
      </c>
      <c r="C57" s="25"/>
      <c r="D57" s="43">
        <f>SUM(D53:D56)</f>
        <v>566675.275230887</v>
      </c>
      <c r="E57" s="43">
        <f t="shared" ref="E57:O57" si="10">SUM(E53:E56)</f>
        <v>512858.24223953421</v>
      </c>
      <c r="F57" s="43">
        <f t="shared" si="10"/>
        <v>447243.71336038562</v>
      </c>
      <c r="G57" s="43">
        <f t="shared" si="10"/>
        <v>517832.05484663678</v>
      </c>
      <c r="H57" s="43">
        <f t="shared" si="10"/>
        <v>491741.35003626702</v>
      </c>
      <c r="I57" s="43">
        <f t="shared" si="10"/>
        <v>536370.98665890808</v>
      </c>
      <c r="J57" s="43">
        <f t="shared" si="10"/>
        <v>539979.75770881027</v>
      </c>
      <c r="K57" s="43">
        <f t="shared" si="10"/>
        <v>553548.70464908099</v>
      </c>
      <c r="L57" s="43">
        <f t="shared" si="10"/>
        <v>563213.2446678842</v>
      </c>
      <c r="M57" s="43">
        <f t="shared" si="10"/>
        <v>597389.00366033346</v>
      </c>
      <c r="N57" s="43">
        <f t="shared" si="10"/>
        <v>594709.06739193527</v>
      </c>
      <c r="O57" s="43">
        <f t="shared" si="10"/>
        <v>583320.14254983596</v>
      </c>
      <c r="P57" s="43">
        <f t="shared" si="9"/>
        <v>6504881.5430004979</v>
      </c>
    </row>
    <row r="58" spans="1:16" x14ac:dyDescent="0.25">
      <c r="A58" s="21"/>
      <c r="B58" s="22"/>
      <c r="C58" s="25"/>
      <c r="D58" s="4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x14ac:dyDescent="0.25">
      <c r="A59" s="21">
        <v>11</v>
      </c>
      <c r="B59" s="26" t="s">
        <v>43</v>
      </c>
      <c r="C59" s="25" t="s">
        <v>8</v>
      </c>
      <c r="D59" s="36">
        <v>1160274.3508954265</v>
      </c>
      <c r="E59" s="36">
        <v>1603693.918294901</v>
      </c>
      <c r="F59" s="36">
        <v>948697.69242900331</v>
      </c>
      <c r="G59" s="36">
        <v>1332008.525552449</v>
      </c>
      <c r="H59" s="36">
        <v>1454895.3590128135</v>
      </c>
      <c r="I59" s="36">
        <v>1472519.7165877526</v>
      </c>
      <c r="J59" s="36">
        <v>1508475.9684946937</v>
      </c>
      <c r="K59" s="36">
        <v>1410243.6144921083</v>
      </c>
      <c r="L59" s="36">
        <v>1211434.3982091667</v>
      </c>
      <c r="M59" s="36">
        <v>1422795.1616919406</v>
      </c>
      <c r="N59" s="36">
        <v>1420866.4040567041</v>
      </c>
      <c r="O59" s="36">
        <v>1512423.9912944306</v>
      </c>
      <c r="P59" s="37">
        <f>SUM(D59:O59)</f>
        <v>16458329.101011392</v>
      </c>
    </row>
    <row r="60" spans="1:16" x14ac:dyDescent="0.25">
      <c r="A60" s="24"/>
      <c r="B60" s="22"/>
      <c r="C60" s="2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6"/>
    </row>
    <row r="61" spans="1:16" x14ac:dyDescent="0.25">
      <c r="A61" s="21">
        <v>12</v>
      </c>
      <c r="B61" s="28" t="s">
        <v>9</v>
      </c>
      <c r="C61" s="25" t="s">
        <v>5</v>
      </c>
      <c r="D61" s="36">
        <v>0</v>
      </c>
      <c r="E61" s="36">
        <v>0</v>
      </c>
      <c r="F61" s="36">
        <v>0</v>
      </c>
      <c r="G61" s="36">
        <v>52293.114015671345</v>
      </c>
      <c r="H61" s="36">
        <v>57576.457635655046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7">
        <f>SUM(D61:O61)</f>
        <v>109869.57165132639</v>
      </c>
    </row>
    <row r="62" spans="1:16" x14ac:dyDescent="0.25">
      <c r="A62" s="21"/>
      <c r="B62" s="22"/>
      <c r="C62" s="2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36"/>
    </row>
    <row r="63" spans="1:16" x14ac:dyDescent="0.25">
      <c r="A63" s="21">
        <v>13</v>
      </c>
      <c r="B63" s="29" t="s">
        <v>44</v>
      </c>
      <c r="C63" s="30"/>
      <c r="D63" s="45">
        <f>D61+D59+D57+D51+D47+D45</f>
        <v>6029159.5644159643</v>
      </c>
      <c r="E63" s="45">
        <f t="shared" ref="E63:O63" si="11">E61+E59+E57+E51+E47+E45</f>
        <v>5226600.2201423412</v>
      </c>
      <c r="F63" s="45">
        <f t="shared" si="11"/>
        <v>6350104.6750899507</v>
      </c>
      <c r="G63" s="45">
        <f t="shared" si="11"/>
        <v>6908985.9853944872</v>
      </c>
      <c r="H63" s="45">
        <f t="shared" si="11"/>
        <v>6432983.1815913925</v>
      </c>
      <c r="I63" s="45">
        <f t="shared" si="11"/>
        <v>4994001.8554793103</v>
      </c>
      <c r="J63" s="45">
        <f t="shared" si="11"/>
        <v>5576191.9608693868</v>
      </c>
      <c r="K63" s="45">
        <f t="shared" si="11"/>
        <v>5378375.5734242611</v>
      </c>
      <c r="L63" s="45">
        <f t="shared" si="11"/>
        <v>6156513.3521276861</v>
      </c>
      <c r="M63" s="45">
        <f t="shared" si="11"/>
        <v>6676642.3219124787</v>
      </c>
      <c r="N63" s="45">
        <f t="shared" si="11"/>
        <v>6828627.2287886031</v>
      </c>
      <c r="O63" s="45">
        <f t="shared" si="11"/>
        <v>7036045.6369672827</v>
      </c>
      <c r="P63" s="45">
        <f>SUM(D63:O63)</f>
        <v>73594231.556203142</v>
      </c>
    </row>
    <row r="64" spans="1:16" x14ac:dyDescent="0.25">
      <c r="A64" s="24"/>
      <c r="B64" s="30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37"/>
      <c r="P64" s="37"/>
    </row>
    <row r="65" spans="1:16" x14ac:dyDescent="0.25">
      <c r="A65" s="21">
        <v>14</v>
      </c>
      <c r="B65" s="28" t="s">
        <v>45</v>
      </c>
      <c r="C65" s="25" t="s">
        <v>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7">
        <f t="shared" ref="P65:P67" si="12">SUM(D65:O65)</f>
        <v>0</v>
      </c>
    </row>
    <row r="66" spans="1:16" x14ac:dyDescent="0.25">
      <c r="A66" s="21">
        <v>15</v>
      </c>
      <c r="B66" s="28" t="s">
        <v>46</v>
      </c>
      <c r="C66" s="25" t="s">
        <v>8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7">
        <f t="shared" si="12"/>
        <v>0</v>
      </c>
    </row>
    <row r="67" spans="1:16" x14ac:dyDescent="0.25">
      <c r="A67" s="21">
        <v>16</v>
      </c>
      <c r="B67" s="29" t="s">
        <v>47</v>
      </c>
      <c r="C67" s="31"/>
      <c r="D67" s="46">
        <f t="shared" ref="D67:O67" si="13">SUM(D65:D66)</f>
        <v>0</v>
      </c>
      <c r="E67" s="46">
        <f t="shared" si="13"/>
        <v>0</v>
      </c>
      <c r="F67" s="46">
        <f t="shared" si="13"/>
        <v>0</v>
      </c>
      <c r="G67" s="46">
        <f t="shared" si="13"/>
        <v>0</v>
      </c>
      <c r="H67" s="46">
        <f t="shared" si="13"/>
        <v>0</v>
      </c>
      <c r="I67" s="46">
        <f t="shared" si="13"/>
        <v>0</v>
      </c>
      <c r="J67" s="46">
        <f t="shared" si="13"/>
        <v>0</v>
      </c>
      <c r="K67" s="46">
        <f t="shared" si="13"/>
        <v>0</v>
      </c>
      <c r="L67" s="46">
        <f t="shared" si="13"/>
        <v>0</v>
      </c>
      <c r="M67" s="46">
        <f t="shared" si="13"/>
        <v>0</v>
      </c>
      <c r="N67" s="46">
        <f t="shared" si="13"/>
        <v>0</v>
      </c>
      <c r="O67" s="37">
        <f t="shared" si="13"/>
        <v>0</v>
      </c>
      <c r="P67" s="37">
        <f t="shared" si="12"/>
        <v>0</v>
      </c>
    </row>
    <row r="68" spans="1:16" x14ac:dyDescent="0.25">
      <c r="A68" s="21"/>
      <c r="B68" s="22"/>
      <c r="C68" s="32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36"/>
    </row>
    <row r="69" spans="1:16" ht="15.75" thickBot="1" x14ac:dyDescent="0.3">
      <c r="A69" s="21">
        <v>17</v>
      </c>
      <c r="B69" s="33" t="s">
        <v>48</v>
      </c>
      <c r="C69" s="31"/>
      <c r="D69" s="48">
        <f t="shared" ref="D69:O69" si="14">+D67+D63</f>
        <v>6029159.5644159643</v>
      </c>
      <c r="E69" s="48">
        <f t="shared" si="14"/>
        <v>5226600.2201423412</v>
      </c>
      <c r="F69" s="48">
        <f t="shared" si="14"/>
        <v>6350104.6750899507</v>
      </c>
      <c r="G69" s="48">
        <f t="shared" si="14"/>
        <v>6908985.9853944872</v>
      </c>
      <c r="H69" s="48">
        <f t="shared" si="14"/>
        <v>6432983.1815913925</v>
      </c>
      <c r="I69" s="48">
        <f t="shared" si="14"/>
        <v>4994001.8554793103</v>
      </c>
      <c r="J69" s="48">
        <f t="shared" si="14"/>
        <v>5576191.9608693868</v>
      </c>
      <c r="K69" s="48">
        <f t="shared" si="14"/>
        <v>5378375.5734242611</v>
      </c>
      <c r="L69" s="48">
        <f t="shared" si="14"/>
        <v>6156513.3521276861</v>
      </c>
      <c r="M69" s="48">
        <f t="shared" si="14"/>
        <v>6676642.3219124787</v>
      </c>
      <c r="N69" s="48">
        <f t="shared" si="14"/>
        <v>6828627.2287886031</v>
      </c>
      <c r="O69" s="48">
        <f t="shared" si="14"/>
        <v>7036045.6369672827</v>
      </c>
      <c r="P69" s="48">
        <f>SUM(D69:O69)</f>
        <v>73594231.556203142</v>
      </c>
    </row>
    <row r="70" spans="1:16" ht="15.75" thickTop="1" x14ac:dyDescent="0.25"/>
  </sheetData>
  <mergeCells count="8">
    <mergeCell ref="B1:O1"/>
    <mergeCell ref="B37:O37"/>
    <mergeCell ref="B40:O40"/>
    <mergeCell ref="B2:O2"/>
    <mergeCell ref="B3:O3"/>
    <mergeCell ref="B4:O4"/>
    <mergeCell ref="B38:O38"/>
    <mergeCell ref="B39:O39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"/>
  <sheetViews>
    <sheetView tabSelected="1" zoomScale="80" zoomScaleNormal="80" workbookViewId="0">
      <selection activeCell="A36" sqref="A36:XFD36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17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2954906.8463825067</v>
      </c>
      <c r="E9" s="36">
        <v>1528422.0928592321</v>
      </c>
      <c r="F9" s="36">
        <v>3724523.6731215757</v>
      </c>
      <c r="G9" s="36">
        <v>3972740.7328219796</v>
      </c>
      <c r="H9" s="36">
        <v>3449149.3828444877</v>
      </c>
      <c r="I9" s="36">
        <v>1787734.8108231465</v>
      </c>
      <c r="J9" s="36">
        <v>2375602.725225545</v>
      </c>
      <c r="K9" s="36">
        <v>2039457.4210881747</v>
      </c>
      <c r="L9" s="36">
        <v>2810532.2640915429</v>
      </c>
      <c r="M9" s="36">
        <v>3251947.3988100565</v>
      </c>
      <c r="N9" s="36">
        <v>3354892.5993726649</v>
      </c>
      <c r="O9" s="36">
        <v>3588154.4579547509</v>
      </c>
      <c r="P9" s="37">
        <f>SUM(D9:O9)</f>
        <v>34838064.405395664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36</v>
      </c>
      <c r="C11" s="23" t="s">
        <v>5</v>
      </c>
      <c r="D11" s="36">
        <v>119730.39031328112</v>
      </c>
      <c r="E11" s="36">
        <v>98351.561501787393</v>
      </c>
      <c r="F11" s="36">
        <v>101205.99518270195</v>
      </c>
      <c r="G11" s="36">
        <v>110815.48583579862</v>
      </c>
      <c r="H11" s="36">
        <v>108252.99207635647</v>
      </c>
      <c r="I11" s="36">
        <v>81472.282000178995</v>
      </c>
      <c r="J11" s="36">
        <v>95975.376974066006</v>
      </c>
      <c r="K11" s="36">
        <v>91331.646816987341</v>
      </c>
      <c r="L11" s="36">
        <v>115463.59444064631</v>
      </c>
      <c r="M11" s="36">
        <v>131873.71446852045</v>
      </c>
      <c r="N11" s="36">
        <v>126962.49088775864</v>
      </c>
      <c r="O11" s="36">
        <v>144141.351221082</v>
      </c>
      <c r="P11" s="37">
        <f>SUM(D11:O11)</f>
        <v>1325576.8817191652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37</v>
      </c>
      <c r="C13" s="25" t="s">
        <v>5</v>
      </c>
      <c r="D13" s="39">
        <v>1604979.5262425106</v>
      </c>
      <c r="E13" s="39">
        <v>1407784.5338426149</v>
      </c>
      <c r="F13" s="39">
        <v>1157487.0240445347</v>
      </c>
      <c r="G13" s="39">
        <v>1142555.6496679476</v>
      </c>
      <c r="H13" s="39">
        <v>1111153.2335015729</v>
      </c>
      <c r="I13" s="39">
        <v>1083139.1420547739</v>
      </c>
      <c r="J13" s="39">
        <v>1297515.5792536365</v>
      </c>
      <c r="K13" s="39">
        <v>1184438.9390533876</v>
      </c>
      <c r="L13" s="39">
        <v>1471065.5405913582</v>
      </c>
      <c r="M13" s="39">
        <v>1685032.1940702891</v>
      </c>
      <c r="N13" s="39">
        <v>1608924.6982362662</v>
      </c>
      <c r="O13" s="39">
        <v>1845969.7562371169</v>
      </c>
      <c r="P13" s="37">
        <f t="shared" ref="P13:P15" si="0">SUM(D13:O13)</f>
        <v>16600045.81679601</v>
      </c>
    </row>
    <row r="14" spans="1:17" x14ac:dyDescent="0.25">
      <c r="A14" s="21">
        <v>4</v>
      </c>
      <c r="B14" s="22" t="s">
        <v>38</v>
      </c>
      <c r="C14" s="25" t="s">
        <v>5</v>
      </c>
      <c r="D14" s="40">
        <v>199212.22421274768</v>
      </c>
      <c r="E14" s="40">
        <v>217184.51469550599</v>
      </c>
      <c r="F14" s="40">
        <v>120874.89345387806</v>
      </c>
      <c r="G14" s="40">
        <v>151518.08416133569</v>
      </c>
      <c r="H14" s="40">
        <v>144610.75083162053</v>
      </c>
      <c r="I14" s="40">
        <v>166222.97829804945</v>
      </c>
      <c r="J14" s="40">
        <v>193553.36950876049</v>
      </c>
      <c r="K14" s="40">
        <v>158422.87269789266</v>
      </c>
      <c r="L14" s="40">
        <v>166578.43388060617</v>
      </c>
      <c r="M14" s="40">
        <v>181600.80574066064</v>
      </c>
      <c r="N14" s="40">
        <v>183731.58245199156</v>
      </c>
      <c r="O14" s="40">
        <v>214729.63942964652</v>
      </c>
      <c r="P14" s="40">
        <f t="shared" si="0"/>
        <v>2098240.1493626949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1804191.7504552584</v>
      </c>
      <c r="E15" s="41">
        <f t="shared" ref="E15:O15" si="1">SUM(E13:E14)</f>
        <v>1624969.0485381209</v>
      </c>
      <c r="F15" s="41">
        <f t="shared" si="1"/>
        <v>1278361.9174984128</v>
      </c>
      <c r="G15" s="41">
        <f t="shared" si="1"/>
        <v>1294073.7338292832</v>
      </c>
      <c r="H15" s="41">
        <f t="shared" si="1"/>
        <v>1255763.9843331934</v>
      </c>
      <c r="I15" s="41">
        <f t="shared" si="1"/>
        <v>1249362.1203528233</v>
      </c>
      <c r="J15" s="41">
        <f t="shared" si="1"/>
        <v>1491068.948762397</v>
      </c>
      <c r="K15" s="41">
        <f t="shared" si="1"/>
        <v>1342861.8117512802</v>
      </c>
      <c r="L15" s="41">
        <f t="shared" si="1"/>
        <v>1637643.9744719644</v>
      </c>
      <c r="M15" s="41">
        <f t="shared" si="1"/>
        <v>1866632.9998109499</v>
      </c>
      <c r="N15" s="41">
        <f t="shared" si="1"/>
        <v>1792656.2806882577</v>
      </c>
      <c r="O15" s="41">
        <f t="shared" si="1"/>
        <v>2060699.3956667634</v>
      </c>
      <c r="P15" s="41">
        <f t="shared" si="0"/>
        <v>18698285.966158707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39</v>
      </c>
      <c r="C17" s="25" t="s">
        <v>7</v>
      </c>
      <c r="D17" s="36">
        <v>31697.815508063555</v>
      </c>
      <c r="E17" s="36">
        <v>33101.868824187295</v>
      </c>
      <c r="F17" s="36">
        <v>31960.802467692331</v>
      </c>
      <c r="G17" s="36">
        <v>30987.806243959079</v>
      </c>
      <c r="H17" s="36">
        <v>31330.560019970089</v>
      </c>
      <c r="I17" s="36">
        <v>32260.015687236104</v>
      </c>
      <c r="J17" s="36">
        <v>38436.388030477385</v>
      </c>
      <c r="K17" s="36">
        <v>36238.918646221668</v>
      </c>
      <c r="L17" s="36">
        <v>33773.283836231392</v>
      </c>
      <c r="M17" s="36">
        <v>34997.031380014472</v>
      </c>
      <c r="N17" s="36">
        <v>33907.145774813172</v>
      </c>
      <c r="O17" s="36">
        <v>37916.702634590445</v>
      </c>
      <c r="P17" s="37">
        <f t="shared" ref="P17:P21" si="2">SUM(D17:O17)</f>
        <v>406608.33905345702</v>
      </c>
    </row>
    <row r="18" spans="1:16" x14ac:dyDescent="0.25">
      <c r="A18" s="21">
        <v>7</v>
      </c>
      <c r="B18" s="22" t="s">
        <v>40</v>
      </c>
      <c r="C18" s="25" t="s">
        <v>7</v>
      </c>
      <c r="D18" s="39">
        <v>471000.55243643554</v>
      </c>
      <c r="E18" s="39">
        <v>531449.31084266165</v>
      </c>
      <c r="F18" s="39">
        <v>298619.71285001695</v>
      </c>
      <c r="G18" s="39">
        <v>452672.72353076609</v>
      </c>
      <c r="H18" s="39">
        <v>418877.86496583768</v>
      </c>
      <c r="I18" s="39">
        <v>449797.12048778275</v>
      </c>
      <c r="J18" s="39">
        <v>507719.13179024629</v>
      </c>
      <c r="K18" s="39">
        <v>472791.56882846809</v>
      </c>
      <c r="L18" s="39">
        <v>470751.74730526126</v>
      </c>
      <c r="M18" s="39">
        <v>479862.28027731169</v>
      </c>
      <c r="N18" s="39">
        <v>440725.10250097991</v>
      </c>
      <c r="O18" s="39">
        <v>461636.40383388184</v>
      </c>
      <c r="P18" s="42">
        <f t="shared" si="2"/>
        <v>5455903.51964965</v>
      </c>
    </row>
    <row r="19" spans="1:16" x14ac:dyDescent="0.25">
      <c r="A19" s="21">
        <v>8</v>
      </c>
      <c r="B19" s="22" t="s">
        <v>41</v>
      </c>
      <c r="C19" s="25" t="s">
        <v>7</v>
      </c>
      <c r="D19" s="39">
        <v>830.74211142884826</v>
      </c>
      <c r="E19" s="39">
        <v>772.24607610548253</v>
      </c>
      <c r="F19" s="39">
        <v>264.47046946564325</v>
      </c>
      <c r="G19" s="39">
        <v>574.43043538467157</v>
      </c>
      <c r="H19" s="39">
        <v>377.6131812100748</v>
      </c>
      <c r="I19" s="39">
        <v>863.36751665047223</v>
      </c>
      <c r="J19" s="39">
        <v>445.43308104934181</v>
      </c>
      <c r="K19" s="39">
        <v>963.38315411541191</v>
      </c>
      <c r="L19" s="39">
        <v>914.70029949089587</v>
      </c>
      <c r="M19" s="39">
        <v>1001.3506609605848</v>
      </c>
      <c r="N19" s="39">
        <v>690.98384436652771</v>
      </c>
      <c r="O19" s="39">
        <v>859.80619379739971</v>
      </c>
      <c r="P19" s="42">
        <f t="shared" si="2"/>
        <v>8558.527024025354</v>
      </c>
    </row>
    <row r="20" spans="1:16" x14ac:dyDescent="0.25">
      <c r="A20" s="21">
        <v>9</v>
      </c>
      <c r="B20" s="22" t="s">
        <v>42</v>
      </c>
      <c r="C20" s="25" t="s">
        <v>7</v>
      </c>
      <c r="D20" s="39">
        <v>63369.306760292449</v>
      </c>
      <c r="E20" s="39">
        <v>62967.974229010084</v>
      </c>
      <c r="F20" s="39">
        <v>51735.945404404905</v>
      </c>
      <c r="G20" s="39">
        <v>67446.107127747673</v>
      </c>
      <c r="H20" s="39">
        <v>78233.635784925471</v>
      </c>
      <c r="I20" s="39">
        <v>60350.613342542994</v>
      </c>
      <c r="J20" s="39">
        <v>84614.109555199815</v>
      </c>
      <c r="K20" s="39">
        <v>62419.369237783438</v>
      </c>
      <c r="L20" s="39">
        <v>44417.571321975913</v>
      </c>
      <c r="M20" s="39">
        <v>46100.834269266139</v>
      </c>
      <c r="N20" s="39">
        <v>37957.938993544863</v>
      </c>
      <c r="O20" s="39">
        <v>51059.796018141787</v>
      </c>
      <c r="P20" s="42">
        <f t="shared" si="2"/>
        <v>710673.20204483555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566898.41681622039</v>
      </c>
      <c r="E21" s="43">
        <f t="shared" ref="E21:O21" si="3">SUM(E17:E20)</f>
        <v>628291.39997196454</v>
      </c>
      <c r="F21" s="43">
        <f t="shared" si="3"/>
        <v>382580.93119157985</v>
      </c>
      <c r="G21" s="43">
        <f t="shared" si="3"/>
        <v>551681.06733785756</v>
      </c>
      <c r="H21" s="43">
        <f t="shared" si="3"/>
        <v>528819.67395194329</v>
      </c>
      <c r="I21" s="43">
        <f t="shared" si="3"/>
        <v>543271.11703421234</v>
      </c>
      <c r="J21" s="43">
        <f t="shared" si="3"/>
        <v>631215.0624569729</v>
      </c>
      <c r="K21" s="43">
        <f t="shared" si="3"/>
        <v>572413.23986658861</v>
      </c>
      <c r="L21" s="43">
        <f t="shared" si="3"/>
        <v>549857.3027629595</v>
      </c>
      <c r="M21" s="43">
        <f t="shared" si="3"/>
        <v>561961.49658755295</v>
      </c>
      <c r="N21" s="43">
        <f t="shared" si="3"/>
        <v>513281.17111370445</v>
      </c>
      <c r="O21" s="43">
        <f t="shared" si="3"/>
        <v>551472.70868041145</v>
      </c>
      <c r="P21" s="43">
        <f t="shared" si="2"/>
        <v>6581743.587771968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43</v>
      </c>
      <c r="C23" s="25" t="s">
        <v>8</v>
      </c>
      <c r="D23" s="36">
        <v>852085.91097087436</v>
      </c>
      <c r="E23" s="36">
        <v>1128471.574411015</v>
      </c>
      <c r="F23" s="36">
        <v>725088.73952894297</v>
      </c>
      <c r="G23" s="36">
        <v>1244695.5544497615</v>
      </c>
      <c r="H23" s="36">
        <v>1283589.9856091244</v>
      </c>
      <c r="I23" s="36">
        <v>1350664.9826990683</v>
      </c>
      <c r="J23" s="36">
        <v>1233331.709007543</v>
      </c>
      <c r="K23" s="36">
        <v>1274991.380305446</v>
      </c>
      <c r="L23" s="36">
        <v>926005.51361471857</v>
      </c>
      <c r="M23" s="36">
        <v>916518.92195761402</v>
      </c>
      <c r="N23" s="36">
        <v>956747.99065244524</v>
      </c>
      <c r="O23" s="36">
        <v>897911.69246328669</v>
      </c>
      <c r="P23" s="37">
        <f>SUM(D23:O23)</f>
        <v>12790103.955669841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0</v>
      </c>
      <c r="E25" s="36">
        <v>0</v>
      </c>
      <c r="F25" s="36">
        <v>1054.7575715900316</v>
      </c>
      <c r="G25" s="36">
        <v>26928.54724484749</v>
      </c>
      <c r="H25" s="36">
        <v>29700.436410003698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7">
        <f>SUM(D25:O25)</f>
        <v>57683.74122644122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44</v>
      </c>
      <c r="C27" s="30"/>
      <c r="D27" s="45">
        <f>D25+D23+D21+D15+D11+D9</f>
        <v>6297813.314938141</v>
      </c>
      <c r="E27" s="45">
        <f>E25+E23+E21+E15+E11+E9</f>
        <v>5008505.6772821201</v>
      </c>
      <c r="F27" s="45">
        <f>F25+F23+F21+F15+F11+F9</f>
        <v>6212816.0140948035</v>
      </c>
      <c r="G27" s="45">
        <f>G25+G23+G21+G15+G11+G9</f>
        <v>7200935.1215195283</v>
      </c>
      <c r="H27" s="45">
        <f>H25+H23+H21+H15+H11+H9</f>
        <v>6655276.4552251091</v>
      </c>
      <c r="I27" s="45">
        <f>I25+I23+I21+I15+I11+I9</f>
        <v>5012505.312909429</v>
      </c>
      <c r="J27" s="45">
        <f>J25+J23+J21+J15+J11+J9</f>
        <v>5827193.822426524</v>
      </c>
      <c r="K27" s="45">
        <f>K25+K23+K21+K15+K11+K9</f>
        <v>5321055.4998284774</v>
      </c>
      <c r="L27" s="45">
        <f>L25+L23+L21+L15+L11+L9</f>
        <v>6039502.6493818313</v>
      </c>
      <c r="M27" s="45">
        <f>M25+M23+M21+M15+M11+M9</f>
        <v>6728934.531634694</v>
      </c>
      <c r="N27" s="45">
        <f>N25+N23+N21+N15+N11+N9</f>
        <v>6744540.5327148307</v>
      </c>
      <c r="O27" s="45">
        <f>O25+O23+O21+O15+O11+O9</f>
        <v>7242379.6059862934</v>
      </c>
      <c r="P27" s="45">
        <f>SUM(D27:O27)</f>
        <v>74291458.537941784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45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4">SUM(D29:O29)</f>
        <v>0</v>
      </c>
    </row>
    <row r="30" spans="1:16" x14ac:dyDescent="0.25">
      <c r="A30" s="21">
        <v>15</v>
      </c>
      <c r="B30" s="28" t="s">
        <v>46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4"/>
        <v>0</v>
      </c>
    </row>
    <row r="31" spans="1:16" x14ac:dyDescent="0.25">
      <c r="A31" s="21">
        <v>16</v>
      </c>
      <c r="B31" s="29" t="s">
        <v>47</v>
      </c>
      <c r="C31" s="31"/>
      <c r="D31" s="46">
        <f t="shared" ref="D31:O31" si="5">SUM(D29:D30)</f>
        <v>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  <c r="N31" s="46">
        <f t="shared" si="5"/>
        <v>0</v>
      </c>
      <c r="O31" s="37">
        <f t="shared" si="5"/>
        <v>0</v>
      </c>
      <c r="P31" s="37">
        <f t="shared" si="4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48</v>
      </c>
      <c r="C33" s="31"/>
      <c r="D33" s="48">
        <f t="shared" ref="D33:O33" si="6">+D31+D27</f>
        <v>6297813.314938141</v>
      </c>
      <c r="E33" s="48">
        <f t="shared" si="6"/>
        <v>5008505.6772821201</v>
      </c>
      <c r="F33" s="48">
        <f t="shared" si="6"/>
        <v>6212816.0140948035</v>
      </c>
      <c r="G33" s="48">
        <f t="shared" si="6"/>
        <v>7200935.1215195283</v>
      </c>
      <c r="H33" s="48">
        <f t="shared" si="6"/>
        <v>6655276.4552251091</v>
      </c>
      <c r="I33" s="48">
        <f t="shared" si="6"/>
        <v>5012505.312909429</v>
      </c>
      <c r="J33" s="48">
        <f t="shared" si="6"/>
        <v>5827193.822426524</v>
      </c>
      <c r="K33" s="48">
        <f t="shared" si="6"/>
        <v>5321055.4998284774</v>
      </c>
      <c r="L33" s="48">
        <f t="shared" si="6"/>
        <v>6039502.6493818313</v>
      </c>
      <c r="M33" s="48">
        <f t="shared" si="6"/>
        <v>6728934.531634694</v>
      </c>
      <c r="N33" s="48">
        <f t="shared" si="6"/>
        <v>6744540.5327148307</v>
      </c>
      <c r="O33" s="48">
        <f t="shared" si="6"/>
        <v>7242379.6059862934</v>
      </c>
      <c r="P33" s="48">
        <f>SUM(D33:O33)</f>
        <v>74291458.537941784</v>
      </c>
    </row>
    <row r="34" spans="1:16" ht="15.75" thickTop="1" x14ac:dyDescent="0.25"/>
    <row r="35" spans="1:16" hidden="1" x14ac:dyDescent="0.25"/>
    <row r="37" spans="1:16" x14ac:dyDescent="0.25">
      <c r="A37" s="10"/>
      <c r="B37" s="54" t="s">
        <v>13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14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1"/>
    </row>
    <row r="39" spans="1:16" x14ac:dyDescent="0.25">
      <c r="A39" s="10"/>
      <c r="B39" s="54" t="s">
        <v>18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3" t="s">
        <v>6</v>
      </c>
    </row>
    <row r="40" spans="1:16" x14ac:dyDescent="0.25">
      <c r="A40" s="10"/>
      <c r="B40" s="55" t="s">
        <v>23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8" t="s">
        <v>6</v>
      </c>
    </row>
    <row r="41" spans="1:16" x14ac:dyDescent="0.25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0"/>
      <c r="B42" s="17"/>
      <c r="C42" s="17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8"/>
    </row>
    <row r="43" spans="1:16" x14ac:dyDescent="0.25">
      <c r="A43" s="15" t="s">
        <v>0</v>
      </c>
      <c r="B43" s="17" t="s">
        <v>1</v>
      </c>
      <c r="C43" s="34" t="s">
        <v>2</v>
      </c>
      <c r="D43" s="19" t="s">
        <v>24</v>
      </c>
      <c r="E43" s="19" t="s">
        <v>25</v>
      </c>
      <c r="F43" s="19" t="s">
        <v>26</v>
      </c>
      <c r="G43" s="19" t="s">
        <v>27</v>
      </c>
      <c r="H43" s="19" t="s">
        <v>28</v>
      </c>
      <c r="I43" s="19" t="s">
        <v>29</v>
      </c>
      <c r="J43" s="19" t="s">
        <v>30</v>
      </c>
      <c r="K43" s="19" t="s">
        <v>31</v>
      </c>
      <c r="L43" s="19" t="s">
        <v>32</v>
      </c>
      <c r="M43" s="19" t="s">
        <v>33</v>
      </c>
      <c r="N43" s="19" t="s">
        <v>34</v>
      </c>
      <c r="O43" s="19" t="s">
        <v>35</v>
      </c>
      <c r="P43" s="20" t="s">
        <v>10</v>
      </c>
    </row>
    <row r="44" spans="1:16" x14ac:dyDescent="0.25">
      <c r="A44" s="10"/>
      <c r="B44" s="17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0"/>
      <c r="P44" s="20"/>
    </row>
    <row r="45" spans="1:16" x14ac:dyDescent="0.25">
      <c r="A45" s="21" t="s">
        <v>3</v>
      </c>
      <c r="B45" s="22" t="s">
        <v>4</v>
      </c>
      <c r="C45" s="23" t="s">
        <v>5</v>
      </c>
      <c r="D45" s="36">
        <v>2714734.3026289255</v>
      </c>
      <c r="E45" s="36">
        <v>1404193.1269205692</v>
      </c>
      <c r="F45" s="36">
        <v>3421797.2687548352</v>
      </c>
      <c r="G45" s="36">
        <v>3649839.4377630795</v>
      </c>
      <c r="H45" s="36">
        <v>3168805.1878733337</v>
      </c>
      <c r="I45" s="36">
        <v>1642429.1076677782</v>
      </c>
      <c r="J45" s="36">
        <v>2182515.5725243185</v>
      </c>
      <c r="K45" s="36">
        <v>1873691.8988012299</v>
      </c>
      <c r="L45" s="36">
        <v>2582094.3747568079</v>
      </c>
      <c r="M45" s="36">
        <v>2987631.6286255536</v>
      </c>
      <c r="N45" s="36">
        <v>3082209.5228831889</v>
      </c>
      <c r="O45" s="36">
        <v>3296512.0379567198</v>
      </c>
      <c r="P45" s="37">
        <f>SUM(D45:O45)</f>
        <v>32006453.467156336</v>
      </c>
    </row>
    <row r="46" spans="1:16" x14ac:dyDescent="0.25">
      <c r="A46" s="24"/>
      <c r="B46" s="22"/>
      <c r="C46" s="23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7"/>
      <c r="P46" s="37"/>
    </row>
    <row r="47" spans="1:16" x14ac:dyDescent="0.25">
      <c r="A47" s="21">
        <v>2</v>
      </c>
      <c r="B47" s="22" t="s">
        <v>36</v>
      </c>
      <c r="C47" s="23" t="s">
        <v>5</v>
      </c>
      <c r="D47" s="36">
        <v>109998.79676360499</v>
      </c>
      <c r="E47" s="36">
        <v>90357.622627897319</v>
      </c>
      <c r="F47" s="36">
        <v>92980.050146262132</v>
      </c>
      <c r="G47" s="36">
        <v>101808.48882908911</v>
      </c>
      <c r="H47" s="36">
        <v>99454.272581106023</v>
      </c>
      <c r="I47" s="36">
        <v>74850.277913198341</v>
      </c>
      <c r="J47" s="36">
        <v>88174.572541334172</v>
      </c>
      <c r="K47" s="36">
        <v>83908.281180912047</v>
      </c>
      <c r="L47" s="36">
        <v>106078.80276043098</v>
      </c>
      <c r="M47" s="36">
        <v>121155.12092066888</v>
      </c>
      <c r="N47" s="36">
        <v>116643.07779521588</v>
      </c>
      <c r="O47" s="36">
        <v>132425.65364326257</v>
      </c>
      <c r="P47" s="37">
        <f>SUM(D47:O47)</f>
        <v>1217835.0177029825</v>
      </c>
    </row>
    <row r="48" spans="1:16" x14ac:dyDescent="0.25">
      <c r="A48" s="21"/>
      <c r="B48" s="22"/>
      <c r="C48" s="2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spans="1:16" x14ac:dyDescent="0.25">
      <c r="A49" s="21">
        <v>3</v>
      </c>
      <c r="B49" s="22" t="s">
        <v>37</v>
      </c>
      <c r="C49" s="25" t="s">
        <v>5</v>
      </c>
      <c r="D49" s="39">
        <v>1474528.0313123104</v>
      </c>
      <c r="E49" s="39">
        <v>1293360.8954244168</v>
      </c>
      <c r="F49" s="39">
        <v>1063407.3736938406</v>
      </c>
      <c r="G49" s="39">
        <v>1049689.6098817124</v>
      </c>
      <c r="H49" s="39">
        <v>1020839.5578211368</v>
      </c>
      <c r="I49" s="39">
        <v>995102.43006676703</v>
      </c>
      <c r="J49" s="39">
        <v>1192054.5162049818</v>
      </c>
      <c r="K49" s="39">
        <v>1088168.6578898707</v>
      </c>
      <c r="L49" s="39">
        <v>1351498.4708732057</v>
      </c>
      <c r="M49" s="39">
        <v>1548074.0801954018</v>
      </c>
      <c r="N49" s="39">
        <v>1478152.5427768023</v>
      </c>
      <c r="O49" s="39">
        <v>1695930.7617454929</v>
      </c>
      <c r="P49" s="37">
        <f t="shared" ref="P49:P51" si="7">SUM(D49:O49)</f>
        <v>15250806.927885938</v>
      </c>
    </row>
    <row r="50" spans="1:16" x14ac:dyDescent="0.25">
      <c r="A50" s="21">
        <v>4</v>
      </c>
      <c r="B50" s="22" t="s">
        <v>38</v>
      </c>
      <c r="C50" s="25" t="s">
        <v>5</v>
      </c>
      <c r="D50" s="40">
        <v>183020.40865871147</v>
      </c>
      <c r="E50" s="40">
        <v>199531.92526712356</v>
      </c>
      <c r="F50" s="40">
        <v>111050.27557385877</v>
      </c>
      <c r="G50" s="40">
        <v>139202.81143378842</v>
      </c>
      <c r="H50" s="40">
        <v>132856.90081639413</v>
      </c>
      <c r="I50" s="40">
        <v>152712.50314482662</v>
      </c>
      <c r="J50" s="40">
        <v>177821.50128966392</v>
      </c>
      <c r="K50" s="40">
        <v>145546.38409684479</v>
      </c>
      <c r="L50" s="40">
        <v>153039.06757246976</v>
      </c>
      <c r="M50" s="40">
        <v>166840.43266296785</v>
      </c>
      <c r="N50" s="40">
        <v>168798.02149070858</v>
      </c>
      <c r="O50" s="40">
        <v>197276.58036477488</v>
      </c>
      <c r="P50" s="40">
        <f t="shared" si="7"/>
        <v>1927696.8123721327</v>
      </c>
    </row>
    <row r="51" spans="1:16" x14ac:dyDescent="0.25">
      <c r="A51" s="21">
        <v>5</v>
      </c>
      <c r="B51" s="26" t="s">
        <v>11</v>
      </c>
      <c r="C51" s="23"/>
      <c r="D51" s="41">
        <f>SUM(D49:D50)</f>
        <v>1657548.4399710218</v>
      </c>
      <c r="E51" s="41">
        <f t="shared" ref="E51:O51" si="8">SUM(E49:E50)</f>
        <v>1492892.8206915404</v>
      </c>
      <c r="F51" s="41">
        <f t="shared" si="8"/>
        <v>1174457.6492676993</v>
      </c>
      <c r="G51" s="41">
        <f t="shared" si="8"/>
        <v>1188892.4213155007</v>
      </c>
      <c r="H51" s="41">
        <f t="shared" si="8"/>
        <v>1153696.4586375309</v>
      </c>
      <c r="I51" s="41">
        <f t="shared" si="8"/>
        <v>1147814.9332115937</v>
      </c>
      <c r="J51" s="41">
        <f t="shared" si="8"/>
        <v>1369876.0174946457</v>
      </c>
      <c r="K51" s="41">
        <f t="shared" si="8"/>
        <v>1233715.0419867155</v>
      </c>
      <c r="L51" s="41">
        <f t="shared" si="8"/>
        <v>1504537.5384456755</v>
      </c>
      <c r="M51" s="41">
        <f t="shared" si="8"/>
        <v>1714914.5128583696</v>
      </c>
      <c r="N51" s="41">
        <f t="shared" si="8"/>
        <v>1646950.564267511</v>
      </c>
      <c r="O51" s="41">
        <f t="shared" si="8"/>
        <v>1893207.3421102678</v>
      </c>
      <c r="P51" s="41">
        <f t="shared" si="7"/>
        <v>17178503.740258072</v>
      </c>
    </row>
    <row r="52" spans="1:16" x14ac:dyDescent="0.25">
      <c r="A52" s="24"/>
      <c r="B52" s="27"/>
      <c r="C52" s="2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6"/>
      <c r="P52" s="36"/>
    </row>
    <row r="53" spans="1:16" x14ac:dyDescent="0.25">
      <c r="A53" s="21">
        <v>6</v>
      </c>
      <c r="B53" s="22" t="s">
        <v>39</v>
      </c>
      <c r="C53" s="25" t="s">
        <v>7</v>
      </c>
      <c r="D53" s="36">
        <v>29852.062484638365</v>
      </c>
      <c r="E53" s="36">
        <v>31174.358253380764</v>
      </c>
      <c r="F53" s="36">
        <v>30099.735802993255</v>
      </c>
      <c r="G53" s="36">
        <v>29183.396818661251</v>
      </c>
      <c r="H53" s="36">
        <v>29506.192158791979</v>
      </c>
      <c r="I53" s="36">
        <v>30381.525938461054</v>
      </c>
      <c r="J53" s="36">
        <v>36198.250219411188</v>
      </c>
      <c r="K53" s="36">
        <v>34128.738730513986</v>
      </c>
      <c r="L53" s="36">
        <v>31806.676997477367</v>
      </c>
      <c r="M53" s="36">
        <v>32959.166137719287</v>
      </c>
      <c r="N53" s="36">
        <v>31932.744200873185</v>
      </c>
      <c r="O53" s="36">
        <v>35708.825927493519</v>
      </c>
      <c r="P53" s="37">
        <f t="shared" ref="P53:P57" si="9">SUM(D53:O53)</f>
        <v>382931.67367041518</v>
      </c>
    </row>
    <row r="54" spans="1:16" x14ac:dyDescent="0.25">
      <c r="A54" s="21">
        <v>7</v>
      </c>
      <c r="B54" s="22" t="s">
        <v>40</v>
      </c>
      <c r="C54" s="25" t="s">
        <v>7</v>
      </c>
      <c r="D54" s="39">
        <v>443574.35035404493</v>
      </c>
      <c r="E54" s="39">
        <v>500503.19810389762</v>
      </c>
      <c r="F54" s="39">
        <v>281231.18846709636</v>
      </c>
      <c r="G54" s="39">
        <v>426313.74469620001</v>
      </c>
      <c r="H54" s="39">
        <v>394486.74925914477</v>
      </c>
      <c r="I54" s="39">
        <v>423605.58704103553</v>
      </c>
      <c r="J54" s="39">
        <v>478154.81931217451</v>
      </c>
      <c r="K54" s="39">
        <v>445261.07647030888</v>
      </c>
      <c r="L54" s="39">
        <v>443340.03306109383</v>
      </c>
      <c r="M54" s="39">
        <v>451920.06279471447</v>
      </c>
      <c r="N54" s="39">
        <v>415061.82957816211</v>
      </c>
      <c r="O54" s="39">
        <v>434755.47294188506</v>
      </c>
      <c r="P54" s="42">
        <f t="shared" si="9"/>
        <v>5138208.1120797573</v>
      </c>
    </row>
    <row r="55" spans="1:16" x14ac:dyDescent="0.25">
      <c r="A55" s="21">
        <v>8</v>
      </c>
      <c r="B55" s="22" t="s">
        <v>41</v>
      </c>
      <c r="C55" s="25" t="s">
        <v>7</v>
      </c>
      <c r="D55" s="39">
        <v>782.36828063705889</v>
      </c>
      <c r="E55" s="39">
        <v>727.27844956865272</v>
      </c>
      <c r="F55" s="39">
        <v>249.07044391818206</v>
      </c>
      <c r="G55" s="39">
        <v>540.98154637246216</v>
      </c>
      <c r="H55" s="39">
        <v>355.62489401323637</v>
      </c>
      <c r="I55" s="39">
        <v>813.09391960151072</v>
      </c>
      <c r="J55" s="39">
        <v>419.4956641358238</v>
      </c>
      <c r="K55" s="39">
        <v>907.28568049067349</v>
      </c>
      <c r="L55" s="39">
        <v>861.43761194437513</v>
      </c>
      <c r="M55" s="39">
        <v>943.04235231683492</v>
      </c>
      <c r="N55" s="39">
        <v>650.74808996405045</v>
      </c>
      <c r="O55" s="39">
        <v>809.73997136773278</v>
      </c>
      <c r="P55" s="42">
        <f t="shared" si="9"/>
        <v>8060.1669043305938</v>
      </c>
    </row>
    <row r="56" spans="1:16" x14ac:dyDescent="0.25">
      <c r="A56" s="21">
        <v>9</v>
      </c>
      <c r="B56" s="22" t="s">
        <v>42</v>
      </c>
      <c r="C56" s="25" t="s">
        <v>7</v>
      </c>
      <c r="D56" s="39">
        <v>59679.3335659121</v>
      </c>
      <c r="E56" s="39">
        <v>59301.370491519432</v>
      </c>
      <c r="F56" s="39">
        <v>48723.378887773848</v>
      </c>
      <c r="G56" s="39">
        <v>63518.74323361335</v>
      </c>
      <c r="H56" s="39">
        <v>73678.117763601957</v>
      </c>
      <c r="I56" s="39">
        <v>56836.41763986984</v>
      </c>
      <c r="J56" s="39">
        <v>79687.058714860017</v>
      </c>
      <c r="K56" s="39">
        <v>58784.710582469357</v>
      </c>
      <c r="L56" s="39">
        <v>41831.151240759733</v>
      </c>
      <c r="M56" s="39">
        <v>43416.39835874494</v>
      </c>
      <c r="N56" s="39">
        <v>35747.661107281638</v>
      </c>
      <c r="O56" s="39">
        <v>48086.60145045985</v>
      </c>
      <c r="P56" s="42">
        <f t="shared" si="9"/>
        <v>669290.94303686603</v>
      </c>
    </row>
    <row r="57" spans="1:16" x14ac:dyDescent="0.25">
      <c r="A57" s="21">
        <v>10</v>
      </c>
      <c r="B57" s="22" t="s">
        <v>12</v>
      </c>
      <c r="C57" s="25"/>
      <c r="D57" s="43">
        <f>SUM(D53:D56)</f>
        <v>533888.11468523252</v>
      </c>
      <c r="E57" s="43">
        <f t="shared" ref="E57:O57" si="10">SUM(E53:E56)</f>
        <v>591706.20529836649</v>
      </c>
      <c r="F57" s="43">
        <f t="shared" si="10"/>
        <v>360303.37360178161</v>
      </c>
      <c r="G57" s="43">
        <f t="shared" si="10"/>
        <v>519556.8662948471</v>
      </c>
      <c r="H57" s="43">
        <f t="shared" si="10"/>
        <v>498026.68407555192</v>
      </c>
      <c r="I57" s="43">
        <f t="shared" si="10"/>
        <v>511636.62453896797</v>
      </c>
      <c r="J57" s="43">
        <f t="shared" si="10"/>
        <v>594459.62391058158</v>
      </c>
      <c r="K57" s="43">
        <f t="shared" si="10"/>
        <v>539081.81146378291</v>
      </c>
      <c r="L57" s="43">
        <f t="shared" si="10"/>
        <v>517839.29891127534</v>
      </c>
      <c r="M57" s="43">
        <f t="shared" si="10"/>
        <v>529238.66964349558</v>
      </c>
      <c r="N57" s="43">
        <f t="shared" si="10"/>
        <v>483392.98297628097</v>
      </c>
      <c r="O57" s="43">
        <f t="shared" si="10"/>
        <v>519360.64029120619</v>
      </c>
      <c r="P57" s="43">
        <f t="shared" si="9"/>
        <v>6198490.8956913706</v>
      </c>
    </row>
    <row r="58" spans="1:16" x14ac:dyDescent="0.25">
      <c r="A58" s="21"/>
      <c r="B58" s="22"/>
      <c r="C58" s="25"/>
      <c r="D58" s="4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x14ac:dyDescent="0.25">
      <c r="A59" s="21">
        <v>11</v>
      </c>
      <c r="B59" s="26" t="s">
        <v>43</v>
      </c>
      <c r="C59" s="25" t="s">
        <v>8</v>
      </c>
      <c r="D59" s="36">
        <v>829409.84578705626</v>
      </c>
      <c r="E59" s="36">
        <v>1098440.2188282507</v>
      </c>
      <c r="F59" s="36">
        <v>705792.37596992531</v>
      </c>
      <c r="G59" s="36">
        <v>1211571.1978991975</v>
      </c>
      <c r="H59" s="36">
        <v>1249430.5542557717</v>
      </c>
      <c r="I59" s="36">
        <v>1314720.5235842743</v>
      </c>
      <c r="J59" s="36">
        <v>1200509.7718452928</v>
      </c>
      <c r="K59" s="36">
        <v>1241060.7786180291</v>
      </c>
      <c r="L59" s="36">
        <v>901362.26917546149</v>
      </c>
      <c r="M59" s="36">
        <v>892128.13864700496</v>
      </c>
      <c r="N59" s="36">
        <v>931286.61460903427</v>
      </c>
      <c r="O59" s="36">
        <v>874016.09249448741</v>
      </c>
      <c r="P59" s="37">
        <f>SUM(D59:O59)</f>
        <v>12449728.381713787</v>
      </c>
    </row>
    <row r="60" spans="1:16" x14ac:dyDescent="0.25">
      <c r="A60" s="24"/>
      <c r="B60" s="22"/>
      <c r="C60" s="2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6"/>
    </row>
    <row r="61" spans="1:16" x14ac:dyDescent="0.25">
      <c r="A61" s="21">
        <v>12</v>
      </c>
      <c r="B61" s="28" t="s">
        <v>9</v>
      </c>
      <c r="C61" s="25" t="s">
        <v>5</v>
      </c>
      <c r="D61" s="36">
        <v>0</v>
      </c>
      <c r="E61" s="36">
        <v>0</v>
      </c>
      <c r="F61" s="36">
        <v>969.0276917048991</v>
      </c>
      <c r="G61" s="36">
        <v>24739.815745815216</v>
      </c>
      <c r="H61" s="36">
        <v>27286.407902839488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7">
        <f>SUM(D61:O61)</f>
        <v>52995.251340359602</v>
      </c>
    </row>
    <row r="62" spans="1:16" x14ac:dyDescent="0.25">
      <c r="A62" s="21"/>
      <c r="B62" s="22"/>
      <c r="C62" s="2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36"/>
    </row>
    <row r="63" spans="1:16" x14ac:dyDescent="0.25">
      <c r="A63" s="21">
        <v>13</v>
      </c>
      <c r="B63" s="29" t="s">
        <v>44</v>
      </c>
      <c r="C63" s="30"/>
      <c r="D63" s="45">
        <f>D61+D59+D57+D51+D47+D45</f>
        <v>5845579.4998358414</v>
      </c>
      <c r="E63" s="45">
        <f t="shared" ref="E63:O63" si="11">E61+E59+E57+E51+E47+E45</f>
        <v>4677589.9943666235</v>
      </c>
      <c r="F63" s="45">
        <f t="shared" si="11"/>
        <v>5756299.7454322083</v>
      </c>
      <c r="G63" s="45">
        <f t="shared" si="11"/>
        <v>6696408.2278475296</v>
      </c>
      <c r="H63" s="45">
        <f t="shared" si="11"/>
        <v>6196699.5653261337</v>
      </c>
      <c r="I63" s="45">
        <f t="shared" si="11"/>
        <v>4691451.4669158123</v>
      </c>
      <c r="J63" s="45">
        <f t="shared" si="11"/>
        <v>5435535.558316173</v>
      </c>
      <c r="K63" s="45">
        <f t="shared" si="11"/>
        <v>4971457.8120506695</v>
      </c>
      <c r="L63" s="45">
        <f t="shared" si="11"/>
        <v>5611912.2840496516</v>
      </c>
      <c r="M63" s="45">
        <f t="shared" si="11"/>
        <v>6245068.0706950929</v>
      </c>
      <c r="N63" s="45">
        <f t="shared" si="11"/>
        <v>6260482.7625312312</v>
      </c>
      <c r="O63" s="45">
        <f t="shared" si="11"/>
        <v>6715521.7664959431</v>
      </c>
      <c r="P63" s="45">
        <f>SUM(D63:O63)</f>
        <v>69104006.753862917</v>
      </c>
    </row>
    <row r="64" spans="1:16" x14ac:dyDescent="0.25">
      <c r="A64" s="24"/>
      <c r="B64" s="30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37"/>
      <c r="P64" s="37"/>
    </row>
    <row r="65" spans="1:16" x14ac:dyDescent="0.25">
      <c r="A65" s="21">
        <v>14</v>
      </c>
      <c r="B65" s="28" t="s">
        <v>45</v>
      </c>
      <c r="C65" s="25" t="s">
        <v>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7">
        <f t="shared" ref="P65:P67" si="12">SUM(D65:O65)</f>
        <v>0</v>
      </c>
    </row>
    <row r="66" spans="1:16" x14ac:dyDescent="0.25">
      <c r="A66" s="21">
        <v>15</v>
      </c>
      <c r="B66" s="28" t="s">
        <v>46</v>
      </c>
      <c r="C66" s="25" t="s">
        <v>8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7">
        <f t="shared" si="12"/>
        <v>0</v>
      </c>
    </row>
    <row r="67" spans="1:16" x14ac:dyDescent="0.25">
      <c r="A67" s="21">
        <v>16</v>
      </c>
      <c r="B67" s="29" t="s">
        <v>47</v>
      </c>
      <c r="C67" s="31"/>
      <c r="D67" s="46">
        <f t="shared" ref="D67:O67" si="13">SUM(D65:D66)</f>
        <v>0</v>
      </c>
      <c r="E67" s="46">
        <f t="shared" si="13"/>
        <v>0</v>
      </c>
      <c r="F67" s="46">
        <f t="shared" si="13"/>
        <v>0</v>
      </c>
      <c r="G67" s="46">
        <f t="shared" si="13"/>
        <v>0</v>
      </c>
      <c r="H67" s="46">
        <f t="shared" si="13"/>
        <v>0</v>
      </c>
      <c r="I67" s="46">
        <f t="shared" si="13"/>
        <v>0</v>
      </c>
      <c r="J67" s="46">
        <f t="shared" si="13"/>
        <v>0</v>
      </c>
      <c r="K67" s="46">
        <f t="shared" si="13"/>
        <v>0</v>
      </c>
      <c r="L67" s="46">
        <f t="shared" si="13"/>
        <v>0</v>
      </c>
      <c r="M67" s="46">
        <f t="shared" si="13"/>
        <v>0</v>
      </c>
      <c r="N67" s="46">
        <f t="shared" si="13"/>
        <v>0</v>
      </c>
      <c r="O67" s="37">
        <f t="shared" si="13"/>
        <v>0</v>
      </c>
      <c r="P67" s="37">
        <f t="shared" si="12"/>
        <v>0</v>
      </c>
    </row>
    <row r="68" spans="1:16" x14ac:dyDescent="0.25">
      <c r="A68" s="21"/>
      <c r="B68" s="22"/>
      <c r="C68" s="32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36"/>
    </row>
    <row r="69" spans="1:16" ht="15.75" thickBot="1" x14ac:dyDescent="0.3">
      <c r="A69" s="21">
        <v>17</v>
      </c>
      <c r="B69" s="33" t="s">
        <v>48</v>
      </c>
      <c r="C69" s="31"/>
      <c r="D69" s="48">
        <f t="shared" ref="D69:O69" si="14">+D67+D63</f>
        <v>5845579.4998358414</v>
      </c>
      <c r="E69" s="48">
        <f t="shared" si="14"/>
        <v>4677589.9943666235</v>
      </c>
      <c r="F69" s="48">
        <f t="shared" si="14"/>
        <v>5756299.7454322083</v>
      </c>
      <c r="G69" s="48">
        <f t="shared" si="14"/>
        <v>6696408.2278475296</v>
      </c>
      <c r="H69" s="48">
        <f t="shared" si="14"/>
        <v>6196699.5653261337</v>
      </c>
      <c r="I69" s="48">
        <f t="shared" si="14"/>
        <v>4691451.4669158123</v>
      </c>
      <c r="J69" s="48">
        <f t="shared" si="14"/>
        <v>5435535.558316173</v>
      </c>
      <c r="K69" s="48">
        <f t="shared" si="14"/>
        <v>4971457.8120506695</v>
      </c>
      <c r="L69" s="48">
        <f t="shared" si="14"/>
        <v>5611912.2840496516</v>
      </c>
      <c r="M69" s="48">
        <f t="shared" si="14"/>
        <v>6245068.0706950929</v>
      </c>
      <c r="N69" s="48">
        <f t="shared" si="14"/>
        <v>6260482.7625312312</v>
      </c>
      <c r="O69" s="48">
        <f t="shared" si="14"/>
        <v>6715521.7664959431</v>
      </c>
      <c r="P69" s="48">
        <f>SUM(D69:O69)</f>
        <v>69104006.753862917</v>
      </c>
    </row>
    <row r="70" spans="1:16" ht="15.75" thickTop="1" x14ac:dyDescent="0.25"/>
  </sheetData>
  <mergeCells count="8">
    <mergeCell ref="B1:O1"/>
    <mergeCell ref="B37:O37"/>
    <mergeCell ref="B40:O40"/>
    <mergeCell ref="B2:O2"/>
    <mergeCell ref="B3:O3"/>
    <mergeCell ref="B4:O4"/>
    <mergeCell ref="B38:O38"/>
    <mergeCell ref="B39:O39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"/>
  <sheetViews>
    <sheetView tabSelected="1" zoomScale="80" zoomScaleNormal="80" workbookViewId="0">
      <selection activeCell="A36" sqref="A36:XFD36"/>
    </sheetView>
  </sheetViews>
  <sheetFormatPr defaultColWidth="9.140625" defaultRowHeight="15" x14ac:dyDescent="0.25"/>
  <cols>
    <col min="1" max="1" width="7.28515625" style="16" bestFit="1" customWidth="1"/>
    <col min="2" max="2" width="31.140625" style="12" bestFit="1" customWidth="1"/>
    <col min="3" max="3" width="7.28515625" style="12" bestFit="1" customWidth="1"/>
    <col min="4" max="15" width="15" style="12" bestFit="1" customWidth="1"/>
    <col min="16" max="16" width="16.140625" style="12" bestFit="1" customWidth="1"/>
    <col min="17" max="16384" width="9.140625" style="12"/>
  </cols>
  <sheetData>
    <row r="1" spans="1:17" x14ac:dyDescent="0.25">
      <c r="A1" s="10"/>
      <c r="B1" s="54" t="s">
        <v>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1"/>
    </row>
    <row r="2" spans="1:17" x14ac:dyDescent="0.25">
      <c r="A2" s="10"/>
      <c r="B2" s="54" t="s">
        <v>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1"/>
    </row>
    <row r="3" spans="1:17" x14ac:dyDescent="0.25">
      <c r="A3" s="10"/>
      <c r="B3" s="54" t="s">
        <v>19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3" t="s">
        <v>6</v>
      </c>
    </row>
    <row r="4" spans="1:17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8" t="s">
        <v>6</v>
      </c>
    </row>
    <row r="5" spans="1:17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</row>
    <row r="6" spans="1:17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20" t="s">
        <v>10</v>
      </c>
      <c r="Q7" s="8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20"/>
    </row>
    <row r="9" spans="1:17" x14ac:dyDescent="0.25">
      <c r="A9" s="21" t="s">
        <v>3</v>
      </c>
      <c r="B9" s="22" t="s">
        <v>4</v>
      </c>
      <c r="C9" s="23" t="s">
        <v>5</v>
      </c>
      <c r="D9" s="36">
        <v>1108555233.6924</v>
      </c>
      <c r="E9" s="36">
        <v>855802359.66779995</v>
      </c>
      <c r="F9" s="36">
        <v>995941243.77339995</v>
      </c>
      <c r="G9" s="36">
        <v>1068115060.8081999</v>
      </c>
      <c r="H9" s="36">
        <v>940063564.08719993</v>
      </c>
      <c r="I9" s="36">
        <v>862955641.93919992</v>
      </c>
      <c r="J9" s="36">
        <v>850322589.06679988</v>
      </c>
      <c r="K9" s="36">
        <v>928453176.82499993</v>
      </c>
      <c r="L9" s="36">
        <v>1254267876.2082</v>
      </c>
      <c r="M9" s="36">
        <v>1638153821.7847998</v>
      </c>
      <c r="N9" s="36">
        <v>1654589323.4455998</v>
      </c>
      <c r="O9" s="36">
        <v>1604728370.1835999</v>
      </c>
      <c r="P9" s="37">
        <f>SUM(D9:O9)</f>
        <v>13761948261.482199</v>
      </c>
    </row>
    <row r="10" spans="1:17" x14ac:dyDescent="0.25">
      <c r="A10" s="24"/>
      <c r="B10" s="22"/>
      <c r="C10" s="23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7"/>
    </row>
    <row r="11" spans="1:17" x14ac:dyDescent="0.25">
      <c r="A11" s="21">
        <v>2</v>
      </c>
      <c r="B11" s="22" t="s">
        <v>49</v>
      </c>
      <c r="C11" s="23" t="s">
        <v>5</v>
      </c>
      <c r="D11" s="36">
        <v>61329508.168999992</v>
      </c>
      <c r="E11" s="36">
        <v>54298360.150999993</v>
      </c>
      <c r="F11" s="36">
        <v>57564638.158199996</v>
      </c>
      <c r="G11" s="36">
        <v>58245339.473199993</v>
      </c>
      <c r="H11" s="36">
        <v>53356670.009999998</v>
      </c>
      <c r="I11" s="36">
        <v>52548089.654799998</v>
      </c>
      <c r="J11" s="36">
        <v>52256530.432999998</v>
      </c>
      <c r="K11" s="36">
        <v>54743809.112799995</v>
      </c>
      <c r="L11" s="36">
        <v>62570721.944199994</v>
      </c>
      <c r="M11" s="36">
        <v>72927429.394400001</v>
      </c>
      <c r="N11" s="36">
        <v>75400441.8178</v>
      </c>
      <c r="O11" s="36">
        <v>74695528.9472</v>
      </c>
      <c r="P11" s="37">
        <f>SUM(D11:O11)</f>
        <v>729937067.26559997</v>
      </c>
    </row>
    <row r="12" spans="1:17" x14ac:dyDescent="0.25">
      <c r="A12" s="21"/>
      <c r="B12" s="22"/>
      <c r="C12" s="23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3" spans="1:17" x14ac:dyDescent="0.25">
      <c r="A13" s="21">
        <v>3</v>
      </c>
      <c r="B13" s="22" t="s">
        <v>50</v>
      </c>
      <c r="C13" s="25" t="s">
        <v>5</v>
      </c>
      <c r="D13" s="39">
        <v>728320607.71599996</v>
      </c>
      <c r="E13" s="39">
        <v>625146961.85159993</v>
      </c>
      <c r="F13" s="39">
        <v>628086391.38599992</v>
      </c>
      <c r="G13" s="39">
        <v>630249116.49659991</v>
      </c>
      <c r="H13" s="39">
        <v>575705822.16619992</v>
      </c>
      <c r="I13" s="39">
        <v>607278626.26659989</v>
      </c>
      <c r="J13" s="39">
        <v>624299030.45959997</v>
      </c>
      <c r="K13" s="39">
        <v>659035460.2601999</v>
      </c>
      <c r="L13" s="39">
        <v>770019340.57739997</v>
      </c>
      <c r="M13" s="39">
        <v>891990248.24519992</v>
      </c>
      <c r="N13" s="39">
        <v>904977229.23779988</v>
      </c>
      <c r="O13" s="39">
        <v>911161141.64759994</v>
      </c>
      <c r="P13" s="37">
        <f t="shared" ref="P13:P15" si="0">SUM(D13:O13)</f>
        <v>8556269976.3107996</v>
      </c>
    </row>
    <row r="14" spans="1:17" x14ac:dyDescent="0.25">
      <c r="A14" s="21">
        <v>4</v>
      </c>
      <c r="B14" s="22" t="s">
        <v>38</v>
      </c>
      <c r="C14" s="25" t="s">
        <v>5</v>
      </c>
      <c r="D14" s="40">
        <v>120611057.91539998</v>
      </c>
      <c r="E14" s="40">
        <v>106655739.4452</v>
      </c>
      <c r="F14" s="40">
        <v>111356009.58239999</v>
      </c>
      <c r="G14" s="40">
        <v>106382844.86579999</v>
      </c>
      <c r="H14" s="40">
        <v>96969715.958999991</v>
      </c>
      <c r="I14" s="40">
        <v>102183575.62819999</v>
      </c>
      <c r="J14" s="40">
        <v>108770954.45919999</v>
      </c>
      <c r="K14" s="40">
        <v>109505154.77339999</v>
      </c>
      <c r="L14" s="40">
        <v>123230899.0024</v>
      </c>
      <c r="M14" s="40">
        <v>133147183.91039999</v>
      </c>
      <c r="N14" s="40">
        <v>138721726.28719997</v>
      </c>
      <c r="O14" s="40">
        <v>148545262.24679998</v>
      </c>
      <c r="P14" s="40">
        <f t="shared" si="0"/>
        <v>1406080124.0753999</v>
      </c>
    </row>
    <row r="15" spans="1:17" x14ac:dyDescent="0.25">
      <c r="A15" s="21">
        <v>5</v>
      </c>
      <c r="B15" s="26" t="s">
        <v>11</v>
      </c>
      <c r="C15" s="23"/>
      <c r="D15" s="41">
        <f>SUM(D13:D14)</f>
        <v>848931665.63139999</v>
      </c>
      <c r="E15" s="41">
        <f t="shared" ref="E15:O15" si="1">SUM(E13:E14)</f>
        <v>731802701.2967999</v>
      </c>
      <c r="F15" s="41">
        <f t="shared" si="1"/>
        <v>739442400.96839988</v>
      </c>
      <c r="G15" s="41">
        <f t="shared" si="1"/>
        <v>736631961.36239994</v>
      </c>
      <c r="H15" s="41">
        <f t="shared" si="1"/>
        <v>672675538.12519991</v>
      </c>
      <c r="I15" s="41">
        <f t="shared" si="1"/>
        <v>709462201.89479995</v>
      </c>
      <c r="J15" s="41">
        <f t="shared" si="1"/>
        <v>733069984.9188</v>
      </c>
      <c r="K15" s="41">
        <f t="shared" si="1"/>
        <v>768540615.03359985</v>
      </c>
      <c r="L15" s="41">
        <f t="shared" si="1"/>
        <v>893250239.57980001</v>
      </c>
      <c r="M15" s="41">
        <f t="shared" si="1"/>
        <v>1025137432.1556</v>
      </c>
      <c r="N15" s="41">
        <f t="shared" si="1"/>
        <v>1043698955.5249999</v>
      </c>
      <c r="O15" s="41">
        <f t="shared" si="1"/>
        <v>1059706403.8943999</v>
      </c>
      <c r="P15" s="41">
        <f t="shared" si="0"/>
        <v>9962350100.386198</v>
      </c>
    </row>
    <row r="16" spans="1:17" x14ac:dyDescent="0.25">
      <c r="A16" s="24"/>
      <c r="B16" s="27"/>
      <c r="C16" s="2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</row>
    <row r="17" spans="1:16" x14ac:dyDescent="0.25">
      <c r="A17" s="21">
        <v>6</v>
      </c>
      <c r="B17" s="22" t="s">
        <v>39</v>
      </c>
      <c r="C17" s="25" t="s">
        <v>7</v>
      </c>
      <c r="D17" s="36">
        <v>20244955.515749998</v>
      </c>
      <c r="E17" s="36">
        <v>20029732.486109998</v>
      </c>
      <c r="F17" s="36">
        <v>22060939.263119999</v>
      </c>
      <c r="G17" s="36">
        <v>20137728.424769998</v>
      </c>
      <c r="H17" s="36">
        <v>20000312.571419999</v>
      </c>
      <c r="I17" s="36">
        <v>21810727.396260001</v>
      </c>
      <c r="J17" s="36">
        <v>23543345.491109997</v>
      </c>
      <c r="K17" s="36">
        <v>25825070.211569998</v>
      </c>
      <c r="L17" s="36">
        <v>24342324.478829999</v>
      </c>
      <c r="M17" s="36">
        <v>25490751.004889999</v>
      </c>
      <c r="N17" s="36">
        <v>25684274.98017</v>
      </c>
      <c r="O17" s="36">
        <v>26399752.513469998</v>
      </c>
      <c r="P17" s="37">
        <f t="shared" ref="P17:P21" si="2">SUM(D17:O17)</f>
        <v>275569914.33747</v>
      </c>
    </row>
    <row r="18" spans="1:16" x14ac:dyDescent="0.25">
      <c r="A18" s="21">
        <v>7</v>
      </c>
      <c r="B18" s="22" t="s">
        <v>40</v>
      </c>
      <c r="C18" s="25" t="s">
        <v>7</v>
      </c>
      <c r="D18" s="39">
        <v>322579678.76648998</v>
      </c>
      <c r="E18" s="39">
        <v>314122896.44945997</v>
      </c>
      <c r="F18" s="39">
        <v>323223419.46842998</v>
      </c>
      <c r="G18" s="39">
        <v>332136531.68687999</v>
      </c>
      <c r="H18" s="39">
        <v>303309346.32665998</v>
      </c>
      <c r="I18" s="39">
        <v>309653032.27634996</v>
      </c>
      <c r="J18" s="39">
        <v>322344458.38475996</v>
      </c>
      <c r="K18" s="39">
        <v>325962687.95036995</v>
      </c>
      <c r="L18" s="39">
        <v>349803251.56908</v>
      </c>
      <c r="M18" s="39">
        <v>358011616.69358999</v>
      </c>
      <c r="N18" s="39">
        <v>371860361.21862</v>
      </c>
      <c r="O18" s="39">
        <v>365959814.62733996</v>
      </c>
      <c r="P18" s="42">
        <f t="shared" si="2"/>
        <v>3998967095.4180298</v>
      </c>
    </row>
    <row r="19" spans="1:16" x14ac:dyDescent="0.25">
      <c r="A19" s="21">
        <v>8</v>
      </c>
      <c r="B19" s="22" t="s">
        <v>41</v>
      </c>
      <c r="C19" s="25" t="s">
        <v>7</v>
      </c>
      <c r="D19" s="39">
        <v>450653.38199999998</v>
      </c>
      <c r="E19" s="39">
        <v>428716.152</v>
      </c>
      <c r="F19" s="39">
        <v>487842.20999999996</v>
      </c>
      <c r="G19" s="39">
        <v>383170.28399999999</v>
      </c>
      <c r="H19" s="39">
        <v>387975.58199999999</v>
      </c>
      <c r="I19" s="39">
        <v>493274.28599999996</v>
      </c>
      <c r="J19" s="39">
        <v>517509.70199999999</v>
      </c>
      <c r="K19" s="39">
        <v>574964.35199999996</v>
      </c>
      <c r="L19" s="39">
        <v>619256.66399999999</v>
      </c>
      <c r="M19" s="39">
        <v>618003.10800000001</v>
      </c>
      <c r="N19" s="39">
        <v>577889.31599999999</v>
      </c>
      <c r="O19" s="39">
        <v>603796.14</v>
      </c>
      <c r="P19" s="42">
        <f t="shared" si="2"/>
        <v>6143051.1779999994</v>
      </c>
    </row>
    <row r="20" spans="1:16" x14ac:dyDescent="0.25">
      <c r="A20" s="21">
        <v>9</v>
      </c>
      <c r="B20" s="22" t="s">
        <v>42</v>
      </c>
      <c r="C20" s="25" t="s">
        <v>7</v>
      </c>
      <c r="D20" s="39">
        <v>49629807.1998</v>
      </c>
      <c r="E20" s="39">
        <v>44261767.018799998</v>
      </c>
      <c r="F20" s="39">
        <v>47265099.161399998</v>
      </c>
      <c r="G20" s="39">
        <v>50425877.937599994</v>
      </c>
      <c r="H20" s="39">
        <v>48536581.012199998</v>
      </c>
      <c r="I20" s="39">
        <v>41215981.112999998</v>
      </c>
      <c r="J20" s="39">
        <v>46767332.966399997</v>
      </c>
      <c r="K20" s="39">
        <v>43281611.582399994</v>
      </c>
      <c r="L20" s="39">
        <v>42917411.779199995</v>
      </c>
      <c r="M20" s="39">
        <v>35947953.808200002</v>
      </c>
      <c r="N20" s="39">
        <v>33020858.762999997</v>
      </c>
      <c r="O20" s="39">
        <v>38960499.587399997</v>
      </c>
      <c r="P20" s="42">
        <f t="shared" si="2"/>
        <v>522230781.92939997</v>
      </c>
    </row>
    <row r="21" spans="1:16" x14ac:dyDescent="0.25">
      <c r="A21" s="21">
        <v>10</v>
      </c>
      <c r="B21" s="22" t="s">
        <v>12</v>
      </c>
      <c r="C21" s="25"/>
      <c r="D21" s="43">
        <f>SUM(D17:D20)</f>
        <v>392905094.86404002</v>
      </c>
      <c r="E21" s="43">
        <f t="shared" ref="E21:O21" si="3">SUM(E17:E20)</f>
        <v>378843112.10636997</v>
      </c>
      <c r="F21" s="43">
        <f t="shared" si="3"/>
        <v>393037300.10294998</v>
      </c>
      <c r="G21" s="43">
        <f t="shared" si="3"/>
        <v>403083308.33324999</v>
      </c>
      <c r="H21" s="43">
        <f t="shared" si="3"/>
        <v>372234215.49228001</v>
      </c>
      <c r="I21" s="43">
        <f t="shared" si="3"/>
        <v>373173015.07160997</v>
      </c>
      <c r="J21" s="43">
        <f t="shared" si="3"/>
        <v>393172646.54427004</v>
      </c>
      <c r="K21" s="43">
        <f t="shared" si="3"/>
        <v>395644334.09633994</v>
      </c>
      <c r="L21" s="43">
        <f t="shared" si="3"/>
        <v>417682244.49110997</v>
      </c>
      <c r="M21" s="43">
        <f t="shared" si="3"/>
        <v>420068324.61467999</v>
      </c>
      <c r="N21" s="43">
        <f t="shared" si="3"/>
        <v>431143384.27779001</v>
      </c>
      <c r="O21" s="43">
        <f t="shared" si="3"/>
        <v>431923862.86820996</v>
      </c>
      <c r="P21" s="43">
        <f t="shared" si="2"/>
        <v>4802910842.8628988</v>
      </c>
    </row>
    <row r="22" spans="1:16" x14ac:dyDescent="0.25">
      <c r="A22" s="21"/>
      <c r="B22" s="22"/>
      <c r="C22" s="25"/>
      <c r="D22" s="4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x14ac:dyDescent="0.25">
      <c r="A23" s="21">
        <v>11</v>
      </c>
      <c r="B23" s="26" t="s">
        <v>43</v>
      </c>
      <c r="C23" s="25" t="s">
        <v>8</v>
      </c>
      <c r="D23" s="36">
        <v>763102777.19832003</v>
      </c>
      <c r="E23" s="36">
        <v>972519030.59687996</v>
      </c>
      <c r="F23" s="36">
        <v>849536598.36168003</v>
      </c>
      <c r="G23" s="36">
        <v>1002679862.73912</v>
      </c>
      <c r="H23" s="36">
        <v>918676435.51169991</v>
      </c>
      <c r="I23" s="36">
        <v>978680068.54955995</v>
      </c>
      <c r="J23" s="36">
        <v>927138341.20157993</v>
      </c>
      <c r="K23" s="36">
        <v>986643570.88331997</v>
      </c>
      <c r="L23" s="36">
        <v>1039504854.98772</v>
      </c>
      <c r="M23" s="36">
        <v>989051099.15429997</v>
      </c>
      <c r="N23" s="36">
        <v>1008045280.41336</v>
      </c>
      <c r="O23" s="36">
        <v>996264948.17339993</v>
      </c>
      <c r="P23" s="37">
        <f>SUM(D23:O23)</f>
        <v>11431842867.770939</v>
      </c>
    </row>
    <row r="24" spans="1:16" x14ac:dyDescent="0.25">
      <c r="A24" s="24"/>
      <c r="B24" s="22"/>
      <c r="C24" s="23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6"/>
    </row>
    <row r="25" spans="1:16" x14ac:dyDescent="0.25">
      <c r="A25" s="21">
        <v>12</v>
      </c>
      <c r="B25" s="28" t="s">
        <v>9</v>
      </c>
      <c r="C25" s="25" t="s">
        <v>5</v>
      </c>
      <c r="D25" s="36">
        <v>21729291.510399997</v>
      </c>
      <c r="E25" s="36">
        <v>21817761.442199998</v>
      </c>
      <c r="F25" s="36">
        <v>21638139.530999999</v>
      </c>
      <c r="G25" s="36">
        <v>21683370.854999997</v>
      </c>
      <c r="H25" s="36">
        <v>21553480.816799998</v>
      </c>
      <c r="I25" s="36">
        <v>21616086.303199999</v>
      </c>
      <c r="J25" s="36">
        <v>21589208.830999997</v>
      </c>
      <c r="K25" s="36">
        <v>21577464.387599997</v>
      </c>
      <c r="L25" s="36">
        <v>21500216.254799999</v>
      </c>
      <c r="M25" s="36">
        <v>21561699.023599997</v>
      </c>
      <c r="N25" s="36">
        <v>21406443.525599997</v>
      </c>
      <c r="O25" s="36">
        <v>21429774.328599997</v>
      </c>
      <c r="P25" s="37">
        <f>SUM(D25:O25)</f>
        <v>259102936.80979994</v>
      </c>
    </row>
    <row r="26" spans="1:16" x14ac:dyDescent="0.25">
      <c r="A26" s="21"/>
      <c r="B26" s="22"/>
      <c r="C26" s="2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6"/>
      <c r="P26" s="36"/>
    </row>
    <row r="27" spans="1:16" x14ac:dyDescent="0.25">
      <c r="A27" s="21">
        <v>13</v>
      </c>
      <c r="B27" s="29" t="s">
        <v>44</v>
      </c>
      <c r="C27" s="30"/>
      <c r="D27" s="45">
        <f>D25+D23+D21+D15+D11+D9</f>
        <v>3196553571.0655603</v>
      </c>
      <c r="E27" s="45">
        <f>E25+E23+E21+E15+E11+E9</f>
        <v>3015083325.2610497</v>
      </c>
      <c r="F27" s="45">
        <f>F25+F23+F21+F15+F11+F9</f>
        <v>3057160320.8956299</v>
      </c>
      <c r="G27" s="45">
        <f>G25+G23+G21+G15+G11+G9</f>
        <v>3290438903.5711699</v>
      </c>
      <c r="H27" s="45">
        <f>H25+H23+H21+H15+H11+H9</f>
        <v>2978559904.0431795</v>
      </c>
      <c r="I27" s="45">
        <f>I25+I23+I21+I15+I11+I9</f>
        <v>2998435103.4131699</v>
      </c>
      <c r="J27" s="45">
        <f>J25+J23+J21+J15+J11+J9</f>
        <v>2977549300.99545</v>
      </c>
      <c r="K27" s="45">
        <f>K25+K23+K21+K15+K11+K9</f>
        <v>3155602970.3386598</v>
      </c>
      <c r="L27" s="45">
        <f>L25+L23+L21+L15+L11+L9</f>
        <v>3688776153.4658298</v>
      </c>
      <c r="M27" s="45">
        <f>M25+M23+M21+M15+M11+M9</f>
        <v>4166899806.1273794</v>
      </c>
      <c r="N27" s="45">
        <f>N25+N23+N21+N15+N11+N9</f>
        <v>4234283829.0051498</v>
      </c>
      <c r="O27" s="45">
        <f>O25+O23+O21+O15+O11+O9</f>
        <v>4188748888.3954096</v>
      </c>
      <c r="P27" s="45">
        <f>SUM(D27:O27)</f>
        <v>40948092076.577637</v>
      </c>
    </row>
    <row r="28" spans="1:16" x14ac:dyDescent="0.25">
      <c r="A28" s="24"/>
      <c r="B28" s="30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37"/>
      <c r="P28" s="37"/>
    </row>
    <row r="29" spans="1:16" x14ac:dyDescent="0.25">
      <c r="A29" s="21">
        <v>14</v>
      </c>
      <c r="B29" s="28" t="s">
        <v>45</v>
      </c>
      <c r="C29" s="25" t="s">
        <v>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7">
        <f t="shared" ref="P29:P31" si="4">SUM(D29:O29)</f>
        <v>0</v>
      </c>
    </row>
    <row r="30" spans="1:16" x14ac:dyDescent="0.25">
      <c r="A30" s="21">
        <v>15</v>
      </c>
      <c r="B30" s="28" t="s">
        <v>46</v>
      </c>
      <c r="C30" s="25" t="s">
        <v>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7">
        <f t="shared" si="4"/>
        <v>0</v>
      </c>
    </row>
    <row r="31" spans="1:16" x14ac:dyDescent="0.25">
      <c r="A31" s="21">
        <v>16</v>
      </c>
      <c r="B31" s="29" t="s">
        <v>47</v>
      </c>
      <c r="C31" s="31"/>
      <c r="D31" s="46">
        <f t="shared" ref="D31:O31" si="5">SUM(D29:D30)</f>
        <v>0</v>
      </c>
      <c r="E31" s="46">
        <f t="shared" si="5"/>
        <v>0</v>
      </c>
      <c r="F31" s="46">
        <f t="shared" si="5"/>
        <v>0</v>
      </c>
      <c r="G31" s="46">
        <f t="shared" si="5"/>
        <v>0</v>
      </c>
      <c r="H31" s="46">
        <f t="shared" si="5"/>
        <v>0</v>
      </c>
      <c r="I31" s="46">
        <f t="shared" si="5"/>
        <v>0</v>
      </c>
      <c r="J31" s="46">
        <f t="shared" si="5"/>
        <v>0</v>
      </c>
      <c r="K31" s="46">
        <f t="shared" si="5"/>
        <v>0</v>
      </c>
      <c r="L31" s="46">
        <f t="shared" si="5"/>
        <v>0</v>
      </c>
      <c r="M31" s="46">
        <f t="shared" si="5"/>
        <v>0</v>
      </c>
      <c r="N31" s="46">
        <f t="shared" si="5"/>
        <v>0</v>
      </c>
      <c r="O31" s="37">
        <f t="shared" si="5"/>
        <v>0</v>
      </c>
      <c r="P31" s="37">
        <f t="shared" si="4"/>
        <v>0</v>
      </c>
    </row>
    <row r="32" spans="1:16" x14ac:dyDescent="0.25">
      <c r="A32" s="21"/>
      <c r="B32" s="22"/>
      <c r="C32" s="3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6"/>
    </row>
    <row r="33" spans="1:16" ht="15.75" thickBot="1" x14ac:dyDescent="0.3">
      <c r="A33" s="21">
        <v>17</v>
      </c>
      <c r="B33" s="33" t="s">
        <v>48</v>
      </c>
      <c r="C33" s="31"/>
      <c r="D33" s="48">
        <f t="shared" ref="D33:O33" si="6">+D31+D27</f>
        <v>3196553571.0655603</v>
      </c>
      <c r="E33" s="48">
        <f t="shared" si="6"/>
        <v>3015083325.2610497</v>
      </c>
      <c r="F33" s="48">
        <f t="shared" si="6"/>
        <v>3057160320.8956299</v>
      </c>
      <c r="G33" s="48">
        <f t="shared" si="6"/>
        <v>3290438903.5711699</v>
      </c>
      <c r="H33" s="48">
        <f t="shared" si="6"/>
        <v>2978559904.0431795</v>
      </c>
      <c r="I33" s="48">
        <f t="shared" si="6"/>
        <v>2998435103.4131699</v>
      </c>
      <c r="J33" s="48">
        <f t="shared" si="6"/>
        <v>2977549300.99545</v>
      </c>
      <c r="K33" s="48">
        <f t="shared" si="6"/>
        <v>3155602970.3386598</v>
      </c>
      <c r="L33" s="48">
        <f t="shared" si="6"/>
        <v>3688776153.4658298</v>
      </c>
      <c r="M33" s="48">
        <f t="shared" si="6"/>
        <v>4166899806.1273794</v>
      </c>
      <c r="N33" s="48">
        <f t="shared" si="6"/>
        <v>4234283829.0051498</v>
      </c>
      <c r="O33" s="48">
        <f t="shared" si="6"/>
        <v>4188748888.3954096</v>
      </c>
      <c r="P33" s="48">
        <f>SUM(D33:O33)</f>
        <v>40948092076.577637</v>
      </c>
    </row>
    <row r="34" spans="1:16" ht="15.75" thickTop="1" x14ac:dyDescent="0.25"/>
    <row r="35" spans="1:16" hidden="1" x14ac:dyDescent="0.25"/>
    <row r="37" spans="1:16" x14ac:dyDescent="0.25">
      <c r="A37" s="10"/>
      <c r="B37" s="54" t="s">
        <v>13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</row>
    <row r="38" spans="1:16" x14ac:dyDescent="0.25">
      <c r="A38" s="10"/>
      <c r="B38" s="54" t="s">
        <v>14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1"/>
    </row>
    <row r="39" spans="1:16" x14ac:dyDescent="0.25">
      <c r="A39" s="10"/>
      <c r="B39" s="54" t="s">
        <v>20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3" t="s">
        <v>6</v>
      </c>
    </row>
    <row r="40" spans="1:16" x14ac:dyDescent="0.25">
      <c r="A40" s="10"/>
      <c r="B40" s="55" t="s">
        <v>23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8" t="s">
        <v>6</v>
      </c>
    </row>
    <row r="41" spans="1:16" x14ac:dyDescent="0.25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8"/>
    </row>
    <row r="42" spans="1:16" x14ac:dyDescent="0.25">
      <c r="A42" s="10"/>
      <c r="B42" s="17"/>
      <c r="C42" s="17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8"/>
    </row>
    <row r="43" spans="1:16" x14ac:dyDescent="0.25">
      <c r="A43" s="15" t="s">
        <v>0</v>
      </c>
      <c r="B43" s="17" t="s">
        <v>1</v>
      </c>
      <c r="C43" s="34" t="s">
        <v>2</v>
      </c>
      <c r="D43" s="19" t="s">
        <v>24</v>
      </c>
      <c r="E43" s="19" t="s">
        <v>25</v>
      </c>
      <c r="F43" s="19" t="s">
        <v>26</v>
      </c>
      <c r="G43" s="19" t="s">
        <v>27</v>
      </c>
      <c r="H43" s="19" t="s">
        <v>28</v>
      </c>
      <c r="I43" s="19" t="s">
        <v>29</v>
      </c>
      <c r="J43" s="19" t="s">
        <v>30</v>
      </c>
      <c r="K43" s="19" t="s">
        <v>31</v>
      </c>
      <c r="L43" s="19" t="s">
        <v>32</v>
      </c>
      <c r="M43" s="19" t="s">
        <v>33</v>
      </c>
      <c r="N43" s="19" t="s">
        <v>34</v>
      </c>
      <c r="O43" s="19" t="s">
        <v>35</v>
      </c>
      <c r="P43" s="20" t="s">
        <v>10</v>
      </c>
    </row>
    <row r="44" spans="1:16" x14ac:dyDescent="0.25">
      <c r="A44" s="10"/>
      <c r="B44" s="17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0"/>
      <c r="P44" s="20"/>
    </row>
    <row r="45" spans="1:16" x14ac:dyDescent="0.25">
      <c r="A45" s="21" t="s">
        <v>3</v>
      </c>
      <c r="B45" s="22" t="s">
        <v>4</v>
      </c>
      <c r="C45" s="23" t="s">
        <v>5</v>
      </c>
      <c r="D45" s="36">
        <v>1030830606</v>
      </c>
      <c r="E45" s="36">
        <v>795799107</v>
      </c>
      <c r="F45" s="36">
        <v>926112371</v>
      </c>
      <c r="G45" s="36">
        <v>993225833</v>
      </c>
      <c r="H45" s="36">
        <v>874152468</v>
      </c>
      <c r="I45" s="36">
        <v>802450848</v>
      </c>
      <c r="J45" s="36">
        <v>790703542</v>
      </c>
      <c r="K45" s="36">
        <v>863356125</v>
      </c>
      <c r="L45" s="36">
        <v>1166326833</v>
      </c>
      <c r="M45" s="36">
        <v>1523297212</v>
      </c>
      <c r="N45" s="36">
        <v>1538580364</v>
      </c>
      <c r="O45" s="36">
        <v>1492215334</v>
      </c>
      <c r="P45" s="37">
        <f>SUM(D45:O45)</f>
        <v>12797050643</v>
      </c>
    </row>
    <row r="46" spans="1:16" x14ac:dyDescent="0.25">
      <c r="A46" s="24"/>
      <c r="B46" s="22"/>
      <c r="C46" s="23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7"/>
      <c r="P46" s="37"/>
    </row>
    <row r="47" spans="1:16" x14ac:dyDescent="0.25">
      <c r="A47" s="21">
        <v>2</v>
      </c>
      <c r="B47" s="22" t="s">
        <v>49</v>
      </c>
      <c r="C47" s="23" t="s">
        <v>5</v>
      </c>
      <c r="D47" s="36">
        <v>57029485</v>
      </c>
      <c r="E47" s="36">
        <v>50491315</v>
      </c>
      <c r="F47" s="36">
        <v>53528583</v>
      </c>
      <c r="G47" s="36">
        <v>54161558</v>
      </c>
      <c r="H47" s="36">
        <v>49615650</v>
      </c>
      <c r="I47" s="36">
        <v>48863762</v>
      </c>
      <c r="J47" s="36">
        <v>48592645</v>
      </c>
      <c r="K47" s="36">
        <v>50905532</v>
      </c>
      <c r="L47" s="36">
        <v>58183673</v>
      </c>
      <c r="M47" s="36">
        <v>67814236</v>
      </c>
      <c r="N47" s="36">
        <v>70113857</v>
      </c>
      <c r="O47" s="36">
        <v>69458368</v>
      </c>
      <c r="P47" s="37">
        <f>SUM(D47:O47)</f>
        <v>678758664</v>
      </c>
    </row>
    <row r="48" spans="1:16" x14ac:dyDescent="0.25">
      <c r="A48" s="21"/>
      <c r="B48" s="22"/>
      <c r="C48" s="2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spans="1:16" x14ac:dyDescent="0.25">
      <c r="A49" s="21">
        <v>3</v>
      </c>
      <c r="B49" s="22" t="s">
        <v>50</v>
      </c>
      <c r="C49" s="25" t="s">
        <v>5</v>
      </c>
      <c r="D49" s="39">
        <v>677255540</v>
      </c>
      <c r="E49" s="39">
        <v>581315754</v>
      </c>
      <c r="F49" s="39">
        <v>584049090</v>
      </c>
      <c r="G49" s="39">
        <v>586060179</v>
      </c>
      <c r="H49" s="39">
        <v>535341103</v>
      </c>
      <c r="I49" s="39">
        <v>564700229</v>
      </c>
      <c r="J49" s="39">
        <v>580527274</v>
      </c>
      <c r="K49" s="39">
        <v>612828213</v>
      </c>
      <c r="L49" s="39">
        <v>716030631</v>
      </c>
      <c r="M49" s="39">
        <v>829449738</v>
      </c>
      <c r="N49" s="39">
        <v>841526157</v>
      </c>
      <c r="O49" s="39">
        <v>847276494</v>
      </c>
      <c r="P49" s="37">
        <f t="shared" ref="P49:P51" si="7">SUM(D49:O49)</f>
        <v>7956360402</v>
      </c>
    </row>
    <row r="50" spans="1:16" x14ac:dyDescent="0.25">
      <c r="A50" s="21">
        <v>4</v>
      </c>
      <c r="B50" s="22" t="s">
        <v>38</v>
      </c>
      <c r="C50" s="25" t="s">
        <v>5</v>
      </c>
      <c r="D50" s="40">
        <v>112154601</v>
      </c>
      <c r="E50" s="40">
        <v>99177738</v>
      </c>
      <c r="F50" s="40">
        <v>103548456</v>
      </c>
      <c r="G50" s="40">
        <v>98923977</v>
      </c>
      <c r="H50" s="40">
        <v>90170835</v>
      </c>
      <c r="I50" s="40">
        <v>95019133</v>
      </c>
      <c r="J50" s="40">
        <v>101144648</v>
      </c>
      <c r="K50" s="40">
        <v>101827371</v>
      </c>
      <c r="L50" s="40">
        <v>114590756</v>
      </c>
      <c r="M50" s="40">
        <v>123811776</v>
      </c>
      <c r="N50" s="40">
        <v>128995468</v>
      </c>
      <c r="O50" s="40">
        <v>138130242</v>
      </c>
      <c r="P50" s="40">
        <f t="shared" si="7"/>
        <v>1307495001</v>
      </c>
    </row>
    <row r="51" spans="1:16" x14ac:dyDescent="0.25">
      <c r="A51" s="21">
        <v>5</v>
      </c>
      <c r="B51" s="26" t="s">
        <v>11</v>
      </c>
      <c r="C51" s="23"/>
      <c r="D51" s="41">
        <f>SUM(D49:D50)</f>
        <v>789410141</v>
      </c>
      <c r="E51" s="41">
        <f t="shared" ref="E51:O51" si="8">SUM(E49:E50)</f>
        <v>680493492</v>
      </c>
      <c r="F51" s="41">
        <f t="shared" si="8"/>
        <v>687597546</v>
      </c>
      <c r="G51" s="41">
        <f t="shared" si="8"/>
        <v>684984156</v>
      </c>
      <c r="H51" s="41">
        <f t="shared" si="8"/>
        <v>625511938</v>
      </c>
      <c r="I51" s="41">
        <f t="shared" si="8"/>
        <v>659719362</v>
      </c>
      <c r="J51" s="41">
        <f t="shared" si="8"/>
        <v>681671922</v>
      </c>
      <c r="K51" s="41">
        <f t="shared" si="8"/>
        <v>714655584</v>
      </c>
      <c r="L51" s="41">
        <f t="shared" si="8"/>
        <v>830621387</v>
      </c>
      <c r="M51" s="41">
        <f t="shared" si="8"/>
        <v>953261514</v>
      </c>
      <c r="N51" s="41">
        <f t="shared" si="8"/>
        <v>970521625</v>
      </c>
      <c r="O51" s="41">
        <f t="shared" si="8"/>
        <v>985406736</v>
      </c>
      <c r="P51" s="41">
        <f t="shared" si="7"/>
        <v>9263855403</v>
      </c>
    </row>
    <row r="52" spans="1:16" x14ac:dyDescent="0.25">
      <c r="A52" s="24"/>
      <c r="B52" s="27"/>
      <c r="C52" s="2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6"/>
      <c r="P52" s="36"/>
    </row>
    <row r="53" spans="1:16" x14ac:dyDescent="0.25">
      <c r="A53" s="21">
        <v>6</v>
      </c>
      <c r="B53" s="22" t="s">
        <v>39</v>
      </c>
      <c r="C53" s="25" t="s">
        <v>7</v>
      </c>
      <c r="D53" s="36">
        <v>19380025</v>
      </c>
      <c r="E53" s="36">
        <v>19173997</v>
      </c>
      <c r="F53" s="36">
        <v>21118424</v>
      </c>
      <c r="G53" s="36">
        <v>19277379</v>
      </c>
      <c r="H53" s="36">
        <v>19145834</v>
      </c>
      <c r="I53" s="36">
        <v>20878902</v>
      </c>
      <c r="J53" s="36">
        <v>22537497</v>
      </c>
      <c r="K53" s="36">
        <v>24721739</v>
      </c>
      <c r="L53" s="36">
        <v>23302341</v>
      </c>
      <c r="M53" s="36">
        <v>24401703</v>
      </c>
      <c r="N53" s="36">
        <v>24586959</v>
      </c>
      <c r="O53" s="36">
        <v>25271869</v>
      </c>
      <c r="P53" s="37">
        <f t="shared" ref="P53:P57" si="9">SUM(D53:O53)</f>
        <v>263796669</v>
      </c>
    </row>
    <row r="54" spans="1:16" x14ac:dyDescent="0.25">
      <c r="A54" s="21">
        <v>7</v>
      </c>
      <c r="B54" s="22" t="s">
        <v>40</v>
      </c>
      <c r="C54" s="25" t="s">
        <v>7</v>
      </c>
      <c r="D54" s="39">
        <v>308798023</v>
      </c>
      <c r="E54" s="39">
        <v>300702542</v>
      </c>
      <c r="F54" s="39">
        <v>309414261</v>
      </c>
      <c r="G54" s="39">
        <v>317946576</v>
      </c>
      <c r="H54" s="39">
        <v>290350982</v>
      </c>
      <c r="I54" s="39">
        <v>296423645</v>
      </c>
      <c r="J54" s="39">
        <v>308572852</v>
      </c>
      <c r="K54" s="39">
        <v>312036499</v>
      </c>
      <c r="L54" s="39">
        <v>334858516</v>
      </c>
      <c r="M54" s="39">
        <v>342716193</v>
      </c>
      <c r="N54" s="39">
        <v>355973274</v>
      </c>
      <c r="O54" s="39">
        <v>350324818</v>
      </c>
      <c r="P54" s="42">
        <f t="shared" si="9"/>
        <v>3828118181</v>
      </c>
    </row>
    <row r="55" spans="1:16" x14ac:dyDescent="0.25">
      <c r="A55" s="21">
        <v>8</v>
      </c>
      <c r="B55" s="22" t="s">
        <v>41</v>
      </c>
      <c r="C55" s="25" t="s">
        <v>7</v>
      </c>
      <c r="D55" s="39">
        <v>431400</v>
      </c>
      <c r="E55" s="39">
        <v>410400</v>
      </c>
      <c r="F55" s="39">
        <v>467000</v>
      </c>
      <c r="G55" s="39">
        <v>366800</v>
      </c>
      <c r="H55" s="39">
        <v>371400</v>
      </c>
      <c r="I55" s="39">
        <v>472200</v>
      </c>
      <c r="J55" s="39">
        <v>495400</v>
      </c>
      <c r="K55" s="39">
        <v>550400</v>
      </c>
      <c r="L55" s="39">
        <v>592800</v>
      </c>
      <c r="M55" s="39">
        <v>591600</v>
      </c>
      <c r="N55" s="39">
        <v>553200</v>
      </c>
      <c r="O55" s="39">
        <v>578000</v>
      </c>
      <c r="P55" s="42">
        <f t="shared" si="9"/>
        <v>5880600</v>
      </c>
    </row>
    <row r="56" spans="1:16" x14ac:dyDescent="0.25">
      <c r="A56" s="21">
        <v>9</v>
      </c>
      <c r="B56" s="22" t="s">
        <v>42</v>
      </c>
      <c r="C56" s="25" t="s">
        <v>7</v>
      </c>
      <c r="D56" s="39">
        <v>47509460</v>
      </c>
      <c r="E56" s="39">
        <v>42370760</v>
      </c>
      <c r="F56" s="39">
        <v>45245780</v>
      </c>
      <c r="G56" s="39">
        <v>48271520</v>
      </c>
      <c r="H56" s="39">
        <v>46462940</v>
      </c>
      <c r="I56" s="39">
        <v>39455100</v>
      </c>
      <c r="J56" s="39">
        <v>44769280</v>
      </c>
      <c r="K56" s="39">
        <v>41432480</v>
      </c>
      <c r="L56" s="39">
        <v>41083840</v>
      </c>
      <c r="M56" s="39">
        <v>34412140</v>
      </c>
      <c r="N56" s="39">
        <v>31610100</v>
      </c>
      <c r="O56" s="39">
        <v>37295980</v>
      </c>
      <c r="P56" s="42">
        <f t="shared" si="9"/>
        <v>499919380</v>
      </c>
    </row>
    <row r="57" spans="1:16" x14ac:dyDescent="0.25">
      <c r="A57" s="21">
        <v>10</v>
      </c>
      <c r="B57" s="22" t="s">
        <v>12</v>
      </c>
      <c r="C57" s="25"/>
      <c r="D57" s="43">
        <f>SUM(D53:D56)</f>
        <v>376118908</v>
      </c>
      <c r="E57" s="43">
        <f t="shared" ref="E57:O57" si="10">SUM(E53:E56)</f>
        <v>362657699</v>
      </c>
      <c r="F57" s="43">
        <f t="shared" si="10"/>
        <v>376245465</v>
      </c>
      <c r="G57" s="43">
        <f t="shared" si="10"/>
        <v>385862275</v>
      </c>
      <c r="H57" s="43">
        <f t="shared" si="10"/>
        <v>356331156</v>
      </c>
      <c r="I57" s="43">
        <f t="shared" si="10"/>
        <v>357229847</v>
      </c>
      <c r="J57" s="43">
        <f t="shared" si="10"/>
        <v>376375029</v>
      </c>
      <c r="K57" s="43">
        <f t="shared" si="10"/>
        <v>378741118</v>
      </c>
      <c r="L57" s="43">
        <f t="shared" si="10"/>
        <v>399837497</v>
      </c>
      <c r="M57" s="43">
        <f t="shared" si="10"/>
        <v>402121636</v>
      </c>
      <c r="N57" s="43">
        <f t="shared" si="10"/>
        <v>412723533</v>
      </c>
      <c r="O57" s="43">
        <f t="shared" si="10"/>
        <v>413470667</v>
      </c>
      <c r="P57" s="43">
        <f t="shared" si="9"/>
        <v>4597714830</v>
      </c>
    </row>
    <row r="58" spans="1:16" x14ac:dyDescent="0.25">
      <c r="A58" s="21"/>
      <c r="B58" s="22"/>
      <c r="C58" s="25"/>
      <c r="D58" s="4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</row>
    <row r="59" spans="1:16" x14ac:dyDescent="0.25">
      <c r="A59" s="21">
        <v>11</v>
      </c>
      <c r="B59" s="26" t="s">
        <v>43</v>
      </c>
      <c r="C59" s="25" t="s">
        <v>8</v>
      </c>
      <c r="D59" s="36">
        <v>748095972</v>
      </c>
      <c r="E59" s="36">
        <v>953393948</v>
      </c>
      <c r="F59" s="36">
        <v>832830028</v>
      </c>
      <c r="G59" s="36">
        <v>982961652</v>
      </c>
      <c r="H59" s="36">
        <v>900610195</v>
      </c>
      <c r="I59" s="36">
        <v>959433826</v>
      </c>
      <c r="J59" s="36">
        <v>908905693</v>
      </c>
      <c r="K59" s="36">
        <v>967240722</v>
      </c>
      <c r="L59" s="36">
        <v>1019062462</v>
      </c>
      <c r="M59" s="36">
        <v>969600905</v>
      </c>
      <c r="N59" s="36">
        <v>988221556</v>
      </c>
      <c r="O59" s="36">
        <v>976672890</v>
      </c>
      <c r="P59" s="37">
        <f>SUM(D59:O59)</f>
        <v>11207029849</v>
      </c>
    </row>
    <row r="60" spans="1:16" x14ac:dyDescent="0.25">
      <c r="A60" s="24"/>
      <c r="B60" s="22"/>
      <c r="C60" s="2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6"/>
    </row>
    <row r="61" spans="1:16" x14ac:dyDescent="0.25">
      <c r="A61" s="21">
        <v>12</v>
      </c>
      <c r="B61" s="28" t="s">
        <v>9</v>
      </c>
      <c r="C61" s="25" t="s">
        <v>5</v>
      </c>
      <c r="D61" s="36">
        <v>20205776</v>
      </c>
      <c r="E61" s="36">
        <v>20288043</v>
      </c>
      <c r="F61" s="36">
        <v>20121015</v>
      </c>
      <c r="G61" s="36">
        <v>20163075</v>
      </c>
      <c r="H61" s="36">
        <v>20042292</v>
      </c>
      <c r="I61" s="36">
        <v>20100508</v>
      </c>
      <c r="J61" s="36">
        <v>20075515</v>
      </c>
      <c r="K61" s="36">
        <v>20064594</v>
      </c>
      <c r="L61" s="36">
        <v>19992762</v>
      </c>
      <c r="M61" s="36">
        <v>20049934</v>
      </c>
      <c r="N61" s="36">
        <v>19905564</v>
      </c>
      <c r="O61" s="36">
        <v>19927259</v>
      </c>
      <c r="P61" s="37">
        <f>SUM(D61:O61)</f>
        <v>240936337</v>
      </c>
    </row>
    <row r="62" spans="1:16" x14ac:dyDescent="0.25">
      <c r="A62" s="21"/>
      <c r="B62" s="22"/>
      <c r="C62" s="2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36"/>
    </row>
    <row r="63" spans="1:16" x14ac:dyDescent="0.25">
      <c r="A63" s="21">
        <v>13</v>
      </c>
      <c r="B63" s="29" t="s">
        <v>44</v>
      </c>
      <c r="C63" s="30"/>
      <c r="D63" s="45">
        <f>D61+D59+D57+D51+D47+D45</f>
        <v>3021690888</v>
      </c>
      <c r="E63" s="45">
        <f t="shared" ref="E63:O63" si="11">E61+E59+E57+E51+E47+E45</f>
        <v>2863123604</v>
      </c>
      <c r="F63" s="45">
        <f t="shared" si="11"/>
        <v>2896435008</v>
      </c>
      <c r="G63" s="45">
        <f t="shared" si="11"/>
        <v>3121358549</v>
      </c>
      <c r="H63" s="45">
        <f t="shared" si="11"/>
        <v>2826263699</v>
      </c>
      <c r="I63" s="45">
        <f t="shared" si="11"/>
        <v>2847798153</v>
      </c>
      <c r="J63" s="45">
        <f t="shared" si="11"/>
        <v>2826324346</v>
      </c>
      <c r="K63" s="45">
        <f t="shared" si="11"/>
        <v>2994963675</v>
      </c>
      <c r="L63" s="45">
        <f t="shared" si="11"/>
        <v>3494024614</v>
      </c>
      <c r="M63" s="45">
        <f t="shared" si="11"/>
        <v>3936145437</v>
      </c>
      <c r="N63" s="45">
        <f t="shared" si="11"/>
        <v>4000066499</v>
      </c>
      <c r="O63" s="45">
        <f t="shared" si="11"/>
        <v>3957151254</v>
      </c>
      <c r="P63" s="45">
        <f>SUM(D63:O63)</f>
        <v>38785345726</v>
      </c>
    </row>
    <row r="64" spans="1:16" x14ac:dyDescent="0.25">
      <c r="A64" s="24"/>
      <c r="B64" s="30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37"/>
      <c r="P64" s="37"/>
    </row>
    <row r="65" spans="1:16" x14ac:dyDescent="0.25">
      <c r="A65" s="21">
        <v>14</v>
      </c>
      <c r="B65" s="28" t="s">
        <v>45</v>
      </c>
      <c r="C65" s="25" t="s">
        <v>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7">
        <f t="shared" ref="P65:P67" si="12">SUM(D65:O65)</f>
        <v>0</v>
      </c>
    </row>
    <row r="66" spans="1:16" x14ac:dyDescent="0.25">
      <c r="A66" s="21">
        <v>15</v>
      </c>
      <c r="B66" s="28" t="s">
        <v>46</v>
      </c>
      <c r="C66" s="25" t="s">
        <v>8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7">
        <f t="shared" si="12"/>
        <v>0</v>
      </c>
    </row>
    <row r="67" spans="1:16" x14ac:dyDescent="0.25">
      <c r="A67" s="21">
        <v>16</v>
      </c>
      <c r="B67" s="29" t="s">
        <v>47</v>
      </c>
      <c r="C67" s="31"/>
      <c r="D67" s="46">
        <f t="shared" ref="D67:O67" si="13">SUM(D65:D66)</f>
        <v>0</v>
      </c>
      <c r="E67" s="46">
        <f t="shared" si="13"/>
        <v>0</v>
      </c>
      <c r="F67" s="46">
        <f t="shared" si="13"/>
        <v>0</v>
      </c>
      <c r="G67" s="46">
        <f t="shared" si="13"/>
        <v>0</v>
      </c>
      <c r="H67" s="46">
        <f t="shared" si="13"/>
        <v>0</v>
      </c>
      <c r="I67" s="46">
        <f t="shared" si="13"/>
        <v>0</v>
      </c>
      <c r="J67" s="46">
        <f t="shared" si="13"/>
        <v>0</v>
      </c>
      <c r="K67" s="46">
        <f t="shared" si="13"/>
        <v>0</v>
      </c>
      <c r="L67" s="46">
        <f t="shared" si="13"/>
        <v>0</v>
      </c>
      <c r="M67" s="46">
        <f t="shared" si="13"/>
        <v>0</v>
      </c>
      <c r="N67" s="46">
        <f t="shared" si="13"/>
        <v>0</v>
      </c>
      <c r="O67" s="37">
        <f t="shared" si="13"/>
        <v>0</v>
      </c>
      <c r="P67" s="37">
        <f t="shared" si="12"/>
        <v>0</v>
      </c>
    </row>
    <row r="68" spans="1:16" x14ac:dyDescent="0.25">
      <c r="A68" s="21"/>
      <c r="B68" s="22"/>
      <c r="C68" s="32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36"/>
    </row>
    <row r="69" spans="1:16" ht="15.75" thickBot="1" x14ac:dyDescent="0.3">
      <c r="A69" s="21">
        <v>17</v>
      </c>
      <c r="B69" s="33" t="s">
        <v>48</v>
      </c>
      <c r="C69" s="31"/>
      <c r="D69" s="48">
        <f t="shared" ref="D69:O69" si="14">+D67+D63</f>
        <v>3021690888</v>
      </c>
      <c r="E69" s="48">
        <f t="shared" si="14"/>
        <v>2863123604</v>
      </c>
      <c r="F69" s="48">
        <f t="shared" si="14"/>
        <v>2896435008</v>
      </c>
      <c r="G69" s="48">
        <f t="shared" si="14"/>
        <v>3121358549</v>
      </c>
      <c r="H69" s="48">
        <f t="shared" si="14"/>
        <v>2826263699</v>
      </c>
      <c r="I69" s="48">
        <f t="shared" si="14"/>
        <v>2847798153</v>
      </c>
      <c r="J69" s="48">
        <f t="shared" si="14"/>
        <v>2826324346</v>
      </c>
      <c r="K69" s="48">
        <f t="shared" si="14"/>
        <v>2994963675</v>
      </c>
      <c r="L69" s="48">
        <f t="shared" si="14"/>
        <v>3494024614</v>
      </c>
      <c r="M69" s="48">
        <f t="shared" si="14"/>
        <v>3936145437</v>
      </c>
      <c r="N69" s="48">
        <f t="shared" si="14"/>
        <v>4000066499</v>
      </c>
      <c r="O69" s="48">
        <f t="shared" si="14"/>
        <v>3957151254</v>
      </c>
      <c r="P69" s="48">
        <f>SUM(D69:O69)</f>
        <v>38785345726</v>
      </c>
    </row>
    <row r="70" spans="1:16" ht="15.75" thickTop="1" x14ac:dyDescent="0.25"/>
  </sheetData>
  <mergeCells count="8">
    <mergeCell ref="B1:O1"/>
    <mergeCell ref="B37:O37"/>
    <mergeCell ref="B40:O40"/>
    <mergeCell ref="B2:O2"/>
    <mergeCell ref="B3:O3"/>
    <mergeCell ref="B4:O4"/>
    <mergeCell ref="B38:O38"/>
    <mergeCell ref="B39:O39"/>
  </mergeCells>
  <pageMargins left="0.7" right="0.7" top="0.75" bottom="0.75" header="0.3" footer="0.3"/>
  <pageSetup scale="50" fitToHeight="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0"/>
  <sheetViews>
    <sheetView tabSelected="1" zoomScale="80" zoomScaleNormal="80" workbookViewId="0">
      <selection activeCell="A36" sqref="A36:XFD36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6" max="16" width="5.5703125" bestFit="1" customWidth="1"/>
  </cols>
  <sheetData>
    <row r="1" spans="1:16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</row>
    <row r="2" spans="1:16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</row>
    <row r="3" spans="1:16" x14ac:dyDescent="0.25">
      <c r="A3" s="1"/>
      <c r="B3" s="57" t="s">
        <v>21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1:16" x14ac:dyDescent="0.25">
      <c r="A4" s="10"/>
      <c r="B4" s="55" t="s">
        <v>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</row>
    <row r="5" spans="1:16" x14ac:dyDescent="0.25">
      <c r="A5" s="1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"/>
    </row>
    <row r="6" spans="1:16" x14ac:dyDescent="0.25">
      <c r="A6" s="10"/>
      <c r="B6" s="17"/>
      <c r="C6" s="17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"/>
    </row>
    <row r="7" spans="1:16" x14ac:dyDescent="0.25">
      <c r="A7" s="15" t="s">
        <v>0</v>
      </c>
      <c r="B7" s="17" t="s">
        <v>1</v>
      </c>
      <c r="C7" s="34" t="s">
        <v>2</v>
      </c>
      <c r="D7" s="19" t="s">
        <v>24</v>
      </c>
      <c r="E7" s="19" t="s">
        <v>25</v>
      </c>
      <c r="F7" s="19" t="s">
        <v>26</v>
      </c>
      <c r="G7" s="19" t="s">
        <v>27</v>
      </c>
      <c r="H7" s="19" t="s">
        <v>28</v>
      </c>
      <c r="I7" s="19" t="s">
        <v>29</v>
      </c>
      <c r="J7" s="19" t="s">
        <v>30</v>
      </c>
      <c r="K7" s="19" t="s">
        <v>31</v>
      </c>
      <c r="L7" s="19" t="s">
        <v>32</v>
      </c>
      <c r="M7" s="19" t="s">
        <v>33</v>
      </c>
      <c r="N7" s="19" t="s">
        <v>34</v>
      </c>
      <c r="O7" s="19" t="s">
        <v>35</v>
      </c>
      <c r="P7" s="1"/>
    </row>
    <row r="8" spans="1:16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</row>
    <row r="9" spans="1:16" x14ac:dyDescent="0.25">
      <c r="A9" s="21" t="s">
        <v>3</v>
      </c>
      <c r="B9" s="22" t="s">
        <v>4</v>
      </c>
      <c r="C9" s="23" t="s">
        <v>5</v>
      </c>
      <c r="D9" s="49">
        <v>0.88658042729259467</v>
      </c>
      <c r="E9" s="49">
        <v>0.91906958732986188</v>
      </c>
      <c r="F9" s="49">
        <v>0.98609691767401897</v>
      </c>
      <c r="G9" s="49">
        <v>0.99604736120323956</v>
      </c>
      <c r="H9" s="49">
        <v>1</v>
      </c>
      <c r="I9" s="49">
        <v>0.79047102070318764</v>
      </c>
      <c r="J9" s="49">
        <v>0.97555248615946832</v>
      </c>
      <c r="K9" s="49">
        <v>0.96437301334072634</v>
      </c>
      <c r="L9" s="49">
        <v>0.97975893034941908</v>
      </c>
      <c r="M9" s="49">
        <v>0.9191310492477881</v>
      </c>
      <c r="N9" s="49">
        <v>0.92930285496758092</v>
      </c>
      <c r="O9" s="49">
        <v>0.93591669474733541</v>
      </c>
      <c r="P9" s="1"/>
    </row>
    <row r="10" spans="1:16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4"/>
    </row>
    <row r="11" spans="1:16" x14ac:dyDescent="0.25">
      <c r="A11" s="21">
        <v>2</v>
      </c>
      <c r="B11" s="22" t="s">
        <v>49</v>
      </c>
      <c r="C11" s="23" t="s">
        <v>5</v>
      </c>
      <c r="D11" s="49">
        <v>0.98485037731417491</v>
      </c>
      <c r="E11" s="49">
        <v>0.90627074750323933</v>
      </c>
      <c r="F11" s="49">
        <v>0.95707881712327192</v>
      </c>
      <c r="G11" s="49">
        <v>0.993899474321008</v>
      </c>
      <c r="H11" s="49">
        <v>0.99683291140404506</v>
      </c>
      <c r="I11" s="49">
        <v>0.9319530522498084</v>
      </c>
      <c r="J11" s="49">
        <v>0.87534060983026052</v>
      </c>
      <c r="K11" s="49">
        <v>0.97597962261426607</v>
      </c>
      <c r="L11" s="49">
        <v>0.98781133030173474</v>
      </c>
      <c r="M11" s="49">
        <v>0.96562626975345323</v>
      </c>
      <c r="N11" s="49">
        <v>0.97084368234079033</v>
      </c>
      <c r="O11" s="49">
        <v>0.84704645919100308</v>
      </c>
      <c r="P11" s="1"/>
    </row>
    <row r="12" spans="1:16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"/>
    </row>
    <row r="13" spans="1:16" x14ac:dyDescent="0.25">
      <c r="A13" s="21">
        <v>3</v>
      </c>
      <c r="B13" s="22" t="s">
        <v>50</v>
      </c>
      <c r="C13" s="25" t="s">
        <v>5</v>
      </c>
      <c r="D13" s="51">
        <v>0.98112483140827822</v>
      </c>
      <c r="E13" s="51">
        <v>0.76997468679552217</v>
      </c>
      <c r="F13" s="51">
        <v>0.99495766089105575</v>
      </c>
      <c r="G13" s="51">
        <v>0.85597031408615465</v>
      </c>
      <c r="H13" s="51">
        <v>0.78811793184372803</v>
      </c>
      <c r="I13" s="51">
        <v>0.91599700472021717</v>
      </c>
      <c r="J13" s="51">
        <v>0.79286943332690929</v>
      </c>
      <c r="K13" s="51">
        <v>0.96199448372148288</v>
      </c>
      <c r="L13" s="51">
        <v>0.97950848256671263</v>
      </c>
      <c r="M13" s="51">
        <v>0.94363277663650313</v>
      </c>
      <c r="N13" s="51">
        <v>0.95163601703403522</v>
      </c>
      <c r="O13" s="51">
        <v>0.79973628792698626</v>
      </c>
      <c r="P13" s="4"/>
    </row>
    <row r="14" spans="1:16" x14ac:dyDescent="0.25">
      <c r="A14" s="21">
        <v>4</v>
      </c>
      <c r="B14" s="22" t="s">
        <v>38</v>
      </c>
      <c r="C14" s="25" t="s">
        <v>5</v>
      </c>
      <c r="D14" s="51">
        <v>0.98169978298117355</v>
      </c>
      <c r="E14" s="51">
        <v>0.75398113018721358</v>
      </c>
      <c r="F14" s="51">
        <v>0.68648217942250889</v>
      </c>
      <c r="G14" s="51">
        <v>0.7180152447896424</v>
      </c>
      <c r="H14" s="51">
        <v>0.67364538781294447</v>
      </c>
      <c r="I14" s="51">
        <v>0.90268027227358838</v>
      </c>
      <c r="J14" s="51">
        <v>0.74048446080895525</v>
      </c>
      <c r="K14" s="51">
        <v>0.94713842444752394</v>
      </c>
      <c r="L14" s="51">
        <v>0.87101716881821867</v>
      </c>
      <c r="M14" s="51">
        <v>0.93738927802021188</v>
      </c>
      <c r="N14" s="51">
        <v>0.96391704120695099</v>
      </c>
      <c r="O14" s="51">
        <v>0.71708324412531166</v>
      </c>
      <c r="P14" s="1"/>
    </row>
    <row r="15" spans="1:16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</row>
    <row r="16" spans="1:16" x14ac:dyDescent="0.25">
      <c r="A16" s="21">
        <v>6</v>
      </c>
      <c r="B16" s="22" t="s">
        <v>39</v>
      </c>
      <c r="C16" s="25" t="s">
        <v>7</v>
      </c>
      <c r="D16" s="51">
        <v>0.97158267958407707</v>
      </c>
      <c r="E16" s="51">
        <v>0.85686727267491614</v>
      </c>
      <c r="F16" s="51">
        <v>0.86725558031787953</v>
      </c>
      <c r="G16" s="51">
        <v>0.90094423121331646</v>
      </c>
      <c r="H16" s="51">
        <v>0.87269993253445999</v>
      </c>
      <c r="I16" s="51">
        <v>0.88516259875034464</v>
      </c>
      <c r="J16" s="51">
        <v>0.86245674809175954</v>
      </c>
      <c r="K16" s="51">
        <v>0.93284025863779341</v>
      </c>
      <c r="L16" s="51">
        <v>0.86985575834267359</v>
      </c>
      <c r="M16" s="51">
        <v>0.98986550510148108</v>
      </c>
      <c r="N16" s="51">
        <v>0.88879440508747243</v>
      </c>
      <c r="O16" s="51">
        <v>0.81924252380367735</v>
      </c>
      <c r="P16" s="1"/>
    </row>
    <row r="17" spans="1:16" x14ac:dyDescent="0.25">
      <c r="A17" s="21">
        <v>7</v>
      </c>
      <c r="B17" s="22" t="s">
        <v>40</v>
      </c>
      <c r="C17" s="25" t="s">
        <v>7</v>
      </c>
      <c r="D17" s="51">
        <v>0.97448608493573652</v>
      </c>
      <c r="E17" s="51">
        <v>0.83507010733213338</v>
      </c>
      <c r="F17" s="51">
        <v>0.72114773673107424</v>
      </c>
      <c r="G17" s="51">
        <v>0.84931691665709608</v>
      </c>
      <c r="H17" s="51">
        <v>0.75398579864247672</v>
      </c>
      <c r="I17" s="51">
        <v>0.95158937779260555</v>
      </c>
      <c r="J17" s="51">
        <v>0.87292876271906494</v>
      </c>
      <c r="K17" s="51">
        <v>0.95265702575907318</v>
      </c>
      <c r="L17" s="51">
        <v>0.88134486123417921</v>
      </c>
      <c r="M17" s="51">
        <v>0.96576410895290998</v>
      </c>
      <c r="N17" s="51">
        <v>0.9337604526165878</v>
      </c>
      <c r="O17" s="51">
        <v>0.86135331001496196</v>
      </c>
      <c r="P17" s="1"/>
    </row>
    <row r="18" spans="1:16" x14ac:dyDescent="0.25">
      <c r="A18" s="21">
        <v>8</v>
      </c>
      <c r="B18" s="22" t="s">
        <v>41</v>
      </c>
      <c r="C18" s="25" t="s">
        <v>7</v>
      </c>
      <c r="D18" s="51">
        <v>0.6870290947026777</v>
      </c>
      <c r="E18" s="51">
        <v>0.40160535117056867</v>
      </c>
      <c r="F18" s="51">
        <v>0.14928215646059181</v>
      </c>
      <c r="G18" s="51">
        <v>0.65294554915443226</v>
      </c>
      <c r="H18" s="51">
        <v>0.41249132546842476</v>
      </c>
      <c r="I18" s="51">
        <v>0.77499173978486746</v>
      </c>
      <c r="J18" s="51">
        <v>0.77756731662024148</v>
      </c>
      <c r="K18" s="51">
        <v>0.80356191744340899</v>
      </c>
      <c r="L18" s="51">
        <v>0.69378736677930841</v>
      </c>
      <c r="M18" s="51">
        <v>0.74648033126293989</v>
      </c>
      <c r="N18" s="51">
        <v>0.73755957737559552</v>
      </c>
      <c r="O18" s="51">
        <v>0.63932340908309571</v>
      </c>
      <c r="P18" s="1"/>
    </row>
    <row r="19" spans="1:16" x14ac:dyDescent="0.25">
      <c r="A19" s="21">
        <v>9</v>
      </c>
      <c r="B19" s="22" t="s">
        <v>42</v>
      </c>
      <c r="C19" s="25" t="s">
        <v>7</v>
      </c>
      <c r="D19" s="51">
        <v>0.60851286462730225</v>
      </c>
      <c r="E19" s="51">
        <v>0.67059080056660514</v>
      </c>
      <c r="F19" s="51">
        <v>0.59866260077904154</v>
      </c>
      <c r="G19" s="51">
        <v>0.77335437423820153</v>
      </c>
      <c r="H19" s="51">
        <v>0.78390632175414876</v>
      </c>
      <c r="I19" s="51">
        <v>0.80119163885719702</v>
      </c>
      <c r="J19" s="51">
        <v>0.67111032057649245</v>
      </c>
      <c r="K19" s="51">
        <v>0.6755948550326496</v>
      </c>
      <c r="L19" s="51">
        <v>0.67405815754508125</v>
      </c>
      <c r="M19" s="51">
        <v>0.87075741732180889</v>
      </c>
      <c r="N19" s="51">
        <v>0.70036788983124632</v>
      </c>
      <c r="O19" s="51">
        <v>0.94738487696289908</v>
      </c>
      <c r="P19" s="5"/>
    </row>
    <row r="20" spans="1:16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</row>
    <row r="21" spans="1:16" x14ac:dyDescent="0.25">
      <c r="A21" s="21">
        <v>11</v>
      </c>
      <c r="B21" s="26" t="s">
        <v>43</v>
      </c>
      <c r="C21" s="25" t="s">
        <v>8</v>
      </c>
      <c r="D21" s="51">
        <v>0.99544800192048766</v>
      </c>
      <c r="E21" s="51">
        <v>0.93131599465418313</v>
      </c>
      <c r="F21" s="51">
        <v>0.66086024116752939</v>
      </c>
      <c r="G21" s="51">
        <v>0.77481201137331079</v>
      </c>
      <c r="H21" s="51">
        <v>0.90498568070516328</v>
      </c>
      <c r="I21" s="51">
        <v>0.90141700944304659</v>
      </c>
      <c r="J21" s="51">
        <v>0.97827384075927226</v>
      </c>
      <c r="K21" s="51">
        <v>0.93941088445917265</v>
      </c>
      <c r="L21" s="51">
        <v>0.70616915143019143</v>
      </c>
      <c r="M21" s="51">
        <v>0.91463471958522313</v>
      </c>
      <c r="N21" s="51">
        <v>0.86140136760361019</v>
      </c>
      <c r="O21" s="51">
        <v>0.90673690275418239</v>
      </c>
      <c r="P21" s="1"/>
    </row>
    <row r="22" spans="1:16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</row>
    <row r="23" spans="1:16" x14ac:dyDescent="0.25">
      <c r="A23" s="21">
        <v>12</v>
      </c>
      <c r="B23" s="28" t="s">
        <v>9</v>
      </c>
      <c r="C23" s="25" t="s">
        <v>5</v>
      </c>
      <c r="D23" s="51">
        <v>0</v>
      </c>
      <c r="E23" s="51">
        <v>0</v>
      </c>
      <c r="F23" s="51">
        <v>0</v>
      </c>
      <c r="G23" s="51">
        <v>0.99815486692800826</v>
      </c>
      <c r="H23" s="51">
        <v>0.93966050391065548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1"/>
    </row>
    <row r="25" spans="1:16" hidden="1" x14ac:dyDescent="0.25"/>
    <row r="27" spans="1:16" x14ac:dyDescent="0.25">
      <c r="A27" s="1"/>
      <c r="B27" s="57" t="s">
        <v>13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6" x14ac:dyDescent="0.25">
      <c r="A28" s="1"/>
      <c r="B28" s="57" t="s">
        <v>14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6" x14ac:dyDescent="0.25">
      <c r="A29" s="1"/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6" x14ac:dyDescent="0.25">
      <c r="A30" s="10"/>
      <c r="B30" s="55" t="s">
        <v>23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6" x14ac:dyDescent="0.25">
      <c r="A31" s="1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6" x14ac:dyDescent="0.25">
      <c r="A32" s="10"/>
      <c r="B32" s="17"/>
      <c r="C32" s="17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25">
      <c r="A33" s="15" t="s">
        <v>0</v>
      </c>
      <c r="B33" s="17" t="s">
        <v>1</v>
      </c>
      <c r="C33" s="34" t="s">
        <v>2</v>
      </c>
      <c r="D33" s="19" t="s">
        <v>24</v>
      </c>
      <c r="E33" s="19" t="s">
        <v>25</v>
      </c>
      <c r="F33" s="19" t="s">
        <v>26</v>
      </c>
      <c r="G33" s="19" t="s">
        <v>27</v>
      </c>
      <c r="H33" s="19" t="s">
        <v>28</v>
      </c>
      <c r="I33" s="19" t="s">
        <v>29</v>
      </c>
      <c r="J33" s="19" t="s">
        <v>30</v>
      </c>
      <c r="K33" s="19" t="s">
        <v>31</v>
      </c>
      <c r="L33" s="19" t="s">
        <v>32</v>
      </c>
      <c r="M33" s="19" t="s">
        <v>33</v>
      </c>
      <c r="N33" s="19" t="s">
        <v>34</v>
      </c>
      <c r="O33" s="19" t="s">
        <v>35</v>
      </c>
    </row>
    <row r="34" spans="1:15" x14ac:dyDescent="0.25">
      <c r="A34" s="10"/>
      <c r="B34" s="17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0"/>
    </row>
    <row r="35" spans="1:15" x14ac:dyDescent="0.25">
      <c r="A35" s="21" t="s">
        <v>3</v>
      </c>
      <c r="B35" s="22" t="s">
        <v>4</v>
      </c>
      <c r="C35" s="23" t="s">
        <v>5</v>
      </c>
      <c r="D35" s="49">
        <v>0.49364740896485176</v>
      </c>
      <c r="E35" s="49">
        <v>0.55425167349472237</v>
      </c>
      <c r="F35" s="49">
        <v>0.34662192628618793</v>
      </c>
      <c r="G35" s="49">
        <v>0.35482845673752972</v>
      </c>
      <c r="H35" s="49">
        <v>0.40513147156919349</v>
      </c>
      <c r="I35" s="49">
        <v>0.52021859386634739</v>
      </c>
      <c r="J35" s="49">
        <v>0.4811199504933083</v>
      </c>
      <c r="K35" s="49">
        <v>0.57494456313985909</v>
      </c>
      <c r="L35" s="49">
        <v>0.60828087028835132</v>
      </c>
      <c r="M35" s="49">
        <v>0.66816793847750544</v>
      </c>
      <c r="N35" s="49">
        <v>0.65566119919711596</v>
      </c>
      <c r="O35" s="49">
        <v>0.60186980672681256</v>
      </c>
    </row>
    <row r="36" spans="1:15" x14ac:dyDescent="0.25">
      <c r="A36" s="24"/>
      <c r="B36" s="22"/>
      <c r="C36" s="23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49"/>
    </row>
    <row r="37" spans="1:15" x14ac:dyDescent="0.25">
      <c r="A37" s="21">
        <v>2</v>
      </c>
      <c r="B37" s="22" t="s">
        <v>49</v>
      </c>
      <c r="C37" s="23" t="s">
        <v>5</v>
      </c>
      <c r="D37" s="49">
        <v>0.68877641390243949</v>
      </c>
      <c r="E37" s="49">
        <v>0.75884872369128042</v>
      </c>
      <c r="F37" s="49">
        <v>0.70784439131957433</v>
      </c>
      <c r="G37" s="49">
        <v>0.71504639115406776</v>
      </c>
      <c r="H37" s="49">
        <v>0.74117885980770681</v>
      </c>
      <c r="I37" s="49">
        <v>0.75056990654956346</v>
      </c>
      <c r="J37" s="49">
        <v>0.70872183998096083</v>
      </c>
      <c r="K37" s="49">
        <v>0.72623165232399167</v>
      </c>
      <c r="L37" s="49">
        <v>0.69935823249858098</v>
      </c>
      <c r="M37" s="49">
        <v>0.7378887217243405</v>
      </c>
      <c r="N37" s="49">
        <v>0.74805074425894436</v>
      </c>
      <c r="O37" s="49">
        <v>0.71407391751812288</v>
      </c>
    </row>
    <row r="38" spans="1:15" x14ac:dyDescent="0.25">
      <c r="A38" s="21"/>
      <c r="B38" s="22"/>
      <c r="C38" s="2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21">
        <v>3</v>
      </c>
      <c r="B39" s="22" t="s">
        <v>50</v>
      </c>
      <c r="C39" s="25" t="s">
        <v>5</v>
      </c>
      <c r="D39" s="51">
        <v>0.59850467174127431</v>
      </c>
      <c r="E39" s="51">
        <v>0.59908103457426609</v>
      </c>
      <c r="F39" s="51">
        <v>0.66587274263924989</v>
      </c>
      <c r="G39" s="51">
        <v>0.65903604077891675</v>
      </c>
      <c r="H39" s="51">
        <v>0.63445852582010842</v>
      </c>
      <c r="I39" s="51">
        <v>0.63114535649358361</v>
      </c>
      <c r="J39" s="51">
        <v>0.59970146392247203</v>
      </c>
      <c r="K39" s="51">
        <v>0.66094208890243589</v>
      </c>
      <c r="L39" s="51">
        <v>0.66223918112995195</v>
      </c>
      <c r="M39" s="51">
        <v>0.69454147690955836</v>
      </c>
      <c r="N39" s="51">
        <v>0.69797481054869404</v>
      </c>
      <c r="O39" s="51">
        <v>0.66680132927125113</v>
      </c>
    </row>
    <row r="40" spans="1:15" x14ac:dyDescent="0.25">
      <c r="A40" s="21">
        <v>4</v>
      </c>
      <c r="B40" s="22" t="s">
        <v>38</v>
      </c>
      <c r="C40" s="25" t="s">
        <v>5</v>
      </c>
      <c r="D40" s="51">
        <v>0.69804427277743419</v>
      </c>
      <c r="E40" s="51">
        <v>0.6665612529830226</v>
      </c>
      <c r="F40" s="51">
        <v>0.66966030441803548</v>
      </c>
      <c r="G40" s="51">
        <v>0.70662013536579626</v>
      </c>
      <c r="H40" s="51">
        <v>0.70054917202268441</v>
      </c>
      <c r="I40" s="51">
        <v>0.70672887685937247</v>
      </c>
      <c r="J40" s="51">
        <v>0.68618489488090939</v>
      </c>
      <c r="K40" s="51">
        <v>0.73098446875827827</v>
      </c>
      <c r="L40" s="51">
        <v>0.73886381908946486</v>
      </c>
      <c r="M40" s="51">
        <v>0.75712473879107522</v>
      </c>
      <c r="N40" s="51">
        <v>0.76826311742561926</v>
      </c>
      <c r="O40" s="51">
        <v>0.71767935330208565</v>
      </c>
    </row>
    <row r="41" spans="1:15" x14ac:dyDescent="0.25">
      <c r="A41" s="24"/>
      <c r="B41" s="27"/>
      <c r="C41" s="2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1"/>
    </row>
    <row r="42" spans="1:15" x14ac:dyDescent="0.25">
      <c r="A42" s="21">
        <v>6</v>
      </c>
      <c r="B42" s="22" t="s">
        <v>39</v>
      </c>
      <c r="C42" s="25" t="s">
        <v>7</v>
      </c>
      <c r="D42" s="51">
        <v>0.83627630920566298</v>
      </c>
      <c r="E42" s="51">
        <v>0.83657209009034739</v>
      </c>
      <c r="F42" s="51">
        <v>0.84641877448363645</v>
      </c>
      <c r="G42" s="51">
        <v>0.83204642252285199</v>
      </c>
      <c r="H42" s="51">
        <v>0.84928161130523172</v>
      </c>
      <c r="I42" s="51">
        <v>0.81735797882219241</v>
      </c>
      <c r="J42" s="51">
        <v>0.82712297498263487</v>
      </c>
      <c r="K42" s="51">
        <v>0.82671975865863001</v>
      </c>
      <c r="L42" s="51">
        <v>0.84848361116468729</v>
      </c>
      <c r="M42" s="51">
        <v>0.85977780664227021</v>
      </c>
      <c r="N42" s="51">
        <v>0.85839699154255356</v>
      </c>
      <c r="O42" s="51">
        <v>0.85273849399433976</v>
      </c>
    </row>
    <row r="43" spans="1:15" x14ac:dyDescent="0.25">
      <c r="A43" s="21">
        <v>7</v>
      </c>
      <c r="B43" s="22" t="s">
        <v>40</v>
      </c>
      <c r="C43" s="25" t="s">
        <v>7</v>
      </c>
      <c r="D43" s="51">
        <v>0.83546864016422007</v>
      </c>
      <c r="E43" s="51">
        <v>0.81324660802313609</v>
      </c>
      <c r="F43" s="51">
        <v>0.80574741025041852</v>
      </c>
      <c r="G43" s="51">
        <v>0.84767468743154617</v>
      </c>
      <c r="H43" s="51">
        <v>0.8262429825594626</v>
      </c>
      <c r="I43" s="51">
        <v>0.84040882144997631</v>
      </c>
      <c r="J43" s="51">
        <v>0.83017074652146916</v>
      </c>
      <c r="K43" s="51">
        <v>0.85369409993745304</v>
      </c>
      <c r="L43" s="51">
        <v>0.85455385564537545</v>
      </c>
      <c r="M43" s="51">
        <v>0.86996314279973275</v>
      </c>
      <c r="N43" s="51">
        <v>0.85133874063550974</v>
      </c>
      <c r="O43" s="51">
        <v>0.85142330015097012</v>
      </c>
    </row>
    <row r="44" spans="1:15" x14ac:dyDescent="0.25">
      <c r="A44" s="21">
        <v>8</v>
      </c>
      <c r="B44" s="22" t="s">
        <v>41</v>
      </c>
      <c r="C44" s="25" t="s">
        <v>7</v>
      </c>
      <c r="D44" s="51">
        <v>0.5763883435891235</v>
      </c>
      <c r="E44" s="51">
        <v>0.50888261798587875</v>
      </c>
      <c r="F44" s="51">
        <v>0.4836450171545229</v>
      </c>
      <c r="G44" s="51">
        <v>0.58636720599960424</v>
      </c>
      <c r="H44" s="51">
        <v>0.64939539891829956</v>
      </c>
      <c r="I44" s="51">
        <v>0.6186341078000509</v>
      </c>
      <c r="J44" s="51">
        <v>0.62787449705973364</v>
      </c>
      <c r="K44" s="51">
        <v>0.66994902853542948</v>
      </c>
      <c r="L44" s="51">
        <v>0.63201191224041797</v>
      </c>
      <c r="M44" s="51">
        <v>0.70667131392061233</v>
      </c>
      <c r="N44" s="51">
        <v>0.67982001083045795</v>
      </c>
      <c r="O44" s="51">
        <v>0.61341000943529544</v>
      </c>
    </row>
    <row r="45" spans="1:15" x14ac:dyDescent="0.25">
      <c r="A45" s="21">
        <v>9</v>
      </c>
      <c r="B45" s="22" t="s">
        <v>42</v>
      </c>
      <c r="C45" s="25" t="s">
        <v>7</v>
      </c>
      <c r="D45" s="51">
        <v>0.75294179919514925</v>
      </c>
      <c r="E45" s="51">
        <v>0.70116844956206803</v>
      </c>
      <c r="F45" s="51">
        <v>0.7957473290149023</v>
      </c>
      <c r="G45" s="51">
        <v>0.82186285108833312</v>
      </c>
      <c r="H45" s="51">
        <v>0.79906511303934424</v>
      </c>
      <c r="I45" s="51">
        <v>0.78597428343698394</v>
      </c>
      <c r="J45" s="51">
        <v>0.74728486341451783</v>
      </c>
      <c r="K45" s="51">
        <v>0.79802166788321893</v>
      </c>
      <c r="L45" s="51">
        <v>0.77752178004088923</v>
      </c>
      <c r="M45" s="51">
        <v>0.8492803899436101</v>
      </c>
      <c r="N45" s="51">
        <v>0.85249905880108257</v>
      </c>
      <c r="O45" s="51">
        <v>0.86818468247197456</v>
      </c>
    </row>
    <row r="46" spans="1:15" x14ac:dyDescent="0.25">
      <c r="A46" s="21"/>
      <c r="B46" s="22"/>
      <c r="C46" s="25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1:15" x14ac:dyDescent="0.25">
      <c r="A47" s="21">
        <v>11</v>
      </c>
      <c r="B47" s="26" t="s">
        <v>43</v>
      </c>
      <c r="C47" s="25" t="s">
        <v>8</v>
      </c>
      <c r="D47" s="51">
        <v>0.86266517859867498</v>
      </c>
      <c r="E47" s="51">
        <v>0.76898075978377634</v>
      </c>
      <c r="F47" s="51">
        <v>0.77976766153175647</v>
      </c>
      <c r="G47" s="51">
        <v>0.76851611730157909</v>
      </c>
      <c r="H47" s="51">
        <v>0.83363806164990695</v>
      </c>
      <c r="I47" s="51">
        <v>0.7894174471719454</v>
      </c>
      <c r="J47" s="51">
        <v>0.81866905018034908</v>
      </c>
      <c r="K47" s="51">
        <v>0.86601035106147206</v>
      </c>
      <c r="L47" s="51">
        <v>0.82504407287942649</v>
      </c>
      <c r="M47" s="51">
        <v>0.83777111058063092</v>
      </c>
      <c r="N47" s="51">
        <v>0.80525549759578974</v>
      </c>
      <c r="O47" s="51">
        <v>0.81325055754082654</v>
      </c>
    </row>
    <row r="48" spans="1:15" x14ac:dyDescent="0.25">
      <c r="A48" s="24"/>
      <c r="B48" s="22"/>
      <c r="C48" s="2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 spans="1:15" x14ac:dyDescent="0.25">
      <c r="A49" s="21">
        <v>12</v>
      </c>
      <c r="B49" s="28" t="s">
        <v>9</v>
      </c>
      <c r="C49" s="25" t="s">
        <v>5</v>
      </c>
      <c r="D49" s="51">
        <v>0.46988690131737926</v>
      </c>
      <c r="E49" s="51">
        <v>0.50446675437706578</v>
      </c>
      <c r="F49" s="51">
        <v>0.52245026846621323</v>
      </c>
      <c r="G49" s="51">
        <v>0.51729377733548021</v>
      </c>
      <c r="H49" s="51">
        <v>0.4867479637183097</v>
      </c>
      <c r="I49" s="51">
        <v>0.42057934171895295</v>
      </c>
      <c r="J49" s="51">
        <v>0.42112026047847173</v>
      </c>
      <c r="K49" s="51">
        <v>0.41037080427115336</v>
      </c>
      <c r="L49" s="51">
        <v>0.37921524378184035</v>
      </c>
      <c r="M49" s="51">
        <v>0.3792024919858839</v>
      </c>
      <c r="N49" s="51">
        <v>0.41440280935389529</v>
      </c>
      <c r="O49" s="51">
        <v>0.41615694798993336</v>
      </c>
    </row>
    <row r="50" spans="1:15" x14ac:dyDescent="0.25">
      <c r="A50" s="3"/>
      <c r="B50" s="2"/>
      <c r="C50" s="2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 t="s">
        <v>6</v>
      </c>
      <c r="M50" s="6" t="s">
        <v>6</v>
      </c>
      <c r="N50" s="6" t="s">
        <v>6</v>
      </c>
      <c r="O50" s="6" t="s">
        <v>6</v>
      </c>
    </row>
  </sheetData>
  <mergeCells count="8">
    <mergeCell ref="B1:O1"/>
    <mergeCell ref="B27:O27"/>
    <mergeCell ref="B30:O30"/>
    <mergeCell ref="B2:O2"/>
    <mergeCell ref="B3:O3"/>
    <mergeCell ref="B4:O4"/>
    <mergeCell ref="B28:O28"/>
    <mergeCell ref="B29:O29"/>
  </mergeCells>
  <pageMargins left="0.7" right="0.7" top="0.75" bottom="0.75" header="0.3" footer="0.3"/>
  <pageSetup scale="5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tabSelected="1" zoomScale="80" zoomScaleNormal="80" workbookViewId="0">
      <selection activeCell="A36" sqref="A36:XFD36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21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55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58</v>
      </c>
      <c r="E7" s="19" t="s">
        <v>59</v>
      </c>
      <c r="F7" s="19" t="s">
        <v>60</v>
      </c>
      <c r="G7" s="19" t="s">
        <v>61</v>
      </c>
      <c r="H7" s="19" t="s">
        <v>62</v>
      </c>
      <c r="I7" s="19" t="s">
        <v>63</v>
      </c>
      <c r="J7" s="19" t="s">
        <v>64</v>
      </c>
      <c r="K7" s="19" t="s">
        <v>65</v>
      </c>
      <c r="L7" s="19" t="s">
        <v>66</v>
      </c>
      <c r="M7" s="19" t="s">
        <v>67</v>
      </c>
      <c r="N7" s="19" t="s">
        <v>68</v>
      </c>
      <c r="O7" s="19" t="s">
        <v>69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1</v>
      </c>
      <c r="E9" s="49">
        <v>0.74500795244588314</v>
      </c>
      <c r="F9" s="49">
        <v>0.86966628152862824</v>
      </c>
      <c r="G9" s="49">
        <v>0.95272971200073653</v>
      </c>
      <c r="H9" s="49">
        <v>0.98506352646447204</v>
      </c>
      <c r="I9" s="49">
        <v>0.97396217864077261</v>
      </c>
      <c r="J9" s="49">
        <v>0.94172067793778425</v>
      </c>
      <c r="K9" s="49">
        <v>0.94640547798356944</v>
      </c>
      <c r="L9" s="49">
        <v>0.91549057576723725</v>
      </c>
      <c r="M9" s="49">
        <v>0.91000192762280097</v>
      </c>
      <c r="N9" s="49">
        <v>0.94212933665740572</v>
      </c>
      <c r="O9" s="49">
        <v>0.89627338767155451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49</v>
      </c>
      <c r="C11" s="23" t="s">
        <v>5</v>
      </c>
      <c r="D11" s="49">
        <v>0.81825314315500797</v>
      </c>
      <c r="E11" s="49">
        <v>2.5418706956012289E-2</v>
      </c>
      <c r="F11" s="49">
        <v>0.9888558605435428</v>
      </c>
      <c r="G11" s="49">
        <v>1</v>
      </c>
      <c r="H11" s="49">
        <v>0.96880927183301235</v>
      </c>
      <c r="I11" s="49">
        <v>0.78018129348006215</v>
      </c>
      <c r="J11" s="49">
        <v>0.99742662786992431</v>
      </c>
      <c r="K11" s="49">
        <v>0.91489672785979104</v>
      </c>
      <c r="L11" s="49">
        <v>0.98574249595320251</v>
      </c>
      <c r="M11" s="49">
        <v>0.89660117015984908</v>
      </c>
      <c r="N11" s="49">
        <v>0.99635545469673714</v>
      </c>
      <c r="O11" s="49">
        <v>0.94459086527200142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50</v>
      </c>
      <c r="C13" s="25" t="s">
        <v>5</v>
      </c>
      <c r="D13" s="49">
        <v>0.76003561572261324</v>
      </c>
      <c r="E13" s="49">
        <v>0.98557377954150782</v>
      </c>
      <c r="F13" s="49">
        <v>0.97770343715472652</v>
      </c>
      <c r="G13" s="49">
        <v>1</v>
      </c>
      <c r="H13" s="49">
        <v>0.98498149064945051</v>
      </c>
      <c r="I13" s="49">
        <v>0.65097134326758155</v>
      </c>
      <c r="J13" s="49">
        <v>0.97330794969320611</v>
      </c>
      <c r="K13" s="49">
        <v>0.8888292071288062</v>
      </c>
      <c r="L13" s="49">
        <v>0.98261442822033696</v>
      </c>
      <c r="M13" s="49">
        <v>0.89176196422402065</v>
      </c>
      <c r="N13" s="49">
        <v>0.99160466751121934</v>
      </c>
      <c r="O13" s="49">
        <v>0.92873938742703566</v>
      </c>
      <c r="P13" s="1"/>
      <c r="Q13" s="4"/>
    </row>
    <row r="14" spans="1:17" x14ac:dyDescent="0.25">
      <c r="A14" s="21">
        <v>4</v>
      </c>
      <c r="B14" s="22" t="s">
        <v>38</v>
      </c>
      <c r="C14" s="25" t="s">
        <v>5</v>
      </c>
      <c r="D14" s="49">
        <v>0.73376901993066102</v>
      </c>
      <c r="E14" s="49">
        <v>0.95943870181673796</v>
      </c>
      <c r="F14" s="49">
        <v>0.9412106737521293</v>
      </c>
      <c r="G14" s="49">
        <v>0.87857441654582857</v>
      </c>
      <c r="H14" s="49">
        <v>0.82535925585804526</v>
      </c>
      <c r="I14" s="49">
        <v>0.63483422900977937</v>
      </c>
      <c r="J14" s="49">
        <v>0.93781710520953776</v>
      </c>
      <c r="K14" s="49">
        <v>0.88087971067562088</v>
      </c>
      <c r="L14" s="49">
        <v>0.82324062867168213</v>
      </c>
      <c r="M14" s="49">
        <v>0.92194748606754395</v>
      </c>
      <c r="N14" s="49">
        <v>0.91623170993240288</v>
      </c>
      <c r="O14" s="49">
        <v>0.95747965263000545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39</v>
      </c>
      <c r="C16" s="25" t="s">
        <v>7</v>
      </c>
      <c r="D16" s="49">
        <v>0.93049948224364221</v>
      </c>
      <c r="E16" s="49">
        <v>0.96512287465762914</v>
      </c>
      <c r="F16" s="49">
        <v>0.96441102524345546</v>
      </c>
      <c r="G16" s="49">
        <v>0.98273027034277982</v>
      </c>
      <c r="H16" s="49">
        <v>0.96140044483560427</v>
      </c>
      <c r="I16" s="49">
        <v>0.85548939371724975</v>
      </c>
      <c r="J16" s="49">
        <v>0.97759839992992581</v>
      </c>
      <c r="K16" s="49">
        <v>0.93548351082926406</v>
      </c>
      <c r="L16" s="49">
        <v>0.95994902655166725</v>
      </c>
      <c r="M16" s="49">
        <v>0.91600066154260151</v>
      </c>
      <c r="N16" s="49">
        <v>0.97385868393373731</v>
      </c>
      <c r="O16" s="49">
        <v>0.92154342372535514</v>
      </c>
      <c r="P16" s="1"/>
      <c r="Q16" s="1"/>
    </row>
    <row r="17" spans="1:17" x14ac:dyDescent="0.25">
      <c r="A17" s="21">
        <v>7</v>
      </c>
      <c r="B17" s="22" t="s">
        <v>40</v>
      </c>
      <c r="C17" s="25" t="s">
        <v>7</v>
      </c>
      <c r="D17" s="49">
        <v>0.82979963102154586</v>
      </c>
      <c r="E17" s="49">
        <v>0.94322245946646821</v>
      </c>
      <c r="F17" s="49">
        <v>0.97326386251152452</v>
      </c>
      <c r="G17" s="49">
        <v>0.95271602948720047</v>
      </c>
      <c r="H17" s="49">
        <v>0.8498735113832897</v>
      </c>
      <c r="I17" s="49">
        <v>0.77357447116020062</v>
      </c>
      <c r="J17" s="49">
        <v>0.97493842210206838</v>
      </c>
      <c r="K17" s="49">
        <v>0.93615376052314103</v>
      </c>
      <c r="L17" s="49">
        <v>0.90690353731084472</v>
      </c>
      <c r="M17" s="49">
        <v>0.9259207555704112</v>
      </c>
      <c r="N17" s="49">
        <v>0.96058978126539685</v>
      </c>
      <c r="O17" s="49">
        <v>0.96369640438967941</v>
      </c>
      <c r="P17" s="1"/>
      <c r="Q17" s="1"/>
    </row>
    <row r="18" spans="1:17" x14ac:dyDescent="0.25">
      <c r="A18" s="21">
        <v>8</v>
      </c>
      <c r="B18" s="22" t="s">
        <v>41</v>
      </c>
      <c r="C18" s="25" t="s">
        <v>7</v>
      </c>
      <c r="D18" s="49">
        <v>0.82077464788732402</v>
      </c>
      <c r="E18" s="49">
        <v>0.7209714141158613</v>
      </c>
      <c r="F18" s="49">
        <v>0.36927718745900567</v>
      </c>
      <c r="G18" s="49">
        <v>0.62514051121646053</v>
      </c>
      <c r="H18" s="49">
        <v>0.90075227662663326</v>
      </c>
      <c r="I18" s="49">
        <v>0.61193877028618238</v>
      </c>
      <c r="J18" s="49">
        <v>0.56239309439516294</v>
      </c>
      <c r="K18" s="49">
        <v>0.97950168558918127</v>
      </c>
      <c r="L18" s="49">
        <v>0.75517281689592031</v>
      </c>
      <c r="M18" s="49">
        <v>0.74293321661742706</v>
      </c>
      <c r="N18" s="49">
        <v>0.72161058025204272</v>
      </c>
      <c r="O18" s="49">
        <v>0.89026699840320844</v>
      </c>
      <c r="P18" s="5"/>
      <c r="Q18" s="5"/>
    </row>
    <row r="19" spans="1:17" x14ac:dyDescent="0.25">
      <c r="A19" s="21">
        <v>9</v>
      </c>
      <c r="B19" s="22" t="s">
        <v>42</v>
      </c>
      <c r="C19" s="25" t="s">
        <v>7</v>
      </c>
      <c r="D19" s="49">
        <v>0.73542470573957019</v>
      </c>
      <c r="E19" s="49">
        <v>0.83872036911164827</v>
      </c>
      <c r="F19" s="49">
        <v>0.83014105687059259</v>
      </c>
      <c r="G19" s="49">
        <v>0.77638627681966021</v>
      </c>
      <c r="H19" s="49">
        <v>0.85480424066252902</v>
      </c>
      <c r="I19" s="49">
        <v>0.88588660810952846</v>
      </c>
      <c r="J19" s="49">
        <v>0.93920619319462373</v>
      </c>
      <c r="K19" s="49">
        <v>0.8619561171338973</v>
      </c>
      <c r="L19" s="49">
        <v>0.77574500430260929</v>
      </c>
      <c r="M19" s="49">
        <v>0.89548171873124194</v>
      </c>
      <c r="N19" s="49">
        <v>0.83716111772434498</v>
      </c>
      <c r="O19" s="49">
        <v>0.6138169229587308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43</v>
      </c>
      <c r="C21" s="25" t="s">
        <v>8</v>
      </c>
      <c r="D21" s="49">
        <v>0.83340129115137229</v>
      </c>
      <c r="E21" s="49">
        <v>0.90747106269332545</v>
      </c>
      <c r="F21" s="49">
        <v>0.94309342134872376</v>
      </c>
      <c r="G21" s="49">
        <v>0.7629186343004376</v>
      </c>
      <c r="H21" s="49">
        <v>0.76411839525683611</v>
      </c>
      <c r="I21" s="49">
        <v>0.83554400815289909</v>
      </c>
      <c r="J21" s="49">
        <v>0.90997946560165066</v>
      </c>
      <c r="K21" s="49">
        <v>0.94224629101753699</v>
      </c>
      <c r="L21" s="49">
        <v>0.85285833927445254</v>
      </c>
      <c r="M21" s="49">
        <v>0.99636738342097264</v>
      </c>
      <c r="N21" s="49">
        <v>0.73952309984037745</v>
      </c>
      <c r="O21" s="49">
        <v>0.85192302350216842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hidden="1" x14ac:dyDescent="0.25">
      <c r="P25" s="1"/>
      <c r="Q25" s="1"/>
    </row>
    <row r="26" spans="1:17" x14ac:dyDescent="0.25">
      <c r="P26" s="1"/>
      <c r="Q26" s="1"/>
    </row>
    <row r="27" spans="1:17" x14ac:dyDescent="0.25">
      <c r="A27" s="1"/>
      <c r="B27" s="57" t="s">
        <v>13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14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"/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7" x14ac:dyDescent="0.25">
      <c r="A30" s="10"/>
      <c r="B30" s="55" t="s">
        <v>55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7" x14ac:dyDescent="0.25">
      <c r="A31" s="1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0"/>
      <c r="B32" s="17"/>
      <c r="C32" s="17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25">
      <c r="A33" s="15" t="s">
        <v>0</v>
      </c>
      <c r="B33" s="17" t="s">
        <v>1</v>
      </c>
      <c r="C33" s="34" t="s">
        <v>2</v>
      </c>
      <c r="D33" s="19" t="s">
        <v>58</v>
      </c>
      <c r="E33" s="19" t="s">
        <v>59</v>
      </c>
      <c r="F33" s="19" t="s">
        <v>60</v>
      </c>
      <c r="G33" s="19" t="s">
        <v>61</v>
      </c>
      <c r="H33" s="19" t="s">
        <v>62</v>
      </c>
      <c r="I33" s="19" t="s">
        <v>63</v>
      </c>
      <c r="J33" s="19" t="s">
        <v>64</v>
      </c>
      <c r="K33" s="19" t="s">
        <v>65</v>
      </c>
      <c r="L33" s="19" t="s">
        <v>66</v>
      </c>
      <c r="M33" s="19" t="s">
        <v>67</v>
      </c>
      <c r="N33" s="19" t="s">
        <v>68</v>
      </c>
      <c r="O33" s="19" t="s">
        <v>69</v>
      </c>
    </row>
    <row r="34" spans="1:15" x14ac:dyDescent="0.25">
      <c r="A34" s="10"/>
      <c r="B34" s="17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0"/>
    </row>
    <row r="35" spans="1:15" x14ac:dyDescent="0.25">
      <c r="A35" s="21" t="s">
        <v>3</v>
      </c>
      <c r="B35" s="22" t="s">
        <v>4</v>
      </c>
      <c r="C35" s="23" t="s">
        <v>5</v>
      </c>
      <c r="D35" s="49">
        <v>0.50918990933827413</v>
      </c>
      <c r="E35" s="49">
        <v>0.8841127446967274</v>
      </c>
      <c r="F35" s="49">
        <v>0.6212779730106518</v>
      </c>
      <c r="G35" s="49">
        <v>0.47227082157665429</v>
      </c>
      <c r="H35" s="49">
        <v>0.41571131266953149</v>
      </c>
      <c r="I35" s="49">
        <v>0.44218268316092219</v>
      </c>
      <c r="J35" s="49">
        <v>0.54335177051668504</v>
      </c>
      <c r="K35" s="49">
        <v>0.60046252632907349</v>
      </c>
      <c r="L35" s="49">
        <v>0.63518729568480814</v>
      </c>
      <c r="M35" s="49">
        <v>0.64657644481102539</v>
      </c>
      <c r="N35" s="49">
        <v>0.62301345035355737</v>
      </c>
      <c r="O35" s="49">
        <v>0.57947280840091597</v>
      </c>
    </row>
    <row r="36" spans="1:15" x14ac:dyDescent="0.25">
      <c r="A36" s="24"/>
      <c r="B36" s="22"/>
      <c r="C36" s="23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49"/>
    </row>
    <row r="37" spans="1:15" x14ac:dyDescent="0.25">
      <c r="A37" s="21">
        <v>2</v>
      </c>
      <c r="B37" s="22" t="s">
        <v>49</v>
      </c>
      <c r="C37" s="23" t="s">
        <v>5</v>
      </c>
      <c r="D37" s="49">
        <v>0.70762155600258525</v>
      </c>
      <c r="E37" s="49">
        <v>0.51714079846669803</v>
      </c>
      <c r="F37" s="49">
        <v>0.77287002295632234</v>
      </c>
      <c r="G37" s="49">
        <v>0.7700814794611327</v>
      </c>
      <c r="H37" s="49">
        <v>0.71963168073345263</v>
      </c>
      <c r="I37" s="49">
        <v>0.78127692413869088</v>
      </c>
      <c r="J37" s="49">
        <v>0.73442421808359526</v>
      </c>
      <c r="K37" s="49">
        <v>0.72316776490553103</v>
      </c>
      <c r="L37" s="49">
        <v>0.74860740868810771</v>
      </c>
      <c r="M37" s="49">
        <v>0.75135525187832186</v>
      </c>
      <c r="N37" s="49">
        <v>0.7143354528961452</v>
      </c>
      <c r="O37" s="49">
        <v>0.73561097971104505</v>
      </c>
    </row>
    <row r="38" spans="1:15" x14ac:dyDescent="0.25">
      <c r="A38" s="21"/>
      <c r="B38" s="22"/>
      <c r="C38" s="2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21">
        <v>3</v>
      </c>
      <c r="B39" s="22" t="s">
        <v>50</v>
      </c>
      <c r="C39" s="25" t="s">
        <v>5</v>
      </c>
      <c r="D39" s="49">
        <v>0.61796706569028603</v>
      </c>
      <c r="E39" s="49">
        <v>0.61787059483132822</v>
      </c>
      <c r="F39" s="49">
        <v>0.61743104449923247</v>
      </c>
      <c r="G39" s="49">
        <v>0.67141468094512624</v>
      </c>
      <c r="H39" s="49">
        <v>0.62906611190025863</v>
      </c>
      <c r="I39" s="49">
        <v>0.63134040432718042</v>
      </c>
      <c r="J39" s="49">
        <v>0.63914950752944089</v>
      </c>
      <c r="K39" s="49">
        <v>0.66144573888826508</v>
      </c>
      <c r="L39" s="49">
        <v>0.71157034784917861</v>
      </c>
      <c r="M39" s="49">
        <v>0.70078175485717653</v>
      </c>
      <c r="N39" s="49">
        <v>0.67411568024447033</v>
      </c>
      <c r="O39" s="49">
        <v>0.66209172029702634</v>
      </c>
    </row>
    <row r="40" spans="1:15" x14ac:dyDescent="0.25">
      <c r="A40" s="21">
        <v>4</v>
      </c>
      <c r="B40" s="22" t="s">
        <v>38</v>
      </c>
      <c r="C40" s="25" t="s">
        <v>5</v>
      </c>
      <c r="D40" s="49">
        <v>0.68470931788559453</v>
      </c>
      <c r="E40" s="49">
        <v>0.68164935384831959</v>
      </c>
      <c r="F40" s="49">
        <v>0.68499991192726195</v>
      </c>
      <c r="G40" s="49">
        <v>0.73791533452389124</v>
      </c>
      <c r="H40" s="49">
        <v>0.71460908913925147</v>
      </c>
      <c r="I40" s="49">
        <v>0.6736978800468425</v>
      </c>
      <c r="J40" s="49">
        <v>0.71886323563464294</v>
      </c>
      <c r="K40" s="49">
        <v>0.72840587204661911</v>
      </c>
      <c r="L40" s="49">
        <v>0.75678703613000131</v>
      </c>
      <c r="M40" s="49">
        <v>0.76311254942254692</v>
      </c>
      <c r="N40" s="49">
        <v>0.76752561513720352</v>
      </c>
      <c r="O40" s="49">
        <v>0.73237916065016884</v>
      </c>
    </row>
    <row r="41" spans="1:15" x14ac:dyDescent="0.25">
      <c r="A41" s="24"/>
      <c r="B41" s="27"/>
      <c r="C41" s="2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1"/>
    </row>
    <row r="42" spans="1:15" x14ac:dyDescent="0.25">
      <c r="A42" s="21">
        <v>6</v>
      </c>
      <c r="B42" s="22" t="s">
        <v>39</v>
      </c>
      <c r="C42" s="25" t="s">
        <v>7</v>
      </c>
      <c r="D42" s="49">
        <v>0.81270790994022135</v>
      </c>
      <c r="E42" s="49">
        <v>0.83171309338905008</v>
      </c>
      <c r="F42" s="49">
        <v>0.80517541741930454</v>
      </c>
      <c r="G42" s="49">
        <v>0.87575026643394516</v>
      </c>
      <c r="H42" s="49">
        <v>0.86194023249936169</v>
      </c>
      <c r="I42" s="49">
        <v>0.84791606518423723</v>
      </c>
      <c r="J42" s="49">
        <v>0.85192776947518145</v>
      </c>
      <c r="K42" s="49">
        <v>0.83204570985519244</v>
      </c>
      <c r="L42" s="49">
        <v>0.84203201896695667</v>
      </c>
      <c r="M42" s="49">
        <v>0.84954865564294446</v>
      </c>
      <c r="N42" s="49">
        <v>0.82588932460307107</v>
      </c>
      <c r="O42" s="49">
        <v>0.83014170822645705</v>
      </c>
    </row>
    <row r="43" spans="1:15" x14ac:dyDescent="0.25">
      <c r="A43" s="21">
        <v>7</v>
      </c>
      <c r="B43" s="22" t="s">
        <v>40</v>
      </c>
      <c r="C43" s="25" t="s">
        <v>7</v>
      </c>
      <c r="D43" s="49">
        <v>0.80965202653918655</v>
      </c>
      <c r="E43" s="49">
        <v>0.82726808004450447</v>
      </c>
      <c r="F43" s="49">
        <v>0.8140563930913518</v>
      </c>
      <c r="G43" s="49">
        <v>0.86172801313442793</v>
      </c>
      <c r="H43" s="49">
        <v>0.8185916975368438</v>
      </c>
      <c r="I43" s="49">
        <v>0.8171199611897173</v>
      </c>
      <c r="J43" s="49">
        <v>0.84961728421848604</v>
      </c>
      <c r="K43" s="49">
        <v>0.82956042693092158</v>
      </c>
      <c r="L43" s="49">
        <v>0.86717367157928538</v>
      </c>
      <c r="M43" s="49">
        <v>0.84903591515143906</v>
      </c>
      <c r="N43" s="49">
        <v>0.85961075391306629</v>
      </c>
      <c r="O43" s="49">
        <v>0.85006448570278381</v>
      </c>
    </row>
    <row r="44" spans="1:15" x14ac:dyDescent="0.25">
      <c r="A44" s="21">
        <v>8</v>
      </c>
      <c r="B44" s="22" t="s">
        <v>41</v>
      </c>
      <c r="C44" s="25" t="s">
        <v>7</v>
      </c>
      <c r="D44" s="49">
        <v>0.58785227043263166</v>
      </c>
      <c r="E44" s="49">
        <v>0.40785069473723662</v>
      </c>
      <c r="F44" s="49">
        <v>0.40407654960440886</v>
      </c>
      <c r="G44" s="49">
        <v>0.54316716091930461</v>
      </c>
      <c r="H44" s="49">
        <v>0.70985501234940329</v>
      </c>
      <c r="I44" s="49">
        <v>0.58628725360831324</v>
      </c>
      <c r="J44" s="49">
        <v>0.66622219349306755</v>
      </c>
      <c r="K44" s="49">
        <v>0.79143370286714743</v>
      </c>
      <c r="L44" s="49">
        <v>0.76064843678967131</v>
      </c>
      <c r="M44" s="49">
        <v>0.75819256634197207</v>
      </c>
      <c r="N44" s="49">
        <v>0.7414029961149754</v>
      </c>
      <c r="O44" s="49">
        <v>0.72507540404603044</v>
      </c>
    </row>
    <row r="45" spans="1:15" x14ac:dyDescent="0.25">
      <c r="A45" s="21">
        <v>9</v>
      </c>
      <c r="B45" s="22" t="s">
        <v>42</v>
      </c>
      <c r="C45" s="25" t="s">
        <v>7</v>
      </c>
      <c r="D45" s="49">
        <v>0.79527675152058885</v>
      </c>
      <c r="E45" s="49">
        <v>0.82378968285033305</v>
      </c>
      <c r="F45" s="49">
        <v>0.84852440723584299</v>
      </c>
      <c r="G45" s="49">
        <v>0.74072838058628654</v>
      </c>
      <c r="H45" s="49">
        <v>0.71732385871501991</v>
      </c>
      <c r="I45" s="49">
        <v>0.80478072883699669</v>
      </c>
      <c r="J45" s="49">
        <v>0.84378881276060624</v>
      </c>
      <c r="K45" s="49">
        <v>0.81661311668741965</v>
      </c>
      <c r="L45" s="49">
        <v>0.82823052488687732</v>
      </c>
      <c r="M45" s="49">
        <v>0.86834066907481244</v>
      </c>
      <c r="N45" s="49">
        <v>0.81520639966598762</v>
      </c>
      <c r="O45" s="49">
        <v>0.72666819044460995</v>
      </c>
    </row>
    <row r="46" spans="1:15" x14ac:dyDescent="0.25">
      <c r="A46" s="21"/>
      <c r="B46" s="22"/>
      <c r="C46" s="25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1:15" x14ac:dyDescent="0.25">
      <c r="A47" s="21">
        <v>11</v>
      </c>
      <c r="B47" s="26" t="s">
        <v>43</v>
      </c>
      <c r="C47" s="25" t="s">
        <v>8</v>
      </c>
      <c r="D47" s="49">
        <v>0.76939609701028733</v>
      </c>
      <c r="E47" s="49">
        <v>0.87304513869450462</v>
      </c>
      <c r="F47" s="49">
        <v>0.90379878866101027</v>
      </c>
      <c r="G47" s="49">
        <v>0.83804287251053633</v>
      </c>
      <c r="H47" s="49">
        <v>0.85297001599246547</v>
      </c>
      <c r="I47" s="49">
        <v>0.82982027877817177</v>
      </c>
      <c r="J47" s="49">
        <v>0.82481448974583804</v>
      </c>
      <c r="K47" s="49">
        <v>0.76720363610255704</v>
      </c>
      <c r="L47" s="49">
        <v>0.81879055848602722</v>
      </c>
      <c r="M47" s="49">
        <v>0.86101727538374573</v>
      </c>
      <c r="N47" s="49">
        <v>0.84559596964857953</v>
      </c>
      <c r="O47" s="49">
        <v>0.8133386711588696</v>
      </c>
    </row>
    <row r="48" spans="1:15" x14ac:dyDescent="0.25">
      <c r="A48" s="24"/>
      <c r="B48" s="22"/>
      <c r="C48" s="2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 spans="1:15" x14ac:dyDescent="0.25">
      <c r="A49" s="21">
        <v>12</v>
      </c>
      <c r="B49" s="28" t="s">
        <v>9</v>
      </c>
      <c r="C49" s="25" t="s">
        <v>5</v>
      </c>
      <c r="D49" s="49">
        <v>0.47131145872140695</v>
      </c>
      <c r="E49" s="49">
        <v>0.50860518660582033</v>
      </c>
      <c r="F49" s="49">
        <v>0.52235275054384578</v>
      </c>
      <c r="G49" s="49">
        <v>0.51724125119656961</v>
      </c>
      <c r="H49" s="49">
        <v>0.48691410668367652</v>
      </c>
      <c r="I49" s="49">
        <v>0.42185138396320665</v>
      </c>
      <c r="J49" s="49">
        <v>0.42111662493418461</v>
      </c>
      <c r="K49" s="49">
        <v>0.41023566015192442</v>
      </c>
      <c r="L49" s="49">
        <v>0.37896851962964451</v>
      </c>
      <c r="M49" s="49">
        <v>0.37981355848925957</v>
      </c>
      <c r="N49" s="49">
        <v>0.41516699995582246</v>
      </c>
      <c r="O49" s="49">
        <v>0.41629071823396707</v>
      </c>
    </row>
  </sheetData>
  <mergeCells count="8">
    <mergeCell ref="B29:O29"/>
    <mergeCell ref="B30:O30"/>
    <mergeCell ref="B27:O27"/>
    <mergeCell ref="B1:O1"/>
    <mergeCell ref="B28:O28"/>
    <mergeCell ref="B2:O2"/>
    <mergeCell ref="B3:O3"/>
    <mergeCell ref="B4:O4"/>
  </mergeCells>
  <pageMargins left="0.7" right="0.7" top="0.75" bottom="0.75" header="0.3" footer="0.3"/>
  <pageSetup scale="5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0"/>
  <sheetViews>
    <sheetView tabSelected="1" zoomScale="80" zoomScaleNormal="80" workbookViewId="0">
      <selection activeCell="A36" sqref="A36:XFD36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21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56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82</v>
      </c>
      <c r="E7" s="19" t="s">
        <v>83</v>
      </c>
      <c r="F7" s="19" t="s">
        <v>84</v>
      </c>
      <c r="G7" s="19" t="s">
        <v>85</v>
      </c>
      <c r="H7" s="19" t="s">
        <v>86</v>
      </c>
      <c r="I7" s="19" t="s">
        <v>87</v>
      </c>
      <c r="J7" s="19" t="s">
        <v>88</v>
      </c>
      <c r="K7" s="19" t="s">
        <v>89</v>
      </c>
      <c r="L7" s="19" t="s">
        <v>90</v>
      </c>
      <c r="M7" s="19" t="s">
        <v>91</v>
      </c>
      <c r="N7" s="19" t="s">
        <v>92</v>
      </c>
      <c r="O7" s="19" t="s">
        <v>93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1</v>
      </c>
      <c r="E9" s="49">
        <v>0.98213119870855425</v>
      </c>
      <c r="F9" s="49">
        <v>0.97943289600682115</v>
      </c>
      <c r="G9" s="49">
        <v>1</v>
      </c>
      <c r="H9" s="49">
        <v>0.9932536597986531</v>
      </c>
      <c r="I9" s="49">
        <v>1</v>
      </c>
      <c r="J9" s="49">
        <v>0.95937307747401235</v>
      </c>
      <c r="K9" s="49">
        <v>0.94122193520578357</v>
      </c>
      <c r="L9" s="49">
        <v>0.92485585393686831</v>
      </c>
      <c r="M9" s="49">
        <v>0.99858936160589662</v>
      </c>
      <c r="N9" s="49">
        <v>0.96240611621789718</v>
      </c>
      <c r="O9" s="49">
        <v>0.93965639674272294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49</v>
      </c>
      <c r="C11" s="23" t="s">
        <v>5</v>
      </c>
      <c r="D11" s="49">
        <v>0.81211188642951515</v>
      </c>
      <c r="E11" s="49">
        <v>0.97559825684361445</v>
      </c>
      <c r="F11" s="49">
        <v>0.91966302607177086</v>
      </c>
      <c r="G11" s="49">
        <v>0.9152546136759141</v>
      </c>
      <c r="H11" s="49">
        <v>1</v>
      </c>
      <c r="I11" s="49">
        <v>0.91596231253217597</v>
      </c>
      <c r="J11" s="49">
        <v>0.97821791539159486</v>
      </c>
      <c r="K11" s="49">
        <v>0.91406899815319576</v>
      </c>
      <c r="L11" s="49">
        <v>0.93538772877635268</v>
      </c>
      <c r="M11" s="49">
        <v>0.87209133200434086</v>
      </c>
      <c r="N11" s="49">
        <v>0.96109821752683711</v>
      </c>
      <c r="O11" s="49">
        <v>0.97533595228369563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50</v>
      </c>
      <c r="C13" s="25" t="s">
        <v>5</v>
      </c>
      <c r="D13" s="49">
        <v>0.7802160372591096</v>
      </c>
      <c r="E13" s="49">
        <v>0.98820054510151689</v>
      </c>
      <c r="F13" s="49">
        <v>0.89503663335813688</v>
      </c>
      <c r="G13" s="49">
        <v>0.95532977604841085</v>
      </c>
      <c r="H13" s="49">
        <v>0.88724335785153585</v>
      </c>
      <c r="I13" s="49">
        <v>0.87133540483103444</v>
      </c>
      <c r="J13" s="49">
        <v>0.95346498998652873</v>
      </c>
      <c r="K13" s="49">
        <v>0.92004104719139734</v>
      </c>
      <c r="L13" s="49">
        <v>0.95714437047620393</v>
      </c>
      <c r="M13" s="49">
        <v>0.85797911170147789</v>
      </c>
      <c r="N13" s="49">
        <v>0.96326982020694307</v>
      </c>
      <c r="O13" s="49">
        <v>0.94791596006717072</v>
      </c>
      <c r="P13" s="1"/>
      <c r="Q13" s="4"/>
    </row>
    <row r="14" spans="1:17" x14ac:dyDescent="0.25">
      <c r="A14" s="21">
        <v>4</v>
      </c>
      <c r="B14" s="22" t="s">
        <v>38</v>
      </c>
      <c r="C14" s="25" t="s">
        <v>5</v>
      </c>
      <c r="D14" s="49">
        <v>0.70306790803532759</v>
      </c>
      <c r="E14" s="49">
        <v>0.97420177512826311</v>
      </c>
      <c r="F14" s="49">
        <v>0.83786686958485657</v>
      </c>
      <c r="G14" s="49">
        <v>0.87945210003172491</v>
      </c>
      <c r="H14" s="49">
        <v>0.59754110809563077</v>
      </c>
      <c r="I14" s="49">
        <v>0.82348848613010395</v>
      </c>
      <c r="J14" s="49">
        <v>0.94163227159182505</v>
      </c>
      <c r="K14" s="49">
        <v>0.9493789198783753</v>
      </c>
      <c r="L14" s="49">
        <v>0.94360023536663529</v>
      </c>
      <c r="M14" s="49">
        <v>0.8294366086936209</v>
      </c>
      <c r="N14" s="49">
        <v>0.88954245454316372</v>
      </c>
      <c r="O14" s="49">
        <v>0.92610633428110056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39</v>
      </c>
      <c r="C16" s="25" t="s">
        <v>7</v>
      </c>
      <c r="D16" s="49">
        <v>0.91004436899311425</v>
      </c>
      <c r="E16" s="49">
        <v>0.98252298665717197</v>
      </c>
      <c r="F16" s="49">
        <v>0.93467822654044719</v>
      </c>
      <c r="G16" s="49">
        <v>1</v>
      </c>
      <c r="H16" s="49">
        <v>0.88403549545387783</v>
      </c>
      <c r="I16" s="49">
        <v>0.96603625889536915</v>
      </c>
      <c r="J16" s="49">
        <v>0.99229833929907063</v>
      </c>
      <c r="K16" s="49">
        <v>0.98366270166186687</v>
      </c>
      <c r="L16" s="49">
        <v>0.95040434608245139</v>
      </c>
      <c r="M16" s="49">
        <v>0.96976297877577156</v>
      </c>
      <c r="N16" s="49">
        <v>0.95569784588087892</v>
      </c>
      <c r="O16" s="49">
        <v>0.95599460444140694</v>
      </c>
      <c r="P16" s="1"/>
      <c r="Q16" s="1"/>
    </row>
    <row r="17" spans="1:17" x14ac:dyDescent="0.25">
      <c r="A17" s="21">
        <v>7</v>
      </c>
      <c r="B17" s="22" t="s">
        <v>40</v>
      </c>
      <c r="C17" s="25" t="s">
        <v>7</v>
      </c>
      <c r="D17" s="49">
        <v>0.80484104522853284</v>
      </c>
      <c r="E17" s="49">
        <v>0.89822353273646927</v>
      </c>
      <c r="F17" s="49">
        <v>0.892757134118773</v>
      </c>
      <c r="G17" s="49">
        <v>0.83311637404068373</v>
      </c>
      <c r="H17" s="49">
        <v>0.50771117928323739</v>
      </c>
      <c r="I17" s="49">
        <v>0.90977950958658083</v>
      </c>
      <c r="J17" s="49">
        <v>0.96056837263914485</v>
      </c>
      <c r="K17" s="49">
        <v>0.9660906967676971</v>
      </c>
      <c r="L17" s="49">
        <v>0.97436734115354717</v>
      </c>
      <c r="M17" s="49">
        <v>0.89736434531595832</v>
      </c>
      <c r="N17" s="49">
        <v>0.89776158685318608</v>
      </c>
      <c r="O17" s="49">
        <v>0.94523546377387968</v>
      </c>
      <c r="P17" s="1"/>
      <c r="Q17" s="1"/>
    </row>
    <row r="18" spans="1:17" x14ac:dyDescent="0.25">
      <c r="A18" s="21">
        <v>8</v>
      </c>
      <c r="B18" s="22" t="s">
        <v>41</v>
      </c>
      <c r="C18" s="25" t="s">
        <v>7</v>
      </c>
      <c r="D18" s="49">
        <v>0.32028469750889682</v>
      </c>
      <c r="E18" s="49">
        <v>0.43224509385429638</v>
      </c>
      <c r="F18" s="49">
        <v>0.23640736342042756</v>
      </c>
      <c r="G18" s="49">
        <v>0.28599336979032652</v>
      </c>
      <c r="H18" s="49">
        <v>0.26034958601655933</v>
      </c>
      <c r="I18" s="49">
        <v>0.41047942299533308</v>
      </c>
      <c r="J18" s="49">
        <v>0.5081604426002766</v>
      </c>
      <c r="K18" s="49">
        <v>0.1455203862660944</v>
      </c>
      <c r="L18" s="49">
        <v>0.61679315745090946</v>
      </c>
      <c r="M18" s="49">
        <v>0.89334110447326254</v>
      </c>
      <c r="N18" s="49">
        <v>0.79294048146507157</v>
      </c>
      <c r="O18" s="49">
        <v>0.82747179827471784</v>
      </c>
      <c r="P18" s="5"/>
      <c r="Q18" s="5"/>
    </row>
    <row r="19" spans="1:17" x14ac:dyDescent="0.25">
      <c r="A19" s="21">
        <v>9</v>
      </c>
      <c r="B19" s="22" t="s">
        <v>42</v>
      </c>
      <c r="C19" s="25" t="s">
        <v>7</v>
      </c>
      <c r="D19" s="49">
        <v>0.7832471058803171</v>
      </c>
      <c r="E19" s="49">
        <v>0.90525119383077146</v>
      </c>
      <c r="F19" s="49">
        <v>0.76668227918472598</v>
      </c>
      <c r="G19" s="49">
        <v>0.86032132570791864</v>
      </c>
      <c r="H19" s="49">
        <v>0.37693790638502533</v>
      </c>
      <c r="I19" s="49">
        <v>0.82888313540040193</v>
      </c>
      <c r="J19" s="49">
        <v>0.82395464291649778</v>
      </c>
      <c r="K19" s="49">
        <v>0.7959849909132104</v>
      </c>
      <c r="L19" s="49">
        <v>0.8006459385029272</v>
      </c>
      <c r="M19" s="49">
        <v>0.85367568201417399</v>
      </c>
      <c r="N19" s="49">
        <v>0.82319539216458038</v>
      </c>
      <c r="O19" s="49">
        <v>0.84404526093702736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43</v>
      </c>
      <c r="C21" s="25" t="s">
        <v>8</v>
      </c>
      <c r="D21" s="49">
        <v>0.95782038613726117</v>
      </c>
      <c r="E21" s="49">
        <v>0.89392100733716862</v>
      </c>
      <c r="F21" s="49">
        <v>0.89458061813278378</v>
      </c>
      <c r="G21" s="49">
        <v>0.74500795244588314</v>
      </c>
      <c r="H21" s="49">
        <v>0.59600880997043415</v>
      </c>
      <c r="I21" s="49">
        <v>0.96310640003705483</v>
      </c>
      <c r="J21" s="49">
        <v>0.9761872265094359</v>
      </c>
      <c r="K21" s="49">
        <v>0.90641325488583913</v>
      </c>
      <c r="L21" s="49">
        <v>0.88546901429959868</v>
      </c>
      <c r="M21" s="49">
        <v>0.70956097258586215</v>
      </c>
      <c r="N21" s="49">
        <v>0.85784140767875683</v>
      </c>
      <c r="O21" s="49">
        <v>0.78915607294456691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</v>
      </c>
      <c r="F23" s="49">
        <v>1.2909935727237198E-2</v>
      </c>
      <c r="G23" s="49">
        <v>2.5418706956012289E-2</v>
      </c>
      <c r="H23" s="49">
        <v>0.9776140487042172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x14ac:dyDescent="0.25">
      <c r="P25" s="1"/>
      <c r="Q25" s="1"/>
    </row>
    <row r="26" spans="1:17" hidden="1" x14ac:dyDescent="0.25">
      <c r="P26" s="1"/>
      <c r="Q26" s="1"/>
    </row>
    <row r="27" spans="1:17" x14ac:dyDescent="0.25">
      <c r="A27" s="1"/>
      <c r="B27" s="57" t="s">
        <v>13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14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"/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7" x14ac:dyDescent="0.25">
      <c r="A30" s="10"/>
      <c r="B30" s="55" t="s">
        <v>56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7" x14ac:dyDescent="0.25">
      <c r="A31" s="1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0"/>
      <c r="B32" s="17"/>
      <c r="C32" s="17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25">
      <c r="A33" s="15" t="s">
        <v>0</v>
      </c>
      <c r="B33" s="17" t="s">
        <v>1</v>
      </c>
      <c r="C33" s="34" t="s">
        <v>2</v>
      </c>
      <c r="D33" s="19" t="s">
        <v>82</v>
      </c>
      <c r="E33" s="19" t="s">
        <v>83</v>
      </c>
      <c r="F33" s="19" t="s">
        <v>84</v>
      </c>
      <c r="G33" s="19" t="s">
        <v>85</v>
      </c>
      <c r="H33" s="19" t="s">
        <v>86</v>
      </c>
      <c r="I33" s="19" t="s">
        <v>87</v>
      </c>
      <c r="J33" s="19" t="s">
        <v>88</v>
      </c>
      <c r="K33" s="19" t="s">
        <v>89</v>
      </c>
      <c r="L33" s="19" t="s">
        <v>90</v>
      </c>
      <c r="M33" s="19" t="s">
        <v>91</v>
      </c>
      <c r="N33" s="19" t="s">
        <v>92</v>
      </c>
      <c r="O33" s="19" t="s">
        <v>93</v>
      </c>
    </row>
    <row r="34" spans="1:15" x14ac:dyDescent="0.25">
      <c r="A34" s="10"/>
      <c r="B34" s="17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0"/>
    </row>
    <row r="35" spans="1:15" x14ac:dyDescent="0.25">
      <c r="A35" s="21" t="s">
        <v>3</v>
      </c>
      <c r="B35" s="22" t="s">
        <v>4</v>
      </c>
      <c r="C35" s="23" t="s">
        <v>5</v>
      </c>
      <c r="D35" s="49">
        <v>0.49107475282296481</v>
      </c>
      <c r="E35" s="49">
        <v>0.86478208445020266</v>
      </c>
      <c r="F35" s="49">
        <v>0.55576781706491885</v>
      </c>
      <c r="G35" s="49">
        <v>0.46023493648315333</v>
      </c>
      <c r="H35" s="49">
        <v>0.39825854127572025</v>
      </c>
      <c r="I35" s="49">
        <v>0.51265352586652724</v>
      </c>
      <c r="J35" s="49">
        <v>0.50658050408807287</v>
      </c>
      <c r="K35" s="49">
        <v>0.56236736525875408</v>
      </c>
      <c r="L35" s="49">
        <v>0.61061556200715483</v>
      </c>
      <c r="M35" s="49">
        <v>0.60790926739196227</v>
      </c>
      <c r="N35" s="49">
        <v>0.65694613822172188</v>
      </c>
      <c r="O35" s="49">
        <v>0.57463426922147254</v>
      </c>
    </row>
    <row r="36" spans="1:15" x14ac:dyDescent="0.25">
      <c r="A36" s="24"/>
      <c r="B36" s="22"/>
      <c r="C36" s="23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49"/>
    </row>
    <row r="37" spans="1:15" x14ac:dyDescent="0.25">
      <c r="A37" s="21">
        <v>2</v>
      </c>
      <c r="B37" s="22" t="s">
        <v>49</v>
      </c>
      <c r="C37" s="23" t="s">
        <v>5</v>
      </c>
      <c r="D37" s="49">
        <v>0.69197525188500031</v>
      </c>
      <c r="E37" s="49">
        <v>0.51725670164502924</v>
      </c>
      <c r="F37" s="49">
        <v>0.84871834970384663</v>
      </c>
      <c r="G37" s="49">
        <v>0.74797058257049975</v>
      </c>
      <c r="H37" s="49">
        <v>0.72043635149364293</v>
      </c>
      <c r="I37" s="49">
        <v>0.79566064779726597</v>
      </c>
      <c r="J37" s="49">
        <v>0.70067835024686864</v>
      </c>
      <c r="K37" s="49">
        <v>0.68844744899688459</v>
      </c>
      <c r="L37" s="49">
        <v>0.71894658037173031</v>
      </c>
      <c r="M37" s="49">
        <v>0.72361292038172109</v>
      </c>
      <c r="N37" s="49">
        <v>0.7369278764160162</v>
      </c>
      <c r="O37" s="49">
        <v>0.69690529974412629</v>
      </c>
    </row>
    <row r="38" spans="1:15" x14ac:dyDescent="0.25">
      <c r="A38" s="21"/>
      <c r="B38" s="22"/>
      <c r="C38" s="2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21">
        <v>3</v>
      </c>
      <c r="B39" s="22" t="s">
        <v>50</v>
      </c>
      <c r="C39" s="25" t="s">
        <v>5</v>
      </c>
      <c r="D39" s="49">
        <v>0.61850812225926211</v>
      </c>
      <c r="E39" s="49">
        <v>0.63853774796825824</v>
      </c>
      <c r="F39" s="49">
        <v>0.7126975187092266</v>
      </c>
      <c r="G39" s="49">
        <v>0.65840304933725213</v>
      </c>
      <c r="H39" s="49">
        <v>0.6707485103972316</v>
      </c>
      <c r="I39" s="49">
        <v>0.66442384934887588</v>
      </c>
      <c r="J39" s="49">
        <v>0.59484986119692296</v>
      </c>
      <c r="K39" s="49">
        <v>0.62187767874083255</v>
      </c>
      <c r="L39" s="49">
        <v>0.6781258823409051</v>
      </c>
      <c r="M39" s="49">
        <v>0.6775685467469319</v>
      </c>
      <c r="N39" s="49">
        <v>0.68131989298870022</v>
      </c>
      <c r="O39" s="49">
        <v>0.63700419262415364</v>
      </c>
    </row>
    <row r="40" spans="1:15" x14ac:dyDescent="0.25">
      <c r="A40" s="21">
        <v>4</v>
      </c>
      <c r="B40" s="22" t="s">
        <v>38</v>
      </c>
      <c r="C40" s="25" t="s">
        <v>5</v>
      </c>
      <c r="D40" s="49">
        <v>0.67774033137954282</v>
      </c>
      <c r="E40" s="49">
        <v>0.70114459428321552</v>
      </c>
      <c r="F40" s="49">
        <v>0.71113581502787282</v>
      </c>
      <c r="G40" s="49">
        <v>0.71932122749210992</v>
      </c>
      <c r="H40" s="49">
        <v>0.68280541658975358</v>
      </c>
      <c r="I40" s="49">
        <v>0.72039297789125667</v>
      </c>
      <c r="J40" s="49">
        <v>0.64978189710831147</v>
      </c>
      <c r="K40" s="49">
        <v>0.70786392962800004</v>
      </c>
      <c r="L40" s="49">
        <v>0.73348856491088299</v>
      </c>
      <c r="M40" s="49">
        <v>0.76106157091558191</v>
      </c>
      <c r="N40" s="49">
        <v>0.72617795627287673</v>
      </c>
      <c r="O40" s="49">
        <v>0.72657810706060422</v>
      </c>
    </row>
    <row r="41" spans="1:15" x14ac:dyDescent="0.25">
      <c r="A41" s="24"/>
      <c r="B41" s="27"/>
      <c r="C41" s="2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1"/>
    </row>
    <row r="42" spans="1:15" x14ac:dyDescent="0.25">
      <c r="A42" s="21">
        <v>6</v>
      </c>
      <c r="B42" s="22" t="s">
        <v>39</v>
      </c>
      <c r="C42" s="25" t="s">
        <v>7</v>
      </c>
      <c r="D42" s="49">
        <v>0.79638515801231657</v>
      </c>
      <c r="E42" s="49">
        <v>0.82603888456307473</v>
      </c>
      <c r="F42" s="49">
        <v>0.86506182368588125</v>
      </c>
      <c r="G42" s="49">
        <v>0.85282023158852638</v>
      </c>
      <c r="H42" s="49">
        <v>0.77872031186860557</v>
      </c>
      <c r="I42" s="49">
        <v>0.85558878792738247</v>
      </c>
      <c r="J42" s="49">
        <v>0.84082313041088286</v>
      </c>
      <c r="K42" s="49">
        <v>0.82093170254373693</v>
      </c>
      <c r="L42" s="49">
        <v>0.82245747874024111</v>
      </c>
      <c r="M42" s="49">
        <v>0.84540912540743485</v>
      </c>
      <c r="N42" s="49">
        <v>0.83143938900173708</v>
      </c>
      <c r="O42" s="49">
        <v>0.83009287268251819</v>
      </c>
    </row>
    <row r="43" spans="1:15" x14ac:dyDescent="0.25">
      <c r="A43" s="21">
        <v>7</v>
      </c>
      <c r="B43" s="22" t="s">
        <v>40</v>
      </c>
      <c r="C43" s="25" t="s">
        <v>7</v>
      </c>
      <c r="D43" s="49">
        <v>0.78751315311190195</v>
      </c>
      <c r="E43" s="49">
        <v>0.79618236732808167</v>
      </c>
      <c r="F43" s="49">
        <v>0.82592028707224741</v>
      </c>
      <c r="G43" s="49">
        <v>0.84265306198607204</v>
      </c>
      <c r="H43" s="49">
        <v>0.72001917215898747</v>
      </c>
      <c r="I43" s="49">
        <v>0.7858361460076555</v>
      </c>
      <c r="J43" s="49">
        <v>0.83189867641206638</v>
      </c>
      <c r="K43" s="49">
        <v>0.82874033175188511</v>
      </c>
      <c r="L43" s="49">
        <v>0.84558850813247743</v>
      </c>
      <c r="M43" s="49">
        <v>0.83623621372881696</v>
      </c>
      <c r="N43" s="49">
        <v>0.8607777624606413</v>
      </c>
      <c r="O43" s="49">
        <v>0.84058496485426104</v>
      </c>
    </row>
    <row r="44" spans="1:15" x14ac:dyDescent="0.25">
      <c r="A44" s="21">
        <v>8</v>
      </c>
      <c r="B44" s="22" t="s">
        <v>41</v>
      </c>
      <c r="C44" s="25" t="s">
        <v>7</v>
      </c>
      <c r="D44" s="49">
        <v>0.29707808773071087</v>
      </c>
      <c r="E44" s="49">
        <v>0.28714563653641856</v>
      </c>
      <c r="F44" s="49">
        <v>0.27993810606254099</v>
      </c>
      <c r="G44" s="49">
        <v>0.41032182205345885</v>
      </c>
      <c r="H44" s="49">
        <v>0.34041148274703931</v>
      </c>
      <c r="I44" s="49">
        <v>0.31715801555041567</v>
      </c>
      <c r="J44" s="49">
        <v>0.3605732288304902</v>
      </c>
      <c r="K44" s="49">
        <v>0.48158575711077267</v>
      </c>
      <c r="L44" s="49">
        <v>0.61309408281911604</v>
      </c>
      <c r="M44" s="49">
        <v>0.69173198758915522</v>
      </c>
      <c r="N44" s="49">
        <v>0.71867709856869044</v>
      </c>
      <c r="O44" s="49">
        <v>0.65008740077170735</v>
      </c>
    </row>
    <row r="45" spans="1:15" x14ac:dyDescent="0.25">
      <c r="A45" s="21">
        <v>9</v>
      </c>
      <c r="B45" s="22" t="s">
        <v>42</v>
      </c>
      <c r="C45" s="25" t="s">
        <v>7</v>
      </c>
      <c r="D45" s="49">
        <v>0.65621236931117066</v>
      </c>
      <c r="E45" s="49">
        <v>0.76538323365015082</v>
      </c>
      <c r="F45" s="49">
        <v>0.7270312636381826</v>
      </c>
      <c r="G45" s="49">
        <v>0.84083757364629685</v>
      </c>
      <c r="H45" s="49">
        <v>0.65912449326196143</v>
      </c>
      <c r="I45" s="49">
        <v>0.82474123080111161</v>
      </c>
      <c r="J45" s="49">
        <v>0.83206044318297334</v>
      </c>
      <c r="K45" s="49">
        <v>0.83320793362415857</v>
      </c>
      <c r="L45" s="49">
        <v>0.83216553521125713</v>
      </c>
      <c r="M45" s="49">
        <v>0.80493809304492103</v>
      </c>
      <c r="N45" s="49">
        <v>0.80238052917735447</v>
      </c>
      <c r="O45" s="49">
        <v>0.82338444963171753</v>
      </c>
    </row>
    <row r="46" spans="1:15" x14ac:dyDescent="0.25">
      <c r="A46" s="21"/>
      <c r="B46" s="22"/>
      <c r="C46" s="25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1:15" x14ac:dyDescent="0.25">
      <c r="A47" s="21">
        <v>11</v>
      </c>
      <c r="B47" s="26" t="s">
        <v>43</v>
      </c>
      <c r="C47" s="25" t="s">
        <v>8</v>
      </c>
      <c r="D47" s="49">
        <v>0.82889500562967855</v>
      </c>
      <c r="E47" s="49">
        <v>0.84981233031638748</v>
      </c>
      <c r="F47" s="49">
        <v>0.84146891686721526</v>
      </c>
      <c r="G47" s="49">
        <v>0.8841127446967274</v>
      </c>
      <c r="H47" s="49">
        <v>0.62414060221052703</v>
      </c>
      <c r="I47" s="49">
        <v>0.81775364550862273</v>
      </c>
      <c r="J47" s="49">
        <v>0.79101460045789007</v>
      </c>
      <c r="K47" s="49">
        <v>0.77533955804883525</v>
      </c>
      <c r="L47" s="49">
        <v>0.87978905783877637</v>
      </c>
      <c r="M47" s="49">
        <v>0.76645479061550015</v>
      </c>
      <c r="N47" s="49">
        <v>0.89978275053367385</v>
      </c>
      <c r="O47" s="49">
        <v>0.80924908384254512</v>
      </c>
    </row>
    <row r="48" spans="1:15" x14ac:dyDescent="0.25">
      <c r="A48" s="24"/>
      <c r="B48" s="22"/>
      <c r="C48" s="2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 spans="1:15" x14ac:dyDescent="0.25">
      <c r="A49" s="21">
        <v>12</v>
      </c>
      <c r="B49" s="28" t="s">
        <v>9</v>
      </c>
      <c r="C49" s="25" t="s">
        <v>5</v>
      </c>
      <c r="D49" s="49">
        <v>0.47162499629321075</v>
      </c>
      <c r="E49" s="49">
        <v>0.5086354384275783</v>
      </c>
      <c r="F49" s="49">
        <v>0.52279896293312944</v>
      </c>
      <c r="G49" s="49">
        <v>0.51714079846669803</v>
      </c>
      <c r="H49" s="49">
        <v>0.48696561129708377</v>
      </c>
      <c r="I49" s="49">
        <v>0.42171654744611503</v>
      </c>
      <c r="J49" s="49">
        <v>0.42112454965896162</v>
      </c>
      <c r="K49" s="49">
        <v>0.41123067440324512</v>
      </c>
      <c r="L49" s="49">
        <v>0.37908161088356102</v>
      </c>
      <c r="M49" s="49">
        <v>0.37980019994761094</v>
      </c>
      <c r="N49" s="49">
        <v>0.4149870412717801</v>
      </c>
      <c r="O49" s="49">
        <v>0.41698051959888283</v>
      </c>
    </row>
    <row r="50" spans="1:15" x14ac:dyDescent="0.25">
      <c r="A50" s="3"/>
      <c r="B50" s="7"/>
      <c r="C50" s="7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 t="s">
        <v>6</v>
      </c>
      <c r="M50" s="6" t="s">
        <v>6</v>
      </c>
      <c r="N50" s="6" t="s">
        <v>6</v>
      </c>
      <c r="O50" s="6" t="s">
        <v>6</v>
      </c>
    </row>
  </sheetData>
  <mergeCells count="8">
    <mergeCell ref="B29:O29"/>
    <mergeCell ref="B30:O30"/>
    <mergeCell ref="B27:O27"/>
    <mergeCell ref="B1:O1"/>
    <mergeCell ref="B28:O28"/>
    <mergeCell ref="B2:O2"/>
    <mergeCell ref="B3:O3"/>
    <mergeCell ref="B4:O4"/>
  </mergeCells>
  <pageMargins left="0.7" right="0.7" top="0.75" bottom="0.75" header="0.3" footer="0.3"/>
  <pageSetup scale="5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1"/>
  <sheetViews>
    <sheetView tabSelected="1" zoomScale="80" zoomScaleNormal="80" workbookViewId="0">
      <selection activeCell="A36" sqref="A36:XFD36"/>
    </sheetView>
  </sheetViews>
  <sheetFormatPr defaultRowHeight="15" x14ac:dyDescent="0.25"/>
  <cols>
    <col min="1" max="1" width="5.140625" bestFit="1" customWidth="1"/>
    <col min="2" max="2" width="29.140625" bestFit="1" customWidth="1"/>
    <col min="3" max="3" width="6" bestFit="1" customWidth="1"/>
    <col min="4" max="4" width="9.42578125" bestFit="1" customWidth="1"/>
    <col min="5" max="5" width="10.28515625" bestFit="1" customWidth="1"/>
    <col min="6" max="6" width="12.140625" bestFit="1" customWidth="1"/>
    <col min="7" max="7" width="9.28515625" bestFit="1" customWidth="1"/>
    <col min="8" max="9" width="11.42578125" bestFit="1" customWidth="1"/>
    <col min="10" max="10" width="9.42578125" bestFit="1" customWidth="1"/>
    <col min="11" max="11" width="10.28515625" bestFit="1" customWidth="1"/>
    <col min="12" max="12" width="12.140625" bestFit="1" customWidth="1"/>
    <col min="13" max="13" width="9.28515625" bestFit="1" customWidth="1"/>
    <col min="14" max="15" width="11.42578125" bestFit="1" customWidth="1"/>
    <col min="17" max="17" width="5.5703125" bestFit="1" customWidth="1"/>
  </cols>
  <sheetData>
    <row r="1" spans="1:17" x14ac:dyDescent="0.25">
      <c r="A1" s="1"/>
      <c r="B1" s="56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  <c r="Q1" s="1"/>
    </row>
    <row r="2" spans="1:17" x14ac:dyDescent="0.25">
      <c r="A2" s="1"/>
      <c r="B2" s="56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</row>
    <row r="3" spans="1:17" x14ac:dyDescent="0.25">
      <c r="A3" s="1"/>
      <c r="B3" s="57" t="s">
        <v>21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  <c r="Q3" s="1"/>
    </row>
    <row r="4" spans="1:17" x14ac:dyDescent="0.25">
      <c r="A4" s="10"/>
      <c r="B4" s="55" t="s">
        <v>57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25">
      <c r="A5" s="10"/>
      <c r="B5" s="17"/>
      <c r="C5" s="17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</row>
    <row r="6" spans="1:17" x14ac:dyDescent="0.25">
      <c r="A6" s="10"/>
      <c r="B6" s="17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</row>
    <row r="7" spans="1:17" x14ac:dyDescent="0.25">
      <c r="A7" s="15" t="s">
        <v>0</v>
      </c>
      <c r="B7" s="17" t="s">
        <v>1</v>
      </c>
      <c r="C7" s="34" t="s">
        <v>2</v>
      </c>
      <c r="D7" s="19" t="s">
        <v>70</v>
      </c>
      <c r="E7" s="19" t="s">
        <v>71</v>
      </c>
      <c r="F7" s="19" t="s">
        <v>72</v>
      </c>
      <c r="G7" s="19" t="s">
        <v>73</v>
      </c>
      <c r="H7" s="19" t="s">
        <v>74</v>
      </c>
      <c r="I7" s="19" t="s">
        <v>75</v>
      </c>
      <c r="J7" s="19" t="s">
        <v>76</v>
      </c>
      <c r="K7" s="19" t="s">
        <v>77</v>
      </c>
      <c r="L7" s="19" t="s">
        <v>78</v>
      </c>
      <c r="M7" s="19" t="s">
        <v>79</v>
      </c>
      <c r="N7" s="19" t="s">
        <v>80</v>
      </c>
      <c r="O7" s="19" t="s">
        <v>81</v>
      </c>
      <c r="P7" s="1"/>
      <c r="Q7" s="1"/>
    </row>
    <row r="8" spans="1:17" x14ac:dyDescent="0.25">
      <c r="A8" s="10"/>
      <c r="B8" s="17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20"/>
      <c r="P8" s="1"/>
      <c r="Q8" s="1"/>
    </row>
    <row r="9" spans="1:17" x14ac:dyDescent="0.25">
      <c r="A9" s="21" t="s">
        <v>3</v>
      </c>
      <c r="B9" s="22" t="s">
        <v>4</v>
      </c>
      <c r="C9" s="23" t="s">
        <v>5</v>
      </c>
      <c r="D9" s="49">
        <v>0.91921220292480454</v>
      </c>
      <c r="E9" s="49">
        <v>0.97858847475056077</v>
      </c>
      <c r="F9" s="49">
        <v>1</v>
      </c>
      <c r="G9" s="49">
        <v>0.92136403172076009</v>
      </c>
      <c r="H9" s="49">
        <v>1</v>
      </c>
      <c r="I9" s="49">
        <v>0.97050794212289426</v>
      </c>
      <c r="J9" s="49">
        <v>0.97416070260211607</v>
      </c>
      <c r="K9" s="49">
        <v>0.94827719640057595</v>
      </c>
      <c r="L9" s="49">
        <v>0.98248665092961451</v>
      </c>
      <c r="M9" s="49">
        <v>0.94071412400617938</v>
      </c>
      <c r="N9" s="49">
        <v>0.95793294422974451</v>
      </c>
      <c r="O9" s="49">
        <v>0.98692568812286086</v>
      </c>
      <c r="P9" s="1"/>
      <c r="Q9" s="1"/>
    </row>
    <row r="10" spans="1:17" x14ac:dyDescent="0.25">
      <c r="A10" s="24"/>
      <c r="B10" s="22"/>
      <c r="C10" s="23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49"/>
      <c r="P10" s="1"/>
      <c r="Q10" s="4"/>
    </row>
    <row r="11" spans="1:17" x14ac:dyDescent="0.25">
      <c r="A11" s="21">
        <v>2</v>
      </c>
      <c r="B11" s="22" t="s">
        <v>49</v>
      </c>
      <c r="C11" s="23" t="s">
        <v>5</v>
      </c>
      <c r="D11" s="49">
        <v>0.97728714326429655</v>
      </c>
      <c r="E11" s="49">
        <v>0.98578420644514819</v>
      </c>
      <c r="F11" s="49">
        <v>0.93174422419860981</v>
      </c>
      <c r="G11" s="49">
        <v>0.96867629925003373</v>
      </c>
      <c r="H11" s="49">
        <v>0.92632625691479786</v>
      </c>
      <c r="I11" s="49">
        <v>0.97923112976334847</v>
      </c>
      <c r="J11" s="49">
        <v>0.94689378003371438</v>
      </c>
      <c r="K11" s="49">
        <v>1</v>
      </c>
      <c r="L11" s="49">
        <v>0.98348550762512055</v>
      </c>
      <c r="M11" s="49">
        <v>0.981919231928436</v>
      </c>
      <c r="N11" s="49">
        <v>0.9779822044183959</v>
      </c>
      <c r="O11" s="49">
        <v>0.97978405196534002</v>
      </c>
      <c r="P11" s="1"/>
      <c r="Q11" s="1"/>
    </row>
    <row r="12" spans="1:17" x14ac:dyDescent="0.25">
      <c r="A12" s="21"/>
      <c r="B12" s="22"/>
      <c r="C12" s="2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"/>
      <c r="Q12" s="4"/>
    </row>
    <row r="13" spans="1:17" x14ac:dyDescent="0.25">
      <c r="A13" s="21">
        <v>3</v>
      </c>
      <c r="B13" s="22" t="s">
        <v>50</v>
      </c>
      <c r="C13" s="25" t="s">
        <v>5</v>
      </c>
      <c r="D13" s="49">
        <v>0.95637467005659071</v>
      </c>
      <c r="E13" s="49">
        <v>0.76462675968594296</v>
      </c>
      <c r="F13" s="49">
        <v>0.87443789356451829</v>
      </c>
      <c r="G13" s="49">
        <v>0.78384031284118783</v>
      </c>
      <c r="H13" s="49">
        <v>0.84215872817986448</v>
      </c>
      <c r="I13" s="49">
        <v>0.94733414230253754</v>
      </c>
      <c r="J13" s="49">
        <v>0.93641151763893959</v>
      </c>
      <c r="K13" s="49">
        <v>1</v>
      </c>
      <c r="L13" s="49">
        <v>0.97598167532242497</v>
      </c>
      <c r="M13" s="49">
        <v>0.96744426892289415</v>
      </c>
      <c r="N13" s="49">
        <v>0.95260830944917829</v>
      </c>
      <c r="O13" s="49">
        <v>0.95929846917492778</v>
      </c>
      <c r="P13" s="1"/>
      <c r="Q13" s="4"/>
    </row>
    <row r="14" spans="1:17" x14ac:dyDescent="0.25">
      <c r="A14" s="21">
        <v>4</v>
      </c>
      <c r="B14" s="22" t="s">
        <v>38</v>
      </c>
      <c r="C14" s="25" t="s">
        <v>5</v>
      </c>
      <c r="D14" s="49">
        <v>0.93122880293846244</v>
      </c>
      <c r="E14" s="49">
        <v>0.67930847164388442</v>
      </c>
      <c r="F14" s="49">
        <v>0.77641032377366237</v>
      </c>
      <c r="G14" s="49">
        <v>0.72918121077936915</v>
      </c>
      <c r="H14" s="49">
        <v>0.79963995469017701</v>
      </c>
      <c r="I14" s="49">
        <v>0.92502654159707709</v>
      </c>
      <c r="J14" s="49">
        <v>0.9278434258431375</v>
      </c>
      <c r="K14" s="49">
        <v>0.99382497406813586</v>
      </c>
      <c r="L14" s="49">
        <v>0.85531729749924879</v>
      </c>
      <c r="M14" s="49">
        <v>0.93585173744873917</v>
      </c>
      <c r="N14" s="49">
        <v>0.88577464635939318</v>
      </c>
      <c r="O14" s="49">
        <v>0.88821815223196932</v>
      </c>
      <c r="P14" s="1"/>
      <c r="Q14" s="1"/>
    </row>
    <row r="15" spans="1:17" x14ac:dyDescent="0.25">
      <c r="A15" s="24"/>
      <c r="B15" s="27"/>
      <c r="C15" s="2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1"/>
      <c r="P15" s="1"/>
      <c r="Q15" s="1"/>
    </row>
    <row r="16" spans="1:17" x14ac:dyDescent="0.25">
      <c r="A16" s="21">
        <v>6</v>
      </c>
      <c r="B16" s="22" t="s">
        <v>39</v>
      </c>
      <c r="C16" s="25" t="s">
        <v>7</v>
      </c>
      <c r="D16" s="49">
        <v>0.90883431647597646</v>
      </c>
      <c r="E16" s="49">
        <v>0.94411607865374081</v>
      </c>
      <c r="F16" s="49">
        <v>0.94343654979810843</v>
      </c>
      <c r="G16" s="49">
        <v>0.91743377101331003</v>
      </c>
      <c r="H16" s="49">
        <v>0.94738825552515005</v>
      </c>
      <c r="I16" s="49">
        <v>0.98788279560450232</v>
      </c>
      <c r="J16" s="49">
        <v>0.95291681787492166</v>
      </c>
      <c r="K16" s="49">
        <v>0.94997081003953199</v>
      </c>
      <c r="L16" s="49">
        <v>0.94972795991718584</v>
      </c>
      <c r="M16" s="49">
        <v>0.94541585827895203</v>
      </c>
      <c r="N16" s="49">
        <v>0.96027732156698264</v>
      </c>
      <c r="O16" s="49">
        <v>0.96503030147431867</v>
      </c>
      <c r="P16" s="1"/>
      <c r="Q16" s="1"/>
    </row>
    <row r="17" spans="1:17" x14ac:dyDescent="0.25">
      <c r="A17" s="21">
        <v>7</v>
      </c>
      <c r="B17" s="22" t="s">
        <v>40</v>
      </c>
      <c r="C17" s="25" t="s">
        <v>7</v>
      </c>
      <c r="D17" s="49">
        <v>0.97293697703476634</v>
      </c>
      <c r="E17" s="49">
        <v>0.82053280105640047</v>
      </c>
      <c r="F17" s="49">
        <v>0.87719464436414862</v>
      </c>
      <c r="G17" s="49">
        <v>0.86218258267993841</v>
      </c>
      <c r="H17" s="49">
        <v>0.86413260575562389</v>
      </c>
      <c r="I17" s="49">
        <v>0.98453715248892215</v>
      </c>
      <c r="J17" s="49">
        <v>0.9844671030916784</v>
      </c>
      <c r="K17" s="49">
        <v>0.93973171462947547</v>
      </c>
      <c r="L17" s="49">
        <v>0.90602947313800508</v>
      </c>
      <c r="M17" s="49">
        <v>0.91284550747411675</v>
      </c>
      <c r="N17" s="49">
        <v>0.93492927320707242</v>
      </c>
      <c r="O17" s="49">
        <v>0.94385053030750388</v>
      </c>
      <c r="P17" s="1"/>
      <c r="Q17" s="1"/>
    </row>
    <row r="18" spans="1:17" x14ac:dyDescent="0.25">
      <c r="A18" s="21">
        <v>8</v>
      </c>
      <c r="B18" s="22" t="s">
        <v>41</v>
      </c>
      <c r="C18" s="25" t="s">
        <v>7</v>
      </c>
      <c r="D18" s="49">
        <v>0.90794824399260632</v>
      </c>
      <c r="E18" s="49">
        <v>0.71251368113827074</v>
      </c>
      <c r="F18" s="49">
        <v>0.17192982456140349</v>
      </c>
      <c r="G18" s="49">
        <v>0.11025008805917577</v>
      </c>
      <c r="H18" s="49">
        <v>0.25474364150181672</v>
      </c>
      <c r="I18" s="49">
        <v>0.67713853141559421</v>
      </c>
      <c r="J18" s="49">
        <v>0.14989473684210525</v>
      </c>
      <c r="K18" s="49">
        <v>0.17701241489787745</v>
      </c>
      <c r="L18" s="49">
        <v>0.1530944625407166</v>
      </c>
      <c r="M18" s="49">
        <v>0.15521855486173058</v>
      </c>
      <c r="N18" s="49">
        <v>0.42525431225121629</v>
      </c>
      <c r="O18" s="49">
        <v>0.38656858092074037</v>
      </c>
      <c r="P18" s="5"/>
      <c r="Q18" s="5"/>
    </row>
    <row r="19" spans="1:17" x14ac:dyDescent="0.25">
      <c r="A19" s="21">
        <v>9</v>
      </c>
      <c r="B19" s="22" t="s">
        <v>42</v>
      </c>
      <c r="C19" s="25" t="s">
        <v>7</v>
      </c>
      <c r="D19" s="49">
        <v>0.79026656007632845</v>
      </c>
      <c r="E19" s="49">
        <v>0.9080951458664126</v>
      </c>
      <c r="F19" s="49">
        <v>0.8191155261806653</v>
      </c>
      <c r="G19" s="49">
        <v>0.86676932127562778</v>
      </c>
      <c r="H19" s="49">
        <v>0.6937060299581238</v>
      </c>
      <c r="I19" s="49">
        <v>0.88174092420003103</v>
      </c>
      <c r="J19" s="49">
        <v>0.86871786204495494</v>
      </c>
      <c r="K19" s="49">
        <v>0.90154465992009702</v>
      </c>
      <c r="L19" s="49">
        <v>0.91901690149760717</v>
      </c>
      <c r="M19" s="49">
        <v>0.79155632426415723</v>
      </c>
      <c r="N19" s="49">
        <v>0.80788384674955305</v>
      </c>
      <c r="O19" s="49">
        <v>0.84033496155378018</v>
      </c>
      <c r="P19" s="1"/>
      <c r="Q19" s="1"/>
    </row>
    <row r="20" spans="1:17" x14ac:dyDescent="0.25">
      <c r="A20" s="21"/>
      <c r="B20" s="22"/>
      <c r="C20" s="25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1"/>
      <c r="Q20" s="1"/>
    </row>
    <row r="21" spans="1:17" x14ac:dyDescent="0.25">
      <c r="A21" s="21">
        <v>11</v>
      </c>
      <c r="B21" s="26" t="s">
        <v>43</v>
      </c>
      <c r="C21" s="25" t="s">
        <v>8</v>
      </c>
      <c r="D21" s="49">
        <v>0.82182802105653485</v>
      </c>
      <c r="E21" s="49">
        <v>0.84460725837910089</v>
      </c>
      <c r="F21" s="49">
        <v>0.81101128674195766</v>
      </c>
      <c r="G21" s="49">
        <v>0.98213119870855425</v>
      </c>
      <c r="H21" s="49">
        <v>0.79683470726376915</v>
      </c>
      <c r="I21" s="49">
        <v>0.94868876693924264</v>
      </c>
      <c r="J21" s="49">
        <v>0.73227865318778318</v>
      </c>
      <c r="K21" s="49">
        <v>0.97284639487406166</v>
      </c>
      <c r="L21" s="49">
        <v>0.79668708606932226</v>
      </c>
      <c r="M21" s="49">
        <v>0.95948384245378127</v>
      </c>
      <c r="N21" s="49">
        <v>0.9353766910781397</v>
      </c>
      <c r="O21" s="49">
        <v>0.74396212605018319</v>
      </c>
      <c r="P21" s="1"/>
      <c r="Q21" s="1"/>
    </row>
    <row r="22" spans="1:17" x14ac:dyDescent="0.25">
      <c r="A22" s="24"/>
      <c r="B22" s="22"/>
      <c r="C22" s="2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"/>
      <c r="Q22" s="5"/>
    </row>
    <row r="23" spans="1:17" x14ac:dyDescent="0.25">
      <c r="A23" s="21">
        <v>12</v>
      </c>
      <c r="B23" s="28" t="s">
        <v>9</v>
      </c>
      <c r="C23" s="25" t="s">
        <v>5</v>
      </c>
      <c r="D23" s="49">
        <v>0</v>
      </c>
      <c r="E23" s="49">
        <v>0.88159752357349697</v>
      </c>
      <c r="F23" s="49">
        <v>1.1074692267630616E-2</v>
      </c>
      <c r="G23" s="49">
        <v>0.97559825684361445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"/>
      <c r="Q23" s="1"/>
    </row>
    <row r="24" spans="1:17" x14ac:dyDescent="0.25">
      <c r="P24" s="1"/>
      <c r="Q24" s="1"/>
    </row>
    <row r="25" spans="1:17" hidden="1" x14ac:dyDescent="0.25">
      <c r="P25" s="1"/>
      <c r="Q25" s="1"/>
    </row>
    <row r="26" spans="1:17" x14ac:dyDescent="0.25">
      <c r="P26" s="1"/>
      <c r="Q26" s="1"/>
    </row>
    <row r="27" spans="1:17" x14ac:dyDescent="0.25">
      <c r="A27" s="1"/>
      <c r="B27" s="57" t="s">
        <v>13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7" x14ac:dyDescent="0.25">
      <c r="A28" s="1"/>
      <c r="B28" s="57" t="s">
        <v>14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7" x14ac:dyDescent="0.25">
      <c r="A29" s="1"/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7" x14ac:dyDescent="0.25">
      <c r="A30" s="10"/>
      <c r="B30" s="55" t="s">
        <v>57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7" x14ac:dyDescent="0.25">
      <c r="A31" s="1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7" x14ac:dyDescent="0.25">
      <c r="A32" s="10"/>
      <c r="B32" s="17"/>
      <c r="C32" s="17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25">
      <c r="A33" s="15" t="s">
        <v>0</v>
      </c>
      <c r="B33" s="17" t="s">
        <v>1</v>
      </c>
      <c r="C33" s="34" t="s">
        <v>2</v>
      </c>
      <c r="D33" s="19" t="s">
        <v>70</v>
      </c>
      <c r="E33" s="19" t="s">
        <v>71</v>
      </c>
      <c r="F33" s="19" t="s">
        <v>72</v>
      </c>
      <c r="G33" s="19" t="s">
        <v>73</v>
      </c>
      <c r="H33" s="19" t="s">
        <v>74</v>
      </c>
      <c r="I33" s="19" t="s">
        <v>75</v>
      </c>
      <c r="J33" s="19" t="s">
        <v>76</v>
      </c>
      <c r="K33" s="19" t="s">
        <v>77</v>
      </c>
      <c r="L33" s="19" t="s">
        <v>78</v>
      </c>
      <c r="M33" s="19" t="s">
        <v>79</v>
      </c>
      <c r="N33" s="19" t="s">
        <v>80</v>
      </c>
      <c r="O33" s="19" t="s">
        <v>81</v>
      </c>
    </row>
    <row r="34" spans="1:15" x14ac:dyDescent="0.25">
      <c r="A34" s="10"/>
      <c r="B34" s="17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0"/>
    </row>
    <row r="35" spans="1:15" x14ac:dyDescent="0.25">
      <c r="A35" s="21" t="s">
        <v>3</v>
      </c>
      <c r="B35" s="22" t="s">
        <v>4</v>
      </c>
      <c r="C35" s="23" t="s">
        <v>5</v>
      </c>
      <c r="D35" s="49">
        <v>0.48082233175280037</v>
      </c>
      <c r="E35" s="49">
        <v>0.41364695006305235</v>
      </c>
      <c r="F35" s="49">
        <v>0.44700143911789059</v>
      </c>
      <c r="G35" s="49">
        <v>0.62828501214980514</v>
      </c>
      <c r="H35" s="49">
        <v>0.46829302312999888</v>
      </c>
      <c r="I35" s="49">
        <v>0.48189008951470208</v>
      </c>
      <c r="J35" s="49">
        <v>0.48854851810341843</v>
      </c>
      <c r="K35" s="49">
        <v>0.55054727214654275</v>
      </c>
      <c r="L35" s="49">
        <v>0.5868687838559481</v>
      </c>
      <c r="M35" s="49">
        <v>0.62251364227680284</v>
      </c>
      <c r="N35" s="49">
        <v>0.6401899912056267</v>
      </c>
      <c r="O35" s="49">
        <v>0.50551666748177293</v>
      </c>
    </row>
    <row r="36" spans="1:15" x14ac:dyDescent="0.25">
      <c r="A36" s="24"/>
      <c r="B36" s="22"/>
      <c r="C36" s="23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49"/>
    </row>
    <row r="37" spans="1:15" x14ac:dyDescent="0.25">
      <c r="A37" s="21">
        <v>2</v>
      </c>
      <c r="B37" s="22" t="s">
        <v>49</v>
      </c>
      <c r="C37" s="23" t="s">
        <v>5</v>
      </c>
      <c r="D37" s="49">
        <v>0.66234555183559685</v>
      </c>
      <c r="E37" s="49">
        <v>0.75090603847103277</v>
      </c>
      <c r="F37" s="49">
        <v>0.80914702687864504</v>
      </c>
      <c r="G37" s="49">
        <v>0.80245587295055032</v>
      </c>
      <c r="H37" s="49">
        <v>0.81973970351985914</v>
      </c>
      <c r="I37" s="49">
        <v>0.76203998007938278</v>
      </c>
      <c r="J37" s="49">
        <v>0.68317910575889962</v>
      </c>
      <c r="K37" s="49">
        <v>0.68327465003469479</v>
      </c>
      <c r="L37" s="49">
        <v>0.71702790609116862</v>
      </c>
      <c r="M37" s="49">
        <v>0.73254296989784562</v>
      </c>
      <c r="N37" s="49">
        <v>0.73615958914857182</v>
      </c>
      <c r="O37" s="49">
        <v>0.63909732719905044</v>
      </c>
    </row>
    <row r="38" spans="1:15" x14ac:dyDescent="0.25">
      <c r="A38" s="21"/>
      <c r="B38" s="22"/>
      <c r="C38" s="2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21">
        <v>3</v>
      </c>
      <c r="B39" s="22" t="s">
        <v>50</v>
      </c>
      <c r="C39" s="25" t="s">
        <v>5</v>
      </c>
      <c r="D39" s="49">
        <v>0.59238689720712234</v>
      </c>
      <c r="E39" s="49">
        <v>0.61595549045663889</v>
      </c>
      <c r="F39" s="49">
        <v>0.67058603776681791</v>
      </c>
      <c r="G39" s="49">
        <v>0.65594532780821846</v>
      </c>
      <c r="H39" s="49">
        <v>0.66864748667810747</v>
      </c>
      <c r="I39" s="49">
        <v>0.65808874901798664</v>
      </c>
      <c r="J39" s="49">
        <v>0.60983732328558515</v>
      </c>
      <c r="K39" s="49">
        <v>0.62659219501911356</v>
      </c>
      <c r="L39" s="49">
        <v>0.66130562854739128</v>
      </c>
      <c r="M39" s="49">
        <v>0.68452357644850104</v>
      </c>
      <c r="N39" s="49">
        <v>0.67325919376965715</v>
      </c>
      <c r="O39" s="49">
        <v>0.58477384004900312</v>
      </c>
    </row>
    <row r="40" spans="1:15" x14ac:dyDescent="0.25">
      <c r="A40" s="21">
        <v>4</v>
      </c>
      <c r="B40" s="22" t="s">
        <v>38</v>
      </c>
      <c r="C40" s="25" t="s">
        <v>5</v>
      </c>
      <c r="D40" s="49">
        <v>0.68992729139332576</v>
      </c>
      <c r="E40" s="49">
        <v>0.67983337896303686</v>
      </c>
      <c r="F40" s="49">
        <v>0.68129349538393003</v>
      </c>
      <c r="G40" s="49">
        <v>0.6777915220501135</v>
      </c>
      <c r="H40" s="49">
        <v>0.70199684399753892</v>
      </c>
      <c r="I40" s="49">
        <v>0.73139040149801926</v>
      </c>
      <c r="J40" s="49">
        <v>0.73447035475827926</v>
      </c>
      <c r="K40" s="49">
        <v>0.72406492053960791</v>
      </c>
      <c r="L40" s="49">
        <v>0.74182377652466858</v>
      </c>
      <c r="M40" s="49">
        <v>0.75568080441063079</v>
      </c>
      <c r="N40" s="49">
        <v>0.65515304733734792</v>
      </c>
      <c r="O40" s="49">
        <v>0.69726953323460961</v>
      </c>
    </row>
    <row r="41" spans="1:15" x14ac:dyDescent="0.25">
      <c r="A41" s="24"/>
      <c r="B41" s="27"/>
      <c r="C41" s="2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1"/>
    </row>
    <row r="42" spans="1:15" x14ac:dyDescent="0.25">
      <c r="A42" s="21">
        <v>6</v>
      </c>
      <c r="B42" s="22" t="s">
        <v>39</v>
      </c>
      <c r="C42" s="25" t="s">
        <v>7</v>
      </c>
      <c r="D42" s="49">
        <v>0.78557689580960099</v>
      </c>
      <c r="E42" s="49">
        <v>0.8179223580299404</v>
      </c>
      <c r="F42" s="49">
        <v>0.8242363338922537</v>
      </c>
      <c r="G42" s="49">
        <v>0.8485264334961784</v>
      </c>
      <c r="H42" s="49">
        <v>0.86408324505123868</v>
      </c>
      <c r="I42" s="49">
        <v>0.84460658779336995</v>
      </c>
      <c r="J42" s="49">
        <v>0.83304164472539566</v>
      </c>
      <c r="K42" s="49">
        <v>0.78213730795977598</v>
      </c>
      <c r="L42" s="49">
        <v>0.80152198141354869</v>
      </c>
      <c r="M42" s="49">
        <v>0.83702900594656438</v>
      </c>
      <c r="N42" s="49">
        <v>0.83029285230255345</v>
      </c>
      <c r="O42" s="49">
        <v>0.77050971102539356</v>
      </c>
    </row>
    <row r="43" spans="1:15" x14ac:dyDescent="0.25">
      <c r="A43" s="21">
        <v>7</v>
      </c>
      <c r="B43" s="22" t="s">
        <v>40</v>
      </c>
      <c r="C43" s="25" t="s">
        <v>7</v>
      </c>
      <c r="D43" s="49">
        <v>0.80007164484997206</v>
      </c>
      <c r="E43" s="49">
        <v>0.80775633654023637</v>
      </c>
      <c r="F43" s="49">
        <v>0.82530769641266166</v>
      </c>
      <c r="G43" s="49">
        <v>0.83343357099750259</v>
      </c>
      <c r="H43" s="49">
        <v>0.84834084694821477</v>
      </c>
      <c r="I43" s="49">
        <v>0.86864897901745253</v>
      </c>
      <c r="J43" s="49">
        <v>0.84976170909454807</v>
      </c>
      <c r="K43" s="49">
        <v>0.83770203835279433</v>
      </c>
      <c r="L43" s="49">
        <v>0.84364499242432123</v>
      </c>
      <c r="M43" s="49">
        <v>0.8405513620891063</v>
      </c>
      <c r="N43" s="49">
        <v>0.78041689321990715</v>
      </c>
      <c r="O43" s="49">
        <v>0.82636842844773872</v>
      </c>
    </row>
    <row r="44" spans="1:15" x14ac:dyDescent="0.25">
      <c r="A44" s="21">
        <v>8</v>
      </c>
      <c r="B44" s="22" t="s">
        <v>41</v>
      </c>
      <c r="C44" s="25" t="s">
        <v>7</v>
      </c>
      <c r="D44" s="49">
        <v>0.59539780971120781</v>
      </c>
      <c r="E44" s="49">
        <v>0.70549491939951625</v>
      </c>
      <c r="F44" s="49">
        <v>0.65912092058102245</v>
      </c>
      <c r="G44" s="49">
        <v>0.59343283704570615</v>
      </c>
      <c r="H44" s="49">
        <v>0.6601828778787836</v>
      </c>
      <c r="I44" s="49">
        <v>0.56963403417091962</v>
      </c>
      <c r="J44" s="49">
        <v>0.47817738791423003</v>
      </c>
      <c r="K44" s="49">
        <v>0.3523986848734611</v>
      </c>
      <c r="L44" s="49">
        <v>0.34243425021112317</v>
      </c>
      <c r="M44" s="49">
        <v>0.20387352961865204</v>
      </c>
      <c r="N44" s="49">
        <v>0.34087135137020286</v>
      </c>
      <c r="O44" s="49">
        <v>0.33984217071841655</v>
      </c>
    </row>
    <row r="45" spans="1:15" x14ac:dyDescent="0.25">
      <c r="A45" s="21">
        <v>9</v>
      </c>
      <c r="B45" s="22" t="s">
        <v>42</v>
      </c>
      <c r="C45" s="25" t="s">
        <v>7</v>
      </c>
      <c r="D45" s="49">
        <v>0.80710207418762236</v>
      </c>
      <c r="E45" s="49">
        <v>0.87880507146032916</v>
      </c>
      <c r="F45" s="49">
        <v>0.84132931211264561</v>
      </c>
      <c r="G45" s="49">
        <v>0.88530686518304647</v>
      </c>
      <c r="H45" s="49">
        <v>0.89171864080613594</v>
      </c>
      <c r="I45" s="49">
        <v>0.86686126917268969</v>
      </c>
      <c r="J45" s="49">
        <v>0.83944670690703305</v>
      </c>
      <c r="K45" s="49">
        <v>0.88549688847229646</v>
      </c>
      <c r="L45" s="49">
        <v>0.81918597994638065</v>
      </c>
      <c r="M45" s="49">
        <v>0.84315991405471236</v>
      </c>
      <c r="N45" s="49">
        <v>0.8346562641264994</v>
      </c>
      <c r="O45" s="49">
        <v>0.85143969139597742</v>
      </c>
    </row>
    <row r="46" spans="1:15" x14ac:dyDescent="0.25">
      <c r="A46" s="21"/>
      <c r="B46" s="22"/>
      <c r="C46" s="25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1:15" x14ac:dyDescent="0.25">
      <c r="A47" s="21">
        <v>11</v>
      </c>
      <c r="B47" s="26" t="s">
        <v>43</v>
      </c>
      <c r="C47" s="25" t="s">
        <v>8</v>
      </c>
      <c r="D47" s="49">
        <v>0.80032424388009848</v>
      </c>
      <c r="E47" s="49">
        <v>0.8510509323472778</v>
      </c>
      <c r="F47" s="49">
        <v>0.83054627095117217</v>
      </c>
      <c r="G47" s="49">
        <v>0.86478208445020266</v>
      </c>
      <c r="H47" s="49">
        <v>0.85965857406011192</v>
      </c>
      <c r="I47" s="49">
        <v>0.87593173774871147</v>
      </c>
      <c r="J47" s="49">
        <v>0.83336688642916934</v>
      </c>
      <c r="K47" s="49">
        <v>0.86911592208668187</v>
      </c>
      <c r="L47" s="49">
        <v>0.84802149087068923</v>
      </c>
      <c r="M47" s="49">
        <v>0.92771947488874562</v>
      </c>
      <c r="N47" s="49">
        <v>0.89652339403252734</v>
      </c>
      <c r="O47" s="49">
        <v>0.81210679039204625</v>
      </c>
    </row>
    <row r="48" spans="1:15" x14ac:dyDescent="0.25">
      <c r="A48" s="24"/>
      <c r="B48" s="22"/>
      <c r="C48" s="2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 spans="1:15" x14ac:dyDescent="0.25">
      <c r="A49" s="21">
        <v>12</v>
      </c>
      <c r="B49" s="28" t="s">
        <v>9</v>
      </c>
      <c r="C49" s="25" t="s">
        <v>5</v>
      </c>
      <c r="D49" s="49">
        <v>0.47072434745335373</v>
      </c>
      <c r="E49" s="49">
        <v>0.50390901527889298</v>
      </c>
      <c r="F49" s="49">
        <v>0.52235211386073754</v>
      </c>
      <c r="G49" s="49">
        <v>0.51725670164502924</v>
      </c>
      <c r="H49" s="49">
        <v>0.4869172413577052</v>
      </c>
      <c r="I49" s="49">
        <v>0.42166171045779194</v>
      </c>
      <c r="J49" s="49">
        <v>0.42123943937772518</v>
      </c>
      <c r="K49" s="49">
        <v>0.41168459000928603</v>
      </c>
      <c r="L49" s="49">
        <v>0.37887077343685566</v>
      </c>
      <c r="M49" s="49">
        <v>0.38055555555555559</v>
      </c>
      <c r="N49" s="49">
        <v>0.41546999179236066</v>
      </c>
      <c r="O49" s="49">
        <v>0.41624548952702112</v>
      </c>
    </row>
    <row r="50" spans="1:15" x14ac:dyDescent="0.25">
      <c r="A50" s="3"/>
      <c r="B50" s="18"/>
      <c r="C50" s="18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 t="s">
        <v>6</v>
      </c>
      <c r="M50" s="6" t="s">
        <v>6</v>
      </c>
      <c r="N50" s="6" t="s">
        <v>6</v>
      </c>
      <c r="O50" s="6" t="s">
        <v>6</v>
      </c>
    </row>
    <row r="51" spans="1:15" x14ac:dyDescent="0.25">
      <c r="A51" s="3"/>
      <c r="B51" s="7"/>
      <c r="C51" s="7" t="s">
        <v>6</v>
      </c>
      <c r="D51" s="6" t="s">
        <v>6</v>
      </c>
      <c r="E51" s="6" t="s">
        <v>6</v>
      </c>
      <c r="F51" s="6" t="s">
        <v>6</v>
      </c>
      <c r="G51" s="6" t="s">
        <v>6</v>
      </c>
      <c r="H51" s="6" t="s">
        <v>6</v>
      </c>
      <c r="I51" s="6" t="s">
        <v>6</v>
      </c>
      <c r="J51" s="6" t="s">
        <v>6</v>
      </c>
      <c r="K51" s="6" t="s">
        <v>6</v>
      </c>
      <c r="L51" s="6" t="s">
        <v>6</v>
      </c>
      <c r="M51" s="6" t="s">
        <v>6</v>
      </c>
      <c r="N51" s="6" t="s">
        <v>6</v>
      </c>
      <c r="O51" s="6" t="s">
        <v>6</v>
      </c>
    </row>
  </sheetData>
  <mergeCells count="8">
    <mergeCell ref="B1:O1"/>
    <mergeCell ref="B30:O30"/>
    <mergeCell ref="B2:O2"/>
    <mergeCell ref="B3:O3"/>
    <mergeCell ref="B4:O4"/>
    <mergeCell ref="B27:O27"/>
    <mergeCell ref="B28:O28"/>
    <mergeCell ref="B29:O29"/>
  </mergeCells>
  <pageMargins left="0.7" right="0.7" top="0.75" bottom="0.75" header="0.3" footer="0.3"/>
  <pageSetup scale="50" orientation="landscape" r:id="rId1"/>
  <headerFooter>
    <oddHeader>&amp;RDocket No. 56165
II-H-1.3 Unadjusted Test Year Load Data
&amp;A
Page &amp;P of &amp;N</oddHeader>
    <oddFooter>&amp;LSponsored by: Trenton E. Feasel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640fb8-5a34-41c1-9307-1b790ff29a8b">
      <Terms xmlns="http://schemas.microsoft.com/office/infopath/2007/PartnerControls"/>
    </lcf76f155ced4ddcb4097134ff3c332f>
    <TaxCatchAll xmlns="51831b8d-857f-44dd-949b-652450d1a5df" xsi:nil="true"/>
    <Operating_x0020_Company xmlns="a1040523-5304-4b09-b6d4-64a124c994e2">AEP Ohio</Operating_x0020_Company>
    <_ip_UnifiedCompliancePolicyUIAction xmlns="http://schemas.microsoft.com/sharepoint/v3" xsi:nil="true"/>
    <_Flow_SignoffStatus xmlns="5b640fb8-5a34-41c1-9307-1b790ff29a8b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wvc2lzbD48VXNlck5hbWU+Q09SUFxkMDAwMjk4PC9Vc2VyTmFtZT48RGF0ZVRpbWU+Mi85LzIwMjQgMzoyOTo0NSBQTTwvRGF0ZVRpbWU+PExhYmVsU3RyaW5nPkFFUCBJbnRlcm5hbDwvTGFiZWxTdHJpbmc+PC9pdGVtPjwvbGFiZWxIaXN0b3J5Pg==</Value>
</WrappedLabelHistory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36C2C73B-DCB4-40AA-9B41-F9CD7B8D9AFB}">
  <ds:schemaRefs>
    <ds:schemaRef ds:uri="http://purl.org/dc/elements/1.1/"/>
    <ds:schemaRef ds:uri="5b640fb8-5a34-41c1-9307-1b790ff29a8b"/>
    <ds:schemaRef ds:uri="http://schemas.microsoft.com/office/2006/metadata/properties"/>
    <ds:schemaRef ds:uri="51831b8d-857f-44dd-949b-652450d1a5df"/>
    <ds:schemaRef ds:uri="http://purl.org/dc/terms/"/>
    <ds:schemaRef ds:uri="a1040523-5304-4b09-b6d4-64a124c994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987E30-86FE-4F66-9A1E-29874790E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5476C-BB4B-458C-A2D4-984E6A75F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A5C6505-4683-4A97-BB65-099D8F7F81A8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6FD7448B-D633-4B79-9462-C27B2975F1E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II-H-1.3.(1) TEX TYE2309</vt:lpstr>
      <vt:lpstr>II-H-1.3.(2) TEX TYE2309</vt:lpstr>
      <vt:lpstr>II-H-1.3.(3) TEX TYE2309</vt:lpstr>
      <vt:lpstr>II-H-1.3.(4) TEX TYE2309</vt:lpstr>
      <vt:lpstr>II-H-1.3.(5) TEX TYE2309</vt:lpstr>
      <vt:lpstr>II-H-1.3.(6) TEX TYE2309</vt:lpstr>
      <vt:lpstr>II-H-1.3.(6) TEX YE2209</vt:lpstr>
      <vt:lpstr>II-H-1.3.(6) TEX YE2109</vt:lpstr>
      <vt:lpstr>II-H-1.3.(6) TEX YE2009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2024-02-25T17:35:21Z</cp:lastPrinted>
  <dcterms:created xsi:type="dcterms:W3CDTF">2019-01-29T18:17:37Z</dcterms:created>
  <dcterms:modified xsi:type="dcterms:W3CDTF">2024-02-25T17:36:14Z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129b826d-4f33-4097-b272-b6921e0c937f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ContentTypeId">
    <vt:lpwstr>0x01010001136CE24ED5F449BD16740FFC7FAF6F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uid="50c31824-0780-4910-87d1-eaaffd182d42" value="" /&gt;&lt;/sisl&gt;</vt:lpwstr>
  </property>
  <property fmtid="{D5CDD505-2E9C-101B-9397-08002B2CF9AE}" pid="8" name="MSIP_Label_69f43042-6bda-44b2-91eb-eca3d3d484f4_SiteId">
    <vt:lpwstr>15f3c881-6b03-4ff6-8559-77bf5177818f</vt:lpwstr>
  </property>
  <property fmtid="{D5CDD505-2E9C-101B-9397-08002B2CF9AE}" pid="9" name="MSIP_Label_69f43042-6bda-44b2-91eb-eca3d3d484f4_Name">
    <vt:lpwstr>AEP Internal</vt:lpwstr>
  </property>
  <property fmtid="{D5CDD505-2E9C-101B-9397-08002B2CF9AE}" pid="10" name="MSIP_Label_69f43042-6bda-44b2-91eb-eca3d3d484f4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{BA5C6505-4683-4A97-BB65-099D8F7F81A8}</vt:lpwstr>
  </property>
</Properties>
</file>