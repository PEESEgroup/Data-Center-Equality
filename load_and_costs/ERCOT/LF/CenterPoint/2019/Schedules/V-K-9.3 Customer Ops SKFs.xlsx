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T:\RATES\_Share-CEHE-DCRF\2019 Rate Case\V-K Schedules\"/>
    </mc:Choice>
  </mc:AlternateContent>
  <xr:revisionPtr revIDLastSave="0" documentId="10_ncr:100000_{DFA48ABC-5E8D-47B5-A610-473FE33F69B3}" xr6:coauthVersionLast="31" xr6:coauthVersionMax="31" xr10:uidLastSave="{00000000-0000-0000-0000-000000000000}"/>
  <bookViews>
    <workbookView xWindow="0" yWindow="0" windowWidth="25200" windowHeight="11256" xr2:uid="{00000000-000D-0000-FFFF-FFFF00000000}"/>
  </bookViews>
  <sheets>
    <sheet name="CC03 2018" sheetId="1" r:id="rId1"/>
  </sheets>
  <definedNames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40000.5442013889</definedName>
    <definedName name="IQ_NTM" hidden="1">6000</definedName>
    <definedName name="IQ_TODAY" hidden="1">0</definedName>
    <definedName name="IQ_WEEK" hidden="1">50000</definedName>
    <definedName name="IQ_YTD" hidden="1">3000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7" i="1" l="1"/>
  <c r="K36" i="1" s="1"/>
  <c r="K43" i="1" l="1"/>
  <c r="K38" i="1"/>
  <c r="K34" i="1"/>
  <c r="K42" i="1"/>
  <c r="K37" i="1"/>
  <c r="K45" i="1"/>
  <c r="K39" i="1"/>
  <c r="K46" i="1"/>
  <c r="K41" i="1"/>
  <c r="K35" i="1"/>
  <c r="K44" i="1"/>
  <c r="K40" i="1"/>
  <c r="B47" i="1"/>
  <c r="K47" i="1" l="1"/>
  <c r="D38" i="1"/>
  <c r="D42" i="1"/>
  <c r="D46" i="1"/>
  <c r="D40" i="1"/>
  <c r="D37" i="1"/>
  <c r="D45" i="1"/>
  <c r="D35" i="1"/>
  <c r="D39" i="1"/>
  <c r="D43" i="1"/>
  <c r="D34" i="1"/>
  <c r="D36" i="1"/>
  <c r="D44" i="1"/>
  <c r="D41" i="1"/>
  <c r="D47" i="1" l="1"/>
  <c r="C26" i="1" l="1"/>
  <c r="D26" i="1"/>
  <c r="E26" i="1"/>
  <c r="F26" i="1"/>
  <c r="G26" i="1"/>
  <c r="H26" i="1"/>
  <c r="I26" i="1"/>
  <c r="J26" i="1"/>
  <c r="K26" i="1"/>
  <c r="L26" i="1"/>
  <c r="M26" i="1"/>
  <c r="B26" i="1"/>
  <c r="N14" i="1"/>
  <c r="N15" i="1"/>
  <c r="N16" i="1"/>
  <c r="N17" i="1"/>
  <c r="N18" i="1"/>
  <c r="N19" i="1"/>
  <c r="N20" i="1"/>
  <c r="N21" i="1"/>
  <c r="N22" i="1"/>
  <c r="N23" i="1"/>
  <c r="N24" i="1"/>
  <c r="N25" i="1"/>
  <c r="N13" i="1"/>
  <c r="N26" i="1" l="1"/>
</calcChain>
</file>

<file path=xl/sharedStrings.xml><?xml version="1.0" encoding="utf-8"?>
<sst xmlns="http://schemas.openxmlformats.org/spreadsheetml/2006/main" count="74" uniqueCount="46">
  <si>
    <t>HGO</t>
  </si>
  <si>
    <t>Houston Electric</t>
  </si>
  <si>
    <t>South TX</t>
  </si>
  <si>
    <t>Arkansas</t>
  </si>
  <si>
    <t>Beaumont</t>
  </si>
  <si>
    <t>East Texas</t>
  </si>
  <si>
    <t>Mississippi</t>
  </si>
  <si>
    <t>Oklahoma</t>
  </si>
  <si>
    <t>Texarkana</t>
  </si>
  <si>
    <t>South LA</t>
  </si>
  <si>
    <t>North LA</t>
  </si>
  <si>
    <t>2018 Call Minute SKF's (CC03)</t>
  </si>
  <si>
    <t>Jurisdiction</t>
  </si>
  <si>
    <t>Minnesota</t>
  </si>
  <si>
    <t>May</t>
  </si>
  <si>
    <t>2018 Annual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</si>
  <si>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</si>
  <si>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</si>
  <si>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</si>
  <si>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</si>
  <si>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</si>
  <si>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</si>
  <si>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</si>
  <si>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</si>
  <si>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</si>
  <si>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</si>
  <si>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</si>
  <si>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</si>
  <si>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HSP South</t>
  </si>
  <si>
    <t>Totals</t>
  </si>
  <si>
    <t>2018 Customer Count SKFs (CTLHSP)</t>
  </si>
  <si>
    <t>(Based on Avg Customer Count for 12 mos end June 2017)</t>
  </si>
  <si>
    <t>South Texas</t>
  </si>
  <si>
    <t>Houston</t>
  </si>
  <si>
    <t>Texas Coast</t>
  </si>
  <si>
    <t>Louisiana Entex</t>
  </si>
  <si>
    <t>Louisiana Arkla</t>
  </si>
  <si>
    <t>2018 ALLOCATION FACTORS-GASOPS&amp;CEHE</t>
  </si>
  <si>
    <t>CEHE</t>
  </si>
  <si>
    <t>2018 Customer Count SKFs (CTTLRO)</t>
  </si>
  <si>
    <t>PUBLIC UTILITY COMMISSION OF TEXAS</t>
  </si>
  <si>
    <t>CENTERPOINT ENERGY HOUSTON ELECTRIC, LLC</t>
  </si>
  <si>
    <t>TEST YEAR ENDED 12/31/2018</t>
  </si>
  <si>
    <t>DOCKET NUMBER PENDING ASSIGNMENT</t>
  </si>
  <si>
    <t>SPONSOR: M. TOWNSEND</t>
  </si>
  <si>
    <t>V-K-9.3 CUSTOMER OPERATIONS SKFs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</si>
</sst>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FFFF9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1">
    <xf numFmtId="0" fontId="0" fillId="0" borderId="0" xfId="0"/>
    <xf numFmtId="10" fontId="0" fillId="0" borderId="0" xfId="2" applyNumberFormat="1" applyFont="1"/>
    <xf numFmtId="10" fontId="0" fillId="0" borderId="0" xfId="2" applyNumberFormat="1" applyFont="1" applyFill="1" applyBorder="1"/>
    <xf numFmtId="164" fontId="0" fillId="0" borderId="0" xfId="0" applyNumberFormat="1"/>
    <xf numFmtId="164" fontId="0" fillId="0" borderId="0" xfId="1" applyNumberFormat="1" applyFont="1" applyAlignment="1">
      <alignment horizontal="center"/>
    </xf>
    <xf numFmtId="0" fontId="4" fillId="2" borderId="1" xfId="0" applyFont="1" applyFill="1" applyBorder="1"/>
    <xf numFmtId="164" fontId="2" fillId="2" borderId="1" xfId="0" applyNumberFormat="1" applyFont="1" applyFill="1" applyBorder="1"/>
    <xf numFmtId="0" fontId="2" fillId="0" borderId="4" xfId="0" applyFont="1" applyBorder="1"/>
    <xf numFmtId="0" fontId="5" fillId="0" borderId="8" xfId="3" applyBorder="1" applyAlignment="1">
      <alignment horizontal="right"/>
    </xf>
    <xf numFmtId="41" fontId="5" fillId="0" borderId="0" xfId="3" applyNumberFormat="1" applyBorder="1"/>
    <xf numFmtId="41" fontId="5" fillId="0" borderId="1" xfId="3" applyNumberFormat="1" applyBorder="1"/>
    <xf numFmtId="10" fontId="5" fillId="0" borderId="0" xfId="3" applyNumberFormat="1" applyBorder="1"/>
    <xf numFmtId="0" fontId="5" fillId="0" borderId="10" xfId="3" applyBorder="1"/>
    <xf numFmtId="41" fontId="5" fillId="0" borderId="11" xfId="3" applyNumberFormat="1" applyBorder="1"/>
    <xf numFmtId="0" fontId="7" fillId="0" borderId="11" xfId="3" applyFont="1" applyBorder="1"/>
    <xf numFmtId="10" fontId="7" fillId="0" borderId="11" xfId="3" applyNumberFormat="1" applyFont="1" applyBorder="1"/>
    <xf numFmtId="10" fontId="5" fillId="0" borderId="12" xfId="3" applyNumberFormat="1" applyBorder="1"/>
    <xf numFmtId="41" fontId="9" fillId="0" borderId="0" xfId="3" applyNumberFormat="1" applyFont="1" applyFill="1" applyBorder="1"/>
    <xf numFmtId="0" fontId="5" fillId="0" borderId="8" xfId="3" applyBorder="1" applyAlignment="1">
      <alignment horizontal="left"/>
    </xf>
    <xf numFmtId="0" fontId="5" fillId="0" borderId="8" xfId="3" applyFont="1" applyBorder="1" applyAlignment="1">
      <alignment horizontal="left"/>
    </xf>
    <xf numFmtId="10" fontId="5" fillId="0" borderId="1" xfId="3" applyNumberFormat="1" applyBorder="1"/>
    <xf numFmtId="0" fontId="0" fillId="0" borderId="0" xfId="0" applyBorder="1"/>
    <xf numFmtId="0" fontId="0" fillId="0" borderId="9" xfId="0" applyBorder="1"/>
    <xf numFmtId="0" fontId="10" fillId="3" borderId="14" xfId="3" applyNumberFormat="1" applyFont="1" applyFill="1" applyBorder="1" applyAlignment="1">
      <alignment vertical="center"/>
    </xf>
    <xf numFmtId="0" fontId="10" fillId="3" borderId="16" xfId="3" applyNumberFormat="1" applyFont="1" applyFill="1" applyBorder="1" applyAlignment="1">
      <alignment vertical="center"/>
    </xf>
    <xf numFmtId="0" fontId="10" fillId="3" borderId="18" xfId="3" applyNumberFormat="1" applyFont="1" applyFill="1" applyBorder="1" applyAlignment="1">
      <alignment horizontal="left" vertical="center"/>
    </xf>
    <xf numFmtId="0" fontId="0" fillId="4" borderId="15" xfId="0" applyFill="1" applyBorder="1"/>
    <xf numFmtId="0" fontId="0" fillId="4" borderId="17" xfId="0" applyFill="1" applyBorder="1"/>
    <xf numFmtId="0" fontId="0" fillId="4" borderId="19" xfId="0" applyFill="1" applyBorder="1"/>
    <xf numFmtId="0" fontId="0" fillId="4" borderId="0" xfId="0" applyFill="1" applyBorder="1"/>
    <xf numFmtId="0" fontId="0" fillId="4" borderId="20" xfId="0" applyFill="1" applyBorder="1"/>
    <xf numFmtId="0" fontId="0" fillId="4" borderId="4" xfId="0" applyFill="1" applyBorder="1"/>
    <xf numFmtId="41" fontId="6" fillId="0" borderId="5" xfId="3" applyNumberFormat="1" applyFont="1" applyBorder="1" applyAlignment="1">
      <alignment horizontal="center"/>
    </xf>
    <xf numFmtId="41" fontId="6" fillId="0" borderId="6" xfId="3" applyNumberFormat="1" applyFont="1" applyBorder="1" applyAlignment="1">
      <alignment horizontal="center"/>
    </xf>
    <xf numFmtId="41" fontId="6" fillId="0" borderId="7" xfId="3" applyNumberFormat="1" applyFont="1" applyBorder="1" applyAlignment="1">
      <alignment horizontal="center"/>
    </xf>
    <xf numFmtId="10" fontId="6" fillId="0" borderId="8" xfId="3" applyNumberFormat="1" applyFont="1" applyBorder="1" applyAlignment="1">
      <alignment horizontal="center" vertical="top" wrapText="1"/>
    </xf>
    <xf numFmtId="10" fontId="6" fillId="0" borderId="0" xfId="3" applyNumberFormat="1" applyFont="1" applyBorder="1" applyAlignment="1">
      <alignment horizontal="center" vertical="top" wrapText="1"/>
    </xf>
    <xf numFmtId="10" fontId="6" fillId="0" borderId="9" xfId="3" applyNumberFormat="1" applyFont="1" applyBorder="1" applyAlignment="1">
      <alignment horizontal="center" vertical="top" wrapText="1"/>
    </xf>
    <xf numFmtId="0" fontId="3" fillId="4" borderId="2" xfId="0" applyFont="1" applyFill="1" applyBorder="1"/>
    <xf numFmtId="0" fontId="0" fillId="4" borderId="13" xfId="0" applyFill="1" applyBorder="1"/>
    <xf numFmtId="0" fontId="0" fillId="4" borderId="3" xfId="0" applyFill="1" applyBorder="1"/>
  </cellXfs>
  <cellStyles count="6">
    <cellStyle name="Comma" xfId="1" builtinId="3"/>
    <cellStyle name="Currency 2" xfId="4" xr:uid="{00000000-0005-0000-0000-000001000000}"/>
    <cellStyle name="Normal" xfId="0" builtinId="0"/>
    <cellStyle name="Normal 2" xfId="3" xr:uid="{00000000-0005-0000-0000-000003000000}"/>
    <cellStyle name="Percent" xfId="2" builtinId="5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53"/>
  <sheetViews>
    <sheetView tabSelected="1" workbookViewId="0">
      <selection activeCell="E28" sqref="E28"/>
    </sheetView>
  </sheetViews>
  <sheetFormatPr defaultRowHeight="14.4" x14ac:dyDescent="0.3"/>
  <cols>
    <col min="1" max="1" width="22.88671875" customWidth="1"/>
    <col min="2" max="9" width="11.33203125" customWidth="1"/>
    <col min="10" max="10" width="15" customWidth="1"/>
    <col min="11" max="13" width="11.33203125" customWidth="1"/>
    <col min="14" max="14" width="18.109375" customWidth="1"/>
  </cols>
  <sheetData>
    <row r="2" spans="1:14" x14ac:dyDescent="0.3">
      <c r="A2" s="23" t="s">
        <v>40</v>
      </c>
      <c r="B2" s="30"/>
      <c r="C2" s="26"/>
    </row>
    <row r="3" spans="1:14" x14ac:dyDescent="0.3">
      <c r="A3" s="24" t="s">
        <v>41</v>
      </c>
      <c r="B3" s="29"/>
      <c r="C3" s="27"/>
    </row>
    <row r="4" spans="1:14" x14ac:dyDescent="0.3">
      <c r="A4" s="24" t="s">
        <v>45</v>
      </c>
      <c r="B4" s="29"/>
      <c r="C4" s="27"/>
    </row>
    <row r="5" spans="1:14" x14ac:dyDescent="0.3">
      <c r="A5" s="24" t="s">
        <v>42</v>
      </c>
      <c r="B5" s="29"/>
      <c r="C5" s="27"/>
    </row>
    <row r="6" spans="1:14" x14ac:dyDescent="0.3">
      <c r="A6" s="24" t="s">
        <v>43</v>
      </c>
      <c r="B6" s="29"/>
      <c r="C6" s="27"/>
    </row>
    <row r="7" spans="1:14" x14ac:dyDescent="0.3">
      <c r="A7" s="25" t="s">
        <v>44</v>
      </c>
      <c r="B7" s="31"/>
      <c r="C7" s="28"/>
    </row>
    <row r="9" spans="1:14" ht="15" thickBot="1" x14ac:dyDescent="0.35"/>
    <row r="10" spans="1:14" ht="16.2" thickBot="1" x14ac:dyDescent="0.35">
      <c r="A10" s="38" t="s">
        <v>11</v>
      </c>
      <c r="B10" s="39"/>
      <c r="C10" s="40"/>
      <c r="D10" t="s">
        <v>27</v>
      </c>
    </row>
    <row r="12" spans="1:14" x14ac:dyDescent="0.3">
      <c r="A12" s="7" t="s">
        <v>12</v>
      </c>
      <c r="B12" s="7" t="s">
        <v>16</v>
      </c>
      <c r="C12" s="7" t="s">
        <v>17</v>
      </c>
      <c r="D12" s="7" t="s">
        <v>18</v>
      </c>
      <c r="E12" s="7" t="s">
        <v>19</v>
      </c>
      <c r="F12" s="7" t="s">
        <v>14</v>
      </c>
      <c r="G12" s="7" t="s">
        <v>20</v>
      </c>
      <c r="H12" s="7" t="s">
        <v>21</v>
      </c>
      <c r="I12" s="7" t="s">
        <v>22</v>
      </c>
      <c r="J12" s="7" t="s">
        <v>23</v>
      </c>
      <c r="K12" s="7" t="s">
        <v>24</v>
      </c>
      <c r="L12" s="7" t="s">
        <v>25</v>
      </c>
      <c r="M12" s="7" t="s">
        <v>26</v>
      </c>
      <c r="N12" s="7" t="s">
        <v>15</v>
      </c>
    </row>
    <row r="13" spans="1:14" x14ac:dyDescent="0.3">
      <c r="A13" s="1" t="s">
        <v>0</v>
      </c>
      <c r="B13" s="4">
        <v>781373.08333333337</v>
      </c>
      <c r="C13" s="4">
        <v>729107.66666666663</v>
      </c>
      <c r="D13" s="4">
        <v>719540.53333333333</v>
      </c>
      <c r="E13" s="4">
        <v>713354.6</v>
      </c>
      <c r="F13" s="4">
        <v>703075.21666666667</v>
      </c>
      <c r="G13" s="4">
        <v>705021.76666666672</v>
      </c>
      <c r="H13" s="4">
        <v>707530.46666666667</v>
      </c>
      <c r="I13" s="4">
        <v>767015.05</v>
      </c>
      <c r="J13" s="4">
        <v>622494.43333333335</v>
      </c>
      <c r="K13" s="4">
        <v>774212.8</v>
      </c>
      <c r="L13" s="4">
        <v>735013.53333333333</v>
      </c>
      <c r="M13" s="4">
        <v>665019.68333333335</v>
      </c>
      <c r="N13" s="3">
        <f>SUM(B13:M13)</f>
        <v>8622758.833333334</v>
      </c>
    </row>
    <row r="14" spans="1:14" x14ac:dyDescent="0.3">
      <c r="A14" s="1" t="s">
        <v>1</v>
      </c>
      <c r="B14" s="4">
        <v>294392.95</v>
      </c>
      <c r="C14" s="4">
        <v>249934.51666666666</v>
      </c>
      <c r="D14" s="4">
        <v>254899.28333333333</v>
      </c>
      <c r="E14" s="4">
        <v>274532.33333333331</v>
      </c>
      <c r="F14" s="4">
        <v>301149.33333333331</v>
      </c>
      <c r="G14" s="4">
        <v>314308.71666666667</v>
      </c>
      <c r="H14" s="4">
        <v>330144.65000000002</v>
      </c>
      <c r="I14" s="4">
        <v>324332.59999999998</v>
      </c>
      <c r="J14" s="4">
        <v>299232.93333333335</v>
      </c>
      <c r="K14" s="4">
        <v>274734.41666666669</v>
      </c>
      <c r="L14" s="4">
        <v>266938.56666666665</v>
      </c>
      <c r="M14" s="4">
        <v>253989.41666666666</v>
      </c>
      <c r="N14" s="3">
        <f t="shared" ref="N14:N25" si="0">SUM(B14:M14)</f>
        <v>3438589.7166666663</v>
      </c>
    </row>
    <row r="15" spans="1:14" x14ac:dyDescent="0.3">
      <c r="A15" s="1" t="s">
        <v>2</v>
      </c>
      <c r="B15" s="4">
        <v>80049.133333333331</v>
      </c>
      <c r="C15" s="4">
        <v>76717.833333333328</v>
      </c>
      <c r="D15" s="4">
        <v>77571.416666666672</v>
      </c>
      <c r="E15" s="4">
        <v>74426.233333333337</v>
      </c>
      <c r="F15" s="4">
        <v>67457.483333333337</v>
      </c>
      <c r="G15" s="4">
        <v>65796.933333333334</v>
      </c>
      <c r="H15" s="4">
        <v>67785.45</v>
      </c>
      <c r="I15" s="4">
        <v>74246.21666666666</v>
      </c>
      <c r="J15" s="4">
        <v>61242.866666666669</v>
      </c>
      <c r="K15" s="4">
        <v>75425.816666666666</v>
      </c>
      <c r="L15" s="4">
        <v>68777.75</v>
      </c>
      <c r="M15" s="4">
        <v>57887.633333333331</v>
      </c>
      <c r="N15" s="3">
        <f t="shared" si="0"/>
        <v>847384.76666666672</v>
      </c>
    </row>
    <row r="16" spans="1:14" x14ac:dyDescent="0.3">
      <c r="A16" s="1" t="s">
        <v>3</v>
      </c>
      <c r="B16" s="4">
        <v>338454.80726999999</v>
      </c>
      <c r="C16" s="4">
        <v>344388.44529</v>
      </c>
      <c r="D16" s="4">
        <v>311674.17683999997</v>
      </c>
      <c r="E16" s="4">
        <v>309990.29397999996</v>
      </c>
      <c r="F16" s="4">
        <v>276121.31059000001</v>
      </c>
      <c r="G16" s="4">
        <v>250364.74429999999</v>
      </c>
      <c r="H16" s="4">
        <v>240375.15517000001</v>
      </c>
      <c r="I16" s="4">
        <v>249251.99208000003</v>
      </c>
      <c r="J16" s="4">
        <v>208326.59437999999</v>
      </c>
      <c r="K16" s="4">
        <v>312971.33655000001</v>
      </c>
      <c r="L16" s="4">
        <v>308146.21908000001</v>
      </c>
      <c r="M16" s="4">
        <v>272333.20970999997</v>
      </c>
      <c r="N16" s="3">
        <f t="shared" si="0"/>
        <v>3422398.2852400001</v>
      </c>
    </row>
    <row r="17" spans="1:15" x14ac:dyDescent="0.3">
      <c r="A17" s="1" t="s">
        <v>4</v>
      </c>
      <c r="B17" s="4">
        <v>52107.283333333333</v>
      </c>
      <c r="C17" s="4">
        <v>46218.533333333333</v>
      </c>
      <c r="D17" s="4">
        <v>45508.316666666666</v>
      </c>
      <c r="E17" s="4">
        <v>55578.7</v>
      </c>
      <c r="F17" s="4">
        <v>43670.083333333336</v>
      </c>
      <c r="G17" s="4">
        <v>41592.35</v>
      </c>
      <c r="H17" s="4">
        <v>37778.833333333336</v>
      </c>
      <c r="I17" s="4">
        <v>43258.116666666669</v>
      </c>
      <c r="J17" s="4">
        <v>34787.166666666664</v>
      </c>
      <c r="K17" s="4">
        <v>47551.183333333334</v>
      </c>
      <c r="L17" s="4">
        <v>40017.133333333331</v>
      </c>
      <c r="M17" s="4">
        <v>33087.98333333333</v>
      </c>
      <c r="N17" s="3">
        <f t="shared" si="0"/>
        <v>521155.68333333341</v>
      </c>
    </row>
    <row r="18" spans="1:15" x14ac:dyDescent="0.3">
      <c r="A18" s="1" t="s">
        <v>5</v>
      </c>
      <c r="B18" s="4">
        <v>89498.516666666663</v>
      </c>
      <c r="C18" s="4">
        <v>81375.399999999994</v>
      </c>
      <c r="D18" s="4">
        <v>80818.399999999994</v>
      </c>
      <c r="E18" s="4">
        <v>79956.066666666666</v>
      </c>
      <c r="F18" s="4">
        <v>72324.05</v>
      </c>
      <c r="G18" s="4">
        <v>66564.399999999994</v>
      </c>
      <c r="H18" s="4">
        <v>67946.666666666672</v>
      </c>
      <c r="I18" s="4">
        <v>75665.7</v>
      </c>
      <c r="J18" s="4">
        <v>62395.933333333334</v>
      </c>
      <c r="K18" s="4">
        <v>80689.566666666666</v>
      </c>
      <c r="L18" s="4">
        <v>73525.899999999994</v>
      </c>
      <c r="M18" s="4">
        <v>56218.616666666669</v>
      </c>
      <c r="N18" s="3">
        <f t="shared" si="0"/>
        <v>886979.21666666656</v>
      </c>
    </row>
    <row r="19" spans="1:15" x14ac:dyDescent="0.3">
      <c r="A19" s="1" t="s">
        <v>6</v>
      </c>
      <c r="B19" s="4">
        <v>76734.350000000006</v>
      </c>
      <c r="C19" s="4">
        <v>68111.616666666669</v>
      </c>
      <c r="D19" s="4">
        <v>70181.46666666666</v>
      </c>
      <c r="E19" s="4">
        <v>66310.616666666669</v>
      </c>
      <c r="F19" s="4">
        <v>58832.383333333331</v>
      </c>
      <c r="G19" s="4">
        <v>54236.883333333331</v>
      </c>
      <c r="H19" s="4">
        <v>53223.133333333331</v>
      </c>
      <c r="I19" s="4">
        <v>57313.2</v>
      </c>
      <c r="J19" s="4">
        <v>46281.066666666666</v>
      </c>
      <c r="K19" s="4">
        <v>60550.833333333336</v>
      </c>
      <c r="L19" s="4">
        <v>65582.833333333328</v>
      </c>
      <c r="M19" s="4">
        <v>52089.616666666669</v>
      </c>
      <c r="N19" s="3">
        <f t="shared" si="0"/>
        <v>729448.00000000012</v>
      </c>
    </row>
    <row r="20" spans="1:15" x14ac:dyDescent="0.3">
      <c r="A20" s="1" t="s">
        <v>7</v>
      </c>
      <c r="B20" s="4">
        <v>79145.883333333331</v>
      </c>
      <c r="C20" s="4">
        <v>72095.21666666666</v>
      </c>
      <c r="D20" s="4">
        <v>68760.116666666669</v>
      </c>
      <c r="E20" s="4">
        <v>68193.516666666663</v>
      </c>
      <c r="F20" s="4">
        <v>59612.533333333333</v>
      </c>
      <c r="G20" s="4">
        <v>57729.3</v>
      </c>
      <c r="H20" s="4">
        <v>55526.98333333333</v>
      </c>
      <c r="I20" s="4">
        <v>61069.916666666664</v>
      </c>
      <c r="J20" s="4">
        <v>52200.133333333331</v>
      </c>
      <c r="K20" s="4">
        <v>75994.149999999994</v>
      </c>
      <c r="L20" s="4">
        <v>70732.45</v>
      </c>
      <c r="M20" s="4">
        <v>62940.73333333333</v>
      </c>
      <c r="N20" s="3">
        <f t="shared" si="0"/>
        <v>784000.93333333323</v>
      </c>
    </row>
    <row r="21" spans="1:15" x14ac:dyDescent="0.3">
      <c r="A21" s="1" t="s">
        <v>8</v>
      </c>
      <c r="B21" s="4">
        <v>12130.24273</v>
      </c>
      <c r="C21" s="4">
        <v>12342.904709999999</v>
      </c>
      <c r="D21" s="4">
        <v>11170.42316</v>
      </c>
      <c r="E21" s="4">
        <v>11110.072686666665</v>
      </c>
      <c r="F21" s="4">
        <v>9896.2060766666655</v>
      </c>
      <c r="G21" s="4">
        <v>8973.0890333333318</v>
      </c>
      <c r="H21" s="4">
        <v>8615.0614966666672</v>
      </c>
      <c r="I21" s="4">
        <v>8933.2079199999989</v>
      </c>
      <c r="J21" s="4">
        <v>7466.4389533333333</v>
      </c>
      <c r="K21" s="4">
        <v>11216.91345</v>
      </c>
      <c r="L21" s="4">
        <v>11043.98092</v>
      </c>
      <c r="M21" s="4">
        <v>9760.4402900000005</v>
      </c>
      <c r="N21" s="3">
        <f t="shared" si="0"/>
        <v>122658.98142666667</v>
      </c>
    </row>
    <row r="22" spans="1:15" x14ac:dyDescent="0.3">
      <c r="A22" s="2" t="s">
        <v>9</v>
      </c>
      <c r="B22" s="4">
        <v>69603.05</v>
      </c>
      <c r="C22" s="4">
        <v>71047.766666666663</v>
      </c>
      <c r="D22" s="4">
        <v>74516.083333333328</v>
      </c>
      <c r="E22" s="4">
        <v>71794.366666666669</v>
      </c>
      <c r="F22" s="4">
        <v>61015.48333333333</v>
      </c>
      <c r="G22" s="4">
        <v>53088.466666666667</v>
      </c>
      <c r="H22" s="4">
        <v>50286.3</v>
      </c>
      <c r="I22" s="4">
        <v>55528.433333333334</v>
      </c>
      <c r="J22" s="4">
        <v>48442.166666666664</v>
      </c>
      <c r="K22" s="4">
        <v>55877.45</v>
      </c>
      <c r="L22" s="4">
        <v>53490.666666666664</v>
      </c>
      <c r="M22" s="4">
        <v>50586.833333333336</v>
      </c>
      <c r="N22" s="3">
        <f t="shared" si="0"/>
        <v>715277.06666666653</v>
      </c>
    </row>
    <row r="23" spans="1:15" x14ac:dyDescent="0.3">
      <c r="A23" s="1" t="s">
        <v>10</v>
      </c>
      <c r="B23" s="4">
        <v>109904.8</v>
      </c>
      <c r="C23" s="4">
        <v>106475.9</v>
      </c>
      <c r="D23" s="4">
        <v>105496.48333333334</v>
      </c>
      <c r="E23" s="4">
        <v>101264.55</v>
      </c>
      <c r="F23" s="4">
        <v>89267.96666666666</v>
      </c>
      <c r="G23" s="4">
        <v>82587.149999999994</v>
      </c>
      <c r="H23" s="4">
        <v>76537.78333333334</v>
      </c>
      <c r="I23" s="4">
        <v>80454.233333333337</v>
      </c>
      <c r="J23" s="4">
        <v>67229.899999999994</v>
      </c>
      <c r="K23" s="4">
        <v>90574.95</v>
      </c>
      <c r="L23" s="4">
        <v>84454.116666666669</v>
      </c>
      <c r="M23" s="4">
        <v>73433.233333333337</v>
      </c>
      <c r="N23" s="3">
        <f t="shared" si="0"/>
        <v>1067681.0666666667</v>
      </c>
    </row>
    <row r="24" spans="1:15" x14ac:dyDescent="0.3">
      <c r="A24" s="1" t="s">
        <v>28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21768.033333333333</v>
      </c>
      <c r="J24" s="4">
        <v>37022.533333333333</v>
      </c>
      <c r="K24" s="4">
        <v>70379.083333333328</v>
      </c>
      <c r="L24" s="4">
        <v>66930.266666666663</v>
      </c>
      <c r="M24" s="4">
        <v>158817.58333333334</v>
      </c>
      <c r="N24" s="3">
        <f t="shared" si="0"/>
        <v>354917.5</v>
      </c>
    </row>
    <row r="25" spans="1:15" x14ac:dyDescent="0.3">
      <c r="A25" s="1" t="s">
        <v>13</v>
      </c>
      <c r="B25" s="4">
        <v>439501</v>
      </c>
      <c r="C25" s="4">
        <v>364192</v>
      </c>
      <c r="D25" s="4">
        <v>387415</v>
      </c>
      <c r="E25" s="4">
        <v>439350</v>
      </c>
      <c r="F25" s="4">
        <v>542614</v>
      </c>
      <c r="G25" s="4">
        <v>470310</v>
      </c>
      <c r="H25" s="4">
        <v>442669</v>
      </c>
      <c r="I25" s="4">
        <v>453618</v>
      </c>
      <c r="J25" s="4">
        <v>376684</v>
      </c>
      <c r="K25" s="4">
        <v>472111</v>
      </c>
      <c r="L25" s="4">
        <v>402913</v>
      </c>
      <c r="M25" s="4">
        <v>435827</v>
      </c>
      <c r="N25" s="3">
        <f t="shared" si="0"/>
        <v>5227204</v>
      </c>
    </row>
    <row r="26" spans="1:15" ht="15" thickBot="1" x14ac:dyDescent="0.35">
      <c r="A26" s="5" t="s">
        <v>29</v>
      </c>
      <c r="B26" s="6">
        <f>SUM(B13:B25)</f>
        <v>2422895.1000000006</v>
      </c>
      <c r="C26" s="6">
        <f t="shared" ref="C26:N26" si="1">SUM(C13:C25)</f>
        <v>2222007.7999999998</v>
      </c>
      <c r="D26" s="6">
        <f t="shared" si="1"/>
        <v>2207551.6999999997</v>
      </c>
      <c r="E26" s="6">
        <f t="shared" si="1"/>
        <v>2265861.3499999996</v>
      </c>
      <c r="F26" s="6">
        <f t="shared" si="1"/>
        <v>2285036.0500000003</v>
      </c>
      <c r="G26" s="6">
        <f t="shared" si="1"/>
        <v>2170573.7999999998</v>
      </c>
      <c r="H26" s="6">
        <f t="shared" si="1"/>
        <v>2138419.4833333334</v>
      </c>
      <c r="I26" s="6">
        <f t="shared" si="1"/>
        <v>2272454.7000000002</v>
      </c>
      <c r="J26" s="6">
        <f t="shared" si="1"/>
        <v>1923806.1666666667</v>
      </c>
      <c r="K26" s="6">
        <f t="shared" si="1"/>
        <v>2402289.5</v>
      </c>
      <c r="L26" s="6">
        <f t="shared" si="1"/>
        <v>2247566.4166666665</v>
      </c>
      <c r="M26" s="6">
        <f t="shared" si="1"/>
        <v>2181991.9833333334</v>
      </c>
      <c r="N26" s="6">
        <f t="shared" si="1"/>
        <v>26740454.050000001</v>
      </c>
    </row>
    <row r="27" spans="1:15" ht="15" thickTop="1" x14ac:dyDescent="0.3"/>
    <row r="29" spans="1:15" ht="15" thickBot="1" x14ac:dyDescent="0.35"/>
    <row r="30" spans="1:15" ht="16.2" thickBot="1" x14ac:dyDescent="0.35">
      <c r="A30" s="38" t="s">
        <v>39</v>
      </c>
      <c r="B30" s="40"/>
      <c r="C30" s="40"/>
      <c r="H30" s="38" t="s">
        <v>30</v>
      </c>
      <c r="I30" s="40"/>
      <c r="J30" s="40"/>
    </row>
    <row r="31" spans="1:15" x14ac:dyDescent="0.3">
      <c r="A31" s="32" t="s">
        <v>37</v>
      </c>
      <c r="B31" s="33"/>
      <c r="C31" s="33"/>
      <c r="D31" s="33"/>
      <c r="E31" s="34"/>
      <c r="H31" s="32" t="s">
        <v>37</v>
      </c>
      <c r="I31" s="33"/>
      <c r="J31" s="33"/>
      <c r="K31" s="33"/>
      <c r="L31" s="34"/>
      <c r="O31" t="s">
        <v>27</v>
      </c>
    </row>
    <row r="32" spans="1:15" x14ac:dyDescent="0.3">
      <c r="A32" s="35" t="s">
        <v>31</v>
      </c>
      <c r="B32" s="36"/>
      <c r="C32" s="36"/>
      <c r="D32" s="36"/>
      <c r="E32" s="37"/>
      <c r="H32" s="35" t="s">
        <v>31</v>
      </c>
      <c r="I32" s="36"/>
      <c r="J32" s="36"/>
      <c r="K32" s="36"/>
      <c r="L32" s="37"/>
    </row>
    <row r="33" spans="1:16" x14ac:dyDescent="0.3">
      <c r="A33" s="35"/>
      <c r="B33" s="36"/>
      <c r="C33" s="36"/>
      <c r="D33" s="36"/>
      <c r="E33" s="37"/>
      <c r="H33" s="35"/>
      <c r="I33" s="36"/>
      <c r="J33" s="36"/>
      <c r="K33" s="36"/>
      <c r="L33" s="37"/>
    </row>
    <row r="34" spans="1:16" x14ac:dyDescent="0.3">
      <c r="A34" s="18" t="s">
        <v>4</v>
      </c>
      <c r="B34" s="9">
        <v>85120</v>
      </c>
      <c r="C34" s="21"/>
      <c r="D34" s="11">
        <f t="shared" ref="D34:D46" si="2">B34/$B$47</f>
        <v>1.4766726446869645E-2</v>
      </c>
      <c r="E34" s="22"/>
      <c r="H34" s="18" t="s">
        <v>4</v>
      </c>
      <c r="I34" s="9">
        <v>85120</v>
      </c>
      <c r="J34" s="21"/>
      <c r="K34" s="11">
        <f>I34/$I$47</f>
        <v>1.4238385823371837E-2</v>
      </c>
      <c r="L34" s="22"/>
    </row>
    <row r="35" spans="1:16" x14ac:dyDescent="0.3">
      <c r="A35" s="18" t="s">
        <v>5</v>
      </c>
      <c r="B35" s="9">
        <v>105295</v>
      </c>
      <c r="C35" s="21"/>
      <c r="D35" s="11">
        <f t="shared" si="2"/>
        <v>1.8266711245572595E-2</v>
      </c>
      <c r="E35" s="22"/>
      <c r="H35" s="18" t="s">
        <v>5</v>
      </c>
      <c r="I35" s="9">
        <v>105295</v>
      </c>
      <c r="J35" s="21"/>
      <c r="K35" s="11">
        <f t="shared" ref="K35:K46" si="3">I35/$I$47</f>
        <v>1.7613144211371445E-2</v>
      </c>
      <c r="L35" s="22"/>
    </row>
    <row r="36" spans="1:16" x14ac:dyDescent="0.3">
      <c r="A36" s="18" t="s">
        <v>32</v>
      </c>
      <c r="B36" s="9">
        <v>142392.91666666669</v>
      </c>
      <c r="C36" s="21"/>
      <c r="D36" s="11">
        <f t="shared" si="2"/>
        <v>2.4702505267722892E-2</v>
      </c>
      <c r="E36" s="22"/>
      <c r="H36" s="18" t="s">
        <v>32</v>
      </c>
      <c r="I36" s="9">
        <v>142392.91666666669</v>
      </c>
      <c r="J36" s="21"/>
      <c r="K36" s="11">
        <f t="shared" si="3"/>
        <v>2.3818671123299277E-2</v>
      </c>
      <c r="L36" s="22"/>
    </row>
    <row r="37" spans="1:16" x14ac:dyDescent="0.3">
      <c r="A37" s="18" t="s">
        <v>33</v>
      </c>
      <c r="B37" s="9">
        <v>1047951.5000000001</v>
      </c>
      <c r="C37" s="21"/>
      <c r="D37" s="11">
        <f t="shared" si="2"/>
        <v>0.18179996628391348</v>
      </c>
      <c r="E37" s="22"/>
      <c r="H37" s="18" t="s">
        <v>33</v>
      </c>
      <c r="I37" s="9">
        <v>1047951.5000000001</v>
      </c>
      <c r="J37" s="21"/>
      <c r="K37" s="11">
        <f t="shared" si="3"/>
        <v>0.17529532167741135</v>
      </c>
      <c r="L37" s="22"/>
    </row>
    <row r="38" spans="1:16" x14ac:dyDescent="0.3">
      <c r="A38" s="18" t="s">
        <v>34</v>
      </c>
      <c r="B38" s="9">
        <v>306576.91666666669</v>
      </c>
      <c r="C38" s="21"/>
      <c r="D38" s="11">
        <f t="shared" si="2"/>
        <v>5.3185355537375682E-2</v>
      </c>
      <c r="E38" s="22"/>
      <c r="H38" s="18" t="s">
        <v>34</v>
      </c>
      <c r="I38" s="9">
        <v>306576.91666666669</v>
      </c>
      <c r="J38" s="21"/>
      <c r="K38" s="11">
        <f t="shared" si="3"/>
        <v>5.1282429793699673E-2</v>
      </c>
      <c r="L38" s="22"/>
    </row>
    <row r="39" spans="1:16" x14ac:dyDescent="0.3">
      <c r="A39" s="18" t="s">
        <v>35</v>
      </c>
      <c r="B39" s="9">
        <v>115524.66666666667</v>
      </c>
      <c r="C39" s="21"/>
      <c r="D39" s="11">
        <f t="shared" si="2"/>
        <v>2.0041366900052478E-2</v>
      </c>
      <c r="E39" s="22"/>
      <c r="H39" s="18" t="s">
        <v>35</v>
      </c>
      <c r="I39" s="9">
        <v>115524.66666666667</v>
      </c>
      <c r="J39" s="21"/>
      <c r="K39" s="11">
        <f t="shared" si="3"/>
        <v>1.9324304230691067E-2</v>
      </c>
      <c r="L39" s="22"/>
    </row>
    <row r="40" spans="1:16" x14ac:dyDescent="0.3">
      <c r="A40" s="18" t="s">
        <v>6</v>
      </c>
      <c r="B40" s="9">
        <v>124403.58333333333</v>
      </c>
      <c r="C40" s="21"/>
      <c r="D40" s="11">
        <f t="shared" si="2"/>
        <v>2.1581692717266038E-2</v>
      </c>
      <c r="E40" s="22"/>
      <c r="H40" s="18" t="s">
        <v>6</v>
      </c>
      <c r="I40" s="9">
        <v>124403.58333333333</v>
      </c>
      <c r="J40" s="21"/>
      <c r="K40" s="11">
        <f t="shared" si="3"/>
        <v>2.0809518530427517E-2</v>
      </c>
      <c r="L40" s="22"/>
      <c r="O40" t="s">
        <v>27</v>
      </c>
    </row>
    <row r="41" spans="1:16" x14ac:dyDescent="0.3">
      <c r="A41" s="18" t="s">
        <v>3</v>
      </c>
      <c r="B41" s="9">
        <v>407685.08333333331</v>
      </c>
      <c r="C41" s="21"/>
      <c r="D41" s="11">
        <f t="shared" si="2"/>
        <v>7.0725729582384725E-2</v>
      </c>
      <c r="E41" s="22"/>
      <c r="H41" s="18" t="s">
        <v>3</v>
      </c>
      <c r="I41" s="9">
        <v>407685.08333333331</v>
      </c>
      <c r="J41" s="21"/>
      <c r="K41" s="11">
        <f t="shared" si="3"/>
        <v>6.819522451754581E-2</v>
      </c>
      <c r="L41" s="22"/>
    </row>
    <row r="42" spans="1:16" x14ac:dyDescent="0.3">
      <c r="A42" s="18" t="s">
        <v>8</v>
      </c>
      <c r="B42" s="9">
        <v>14503.166666666668</v>
      </c>
      <c r="C42" s="21"/>
      <c r="D42" s="11">
        <f t="shared" si="2"/>
        <v>2.5160278992014209E-3</v>
      </c>
      <c r="E42" s="22"/>
      <c r="H42" s="18" t="s">
        <v>8</v>
      </c>
      <c r="I42" s="9">
        <v>14503.166666666668</v>
      </c>
      <c r="J42" s="21"/>
      <c r="K42" s="11">
        <f t="shared" si="3"/>
        <v>2.4260066102051885E-3</v>
      </c>
      <c r="L42" s="22"/>
    </row>
    <row r="43" spans="1:16" x14ac:dyDescent="0.3">
      <c r="A43" s="18" t="s">
        <v>36</v>
      </c>
      <c r="B43" s="9">
        <v>130179.41666666667</v>
      </c>
      <c r="C43" s="21"/>
      <c r="D43" s="11">
        <f t="shared" si="2"/>
        <v>2.2583691669757166E-2</v>
      </c>
      <c r="E43" s="22"/>
      <c r="H43" s="18" t="s">
        <v>36</v>
      </c>
      <c r="I43" s="9">
        <v>130179.41666666667</v>
      </c>
      <c r="J43" s="21"/>
      <c r="K43" s="11">
        <f t="shared" si="3"/>
        <v>2.1775666832254254E-2</v>
      </c>
      <c r="L43" s="22"/>
    </row>
    <row r="44" spans="1:16" x14ac:dyDescent="0.3">
      <c r="A44" s="18" t="s">
        <v>7</v>
      </c>
      <c r="B44" s="9">
        <v>98509.5</v>
      </c>
      <c r="C44" s="21"/>
      <c r="D44" s="11">
        <f t="shared" si="2"/>
        <v>1.7089554028640805E-2</v>
      </c>
      <c r="E44" s="22"/>
      <c r="H44" s="18" t="s">
        <v>7</v>
      </c>
      <c r="I44" s="9">
        <v>98509.5</v>
      </c>
      <c r="J44" s="21"/>
      <c r="K44" s="11">
        <f t="shared" si="3"/>
        <v>1.647810465539765E-2</v>
      </c>
      <c r="L44" s="22"/>
    </row>
    <row r="45" spans="1:16" x14ac:dyDescent="0.3">
      <c r="A45" s="18" t="s">
        <v>13</v>
      </c>
      <c r="B45" s="17">
        <v>849963</v>
      </c>
      <c r="C45" s="21"/>
      <c r="D45" s="11">
        <f t="shared" si="2"/>
        <v>0.14745266812688751</v>
      </c>
      <c r="E45" s="22"/>
      <c r="H45" s="18" t="s">
        <v>13</v>
      </c>
      <c r="I45" s="17">
        <v>1063858</v>
      </c>
      <c r="J45" s="21"/>
      <c r="K45" s="11">
        <f t="shared" si="3"/>
        <v>0.17795606984587306</v>
      </c>
      <c r="L45" s="22"/>
    </row>
    <row r="46" spans="1:16" x14ac:dyDescent="0.3">
      <c r="A46" s="19" t="s">
        <v>38</v>
      </c>
      <c r="B46" s="17">
        <v>2336206</v>
      </c>
      <c r="C46" s="21"/>
      <c r="D46" s="11">
        <f t="shared" si="2"/>
        <v>0.40528800429435557</v>
      </c>
      <c r="E46" s="22"/>
      <c r="H46" s="19" t="s">
        <v>38</v>
      </c>
      <c r="I46" s="17">
        <v>2336206</v>
      </c>
      <c r="J46" s="21"/>
      <c r="K46" s="11">
        <f t="shared" si="3"/>
        <v>0.39078715214845189</v>
      </c>
      <c r="L46" s="22"/>
      <c r="P46" t="s">
        <v>27</v>
      </c>
    </row>
    <row r="47" spans="1:16" ht="15" thickBot="1" x14ac:dyDescent="0.35">
      <c r="A47" s="8" t="s">
        <v>27</v>
      </c>
      <c r="B47" s="10">
        <f>SUM(B34:B46)</f>
        <v>5764310.75</v>
      </c>
      <c r="C47" s="21"/>
      <c r="D47" s="20">
        <f>SUM(D34:D46)</f>
        <v>1</v>
      </c>
      <c r="E47" s="22"/>
      <c r="H47" s="8" t="s">
        <v>27</v>
      </c>
      <c r="I47" s="10">
        <f>SUM(I34:I46)</f>
        <v>5978205.75</v>
      </c>
      <c r="J47" s="21"/>
      <c r="K47" s="20">
        <f>SUM(K34:K46)</f>
        <v>1</v>
      </c>
      <c r="L47" s="22"/>
    </row>
    <row r="48" spans="1:16" ht="15.6" thickTop="1" thickBot="1" x14ac:dyDescent="0.35">
      <c r="A48" s="12"/>
      <c r="B48" s="13"/>
      <c r="C48" s="14"/>
      <c r="D48" s="15"/>
      <c r="E48" s="16"/>
      <c r="H48" s="12"/>
      <c r="I48" s="13"/>
      <c r="J48" s="14"/>
      <c r="K48" s="15"/>
      <c r="L48" s="16"/>
    </row>
    <row r="53" spans="10:10" x14ac:dyDescent="0.3">
      <c r="J53" t="s">
        <v>27</v>
      </c>
    </row>
  </sheetData>
  <mergeCells count="6">
    <mergeCell ref="A31:E31"/>
    <mergeCell ref="A32:E32"/>
    <mergeCell ref="A33:E33"/>
    <mergeCell ref="H31:L31"/>
    <mergeCell ref="H32:L32"/>
    <mergeCell ref="H33:L33"/>
  </mergeCells>
  <pageMargins left="1" right="1" top="1" bottom="1" header="0.5" footer="0.5"/>
  <pageSetup scale="57" orientation="landscape" r:id="rId1"/>
  <headerFooter>
    <oddHeader>&amp;RSchedule V-K-9.3
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1F1F937D8234E8AAFD253DF1DE478" ma:contentTypeVersion="1" ma:contentTypeDescription="Create a new document." ma:contentTypeScope="" ma:versionID="475371fe300d5338bd77092e05e2fa86">
  <xsd:schema xmlns:xsd="http://www.w3.org/2001/XMLSchema" xmlns:xs="http://www.w3.org/2001/XMLSchema" xmlns:p="http://schemas.microsoft.com/office/2006/metadata/properties" xmlns:ns2="865981c9-0d5d-4731-8f98-e0df777efe6c" xmlns:ns3="4777317f-02d7-486c-a6c4-d83800b952bb" targetNamespace="http://schemas.microsoft.com/office/2006/metadata/properties" ma:root="true" ma:fieldsID="d7bb87087538744a72a08a0e9ec75f34" ns2:_="" ns3:_="">
    <xsd:import namespace="865981c9-0d5d-4731-8f98-e0df777efe6c"/>
    <xsd:import namespace="4777317f-02d7-486c-a6c4-d83800b952bb"/>
    <xsd:element name="properties">
      <xsd:complexType>
        <xsd:sequence>
          <xsd:element name="documentManagement">
            <xsd:complexType>
              <xsd:all>
                <xsd:element ref="ns2:Notes0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5981c9-0d5d-4731-8f98-e0df777efe6c" elementFormDefault="qualified">
    <xsd:import namespace="http://schemas.microsoft.com/office/2006/documentManagement/types"/>
    <xsd:import namespace="http://schemas.microsoft.com/office/infopath/2007/PartnerControls"/>
    <xsd:element name="Notes0" ma:index="8" nillable="true" ma:displayName="Notes" ma:internalName="Notes0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7317f-02d7-486c-a6c4-d83800b952bb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0 xmlns="865981c9-0d5d-4731-8f98-e0df777efe6c" xsi:nil="true"/>
    <_dlc_DocId xmlns="4777317f-02d7-486c-a6c4-d83800b952bb">FSKP5SM2V632-709847244-1825</_dlc_DocId>
    <_dlc_DocIdUrl xmlns="4777317f-02d7-486c-a6c4-d83800b952bb">
      <Url>http://teams.cnptoday.com/finance/project/RegWorkpapers/_layouts/DocIdRedir.aspx?ID=FSKP5SM2V632-709847244-1825</Url>
      <Description>FSKP5SM2V632-709847244-1825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F51D336-176E-4DCA-9B67-351222630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5981c9-0d5d-4731-8f98-e0df777efe6c"/>
    <ds:schemaRef ds:uri="4777317f-02d7-486c-a6c4-d83800b95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1CE32D-8424-4E32-BAEE-0B5426882A30}">
  <ds:schemaRefs>
    <ds:schemaRef ds:uri="865981c9-0d5d-4731-8f98-e0df777efe6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4777317f-02d7-486c-a6c4-d83800b952b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BECE3CB-1192-47E8-8471-9A45F58C4EA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3256FF4-C2A1-4153-AFF7-9153425E6B5D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CC03 2018</vt:lpstr>
    </vt:vector>
  </TitlesOfParts>
  <Company>CenterPoint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Harkel, Kevin R</dc:creator>
  <cp:lastModifiedBy>Murphree, Stacey E</cp:lastModifiedBy>
  <cp:lastPrinted>2019-03-21T19:58:13Z</cp:lastPrinted>
  <dcterms:created xsi:type="dcterms:W3CDTF">2019-01-04T15:13:28Z</dcterms:created>
  <dcterms:modified xsi:type="dcterms:W3CDTF">2019-03-21T19:58:29Z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0x0101007EA1F1F937D8234E8AAFD253DF1DE478</vt:lpwstr>
  </property>
  <property fmtid="{D5CDD505-2E9C-101B-9397-08002B2CF9AE}" pid="3" name="_dlc_DocIdItemGuid">
    <vt:lpwstr>b32c72b5-30ce-46c9-a61b-29536c10fb96</vt:lpwstr>
  </property>
</Properties>
</file>