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T:\RATES\_Share-CEHE-DCRF\2019 Rate Case\V-K Schedules\"/>
    </mc:Choice>
  </mc:AlternateContent>
  <xr:revisionPtr revIDLastSave="0" documentId="10_ncr:100000_{C3EA49DB-A6F6-44A7-9410-E07D90758A9D}" xr6:coauthVersionLast="31" xr6:coauthVersionMax="31" xr10:uidLastSave="{00000000-0000-0000-0000-000000000000}"/>
  <bookViews>
    <workbookView xWindow="0" yWindow="0" windowWidth="25200" windowHeight="11460" tabRatio="800" activeTab="1" xr2:uid="{00000000-000D-0000-FFFF-FFFF00000000}"/>
  </bookViews>
  <sheets>
    <sheet name="2018 Customer Count" sheetId="1" r:id="rId1"/>
    <sheet name="2018 Broadband Units" sheetId="2" r:id="rId2"/>
    <sheet name="1.18 Ticket Counts" sheetId="14" r:id="rId3"/>
    <sheet name="2.18 Ticket Counts" sheetId="13" r:id="rId4"/>
    <sheet name="3.18 Ticket Counts" sheetId="12" r:id="rId5"/>
    <sheet name="4.18 Ticket Counts" sheetId="11" r:id="rId6"/>
    <sheet name="5.18 Ticket Counts" sheetId="10" r:id="rId7"/>
    <sheet name="6.18 Ticket Counts" sheetId="9" r:id="rId8"/>
    <sheet name="7.18Ticket Counts" sheetId="8" r:id="rId9"/>
    <sheet name="8.18 Ticket Counts" sheetId="7" r:id="rId10"/>
    <sheet name="9.18 Ticket Counts" sheetId="5" r:id="rId11"/>
    <sheet name="10.18 Ticket Counts" sheetId="4" r:id="rId12"/>
    <sheet name="11.18 Ticket Counts" sheetId="3" r:id="rId13"/>
    <sheet name="12.18 Ticket Counts" sheetId="15" r:id="rId14"/>
  </sheets>
  <externalReferences>
    <externalReference r:id="rId15"/>
  </externalReferences>
  <definedNames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40000.5442013889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_xlnm.Print_Titles" localSheetId="1">'2018 Broadband Units'!$1:$7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" i="15" l="1"/>
  <c r="J23" i="15"/>
  <c r="D30" i="15"/>
  <c r="E30" i="15"/>
  <c r="F30" i="15"/>
  <c r="G30" i="15"/>
  <c r="H30" i="15"/>
  <c r="I30" i="15"/>
  <c r="J30" i="15"/>
  <c r="K30" i="15"/>
  <c r="L30" i="15"/>
  <c r="M30" i="15"/>
  <c r="N30" i="15"/>
  <c r="O30" i="15"/>
  <c r="D32" i="15"/>
  <c r="E32" i="15"/>
  <c r="F32" i="15"/>
  <c r="G32" i="15"/>
  <c r="H32" i="15"/>
  <c r="I32" i="15"/>
  <c r="J32" i="15"/>
  <c r="K32" i="15"/>
  <c r="L32" i="15"/>
  <c r="M32" i="15"/>
  <c r="N32" i="15"/>
  <c r="O32" i="15"/>
  <c r="D38" i="15"/>
  <c r="E38" i="15"/>
  <c r="F38" i="15"/>
  <c r="G38" i="15"/>
  <c r="H38" i="15"/>
  <c r="I38" i="15"/>
  <c r="J38" i="15"/>
  <c r="K38" i="15"/>
  <c r="L38" i="15"/>
  <c r="N45" i="15" s="1"/>
  <c r="M38" i="15"/>
  <c r="N38" i="15"/>
  <c r="O38" i="15"/>
  <c r="D40" i="15"/>
  <c r="E40" i="15"/>
  <c r="F40" i="15"/>
  <c r="G40" i="15"/>
  <c r="H40" i="15"/>
  <c r="I40" i="15"/>
  <c r="J40" i="15"/>
  <c r="K40" i="15"/>
  <c r="L40" i="15"/>
  <c r="M40" i="15"/>
  <c r="N40" i="15"/>
  <c r="O40" i="15"/>
  <c r="D42" i="15"/>
  <c r="H42" i="15"/>
  <c r="J42" i="15"/>
  <c r="L42" i="15"/>
  <c r="N42" i="15"/>
  <c r="O45" i="15"/>
  <c r="P45" i="15" l="1"/>
  <c r="N49" i="15" s="1"/>
  <c r="O46" i="15"/>
  <c r="N46" i="15"/>
  <c r="P46" i="15" s="1"/>
  <c r="K45" i="15" s="1"/>
  <c r="L21" i="15"/>
  <c r="D21" i="14"/>
  <c r="E21" i="14"/>
  <c r="F21" i="14"/>
  <c r="G21" i="14"/>
  <c r="H21" i="14"/>
  <c r="I21" i="14"/>
  <c r="D23" i="14"/>
  <c r="E23" i="14"/>
  <c r="F23" i="14"/>
  <c r="G23" i="14"/>
  <c r="H23" i="14"/>
  <c r="I23" i="14"/>
  <c r="D30" i="14"/>
  <c r="E30" i="14"/>
  <c r="F30" i="14"/>
  <c r="G30" i="14"/>
  <c r="J30" i="14"/>
  <c r="K30" i="14"/>
  <c r="L30" i="14"/>
  <c r="M30" i="14"/>
  <c r="N30" i="14"/>
  <c r="O30" i="14"/>
  <c r="H31" i="14"/>
  <c r="H30" i="14" s="1"/>
  <c r="D32" i="14"/>
  <c r="E32" i="14"/>
  <c r="F32" i="14"/>
  <c r="G32" i="14"/>
  <c r="J32" i="14"/>
  <c r="K32" i="14"/>
  <c r="L32" i="14"/>
  <c r="M32" i="14"/>
  <c r="N32" i="14"/>
  <c r="O32" i="14"/>
  <c r="H33" i="14"/>
  <c r="I32" i="14" s="1"/>
  <c r="F38" i="14"/>
  <c r="G38" i="14"/>
  <c r="H38" i="14"/>
  <c r="I38" i="14"/>
  <c r="J38" i="14"/>
  <c r="K38" i="14"/>
  <c r="L38" i="14"/>
  <c r="M38" i="14"/>
  <c r="N38" i="14"/>
  <c r="O38" i="14"/>
  <c r="D39" i="14"/>
  <c r="D38" i="14" s="1"/>
  <c r="F40" i="14"/>
  <c r="G40" i="14"/>
  <c r="H40" i="14"/>
  <c r="I40" i="14"/>
  <c r="J40" i="14"/>
  <c r="K40" i="14"/>
  <c r="L40" i="14"/>
  <c r="M40" i="14"/>
  <c r="N40" i="14"/>
  <c r="O40" i="14"/>
  <c r="D41" i="14"/>
  <c r="D40" i="14" s="1"/>
  <c r="D42" i="14"/>
  <c r="H42" i="14"/>
  <c r="J42" i="14"/>
  <c r="L42" i="14"/>
  <c r="N42" i="14"/>
  <c r="D21" i="13"/>
  <c r="E21" i="13"/>
  <c r="F21" i="13"/>
  <c r="G21" i="13"/>
  <c r="H21" i="13"/>
  <c r="I21" i="13"/>
  <c r="D23" i="13"/>
  <c r="E23" i="13"/>
  <c r="F23" i="13"/>
  <c r="G23" i="13"/>
  <c r="H23" i="13"/>
  <c r="I23" i="13"/>
  <c r="D30" i="13"/>
  <c r="E30" i="13"/>
  <c r="F30" i="13"/>
  <c r="G30" i="13"/>
  <c r="J30" i="13"/>
  <c r="K30" i="13"/>
  <c r="L30" i="13"/>
  <c r="M30" i="13"/>
  <c r="N30" i="13"/>
  <c r="O30" i="13"/>
  <c r="H31" i="13"/>
  <c r="H30" i="13" s="1"/>
  <c r="D32" i="13"/>
  <c r="E32" i="13"/>
  <c r="F32" i="13"/>
  <c r="G32" i="13"/>
  <c r="J32" i="13"/>
  <c r="K32" i="13"/>
  <c r="L32" i="13"/>
  <c r="M32" i="13"/>
  <c r="N32" i="13"/>
  <c r="O32" i="13"/>
  <c r="H33" i="13"/>
  <c r="I32" i="13" s="1"/>
  <c r="F38" i="13"/>
  <c r="G38" i="13"/>
  <c r="H38" i="13"/>
  <c r="I38" i="13"/>
  <c r="J38" i="13"/>
  <c r="K38" i="13"/>
  <c r="L38" i="13"/>
  <c r="M38" i="13"/>
  <c r="N38" i="13"/>
  <c r="O38" i="13"/>
  <c r="D39" i="13"/>
  <c r="D38" i="13" s="1"/>
  <c r="F40" i="13"/>
  <c r="G40" i="13"/>
  <c r="H40" i="13"/>
  <c r="I40" i="13"/>
  <c r="J40" i="13"/>
  <c r="K40" i="13"/>
  <c r="L40" i="13"/>
  <c r="M40" i="13"/>
  <c r="N40" i="13"/>
  <c r="O40" i="13"/>
  <c r="D41" i="13"/>
  <c r="D40" i="13" s="1"/>
  <c r="H42" i="13"/>
  <c r="J42" i="13"/>
  <c r="L42" i="13"/>
  <c r="N42" i="13"/>
  <c r="J21" i="12"/>
  <c r="J23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O45" i="12" s="1"/>
  <c r="D40" i="12"/>
  <c r="E40" i="12"/>
  <c r="F40" i="12"/>
  <c r="G40" i="12"/>
  <c r="H40" i="12"/>
  <c r="I40" i="12"/>
  <c r="J40" i="12"/>
  <c r="K40" i="12"/>
  <c r="L40" i="12"/>
  <c r="M40" i="12"/>
  <c r="N40" i="12"/>
  <c r="O40" i="12"/>
  <c r="O46" i="12" s="1"/>
  <c r="D42" i="12"/>
  <c r="H42" i="12"/>
  <c r="J42" i="12"/>
  <c r="L42" i="12"/>
  <c r="N42" i="12"/>
  <c r="D21" i="11"/>
  <c r="E21" i="11"/>
  <c r="F21" i="11"/>
  <c r="G21" i="11"/>
  <c r="H21" i="11"/>
  <c r="I21" i="11"/>
  <c r="D23" i="11"/>
  <c r="E23" i="11"/>
  <c r="F23" i="11"/>
  <c r="G23" i="11"/>
  <c r="H23" i="11"/>
  <c r="I23" i="11"/>
  <c r="D30" i="11"/>
  <c r="E30" i="11"/>
  <c r="F30" i="11"/>
  <c r="G30" i="11"/>
  <c r="J30" i="11"/>
  <c r="K30" i="11"/>
  <c r="L30" i="11"/>
  <c r="M30" i="11"/>
  <c r="N30" i="11"/>
  <c r="O30" i="11"/>
  <c r="H31" i="11"/>
  <c r="I30" i="11" s="1"/>
  <c r="D32" i="11"/>
  <c r="E32" i="11"/>
  <c r="F32" i="11"/>
  <c r="G32" i="11"/>
  <c r="J32" i="11"/>
  <c r="K32" i="11"/>
  <c r="L32" i="11"/>
  <c r="M32" i="11"/>
  <c r="N32" i="11"/>
  <c r="O32" i="11"/>
  <c r="H33" i="11"/>
  <c r="H32" i="11" s="1"/>
  <c r="F38" i="11"/>
  <c r="G38" i="11"/>
  <c r="H38" i="11"/>
  <c r="I38" i="11"/>
  <c r="J38" i="11"/>
  <c r="K38" i="11"/>
  <c r="L38" i="11"/>
  <c r="M38" i="11"/>
  <c r="N38" i="11"/>
  <c r="O38" i="11"/>
  <c r="D39" i="11"/>
  <c r="D38" i="11" s="1"/>
  <c r="F40" i="11"/>
  <c r="G40" i="11"/>
  <c r="H40" i="11"/>
  <c r="I40" i="11"/>
  <c r="J40" i="11"/>
  <c r="K40" i="11"/>
  <c r="L40" i="11"/>
  <c r="M40" i="11"/>
  <c r="N40" i="11"/>
  <c r="O40" i="11"/>
  <c r="D41" i="11"/>
  <c r="D40" i="11" s="1"/>
  <c r="D42" i="11"/>
  <c r="H42" i="11"/>
  <c r="J42" i="11"/>
  <c r="L42" i="11"/>
  <c r="N42" i="11"/>
  <c r="J21" i="10"/>
  <c r="J23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D42" i="10"/>
  <c r="H42" i="10"/>
  <c r="J42" i="10"/>
  <c r="L42" i="10"/>
  <c r="N42" i="10"/>
  <c r="O45" i="10"/>
  <c r="J21" i="9"/>
  <c r="J23" i="9"/>
  <c r="D30" i="9"/>
  <c r="E30" i="9"/>
  <c r="F30" i="9"/>
  <c r="G30" i="9"/>
  <c r="H30" i="9"/>
  <c r="I30" i="9"/>
  <c r="J30" i="9"/>
  <c r="K30" i="9"/>
  <c r="L30" i="9"/>
  <c r="M30" i="9"/>
  <c r="N30" i="9"/>
  <c r="O30" i="9"/>
  <c r="D32" i="9"/>
  <c r="E32" i="9"/>
  <c r="F32" i="9"/>
  <c r="G32" i="9"/>
  <c r="H32" i="9"/>
  <c r="I32" i="9"/>
  <c r="J32" i="9"/>
  <c r="K32" i="9"/>
  <c r="L32" i="9"/>
  <c r="M32" i="9"/>
  <c r="N32" i="9"/>
  <c r="O32" i="9"/>
  <c r="D38" i="9"/>
  <c r="E38" i="9"/>
  <c r="F38" i="9"/>
  <c r="G38" i="9"/>
  <c r="H38" i="9"/>
  <c r="I38" i="9"/>
  <c r="J38" i="9"/>
  <c r="K38" i="9"/>
  <c r="L38" i="9"/>
  <c r="M38" i="9"/>
  <c r="N38" i="9"/>
  <c r="O38" i="9"/>
  <c r="O45" i="9" s="1"/>
  <c r="D40" i="9"/>
  <c r="E40" i="9"/>
  <c r="F40" i="9"/>
  <c r="G40" i="9"/>
  <c r="H40" i="9"/>
  <c r="I40" i="9"/>
  <c r="J40" i="9"/>
  <c r="K40" i="9"/>
  <c r="L40" i="9"/>
  <c r="M40" i="9"/>
  <c r="N40" i="9"/>
  <c r="O40" i="9"/>
  <c r="D42" i="9"/>
  <c r="H42" i="9"/>
  <c r="J42" i="9"/>
  <c r="L42" i="9"/>
  <c r="N42" i="9"/>
  <c r="J21" i="8"/>
  <c r="J23" i="8"/>
  <c r="D30" i="8"/>
  <c r="E30" i="8"/>
  <c r="F30" i="8"/>
  <c r="G30" i="8"/>
  <c r="H30" i="8"/>
  <c r="I30" i="8"/>
  <c r="J30" i="8"/>
  <c r="K30" i="8"/>
  <c r="L30" i="8"/>
  <c r="M30" i="8"/>
  <c r="N30" i="8"/>
  <c r="O30" i="8"/>
  <c r="D32" i="8"/>
  <c r="E32" i="8"/>
  <c r="F32" i="8"/>
  <c r="G32" i="8"/>
  <c r="H32" i="8"/>
  <c r="I32" i="8"/>
  <c r="J32" i="8"/>
  <c r="K32" i="8"/>
  <c r="L32" i="8"/>
  <c r="M32" i="8"/>
  <c r="N32" i="8"/>
  <c r="O32" i="8"/>
  <c r="D38" i="8"/>
  <c r="E38" i="8"/>
  <c r="F38" i="8"/>
  <c r="G38" i="8"/>
  <c r="H38" i="8"/>
  <c r="I38" i="8"/>
  <c r="J38" i="8"/>
  <c r="K38" i="8"/>
  <c r="L38" i="8"/>
  <c r="M38" i="8"/>
  <c r="O45" i="8" s="1"/>
  <c r="N38" i="8"/>
  <c r="O38" i="8"/>
  <c r="D40" i="8"/>
  <c r="E40" i="8"/>
  <c r="F40" i="8"/>
  <c r="G40" i="8"/>
  <c r="H40" i="8"/>
  <c r="I40" i="8"/>
  <c r="J40" i="8"/>
  <c r="K40" i="8"/>
  <c r="L40" i="8"/>
  <c r="M40" i="8"/>
  <c r="N40" i="8"/>
  <c r="N46" i="8" s="1"/>
  <c r="O40" i="8"/>
  <c r="D42" i="8"/>
  <c r="H42" i="8"/>
  <c r="J42" i="8"/>
  <c r="L42" i="8"/>
  <c r="N42" i="8"/>
  <c r="D21" i="7"/>
  <c r="E21" i="7"/>
  <c r="F21" i="7"/>
  <c r="G21" i="7"/>
  <c r="H21" i="7"/>
  <c r="I21" i="7"/>
  <c r="D23" i="7"/>
  <c r="E23" i="7"/>
  <c r="F23" i="7"/>
  <c r="G23" i="7"/>
  <c r="H23" i="7"/>
  <c r="I23" i="7"/>
  <c r="D30" i="7"/>
  <c r="E30" i="7"/>
  <c r="F30" i="7"/>
  <c r="G30" i="7"/>
  <c r="J30" i="7"/>
  <c r="K30" i="7"/>
  <c r="L30" i="7"/>
  <c r="M30" i="7"/>
  <c r="N30" i="7"/>
  <c r="O30" i="7"/>
  <c r="H31" i="7"/>
  <c r="I30" i="7" s="1"/>
  <c r="D32" i="7"/>
  <c r="E32" i="7"/>
  <c r="F32" i="7"/>
  <c r="G32" i="7"/>
  <c r="J32" i="7"/>
  <c r="K32" i="7"/>
  <c r="L32" i="7"/>
  <c r="M32" i="7"/>
  <c r="N32" i="7"/>
  <c r="O32" i="7"/>
  <c r="H33" i="7"/>
  <c r="H32" i="7" s="1"/>
  <c r="F38" i="7"/>
  <c r="G38" i="7"/>
  <c r="H38" i="7"/>
  <c r="I38" i="7"/>
  <c r="J38" i="7"/>
  <c r="K38" i="7"/>
  <c r="L38" i="7"/>
  <c r="M38" i="7"/>
  <c r="N38" i="7"/>
  <c r="O38" i="7"/>
  <c r="D39" i="7"/>
  <c r="D38" i="7" s="1"/>
  <c r="F40" i="7"/>
  <c r="G40" i="7"/>
  <c r="H40" i="7"/>
  <c r="I40" i="7"/>
  <c r="J40" i="7"/>
  <c r="K40" i="7"/>
  <c r="L40" i="7"/>
  <c r="M40" i="7"/>
  <c r="N40" i="7"/>
  <c r="O40" i="7"/>
  <c r="D41" i="7"/>
  <c r="D40" i="7" s="1"/>
  <c r="H42" i="7"/>
  <c r="J42" i="7"/>
  <c r="L42" i="7"/>
  <c r="N42" i="7"/>
  <c r="D21" i="5"/>
  <c r="E21" i="5"/>
  <c r="F21" i="5"/>
  <c r="G21" i="5"/>
  <c r="H21" i="5"/>
  <c r="I21" i="5"/>
  <c r="D23" i="5"/>
  <c r="E23" i="5"/>
  <c r="F23" i="5"/>
  <c r="G23" i="5"/>
  <c r="H23" i="5"/>
  <c r="I23" i="5"/>
  <c r="D30" i="5"/>
  <c r="E30" i="5"/>
  <c r="F30" i="5"/>
  <c r="G30" i="5"/>
  <c r="I30" i="5"/>
  <c r="J30" i="5"/>
  <c r="K30" i="5"/>
  <c r="L30" i="5"/>
  <c r="M30" i="5"/>
  <c r="N30" i="5"/>
  <c r="O30" i="5"/>
  <c r="H31" i="5"/>
  <c r="H30" i="5" s="1"/>
  <c r="D32" i="5"/>
  <c r="E32" i="5"/>
  <c r="F32" i="5"/>
  <c r="G32" i="5"/>
  <c r="J32" i="5"/>
  <c r="K32" i="5"/>
  <c r="L32" i="5"/>
  <c r="M32" i="5"/>
  <c r="N32" i="5"/>
  <c r="O32" i="5"/>
  <c r="H33" i="5"/>
  <c r="I32" i="5" s="1"/>
  <c r="E38" i="5"/>
  <c r="F38" i="5"/>
  <c r="G38" i="5"/>
  <c r="H38" i="5"/>
  <c r="I38" i="5"/>
  <c r="J38" i="5"/>
  <c r="K38" i="5"/>
  <c r="L38" i="5"/>
  <c r="M38" i="5"/>
  <c r="N38" i="5"/>
  <c r="O38" i="5"/>
  <c r="D39" i="5"/>
  <c r="D38" i="5" s="1"/>
  <c r="E40" i="5"/>
  <c r="F40" i="5"/>
  <c r="G40" i="5"/>
  <c r="H40" i="5"/>
  <c r="I40" i="5"/>
  <c r="J40" i="5"/>
  <c r="K40" i="5"/>
  <c r="L40" i="5"/>
  <c r="M40" i="5"/>
  <c r="N40" i="5"/>
  <c r="O40" i="5"/>
  <c r="D41" i="5"/>
  <c r="D40" i="5" s="1"/>
  <c r="D42" i="5"/>
  <c r="H42" i="5"/>
  <c r="J42" i="5"/>
  <c r="L42" i="5"/>
  <c r="N42" i="5"/>
  <c r="J21" i="4"/>
  <c r="J23" i="4"/>
  <c r="D30" i="4"/>
  <c r="E30" i="4"/>
  <c r="F30" i="4"/>
  <c r="G30" i="4"/>
  <c r="H30" i="4"/>
  <c r="I30" i="4"/>
  <c r="J30" i="4"/>
  <c r="K30" i="4"/>
  <c r="L30" i="4"/>
  <c r="M30" i="4"/>
  <c r="N30" i="4"/>
  <c r="O30" i="4"/>
  <c r="D32" i="4"/>
  <c r="E32" i="4"/>
  <c r="F32" i="4"/>
  <c r="G32" i="4"/>
  <c r="H32" i="4"/>
  <c r="I32" i="4"/>
  <c r="J32" i="4"/>
  <c r="K32" i="4"/>
  <c r="L32" i="4"/>
  <c r="M32" i="4"/>
  <c r="N32" i="4"/>
  <c r="O32" i="4"/>
  <c r="D38" i="4"/>
  <c r="E38" i="4"/>
  <c r="F38" i="4"/>
  <c r="G38" i="4"/>
  <c r="H38" i="4"/>
  <c r="I38" i="4"/>
  <c r="J38" i="4"/>
  <c r="K38" i="4"/>
  <c r="L38" i="4"/>
  <c r="M38" i="4"/>
  <c r="O45" i="4" s="1"/>
  <c r="N38" i="4"/>
  <c r="O38" i="4"/>
  <c r="D40" i="4"/>
  <c r="E40" i="4"/>
  <c r="F40" i="4"/>
  <c r="G40" i="4"/>
  <c r="H40" i="4"/>
  <c r="I40" i="4"/>
  <c r="J40" i="4"/>
  <c r="K40" i="4"/>
  <c r="L40" i="4"/>
  <c r="M40" i="4"/>
  <c r="N40" i="4"/>
  <c r="N46" i="4" s="1"/>
  <c r="O40" i="4"/>
  <c r="D42" i="4"/>
  <c r="H42" i="4"/>
  <c r="J42" i="4"/>
  <c r="L42" i="4"/>
  <c r="N42" i="4"/>
  <c r="J21" i="3"/>
  <c r="J23" i="3"/>
  <c r="D30" i="3"/>
  <c r="E30" i="3"/>
  <c r="F30" i="3"/>
  <c r="G30" i="3"/>
  <c r="H30" i="3"/>
  <c r="I30" i="3"/>
  <c r="J30" i="3"/>
  <c r="K30" i="3"/>
  <c r="L30" i="3"/>
  <c r="M30" i="3"/>
  <c r="N30" i="3"/>
  <c r="O30" i="3"/>
  <c r="D32" i="3"/>
  <c r="E32" i="3"/>
  <c r="F32" i="3"/>
  <c r="G32" i="3"/>
  <c r="H32" i="3"/>
  <c r="I32" i="3"/>
  <c r="J32" i="3"/>
  <c r="K32" i="3"/>
  <c r="L32" i="3"/>
  <c r="M32" i="3"/>
  <c r="N32" i="3"/>
  <c r="O32" i="3"/>
  <c r="D38" i="3"/>
  <c r="E38" i="3"/>
  <c r="F38" i="3"/>
  <c r="G38" i="3"/>
  <c r="H38" i="3"/>
  <c r="I38" i="3"/>
  <c r="J38" i="3"/>
  <c r="K38" i="3"/>
  <c r="L38" i="3"/>
  <c r="M38" i="3"/>
  <c r="N38" i="3"/>
  <c r="O38" i="3"/>
  <c r="D40" i="3"/>
  <c r="E40" i="3"/>
  <c r="F40" i="3"/>
  <c r="G40" i="3"/>
  <c r="H40" i="3"/>
  <c r="I40" i="3"/>
  <c r="J40" i="3"/>
  <c r="K40" i="3"/>
  <c r="L40" i="3"/>
  <c r="M40" i="3"/>
  <c r="N40" i="3"/>
  <c r="N46" i="3" s="1"/>
  <c r="O40" i="3"/>
  <c r="D42" i="3"/>
  <c r="H42" i="3"/>
  <c r="J42" i="3"/>
  <c r="L42" i="3"/>
  <c r="N42" i="3"/>
  <c r="O45" i="3"/>
  <c r="D42" i="7" l="1"/>
  <c r="E40" i="7"/>
  <c r="E38" i="7"/>
  <c r="I32" i="7"/>
  <c r="O46" i="7" s="1"/>
  <c r="N46" i="9"/>
  <c r="E40" i="11"/>
  <c r="E38" i="11"/>
  <c r="I32" i="11"/>
  <c r="O46" i="11" s="1"/>
  <c r="N46" i="12"/>
  <c r="N45" i="12"/>
  <c r="P45" i="12" s="1"/>
  <c r="N49" i="12" s="1"/>
  <c r="I30" i="13"/>
  <c r="I30" i="14"/>
  <c r="O46" i="3"/>
  <c r="O46" i="4"/>
  <c r="P46" i="4" s="1"/>
  <c r="N50" i="4" s="1"/>
  <c r="L21" i="4"/>
  <c r="O45" i="5"/>
  <c r="O46" i="8"/>
  <c r="P46" i="8" s="1"/>
  <c r="L21" i="8"/>
  <c r="O46" i="9"/>
  <c r="O46" i="10"/>
  <c r="J23" i="11"/>
  <c r="L21" i="11" s="1"/>
  <c r="J23" i="13"/>
  <c r="L21" i="13" s="1"/>
  <c r="J23" i="14"/>
  <c r="L21" i="14" s="1"/>
  <c r="J21" i="5"/>
  <c r="L21" i="5" s="1"/>
  <c r="J21" i="7"/>
  <c r="J21" i="11"/>
  <c r="N45" i="13"/>
  <c r="J21" i="13"/>
  <c r="N45" i="14"/>
  <c r="J21" i="14"/>
  <c r="N45" i="3"/>
  <c r="P45" i="3" s="1"/>
  <c r="N49" i="3" s="1"/>
  <c r="N45" i="4"/>
  <c r="P45" i="4" s="1"/>
  <c r="N49" i="4" s="1"/>
  <c r="J23" i="5"/>
  <c r="N45" i="8"/>
  <c r="N46" i="10"/>
  <c r="P46" i="10" s="1"/>
  <c r="N50" i="10" s="1"/>
  <c r="D42" i="13"/>
  <c r="E40" i="13"/>
  <c r="O46" i="13" s="1"/>
  <c r="E38" i="13"/>
  <c r="O45" i="13" s="1"/>
  <c r="E40" i="14"/>
  <c r="O46" i="14" s="1"/>
  <c r="E38" i="14"/>
  <c r="O45" i="14" s="1"/>
  <c r="N50" i="15"/>
  <c r="H32" i="14"/>
  <c r="H32" i="13"/>
  <c r="P46" i="12"/>
  <c r="K45" i="12" s="1"/>
  <c r="L21" i="12"/>
  <c r="N46" i="11"/>
  <c r="O45" i="11"/>
  <c r="H30" i="11"/>
  <c r="N45" i="10"/>
  <c r="P45" i="10" s="1"/>
  <c r="N49" i="10" s="1"/>
  <c r="L21" i="10"/>
  <c r="P46" i="9"/>
  <c r="N45" i="9"/>
  <c r="P45" i="9" s="1"/>
  <c r="N49" i="9" s="1"/>
  <c r="L21" i="9"/>
  <c r="P45" i="8"/>
  <c r="N49" i="8" s="1"/>
  <c r="N46" i="7"/>
  <c r="O45" i="7"/>
  <c r="H30" i="7"/>
  <c r="N45" i="7" s="1"/>
  <c r="P45" i="7" s="1"/>
  <c r="N49" i="7" s="1"/>
  <c r="J23" i="7"/>
  <c r="N45" i="5"/>
  <c r="P45" i="5" s="1"/>
  <c r="N49" i="5" s="1"/>
  <c r="O46" i="5"/>
  <c r="H32" i="5"/>
  <c r="P46" i="3"/>
  <c r="L21" i="3"/>
  <c r="B20" i="2"/>
  <c r="B24" i="2"/>
  <c r="B42" i="2" s="1"/>
  <c r="B31" i="2"/>
  <c r="B32" i="2" s="1"/>
  <c r="B38" i="2"/>
  <c r="K45" i="3" l="1"/>
  <c r="P46" i="7"/>
  <c r="P46" i="11"/>
  <c r="N50" i="11" s="1"/>
  <c r="K45" i="8"/>
  <c r="N50" i="8"/>
  <c r="P45" i="14"/>
  <c r="N49" i="14" s="1"/>
  <c r="P45" i="13"/>
  <c r="N49" i="13" s="1"/>
  <c r="N46" i="14"/>
  <c r="P46" i="14" s="1"/>
  <c r="N46" i="13"/>
  <c r="P46" i="13" s="1"/>
  <c r="N50" i="12"/>
  <c r="N45" i="11"/>
  <c r="P45" i="11" s="1"/>
  <c r="N49" i="11" s="1"/>
  <c r="K45" i="10"/>
  <c r="K45" i="9"/>
  <c r="N50" i="9"/>
  <c r="N50" i="7"/>
  <c r="L21" i="7"/>
  <c r="K45" i="7"/>
  <c r="N46" i="5"/>
  <c r="P46" i="5" s="1"/>
  <c r="K45" i="4"/>
  <c r="N50" i="3"/>
  <c r="C34" i="2"/>
  <c r="C22" i="2"/>
  <c r="C31" i="2"/>
  <c r="C35" i="2"/>
  <c r="C36" i="2"/>
  <c r="C20" i="2"/>
  <c r="B56" i="1"/>
  <c r="A54" i="1"/>
  <c r="A50" i="1"/>
  <c r="G48" i="1"/>
  <c r="G39" i="1"/>
  <c r="A35" i="1"/>
  <c r="A34" i="1"/>
  <c r="A33" i="1"/>
  <c r="G32" i="1"/>
  <c r="A32" i="1"/>
  <c r="G31" i="1"/>
  <c r="A31" i="1"/>
  <c r="B23" i="1"/>
  <c r="B55" i="1" s="1"/>
  <c r="B22" i="1"/>
  <c r="H48" i="1" s="1"/>
  <c r="B21" i="1"/>
  <c r="H47" i="1" s="1"/>
  <c r="M47" i="1" s="1"/>
  <c r="B20" i="1"/>
  <c r="H46" i="1" s="1"/>
  <c r="G19" i="1"/>
  <c r="B19" i="1"/>
  <c r="H19" i="1" s="1"/>
  <c r="G18" i="1"/>
  <c r="B18" i="1"/>
  <c r="H39" i="1" s="1"/>
  <c r="G17" i="1"/>
  <c r="B17" i="1"/>
  <c r="H17" i="1" s="1"/>
  <c r="G16" i="1"/>
  <c r="B16" i="1"/>
  <c r="B48" i="1" s="1"/>
  <c r="G15" i="1"/>
  <c r="B15" i="1"/>
  <c r="H15" i="1" s="1"/>
  <c r="G14" i="1"/>
  <c r="B14" i="1"/>
  <c r="H37" i="1" s="1"/>
  <c r="G13" i="1"/>
  <c r="B13" i="1"/>
  <c r="H13" i="1" s="1"/>
  <c r="K45" i="11" l="1"/>
  <c r="B24" i="1"/>
  <c r="D21" i="1" s="1"/>
  <c r="E21" i="1" s="1"/>
  <c r="B46" i="1"/>
  <c r="B53" i="1"/>
  <c r="K45" i="14"/>
  <c r="N50" i="14"/>
  <c r="K45" i="13"/>
  <c r="N50" i="13"/>
  <c r="K45" i="5"/>
  <c r="N50" i="5"/>
  <c r="B54" i="1"/>
  <c r="C38" i="2"/>
  <c r="C42" i="2" s="1"/>
  <c r="K30" i="2"/>
  <c r="C32" i="2"/>
  <c r="E30" i="2"/>
  <c r="K31" i="2" s="1"/>
  <c r="E31" i="2"/>
  <c r="K32" i="2" s="1"/>
  <c r="C24" i="2"/>
  <c r="K29" i="2" s="1"/>
  <c r="D22" i="2"/>
  <c r="B31" i="1"/>
  <c r="B45" i="1"/>
  <c r="H36" i="1"/>
  <c r="H38" i="1"/>
  <c r="B33" i="1"/>
  <c r="B49" i="1"/>
  <c r="B35" i="1"/>
  <c r="H32" i="1"/>
  <c r="B51" i="1"/>
  <c r="H40" i="1"/>
  <c r="D20" i="1"/>
  <c r="E20" i="1" s="1"/>
  <c r="H49" i="1"/>
  <c r="H50" i="1" s="1"/>
  <c r="I47" i="1" s="1"/>
  <c r="M46" i="1"/>
  <c r="B47" i="1"/>
  <c r="H14" i="1"/>
  <c r="H16" i="1"/>
  <c r="H18" i="1"/>
  <c r="B32" i="1"/>
  <c r="B50" i="1"/>
  <c r="B52" i="1"/>
  <c r="D14" i="1"/>
  <c r="E14" i="1" s="1"/>
  <c r="D22" i="1"/>
  <c r="E22" i="1" s="1"/>
  <c r="H31" i="1"/>
  <c r="B34" i="1"/>
  <c r="D18" i="1" l="1"/>
  <c r="E18" i="1" s="1"/>
  <c r="D23" i="1"/>
  <c r="E23" i="1" s="1"/>
  <c r="D15" i="1"/>
  <c r="E15" i="1" s="1"/>
  <c r="D19" i="1"/>
  <c r="E19" i="1" s="1"/>
  <c r="D13" i="1"/>
  <c r="E13" i="1" s="1"/>
  <c r="D16" i="1"/>
  <c r="E16" i="1" s="1"/>
  <c r="D17" i="1"/>
  <c r="E17" i="1" s="1"/>
  <c r="I46" i="1"/>
  <c r="K33" i="2"/>
  <c r="D20" i="2"/>
  <c r="B57" i="1"/>
  <c r="D47" i="1" s="1"/>
  <c r="E47" i="1" s="1"/>
  <c r="H33" i="1"/>
  <c r="I31" i="1" s="1"/>
  <c r="B36" i="1"/>
  <c r="D33" i="1" s="1"/>
  <c r="E33" i="1" s="1"/>
  <c r="I49" i="1"/>
  <c r="M48" i="1"/>
  <c r="H41" i="1"/>
  <c r="I40" i="1" s="1"/>
  <c r="H20" i="1"/>
  <c r="I16" i="1" s="1"/>
  <c r="I48" i="1"/>
  <c r="I38" i="1" l="1"/>
  <c r="I50" i="1"/>
  <c r="E24" i="1"/>
  <c r="I36" i="1"/>
  <c r="D24" i="1"/>
  <c r="D34" i="1"/>
  <c r="E34" i="1" s="1"/>
  <c r="D35" i="1"/>
  <c r="E35" i="1" s="1"/>
  <c r="D32" i="1"/>
  <c r="E32" i="1" s="1"/>
  <c r="D31" i="1"/>
  <c r="D56" i="1"/>
  <c r="E56" i="1" s="1"/>
  <c r="D48" i="1"/>
  <c r="E48" i="1" s="1"/>
  <c r="D54" i="1"/>
  <c r="E54" i="1" s="1"/>
  <c r="D46" i="1"/>
  <c r="E46" i="1" s="1"/>
  <c r="D55" i="1"/>
  <c r="E55" i="1" s="1"/>
  <c r="D53" i="1"/>
  <c r="E53" i="1" s="1"/>
  <c r="I19" i="1"/>
  <c r="I13" i="1"/>
  <c r="I17" i="1"/>
  <c r="I24" i="1" s="1"/>
  <c r="I15" i="1"/>
  <c r="M49" i="1"/>
  <c r="I14" i="1"/>
  <c r="D52" i="1"/>
  <c r="E52" i="1" s="1"/>
  <c r="D45" i="1"/>
  <c r="I37" i="1"/>
  <c r="I39" i="1"/>
  <c r="I32" i="1"/>
  <c r="I33" i="1" s="1"/>
  <c r="D50" i="1"/>
  <c r="E50" i="1" s="1"/>
  <c r="D51" i="1"/>
  <c r="E51" i="1" s="1"/>
  <c r="D49" i="1"/>
  <c r="E49" i="1" s="1"/>
  <c r="I18" i="1"/>
  <c r="D36" i="1" l="1"/>
  <c r="E31" i="1"/>
  <c r="E36" i="1" s="1"/>
  <c r="I41" i="1"/>
  <c r="N47" i="1"/>
  <c r="N46" i="1"/>
  <c r="D57" i="1"/>
  <c r="E45" i="1"/>
  <c r="E57" i="1" s="1"/>
  <c r="N48" i="1"/>
  <c r="I20" i="1"/>
  <c r="I23" i="1"/>
  <c r="I25" i="1" s="1"/>
</calcChain>
</file>

<file path=xl/sharedStrings.xml><?xml version="1.0" encoding="utf-8"?>
<sst xmlns="http://schemas.openxmlformats.org/spreadsheetml/2006/main" count="780" uniqueCount="112">
  <si>
    <t>2018 ALLOCATION FACTORS</t>
  </si>
  <si>
    <t>SOUTHERN GAS ONLY</t>
  </si>
  <si>
    <t>ENTEX CLASSIC</t>
  </si>
  <si>
    <t>(Based on Avg Customer Count for 12 mos end June 2017)</t>
  </si>
  <si>
    <t>Beaumont</t>
  </si>
  <si>
    <t>East Texas</t>
  </si>
  <si>
    <t>South Texas</t>
  </si>
  <si>
    <t>Houston</t>
  </si>
  <si>
    <t>Texas Coast</t>
  </si>
  <si>
    <t>Louisiana Entex</t>
  </si>
  <si>
    <t>Mississippi</t>
  </si>
  <si>
    <t>Arkansas</t>
  </si>
  <si>
    <t>Texarkana</t>
  </si>
  <si>
    <t>Louisiana Arkla</t>
  </si>
  <si>
    <t>CLASSIC</t>
  </si>
  <si>
    <t>Oklahoma</t>
  </si>
  <si>
    <t>ENTEX RURAL</t>
  </si>
  <si>
    <t>HOU GAS</t>
  </si>
  <si>
    <t>TX METERS &amp; REGULATORS</t>
  </si>
  <si>
    <t>HOUGAS ALLOC</t>
  </si>
  <si>
    <t>ENTEX  ALLOC</t>
  </si>
  <si>
    <t>2018 ALLOCATION FACTORS-GASOPS</t>
  </si>
  <si>
    <t>ARKLA  ALLOC</t>
  </si>
  <si>
    <t>Minnesota</t>
  </si>
  <si>
    <t>ALL FACTORS ARE BASED ON AVG CUSTOMER COUNT 12 MONTHS ENDING JUNE 2017</t>
  </si>
  <si>
    <t>SOURCE FILES :</t>
  </si>
  <si>
    <t>BW Sharepoint Files maintained by Doug Smith for Arkla and Entex</t>
  </si>
  <si>
    <t>Minnesota data provided by Mark Winter on SharePoint</t>
  </si>
  <si>
    <t>Prepared By:</t>
  </si>
  <si>
    <t>Kera Hill</t>
  </si>
  <si>
    <t>Date:</t>
  </si>
  <si>
    <t>Reviewed By:</t>
  </si>
  <si>
    <t>Approved By:</t>
  </si>
  <si>
    <t>Grand Total Distribution</t>
  </si>
  <si>
    <t>Other Users Total</t>
  </si>
  <si>
    <t>Minnesota Fleet</t>
  </si>
  <si>
    <t>Houston Leak Survey</t>
  </si>
  <si>
    <t>Electric (Sugarland SC)</t>
  </si>
  <si>
    <t>Total</t>
  </si>
  <si>
    <t>Gas Op Tech Serv</t>
  </si>
  <si>
    <t>RA31241748</t>
  </si>
  <si>
    <t>Minnesota Total</t>
  </si>
  <si>
    <t>RA31241741</t>
  </si>
  <si>
    <t>HSP</t>
  </si>
  <si>
    <t>Broadband Charges for Mobile Data Usage</t>
  </si>
  <si>
    <t>Houston/Texas Coast Verizon 3G Service</t>
  </si>
  <si>
    <t>MN Breakout</t>
  </si>
  <si>
    <t>Houston Area Total</t>
  </si>
  <si>
    <t>Tx Coast</t>
  </si>
  <si>
    <t>West</t>
  </si>
  <si>
    <t>East</t>
  </si>
  <si>
    <t>South</t>
  </si>
  <si>
    <t>North</t>
  </si>
  <si>
    <t>Distribution %</t>
  </si>
  <si>
    <t>Broadband Units</t>
  </si>
  <si>
    <t>Area</t>
  </si>
  <si>
    <t xml:space="preserve">Cost Center: </t>
  </si>
  <si>
    <t>Broadband Project - Verizion Data Cost Distribution Allocation</t>
  </si>
  <si>
    <t>Locate</t>
  </si>
  <si>
    <t>Research</t>
  </si>
  <si>
    <t>Total Tickets</t>
  </si>
  <si>
    <t>Ticket sent for staking</t>
  </si>
  <si>
    <t>FOC</t>
  </si>
  <si>
    <t>Elec to Field</t>
  </si>
  <si>
    <t>Total Electric Tickets</t>
  </si>
  <si>
    <t>Tickets sent for staking</t>
  </si>
  <si>
    <t>SAP Upload</t>
  </si>
  <si>
    <t>133403  TSUGL1 - Locates</t>
  </si>
  <si>
    <t>Electric tickets received</t>
  </si>
  <si>
    <t>133406  TSUGL3 - Research</t>
  </si>
  <si>
    <t>Sugar Land</t>
  </si>
  <si>
    <t>Spring Branch</t>
  </si>
  <si>
    <t>Katy</t>
  </si>
  <si>
    <t>HOC/Brazosport</t>
  </si>
  <si>
    <t>Fort Bend/Wharton</t>
  </si>
  <si>
    <t>Cypress</t>
  </si>
  <si>
    <t>Bellaire/Mag. Park</t>
  </si>
  <si>
    <t>South Houston</t>
  </si>
  <si>
    <t>Humble</t>
  </si>
  <si>
    <t>Greenspoint</t>
  </si>
  <si>
    <t>Galveston</t>
  </si>
  <si>
    <t>Baytown</t>
  </si>
  <si>
    <t>Electric Tickets</t>
  </si>
  <si>
    <t>133403  TSUGL2 - Locates</t>
  </si>
  <si>
    <t>Gas To Field</t>
  </si>
  <si>
    <t>Gas Tickets received</t>
  </si>
  <si>
    <t>Richmond</t>
  </si>
  <si>
    <t>West Dist.</t>
  </si>
  <si>
    <t>So. Dist</t>
  </si>
  <si>
    <t>East Dist.</t>
  </si>
  <si>
    <t>No. Dist.</t>
  </si>
  <si>
    <t>Gas Tickets</t>
  </si>
  <si>
    <t xml:space="preserve"> from 11/01/2018 thru 11/30/2018</t>
  </si>
  <si>
    <t xml:space="preserve">Tickets Researched Report </t>
  </si>
  <si>
    <t>Underground Locating Research Dept.</t>
  </si>
  <si>
    <t xml:space="preserve"> from 10/01/2018 thru 10/31/2018</t>
  </si>
  <si>
    <t xml:space="preserve"> from 9/01/2018 thru 9/30/2018</t>
  </si>
  <si>
    <t xml:space="preserve"> from 8/01/2018 thru 8/31/2018</t>
  </si>
  <si>
    <t xml:space="preserve"> from 7/01/2018 thru 7/31/2018</t>
  </si>
  <si>
    <t xml:space="preserve"> from 6/01/2018 thru 6/30/2018</t>
  </si>
  <si>
    <t xml:space="preserve"> from 5/01/2018 thru 5/31/2018</t>
  </si>
  <si>
    <t xml:space="preserve"> from 4/01/2018 thru 4/30/2018</t>
  </si>
  <si>
    <t xml:space="preserve"> from 3/01/2018 thru 3/31/2018</t>
  </si>
  <si>
    <t xml:space="preserve"> from 2/01/2018 thru 2/28/2018</t>
  </si>
  <si>
    <t xml:space="preserve"> from 1/01/2018 thru 1/31/2018</t>
  </si>
  <si>
    <t xml:space="preserve"> from 12/01/2018 thru 12/31/2018</t>
  </si>
  <si>
    <t>PUBLIC UTILITY COMMISSION OF TEXAS</t>
  </si>
  <si>
    <t>CENTERPOINT ENERGY HOUSTON ELECTRIC, LLC</t>
  </si>
  <si>
    <t>TEST YEAR ENDED 12/31/2018</t>
  </si>
  <si>
    <t>DOCKET NUMBER PENDING ASSIGNMENT</t>
  </si>
  <si>
    <t>SPONSOR: M. TOWNSEND</t>
  </si>
  <si>
    <t>V-K-9.2 CERC SKF's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</si>
</sst>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0.0%"/>
    <numFmt numFmtId="166" formatCode="mmm\-yyyy"/>
    <numFmt numFmtId="167" formatCode="_(* #,##0_);_(* \(#,##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b/>
      <u/>
      <sz val="9"/>
      <name val="Arial"/>
      <family val="2"/>
    </font>
    <font>
      <b/>
      <sz val="9"/>
      <color rgb="FFFF0000"/>
      <name val="Arial"/>
      <family val="2"/>
    </font>
    <font>
      <sz val="8"/>
      <name val="Arial"/>
      <family val="2"/>
    </font>
    <font>
      <sz val="9"/>
      <color indexed="8"/>
      <name val="Arial"/>
      <family val="2"/>
    </font>
    <font>
      <b/>
      <sz val="11"/>
      <name val="Arial"/>
      <family val="2"/>
    </font>
    <font>
      <sz val="9"/>
      <color indexed="10"/>
      <name val="Arial"/>
      <family val="2"/>
    </font>
    <font>
      <sz val="9"/>
      <color indexed="12"/>
      <name val="Arial"/>
      <family val="2"/>
    </font>
    <font>
      <b/>
      <i/>
      <sz val="9"/>
      <name val="Arial"/>
      <family val="2"/>
    </font>
    <font>
      <b/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rgb="FFFFFF99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228">
    <xf numFmtId="0" fontId="0" fillId="0" borderId="0" xfId="0"/>
    <xf numFmtId="41" fontId="4" fillId="0" borderId="0" xfId="3" applyNumberFormat="1" applyFont="1" applyAlignment="1">
      <alignment horizontal="center"/>
    </xf>
    <xf numFmtId="41" fontId="4" fillId="0" borderId="1" xfId="3" applyNumberFormat="1" applyFont="1" applyBorder="1" applyAlignment="1">
      <alignment horizontal="center"/>
    </xf>
    <xf numFmtId="41" fontId="4" fillId="0" borderId="2" xfId="3" applyNumberFormat="1" applyFont="1" applyBorder="1" applyAlignment="1">
      <alignment horizontal="center"/>
    </xf>
    <xf numFmtId="10" fontId="3" fillId="0" borderId="3" xfId="3" applyNumberFormat="1" applyBorder="1"/>
    <xf numFmtId="0" fontId="3" fillId="0" borderId="0" xfId="3"/>
    <xf numFmtId="10" fontId="3" fillId="0" borderId="0" xfId="3" applyNumberFormat="1"/>
    <xf numFmtId="0" fontId="3" fillId="0" borderId="4" xfId="3" applyBorder="1" applyAlignment="1">
      <alignment horizontal="right"/>
    </xf>
    <xf numFmtId="41" fontId="3" fillId="0" borderId="0" xfId="3" applyNumberFormat="1" applyFill="1" applyBorder="1"/>
    <xf numFmtId="0" fontId="6" fillId="0" borderId="0" xfId="3" applyFont="1" applyFill="1" applyBorder="1"/>
    <xf numFmtId="10" fontId="6" fillId="0" borderId="0" xfId="3" applyNumberFormat="1" applyFont="1" applyBorder="1"/>
    <xf numFmtId="10" fontId="3" fillId="0" borderId="5" xfId="3" applyNumberFormat="1" applyBorder="1"/>
    <xf numFmtId="41" fontId="3" fillId="0" borderId="4" xfId="3" applyNumberFormat="1" applyBorder="1" applyAlignment="1">
      <alignment horizontal="right"/>
    </xf>
    <xf numFmtId="41" fontId="3" fillId="0" borderId="0" xfId="3" applyNumberFormat="1" applyBorder="1"/>
    <xf numFmtId="0" fontId="6" fillId="0" borderId="0" xfId="3" applyFont="1" applyBorder="1"/>
    <xf numFmtId="0" fontId="3" fillId="0" borderId="4" xfId="3" applyFont="1" applyBorder="1" applyAlignment="1">
      <alignment horizontal="right"/>
    </xf>
    <xf numFmtId="41" fontId="3" fillId="0" borderId="4" xfId="3" applyNumberFormat="1" applyBorder="1"/>
    <xf numFmtId="41" fontId="3" fillId="0" borderId="6" xfId="3" applyNumberFormat="1" applyBorder="1"/>
    <xf numFmtId="10" fontId="3" fillId="0" borderId="7" xfId="3" applyNumberFormat="1" applyBorder="1"/>
    <xf numFmtId="41" fontId="4" fillId="0" borderId="0" xfId="3" applyNumberFormat="1" applyFont="1" applyBorder="1"/>
    <xf numFmtId="41" fontId="6" fillId="0" borderId="0" xfId="3" applyNumberFormat="1" applyFont="1" applyBorder="1"/>
    <xf numFmtId="0" fontId="3" fillId="0" borderId="0" xfId="3" applyBorder="1"/>
    <xf numFmtId="10" fontId="6" fillId="0" borderId="6" xfId="3" applyNumberFormat="1" applyFont="1" applyBorder="1"/>
    <xf numFmtId="10" fontId="3" fillId="0" borderId="0" xfId="3" applyNumberFormat="1" applyBorder="1"/>
    <xf numFmtId="0" fontId="7" fillId="0" borderId="0" xfId="3" applyFont="1" applyBorder="1"/>
    <xf numFmtId="0" fontId="3" fillId="0" borderId="8" xfId="3" applyBorder="1"/>
    <xf numFmtId="41" fontId="3" fillId="0" borderId="9" xfId="3" applyNumberFormat="1" applyBorder="1"/>
    <xf numFmtId="0" fontId="6" fillId="0" borderId="9" xfId="3" applyFont="1" applyBorder="1"/>
    <xf numFmtId="10" fontId="6" fillId="0" borderId="9" xfId="3" applyNumberFormat="1" applyFont="1" applyBorder="1"/>
    <xf numFmtId="10" fontId="3" fillId="0" borderId="10" xfId="3" applyNumberFormat="1" applyBorder="1"/>
    <xf numFmtId="10" fontId="3" fillId="0" borderId="8" xfId="3" applyNumberFormat="1" applyBorder="1"/>
    <xf numFmtId="10" fontId="3" fillId="0" borderId="11" xfId="3" applyNumberFormat="1" applyBorder="1"/>
    <xf numFmtId="0" fontId="3" fillId="0" borderId="0" xfId="3" applyBorder="1" applyAlignment="1">
      <alignment horizontal="right"/>
    </xf>
    <xf numFmtId="41" fontId="3" fillId="0" borderId="0" xfId="3" applyNumberFormat="1"/>
    <xf numFmtId="0" fontId="6" fillId="0" borderId="0" xfId="3" applyFont="1"/>
    <xf numFmtId="10" fontId="6" fillId="0" borderId="0" xfId="3" applyNumberFormat="1" applyFont="1"/>
    <xf numFmtId="0" fontId="3" fillId="0" borderId="0" xfId="3" applyFont="1" applyBorder="1"/>
    <xf numFmtId="44" fontId="3" fillId="0" borderId="0" xfId="1" applyFont="1" applyBorder="1"/>
    <xf numFmtId="10" fontId="4" fillId="0" borderId="0" xfId="3" applyNumberFormat="1" applyFont="1" applyBorder="1" applyAlignment="1">
      <alignment vertical="top" wrapText="1"/>
    </xf>
    <xf numFmtId="41" fontId="3" fillId="0" borderId="0" xfId="3" applyNumberFormat="1" applyBorder="1" applyAlignment="1">
      <alignment horizontal="right"/>
    </xf>
    <xf numFmtId="2" fontId="3" fillId="0" borderId="0" xfId="3" applyNumberFormat="1" applyBorder="1"/>
    <xf numFmtId="41" fontId="3" fillId="0" borderId="12" xfId="3" applyNumberFormat="1" applyBorder="1"/>
    <xf numFmtId="2" fontId="3" fillId="0" borderId="0" xfId="3" applyNumberFormat="1"/>
    <xf numFmtId="0" fontId="3" fillId="0" borderId="4" xfId="3" applyBorder="1"/>
    <xf numFmtId="0" fontId="3" fillId="0" borderId="1" xfId="3" applyBorder="1" applyAlignment="1">
      <alignment horizontal="right"/>
    </xf>
    <xf numFmtId="41" fontId="3" fillId="0" borderId="2" xfId="3" applyNumberFormat="1" applyBorder="1"/>
    <xf numFmtId="164" fontId="3" fillId="0" borderId="3" xfId="2" applyNumberFormat="1" applyFont="1" applyBorder="1"/>
    <xf numFmtId="164" fontId="3" fillId="0" borderId="5" xfId="2" applyNumberFormat="1" applyFont="1" applyBorder="1"/>
    <xf numFmtId="41" fontId="3" fillId="0" borderId="13" xfId="3" applyNumberFormat="1" applyBorder="1"/>
    <xf numFmtId="164" fontId="3" fillId="0" borderId="14" xfId="2" applyNumberFormat="1" applyFont="1" applyBorder="1"/>
    <xf numFmtId="2" fontId="3" fillId="0" borderId="10" xfId="3" applyNumberFormat="1" applyBorder="1"/>
    <xf numFmtId="41" fontId="9" fillId="0" borderId="0" xfId="3" applyNumberFormat="1" applyFont="1" applyFill="1" applyBorder="1"/>
    <xf numFmtId="10" fontId="4" fillId="0" borderId="0" xfId="3" applyNumberFormat="1" applyFont="1" applyBorder="1" applyAlignment="1">
      <alignment horizontal="left" vertical="top"/>
    </xf>
    <xf numFmtId="0" fontId="4" fillId="0" borderId="0" xfId="3" applyFont="1"/>
    <xf numFmtId="10" fontId="10" fillId="0" borderId="0" xfId="3" applyNumberFormat="1" applyFont="1"/>
    <xf numFmtId="41" fontId="10" fillId="0" borderId="13" xfId="3" applyNumberFormat="1" applyFont="1" applyBorder="1"/>
    <xf numFmtId="10" fontId="10" fillId="0" borderId="0" xfId="3" applyNumberFormat="1" applyFont="1" applyAlignment="1">
      <alignment horizontal="right"/>
    </xf>
    <xf numFmtId="14" fontId="10" fillId="0" borderId="13" xfId="2" applyNumberFormat="1" applyFont="1" applyBorder="1"/>
    <xf numFmtId="0" fontId="10" fillId="0" borderId="0" xfId="3" applyFont="1"/>
    <xf numFmtId="41" fontId="10" fillId="0" borderId="0" xfId="3" applyNumberFormat="1" applyFont="1" applyBorder="1"/>
    <xf numFmtId="10" fontId="10" fillId="0" borderId="0" xfId="3" applyNumberFormat="1" applyFont="1" applyBorder="1"/>
    <xf numFmtId="10" fontId="10" fillId="0" borderId="13" xfId="3" applyNumberFormat="1" applyFont="1" applyBorder="1"/>
    <xf numFmtId="165" fontId="2" fillId="0" borderId="15" xfId="4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/>
    <xf numFmtId="0" fontId="0" fillId="0" borderId="0" xfId="0" applyBorder="1"/>
    <xf numFmtId="165" fontId="0" fillId="0" borderId="0" xfId="4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0" xfId="4" applyNumberFormat="1" applyFont="1" applyAlignment="1">
      <alignment horizontal="center"/>
    </xf>
    <xf numFmtId="0" fontId="0" fillId="0" borderId="0" xfId="0" applyAlignment="1">
      <alignment horizontal="center"/>
    </xf>
    <xf numFmtId="165" fontId="2" fillId="0" borderId="0" xfId="4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65" fontId="0" fillId="0" borderId="18" xfId="4" applyNumberFormat="1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0" xfId="0" applyFill="1"/>
    <xf numFmtId="165" fontId="0" fillId="0" borderId="0" xfId="4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10" xfId="0" applyBorder="1"/>
    <xf numFmtId="0" fontId="0" fillId="0" borderId="9" xfId="0" applyBorder="1"/>
    <xf numFmtId="0" fontId="0" fillId="0" borderId="8" xfId="0" applyBorder="1"/>
    <xf numFmtId="10" fontId="0" fillId="2" borderId="0" xfId="4" applyNumberFormat="1" applyFont="1" applyFill="1" applyAlignment="1">
      <alignment horizontal="center"/>
    </xf>
    <xf numFmtId="0" fontId="0" fillId="0" borderId="5" xfId="0" applyBorder="1"/>
    <xf numFmtId="10" fontId="0" fillId="0" borderId="19" xfId="0" applyNumberFormat="1" applyBorder="1"/>
    <xf numFmtId="0" fontId="11" fillId="0" borderId="19" xfId="0" applyFont="1" applyBorder="1"/>
    <xf numFmtId="0" fontId="0" fillId="0" borderId="19" xfId="0" applyBorder="1"/>
    <xf numFmtId="0" fontId="0" fillId="0" borderId="4" xfId="0" applyBorder="1"/>
    <xf numFmtId="10" fontId="0" fillId="0" borderId="0" xfId="0" applyNumberFormat="1" applyBorder="1"/>
    <xf numFmtId="0" fontId="12" fillId="0" borderId="0" xfId="0" applyFont="1" applyAlignment="1">
      <alignment horizontal="right"/>
    </xf>
    <xf numFmtId="10" fontId="0" fillId="2" borderId="0" xfId="4" applyNumberFormat="1" applyFont="1" applyFill="1"/>
    <xf numFmtId="10" fontId="0" fillId="0" borderId="0" xfId="4" applyNumberFormat="1" applyFont="1"/>
    <xf numFmtId="0" fontId="0" fillId="0" borderId="18" xfId="0" applyBorder="1" applyAlignment="1">
      <alignment horizontal="left"/>
    </xf>
    <xf numFmtId="0" fontId="12" fillId="0" borderId="0" xfId="0" applyFont="1"/>
    <xf numFmtId="0" fontId="0" fillId="0" borderId="3" xfId="0" applyBorder="1"/>
    <xf numFmtId="0" fontId="0" fillId="0" borderId="2" xfId="0" applyBorder="1"/>
    <xf numFmtId="0" fontId="0" fillId="0" borderId="1" xfId="0" applyBorder="1"/>
    <xf numFmtId="165" fontId="0" fillId="0" borderId="0" xfId="0" applyNumberFormat="1" applyAlignment="1">
      <alignment horizontal="center"/>
    </xf>
    <xf numFmtId="0" fontId="13" fillId="0" borderId="20" xfId="0" applyFont="1" applyBorder="1"/>
    <xf numFmtId="0" fontId="13" fillId="0" borderId="20" xfId="0" applyFont="1" applyBorder="1" applyAlignment="1">
      <alignment horizontal="right" wrapText="1"/>
    </xf>
    <xf numFmtId="166" fontId="0" fillId="0" borderId="0" xfId="0" applyNumberFormat="1" applyAlignment="1">
      <alignment horizontal="left"/>
    </xf>
    <xf numFmtId="0" fontId="2" fillId="0" borderId="0" xfId="0" applyFont="1"/>
    <xf numFmtId="0" fontId="6" fillId="0" borderId="0" xfId="5" applyFont="1"/>
    <xf numFmtId="0" fontId="6" fillId="0" borderId="0" xfId="5" applyFont="1" applyAlignment="1">
      <alignment horizontal="center"/>
    </xf>
    <xf numFmtId="0" fontId="6" fillId="0" borderId="0" xfId="5" applyFont="1" applyBorder="1"/>
    <xf numFmtId="0" fontId="6" fillId="0" borderId="0" xfId="5" applyFont="1" applyAlignment="1">
      <alignment horizontal="center"/>
    </xf>
    <xf numFmtId="3" fontId="6" fillId="0" borderId="0" xfId="5" applyNumberFormat="1" applyFont="1" applyBorder="1"/>
    <xf numFmtId="167" fontId="6" fillId="0" borderId="21" xfId="5" applyNumberFormat="1" applyFont="1" applyBorder="1"/>
    <xf numFmtId="9" fontId="6" fillId="0" borderId="22" xfId="6" applyFont="1" applyBorder="1" applyAlignment="1">
      <alignment horizontal="right"/>
    </xf>
    <xf numFmtId="0" fontId="4" fillId="0" borderId="0" xfId="5" applyFont="1" applyBorder="1" applyAlignment="1">
      <alignment horizontal="center"/>
    </xf>
    <xf numFmtId="167" fontId="6" fillId="0" borderId="23" xfId="5" applyNumberFormat="1" applyFont="1" applyBorder="1"/>
    <xf numFmtId="0" fontId="6" fillId="0" borderId="24" xfId="5" applyFont="1" applyBorder="1" applyAlignment="1">
      <alignment horizontal="right"/>
    </xf>
    <xf numFmtId="0" fontId="6" fillId="0" borderId="25" xfId="5" applyFont="1" applyBorder="1"/>
    <xf numFmtId="0" fontId="6" fillId="0" borderId="26" xfId="5" applyFont="1" applyBorder="1"/>
    <xf numFmtId="0" fontId="6" fillId="0" borderId="27" xfId="5" applyFont="1" applyBorder="1"/>
    <xf numFmtId="0" fontId="6" fillId="0" borderId="13" xfId="5" applyFont="1" applyBorder="1"/>
    <xf numFmtId="167" fontId="6" fillId="0" borderId="27" xfId="5" applyNumberFormat="1" applyFont="1" applyBorder="1"/>
    <xf numFmtId="9" fontId="6" fillId="0" borderId="0" xfId="6" applyFont="1" applyBorder="1" applyAlignment="1">
      <alignment horizontal="right"/>
    </xf>
    <xf numFmtId="9" fontId="6" fillId="0" borderId="0" xfId="6" applyFont="1" applyBorder="1"/>
    <xf numFmtId="0" fontId="4" fillId="0" borderId="0" xfId="5" applyFont="1" applyBorder="1"/>
    <xf numFmtId="0" fontId="4" fillId="0" borderId="0" xfId="5" applyFont="1"/>
    <xf numFmtId="9" fontId="4" fillId="0" borderId="0" xfId="5" applyNumberFormat="1" applyFont="1"/>
    <xf numFmtId="9" fontId="6" fillId="0" borderId="0" xfId="5" applyNumberFormat="1" applyFont="1" applyBorder="1"/>
    <xf numFmtId="167" fontId="6" fillId="0" borderId="27" xfId="6" applyNumberFormat="1" applyFont="1" applyBorder="1"/>
    <xf numFmtId="0" fontId="6" fillId="0" borderId="0" xfId="5" applyFont="1" applyBorder="1" applyAlignment="1">
      <alignment horizontal="right"/>
    </xf>
    <xf numFmtId="0" fontId="16" fillId="0" borderId="0" xfId="5" applyFont="1" applyBorder="1"/>
    <xf numFmtId="9" fontId="16" fillId="0" borderId="0" xfId="5" applyNumberFormat="1" applyFont="1"/>
    <xf numFmtId="3" fontId="4" fillId="0" borderId="0" xfId="5" applyNumberFormat="1" applyFont="1" applyBorder="1"/>
    <xf numFmtId="0" fontId="6" fillId="0" borderId="27" xfId="5" applyFont="1" applyBorder="1" applyAlignment="1">
      <alignment horizontal="center"/>
    </xf>
    <xf numFmtId="9" fontId="17" fillId="0" borderId="27" xfId="5" applyNumberFormat="1" applyFont="1" applyBorder="1" applyAlignment="1">
      <alignment horizontal="center"/>
    </xf>
    <xf numFmtId="43" fontId="6" fillId="0" borderId="0" xfId="7" applyFont="1" applyBorder="1"/>
    <xf numFmtId="0" fontId="6" fillId="3" borderId="0" xfId="5" applyFont="1" applyFill="1" applyBorder="1"/>
    <xf numFmtId="3" fontId="6" fillId="4" borderId="28" xfId="5" applyNumberFormat="1" applyFont="1" applyFill="1" applyBorder="1"/>
    <xf numFmtId="3" fontId="6" fillId="4" borderId="29" xfId="7" applyNumberFormat="1" applyFont="1" applyFill="1" applyBorder="1"/>
    <xf numFmtId="3" fontId="6" fillId="4" borderId="30" xfId="7" applyNumberFormat="1" applyFont="1" applyFill="1" applyBorder="1"/>
    <xf numFmtId="3" fontId="6" fillId="4" borderId="33" xfId="5" applyNumberFormat="1" applyFont="1" applyFill="1" applyBorder="1"/>
    <xf numFmtId="3" fontId="6" fillId="4" borderId="34" xfId="7" applyNumberFormat="1" applyFont="1" applyFill="1" applyBorder="1"/>
    <xf numFmtId="1" fontId="6" fillId="0" borderId="21" xfId="5" applyNumberFormat="1" applyFont="1" applyBorder="1" applyAlignment="1">
      <alignment horizontal="center"/>
    </xf>
    <xf numFmtId="1" fontId="6" fillId="0" borderId="22" xfId="5" applyNumberFormat="1" applyFont="1" applyBorder="1" applyAlignment="1">
      <alignment horizontal="center"/>
    </xf>
    <xf numFmtId="0" fontId="17" fillId="0" borderId="0" xfId="5" applyFont="1"/>
    <xf numFmtId="0" fontId="17" fillId="0" borderId="0" xfId="5" applyFont="1" applyBorder="1"/>
    <xf numFmtId="9" fontId="17" fillId="0" borderId="25" xfId="5" applyNumberFormat="1" applyFont="1" applyBorder="1" applyAlignment="1">
      <alignment horizontal="center"/>
    </xf>
    <xf numFmtId="9" fontId="17" fillId="0" borderId="26" xfId="5" applyNumberFormat="1" applyFont="1" applyBorder="1" applyAlignment="1">
      <alignment horizontal="center"/>
    </xf>
    <xf numFmtId="43" fontId="18" fillId="0" borderId="0" xfId="7" applyFont="1" applyBorder="1"/>
    <xf numFmtId="37" fontId="6" fillId="4" borderId="35" xfId="7" applyNumberFormat="1" applyFont="1" applyFill="1" applyBorder="1"/>
    <xf numFmtId="37" fontId="6" fillId="4" borderId="36" xfId="7" applyNumberFormat="1" applyFont="1" applyFill="1" applyBorder="1"/>
    <xf numFmtId="3" fontId="6" fillId="4" borderId="35" xfId="5" applyNumberFormat="1" applyFont="1" applyFill="1" applyBorder="1"/>
    <xf numFmtId="3" fontId="6" fillId="4" borderId="36" xfId="5" applyNumberFormat="1" applyFont="1" applyFill="1" applyBorder="1"/>
    <xf numFmtId="0" fontId="6" fillId="0" borderId="21" xfId="5" applyFont="1" applyBorder="1" applyAlignment="1">
      <alignment horizontal="center"/>
    </xf>
    <xf numFmtId="0" fontId="20" fillId="0" borderId="0" xfId="5" applyFont="1" applyBorder="1"/>
    <xf numFmtId="0" fontId="21" fillId="0" borderId="0" xfId="5" applyFont="1" applyBorder="1"/>
    <xf numFmtId="167" fontId="6" fillId="0" borderId="0" xfId="7" applyNumberFormat="1" applyFont="1" applyBorder="1"/>
    <xf numFmtId="9" fontId="6" fillId="0" borderId="0" xfId="5" applyNumberFormat="1" applyFont="1"/>
    <xf numFmtId="167" fontId="6" fillId="0" borderId="27" xfId="7" applyNumberFormat="1" applyFont="1" applyBorder="1"/>
    <xf numFmtId="167" fontId="6" fillId="0" borderId="27" xfId="7" applyNumberFormat="1" applyFont="1" applyBorder="1" applyProtection="1"/>
    <xf numFmtId="167" fontId="6" fillId="0" borderId="32" xfId="7" applyNumberFormat="1" applyFont="1" applyBorder="1" applyProtection="1"/>
    <xf numFmtId="0" fontId="6" fillId="0" borderId="32" xfId="5" applyFont="1" applyBorder="1"/>
    <xf numFmtId="0" fontId="6" fillId="0" borderId="37" xfId="5" applyFont="1" applyBorder="1"/>
    <xf numFmtId="0" fontId="4" fillId="0" borderId="37" xfId="5" applyFont="1" applyBorder="1"/>
    <xf numFmtId="167" fontId="16" fillId="0" borderId="0" xfId="7" applyNumberFormat="1" applyFont="1" applyBorder="1"/>
    <xf numFmtId="3" fontId="6" fillId="0" borderId="27" xfId="5" applyNumberFormat="1" applyFont="1" applyBorder="1" applyProtection="1"/>
    <xf numFmtId="3" fontId="6" fillId="0" borderId="31" xfId="5" applyNumberFormat="1" applyFont="1" applyBorder="1" applyProtection="1"/>
    <xf numFmtId="0" fontId="4" fillId="0" borderId="0" xfId="5" applyFont="1" applyAlignment="1">
      <alignment horizontal="center"/>
    </xf>
    <xf numFmtId="0" fontId="15" fillId="0" borderId="0" xfId="5" applyFont="1" applyAlignment="1">
      <alignment horizontal="center"/>
    </xf>
    <xf numFmtId="0" fontId="6" fillId="0" borderId="0" xfId="5" applyFont="1" applyAlignment="1">
      <alignment horizontal="left"/>
    </xf>
    <xf numFmtId="0" fontId="22" fillId="0" borderId="0" xfId="5" applyFont="1" applyAlignment="1">
      <alignment horizontal="center"/>
    </xf>
    <xf numFmtId="0" fontId="22" fillId="0" borderId="0" xfId="5" applyFont="1" applyAlignment="1">
      <alignment horizontal="center"/>
    </xf>
    <xf numFmtId="0" fontId="4" fillId="0" borderId="1" xfId="3" applyFont="1" applyBorder="1" applyAlignment="1">
      <alignment horizontal="center"/>
    </xf>
    <xf numFmtId="0" fontId="4" fillId="0" borderId="2" xfId="3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10" fontId="4" fillId="0" borderId="4" xfId="3" applyNumberFormat="1" applyFont="1" applyBorder="1" applyAlignment="1">
      <alignment horizontal="center" vertical="top" wrapText="1"/>
    </xf>
    <xf numFmtId="10" fontId="4" fillId="0" borderId="0" xfId="3" applyNumberFormat="1" applyFont="1" applyBorder="1" applyAlignment="1">
      <alignment horizontal="center" vertical="top" wrapText="1"/>
    </xf>
    <xf numFmtId="10" fontId="4" fillId="0" borderId="5" xfId="3" applyNumberFormat="1" applyFont="1" applyBorder="1" applyAlignment="1">
      <alignment horizontal="center" vertical="top" wrapText="1"/>
    </xf>
    <xf numFmtId="41" fontId="4" fillId="0" borderId="1" xfId="3" applyNumberFormat="1" applyFont="1" applyBorder="1" applyAlignment="1">
      <alignment horizontal="center"/>
    </xf>
    <xf numFmtId="41" fontId="4" fillId="0" borderId="2" xfId="3" applyNumberFormat="1" applyFont="1" applyBorder="1" applyAlignment="1">
      <alignment horizontal="center"/>
    </xf>
    <xf numFmtId="41" fontId="4" fillId="0" borderId="3" xfId="3" applyNumberFormat="1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0" fontId="5" fillId="0" borderId="0" xfId="3" applyFont="1" applyBorder="1" applyAlignment="1">
      <alignment horizontal="center"/>
    </xf>
    <xf numFmtId="0" fontId="5" fillId="0" borderId="5" xfId="3" applyFont="1" applyBorder="1" applyAlignment="1">
      <alignment horizontal="center"/>
    </xf>
    <xf numFmtId="41" fontId="4" fillId="0" borderId="4" xfId="3" applyNumberFormat="1" applyFont="1" applyBorder="1" applyAlignment="1">
      <alignment horizontal="center"/>
    </xf>
    <xf numFmtId="41" fontId="4" fillId="0" borderId="0" xfId="3" applyNumberFormat="1" applyFont="1" applyBorder="1" applyAlignment="1">
      <alignment horizontal="center"/>
    </xf>
    <xf numFmtId="41" fontId="4" fillId="0" borderId="5" xfId="3" applyNumberFormat="1" applyFont="1" applyBorder="1" applyAlignment="1">
      <alignment horizontal="center"/>
    </xf>
    <xf numFmtId="0" fontId="6" fillId="0" borderId="0" xfId="5" applyFont="1" applyBorder="1" applyAlignment="1">
      <alignment horizontal="center"/>
    </xf>
    <xf numFmtId="0" fontId="6" fillId="0" borderId="0" xfId="5" applyFont="1" applyAlignment="1">
      <alignment horizontal="center"/>
    </xf>
    <xf numFmtId="3" fontId="6" fillId="3" borderId="29" xfId="5" applyNumberFormat="1" applyFont="1" applyFill="1" applyBorder="1" applyAlignment="1" applyProtection="1">
      <alignment horizontal="center"/>
    </xf>
    <xf numFmtId="3" fontId="6" fillId="3" borderId="28" xfId="5" applyNumberFormat="1" applyFont="1" applyFill="1" applyBorder="1" applyAlignment="1" applyProtection="1">
      <alignment horizontal="center"/>
    </xf>
    <xf numFmtId="0" fontId="4" fillId="4" borderId="32" xfId="5" applyFont="1" applyFill="1" applyBorder="1" applyAlignment="1">
      <alignment horizontal="center"/>
    </xf>
    <xf numFmtId="0" fontId="4" fillId="4" borderId="31" xfId="5" applyFont="1" applyFill="1" applyBorder="1" applyAlignment="1">
      <alignment horizontal="center"/>
    </xf>
    <xf numFmtId="3" fontId="6" fillId="3" borderId="8" xfId="5" applyNumberFormat="1" applyFont="1" applyFill="1" applyBorder="1" applyAlignment="1" applyProtection="1">
      <alignment horizontal="center"/>
    </xf>
    <xf numFmtId="3" fontId="6" fillId="3" borderId="10" xfId="5" applyNumberFormat="1" applyFont="1" applyFill="1" applyBorder="1" applyAlignment="1" applyProtection="1">
      <alignment horizontal="center"/>
    </xf>
    <xf numFmtId="3" fontId="6" fillId="3" borderId="9" xfId="5" applyNumberFormat="1" applyFont="1" applyFill="1" applyBorder="1" applyAlignment="1" applyProtection="1">
      <alignment horizontal="center"/>
    </xf>
    <xf numFmtId="0" fontId="15" fillId="0" borderId="0" xfId="5" applyFont="1" applyBorder="1" applyAlignment="1">
      <alignment horizontal="center"/>
    </xf>
    <xf numFmtId="0" fontId="4" fillId="4" borderId="13" xfId="5" applyFont="1" applyFill="1" applyBorder="1" applyAlignment="1">
      <alignment horizontal="center"/>
    </xf>
    <xf numFmtId="3" fontId="6" fillId="3" borderId="30" xfId="5" applyNumberFormat="1" applyFont="1" applyFill="1" applyBorder="1" applyAlignment="1" applyProtection="1">
      <alignment horizontal="center"/>
    </xf>
    <xf numFmtId="3" fontId="18" fillId="3" borderId="36" xfId="5" applyNumberFormat="1" applyFont="1" applyFill="1" applyBorder="1" applyAlignment="1" applyProtection="1">
      <alignment horizontal="center"/>
    </xf>
    <xf numFmtId="3" fontId="18" fillId="3" borderId="35" xfId="5" applyNumberFormat="1" applyFont="1" applyFill="1" applyBorder="1" applyAlignment="1" applyProtection="1">
      <alignment horizontal="center"/>
    </xf>
    <xf numFmtId="3" fontId="6" fillId="3" borderId="36" xfId="5" applyNumberFormat="1" applyFont="1" applyFill="1" applyBorder="1" applyAlignment="1" applyProtection="1">
      <alignment horizontal="center"/>
    </xf>
    <xf numFmtId="3" fontId="6" fillId="3" borderId="35" xfId="5" applyNumberFormat="1" applyFont="1" applyFill="1" applyBorder="1" applyAlignment="1" applyProtection="1">
      <alignment horizontal="center"/>
    </xf>
    <xf numFmtId="3" fontId="18" fillId="3" borderId="30" xfId="5" applyNumberFormat="1" applyFont="1" applyFill="1" applyBorder="1" applyAlignment="1" applyProtection="1">
      <alignment horizontal="center"/>
    </xf>
    <xf numFmtId="3" fontId="18" fillId="3" borderId="28" xfId="5" applyNumberFormat="1" applyFont="1" applyFill="1" applyBorder="1" applyAlignment="1" applyProtection="1">
      <alignment horizontal="center"/>
    </xf>
    <xf numFmtId="0" fontId="4" fillId="0" borderId="32" xfId="5" applyFont="1" applyBorder="1" applyAlignment="1">
      <alignment horizontal="center"/>
    </xf>
    <xf numFmtId="0" fontId="19" fillId="3" borderId="0" xfId="5" applyFont="1" applyFill="1" applyBorder="1" applyAlignment="1">
      <alignment horizontal="center"/>
    </xf>
    <xf numFmtId="0" fontId="15" fillId="0" borderId="0" xfId="5" applyFont="1" applyAlignment="1">
      <alignment horizontal="center"/>
    </xf>
    <xf numFmtId="0" fontId="22" fillId="0" borderId="0" xfId="5" applyFont="1" applyAlignment="1">
      <alignment horizontal="center"/>
    </xf>
    <xf numFmtId="0" fontId="4" fillId="0" borderId="13" xfId="5" applyFont="1" applyBorder="1" applyAlignment="1">
      <alignment horizontal="center"/>
    </xf>
    <xf numFmtId="0" fontId="23" fillId="5" borderId="38" xfId="3" applyNumberFormat="1" applyFont="1" applyFill="1" applyBorder="1" applyAlignment="1">
      <alignment vertical="center"/>
    </xf>
    <xf numFmtId="0" fontId="23" fillId="5" borderId="40" xfId="3" applyNumberFormat="1" applyFont="1" applyFill="1" applyBorder="1" applyAlignment="1">
      <alignment vertical="center"/>
    </xf>
    <xf numFmtId="0" fontId="23" fillId="5" borderId="42" xfId="3" applyNumberFormat="1" applyFont="1" applyFill="1" applyBorder="1" applyAlignment="1">
      <alignment horizontal="left" vertical="center"/>
    </xf>
    <xf numFmtId="41" fontId="3" fillId="6" borderId="19" xfId="3" applyNumberFormat="1" applyFill="1" applyBorder="1"/>
    <xf numFmtId="0" fontId="6" fillId="6" borderId="19" xfId="3" applyFont="1" applyFill="1" applyBorder="1"/>
    <xf numFmtId="10" fontId="6" fillId="6" borderId="39" xfId="3" applyNumberFormat="1" applyFont="1" applyFill="1" applyBorder="1"/>
    <xf numFmtId="41" fontId="3" fillId="6" borderId="0" xfId="3" applyNumberFormat="1" applyFill="1" applyBorder="1"/>
    <xf numFmtId="0" fontId="6" fillId="6" borderId="0" xfId="3" applyFont="1" applyFill="1" applyBorder="1"/>
    <xf numFmtId="10" fontId="6" fillId="6" borderId="41" xfId="3" applyNumberFormat="1" applyFont="1" applyFill="1" applyBorder="1"/>
    <xf numFmtId="41" fontId="3" fillId="6" borderId="13" xfId="3" applyNumberFormat="1" applyFill="1" applyBorder="1"/>
    <xf numFmtId="0" fontId="6" fillId="6" borderId="13" xfId="3" applyFont="1" applyFill="1" applyBorder="1"/>
    <xf numFmtId="10" fontId="6" fillId="6" borderId="43" xfId="3" applyNumberFormat="1" applyFont="1" applyFill="1" applyBorder="1"/>
    <xf numFmtId="41" fontId="3" fillId="6" borderId="39" xfId="3" applyNumberFormat="1" applyFill="1" applyBorder="1"/>
    <xf numFmtId="41" fontId="3" fillId="6" borderId="41" xfId="3" applyNumberFormat="1" applyFill="1" applyBorder="1"/>
    <xf numFmtId="41" fontId="3" fillId="6" borderId="43" xfId="3" applyNumberFormat="1" applyFill="1" applyBorder="1"/>
    <xf numFmtId="10" fontId="6" fillId="0" borderId="0" xfId="3" applyNumberFormat="1" applyFont="1" applyFill="1" applyBorder="1"/>
    <xf numFmtId="0" fontId="6" fillId="6" borderId="19" xfId="5" applyFont="1" applyFill="1" applyBorder="1"/>
    <xf numFmtId="0" fontId="6" fillId="6" borderId="39" xfId="5" applyFont="1" applyFill="1" applyBorder="1"/>
    <xf numFmtId="0" fontId="6" fillId="6" borderId="0" xfId="5" applyFont="1" applyFill="1" applyBorder="1"/>
    <xf numFmtId="0" fontId="6" fillId="6" borderId="41" xfId="5" applyFont="1" applyFill="1" applyBorder="1"/>
    <xf numFmtId="0" fontId="6" fillId="6" borderId="13" xfId="5" applyFont="1" applyFill="1" applyBorder="1"/>
    <xf numFmtId="0" fontId="6" fillId="6" borderId="43" xfId="5" applyFont="1" applyFill="1" applyBorder="1"/>
    <xf numFmtId="0" fontId="23" fillId="0" borderId="0" xfId="3" applyNumberFormat="1" applyFont="1" applyFill="1" applyBorder="1" applyAlignment="1">
      <alignment horizontal="left" vertical="center"/>
    </xf>
  </cellXfs>
  <cellStyles count="8">
    <cellStyle name="Comma 2" xfId="7" xr:uid="{00000000-0005-0000-0000-000000000000}"/>
    <cellStyle name="Currency" xfId="1" builtinId="4"/>
    <cellStyle name="Normal" xfId="0" builtinId="0"/>
    <cellStyle name="Normal 2" xfId="3" xr:uid="{00000000-0005-0000-0000-000003000000}"/>
    <cellStyle name="Normal 3" xfId="5" xr:uid="{00000000-0005-0000-0000-000004000000}"/>
    <cellStyle name="Percent" xfId="2" builtinId="5"/>
    <cellStyle name="Percent 2" xfId="4" xr:uid="{00000000-0005-0000-0000-000006000000}"/>
    <cellStyle name="Percent 3" xfId="6" xr:uid="{00000000-0005-0000-0000-000007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O\ACCT\Finance\ANNUAL%20PLANNING\Budget%202018\Allocations\SKFs\Customer%20Count\Customer%20Count%20Data-12%20mos%20ending%20June%202017%207.17.17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8 allocation factors"/>
      <sheetName val="SharePoint_MN0712_0613"/>
      <sheetName val="TRANSPORTATION"/>
      <sheetName val="Kera's Counts"/>
      <sheetName val="SharePoint_Arkla0711_0612"/>
      <sheetName val="SharePoint_Entex0711_0612"/>
      <sheetName val="BMT-ETX 2016-2017"/>
      <sheetName val="FREE_FRANCHISE"/>
      <sheetName val="Sheet1"/>
    </sheetNames>
    <sheetDataSet>
      <sheetData sheetId="0"/>
      <sheetData sheetId="1"/>
      <sheetData sheetId="2"/>
      <sheetData sheetId="3">
        <row r="13">
          <cell r="O13">
            <v>407685.08333333331</v>
          </cell>
        </row>
        <row r="23">
          <cell r="O23">
            <v>14503.166666666668</v>
          </cell>
        </row>
        <row r="39">
          <cell r="O39">
            <v>130179.41666666667</v>
          </cell>
        </row>
        <row r="52">
          <cell r="O52">
            <v>115524.66666666667</v>
          </cell>
        </row>
        <row r="68">
          <cell r="O68">
            <v>98509.5</v>
          </cell>
        </row>
        <row r="81">
          <cell r="O81">
            <v>124403.58333333333</v>
          </cell>
        </row>
        <row r="94">
          <cell r="O94">
            <v>1047951.5000000001</v>
          </cell>
        </row>
        <row r="107">
          <cell r="O107">
            <v>306576.91666666669</v>
          </cell>
        </row>
        <row r="133">
          <cell r="O133">
            <v>142392.91666666669</v>
          </cell>
        </row>
        <row r="146">
          <cell r="O146">
            <v>846431.66666666674</v>
          </cell>
        </row>
      </sheetData>
      <sheetData sheetId="4"/>
      <sheetData sheetId="5"/>
      <sheetData sheetId="6">
        <row r="15">
          <cell r="O15">
            <v>85120</v>
          </cell>
        </row>
        <row r="28">
          <cell r="O28">
            <v>105295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70"/>
  <sheetViews>
    <sheetView workbookViewId="0">
      <selection activeCell="E5" sqref="E5"/>
    </sheetView>
  </sheetViews>
  <sheetFormatPr defaultColWidth="9.109375" defaultRowHeight="13.8" x14ac:dyDescent="0.25"/>
  <cols>
    <col min="1" max="1" width="18.44140625" style="5" customWidth="1"/>
    <col min="2" max="2" width="11.5546875" style="33" bestFit="1" customWidth="1"/>
    <col min="3" max="3" width="0.88671875" style="34" customWidth="1"/>
    <col min="4" max="4" width="8" style="35" customWidth="1"/>
    <col min="5" max="5" width="13.5546875" style="6" bestFit="1" customWidth="1"/>
    <col min="6" max="6" width="4.88671875" style="6" customWidth="1"/>
    <col min="7" max="7" width="17.109375" style="6" customWidth="1"/>
    <col min="8" max="8" width="14.5546875" style="6" customWidth="1"/>
    <col min="9" max="9" width="12" style="6" customWidth="1"/>
    <col min="10" max="10" width="9.109375" style="5"/>
    <col min="11" max="11" width="12.88671875" style="5" bestFit="1" customWidth="1"/>
    <col min="12" max="12" width="15.6640625" style="5" bestFit="1" customWidth="1"/>
    <col min="13" max="13" width="16.5546875" style="5" bestFit="1" customWidth="1"/>
    <col min="14" max="14" width="9.88671875" style="5" bestFit="1" customWidth="1"/>
    <col min="15" max="15" width="7.88671875" style="5" bestFit="1" customWidth="1"/>
    <col min="16" max="16384" width="9.109375" style="5"/>
  </cols>
  <sheetData>
    <row r="2" spans="1:9" x14ac:dyDescent="0.25">
      <c r="A2" s="205" t="s">
        <v>106</v>
      </c>
      <c r="B2" s="208"/>
      <c r="C2" s="209"/>
      <c r="D2" s="210"/>
    </row>
    <row r="3" spans="1:9" x14ac:dyDescent="0.25">
      <c r="A3" s="206" t="s">
        <v>107</v>
      </c>
      <c r="B3" s="211"/>
      <c r="C3" s="212"/>
      <c r="D3" s="213"/>
    </row>
    <row r="4" spans="1:9" x14ac:dyDescent="0.25">
      <c r="A4" s="206" t="s">
        <v>111</v>
      </c>
      <c r="B4" s="211"/>
      <c r="C4" s="212"/>
      <c r="D4" s="213"/>
    </row>
    <row r="5" spans="1:9" x14ac:dyDescent="0.25">
      <c r="A5" s="206" t="s">
        <v>108</v>
      </c>
      <c r="B5" s="211"/>
      <c r="C5" s="212"/>
      <c r="D5" s="213"/>
    </row>
    <row r="6" spans="1:9" x14ac:dyDescent="0.25">
      <c r="A6" s="206" t="s">
        <v>109</v>
      </c>
      <c r="B6" s="211"/>
      <c r="C6" s="212"/>
      <c r="D6" s="213"/>
    </row>
    <row r="7" spans="1:9" x14ac:dyDescent="0.25">
      <c r="A7" s="207" t="s">
        <v>110</v>
      </c>
      <c r="B7" s="214"/>
      <c r="C7" s="215"/>
      <c r="D7" s="216"/>
    </row>
    <row r="8" spans="1:9" x14ac:dyDescent="0.25">
      <c r="A8" s="227"/>
      <c r="B8" s="8"/>
      <c r="C8" s="9"/>
      <c r="D8" s="220"/>
    </row>
    <row r="9" spans="1:9" ht="14.4" thickBot="1" x14ac:dyDescent="0.3"/>
    <row r="10" spans="1:9" x14ac:dyDescent="0.25">
      <c r="A10" s="173" t="s">
        <v>0</v>
      </c>
      <c r="B10" s="174"/>
      <c r="C10" s="174"/>
      <c r="D10" s="174"/>
      <c r="E10" s="175"/>
      <c r="F10" s="1"/>
      <c r="G10" s="2"/>
      <c r="H10" s="3"/>
      <c r="I10" s="4"/>
    </row>
    <row r="11" spans="1:9" x14ac:dyDescent="0.25">
      <c r="A11" s="176" t="s">
        <v>1</v>
      </c>
      <c r="B11" s="177"/>
      <c r="C11" s="177"/>
      <c r="D11" s="177"/>
      <c r="E11" s="178"/>
      <c r="F11" s="5"/>
      <c r="G11" s="179" t="s">
        <v>2</v>
      </c>
      <c r="H11" s="180"/>
      <c r="I11" s="181"/>
    </row>
    <row r="12" spans="1:9" ht="24.75" customHeight="1" x14ac:dyDescent="0.25">
      <c r="A12" s="170" t="s">
        <v>3</v>
      </c>
      <c r="B12" s="171"/>
      <c r="C12" s="171"/>
      <c r="D12" s="171"/>
      <c r="E12" s="172"/>
      <c r="G12" s="170" t="s">
        <v>3</v>
      </c>
      <c r="H12" s="171"/>
      <c r="I12" s="172"/>
    </row>
    <row r="13" spans="1:9" x14ac:dyDescent="0.25">
      <c r="A13" s="7" t="s">
        <v>4</v>
      </c>
      <c r="B13" s="8">
        <f>'[1]BMT-ETX 2016-2017'!O15</f>
        <v>85120</v>
      </c>
      <c r="C13" s="9"/>
      <c r="D13" s="10">
        <f>ROUNDDOWN(B13/$B$24,4)</f>
        <v>3.3000000000000002E-2</v>
      </c>
      <c r="E13" s="11">
        <f>ABS(D13)</f>
        <v>3.3000000000000002E-2</v>
      </c>
      <c r="G13" s="12" t="str">
        <f t="shared" ref="G13:H19" si="0">A13</f>
        <v>Beaumont</v>
      </c>
      <c r="H13" s="13">
        <f t="shared" si="0"/>
        <v>85120</v>
      </c>
      <c r="I13" s="11">
        <f>ROUND(H13/$H$20,4)</f>
        <v>4.4200000000000003E-2</v>
      </c>
    </row>
    <row r="14" spans="1:9" x14ac:dyDescent="0.25">
      <c r="A14" s="7" t="s">
        <v>5</v>
      </c>
      <c r="B14" s="8">
        <f>'[1]BMT-ETX 2016-2017'!O28</f>
        <v>105295</v>
      </c>
      <c r="C14" s="9"/>
      <c r="D14" s="10">
        <f>ROUND(B14/$B$24,4)</f>
        <v>4.0800000000000003E-2</v>
      </c>
      <c r="E14" s="11">
        <f t="shared" ref="E14:E23" si="1">ABS(D14)</f>
        <v>4.0800000000000003E-2</v>
      </c>
      <c r="G14" s="12" t="str">
        <f t="shared" si="0"/>
        <v>East Texas</v>
      </c>
      <c r="H14" s="13">
        <f t="shared" si="0"/>
        <v>105295</v>
      </c>
      <c r="I14" s="11">
        <f>ROUND(H14/$H$20,4)</f>
        <v>5.4600000000000003E-2</v>
      </c>
    </row>
    <row r="15" spans="1:9" x14ac:dyDescent="0.25">
      <c r="A15" s="7" t="s">
        <v>6</v>
      </c>
      <c r="B15" s="8">
        <f>'[1]Kera''s Counts'!O133</f>
        <v>142392.91666666669</v>
      </c>
      <c r="C15" s="9"/>
      <c r="D15" s="10">
        <f t="shared" ref="D15:D21" si="2">ROUND(B15/$B$24,4)</f>
        <v>5.5199999999999999E-2</v>
      </c>
      <c r="E15" s="11">
        <f t="shared" si="1"/>
        <v>5.5199999999999999E-2</v>
      </c>
      <c r="G15" s="12" t="str">
        <f t="shared" si="0"/>
        <v>South Texas</v>
      </c>
      <c r="H15" s="13">
        <f t="shared" si="0"/>
        <v>142392.91666666669</v>
      </c>
      <c r="I15" s="11">
        <f>ROUND(H15/$H$20,4)</f>
        <v>7.3899999999999993E-2</v>
      </c>
    </row>
    <row r="16" spans="1:9" x14ac:dyDescent="0.25">
      <c r="A16" s="7" t="s">
        <v>7</v>
      </c>
      <c r="B16" s="8">
        <f>'[1]Kera''s Counts'!O94</f>
        <v>1047951.5000000001</v>
      </c>
      <c r="C16" s="9"/>
      <c r="D16" s="10">
        <f>ROUND(B16/$B$24,4)</f>
        <v>0.40649999999999997</v>
      </c>
      <c r="E16" s="11">
        <f t="shared" si="1"/>
        <v>0.40649999999999997</v>
      </c>
      <c r="G16" s="12" t="str">
        <f t="shared" si="0"/>
        <v>Houston</v>
      </c>
      <c r="H16" s="13">
        <f t="shared" si="0"/>
        <v>1047951.5000000001</v>
      </c>
      <c r="I16" s="11">
        <f>ROUNDUP(H16/$H$20,4)</f>
        <v>0.54379999999999995</v>
      </c>
    </row>
    <row r="17" spans="1:13" x14ac:dyDescent="0.25">
      <c r="A17" s="7" t="s">
        <v>8</v>
      </c>
      <c r="B17" s="8">
        <f>'[1]Kera''s Counts'!O107</f>
        <v>306576.91666666669</v>
      </c>
      <c r="C17" s="14"/>
      <c r="D17" s="10">
        <f t="shared" si="2"/>
        <v>0.11890000000000001</v>
      </c>
      <c r="E17" s="11">
        <f t="shared" si="1"/>
        <v>0.11890000000000001</v>
      </c>
      <c r="G17" s="12" t="str">
        <f t="shared" si="0"/>
        <v>Texas Coast</v>
      </c>
      <c r="H17" s="13">
        <f t="shared" si="0"/>
        <v>306576.91666666669</v>
      </c>
      <c r="I17" s="11">
        <f>ROUND(H17/$H$20,4)</f>
        <v>0.15909999999999999</v>
      </c>
    </row>
    <row r="18" spans="1:13" x14ac:dyDescent="0.25">
      <c r="A18" s="15" t="s">
        <v>9</v>
      </c>
      <c r="B18" s="8">
        <f>'[1]Kera''s Counts'!O52</f>
        <v>115524.66666666667</v>
      </c>
      <c r="C18" s="14"/>
      <c r="D18" s="10">
        <f t="shared" si="2"/>
        <v>4.48E-2</v>
      </c>
      <c r="E18" s="11">
        <f t="shared" si="1"/>
        <v>4.48E-2</v>
      </c>
      <c r="G18" s="12" t="str">
        <f t="shared" si="0"/>
        <v>Louisiana Entex</v>
      </c>
      <c r="H18" s="13">
        <f t="shared" si="0"/>
        <v>115524.66666666667</v>
      </c>
      <c r="I18" s="11">
        <f>ROUND(H18/$H$20,4)</f>
        <v>5.9900000000000002E-2</v>
      </c>
    </row>
    <row r="19" spans="1:13" x14ac:dyDescent="0.25">
      <c r="A19" s="7" t="s">
        <v>10</v>
      </c>
      <c r="B19" s="8">
        <f>'[1]Kera''s Counts'!O81</f>
        <v>124403.58333333333</v>
      </c>
      <c r="C19" s="14"/>
      <c r="D19" s="10">
        <f t="shared" si="2"/>
        <v>4.8300000000000003E-2</v>
      </c>
      <c r="E19" s="11">
        <f t="shared" si="1"/>
        <v>4.8300000000000003E-2</v>
      </c>
      <c r="G19" s="12" t="str">
        <f t="shared" si="0"/>
        <v>Mississippi</v>
      </c>
      <c r="H19" s="13">
        <f t="shared" si="0"/>
        <v>124403.58333333333</v>
      </c>
      <c r="I19" s="11">
        <f>ROUND(H19/$H$20,4)</f>
        <v>6.4500000000000002E-2</v>
      </c>
    </row>
    <row r="20" spans="1:13" ht="14.4" thickBot="1" x14ac:dyDescent="0.3">
      <c r="A20" s="7" t="s">
        <v>11</v>
      </c>
      <c r="B20" s="8">
        <f>'[1]Kera''s Counts'!O13</f>
        <v>407685.08333333331</v>
      </c>
      <c r="C20" s="14"/>
      <c r="D20" s="10">
        <f t="shared" si="2"/>
        <v>0.15809999999999999</v>
      </c>
      <c r="E20" s="11">
        <f t="shared" si="1"/>
        <v>0.15809999999999999</v>
      </c>
      <c r="G20" s="16"/>
      <c r="H20" s="17">
        <f>SUM(H13:H19)</f>
        <v>1927264.5833333335</v>
      </c>
      <c r="I20" s="18">
        <f>SUM(I13:I19)</f>
        <v>0.99999999999999989</v>
      </c>
    </row>
    <row r="21" spans="1:13" ht="14.4" thickTop="1" x14ac:dyDescent="0.25">
      <c r="A21" s="7" t="s">
        <v>12</v>
      </c>
      <c r="B21" s="8">
        <f>'[1]Kera''s Counts'!O23</f>
        <v>14503.166666666668</v>
      </c>
      <c r="C21" s="14"/>
      <c r="D21" s="10">
        <f t="shared" si="2"/>
        <v>5.5999999999999999E-3</v>
      </c>
      <c r="E21" s="11">
        <f t="shared" si="1"/>
        <v>5.5999999999999999E-3</v>
      </c>
      <c r="G21" s="16"/>
      <c r="H21" s="13"/>
      <c r="I21" s="11"/>
    </row>
    <row r="22" spans="1:13" x14ac:dyDescent="0.25">
      <c r="A22" s="15" t="s">
        <v>13</v>
      </c>
      <c r="B22" s="8">
        <f>'[1]Kera''s Counts'!O39</f>
        <v>130179.41666666667</v>
      </c>
      <c r="C22" s="14"/>
      <c r="D22" s="10">
        <f>ROUNDUP(B22/$B$24,4)</f>
        <v>5.0500000000000003E-2</v>
      </c>
      <c r="E22" s="11">
        <f t="shared" si="1"/>
        <v>5.0500000000000003E-2</v>
      </c>
      <c r="G22" s="16"/>
      <c r="H22" s="19" t="s">
        <v>14</v>
      </c>
      <c r="I22" s="11"/>
    </row>
    <row r="23" spans="1:13" x14ac:dyDescent="0.25">
      <c r="A23" s="7" t="s">
        <v>15</v>
      </c>
      <c r="B23" s="8">
        <f>'[1]Kera''s Counts'!O68</f>
        <v>98509.5</v>
      </c>
      <c r="C23" s="14"/>
      <c r="D23" s="10">
        <f>ROUNDUP(B23/$B$24,4)</f>
        <v>3.8300000000000001E-2</v>
      </c>
      <c r="E23" s="11">
        <f t="shared" si="1"/>
        <v>3.8300000000000001E-2</v>
      </c>
      <c r="G23" s="16"/>
      <c r="H23" s="20" t="s">
        <v>16</v>
      </c>
      <c r="I23" s="11">
        <f>SUM(I13:I15,I18:I19)</f>
        <v>0.29710000000000003</v>
      </c>
      <c r="K23" s="21"/>
    </row>
    <row r="24" spans="1:13" ht="14.4" thickBot="1" x14ac:dyDescent="0.3">
      <c r="A24" s="7"/>
      <c r="B24" s="17">
        <f>SUM(B13:B23)</f>
        <v>2578141.75</v>
      </c>
      <c r="C24" s="14"/>
      <c r="D24" s="22">
        <f>SUM(D13:D23)</f>
        <v>1</v>
      </c>
      <c r="E24" s="18">
        <f>SUM(E13:E23)</f>
        <v>1</v>
      </c>
      <c r="F24" s="23"/>
      <c r="G24" s="16"/>
      <c r="H24" s="20" t="s">
        <v>17</v>
      </c>
      <c r="I24" s="11">
        <f>SUM(I16:I17)</f>
        <v>0.70289999999999997</v>
      </c>
      <c r="K24" s="24"/>
    </row>
    <row r="25" spans="1:13" ht="15" thickTop="1" thickBot="1" x14ac:dyDescent="0.3">
      <c r="A25" s="25"/>
      <c r="B25" s="26"/>
      <c r="C25" s="27"/>
      <c r="D25" s="28"/>
      <c r="E25" s="29"/>
      <c r="G25" s="30"/>
      <c r="H25" s="26"/>
      <c r="I25" s="31">
        <f>SUM(I23:I24)</f>
        <v>1</v>
      </c>
      <c r="K25" s="32"/>
    </row>
    <row r="26" spans="1:13" x14ac:dyDescent="0.25">
      <c r="K26" s="21"/>
    </row>
    <row r="27" spans="1:13" x14ac:dyDescent="0.25">
      <c r="K27" s="21"/>
    </row>
    <row r="28" spans="1:13" ht="14.4" thickBot="1" x14ac:dyDescent="0.3">
      <c r="K28" s="24"/>
      <c r="L28" s="21"/>
    </row>
    <row r="29" spans="1:13" x14ac:dyDescent="0.25">
      <c r="A29" s="167" t="s">
        <v>18</v>
      </c>
      <c r="B29" s="168"/>
      <c r="C29" s="168"/>
      <c r="D29" s="168"/>
      <c r="E29" s="169"/>
      <c r="G29" s="167" t="s">
        <v>19</v>
      </c>
      <c r="H29" s="168"/>
      <c r="I29" s="169"/>
      <c r="K29" s="36"/>
      <c r="L29" s="37"/>
    </row>
    <row r="30" spans="1:13" ht="27.75" customHeight="1" x14ac:dyDescent="0.25">
      <c r="A30" s="170" t="s">
        <v>3</v>
      </c>
      <c r="B30" s="171"/>
      <c r="C30" s="171"/>
      <c r="D30" s="171"/>
      <c r="E30" s="172"/>
      <c r="F30" s="5"/>
      <c r="G30" s="170" t="s">
        <v>3</v>
      </c>
      <c r="H30" s="171"/>
      <c r="I30" s="172"/>
      <c r="J30" s="38"/>
      <c r="K30" s="36"/>
      <c r="L30" s="37"/>
      <c r="M30" s="21"/>
    </row>
    <row r="31" spans="1:13" x14ac:dyDescent="0.25">
      <c r="A31" s="7" t="str">
        <f t="shared" ref="A31:B35" si="3">A13</f>
        <v>Beaumont</v>
      </c>
      <c r="B31" s="39">
        <f t="shared" si="3"/>
        <v>85120</v>
      </c>
      <c r="C31" s="14"/>
      <c r="D31" s="10">
        <f>ROUNDDOWN(B31/$B$36,4)</f>
        <v>5.04E-2</v>
      </c>
      <c r="E31" s="11">
        <f>ABS(D31)</f>
        <v>5.04E-2</v>
      </c>
      <c r="G31" s="7" t="str">
        <f>A16</f>
        <v>Houston</v>
      </c>
      <c r="H31" s="13">
        <f>B16</f>
        <v>1047951.5000000001</v>
      </c>
      <c r="I31" s="11">
        <f>ROUND(H31/$H$33,6)</f>
        <v>0.77366500000000005</v>
      </c>
      <c r="K31" s="21"/>
      <c r="L31" s="37"/>
      <c r="M31" s="21"/>
    </row>
    <row r="32" spans="1:13" x14ac:dyDescent="0.25">
      <c r="A32" s="7" t="str">
        <f t="shared" si="3"/>
        <v>East Texas</v>
      </c>
      <c r="B32" s="39">
        <f t="shared" si="3"/>
        <v>105295</v>
      </c>
      <c r="C32" s="14"/>
      <c r="D32" s="10">
        <f>ROUND(B32/$B$36,4)</f>
        <v>6.2399999999999997E-2</v>
      </c>
      <c r="E32" s="11">
        <f>ABS(D32)</f>
        <v>6.2399999999999997E-2</v>
      </c>
      <c r="G32" s="7" t="str">
        <f>A17</f>
        <v>Texas Coast</v>
      </c>
      <c r="H32" s="13">
        <f>B17</f>
        <v>306576.91666666669</v>
      </c>
      <c r="I32" s="11">
        <f>ROUND(H32/$H$33,6)</f>
        <v>0.22633500000000001</v>
      </c>
      <c r="K32" s="21"/>
      <c r="L32" s="40"/>
      <c r="M32" s="21"/>
    </row>
    <row r="33" spans="1:14" ht="14.4" thickBot="1" x14ac:dyDescent="0.3">
      <c r="A33" s="7" t="str">
        <f t="shared" si="3"/>
        <v>South Texas</v>
      </c>
      <c r="B33" s="39">
        <f t="shared" si="3"/>
        <v>142392.91666666669</v>
      </c>
      <c r="C33" s="14"/>
      <c r="D33" s="10">
        <f>ROUND(B33/$B$36,4)</f>
        <v>8.4400000000000003E-2</v>
      </c>
      <c r="E33" s="11">
        <f>ABS(D33)</f>
        <v>8.4400000000000003E-2</v>
      </c>
      <c r="G33" s="25"/>
      <c r="H33" s="41">
        <f>SUM(H31:H32)</f>
        <v>1354528.4166666667</v>
      </c>
      <c r="I33" s="31">
        <f>SUM(I31:I32)</f>
        <v>1</v>
      </c>
      <c r="L33" s="42"/>
    </row>
    <row r="34" spans="1:14" ht="14.4" thickBot="1" x14ac:dyDescent="0.3">
      <c r="A34" s="7" t="str">
        <f t="shared" si="3"/>
        <v>Houston</v>
      </c>
      <c r="B34" s="39">
        <f t="shared" si="3"/>
        <v>1047951.5000000001</v>
      </c>
      <c r="C34" s="14"/>
      <c r="D34" s="10">
        <f>ROUNDUP(B34/$B$36,4)</f>
        <v>0.62109999999999999</v>
      </c>
      <c r="E34" s="11">
        <f>ABS(D34)</f>
        <v>0.62109999999999999</v>
      </c>
      <c r="L34" s="42"/>
    </row>
    <row r="35" spans="1:14" x14ac:dyDescent="0.25">
      <c r="A35" s="7" t="str">
        <f t="shared" si="3"/>
        <v>Texas Coast</v>
      </c>
      <c r="B35" s="39">
        <f t="shared" si="3"/>
        <v>306576.91666666669</v>
      </c>
      <c r="C35" s="14"/>
      <c r="D35" s="10">
        <f>ROUND(B35/$B$36,4)</f>
        <v>0.1817</v>
      </c>
      <c r="E35" s="11">
        <f>ABS(D35)</f>
        <v>0.1817</v>
      </c>
      <c r="G35" s="167" t="s">
        <v>20</v>
      </c>
      <c r="H35" s="168"/>
      <c r="I35" s="169"/>
      <c r="L35" s="42"/>
    </row>
    <row r="36" spans="1:14" ht="14.4" thickBot="1" x14ac:dyDescent="0.3">
      <c r="A36" s="43"/>
      <c r="B36" s="17">
        <f>SUM(B31:B35)</f>
        <v>1687336.3333333335</v>
      </c>
      <c r="C36" s="14"/>
      <c r="D36" s="22">
        <f>SUM(D31:D35)</f>
        <v>1</v>
      </c>
      <c r="E36" s="18">
        <f>SUM(E31:E35)</f>
        <v>1</v>
      </c>
      <c r="F36" s="23"/>
      <c r="G36" s="12" t="s">
        <v>4</v>
      </c>
      <c r="H36" s="13">
        <f>B13</f>
        <v>85120</v>
      </c>
      <c r="I36" s="11">
        <f>ABS(ROUNDDOWN(H36/$H$41,4))</f>
        <v>0.14860000000000001</v>
      </c>
      <c r="L36" s="42"/>
    </row>
    <row r="37" spans="1:14" ht="15" thickTop="1" thickBot="1" x14ac:dyDescent="0.3">
      <c r="A37" s="25"/>
      <c r="B37" s="26"/>
      <c r="C37" s="27"/>
      <c r="D37" s="28"/>
      <c r="E37" s="29"/>
      <c r="G37" s="12" t="s">
        <v>5</v>
      </c>
      <c r="H37" s="13">
        <f>B14</f>
        <v>105295</v>
      </c>
      <c r="I37" s="11">
        <f>ABS(ROUND(H37/$H$41,4))</f>
        <v>0.18379999999999999</v>
      </c>
    </row>
    <row r="38" spans="1:14" x14ac:dyDescent="0.25">
      <c r="G38" s="12" t="s">
        <v>6</v>
      </c>
      <c r="H38" s="13">
        <f>B15</f>
        <v>142392.91666666669</v>
      </c>
      <c r="I38" s="11">
        <f>ABS(ROUNDUP(H38/$H$41,4))</f>
        <v>0.24869999999999998</v>
      </c>
    </row>
    <row r="39" spans="1:14" x14ac:dyDescent="0.25">
      <c r="G39" s="12" t="str">
        <f>+A18</f>
        <v>Louisiana Entex</v>
      </c>
      <c r="H39" s="13">
        <f>B18</f>
        <v>115524.66666666667</v>
      </c>
      <c r="I39" s="11">
        <f>ABS(ROUND(H39/$H$41,4))</f>
        <v>0.20169999999999999</v>
      </c>
    </row>
    <row r="40" spans="1:14" x14ac:dyDescent="0.25">
      <c r="G40" s="12" t="s">
        <v>10</v>
      </c>
      <c r="H40" s="13">
        <f>B19</f>
        <v>124403.58333333333</v>
      </c>
      <c r="I40" s="11">
        <f>ABS(ROUND(H40/$H$41,4))</f>
        <v>0.2172</v>
      </c>
    </row>
    <row r="41" spans="1:14" ht="14.4" thickBot="1" x14ac:dyDescent="0.3">
      <c r="G41" s="30"/>
      <c r="H41" s="41">
        <f>SUM(H36:H40)</f>
        <v>572736.16666666674</v>
      </c>
      <c r="I41" s="31">
        <f>SUM(I36:I40)</f>
        <v>1</v>
      </c>
    </row>
    <row r="42" spans="1:14" x14ac:dyDescent="0.25">
      <c r="A42" s="173" t="s">
        <v>21</v>
      </c>
      <c r="B42" s="174"/>
      <c r="C42" s="174"/>
      <c r="D42" s="174"/>
      <c r="E42" s="175"/>
    </row>
    <row r="43" spans="1:14" ht="25.5" customHeight="1" x14ac:dyDescent="0.25">
      <c r="A43" s="170" t="s">
        <v>3</v>
      </c>
      <c r="B43" s="171"/>
      <c r="C43" s="171"/>
      <c r="D43" s="171"/>
      <c r="E43" s="172"/>
    </row>
    <row r="44" spans="1:14" ht="9" customHeight="1" thickBot="1" x14ac:dyDescent="0.3">
      <c r="A44" s="170"/>
      <c r="B44" s="171"/>
      <c r="C44" s="171"/>
      <c r="D44" s="171"/>
      <c r="E44" s="172"/>
    </row>
    <row r="45" spans="1:14" ht="14.4" thickBot="1" x14ac:dyDescent="0.3">
      <c r="A45" s="7" t="s">
        <v>4</v>
      </c>
      <c r="B45" s="13">
        <f>+B13</f>
        <v>85120</v>
      </c>
      <c r="C45" s="9"/>
      <c r="D45" s="10">
        <f>ROUND(B45/$B$57,4)</f>
        <v>2.4899999999999999E-2</v>
      </c>
      <c r="E45" s="11">
        <f>ABS(D45)</f>
        <v>2.4899999999999999E-2</v>
      </c>
      <c r="G45" s="167" t="s">
        <v>22</v>
      </c>
      <c r="H45" s="168"/>
      <c r="I45" s="169"/>
    </row>
    <row r="46" spans="1:14" x14ac:dyDescent="0.25">
      <c r="A46" s="7" t="s">
        <v>5</v>
      </c>
      <c r="B46" s="13">
        <f t="shared" ref="B46:B55" si="4">+B14</f>
        <v>105295</v>
      </c>
      <c r="C46" s="9"/>
      <c r="D46" s="10">
        <f>ROUNDUP(B46/$B$57,4)</f>
        <v>3.0800000000000001E-2</v>
      </c>
      <c r="E46" s="11">
        <f t="shared" ref="E46:E56" si="5">ABS(D46)</f>
        <v>3.0800000000000001E-2</v>
      </c>
      <c r="G46" s="7" t="s">
        <v>11</v>
      </c>
      <c r="H46" s="13">
        <f>B20</f>
        <v>407685.08333333331</v>
      </c>
      <c r="I46" s="11">
        <f>ABS(ROUND(H46/$H$50,4))</f>
        <v>0.62639999999999996</v>
      </c>
      <c r="K46" s="21"/>
      <c r="L46" s="44" t="s">
        <v>11</v>
      </c>
      <c r="M46" s="45">
        <f>H46</f>
        <v>407685.08333333331</v>
      </c>
      <c r="N46" s="46">
        <f>M46/$M$49</f>
        <v>0.78295917993372033</v>
      </c>
    </row>
    <row r="47" spans="1:14" x14ac:dyDescent="0.25">
      <c r="A47" s="7" t="s">
        <v>6</v>
      </c>
      <c r="B47" s="13">
        <f t="shared" si="4"/>
        <v>142392.91666666669</v>
      </c>
      <c r="C47" s="9"/>
      <c r="D47" s="10">
        <f>ROUND(B47/$B$57,4)</f>
        <v>4.1599999999999998E-2</v>
      </c>
      <c r="E47" s="11">
        <f t="shared" si="5"/>
        <v>4.1599999999999998E-2</v>
      </c>
      <c r="G47" s="7" t="s">
        <v>12</v>
      </c>
      <c r="H47" s="13">
        <f>B21</f>
        <v>14503.166666666668</v>
      </c>
      <c r="I47" s="11">
        <f>ABS(ROUND(H47/$H$50,4))</f>
        <v>2.23E-2</v>
      </c>
      <c r="K47" s="21"/>
      <c r="L47" s="7" t="s">
        <v>12</v>
      </c>
      <c r="M47" s="13">
        <f>H47</f>
        <v>14503.166666666668</v>
      </c>
      <c r="N47" s="47">
        <f t="shared" ref="N47:N48" si="6">M47/$M$49</f>
        <v>2.785333077906841E-2</v>
      </c>
    </row>
    <row r="48" spans="1:14" x14ac:dyDescent="0.25">
      <c r="A48" s="7" t="s">
        <v>7</v>
      </c>
      <c r="B48" s="13">
        <f t="shared" si="4"/>
        <v>1047951.5000000001</v>
      </c>
      <c r="C48" s="9"/>
      <c r="D48" s="10">
        <f>ROUND(B48/$B$57,4)</f>
        <v>0.30599999999999999</v>
      </c>
      <c r="E48" s="11">
        <f t="shared" si="5"/>
        <v>0.30599999999999999</v>
      </c>
      <c r="G48" s="7" t="str">
        <f>+A22</f>
        <v>Louisiana Arkla</v>
      </c>
      <c r="H48" s="13">
        <f>B22</f>
        <v>130179.41666666667</v>
      </c>
      <c r="I48" s="11">
        <f>ABS(ROUND(H48/$H$50,4))</f>
        <v>0.2</v>
      </c>
      <c r="K48" s="21"/>
      <c r="L48" s="7" t="s">
        <v>15</v>
      </c>
      <c r="M48" s="48">
        <f>H49</f>
        <v>98509.5</v>
      </c>
      <c r="N48" s="49">
        <f t="shared" si="6"/>
        <v>0.18918748928721124</v>
      </c>
    </row>
    <row r="49" spans="1:14" ht="14.4" thickBot="1" x14ac:dyDescent="0.3">
      <c r="A49" s="7" t="s">
        <v>8</v>
      </c>
      <c r="B49" s="13">
        <f t="shared" si="4"/>
        <v>306576.91666666669</v>
      </c>
      <c r="C49" s="14"/>
      <c r="D49" s="10">
        <f t="shared" ref="D49:D55" si="7">ROUND(B49/$B$57,4)</f>
        <v>8.9499999999999996E-2</v>
      </c>
      <c r="E49" s="11">
        <f t="shared" si="5"/>
        <v>8.9499999999999996E-2</v>
      </c>
      <c r="G49" s="7" t="s">
        <v>15</v>
      </c>
      <c r="H49" s="13">
        <f>B23</f>
        <v>98509.5</v>
      </c>
      <c r="I49" s="11">
        <f>ABS(ROUND(H49/$H$50,4))</f>
        <v>0.15129999999999999</v>
      </c>
      <c r="L49" s="25"/>
      <c r="M49" s="26">
        <f>SUM(M46:M48)</f>
        <v>520697.75</v>
      </c>
      <c r="N49" s="50"/>
    </row>
    <row r="50" spans="1:14" ht="14.4" thickBot="1" x14ac:dyDescent="0.3">
      <c r="A50" s="7" t="str">
        <f>+A18</f>
        <v>Louisiana Entex</v>
      </c>
      <c r="B50" s="13">
        <f t="shared" si="4"/>
        <v>115524.66666666667</v>
      </c>
      <c r="C50" s="14"/>
      <c r="D50" s="10">
        <f t="shared" si="7"/>
        <v>3.3700000000000001E-2</v>
      </c>
      <c r="E50" s="11">
        <f t="shared" si="5"/>
        <v>3.3700000000000001E-2</v>
      </c>
      <c r="G50" s="30"/>
      <c r="H50" s="41">
        <f>SUM(H46:H49)</f>
        <v>650877.16666666663</v>
      </c>
      <c r="I50" s="31">
        <f>SUM(I46:I49)</f>
        <v>1</v>
      </c>
      <c r="L50" s="42"/>
    </row>
    <row r="51" spans="1:14" x14ac:dyDescent="0.25">
      <c r="A51" s="7" t="s">
        <v>10</v>
      </c>
      <c r="B51" s="13">
        <f t="shared" si="4"/>
        <v>124403.58333333333</v>
      </c>
      <c r="C51" s="14"/>
      <c r="D51" s="10">
        <f t="shared" si="7"/>
        <v>3.6299999999999999E-2</v>
      </c>
      <c r="E51" s="11">
        <f t="shared" si="5"/>
        <v>3.6299999999999999E-2</v>
      </c>
      <c r="L51" s="42"/>
    </row>
    <row r="52" spans="1:14" x14ac:dyDescent="0.25">
      <c r="A52" s="7" t="s">
        <v>11</v>
      </c>
      <c r="B52" s="13">
        <f t="shared" si="4"/>
        <v>407685.08333333331</v>
      </c>
      <c r="C52" s="14"/>
      <c r="D52" s="10">
        <f t="shared" si="7"/>
        <v>0.11899999999999999</v>
      </c>
      <c r="E52" s="11">
        <f t="shared" si="5"/>
        <v>0.11899999999999999</v>
      </c>
      <c r="L52" s="42"/>
    </row>
    <row r="53" spans="1:14" x14ac:dyDescent="0.25">
      <c r="A53" s="7" t="s">
        <v>12</v>
      </c>
      <c r="B53" s="13">
        <f t="shared" si="4"/>
        <v>14503.166666666668</v>
      </c>
      <c r="C53" s="14"/>
      <c r="D53" s="10">
        <f t="shared" si="7"/>
        <v>4.1999999999999997E-3</v>
      </c>
      <c r="E53" s="11">
        <f t="shared" si="5"/>
        <v>4.1999999999999997E-3</v>
      </c>
      <c r="L53" s="42"/>
    </row>
    <row r="54" spans="1:14" x14ac:dyDescent="0.25">
      <c r="A54" s="7" t="str">
        <f>+A22</f>
        <v>Louisiana Arkla</v>
      </c>
      <c r="B54" s="13">
        <f t="shared" si="4"/>
        <v>130179.41666666667</v>
      </c>
      <c r="C54" s="14"/>
      <c r="D54" s="10">
        <f t="shared" si="7"/>
        <v>3.7999999999999999E-2</v>
      </c>
      <c r="E54" s="11">
        <f t="shared" si="5"/>
        <v>3.7999999999999999E-2</v>
      </c>
      <c r="L54" s="42"/>
    </row>
    <row r="55" spans="1:14" x14ac:dyDescent="0.25">
      <c r="A55" s="7" t="s">
        <v>15</v>
      </c>
      <c r="B55" s="13">
        <f t="shared" si="4"/>
        <v>98509.5</v>
      </c>
      <c r="C55" s="14"/>
      <c r="D55" s="10">
        <f t="shared" si="7"/>
        <v>2.8799999999999999E-2</v>
      </c>
      <c r="E55" s="11">
        <f t="shared" si="5"/>
        <v>2.8799999999999999E-2</v>
      </c>
      <c r="L55" s="42"/>
    </row>
    <row r="56" spans="1:14" x14ac:dyDescent="0.25">
      <c r="A56" s="7" t="s">
        <v>23</v>
      </c>
      <c r="B56" s="51">
        <f>'[1]Kera''s Counts'!O146</f>
        <v>846431.66666666674</v>
      </c>
      <c r="C56" s="14"/>
      <c r="D56" s="10">
        <f>ROUND(B56/$B$57,4)</f>
        <v>0.2472</v>
      </c>
      <c r="E56" s="11">
        <f t="shared" si="5"/>
        <v>0.2472</v>
      </c>
      <c r="L56" s="42"/>
    </row>
    <row r="57" spans="1:14" ht="14.4" thickBot="1" x14ac:dyDescent="0.3">
      <c r="A57" s="7"/>
      <c r="B57" s="17">
        <f>SUM(B45:B56)</f>
        <v>3424573.416666667</v>
      </c>
      <c r="C57" s="14"/>
      <c r="D57" s="22">
        <f>SUM(D45:D56)</f>
        <v>1</v>
      </c>
      <c r="E57" s="18">
        <f>SUM(E45:E56)</f>
        <v>1</v>
      </c>
      <c r="L57" s="42"/>
    </row>
    <row r="58" spans="1:14" ht="15" thickTop="1" thickBot="1" x14ac:dyDescent="0.3">
      <c r="A58" s="25"/>
      <c r="B58" s="26"/>
      <c r="C58" s="27"/>
      <c r="D58" s="28"/>
      <c r="E58" s="29"/>
      <c r="L58" s="42"/>
    </row>
    <row r="59" spans="1:14" x14ac:dyDescent="0.25">
      <c r="L59" s="42"/>
    </row>
    <row r="60" spans="1:14" x14ac:dyDescent="0.25">
      <c r="A60" s="52" t="s">
        <v>24</v>
      </c>
      <c r="L60" s="42"/>
    </row>
    <row r="61" spans="1:14" x14ac:dyDescent="0.25">
      <c r="A61" s="52" t="s">
        <v>25</v>
      </c>
      <c r="B61" s="5"/>
      <c r="C61" s="5"/>
      <c r="D61" s="6"/>
      <c r="L61" s="42"/>
    </row>
    <row r="62" spans="1:14" x14ac:dyDescent="0.25">
      <c r="A62" s="53" t="s">
        <v>26</v>
      </c>
    </row>
    <row r="63" spans="1:14" x14ac:dyDescent="0.25">
      <c r="A63" s="53" t="s">
        <v>27</v>
      </c>
    </row>
    <row r="64" spans="1:14" x14ac:dyDescent="0.25">
      <c r="B64" s="13"/>
    </row>
    <row r="65" spans="2:10" x14ac:dyDescent="0.25">
      <c r="E65" s="54" t="s">
        <v>28</v>
      </c>
      <c r="F65" s="55"/>
      <c r="G65" s="55" t="s">
        <v>29</v>
      </c>
      <c r="H65" s="56" t="s">
        <v>30</v>
      </c>
      <c r="I65" s="57">
        <v>43130</v>
      </c>
    </row>
    <row r="66" spans="2:10" x14ac:dyDescent="0.25">
      <c r="B66" s="5"/>
      <c r="C66" s="5"/>
      <c r="D66" s="5"/>
      <c r="E66" s="58"/>
      <c r="F66" s="59"/>
      <c r="H66" s="56"/>
      <c r="I66" s="60"/>
    </row>
    <row r="67" spans="2:10" x14ac:dyDescent="0.25">
      <c r="B67" s="5"/>
      <c r="C67" s="5"/>
      <c r="D67" s="5"/>
      <c r="E67" s="54" t="s">
        <v>31</v>
      </c>
      <c r="F67" s="55"/>
      <c r="G67" s="55"/>
      <c r="H67" s="56" t="s">
        <v>30</v>
      </c>
      <c r="I67" s="61"/>
    </row>
    <row r="68" spans="2:10" x14ac:dyDescent="0.25">
      <c r="E68" s="58"/>
      <c r="F68" s="59"/>
      <c r="H68" s="56"/>
      <c r="I68" s="60"/>
      <c r="J68" s="6"/>
    </row>
    <row r="69" spans="2:10" x14ac:dyDescent="0.25">
      <c r="E69" s="54" t="s">
        <v>32</v>
      </c>
      <c r="F69" s="55"/>
      <c r="G69" s="55"/>
      <c r="H69" s="56" t="s">
        <v>30</v>
      </c>
      <c r="I69" s="61"/>
    </row>
    <row r="70" spans="2:10" x14ac:dyDescent="0.25">
      <c r="E70" s="33"/>
      <c r="F70" s="34"/>
      <c r="H70" s="35"/>
    </row>
  </sheetData>
  <mergeCells count="14">
    <mergeCell ref="A29:E29"/>
    <mergeCell ref="G29:I29"/>
    <mergeCell ref="A10:E10"/>
    <mergeCell ref="A11:E11"/>
    <mergeCell ref="G11:I11"/>
    <mergeCell ref="A12:E12"/>
    <mergeCell ref="G12:I12"/>
    <mergeCell ref="G45:I45"/>
    <mergeCell ref="A30:E30"/>
    <mergeCell ref="G30:I30"/>
    <mergeCell ref="G35:I35"/>
    <mergeCell ref="A42:E42"/>
    <mergeCell ref="A43:E43"/>
    <mergeCell ref="A44:E44"/>
  </mergeCells>
  <printOptions horizontalCentered="1"/>
  <pageMargins left="1" right="1" top="1" bottom="1" header="0.5" footer="0.5"/>
  <pageSetup scale="50" orientation="portrait" r:id="rId1"/>
  <headerFooter>
    <oddHeader>&amp;RSchedule V-K-9.2
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42"/>
  <sheetViews>
    <sheetView tabSelected="1" workbookViewId="0">
      <selection activeCell="J20" sqref="J20"/>
    </sheetView>
  </sheetViews>
  <sheetFormatPr defaultRowHeight="14.4" x14ac:dyDescent="0.3"/>
  <cols>
    <col min="1" max="1" width="24.33203125" customWidth="1"/>
    <col min="2" max="2" width="20.5546875" customWidth="1"/>
    <col min="3" max="3" width="17.5546875" customWidth="1"/>
    <col min="6" max="7" width="2.77734375" customWidth="1"/>
    <col min="9" max="9" width="11.44140625" bestFit="1" customWidth="1"/>
    <col min="10" max="10" width="38.88671875" bestFit="1" customWidth="1"/>
  </cols>
  <sheetData>
    <row r="2" spans="1:4" x14ac:dyDescent="0.3">
      <c r="A2" s="205" t="s">
        <v>106</v>
      </c>
      <c r="B2" s="217"/>
      <c r="C2" s="9"/>
      <c r="D2" s="220"/>
    </row>
    <row r="3" spans="1:4" x14ac:dyDescent="0.3">
      <c r="A3" s="206" t="s">
        <v>107</v>
      </c>
      <c r="B3" s="218"/>
      <c r="C3" s="9"/>
      <c r="D3" s="220"/>
    </row>
    <row r="4" spans="1:4" x14ac:dyDescent="0.3">
      <c r="A4" s="206" t="s">
        <v>111</v>
      </c>
      <c r="B4" s="218"/>
      <c r="C4" s="9"/>
      <c r="D4" s="220"/>
    </row>
    <row r="5" spans="1:4" x14ac:dyDescent="0.3">
      <c r="A5" s="206" t="s">
        <v>108</v>
      </c>
      <c r="B5" s="218"/>
      <c r="C5" s="9"/>
      <c r="D5" s="220"/>
    </row>
    <row r="6" spans="1:4" x14ac:dyDescent="0.3">
      <c r="A6" s="206" t="s">
        <v>109</v>
      </c>
      <c r="B6" s="218"/>
      <c r="C6" s="9"/>
      <c r="D6" s="220"/>
    </row>
    <row r="7" spans="1:4" x14ac:dyDescent="0.3">
      <c r="A7" s="207" t="s">
        <v>110</v>
      </c>
      <c r="B7" s="219"/>
      <c r="C7" s="9"/>
      <c r="D7" s="220"/>
    </row>
    <row r="10" spans="1:4" x14ac:dyDescent="0.3">
      <c r="A10" s="101" t="s">
        <v>57</v>
      </c>
    </row>
    <row r="11" spans="1:4" x14ac:dyDescent="0.3">
      <c r="A11" t="s">
        <v>56</v>
      </c>
      <c r="B11">
        <v>130194</v>
      </c>
    </row>
    <row r="12" spans="1:4" x14ac:dyDescent="0.3">
      <c r="C12" s="100"/>
    </row>
    <row r="15" spans="1:4" ht="18.600000000000001" thickBot="1" x14ac:dyDescent="0.4">
      <c r="A15" s="98" t="s">
        <v>55</v>
      </c>
      <c r="B15" s="99" t="s">
        <v>54</v>
      </c>
      <c r="C15" s="98" t="s">
        <v>53</v>
      </c>
    </row>
    <row r="16" spans="1:4" x14ac:dyDescent="0.3">
      <c r="B16" s="69"/>
      <c r="C16" s="97"/>
    </row>
    <row r="17" spans="1:12" x14ac:dyDescent="0.3">
      <c r="B17" s="69"/>
      <c r="C17" s="68"/>
    </row>
    <row r="18" spans="1:12" x14ac:dyDescent="0.3">
      <c r="A18" t="s">
        <v>52</v>
      </c>
      <c r="B18" s="69"/>
      <c r="C18" s="68"/>
    </row>
    <row r="19" spans="1:12" x14ac:dyDescent="0.3">
      <c r="A19" t="s">
        <v>51</v>
      </c>
      <c r="B19" s="69"/>
      <c r="C19" s="68"/>
    </row>
    <row r="20" spans="1:12" x14ac:dyDescent="0.3">
      <c r="A20" t="s">
        <v>50</v>
      </c>
      <c r="B20" s="69">
        <f>305+22</f>
        <v>327</v>
      </c>
      <c r="C20" s="68">
        <f>+B20/B$42</f>
        <v>0.41340075853350189</v>
      </c>
      <c r="D20" s="91">
        <f>+C20/C24</f>
        <v>0.77122641509433953</v>
      </c>
    </row>
    <row r="21" spans="1:12" x14ac:dyDescent="0.3">
      <c r="A21" t="s">
        <v>49</v>
      </c>
      <c r="B21" s="69"/>
      <c r="C21" s="68"/>
      <c r="D21" s="91"/>
    </row>
    <row r="22" spans="1:12" x14ac:dyDescent="0.3">
      <c r="A22" t="s">
        <v>48</v>
      </c>
      <c r="B22" s="69">
        <v>97</v>
      </c>
      <c r="C22" s="68">
        <f>+B22/B$42</f>
        <v>0.12262958280657396</v>
      </c>
      <c r="D22" s="91">
        <f>+C22/C24</f>
        <v>0.22877358490566038</v>
      </c>
    </row>
    <row r="23" spans="1:12" ht="15" thickBot="1" x14ac:dyDescent="0.35">
      <c r="A23" s="75"/>
      <c r="B23" s="74"/>
      <c r="C23" s="73"/>
    </row>
    <row r="24" spans="1:12" ht="15" thickTop="1" x14ac:dyDescent="0.3">
      <c r="A24" s="89" t="s">
        <v>47</v>
      </c>
      <c r="B24" s="69">
        <f>SUM(B16:B23)</f>
        <v>424</v>
      </c>
      <c r="C24" s="82">
        <f>SUM(C16:C23)</f>
        <v>0.53603034134007588</v>
      </c>
    </row>
    <row r="25" spans="1:12" x14ac:dyDescent="0.3">
      <c r="A25" s="93"/>
      <c r="B25" s="69"/>
      <c r="C25" s="68"/>
    </row>
    <row r="26" spans="1:12" x14ac:dyDescent="0.3">
      <c r="A26" s="93"/>
      <c r="B26" s="69"/>
      <c r="C26" s="68"/>
    </row>
    <row r="27" spans="1:12" ht="15" thickBot="1" x14ac:dyDescent="0.35">
      <c r="A27" s="93"/>
      <c r="B27" s="69"/>
      <c r="C27" s="68"/>
    </row>
    <row r="28" spans="1:12" x14ac:dyDescent="0.3">
      <c r="A28" s="93"/>
      <c r="B28" s="69"/>
      <c r="C28" s="68"/>
      <c r="H28" s="96"/>
      <c r="I28" s="95"/>
      <c r="J28" s="95"/>
      <c r="K28" s="95"/>
      <c r="L28" s="94"/>
    </row>
    <row r="29" spans="1:12" x14ac:dyDescent="0.3">
      <c r="A29" s="93"/>
      <c r="B29" s="69"/>
      <c r="C29" s="68"/>
      <c r="D29" t="s">
        <v>46</v>
      </c>
      <c r="H29" s="87"/>
      <c r="I29" s="65">
        <v>11034180</v>
      </c>
      <c r="J29" s="65" t="s">
        <v>45</v>
      </c>
      <c r="K29" s="88">
        <f>C24</f>
        <v>0.53603034134007588</v>
      </c>
      <c r="L29" s="83"/>
    </row>
    <row r="30" spans="1:12" x14ac:dyDescent="0.3">
      <c r="A30" s="93"/>
      <c r="B30" s="69"/>
      <c r="C30" s="68"/>
      <c r="D30" s="91">
        <v>0.59199999999999997</v>
      </c>
      <c r="E30" s="90">
        <f>+D30*C31</f>
        <v>0.26718584070796458</v>
      </c>
      <c r="H30" s="87"/>
      <c r="I30" s="65">
        <v>11034183</v>
      </c>
      <c r="J30" s="65" t="s">
        <v>44</v>
      </c>
      <c r="K30" s="88">
        <f>C34</f>
        <v>1.2642225031605562E-2</v>
      </c>
      <c r="L30" s="83"/>
    </row>
    <row r="31" spans="1:12" ht="15" thickBot="1" x14ac:dyDescent="0.35">
      <c r="A31" s="92" t="s">
        <v>43</v>
      </c>
      <c r="B31" s="74">
        <f>355+2</f>
        <v>357</v>
      </c>
      <c r="C31" s="73">
        <f>+B31/B$42</f>
        <v>0.45132743362831856</v>
      </c>
      <c r="D31" s="91">
        <v>0.40799999999999997</v>
      </c>
      <c r="E31" s="90">
        <f>+D31*C31</f>
        <v>0.18414159292035395</v>
      </c>
      <c r="H31" s="87"/>
      <c r="I31" s="65" t="s">
        <v>42</v>
      </c>
      <c r="J31" s="65" t="s">
        <v>39</v>
      </c>
      <c r="K31" s="88">
        <f>E30</f>
        <v>0.26718584070796458</v>
      </c>
      <c r="L31" s="83"/>
    </row>
    <row r="32" spans="1:12" ht="15" thickTop="1" x14ac:dyDescent="0.3">
      <c r="A32" s="89" t="s">
        <v>41</v>
      </c>
      <c r="B32" s="69">
        <f>SUM(B26:B31)</f>
        <v>357</v>
      </c>
      <c r="C32" s="68">
        <f>SUM(C26:C31)</f>
        <v>0.45132743362831856</v>
      </c>
      <c r="H32" s="87"/>
      <c r="I32" s="65" t="s">
        <v>40</v>
      </c>
      <c r="J32" s="65" t="s">
        <v>39</v>
      </c>
      <c r="K32" s="88">
        <f>+E31</f>
        <v>0.18414159292035395</v>
      </c>
      <c r="L32" s="83"/>
    </row>
    <row r="33" spans="1:12" x14ac:dyDescent="0.3">
      <c r="B33" s="69"/>
      <c r="C33" s="68"/>
      <c r="H33" s="87"/>
      <c r="I33" s="86"/>
      <c r="J33" s="85" t="s">
        <v>38</v>
      </c>
      <c r="K33" s="84">
        <f>SUM(K29:K32)</f>
        <v>1</v>
      </c>
      <c r="L33" s="83"/>
    </row>
    <row r="34" spans="1:12" ht="15" thickBot="1" x14ac:dyDescent="0.35">
      <c r="A34" t="s">
        <v>37</v>
      </c>
      <c r="B34" s="69">
        <v>10</v>
      </c>
      <c r="C34" s="82">
        <f>+B34/B$42</f>
        <v>1.2642225031605562E-2</v>
      </c>
      <c r="H34" s="81"/>
      <c r="I34" s="80"/>
      <c r="J34" s="80"/>
      <c r="K34" s="80"/>
      <c r="L34" s="79"/>
    </row>
    <row r="35" spans="1:12" x14ac:dyDescent="0.3">
      <c r="A35" s="76" t="s">
        <v>36</v>
      </c>
      <c r="B35" s="78"/>
      <c r="C35" s="77">
        <f>+B35/B$42</f>
        <v>0</v>
      </c>
      <c r="D35" s="76"/>
      <c r="E35" s="76"/>
    </row>
    <row r="36" spans="1:12" x14ac:dyDescent="0.3">
      <c r="A36" s="76" t="s">
        <v>35</v>
      </c>
      <c r="B36" s="78"/>
      <c r="C36" s="77">
        <f>+B36/B$42</f>
        <v>0</v>
      </c>
      <c r="D36" s="76"/>
      <c r="E36" s="76"/>
    </row>
    <row r="37" spans="1:12" ht="15" thickBot="1" x14ac:dyDescent="0.35">
      <c r="A37" s="75"/>
      <c r="B37" s="74"/>
      <c r="C37" s="73"/>
    </row>
    <row r="38" spans="1:12" ht="15" thickTop="1" x14ac:dyDescent="0.3">
      <c r="A38" s="72" t="s">
        <v>34</v>
      </c>
      <c r="B38" s="71">
        <f>SUM(B34:B37)</f>
        <v>10</v>
      </c>
      <c r="C38" s="70">
        <f>SUM(C34:C37)</f>
        <v>1.2642225031605562E-2</v>
      </c>
    </row>
    <row r="39" spans="1:12" x14ac:dyDescent="0.3">
      <c r="B39" s="69"/>
      <c r="C39" s="68"/>
    </row>
    <row r="40" spans="1:12" x14ac:dyDescent="0.3">
      <c r="B40" s="69"/>
      <c r="C40" s="68"/>
    </row>
    <row r="41" spans="1:12" ht="15" thickBot="1" x14ac:dyDescent="0.35">
      <c r="B41" s="67"/>
      <c r="C41" s="66"/>
      <c r="E41" s="65"/>
      <c r="F41" s="65"/>
    </row>
    <row r="42" spans="1:12" ht="15" thickBot="1" x14ac:dyDescent="0.35">
      <c r="A42" s="64" t="s">
        <v>33</v>
      </c>
      <c r="B42" s="63">
        <f>+B24+B31+B38</f>
        <v>791</v>
      </c>
      <c r="C42" s="62">
        <f>SUM(C38,C32,C24)</f>
        <v>1</v>
      </c>
    </row>
  </sheetData>
  <pageMargins left="1" right="1" top="1" bottom="1" header="0.5" footer="0.5"/>
  <pageSetup orientation="portrait" r:id="rId1"/>
  <headerFooter>
    <oddHeader>&amp;RSchedule V-K-9.2
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51"/>
  <sheetViews>
    <sheetView view="pageBreakPreview" topLeftCell="A32" zoomScale="80" zoomScaleNormal="100" zoomScaleSheetLayoutView="80" workbookViewId="0">
      <selection activeCell="A52" sqref="A52:XFD60"/>
    </sheetView>
  </sheetViews>
  <sheetFormatPr defaultColWidth="9.109375" defaultRowHeight="11.4" x14ac:dyDescent="0.2"/>
  <cols>
    <col min="1" max="1" width="9.88671875" style="102" customWidth="1"/>
    <col min="2" max="2" width="14.5546875" style="102" customWidth="1"/>
    <col min="3" max="3" width="0.6640625" style="102" customWidth="1"/>
    <col min="4" max="4" width="10.5546875" style="102" bestFit="1" customWidth="1"/>
    <col min="5" max="5" width="9.33203125" style="102" bestFit="1" customWidth="1"/>
    <col min="6" max="6" width="10.5546875" style="102" bestFit="1" customWidth="1"/>
    <col min="7" max="7" width="9.33203125" style="102" customWidth="1"/>
    <col min="8" max="9" width="11.109375" style="102" customWidth="1"/>
    <col min="10" max="10" width="10.5546875" style="102" bestFit="1" customWidth="1"/>
    <col min="11" max="11" width="9.33203125" style="102" bestFit="1" customWidth="1"/>
    <col min="12" max="13" width="10.33203125" style="102" customWidth="1"/>
    <col min="14" max="14" width="10.6640625" style="102" customWidth="1"/>
    <col min="15" max="15" width="10" style="102" customWidth="1"/>
    <col min="16" max="16" width="10" style="102" bestFit="1" customWidth="1"/>
    <col min="17" max="17" width="9.109375" style="102"/>
    <col min="18" max="18" width="6.109375" style="102" customWidth="1"/>
    <col min="19" max="16384" width="9.109375" style="102"/>
  </cols>
  <sheetData>
    <row r="2" spans="1:13" ht="13.8" x14ac:dyDescent="0.25">
      <c r="A2" s="205" t="s">
        <v>106</v>
      </c>
      <c r="B2" s="208"/>
      <c r="C2" s="221"/>
      <c r="D2" s="222"/>
    </row>
    <row r="3" spans="1:13" ht="13.8" x14ac:dyDescent="0.25">
      <c r="A3" s="206" t="s">
        <v>107</v>
      </c>
      <c r="B3" s="211"/>
      <c r="C3" s="223"/>
      <c r="D3" s="224"/>
    </row>
    <row r="4" spans="1:13" ht="13.8" x14ac:dyDescent="0.25">
      <c r="A4" s="206" t="s">
        <v>111</v>
      </c>
      <c r="B4" s="211"/>
      <c r="C4" s="223"/>
      <c r="D4" s="224"/>
    </row>
    <row r="5" spans="1:13" ht="13.8" x14ac:dyDescent="0.25">
      <c r="A5" s="206" t="s">
        <v>108</v>
      </c>
      <c r="B5" s="211"/>
      <c r="C5" s="223"/>
      <c r="D5" s="224"/>
    </row>
    <row r="6" spans="1:13" ht="13.8" x14ac:dyDescent="0.25">
      <c r="A6" s="206" t="s">
        <v>109</v>
      </c>
      <c r="B6" s="211"/>
      <c r="C6" s="223"/>
      <c r="D6" s="224"/>
    </row>
    <row r="7" spans="1:13" ht="13.8" x14ac:dyDescent="0.25">
      <c r="A7" s="207" t="s">
        <v>110</v>
      </c>
      <c r="B7" s="214"/>
      <c r="C7" s="225"/>
      <c r="D7" s="226"/>
    </row>
    <row r="11" spans="1:13" x14ac:dyDescent="0.2">
      <c r="A11" s="203" t="s">
        <v>94</v>
      </c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165"/>
    </row>
    <row r="12" spans="1:13" x14ac:dyDescent="0.2">
      <c r="A12" s="203" t="s">
        <v>93</v>
      </c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165"/>
    </row>
    <row r="13" spans="1:13" x14ac:dyDescent="0.2">
      <c r="A13" s="203" t="s">
        <v>104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165"/>
    </row>
    <row r="17" spans="1:17" ht="13.8" x14ac:dyDescent="0.25">
      <c r="A17" s="201" t="s">
        <v>91</v>
      </c>
      <c r="B17" s="201"/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</row>
    <row r="18" spans="1:17" x14ac:dyDescent="0.2">
      <c r="A18" s="104"/>
      <c r="B18" s="104"/>
      <c r="J18" s="164"/>
      <c r="K18" s="164"/>
      <c r="L18" s="103"/>
      <c r="M18" s="103"/>
    </row>
    <row r="19" spans="1:17" ht="12" x14ac:dyDescent="0.25">
      <c r="B19" s="104"/>
      <c r="C19" s="104"/>
      <c r="D19" s="163" t="s">
        <v>90</v>
      </c>
      <c r="E19" s="163" t="s">
        <v>89</v>
      </c>
      <c r="F19" s="163" t="s">
        <v>88</v>
      </c>
      <c r="G19" s="163" t="s">
        <v>87</v>
      </c>
      <c r="H19" s="163" t="s">
        <v>81</v>
      </c>
      <c r="I19" s="163" t="s">
        <v>86</v>
      </c>
      <c r="J19" s="162"/>
      <c r="M19" s="162"/>
    </row>
    <row r="20" spans="1:17" ht="18.75" customHeight="1" x14ac:dyDescent="0.25">
      <c r="A20" s="204" t="s">
        <v>69</v>
      </c>
      <c r="B20" s="204"/>
      <c r="C20" s="104"/>
      <c r="D20" s="162">
        <v>11029391</v>
      </c>
      <c r="E20" s="162">
        <v>11029394</v>
      </c>
      <c r="F20" s="162">
        <v>11029392</v>
      </c>
      <c r="G20" s="162">
        <v>11029393</v>
      </c>
      <c r="H20" s="162">
        <v>11029389</v>
      </c>
      <c r="I20" s="162">
        <v>11029390</v>
      </c>
      <c r="J20" s="162" t="s">
        <v>38</v>
      </c>
      <c r="M20" s="162"/>
    </row>
    <row r="21" spans="1:17" ht="13.5" customHeight="1" x14ac:dyDescent="0.25">
      <c r="A21" s="156" t="s">
        <v>85</v>
      </c>
      <c r="B21" s="156"/>
      <c r="C21" s="104"/>
      <c r="D21" s="161">
        <f>14407+67</f>
        <v>14474</v>
      </c>
      <c r="E21" s="160">
        <f>8431+86</f>
        <v>8517</v>
      </c>
      <c r="F21" s="160">
        <f>5793+62</f>
        <v>5855</v>
      </c>
      <c r="G21" s="160">
        <f>15728+97</f>
        <v>15825</v>
      </c>
      <c r="H21" s="160">
        <f>10976+48</f>
        <v>11024</v>
      </c>
      <c r="I21" s="160">
        <f>5422+21</f>
        <v>5443</v>
      </c>
      <c r="J21" s="153">
        <f>(D21+E21+F21+G21+H21+I21)</f>
        <v>61138</v>
      </c>
      <c r="L21" s="126">
        <f>J23/J21</f>
        <v>0.73644868984919365</v>
      </c>
      <c r="M21" s="159" t="s">
        <v>84</v>
      </c>
    </row>
    <row r="22" spans="1:17" ht="22.5" customHeight="1" x14ac:dyDescent="0.25">
      <c r="A22" s="200" t="s">
        <v>83</v>
      </c>
      <c r="B22" s="200"/>
      <c r="C22" s="104"/>
      <c r="D22" s="120">
        <v>11029382</v>
      </c>
      <c r="E22" s="158">
        <v>11029385</v>
      </c>
      <c r="F22" s="120">
        <v>11029383</v>
      </c>
      <c r="G22" s="158">
        <v>11029384</v>
      </c>
      <c r="H22" s="120">
        <v>11029380</v>
      </c>
      <c r="I22" s="158">
        <v>11029381</v>
      </c>
      <c r="J22" s="157"/>
      <c r="M22" s="104"/>
    </row>
    <row r="23" spans="1:17" ht="13.5" customHeight="1" x14ac:dyDescent="0.2">
      <c r="A23" s="156" t="s">
        <v>65</v>
      </c>
      <c r="B23" s="156"/>
      <c r="C23" s="104"/>
      <c r="D23" s="155">
        <f>10469+67</f>
        <v>10536</v>
      </c>
      <c r="E23" s="154">
        <f>7371+86</f>
        <v>7457</v>
      </c>
      <c r="F23" s="155">
        <f>4730+62</f>
        <v>4792</v>
      </c>
      <c r="G23" s="154">
        <f>12274+97</f>
        <v>12371</v>
      </c>
      <c r="H23" s="155">
        <f>6848+48</f>
        <v>6896</v>
      </c>
      <c r="I23" s="154">
        <f>2952+21</f>
        <v>2973</v>
      </c>
      <c r="J23" s="153">
        <f>(D23+E23+F23+G23+H23+I23)</f>
        <v>45025</v>
      </c>
      <c r="L23" s="152"/>
      <c r="M23" s="151"/>
    </row>
    <row r="24" spans="1:17" ht="6.75" customHeight="1" x14ac:dyDescent="0.2">
      <c r="C24" s="104"/>
      <c r="D24" s="104"/>
      <c r="E24" s="104"/>
      <c r="F24" s="104"/>
      <c r="G24" s="104"/>
      <c r="H24" s="104"/>
      <c r="I24" s="104"/>
      <c r="J24" s="104"/>
      <c r="M24" s="104"/>
    </row>
    <row r="25" spans="1:17" ht="12" x14ac:dyDescent="0.25">
      <c r="B25" s="119"/>
      <c r="C25" s="104"/>
      <c r="D25" s="104"/>
      <c r="E25" s="104"/>
      <c r="F25" s="104"/>
      <c r="G25" s="104"/>
      <c r="H25" s="104"/>
      <c r="I25" s="104"/>
      <c r="J25" s="150"/>
      <c r="K25" s="149"/>
      <c r="L25" s="118"/>
      <c r="M25" s="118"/>
    </row>
    <row r="26" spans="1:17" ht="19.5" customHeight="1" x14ac:dyDescent="0.25">
      <c r="A26" s="201" t="s">
        <v>82</v>
      </c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</row>
    <row r="27" spans="1:17" ht="12.6" thickBot="1" x14ac:dyDescent="0.3">
      <c r="D27" s="202" t="s">
        <v>81</v>
      </c>
      <c r="E27" s="202"/>
      <c r="F27" s="202" t="s">
        <v>80</v>
      </c>
      <c r="G27" s="202"/>
      <c r="H27" s="202" t="s">
        <v>79</v>
      </c>
      <c r="I27" s="202"/>
      <c r="J27" s="202" t="s">
        <v>78</v>
      </c>
      <c r="K27" s="202"/>
      <c r="L27" s="202" t="s">
        <v>77</v>
      </c>
      <c r="M27" s="202"/>
      <c r="N27" s="202" t="s">
        <v>76</v>
      </c>
      <c r="O27" s="202"/>
    </row>
    <row r="28" spans="1:17" s="139" customFormat="1" ht="10.199999999999999" x14ac:dyDescent="0.2">
      <c r="A28" s="140"/>
      <c r="B28" s="140"/>
      <c r="C28" s="140"/>
      <c r="D28" s="142">
        <v>0.22</v>
      </c>
      <c r="E28" s="141">
        <v>0.78</v>
      </c>
      <c r="F28" s="142">
        <v>0.22</v>
      </c>
      <c r="G28" s="141">
        <v>0.78</v>
      </c>
      <c r="H28" s="142">
        <v>0.22</v>
      </c>
      <c r="I28" s="141">
        <v>0.78</v>
      </c>
      <c r="J28" s="142">
        <v>0.22</v>
      </c>
      <c r="K28" s="141">
        <v>0.78</v>
      </c>
      <c r="L28" s="142">
        <v>0.22</v>
      </c>
      <c r="M28" s="141">
        <v>0.78</v>
      </c>
      <c r="N28" s="142">
        <v>0.22</v>
      </c>
      <c r="O28" s="141">
        <v>0.78</v>
      </c>
    </row>
    <row r="29" spans="1:17" s="104" customFormat="1" ht="12" thickBot="1" x14ac:dyDescent="0.25">
      <c r="D29" s="138">
        <v>11002001</v>
      </c>
      <c r="E29" s="137">
        <v>11029483</v>
      </c>
      <c r="F29" s="138">
        <v>11002003</v>
      </c>
      <c r="G29" s="137">
        <v>11029487</v>
      </c>
      <c r="H29" s="138">
        <v>11001995</v>
      </c>
      <c r="I29" s="148">
        <v>11029493</v>
      </c>
      <c r="J29" s="138">
        <v>11001997</v>
      </c>
      <c r="K29" s="137">
        <v>11029481</v>
      </c>
      <c r="L29" s="138">
        <v>11002000</v>
      </c>
      <c r="M29" s="137">
        <v>11029486</v>
      </c>
      <c r="N29" s="138">
        <v>11002142</v>
      </c>
      <c r="O29" s="137">
        <v>11029491</v>
      </c>
    </row>
    <row r="30" spans="1:17" ht="12.6" thickBot="1" x14ac:dyDescent="0.3">
      <c r="A30" s="192" t="s">
        <v>69</v>
      </c>
      <c r="B30" s="192"/>
      <c r="C30" s="104"/>
      <c r="D30" s="147">
        <f>D31*D28</f>
        <v>1282.5999999999999</v>
      </c>
      <c r="E30" s="146">
        <f>D31*E28</f>
        <v>4547.4000000000005</v>
      </c>
      <c r="F30" s="147">
        <f>F31*F28</f>
        <v>694.98</v>
      </c>
      <c r="G30" s="146">
        <f>F31*G28</f>
        <v>2464.02</v>
      </c>
      <c r="H30" s="147">
        <f>H31*H28</f>
        <v>1368.84</v>
      </c>
      <c r="I30" s="146">
        <f>H31*I28</f>
        <v>4853.16</v>
      </c>
      <c r="J30" s="147">
        <f>J31*J28</f>
        <v>946.44</v>
      </c>
      <c r="K30" s="146">
        <f>J31*K28</f>
        <v>3355.56</v>
      </c>
      <c r="L30" s="147">
        <f>L31*L28</f>
        <v>1140.92</v>
      </c>
      <c r="M30" s="146">
        <f>L31*M28</f>
        <v>4045.08</v>
      </c>
      <c r="N30" s="147">
        <f>N31*N28</f>
        <v>1735.58</v>
      </c>
      <c r="O30" s="146">
        <f>N31*O28</f>
        <v>6153.42</v>
      </c>
      <c r="P30" s="104" t="s">
        <v>66</v>
      </c>
      <c r="Q30" s="104"/>
    </row>
    <row r="31" spans="1:17" ht="12" thickBot="1" x14ac:dyDescent="0.25">
      <c r="A31" s="131" t="s">
        <v>68</v>
      </c>
      <c r="B31" s="131"/>
      <c r="C31" s="104"/>
      <c r="D31" s="198">
        <v>5830</v>
      </c>
      <c r="E31" s="199"/>
      <c r="F31" s="193">
        <v>3159</v>
      </c>
      <c r="G31" s="185"/>
      <c r="H31" s="193">
        <f>6006+216</f>
        <v>6222</v>
      </c>
      <c r="I31" s="185"/>
      <c r="J31" s="193">
        <v>4302</v>
      </c>
      <c r="K31" s="185"/>
      <c r="L31" s="193">
        <v>5186</v>
      </c>
      <c r="M31" s="185"/>
      <c r="N31" s="193">
        <v>7889</v>
      </c>
      <c r="O31" s="185"/>
      <c r="P31" s="104"/>
      <c r="Q31" s="104"/>
    </row>
    <row r="32" spans="1:17" ht="12.6" thickBot="1" x14ac:dyDescent="0.3">
      <c r="A32" s="186" t="s">
        <v>67</v>
      </c>
      <c r="B32" s="187"/>
      <c r="C32" s="104"/>
      <c r="D32" s="145">
        <f>D33*D28</f>
        <v>449.9</v>
      </c>
      <c r="E32" s="144">
        <f>D33*E28</f>
        <v>1595.1000000000001</v>
      </c>
      <c r="F32" s="145">
        <f>F33*F28</f>
        <v>92.62</v>
      </c>
      <c r="G32" s="144">
        <f>F33*G28</f>
        <v>328.38</v>
      </c>
      <c r="H32" s="145">
        <f>H33*H28</f>
        <v>929.5</v>
      </c>
      <c r="I32" s="144">
        <f>H33*I28</f>
        <v>3295.5</v>
      </c>
      <c r="J32" s="145">
        <f>J33*J28</f>
        <v>615.12</v>
      </c>
      <c r="K32" s="144">
        <f>J33*K28</f>
        <v>2180.88</v>
      </c>
      <c r="L32" s="144">
        <f>L33*L28</f>
        <v>579.26</v>
      </c>
      <c r="M32" s="144">
        <f>L33*M28</f>
        <v>2053.7400000000002</v>
      </c>
      <c r="N32" s="145">
        <f>N33*N28</f>
        <v>805.64</v>
      </c>
      <c r="O32" s="144">
        <f>N33*O28</f>
        <v>2856.36</v>
      </c>
      <c r="P32" s="104" t="s">
        <v>66</v>
      </c>
      <c r="Q32" s="104"/>
    </row>
    <row r="33" spans="1:19" ht="12" thickBot="1" x14ac:dyDescent="0.25">
      <c r="A33" s="131" t="s">
        <v>65</v>
      </c>
      <c r="B33" s="131"/>
      <c r="C33" s="104"/>
      <c r="D33" s="194">
        <v>2045</v>
      </c>
      <c r="E33" s="195"/>
      <c r="F33" s="196">
        <v>421</v>
      </c>
      <c r="G33" s="197"/>
      <c r="H33" s="196">
        <f>4009+216</f>
        <v>4225</v>
      </c>
      <c r="I33" s="197"/>
      <c r="J33" s="196">
        <v>2796</v>
      </c>
      <c r="K33" s="197"/>
      <c r="L33" s="196">
        <v>2633</v>
      </c>
      <c r="M33" s="197"/>
      <c r="N33" s="196">
        <v>3662</v>
      </c>
      <c r="O33" s="197"/>
      <c r="P33" s="104"/>
      <c r="Q33" s="104"/>
    </row>
    <row r="34" spans="1:19" x14ac:dyDescent="0.2">
      <c r="A34" s="104"/>
      <c r="B34" s="104"/>
      <c r="C34" s="122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04"/>
      <c r="P34" s="104"/>
      <c r="Q34" s="104"/>
    </row>
    <row r="35" spans="1:19" ht="12.6" thickBot="1" x14ac:dyDescent="0.3">
      <c r="A35" s="104"/>
      <c r="B35" s="104"/>
      <c r="C35" s="104"/>
      <c r="D35" s="191" t="s">
        <v>75</v>
      </c>
      <c r="E35" s="191"/>
      <c r="F35" s="191" t="s">
        <v>74</v>
      </c>
      <c r="G35" s="191"/>
      <c r="H35" s="191" t="s">
        <v>73</v>
      </c>
      <c r="I35" s="191"/>
      <c r="J35" s="191" t="s">
        <v>72</v>
      </c>
      <c r="K35" s="191"/>
      <c r="L35" s="191" t="s">
        <v>71</v>
      </c>
      <c r="M35" s="191"/>
      <c r="N35" s="191" t="s">
        <v>70</v>
      </c>
      <c r="O35" s="191"/>
      <c r="P35" s="104"/>
      <c r="Q35" s="104"/>
    </row>
    <row r="36" spans="1:19" s="139" customFormat="1" ht="10.199999999999999" x14ac:dyDescent="0.2">
      <c r="A36" s="140"/>
      <c r="B36" s="140"/>
      <c r="C36" s="140"/>
      <c r="D36" s="142">
        <v>0.22</v>
      </c>
      <c r="E36" s="141">
        <v>0.78</v>
      </c>
      <c r="F36" s="142">
        <v>0.22</v>
      </c>
      <c r="G36" s="141">
        <v>0.78</v>
      </c>
      <c r="H36" s="142">
        <v>0.22</v>
      </c>
      <c r="I36" s="141">
        <v>0.78</v>
      </c>
      <c r="J36" s="142">
        <v>0.22</v>
      </c>
      <c r="K36" s="141">
        <v>0.78</v>
      </c>
      <c r="L36" s="142">
        <v>0.22</v>
      </c>
      <c r="M36" s="141">
        <v>0.78</v>
      </c>
      <c r="N36" s="142">
        <v>0.22</v>
      </c>
      <c r="O36" s="141">
        <v>0.78</v>
      </c>
      <c r="P36" s="140"/>
      <c r="Q36" s="140"/>
    </row>
    <row r="37" spans="1:19" ht="12" thickBot="1" x14ac:dyDescent="0.25">
      <c r="C37" s="104"/>
      <c r="D37" s="138">
        <v>11001996</v>
      </c>
      <c r="E37" s="137">
        <v>11029494</v>
      </c>
      <c r="F37" s="138">
        <v>11002006</v>
      </c>
      <c r="G37" s="137">
        <v>11029482</v>
      </c>
      <c r="H37" s="138">
        <v>11002143</v>
      </c>
      <c r="I37" s="137">
        <v>11029490</v>
      </c>
      <c r="J37" s="138">
        <v>11002007</v>
      </c>
      <c r="K37" s="137">
        <v>11029485</v>
      </c>
      <c r="L37" s="138">
        <v>11002008</v>
      </c>
      <c r="M37" s="137">
        <v>11029489</v>
      </c>
      <c r="N37" s="138">
        <v>11002009</v>
      </c>
      <c r="O37" s="137">
        <v>11029484</v>
      </c>
      <c r="P37" s="104"/>
      <c r="Q37" s="104"/>
    </row>
    <row r="38" spans="1:19" ht="12.6" thickBot="1" x14ac:dyDescent="0.3">
      <c r="A38" s="192" t="s">
        <v>69</v>
      </c>
      <c r="B38" s="192"/>
      <c r="C38" s="122"/>
      <c r="D38" s="136">
        <f>D39*D36</f>
        <v>1341.56</v>
      </c>
      <c r="E38" s="135">
        <f>D39*E36</f>
        <v>4756.4400000000005</v>
      </c>
      <c r="F38" s="136">
        <f>F39*F36</f>
        <v>743.38</v>
      </c>
      <c r="G38" s="135">
        <f>F39*G36</f>
        <v>2635.62</v>
      </c>
      <c r="H38" s="136">
        <f>H39*H36</f>
        <v>1236.8399999999999</v>
      </c>
      <c r="I38" s="135">
        <f>H39*I36</f>
        <v>4385.16</v>
      </c>
      <c r="J38" s="136">
        <f>J39*J36</f>
        <v>846.34</v>
      </c>
      <c r="K38" s="135">
        <f>J39*K36</f>
        <v>3000.6600000000003</v>
      </c>
      <c r="L38" s="136">
        <f>L39*L36</f>
        <v>779.68</v>
      </c>
      <c r="M38" s="135">
        <f>L39*M36</f>
        <v>2764.32</v>
      </c>
      <c r="N38" s="136">
        <f>N39*N36</f>
        <v>760.54</v>
      </c>
      <c r="O38" s="135">
        <f>N39*O36</f>
        <v>2696.46</v>
      </c>
      <c r="P38" s="104" t="s">
        <v>66</v>
      </c>
      <c r="Q38" s="104"/>
    </row>
    <row r="39" spans="1:19" ht="13.5" customHeight="1" thickBot="1" x14ac:dyDescent="0.25">
      <c r="A39" s="131" t="s">
        <v>68</v>
      </c>
      <c r="B39" s="131"/>
      <c r="C39" s="104"/>
      <c r="D39" s="193">
        <f>5923+175</f>
        <v>6098</v>
      </c>
      <c r="E39" s="185"/>
      <c r="F39" s="184">
        <v>3379</v>
      </c>
      <c r="G39" s="185"/>
      <c r="H39" s="193">
        <v>5622</v>
      </c>
      <c r="I39" s="185"/>
      <c r="J39" s="193">
        <v>3847</v>
      </c>
      <c r="K39" s="185"/>
      <c r="L39" s="193">
        <v>3544</v>
      </c>
      <c r="M39" s="185"/>
      <c r="N39" s="184">
        <v>3457</v>
      </c>
      <c r="O39" s="185"/>
      <c r="P39" s="104"/>
      <c r="Q39" s="104"/>
    </row>
    <row r="40" spans="1:19" ht="12.6" thickBot="1" x14ac:dyDescent="0.3">
      <c r="A40" s="186" t="s">
        <v>67</v>
      </c>
      <c r="B40" s="187"/>
      <c r="C40" s="122"/>
      <c r="D40" s="134">
        <f>D41*D36</f>
        <v>941.38</v>
      </c>
      <c r="E40" s="132">
        <f>D41*E36</f>
        <v>3337.62</v>
      </c>
      <c r="F40" s="134">
        <f>F41*F36</f>
        <v>433.18</v>
      </c>
      <c r="G40" s="132">
        <f>F41*G36</f>
        <v>1535.8200000000002</v>
      </c>
      <c r="H40" s="132">
        <f>H41*H36</f>
        <v>602.14</v>
      </c>
      <c r="I40" s="132">
        <f>H41*I36</f>
        <v>2134.86</v>
      </c>
      <c r="J40" s="134">
        <f>J41*J36</f>
        <v>605.22</v>
      </c>
      <c r="K40" s="132">
        <f>J41*K36</f>
        <v>2145.7800000000002</v>
      </c>
      <c r="L40" s="134">
        <f>L41*L36</f>
        <v>383.9</v>
      </c>
      <c r="M40" s="132">
        <f>L41*M36</f>
        <v>1361.1000000000001</v>
      </c>
      <c r="N40" s="133">
        <f>N41*N36</f>
        <v>582.56000000000006</v>
      </c>
      <c r="O40" s="132">
        <f>N41*O36</f>
        <v>2065.44</v>
      </c>
      <c r="P40" s="104" t="s">
        <v>66</v>
      </c>
      <c r="Q40" s="104"/>
    </row>
    <row r="41" spans="1:19" ht="12" thickBot="1" x14ac:dyDescent="0.25">
      <c r="A41" s="131" t="s">
        <v>65</v>
      </c>
      <c r="B41" s="131"/>
      <c r="C41" s="104"/>
      <c r="D41" s="188">
        <f>4104+175</f>
        <v>4279</v>
      </c>
      <c r="E41" s="189"/>
      <c r="F41" s="188">
        <v>1969</v>
      </c>
      <c r="G41" s="189"/>
      <c r="H41" s="188">
        <v>2737</v>
      </c>
      <c r="I41" s="189"/>
      <c r="J41" s="188">
        <v>2751</v>
      </c>
      <c r="K41" s="189"/>
      <c r="L41" s="188">
        <v>1745</v>
      </c>
      <c r="M41" s="189"/>
      <c r="N41" s="190">
        <v>2648</v>
      </c>
      <c r="O41" s="189"/>
      <c r="P41" s="104"/>
      <c r="Q41" s="104"/>
    </row>
    <row r="42" spans="1:19" x14ac:dyDescent="0.2">
      <c r="A42" s="104"/>
      <c r="B42" s="104"/>
      <c r="C42" s="122"/>
      <c r="D42" s="130">
        <f>$C$42*D41</f>
        <v>0</v>
      </c>
      <c r="E42" s="104"/>
      <c r="F42" s="130"/>
      <c r="G42" s="104"/>
      <c r="H42" s="130">
        <f>$C$42*H41</f>
        <v>0</v>
      </c>
      <c r="I42" s="104"/>
      <c r="J42" s="130">
        <f>$C$42*J41</f>
        <v>0</v>
      </c>
      <c r="K42" s="130"/>
      <c r="L42" s="130">
        <f>$C$42*L41</f>
        <v>0</v>
      </c>
      <c r="M42" s="130"/>
      <c r="N42" s="130">
        <f>$C$42*N41</f>
        <v>0</v>
      </c>
      <c r="O42" s="104"/>
      <c r="P42" s="104"/>
      <c r="Q42" s="104"/>
    </row>
    <row r="43" spans="1:19" ht="13.5" customHeight="1" x14ac:dyDescent="0.25">
      <c r="A43" s="104"/>
      <c r="B43" s="119"/>
      <c r="C43" s="104"/>
      <c r="D43" s="106"/>
      <c r="E43" s="106"/>
      <c r="F43" s="106"/>
      <c r="G43" s="106"/>
      <c r="H43" s="106"/>
      <c r="I43" s="106"/>
      <c r="J43" s="104"/>
      <c r="K43" s="104"/>
      <c r="L43" s="104"/>
      <c r="M43" s="104"/>
      <c r="N43" s="182" t="s">
        <v>64</v>
      </c>
      <c r="O43" s="182"/>
      <c r="P43" s="182"/>
      <c r="Q43" s="104"/>
    </row>
    <row r="44" spans="1:19" ht="12" x14ac:dyDescent="0.25">
      <c r="A44" s="104"/>
      <c r="B44" s="119"/>
      <c r="C44" s="104"/>
      <c r="D44" s="106"/>
      <c r="E44" s="106"/>
      <c r="F44" s="106"/>
      <c r="G44" s="106"/>
      <c r="H44" s="106"/>
      <c r="I44" s="106"/>
      <c r="J44" s="104"/>
      <c r="K44" s="104"/>
      <c r="L44" s="104"/>
      <c r="M44" s="104"/>
      <c r="N44" s="129">
        <v>0.22</v>
      </c>
      <c r="O44" s="129">
        <v>0.78</v>
      </c>
      <c r="P44" s="128" t="s">
        <v>38</v>
      </c>
      <c r="Q44" s="104"/>
    </row>
    <row r="45" spans="1:19" ht="12" x14ac:dyDescent="0.25">
      <c r="A45" s="104"/>
      <c r="B45" s="104"/>
      <c r="C45" s="104"/>
      <c r="D45" s="106"/>
      <c r="E45" s="106"/>
      <c r="F45" s="127"/>
      <c r="G45" s="127"/>
      <c r="H45" s="119"/>
      <c r="I45" s="119"/>
      <c r="J45" s="104"/>
      <c r="K45" s="126">
        <f>P46/P45</f>
        <v>0.54516101477748358</v>
      </c>
      <c r="L45" s="125" t="s">
        <v>63</v>
      </c>
      <c r="M45" s="124" t="s">
        <v>59</v>
      </c>
      <c r="N45" s="116">
        <f>N38+L38+J38+H38+F38+D38+D30+F30+H30+J30+L30+N30</f>
        <v>12877.7</v>
      </c>
      <c r="O45" s="123">
        <f>O38+M38+K38+I38+G38+E38+E30+G30+I30+K30+M30+O30</f>
        <v>45657.3</v>
      </c>
      <c r="P45" s="116">
        <f>N45+O45</f>
        <v>58535</v>
      </c>
      <c r="Q45" s="122"/>
      <c r="R45" s="121"/>
      <c r="S45" s="120"/>
    </row>
    <row r="46" spans="1:19" ht="12" x14ac:dyDescent="0.25">
      <c r="A46" s="119" t="s">
        <v>62</v>
      </c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18"/>
      <c r="M46" s="117" t="s">
        <v>58</v>
      </c>
      <c r="N46" s="116">
        <f>N40+L40+J40+H40+F40+D40+D32+F32+H32+J32+L32+N32</f>
        <v>7020.42</v>
      </c>
      <c r="O46" s="116">
        <f>O40+M40+K40+I40+G40+E40+E32+G32+I32+K32+M32+O32</f>
        <v>24890.58</v>
      </c>
      <c r="P46" s="116">
        <f>N46+O46</f>
        <v>31911</v>
      </c>
      <c r="Q46" s="104"/>
    </row>
    <row r="47" spans="1:19" ht="12" thickBot="1" x14ac:dyDescent="0.25">
      <c r="A47" s="115" t="s">
        <v>61</v>
      </c>
      <c r="B47" s="115"/>
      <c r="C47" s="115"/>
      <c r="D47" s="114">
        <v>684</v>
      </c>
    </row>
    <row r="48" spans="1:19" x14ac:dyDescent="0.2">
      <c r="M48" s="113"/>
      <c r="N48" s="112" t="s">
        <v>60</v>
      </c>
    </row>
    <row r="49" spans="6:17" ht="12" x14ac:dyDescent="0.25">
      <c r="F49" s="104"/>
      <c r="G49" s="104"/>
      <c r="H49" s="104"/>
      <c r="I49" s="104"/>
      <c r="J49" s="104"/>
      <c r="K49" s="104"/>
      <c r="L49" s="104"/>
      <c r="M49" s="111" t="s">
        <v>59</v>
      </c>
      <c r="N49" s="110">
        <f>P45+J21</f>
        <v>119673</v>
      </c>
      <c r="O49" s="109"/>
      <c r="P49" s="104"/>
      <c r="Q49" s="104"/>
    </row>
    <row r="50" spans="6:17" ht="12" thickBot="1" x14ac:dyDescent="0.25">
      <c r="F50" s="104"/>
      <c r="G50" s="104"/>
      <c r="H50" s="104"/>
      <c r="I50" s="104"/>
      <c r="J50" s="106"/>
      <c r="K50" s="106"/>
      <c r="L50" s="106"/>
      <c r="M50" s="108" t="s">
        <v>58</v>
      </c>
      <c r="N50" s="107">
        <f>J23+P46+D47</f>
        <v>77620</v>
      </c>
      <c r="O50" s="106"/>
      <c r="P50" s="104"/>
      <c r="Q50" s="104"/>
    </row>
    <row r="51" spans="6:17" x14ac:dyDescent="0.2">
      <c r="F51" s="104"/>
      <c r="G51" s="104"/>
      <c r="H51" s="104"/>
      <c r="I51" s="104"/>
      <c r="J51" s="106"/>
      <c r="K51" s="106"/>
      <c r="L51" s="106"/>
      <c r="M51" s="106"/>
      <c r="N51" s="104"/>
      <c r="O51" s="106"/>
      <c r="P51" s="104"/>
      <c r="Q51" s="104"/>
    </row>
  </sheetData>
  <sheetProtection formatCells="0"/>
  <protectedRanges>
    <protectedRange sqref="A13:L13" name="Range8"/>
    <protectedRange sqref="D41:O41" name="Range6"/>
    <protectedRange sqref="D39:O39" name="Range5"/>
    <protectedRange sqref="D33:O33" name="Range4"/>
    <protectedRange sqref="D31:O31" name="Range3"/>
    <protectedRange sqref="D23:I23" name="Range2"/>
    <protectedRange sqref="D21:I21" name="Range1"/>
    <protectedRange sqref="D47" name="Range7"/>
  </protectedRanges>
  <mergeCells count="48">
    <mergeCell ref="A11:L11"/>
    <mergeCell ref="A12:L12"/>
    <mergeCell ref="A13:L13"/>
    <mergeCell ref="A17:O17"/>
    <mergeCell ref="A20:B20"/>
    <mergeCell ref="A22:B22"/>
    <mergeCell ref="A26:O26"/>
    <mergeCell ref="D27:E27"/>
    <mergeCell ref="F27:G27"/>
    <mergeCell ref="H27:I27"/>
    <mergeCell ref="J27:K27"/>
    <mergeCell ref="L27:M27"/>
    <mergeCell ref="N27:O27"/>
    <mergeCell ref="A30:B30"/>
    <mergeCell ref="D31:E31"/>
    <mergeCell ref="F31:G31"/>
    <mergeCell ref="H31:I31"/>
    <mergeCell ref="J31:K31"/>
    <mergeCell ref="L31:M31"/>
    <mergeCell ref="N31:O31"/>
    <mergeCell ref="A32:B32"/>
    <mergeCell ref="D33:E33"/>
    <mergeCell ref="F33:G33"/>
    <mergeCell ref="H33:I33"/>
    <mergeCell ref="J33:K33"/>
    <mergeCell ref="L33:M33"/>
    <mergeCell ref="N33:O33"/>
    <mergeCell ref="N35:O35"/>
    <mergeCell ref="A38:B38"/>
    <mergeCell ref="D39:E39"/>
    <mergeCell ref="F39:G39"/>
    <mergeCell ref="H39:I39"/>
    <mergeCell ref="J39:K39"/>
    <mergeCell ref="L39:M39"/>
    <mergeCell ref="D35:E35"/>
    <mergeCell ref="F35:G35"/>
    <mergeCell ref="H35:I35"/>
    <mergeCell ref="J35:K35"/>
    <mergeCell ref="L35:M35"/>
    <mergeCell ref="N43:P43"/>
    <mergeCell ref="N39:O39"/>
    <mergeCell ref="A40:B40"/>
    <mergeCell ref="D41:E41"/>
    <mergeCell ref="F41:G41"/>
    <mergeCell ref="H41:I41"/>
    <mergeCell ref="J41:K41"/>
    <mergeCell ref="L41:M41"/>
    <mergeCell ref="N41:O41"/>
  </mergeCells>
  <pageMargins left="1" right="1" top="1" bottom="1" header="0.5" footer="0.5"/>
  <pageSetup scale="72" orientation="landscape" r:id="rId1"/>
  <headerFooter>
    <oddHeader>&amp;RSchedule V-K-9.2
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53"/>
  <sheetViews>
    <sheetView view="pageBreakPreview" topLeftCell="A16" zoomScale="60" zoomScaleNormal="100" workbookViewId="0">
      <selection activeCell="A55" sqref="A55:XFD60"/>
    </sheetView>
  </sheetViews>
  <sheetFormatPr defaultColWidth="9.109375" defaultRowHeight="11.4" x14ac:dyDescent="0.2"/>
  <cols>
    <col min="1" max="1" width="9.88671875" style="102" customWidth="1"/>
    <col min="2" max="2" width="14.5546875" style="102" customWidth="1"/>
    <col min="3" max="3" width="0.6640625" style="102" customWidth="1"/>
    <col min="4" max="4" width="10.5546875" style="102" bestFit="1" customWidth="1"/>
    <col min="5" max="5" width="9.33203125" style="102" bestFit="1" customWidth="1"/>
    <col min="6" max="6" width="10.5546875" style="102" bestFit="1" customWidth="1"/>
    <col min="7" max="7" width="9.33203125" style="102" customWidth="1"/>
    <col min="8" max="9" width="11.109375" style="102" customWidth="1"/>
    <col min="10" max="10" width="10.5546875" style="102" bestFit="1" customWidth="1"/>
    <col min="11" max="11" width="9.33203125" style="102" bestFit="1" customWidth="1"/>
    <col min="12" max="13" width="10.33203125" style="102" customWidth="1"/>
    <col min="14" max="14" width="10.6640625" style="102" customWidth="1"/>
    <col min="15" max="15" width="10" style="102" customWidth="1"/>
    <col min="16" max="16" width="10" style="102" bestFit="1" customWidth="1"/>
    <col min="17" max="17" width="9.109375" style="102"/>
    <col min="18" max="18" width="6.109375" style="102" customWidth="1"/>
    <col min="19" max="16384" width="9.109375" style="102"/>
  </cols>
  <sheetData>
    <row r="2" spans="1:13" ht="13.8" x14ac:dyDescent="0.25">
      <c r="A2" s="205" t="s">
        <v>106</v>
      </c>
      <c r="B2" s="208"/>
      <c r="C2" s="221"/>
      <c r="D2" s="222"/>
    </row>
    <row r="3" spans="1:13" ht="13.8" x14ac:dyDescent="0.25">
      <c r="A3" s="206" t="s">
        <v>107</v>
      </c>
      <c r="B3" s="211"/>
      <c r="C3" s="223"/>
      <c r="D3" s="224"/>
    </row>
    <row r="4" spans="1:13" ht="13.8" x14ac:dyDescent="0.25">
      <c r="A4" s="206" t="s">
        <v>111</v>
      </c>
      <c r="B4" s="211"/>
      <c r="C4" s="223"/>
      <c r="D4" s="224"/>
    </row>
    <row r="5" spans="1:13" ht="13.8" x14ac:dyDescent="0.25">
      <c r="A5" s="206" t="s">
        <v>108</v>
      </c>
      <c r="B5" s="211"/>
      <c r="C5" s="223"/>
      <c r="D5" s="224"/>
    </row>
    <row r="6" spans="1:13" ht="13.8" x14ac:dyDescent="0.25">
      <c r="A6" s="206" t="s">
        <v>109</v>
      </c>
      <c r="B6" s="211"/>
      <c r="C6" s="223"/>
      <c r="D6" s="224"/>
    </row>
    <row r="7" spans="1:13" ht="13.8" x14ac:dyDescent="0.25">
      <c r="A7" s="207" t="s">
        <v>110</v>
      </c>
      <c r="B7" s="214"/>
      <c r="C7" s="225"/>
      <c r="D7" s="226"/>
    </row>
    <row r="11" spans="1:13" x14ac:dyDescent="0.2">
      <c r="A11" s="203" t="s">
        <v>94</v>
      </c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165"/>
    </row>
    <row r="12" spans="1:13" x14ac:dyDescent="0.2">
      <c r="A12" s="203" t="s">
        <v>93</v>
      </c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165"/>
    </row>
    <row r="13" spans="1:13" x14ac:dyDescent="0.2">
      <c r="A13" s="203" t="s">
        <v>103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165"/>
    </row>
    <row r="17" spans="1:17" ht="13.8" x14ac:dyDescent="0.25">
      <c r="A17" s="201" t="s">
        <v>91</v>
      </c>
      <c r="B17" s="201"/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</row>
    <row r="18" spans="1:17" x14ac:dyDescent="0.2">
      <c r="A18" s="104"/>
      <c r="B18" s="104"/>
      <c r="J18" s="164"/>
      <c r="K18" s="164"/>
      <c r="L18" s="103"/>
      <c r="M18" s="103"/>
    </row>
    <row r="19" spans="1:17" ht="12" x14ac:dyDescent="0.25">
      <c r="B19" s="104"/>
      <c r="C19" s="104"/>
      <c r="D19" s="163" t="s">
        <v>90</v>
      </c>
      <c r="E19" s="163" t="s">
        <v>89</v>
      </c>
      <c r="F19" s="163" t="s">
        <v>88</v>
      </c>
      <c r="G19" s="163" t="s">
        <v>87</v>
      </c>
      <c r="H19" s="163" t="s">
        <v>81</v>
      </c>
      <c r="I19" s="163" t="s">
        <v>86</v>
      </c>
      <c r="J19" s="162"/>
      <c r="M19" s="162"/>
    </row>
    <row r="20" spans="1:17" ht="18.75" customHeight="1" x14ac:dyDescent="0.25">
      <c r="A20" s="204" t="s">
        <v>69</v>
      </c>
      <c r="B20" s="204"/>
      <c r="C20" s="104"/>
      <c r="D20" s="162">
        <v>11029391</v>
      </c>
      <c r="E20" s="162">
        <v>11029394</v>
      </c>
      <c r="F20" s="162">
        <v>11029392</v>
      </c>
      <c r="G20" s="162">
        <v>11029393</v>
      </c>
      <c r="H20" s="162">
        <v>11029389</v>
      </c>
      <c r="I20" s="162">
        <v>11029390</v>
      </c>
      <c r="J20" s="162" t="s">
        <v>38</v>
      </c>
      <c r="M20" s="162"/>
    </row>
    <row r="21" spans="1:17" ht="13.5" customHeight="1" x14ac:dyDescent="0.25">
      <c r="A21" s="156" t="s">
        <v>85</v>
      </c>
      <c r="B21" s="156"/>
      <c r="C21" s="104"/>
      <c r="D21" s="161">
        <f>14971+68</f>
        <v>15039</v>
      </c>
      <c r="E21" s="160">
        <f>8838+44</f>
        <v>8882</v>
      </c>
      <c r="F21" s="160">
        <f>4806+34</f>
        <v>4840</v>
      </c>
      <c r="G21" s="160">
        <f>14545+76</f>
        <v>14621</v>
      </c>
      <c r="H21" s="160">
        <f>9353+32</f>
        <v>9385</v>
      </c>
      <c r="I21" s="160">
        <f>5158+18</f>
        <v>5176</v>
      </c>
      <c r="J21" s="153">
        <f>(D21+E21+F21+G21+H21+I21)</f>
        <v>57943</v>
      </c>
      <c r="L21" s="126">
        <f>J23/J21</f>
        <v>0.73596465491948981</v>
      </c>
      <c r="M21" s="159" t="s">
        <v>84</v>
      </c>
    </row>
    <row r="22" spans="1:17" ht="22.5" customHeight="1" x14ac:dyDescent="0.25">
      <c r="A22" s="200" t="s">
        <v>83</v>
      </c>
      <c r="B22" s="200"/>
      <c r="C22" s="104"/>
      <c r="D22" s="120">
        <v>11029382</v>
      </c>
      <c r="E22" s="158">
        <v>11029385</v>
      </c>
      <c r="F22" s="120">
        <v>11029383</v>
      </c>
      <c r="G22" s="158">
        <v>11029384</v>
      </c>
      <c r="H22" s="120">
        <v>11029380</v>
      </c>
      <c r="I22" s="158">
        <v>11029381</v>
      </c>
      <c r="J22" s="157"/>
      <c r="M22" s="104"/>
    </row>
    <row r="23" spans="1:17" ht="13.5" customHeight="1" x14ac:dyDescent="0.2">
      <c r="A23" s="156" t="s">
        <v>65</v>
      </c>
      <c r="B23" s="156"/>
      <c r="C23" s="104"/>
      <c r="D23" s="155">
        <f>10614+68</f>
        <v>10682</v>
      </c>
      <c r="E23" s="154">
        <f>7681+44</f>
        <v>7725</v>
      </c>
      <c r="F23" s="155">
        <f>3835+34</f>
        <v>3869</v>
      </c>
      <c r="G23" s="154">
        <f>11352+76</f>
        <v>11428</v>
      </c>
      <c r="H23" s="155">
        <f>6022+32</f>
        <v>6054</v>
      </c>
      <c r="I23" s="154">
        <f>2868+18</f>
        <v>2886</v>
      </c>
      <c r="J23" s="153">
        <f>(D23+E23+F23+G23+H23+I23)</f>
        <v>42644</v>
      </c>
      <c r="L23" s="152"/>
      <c r="M23" s="151"/>
    </row>
    <row r="24" spans="1:17" ht="6.75" customHeight="1" x14ac:dyDescent="0.2">
      <c r="C24" s="104"/>
      <c r="D24" s="104"/>
      <c r="E24" s="104"/>
      <c r="F24" s="104"/>
      <c r="G24" s="104"/>
      <c r="H24" s="104"/>
      <c r="I24" s="104"/>
      <c r="J24" s="104"/>
      <c r="M24" s="104"/>
    </row>
    <row r="25" spans="1:17" ht="12" x14ac:dyDescent="0.25">
      <c r="B25" s="119"/>
      <c r="C25" s="104"/>
      <c r="D25" s="104"/>
      <c r="E25" s="104"/>
      <c r="F25" s="104"/>
      <c r="G25" s="104"/>
      <c r="H25" s="104"/>
      <c r="I25" s="104"/>
      <c r="J25" s="150"/>
      <c r="K25" s="149"/>
      <c r="L25" s="118"/>
      <c r="M25" s="118"/>
    </row>
    <row r="26" spans="1:17" ht="19.5" customHeight="1" x14ac:dyDescent="0.25">
      <c r="A26" s="201" t="s">
        <v>82</v>
      </c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</row>
    <row r="27" spans="1:17" ht="12.6" thickBot="1" x14ac:dyDescent="0.3">
      <c r="D27" s="202" t="s">
        <v>81</v>
      </c>
      <c r="E27" s="202"/>
      <c r="F27" s="202" t="s">
        <v>80</v>
      </c>
      <c r="G27" s="202"/>
      <c r="H27" s="202" t="s">
        <v>79</v>
      </c>
      <c r="I27" s="202"/>
      <c r="J27" s="202" t="s">
        <v>78</v>
      </c>
      <c r="K27" s="202"/>
      <c r="L27" s="202" t="s">
        <v>77</v>
      </c>
      <c r="M27" s="202"/>
      <c r="N27" s="202" t="s">
        <v>76</v>
      </c>
      <c r="O27" s="202"/>
    </row>
    <row r="28" spans="1:17" s="139" customFormat="1" ht="10.199999999999999" x14ac:dyDescent="0.2">
      <c r="A28" s="140"/>
      <c r="B28" s="140"/>
      <c r="C28" s="140"/>
      <c r="D28" s="142">
        <v>0.22</v>
      </c>
      <c r="E28" s="141">
        <v>0.78</v>
      </c>
      <c r="F28" s="142">
        <v>0.22</v>
      </c>
      <c r="G28" s="141">
        <v>0.78</v>
      </c>
      <c r="H28" s="142">
        <v>0.22</v>
      </c>
      <c r="I28" s="141">
        <v>0.78</v>
      </c>
      <c r="J28" s="142">
        <v>0.22</v>
      </c>
      <c r="K28" s="141">
        <v>0.78</v>
      </c>
      <c r="L28" s="142">
        <v>0.22</v>
      </c>
      <c r="M28" s="141">
        <v>0.78</v>
      </c>
      <c r="N28" s="142">
        <v>0.22</v>
      </c>
      <c r="O28" s="141">
        <v>0.78</v>
      </c>
    </row>
    <row r="29" spans="1:17" s="104" customFormat="1" ht="12" thickBot="1" x14ac:dyDescent="0.25">
      <c r="D29" s="138">
        <v>11002001</v>
      </c>
      <c r="E29" s="137">
        <v>11029483</v>
      </c>
      <c r="F29" s="138">
        <v>11002003</v>
      </c>
      <c r="G29" s="137">
        <v>11029487</v>
      </c>
      <c r="H29" s="138">
        <v>11001995</v>
      </c>
      <c r="I29" s="148">
        <v>11029493</v>
      </c>
      <c r="J29" s="138">
        <v>11001997</v>
      </c>
      <c r="K29" s="137">
        <v>11029481</v>
      </c>
      <c r="L29" s="138">
        <v>11002000</v>
      </c>
      <c r="M29" s="137">
        <v>11029486</v>
      </c>
      <c r="N29" s="138">
        <v>11002142</v>
      </c>
      <c r="O29" s="137">
        <v>11029491</v>
      </c>
    </row>
    <row r="30" spans="1:17" ht="12.6" thickBot="1" x14ac:dyDescent="0.3">
      <c r="A30" s="192" t="s">
        <v>69</v>
      </c>
      <c r="B30" s="192"/>
      <c r="C30" s="104"/>
      <c r="D30" s="147">
        <f>D31*D28</f>
        <v>1139.3800000000001</v>
      </c>
      <c r="E30" s="146">
        <f>D31*E28</f>
        <v>4039.6200000000003</v>
      </c>
      <c r="F30" s="147">
        <f>F31*F28</f>
        <v>637.56000000000006</v>
      </c>
      <c r="G30" s="146">
        <f>F31*G28</f>
        <v>2260.44</v>
      </c>
      <c r="H30" s="147">
        <f>H31*H28</f>
        <v>1343.98</v>
      </c>
      <c r="I30" s="146">
        <f>H31*I28</f>
        <v>4765.0200000000004</v>
      </c>
      <c r="J30" s="147">
        <f>J31*J28</f>
        <v>1010.46</v>
      </c>
      <c r="K30" s="146">
        <f>J31*K28</f>
        <v>3582.54</v>
      </c>
      <c r="L30" s="147">
        <f>L31*L28</f>
        <v>968.22</v>
      </c>
      <c r="M30" s="146">
        <f>L31*M28</f>
        <v>3432.78</v>
      </c>
      <c r="N30" s="147">
        <f>N31*N28</f>
        <v>1796.74</v>
      </c>
      <c r="O30" s="146">
        <f>N31*O28</f>
        <v>6370.26</v>
      </c>
      <c r="P30" s="104" t="s">
        <v>66</v>
      </c>
      <c r="Q30" s="104"/>
    </row>
    <row r="31" spans="1:17" ht="12" thickBot="1" x14ac:dyDescent="0.25">
      <c r="A31" s="131" t="s">
        <v>68</v>
      </c>
      <c r="B31" s="131"/>
      <c r="C31" s="104"/>
      <c r="D31" s="198">
        <v>5179</v>
      </c>
      <c r="E31" s="199"/>
      <c r="F31" s="193">
        <v>2898</v>
      </c>
      <c r="G31" s="185"/>
      <c r="H31" s="193">
        <f>5953+156</f>
        <v>6109</v>
      </c>
      <c r="I31" s="185"/>
      <c r="J31" s="193">
        <v>4593</v>
      </c>
      <c r="K31" s="185"/>
      <c r="L31" s="193">
        <v>4401</v>
      </c>
      <c r="M31" s="185"/>
      <c r="N31" s="193">
        <v>8167</v>
      </c>
      <c r="O31" s="185"/>
      <c r="P31" s="104"/>
      <c r="Q31" s="104"/>
    </row>
    <row r="32" spans="1:17" ht="12.6" thickBot="1" x14ac:dyDescent="0.3">
      <c r="A32" s="186" t="s">
        <v>67</v>
      </c>
      <c r="B32" s="187"/>
      <c r="C32" s="104"/>
      <c r="D32" s="145">
        <f>D33*D28</f>
        <v>462.44</v>
      </c>
      <c r="E32" s="144">
        <f>D33*E28</f>
        <v>1639.56</v>
      </c>
      <c r="F32" s="145">
        <f>F33*F28</f>
        <v>86.24</v>
      </c>
      <c r="G32" s="144">
        <f>F33*G28</f>
        <v>305.76</v>
      </c>
      <c r="H32" s="145">
        <f>H33*H28</f>
        <v>865.48</v>
      </c>
      <c r="I32" s="144">
        <f>H33*I28</f>
        <v>3068.52</v>
      </c>
      <c r="J32" s="145">
        <f>J33*J28</f>
        <v>668.58</v>
      </c>
      <c r="K32" s="144">
        <f>J33*K28</f>
        <v>2370.42</v>
      </c>
      <c r="L32" s="144">
        <f>L33*L28</f>
        <v>476.3</v>
      </c>
      <c r="M32" s="144">
        <f>L33*M28</f>
        <v>1688.7</v>
      </c>
      <c r="N32" s="145">
        <f>N33*N28</f>
        <v>821.7</v>
      </c>
      <c r="O32" s="144">
        <f>N33*O28</f>
        <v>2913.3</v>
      </c>
      <c r="P32" s="104" t="s">
        <v>66</v>
      </c>
      <c r="Q32" s="104"/>
    </row>
    <row r="33" spans="1:19" ht="12" thickBot="1" x14ac:dyDescent="0.25">
      <c r="A33" s="131" t="s">
        <v>65</v>
      </c>
      <c r="B33" s="131"/>
      <c r="C33" s="104"/>
      <c r="D33" s="194">
        <v>2102</v>
      </c>
      <c r="E33" s="195"/>
      <c r="F33" s="196">
        <v>392</v>
      </c>
      <c r="G33" s="197"/>
      <c r="H33" s="196">
        <f>3778+156</f>
        <v>3934</v>
      </c>
      <c r="I33" s="197"/>
      <c r="J33" s="196">
        <v>3039</v>
      </c>
      <c r="K33" s="197"/>
      <c r="L33" s="196">
        <v>2165</v>
      </c>
      <c r="M33" s="197"/>
      <c r="N33" s="196">
        <v>3735</v>
      </c>
      <c r="O33" s="197"/>
      <c r="P33" s="104"/>
      <c r="Q33" s="104"/>
    </row>
    <row r="34" spans="1:19" x14ac:dyDescent="0.2">
      <c r="A34" s="104"/>
      <c r="B34" s="104"/>
      <c r="C34" s="122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04"/>
      <c r="P34" s="104"/>
      <c r="Q34" s="104"/>
    </row>
    <row r="35" spans="1:19" ht="12.6" thickBot="1" x14ac:dyDescent="0.3">
      <c r="A35" s="104"/>
      <c r="B35" s="104"/>
      <c r="C35" s="104"/>
      <c r="D35" s="191" t="s">
        <v>75</v>
      </c>
      <c r="E35" s="191"/>
      <c r="F35" s="191" t="s">
        <v>74</v>
      </c>
      <c r="G35" s="191"/>
      <c r="H35" s="191" t="s">
        <v>73</v>
      </c>
      <c r="I35" s="191"/>
      <c r="J35" s="191" t="s">
        <v>72</v>
      </c>
      <c r="K35" s="191"/>
      <c r="L35" s="191" t="s">
        <v>71</v>
      </c>
      <c r="M35" s="191"/>
      <c r="N35" s="191" t="s">
        <v>70</v>
      </c>
      <c r="O35" s="191"/>
      <c r="P35" s="104"/>
      <c r="Q35" s="104"/>
    </row>
    <row r="36" spans="1:19" s="139" customFormat="1" ht="10.199999999999999" x14ac:dyDescent="0.2">
      <c r="A36" s="140"/>
      <c r="B36" s="140"/>
      <c r="C36" s="140"/>
      <c r="D36" s="142">
        <v>0.22</v>
      </c>
      <c r="E36" s="141">
        <v>0.78</v>
      </c>
      <c r="F36" s="142">
        <v>0.22</v>
      </c>
      <c r="G36" s="141">
        <v>0.78</v>
      </c>
      <c r="H36" s="142">
        <v>0.22</v>
      </c>
      <c r="I36" s="141">
        <v>0.78</v>
      </c>
      <c r="J36" s="142">
        <v>0.22</v>
      </c>
      <c r="K36" s="141">
        <v>0.78</v>
      </c>
      <c r="L36" s="142">
        <v>0.22</v>
      </c>
      <c r="M36" s="141">
        <v>0.78</v>
      </c>
      <c r="N36" s="142">
        <v>0.22</v>
      </c>
      <c r="O36" s="141">
        <v>0.78</v>
      </c>
      <c r="P36" s="140"/>
      <c r="Q36" s="140"/>
    </row>
    <row r="37" spans="1:19" ht="12" thickBot="1" x14ac:dyDescent="0.25">
      <c r="C37" s="104"/>
      <c r="D37" s="138">
        <v>11001996</v>
      </c>
      <c r="E37" s="137">
        <v>11029494</v>
      </c>
      <c r="F37" s="138">
        <v>11002006</v>
      </c>
      <c r="G37" s="137">
        <v>11029482</v>
      </c>
      <c r="H37" s="138">
        <v>11002143</v>
      </c>
      <c r="I37" s="137">
        <v>11029490</v>
      </c>
      <c r="J37" s="138">
        <v>11002007</v>
      </c>
      <c r="K37" s="137">
        <v>11029485</v>
      </c>
      <c r="L37" s="138">
        <v>11002008</v>
      </c>
      <c r="M37" s="137">
        <v>11029489</v>
      </c>
      <c r="N37" s="138">
        <v>11002009</v>
      </c>
      <c r="O37" s="137">
        <v>11029484</v>
      </c>
      <c r="P37" s="104"/>
      <c r="Q37" s="104"/>
    </row>
    <row r="38" spans="1:19" ht="12.6" thickBot="1" x14ac:dyDescent="0.3">
      <c r="A38" s="192" t="s">
        <v>69</v>
      </c>
      <c r="B38" s="192"/>
      <c r="C38" s="122"/>
      <c r="D38" s="136">
        <f>D39*D36</f>
        <v>1253.56</v>
      </c>
      <c r="E38" s="135">
        <f>D39*E36</f>
        <v>4444.4400000000005</v>
      </c>
      <c r="F38" s="136">
        <f>F39*F36</f>
        <v>738.1</v>
      </c>
      <c r="G38" s="135">
        <f>F39*G36</f>
        <v>2616.9</v>
      </c>
      <c r="H38" s="136">
        <f>H39*H36</f>
        <v>1045.22</v>
      </c>
      <c r="I38" s="135">
        <f>H39*I36</f>
        <v>3705.78</v>
      </c>
      <c r="J38" s="136">
        <f>J39*J36</f>
        <v>770</v>
      </c>
      <c r="K38" s="135">
        <f>J39*K36</f>
        <v>2730</v>
      </c>
      <c r="L38" s="136">
        <f>L39*L36</f>
        <v>698.28</v>
      </c>
      <c r="M38" s="135">
        <f>L39*M36</f>
        <v>2475.7200000000003</v>
      </c>
      <c r="N38" s="136">
        <f>N39*N36</f>
        <v>698.72</v>
      </c>
      <c r="O38" s="135">
        <f>N39*O36</f>
        <v>2477.2800000000002</v>
      </c>
      <c r="P38" s="104" t="s">
        <v>66</v>
      </c>
      <c r="Q38" s="104"/>
    </row>
    <row r="39" spans="1:19" ht="13.5" customHeight="1" thickBot="1" x14ac:dyDescent="0.25">
      <c r="A39" s="131" t="s">
        <v>68</v>
      </c>
      <c r="B39" s="131"/>
      <c r="C39" s="104"/>
      <c r="D39" s="193">
        <f>5585+113</f>
        <v>5698</v>
      </c>
      <c r="E39" s="185"/>
      <c r="F39" s="184">
        <v>3355</v>
      </c>
      <c r="G39" s="185"/>
      <c r="H39" s="193">
        <v>4751</v>
      </c>
      <c r="I39" s="185"/>
      <c r="J39" s="193">
        <v>3500</v>
      </c>
      <c r="K39" s="185"/>
      <c r="L39" s="193">
        <v>3174</v>
      </c>
      <c r="M39" s="185"/>
      <c r="N39" s="184">
        <v>3176</v>
      </c>
      <c r="O39" s="185"/>
      <c r="P39" s="104"/>
      <c r="Q39" s="104"/>
    </row>
    <row r="40" spans="1:19" ht="12.6" thickBot="1" x14ac:dyDescent="0.3">
      <c r="A40" s="186" t="s">
        <v>67</v>
      </c>
      <c r="B40" s="187"/>
      <c r="C40" s="122"/>
      <c r="D40" s="134">
        <f>D41*D36</f>
        <v>888.58</v>
      </c>
      <c r="E40" s="132">
        <f>D41*E36</f>
        <v>3150.42</v>
      </c>
      <c r="F40" s="134">
        <f>F41*F36</f>
        <v>417.56</v>
      </c>
      <c r="G40" s="132">
        <f>F41*G36</f>
        <v>1480.44</v>
      </c>
      <c r="H40" s="132">
        <f>H41*H36</f>
        <v>501.82</v>
      </c>
      <c r="I40" s="132">
        <f>H41*I36</f>
        <v>1779.18</v>
      </c>
      <c r="J40" s="134">
        <f>J41*J36</f>
        <v>559.02</v>
      </c>
      <c r="K40" s="132">
        <f>J41*K36</f>
        <v>1981.98</v>
      </c>
      <c r="L40" s="134">
        <f>L41*L36</f>
        <v>344.52</v>
      </c>
      <c r="M40" s="132">
        <f>L41*M36</f>
        <v>1221.48</v>
      </c>
      <c r="N40" s="133">
        <f>N41*N36</f>
        <v>538.34</v>
      </c>
      <c r="O40" s="132">
        <f>N41*O36</f>
        <v>1908.66</v>
      </c>
      <c r="P40" s="104" t="s">
        <v>66</v>
      </c>
      <c r="Q40" s="104"/>
    </row>
    <row r="41" spans="1:19" ht="12" thickBot="1" x14ac:dyDescent="0.25">
      <c r="A41" s="131" t="s">
        <v>65</v>
      </c>
      <c r="B41" s="131"/>
      <c r="C41" s="104"/>
      <c r="D41" s="188">
        <f>3926+113</f>
        <v>4039</v>
      </c>
      <c r="E41" s="189"/>
      <c r="F41" s="188">
        <v>1898</v>
      </c>
      <c r="G41" s="189"/>
      <c r="H41" s="188">
        <v>2281</v>
      </c>
      <c r="I41" s="189"/>
      <c r="J41" s="188">
        <v>2541</v>
      </c>
      <c r="K41" s="189"/>
      <c r="L41" s="188">
        <v>1566</v>
      </c>
      <c r="M41" s="189"/>
      <c r="N41" s="190">
        <v>2447</v>
      </c>
      <c r="O41" s="189"/>
      <c r="P41" s="104"/>
      <c r="Q41" s="104"/>
    </row>
    <row r="42" spans="1:19" x14ac:dyDescent="0.2">
      <c r="A42" s="104"/>
      <c r="B42" s="104"/>
      <c r="C42" s="122"/>
      <c r="D42" s="130">
        <f>$C$42*D41</f>
        <v>0</v>
      </c>
      <c r="E42" s="104"/>
      <c r="F42" s="130"/>
      <c r="G42" s="104"/>
      <c r="H42" s="130">
        <f>$C$42*H41</f>
        <v>0</v>
      </c>
      <c r="I42" s="104"/>
      <c r="J42" s="130">
        <f>$C$42*J41</f>
        <v>0</v>
      </c>
      <c r="K42" s="130"/>
      <c r="L42" s="130">
        <f>$C$42*L41</f>
        <v>0</v>
      </c>
      <c r="M42" s="130"/>
      <c r="N42" s="130">
        <f>$C$42*N41</f>
        <v>0</v>
      </c>
      <c r="O42" s="104"/>
      <c r="P42" s="104"/>
      <c r="Q42" s="104"/>
    </row>
    <row r="43" spans="1:19" ht="13.5" customHeight="1" x14ac:dyDescent="0.25">
      <c r="A43" s="104"/>
      <c r="B43" s="119"/>
      <c r="C43" s="104"/>
      <c r="D43" s="106"/>
      <c r="E43" s="106"/>
      <c r="F43" s="106"/>
      <c r="G43" s="106"/>
      <c r="H43" s="106"/>
      <c r="I43" s="106"/>
      <c r="J43" s="104"/>
      <c r="K43" s="104"/>
      <c r="L43" s="104"/>
      <c r="M43" s="104"/>
      <c r="N43" s="182" t="s">
        <v>64</v>
      </c>
      <c r="O43" s="182"/>
      <c r="P43" s="182"/>
      <c r="Q43" s="104"/>
    </row>
    <row r="44" spans="1:19" ht="12" x14ac:dyDescent="0.25">
      <c r="A44" s="104"/>
      <c r="B44" s="119"/>
      <c r="C44" s="104"/>
      <c r="D44" s="106"/>
      <c r="E44" s="106"/>
      <c r="F44" s="106"/>
      <c r="G44" s="106"/>
      <c r="H44" s="106"/>
      <c r="I44" s="106"/>
      <c r="J44" s="104"/>
      <c r="K44" s="104"/>
      <c r="L44" s="104"/>
      <c r="M44" s="104"/>
      <c r="N44" s="129">
        <v>0.22</v>
      </c>
      <c r="O44" s="129">
        <v>0.78</v>
      </c>
      <c r="P44" s="128" t="s">
        <v>38</v>
      </c>
      <c r="Q44" s="104"/>
    </row>
    <row r="45" spans="1:19" ht="12" x14ac:dyDescent="0.25">
      <c r="A45" s="104"/>
      <c r="B45" s="104"/>
      <c r="C45" s="104"/>
      <c r="D45" s="106"/>
      <c r="E45" s="106"/>
      <c r="F45" s="127"/>
      <c r="G45" s="127"/>
      <c r="H45" s="119"/>
      <c r="I45" s="119"/>
      <c r="J45" s="104"/>
      <c r="K45" s="126">
        <f>P46/P45</f>
        <v>0.54797185505718082</v>
      </c>
      <c r="L45" s="125" t="s">
        <v>63</v>
      </c>
      <c r="M45" s="124" t="s">
        <v>59</v>
      </c>
      <c r="N45" s="116">
        <f>N38+L38+J38+H38+F38+D38+D30+F30+H30+J30+L30+N30</f>
        <v>12100.220000000001</v>
      </c>
      <c r="O45" s="123">
        <f>O38+M38+K38+I38+G38+E38+E30+G30+I30+K30+M30+O30</f>
        <v>42900.78</v>
      </c>
      <c r="P45" s="116">
        <f>N45+O45</f>
        <v>55001</v>
      </c>
      <c r="Q45" s="122"/>
      <c r="R45" s="121"/>
      <c r="S45" s="120"/>
    </row>
    <row r="46" spans="1:19" ht="12" x14ac:dyDescent="0.25">
      <c r="A46" s="119" t="s">
        <v>62</v>
      </c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18"/>
      <c r="M46" s="117" t="s">
        <v>58</v>
      </c>
      <c r="N46" s="116">
        <f>N40+L40+J40+H40+F40+D40+D32+F32+H32+J32+L32+N32</f>
        <v>6630.58</v>
      </c>
      <c r="O46" s="116">
        <f>O40+M40+K40+I40+G40+E40+E32+G32+I32+K32+M32+O32</f>
        <v>23508.42</v>
      </c>
      <c r="P46" s="116">
        <f>N46+O46</f>
        <v>30139</v>
      </c>
      <c r="Q46" s="104"/>
    </row>
    <row r="47" spans="1:19" ht="12" thickBot="1" x14ac:dyDescent="0.25">
      <c r="A47" s="115" t="s">
        <v>61</v>
      </c>
      <c r="B47" s="115"/>
      <c r="C47" s="115"/>
      <c r="D47" s="114">
        <v>664</v>
      </c>
    </row>
    <row r="48" spans="1:19" x14ac:dyDescent="0.2">
      <c r="M48" s="113"/>
      <c r="N48" s="112" t="s">
        <v>60</v>
      </c>
    </row>
    <row r="49" spans="1:17" ht="12" x14ac:dyDescent="0.25">
      <c r="F49" s="104"/>
      <c r="G49" s="104"/>
      <c r="H49" s="104"/>
      <c r="I49" s="104"/>
      <c r="J49" s="104"/>
      <c r="K49" s="104"/>
      <c r="L49" s="104"/>
      <c r="M49" s="111" t="s">
        <v>59</v>
      </c>
      <c r="N49" s="110">
        <f>P45+J21</f>
        <v>112944</v>
      </c>
      <c r="O49" s="109"/>
      <c r="P49" s="104"/>
      <c r="Q49" s="104"/>
    </row>
    <row r="50" spans="1:17" ht="12" thickBot="1" x14ac:dyDescent="0.25">
      <c r="F50" s="104"/>
      <c r="G50" s="104"/>
      <c r="H50" s="104"/>
      <c r="I50" s="104"/>
      <c r="J50" s="106"/>
      <c r="K50" s="106"/>
      <c r="L50" s="106"/>
      <c r="M50" s="108" t="s">
        <v>58</v>
      </c>
      <c r="N50" s="107">
        <f>J23+P46+D47</f>
        <v>73447</v>
      </c>
      <c r="O50" s="106"/>
      <c r="P50" s="104"/>
      <c r="Q50" s="104"/>
    </row>
    <row r="51" spans="1:17" x14ac:dyDescent="0.2">
      <c r="F51" s="104"/>
      <c r="G51" s="104"/>
      <c r="H51" s="104"/>
      <c r="I51" s="104"/>
      <c r="J51" s="106"/>
      <c r="K51" s="106"/>
      <c r="L51" s="106"/>
      <c r="M51" s="106"/>
      <c r="N51" s="104"/>
      <c r="O51" s="106"/>
      <c r="P51" s="104"/>
      <c r="Q51" s="104"/>
    </row>
    <row r="52" spans="1:17" x14ac:dyDescent="0.2"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</row>
    <row r="53" spans="1:17" x14ac:dyDescent="0.2">
      <c r="A53" s="183"/>
      <c r="B53" s="183"/>
      <c r="C53" s="183"/>
      <c r="D53" s="183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</row>
  </sheetData>
  <sheetProtection formatCells="0"/>
  <protectedRanges>
    <protectedRange sqref="A13:L13" name="Range8"/>
    <protectedRange sqref="D41:O41" name="Range6"/>
    <protectedRange sqref="D39:O39" name="Range5"/>
    <protectedRange sqref="D33:O33" name="Range4"/>
    <protectedRange sqref="D31:O31" name="Range3"/>
    <protectedRange sqref="D23:I23" name="Range2"/>
    <protectedRange sqref="D21:I21" name="Range1"/>
    <protectedRange sqref="D47" name="Range7"/>
  </protectedRanges>
  <mergeCells count="49">
    <mergeCell ref="A11:L11"/>
    <mergeCell ref="A12:L12"/>
    <mergeCell ref="A13:L13"/>
    <mergeCell ref="A17:O17"/>
    <mergeCell ref="A20:B20"/>
    <mergeCell ref="A22:B22"/>
    <mergeCell ref="A26:O26"/>
    <mergeCell ref="D27:E27"/>
    <mergeCell ref="F27:G27"/>
    <mergeCell ref="H27:I27"/>
    <mergeCell ref="J27:K27"/>
    <mergeCell ref="L27:M27"/>
    <mergeCell ref="N27:O27"/>
    <mergeCell ref="A30:B30"/>
    <mergeCell ref="D31:E31"/>
    <mergeCell ref="F31:G31"/>
    <mergeCell ref="H31:I31"/>
    <mergeCell ref="J31:K31"/>
    <mergeCell ref="L31:M31"/>
    <mergeCell ref="N31:O31"/>
    <mergeCell ref="A32:B32"/>
    <mergeCell ref="D33:E33"/>
    <mergeCell ref="F33:G33"/>
    <mergeCell ref="H33:I33"/>
    <mergeCell ref="J33:K33"/>
    <mergeCell ref="L33:M33"/>
    <mergeCell ref="N33:O33"/>
    <mergeCell ref="N35:O35"/>
    <mergeCell ref="A38:B38"/>
    <mergeCell ref="D39:E39"/>
    <mergeCell ref="F39:G39"/>
    <mergeCell ref="H39:I39"/>
    <mergeCell ref="J39:K39"/>
    <mergeCell ref="L39:M39"/>
    <mergeCell ref="D35:E35"/>
    <mergeCell ref="F35:G35"/>
    <mergeCell ref="H35:I35"/>
    <mergeCell ref="J35:K35"/>
    <mergeCell ref="L35:M35"/>
    <mergeCell ref="N43:P43"/>
    <mergeCell ref="A53:D53"/>
    <mergeCell ref="N39:O39"/>
    <mergeCell ref="A40:B40"/>
    <mergeCell ref="D41:E41"/>
    <mergeCell ref="F41:G41"/>
    <mergeCell ref="H41:I41"/>
    <mergeCell ref="J41:K41"/>
    <mergeCell ref="L41:M41"/>
    <mergeCell ref="N41:O41"/>
  </mergeCells>
  <pageMargins left="1" right="1" top="1" bottom="1" header="0.5" footer="0.5"/>
  <pageSetup scale="68" orientation="landscape" r:id="rId1"/>
  <headerFooter>
    <oddHeader>&amp;RSchedule V-K-9.2
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51"/>
  <sheetViews>
    <sheetView view="pageBreakPreview" topLeftCell="A16" zoomScale="60" zoomScaleNormal="100" workbookViewId="0">
      <selection activeCell="A52" sqref="A52:XFD60"/>
    </sheetView>
  </sheetViews>
  <sheetFormatPr defaultColWidth="9.109375" defaultRowHeight="11.4" x14ac:dyDescent="0.2"/>
  <cols>
    <col min="1" max="1" width="9.88671875" style="102" customWidth="1"/>
    <col min="2" max="2" width="14.5546875" style="102" customWidth="1"/>
    <col min="3" max="3" width="0.6640625" style="102" customWidth="1"/>
    <col min="4" max="4" width="10.5546875" style="102" bestFit="1" customWidth="1"/>
    <col min="5" max="5" width="9.33203125" style="102" bestFit="1" customWidth="1"/>
    <col min="6" max="6" width="10.5546875" style="102" bestFit="1" customWidth="1"/>
    <col min="7" max="7" width="9.33203125" style="102" customWidth="1"/>
    <col min="8" max="9" width="11.109375" style="102" customWidth="1"/>
    <col min="10" max="10" width="10.5546875" style="102" bestFit="1" customWidth="1"/>
    <col min="11" max="11" width="9.33203125" style="102" bestFit="1" customWidth="1"/>
    <col min="12" max="13" width="10.33203125" style="102" customWidth="1"/>
    <col min="14" max="14" width="10.6640625" style="102" customWidth="1"/>
    <col min="15" max="15" width="10" style="102" customWidth="1"/>
    <col min="16" max="16" width="10" style="102" bestFit="1" customWidth="1"/>
    <col min="17" max="17" width="9.109375" style="102"/>
    <col min="18" max="18" width="6.109375" style="102" customWidth="1"/>
    <col min="19" max="16384" width="9.109375" style="102"/>
  </cols>
  <sheetData>
    <row r="2" spans="1:13" ht="13.8" x14ac:dyDescent="0.25">
      <c r="A2" s="205" t="s">
        <v>106</v>
      </c>
      <c r="B2" s="208"/>
      <c r="C2" s="221"/>
      <c r="D2" s="222"/>
    </row>
    <row r="3" spans="1:13" ht="13.8" x14ac:dyDescent="0.25">
      <c r="A3" s="206" t="s">
        <v>107</v>
      </c>
      <c r="B3" s="211"/>
      <c r="C3" s="223"/>
      <c r="D3" s="224"/>
    </row>
    <row r="4" spans="1:13" ht="13.8" x14ac:dyDescent="0.25">
      <c r="A4" s="206" t="s">
        <v>111</v>
      </c>
      <c r="B4" s="211"/>
      <c r="C4" s="223"/>
      <c r="D4" s="224"/>
    </row>
    <row r="5" spans="1:13" ht="13.8" x14ac:dyDescent="0.25">
      <c r="A5" s="206" t="s">
        <v>108</v>
      </c>
      <c r="B5" s="211"/>
      <c r="C5" s="223"/>
      <c r="D5" s="224"/>
    </row>
    <row r="6" spans="1:13" ht="13.8" x14ac:dyDescent="0.25">
      <c r="A6" s="206" t="s">
        <v>109</v>
      </c>
      <c r="B6" s="211"/>
      <c r="C6" s="223"/>
      <c r="D6" s="224"/>
    </row>
    <row r="7" spans="1:13" ht="13.8" x14ac:dyDescent="0.25">
      <c r="A7" s="207" t="s">
        <v>110</v>
      </c>
      <c r="B7" s="214"/>
      <c r="C7" s="225"/>
      <c r="D7" s="226"/>
    </row>
    <row r="11" spans="1:13" x14ac:dyDescent="0.2">
      <c r="A11" s="203" t="s">
        <v>94</v>
      </c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165"/>
    </row>
    <row r="12" spans="1:13" x14ac:dyDescent="0.2">
      <c r="A12" s="203" t="s">
        <v>93</v>
      </c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165"/>
    </row>
    <row r="13" spans="1:13" x14ac:dyDescent="0.2">
      <c r="A13" s="203" t="s">
        <v>102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165"/>
    </row>
    <row r="17" spans="1:17" ht="13.8" x14ac:dyDescent="0.25">
      <c r="A17" s="201" t="s">
        <v>91</v>
      </c>
      <c r="B17" s="201"/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</row>
    <row r="18" spans="1:17" x14ac:dyDescent="0.2">
      <c r="A18" s="104"/>
      <c r="B18" s="104"/>
      <c r="J18" s="164"/>
      <c r="K18" s="164"/>
      <c r="L18" s="103"/>
      <c r="M18" s="103"/>
    </row>
    <row r="19" spans="1:17" ht="12" x14ac:dyDescent="0.25">
      <c r="B19" s="104"/>
      <c r="C19" s="104"/>
      <c r="D19" s="163" t="s">
        <v>90</v>
      </c>
      <c r="E19" s="163" t="s">
        <v>89</v>
      </c>
      <c r="F19" s="163" t="s">
        <v>88</v>
      </c>
      <c r="G19" s="163" t="s">
        <v>87</v>
      </c>
      <c r="H19" s="163" t="s">
        <v>81</v>
      </c>
      <c r="I19" s="163" t="s">
        <v>86</v>
      </c>
      <c r="J19" s="162"/>
      <c r="M19" s="162"/>
    </row>
    <row r="20" spans="1:17" ht="18.75" customHeight="1" x14ac:dyDescent="0.25">
      <c r="A20" s="204" t="s">
        <v>69</v>
      </c>
      <c r="B20" s="204"/>
      <c r="C20" s="104"/>
      <c r="D20" s="162">
        <v>11029391</v>
      </c>
      <c r="E20" s="162">
        <v>11029394</v>
      </c>
      <c r="F20" s="162">
        <v>11029392</v>
      </c>
      <c r="G20" s="162">
        <v>11029393</v>
      </c>
      <c r="H20" s="162">
        <v>11029389</v>
      </c>
      <c r="I20" s="162">
        <v>11029390</v>
      </c>
      <c r="J20" s="162" t="s">
        <v>38</v>
      </c>
      <c r="M20" s="162"/>
    </row>
    <row r="21" spans="1:17" ht="13.5" customHeight="1" x14ac:dyDescent="0.25">
      <c r="A21" s="156" t="s">
        <v>85</v>
      </c>
      <c r="B21" s="156"/>
      <c r="C21" s="104"/>
      <c r="D21" s="161">
        <v>18835</v>
      </c>
      <c r="E21" s="160">
        <v>9439</v>
      </c>
      <c r="F21" s="160">
        <v>5593</v>
      </c>
      <c r="G21" s="160">
        <v>16993</v>
      </c>
      <c r="H21" s="160">
        <v>11853</v>
      </c>
      <c r="I21" s="160">
        <v>6182</v>
      </c>
      <c r="J21" s="153">
        <f>(D21+E21+F21+G21+H21+I21)</f>
        <v>68895</v>
      </c>
      <c r="L21" s="126">
        <f>J23/J21</f>
        <v>0.73883445823354377</v>
      </c>
      <c r="M21" s="159" t="s">
        <v>84</v>
      </c>
    </row>
    <row r="22" spans="1:17" ht="22.5" customHeight="1" x14ac:dyDescent="0.25">
      <c r="A22" s="200" t="s">
        <v>83</v>
      </c>
      <c r="B22" s="200"/>
      <c r="C22" s="104"/>
      <c r="D22" s="120">
        <v>11029382</v>
      </c>
      <c r="E22" s="158">
        <v>11029385</v>
      </c>
      <c r="F22" s="120">
        <v>11029383</v>
      </c>
      <c r="G22" s="158">
        <v>11029384</v>
      </c>
      <c r="H22" s="120">
        <v>11029380</v>
      </c>
      <c r="I22" s="158">
        <v>11029381</v>
      </c>
      <c r="J22" s="157"/>
      <c r="M22" s="104"/>
    </row>
    <row r="23" spans="1:17" ht="13.5" customHeight="1" x14ac:dyDescent="0.2">
      <c r="A23" s="156" t="s">
        <v>65</v>
      </c>
      <c r="B23" s="156"/>
      <c r="C23" s="104"/>
      <c r="D23" s="155">
        <v>13866</v>
      </c>
      <c r="E23" s="154">
        <v>8229</v>
      </c>
      <c r="F23" s="155">
        <v>4452</v>
      </c>
      <c r="G23" s="154">
        <v>13165</v>
      </c>
      <c r="H23" s="155">
        <v>7604</v>
      </c>
      <c r="I23" s="154">
        <v>3586</v>
      </c>
      <c r="J23" s="153">
        <f>(D23+E23+F23+G23+H23+I23)</f>
        <v>50902</v>
      </c>
      <c r="L23" s="152"/>
      <c r="M23" s="151"/>
    </row>
    <row r="24" spans="1:17" ht="6.75" customHeight="1" x14ac:dyDescent="0.2">
      <c r="C24" s="104"/>
      <c r="D24" s="104"/>
      <c r="E24" s="104"/>
      <c r="F24" s="104"/>
      <c r="G24" s="104"/>
      <c r="H24" s="104"/>
      <c r="I24" s="104"/>
      <c r="J24" s="104"/>
      <c r="M24" s="104"/>
    </row>
    <row r="25" spans="1:17" ht="12" x14ac:dyDescent="0.25">
      <c r="B25" s="119"/>
      <c r="C25" s="104"/>
      <c r="D25" s="104"/>
      <c r="E25" s="104"/>
      <c r="F25" s="104"/>
      <c r="G25" s="104"/>
      <c r="H25" s="104"/>
      <c r="I25" s="104"/>
      <c r="J25" s="150"/>
      <c r="K25" s="149"/>
      <c r="L25" s="118"/>
      <c r="M25" s="118"/>
    </row>
    <row r="26" spans="1:17" ht="19.5" customHeight="1" x14ac:dyDescent="0.25">
      <c r="A26" s="201" t="s">
        <v>82</v>
      </c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</row>
    <row r="27" spans="1:17" ht="12.6" thickBot="1" x14ac:dyDescent="0.3">
      <c r="D27" s="202" t="s">
        <v>81</v>
      </c>
      <c r="E27" s="202"/>
      <c r="F27" s="202" t="s">
        <v>80</v>
      </c>
      <c r="G27" s="202"/>
      <c r="H27" s="202" t="s">
        <v>79</v>
      </c>
      <c r="I27" s="202"/>
      <c r="J27" s="202" t="s">
        <v>78</v>
      </c>
      <c r="K27" s="202"/>
      <c r="L27" s="202" t="s">
        <v>77</v>
      </c>
      <c r="M27" s="202"/>
      <c r="N27" s="202" t="s">
        <v>76</v>
      </c>
      <c r="O27" s="202"/>
    </row>
    <row r="28" spans="1:17" s="139" customFormat="1" ht="10.199999999999999" x14ac:dyDescent="0.2">
      <c r="A28" s="140"/>
      <c r="B28" s="140"/>
      <c r="C28" s="140"/>
      <c r="D28" s="142">
        <v>0.22</v>
      </c>
      <c r="E28" s="141">
        <v>0.78</v>
      </c>
      <c r="F28" s="142">
        <v>0.22</v>
      </c>
      <c r="G28" s="141">
        <v>0.78</v>
      </c>
      <c r="H28" s="142">
        <v>0.22</v>
      </c>
      <c r="I28" s="141">
        <v>0.78</v>
      </c>
      <c r="J28" s="142">
        <v>0.22</v>
      </c>
      <c r="K28" s="141">
        <v>0.78</v>
      </c>
      <c r="L28" s="142">
        <v>0.22</v>
      </c>
      <c r="M28" s="141">
        <v>0.78</v>
      </c>
      <c r="N28" s="142">
        <v>0.22</v>
      </c>
      <c r="O28" s="141">
        <v>0.78</v>
      </c>
    </row>
    <row r="29" spans="1:17" s="104" customFormat="1" ht="12" thickBot="1" x14ac:dyDescent="0.25">
      <c r="D29" s="138">
        <v>11002001</v>
      </c>
      <c r="E29" s="137">
        <v>11029483</v>
      </c>
      <c r="F29" s="138">
        <v>11002003</v>
      </c>
      <c r="G29" s="137">
        <v>11029487</v>
      </c>
      <c r="H29" s="138">
        <v>11001995</v>
      </c>
      <c r="I29" s="148">
        <v>11029493</v>
      </c>
      <c r="J29" s="138">
        <v>11001997</v>
      </c>
      <c r="K29" s="137">
        <v>11029481</v>
      </c>
      <c r="L29" s="138">
        <v>11002000</v>
      </c>
      <c r="M29" s="137">
        <v>11029486</v>
      </c>
      <c r="N29" s="138">
        <v>11002142</v>
      </c>
      <c r="O29" s="137">
        <v>11029491</v>
      </c>
    </row>
    <row r="30" spans="1:17" ht="12.6" thickBot="1" x14ac:dyDescent="0.3">
      <c r="A30" s="192" t="s">
        <v>69</v>
      </c>
      <c r="B30" s="192"/>
      <c r="C30" s="104"/>
      <c r="D30" s="147">
        <f>D31*D28</f>
        <v>1378.08</v>
      </c>
      <c r="E30" s="146">
        <f>D31*E28</f>
        <v>4885.92</v>
      </c>
      <c r="F30" s="147">
        <f>F31*F28</f>
        <v>778.36</v>
      </c>
      <c r="G30" s="146">
        <f>F31*G28</f>
        <v>2759.64</v>
      </c>
      <c r="H30" s="147">
        <f>H31*H28</f>
        <v>1713.58</v>
      </c>
      <c r="I30" s="146">
        <f>H31*I28</f>
        <v>6075.42</v>
      </c>
      <c r="J30" s="147">
        <f>J31*J28</f>
        <v>1246.08</v>
      </c>
      <c r="K30" s="146">
        <f>J31*K28</f>
        <v>4417.92</v>
      </c>
      <c r="L30" s="147">
        <f>L31*L28</f>
        <v>1166.6600000000001</v>
      </c>
      <c r="M30" s="146">
        <f>L31*M28</f>
        <v>4136.34</v>
      </c>
      <c r="N30" s="147">
        <f>N31*N28</f>
        <v>1863.6200000000001</v>
      </c>
      <c r="O30" s="146">
        <f>N31*O28</f>
        <v>6607.38</v>
      </c>
      <c r="P30" s="104" t="s">
        <v>66</v>
      </c>
      <c r="Q30" s="104"/>
    </row>
    <row r="31" spans="1:17" ht="12" thickBot="1" x14ac:dyDescent="0.25">
      <c r="A31" s="131" t="s">
        <v>68</v>
      </c>
      <c r="B31" s="131"/>
      <c r="C31" s="104"/>
      <c r="D31" s="198">
        <v>6264</v>
      </c>
      <c r="E31" s="199"/>
      <c r="F31" s="193">
        <v>3538</v>
      </c>
      <c r="G31" s="185"/>
      <c r="H31" s="193">
        <v>7789</v>
      </c>
      <c r="I31" s="185"/>
      <c r="J31" s="193">
        <v>5664</v>
      </c>
      <c r="K31" s="185"/>
      <c r="L31" s="193">
        <v>5303</v>
      </c>
      <c r="M31" s="185"/>
      <c r="N31" s="193">
        <v>8471</v>
      </c>
      <c r="O31" s="185"/>
      <c r="P31" s="104"/>
      <c r="Q31" s="104"/>
    </row>
    <row r="32" spans="1:17" ht="12.6" thickBot="1" x14ac:dyDescent="0.3">
      <c r="A32" s="186" t="s">
        <v>67</v>
      </c>
      <c r="B32" s="187"/>
      <c r="C32" s="104"/>
      <c r="D32" s="145">
        <f>D33*D28</f>
        <v>573.98</v>
      </c>
      <c r="E32" s="144">
        <f>D33*E28</f>
        <v>2035.02</v>
      </c>
      <c r="F32" s="145">
        <f>F33*F28</f>
        <v>91.08</v>
      </c>
      <c r="G32" s="144">
        <f>F33*G28</f>
        <v>322.92</v>
      </c>
      <c r="H32" s="145">
        <f>H33*H28</f>
        <v>1127.72</v>
      </c>
      <c r="I32" s="144">
        <f>H33*I28</f>
        <v>3998.28</v>
      </c>
      <c r="J32" s="145">
        <f>J33*J28</f>
        <v>810.7</v>
      </c>
      <c r="K32" s="144">
        <f>J33*K28</f>
        <v>2874.3</v>
      </c>
      <c r="L32" s="144">
        <f>L33*L28</f>
        <v>614.67999999999995</v>
      </c>
      <c r="M32" s="144">
        <f>L33*M28</f>
        <v>2179.3200000000002</v>
      </c>
      <c r="N32" s="145">
        <f>N33*N28</f>
        <v>859.76</v>
      </c>
      <c r="O32" s="144">
        <f>N33*O28</f>
        <v>3048.2400000000002</v>
      </c>
      <c r="P32" s="104" t="s">
        <v>66</v>
      </c>
      <c r="Q32" s="104"/>
    </row>
    <row r="33" spans="1:19" ht="12" thickBot="1" x14ac:dyDescent="0.25">
      <c r="A33" s="131" t="s">
        <v>65</v>
      </c>
      <c r="B33" s="131"/>
      <c r="C33" s="104"/>
      <c r="D33" s="194">
        <v>2609</v>
      </c>
      <c r="E33" s="195"/>
      <c r="F33" s="196">
        <v>414</v>
      </c>
      <c r="G33" s="197"/>
      <c r="H33" s="196">
        <v>5126</v>
      </c>
      <c r="I33" s="197"/>
      <c r="J33" s="196">
        <v>3685</v>
      </c>
      <c r="K33" s="197"/>
      <c r="L33" s="196">
        <v>2794</v>
      </c>
      <c r="M33" s="197"/>
      <c r="N33" s="196">
        <v>3908</v>
      </c>
      <c r="O33" s="197"/>
      <c r="P33" s="104"/>
      <c r="Q33" s="104"/>
    </row>
    <row r="34" spans="1:19" x14ac:dyDescent="0.2">
      <c r="A34" s="104"/>
      <c r="B34" s="104"/>
      <c r="C34" s="122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04"/>
      <c r="P34" s="104"/>
      <c r="Q34" s="104"/>
    </row>
    <row r="35" spans="1:19" ht="12.6" thickBot="1" x14ac:dyDescent="0.3">
      <c r="A35" s="104"/>
      <c r="B35" s="104"/>
      <c r="C35" s="104"/>
      <c r="D35" s="191" t="s">
        <v>75</v>
      </c>
      <c r="E35" s="191"/>
      <c r="F35" s="191" t="s">
        <v>74</v>
      </c>
      <c r="G35" s="191"/>
      <c r="H35" s="191" t="s">
        <v>73</v>
      </c>
      <c r="I35" s="191"/>
      <c r="J35" s="191" t="s">
        <v>72</v>
      </c>
      <c r="K35" s="191"/>
      <c r="L35" s="191" t="s">
        <v>71</v>
      </c>
      <c r="M35" s="191"/>
      <c r="N35" s="191" t="s">
        <v>70</v>
      </c>
      <c r="O35" s="191"/>
      <c r="P35" s="104"/>
      <c r="Q35" s="104"/>
    </row>
    <row r="36" spans="1:19" s="139" customFormat="1" ht="10.199999999999999" x14ac:dyDescent="0.2">
      <c r="A36" s="140"/>
      <c r="B36" s="140"/>
      <c r="C36" s="140"/>
      <c r="D36" s="142">
        <v>0.22</v>
      </c>
      <c r="E36" s="141">
        <v>0.78</v>
      </c>
      <c r="F36" s="142">
        <v>0.22</v>
      </c>
      <c r="G36" s="141">
        <v>0.78</v>
      </c>
      <c r="H36" s="142">
        <v>0.22</v>
      </c>
      <c r="I36" s="141">
        <v>0.78</v>
      </c>
      <c r="J36" s="142">
        <v>0.22</v>
      </c>
      <c r="K36" s="141">
        <v>0.78</v>
      </c>
      <c r="L36" s="142">
        <v>0.22</v>
      </c>
      <c r="M36" s="141">
        <v>0.78</v>
      </c>
      <c r="N36" s="142">
        <v>0.22</v>
      </c>
      <c r="O36" s="141">
        <v>0.78</v>
      </c>
      <c r="P36" s="140"/>
      <c r="Q36" s="140"/>
    </row>
    <row r="37" spans="1:19" ht="12" thickBot="1" x14ac:dyDescent="0.25">
      <c r="C37" s="104"/>
      <c r="D37" s="138">
        <v>11001996</v>
      </c>
      <c r="E37" s="137">
        <v>11029494</v>
      </c>
      <c r="F37" s="138">
        <v>11002006</v>
      </c>
      <c r="G37" s="137">
        <v>11029482</v>
      </c>
      <c r="H37" s="138">
        <v>11002143</v>
      </c>
      <c r="I37" s="137">
        <v>11029490</v>
      </c>
      <c r="J37" s="138">
        <v>11002007</v>
      </c>
      <c r="K37" s="137">
        <v>11029485</v>
      </c>
      <c r="L37" s="138">
        <v>11002008</v>
      </c>
      <c r="M37" s="137">
        <v>11029489</v>
      </c>
      <c r="N37" s="138">
        <v>11002009</v>
      </c>
      <c r="O37" s="137">
        <v>11029484</v>
      </c>
      <c r="P37" s="104"/>
      <c r="Q37" s="104"/>
    </row>
    <row r="38" spans="1:19" ht="12.6" thickBot="1" x14ac:dyDescent="0.3">
      <c r="A38" s="192" t="s">
        <v>69</v>
      </c>
      <c r="B38" s="192"/>
      <c r="C38" s="122"/>
      <c r="D38" s="136">
        <f>D39*D36</f>
        <v>1412.18</v>
      </c>
      <c r="E38" s="135">
        <f>D39*E36</f>
        <v>5006.8200000000006</v>
      </c>
      <c r="F38" s="136">
        <f>F39*F36</f>
        <v>843.04</v>
      </c>
      <c r="G38" s="135">
        <f>F39*G36</f>
        <v>2988.96</v>
      </c>
      <c r="H38" s="136">
        <f>H39*H36</f>
        <v>1268.08</v>
      </c>
      <c r="I38" s="135">
        <f>H39*I36</f>
        <v>4495.92</v>
      </c>
      <c r="J38" s="136">
        <f>J39*J36</f>
        <v>943.14</v>
      </c>
      <c r="K38" s="135">
        <f>J39*K36</f>
        <v>3343.86</v>
      </c>
      <c r="L38" s="136">
        <f>L39*L36</f>
        <v>793.98</v>
      </c>
      <c r="M38" s="135">
        <f>L39*M36</f>
        <v>2815.02</v>
      </c>
      <c r="N38" s="136">
        <f>N39*N36</f>
        <v>894.74</v>
      </c>
      <c r="O38" s="135">
        <f>N39*O36</f>
        <v>3172.26</v>
      </c>
      <c r="P38" s="104" t="s">
        <v>66</v>
      </c>
      <c r="Q38" s="104"/>
    </row>
    <row r="39" spans="1:19" ht="13.5" customHeight="1" thickBot="1" x14ac:dyDescent="0.25">
      <c r="A39" s="131" t="s">
        <v>68</v>
      </c>
      <c r="B39" s="131"/>
      <c r="C39" s="104"/>
      <c r="D39" s="193">
        <v>6419</v>
      </c>
      <c r="E39" s="185"/>
      <c r="F39" s="184">
        <v>3832</v>
      </c>
      <c r="G39" s="185"/>
      <c r="H39" s="193">
        <v>5764</v>
      </c>
      <c r="I39" s="185"/>
      <c r="J39" s="193">
        <v>4287</v>
      </c>
      <c r="K39" s="185"/>
      <c r="L39" s="193">
        <v>3609</v>
      </c>
      <c r="M39" s="185"/>
      <c r="N39" s="184">
        <v>4067</v>
      </c>
      <c r="O39" s="185"/>
      <c r="P39" s="104"/>
      <c r="Q39" s="104"/>
    </row>
    <row r="40" spans="1:19" ht="12.6" thickBot="1" x14ac:dyDescent="0.3">
      <c r="A40" s="186" t="s">
        <v>67</v>
      </c>
      <c r="B40" s="187"/>
      <c r="C40" s="122"/>
      <c r="D40" s="134">
        <f>D41*D36</f>
        <v>931.7</v>
      </c>
      <c r="E40" s="132">
        <f>D41*E36</f>
        <v>3303.3</v>
      </c>
      <c r="F40" s="134">
        <f>F41*F36</f>
        <v>497.86</v>
      </c>
      <c r="G40" s="132">
        <f>F41*G36</f>
        <v>1765.14</v>
      </c>
      <c r="H40" s="132">
        <f>H41*H36</f>
        <v>645.70000000000005</v>
      </c>
      <c r="I40" s="132">
        <f>H41*I36</f>
        <v>2289.3000000000002</v>
      </c>
      <c r="J40" s="134">
        <f>J41*J36</f>
        <v>666.38</v>
      </c>
      <c r="K40" s="132">
        <f>J41*K36</f>
        <v>2362.62</v>
      </c>
      <c r="L40" s="134">
        <f>L41*L36</f>
        <v>403.04</v>
      </c>
      <c r="M40" s="132">
        <f>L41*M36</f>
        <v>1428.96</v>
      </c>
      <c r="N40" s="133">
        <f>N41*N36</f>
        <v>667.48</v>
      </c>
      <c r="O40" s="132">
        <f>N41*O36</f>
        <v>2366.52</v>
      </c>
      <c r="P40" s="104" t="s">
        <v>66</v>
      </c>
      <c r="Q40" s="104"/>
    </row>
    <row r="41" spans="1:19" ht="12" thickBot="1" x14ac:dyDescent="0.25">
      <c r="A41" s="131" t="s">
        <v>65</v>
      </c>
      <c r="B41" s="131"/>
      <c r="C41" s="104"/>
      <c r="D41" s="188">
        <v>4235</v>
      </c>
      <c r="E41" s="189"/>
      <c r="F41" s="188">
        <v>2263</v>
      </c>
      <c r="G41" s="189"/>
      <c r="H41" s="188">
        <v>2935</v>
      </c>
      <c r="I41" s="189"/>
      <c r="J41" s="188">
        <v>3029</v>
      </c>
      <c r="K41" s="189"/>
      <c r="L41" s="188">
        <v>1832</v>
      </c>
      <c r="M41" s="189"/>
      <c r="N41" s="190">
        <v>3034</v>
      </c>
      <c r="O41" s="189"/>
      <c r="P41" s="104"/>
      <c r="Q41" s="104"/>
    </row>
    <row r="42" spans="1:19" x14ac:dyDescent="0.2">
      <c r="A42" s="104"/>
      <c r="B42" s="104"/>
      <c r="C42" s="122"/>
      <c r="D42" s="130">
        <f>$C$42*D41</f>
        <v>0</v>
      </c>
      <c r="E42" s="104"/>
      <c r="F42" s="130"/>
      <c r="G42" s="104"/>
      <c r="H42" s="130">
        <f>$C$42*H41</f>
        <v>0</v>
      </c>
      <c r="I42" s="104"/>
      <c r="J42" s="130">
        <f>$C$42*J41</f>
        <v>0</v>
      </c>
      <c r="K42" s="130"/>
      <c r="L42" s="130">
        <f>$C$42*L41</f>
        <v>0</v>
      </c>
      <c r="M42" s="130"/>
      <c r="N42" s="130">
        <f>$C$42*N41</f>
        <v>0</v>
      </c>
      <c r="O42" s="104"/>
      <c r="P42" s="104"/>
      <c r="Q42" s="104"/>
    </row>
    <row r="43" spans="1:19" ht="13.5" customHeight="1" x14ac:dyDescent="0.25">
      <c r="A43" s="104"/>
      <c r="B43" s="119"/>
      <c r="C43" s="104"/>
      <c r="D43" s="106"/>
      <c r="E43" s="106"/>
      <c r="F43" s="106"/>
      <c r="G43" s="106"/>
      <c r="H43" s="106"/>
      <c r="I43" s="106"/>
      <c r="J43" s="104"/>
      <c r="K43" s="104"/>
      <c r="L43" s="104"/>
      <c r="M43" s="104"/>
      <c r="N43" s="182" t="s">
        <v>64</v>
      </c>
      <c r="O43" s="182"/>
      <c r="P43" s="182"/>
      <c r="Q43" s="104"/>
    </row>
    <row r="44" spans="1:19" ht="12" x14ac:dyDescent="0.25">
      <c r="A44" s="104"/>
      <c r="B44" s="119"/>
      <c r="C44" s="104"/>
      <c r="D44" s="106"/>
      <c r="E44" s="106"/>
      <c r="F44" s="106"/>
      <c r="G44" s="106"/>
      <c r="H44" s="106"/>
      <c r="I44" s="106"/>
      <c r="J44" s="104"/>
      <c r="K44" s="104"/>
      <c r="L44" s="104"/>
      <c r="M44" s="104"/>
      <c r="N44" s="129">
        <v>0.22</v>
      </c>
      <c r="O44" s="129">
        <v>0.78</v>
      </c>
      <c r="P44" s="128" t="s">
        <v>38</v>
      </c>
      <c r="Q44" s="104"/>
    </row>
    <row r="45" spans="1:19" ht="12" x14ac:dyDescent="0.25">
      <c r="A45" s="104"/>
      <c r="B45" s="104"/>
      <c r="C45" s="104"/>
      <c r="D45" s="106"/>
      <c r="E45" s="106"/>
      <c r="F45" s="127"/>
      <c r="G45" s="127"/>
      <c r="H45" s="119"/>
      <c r="I45" s="119"/>
      <c r="J45" s="104"/>
      <c r="K45" s="126">
        <f>P46/P45</f>
        <v>0.55169443290722542</v>
      </c>
      <c r="L45" s="125" t="s">
        <v>63</v>
      </c>
      <c r="M45" s="124" t="s">
        <v>59</v>
      </c>
      <c r="N45" s="116">
        <f>N38+L38+J38+H38+F38+D38+D30+F30+H30+J30+L30+N30</f>
        <v>14301.54</v>
      </c>
      <c r="O45" s="123">
        <f>O38+M38+K38+I38+G38+E38+E30+G30+I30+K30+M30+O30</f>
        <v>50705.46</v>
      </c>
      <c r="P45" s="116">
        <f>N45+O45</f>
        <v>65007</v>
      </c>
      <c r="Q45" s="122"/>
      <c r="R45" s="121"/>
      <c r="S45" s="120"/>
    </row>
    <row r="46" spans="1:19" ht="12" x14ac:dyDescent="0.25">
      <c r="A46" s="119" t="s">
        <v>62</v>
      </c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18"/>
      <c r="M46" s="117" t="s">
        <v>58</v>
      </c>
      <c r="N46" s="116">
        <f>N40+L40+J40+H40+F40+D40+D32+F32+H32+J32+L32+N32</f>
        <v>7890.0800000000017</v>
      </c>
      <c r="O46" s="116">
        <f>O40+M40+K40+I40+G40+E40+E32+G32+I32+K32+M32+O32</f>
        <v>27973.920000000002</v>
      </c>
      <c r="P46" s="116">
        <f>N46+O46</f>
        <v>35864</v>
      </c>
      <c r="Q46" s="104"/>
    </row>
    <row r="47" spans="1:19" ht="12" thickBot="1" x14ac:dyDescent="0.25">
      <c r="A47" s="115" t="s">
        <v>61</v>
      </c>
      <c r="B47" s="115"/>
      <c r="C47" s="115"/>
      <c r="D47" s="114">
        <v>634</v>
      </c>
    </row>
    <row r="48" spans="1:19" x14ac:dyDescent="0.2">
      <c r="M48" s="113"/>
      <c r="N48" s="112" t="s">
        <v>60</v>
      </c>
    </row>
    <row r="49" spans="6:17" ht="12" x14ac:dyDescent="0.25">
      <c r="F49" s="104"/>
      <c r="G49" s="104"/>
      <c r="H49" s="104"/>
      <c r="I49" s="104"/>
      <c r="J49" s="104"/>
      <c r="K49" s="104"/>
      <c r="L49" s="104"/>
      <c r="M49" s="111" t="s">
        <v>59</v>
      </c>
      <c r="N49" s="110">
        <f>P45+J21</f>
        <v>133902</v>
      </c>
      <c r="O49" s="109"/>
      <c r="P49" s="104"/>
      <c r="Q49" s="104"/>
    </row>
    <row r="50" spans="6:17" ht="12" thickBot="1" x14ac:dyDescent="0.25">
      <c r="F50" s="104"/>
      <c r="G50" s="104"/>
      <c r="H50" s="104"/>
      <c r="I50" s="104"/>
      <c r="J50" s="106"/>
      <c r="K50" s="106"/>
      <c r="L50" s="106"/>
      <c r="M50" s="108" t="s">
        <v>58</v>
      </c>
      <c r="N50" s="107">
        <f>J23+P46+D47</f>
        <v>87400</v>
      </c>
      <c r="O50" s="106"/>
      <c r="P50" s="104"/>
      <c r="Q50" s="104"/>
    </row>
    <row r="51" spans="6:17" x14ac:dyDescent="0.2">
      <c r="F51" s="104"/>
      <c r="G51" s="104"/>
      <c r="H51" s="104"/>
      <c r="I51" s="104"/>
      <c r="J51" s="106"/>
      <c r="K51" s="106"/>
      <c r="L51" s="106"/>
      <c r="M51" s="106"/>
      <c r="N51" s="104"/>
      <c r="O51" s="106"/>
      <c r="P51" s="104"/>
      <c r="Q51" s="104"/>
    </row>
  </sheetData>
  <sheetProtection formatCells="0"/>
  <protectedRanges>
    <protectedRange sqref="A13:L13" name="Range8"/>
    <protectedRange sqref="D41:O41" name="Range6"/>
    <protectedRange sqref="D39:O39" name="Range5"/>
    <protectedRange sqref="D33:O33" name="Range4"/>
    <protectedRange sqref="D31:O31" name="Range3"/>
    <protectedRange sqref="D23:I23" name="Range2"/>
    <protectedRange sqref="D21:I21" name="Range1"/>
    <protectedRange sqref="D47" name="Range7"/>
  </protectedRanges>
  <mergeCells count="48">
    <mergeCell ref="N43:P43"/>
    <mergeCell ref="N39:O39"/>
    <mergeCell ref="A40:B40"/>
    <mergeCell ref="D41:E41"/>
    <mergeCell ref="F41:G41"/>
    <mergeCell ref="H41:I41"/>
    <mergeCell ref="J41:K41"/>
    <mergeCell ref="L41:M41"/>
    <mergeCell ref="N41:O41"/>
    <mergeCell ref="L39:M39"/>
    <mergeCell ref="A38:B38"/>
    <mergeCell ref="D39:E39"/>
    <mergeCell ref="F39:G39"/>
    <mergeCell ref="H39:I39"/>
    <mergeCell ref="J39:K39"/>
    <mergeCell ref="N35:O35"/>
    <mergeCell ref="N31:O31"/>
    <mergeCell ref="A32:B32"/>
    <mergeCell ref="D33:E33"/>
    <mergeCell ref="F33:G33"/>
    <mergeCell ref="H33:I33"/>
    <mergeCell ref="J33:K33"/>
    <mergeCell ref="L33:M33"/>
    <mergeCell ref="N33:O33"/>
    <mergeCell ref="L31:M31"/>
    <mergeCell ref="D35:E35"/>
    <mergeCell ref="F35:G35"/>
    <mergeCell ref="H35:I35"/>
    <mergeCell ref="J35:K35"/>
    <mergeCell ref="L35:M35"/>
    <mergeCell ref="A30:B30"/>
    <mergeCell ref="D31:E31"/>
    <mergeCell ref="F31:G31"/>
    <mergeCell ref="H31:I31"/>
    <mergeCell ref="J31:K31"/>
    <mergeCell ref="A26:O26"/>
    <mergeCell ref="D27:E27"/>
    <mergeCell ref="F27:G27"/>
    <mergeCell ref="H27:I27"/>
    <mergeCell ref="J27:K27"/>
    <mergeCell ref="L27:M27"/>
    <mergeCell ref="N27:O27"/>
    <mergeCell ref="A22:B22"/>
    <mergeCell ref="A11:L11"/>
    <mergeCell ref="A12:L12"/>
    <mergeCell ref="A13:L13"/>
    <mergeCell ref="A17:O17"/>
    <mergeCell ref="A20:B20"/>
  </mergeCells>
  <pageMargins left="1" right="1" top="1" bottom="1" header="0.5" footer="0.5"/>
  <pageSetup scale="72" orientation="landscape" r:id="rId1"/>
  <headerFooter>
    <oddHeader>&amp;RSchedule V-K-9.2
Page &amp;P of 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S51"/>
  <sheetViews>
    <sheetView view="pageBreakPreview" topLeftCell="A22" zoomScale="60" zoomScaleNormal="100" workbookViewId="0">
      <selection activeCell="A52" sqref="A52:XFD60"/>
    </sheetView>
  </sheetViews>
  <sheetFormatPr defaultColWidth="9.109375" defaultRowHeight="11.4" x14ac:dyDescent="0.2"/>
  <cols>
    <col min="1" max="1" width="9.88671875" style="102" customWidth="1"/>
    <col min="2" max="2" width="14.5546875" style="102" customWidth="1"/>
    <col min="3" max="3" width="0.6640625" style="102" customWidth="1"/>
    <col min="4" max="4" width="10.5546875" style="102" bestFit="1" customWidth="1"/>
    <col min="5" max="5" width="9.33203125" style="102" bestFit="1" customWidth="1"/>
    <col min="6" max="6" width="10.5546875" style="102" bestFit="1" customWidth="1"/>
    <col min="7" max="7" width="9.33203125" style="102" customWidth="1"/>
    <col min="8" max="9" width="11.109375" style="102" customWidth="1"/>
    <col min="10" max="10" width="10.5546875" style="102" bestFit="1" customWidth="1"/>
    <col min="11" max="11" width="9.33203125" style="102" bestFit="1" customWidth="1"/>
    <col min="12" max="13" width="10.33203125" style="102" customWidth="1"/>
    <col min="14" max="14" width="10.6640625" style="102" customWidth="1"/>
    <col min="15" max="15" width="10" style="102" customWidth="1"/>
    <col min="16" max="16" width="10" style="102" bestFit="1" customWidth="1"/>
    <col min="17" max="17" width="9.109375" style="102"/>
    <col min="18" max="18" width="6.109375" style="102" customWidth="1"/>
    <col min="19" max="16384" width="9.109375" style="102"/>
  </cols>
  <sheetData>
    <row r="2" spans="1:13" ht="13.8" x14ac:dyDescent="0.25">
      <c r="A2" s="205" t="s">
        <v>106</v>
      </c>
      <c r="B2" s="208"/>
      <c r="C2" s="221"/>
      <c r="D2" s="222"/>
    </row>
    <row r="3" spans="1:13" ht="13.8" x14ac:dyDescent="0.25">
      <c r="A3" s="206" t="s">
        <v>107</v>
      </c>
      <c r="B3" s="211"/>
      <c r="C3" s="223"/>
      <c r="D3" s="224"/>
    </row>
    <row r="4" spans="1:13" ht="13.8" x14ac:dyDescent="0.25">
      <c r="A4" s="206" t="s">
        <v>111</v>
      </c>
      <c r="B4" s="211"/>
      <c r="C4" s="223"/>
      <c r="D4" s="224"/>
    </row>
    <row r="5" spans="1:13" ht="13.8" x14ac:dyDescent="0.25">
      <c r="A5" s="206" t="s">
        <v>108</v>
      </c>
      <c r="B5" s="211"/>
      <c r="C5" s="223"/>
      <c r="D5" s="224"/>
    </row>
    <row r="6" spans="1:13" ht="13.8" x14ac:dyDescent="0.25">
      <c r="A6" s="206" t="s">
        <v>109</v>
      </c>
      <c r="B6" s="211"/>
      <c r="C6" s="223"/>
      <c r="D6" s="224"/>
    </row>
    <row r="7" spans="1:13" ht="13.8" x14ac:dyDescent="0.25">
      <c r="A7" s="207" t="s">
        <v>110</v>
      </c>
      <c r="B7" s="214"/>
      <c r="C7" s="225"/>
      <c r="D7" s="226"/>
    </row>
    <row r="11" spans="1:13" x14ac:dyDescent="0.2">
      <c r="A11" s="203" t="s">
        <v>94</v>
      </c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165"/>
    </row>
    <row r="12" spans="1:13" x14ac:dyDescent="0.2">
      <c r="A12" s="203" t="s">
        <v>93</v>
      </c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165"/>
    </row>
    <row r="13" spans="1:13" x14ac:dyDescent="0.2">
      <c r="A13" s="203" t="s">
        <v>101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165"/>
    </row>
    <row r="17" spans="1:17" ht="13.8" x14ac:dyDescent="0.25">
      <c r="A17" s="201" t="s">
        <v>91</v>
      </c>
      <c r="B17" s="201"/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</row>
    <row r="18" spans="1:17" x14ac:dyDescent="0.2">
      <c r="A18" s="104"/>
      <c r="B18" s="104"/>
      <c r="J18" s="164"/>
      <c r="K18" s="164"/>
      <c r="L18" s="103"/>
      <c r="M18" s="103"/>
    </row>
    <row r="19" spans="1:17" ht="12" x14ac:dyDescent="0.25">
      <c r="B19" s="104"/>
      <c r="C19" s="104"/>
      <c r="D19" s="163" t="s">
        <v>90</v>
      </c>
      <c r="E19" s="163" t="s">
        <v>89</v>
      </c>
      <c r="F19" s="163" t="s">
        <v>88</v>
      </c>
      <c r="G19" s="163" t="s">
        <v>87</v>
      </c>
      <c r="H19" s="163" t="s">
        <v>81</v>
      </c>
      <c r="I19" s="163" t="s">
        <v>86</v>
      </c>
      <c r="J19" s="162"/>
      <c r="M19" s="162"/>
    </row>
    <row r="20" spans="1:17" ht="18.75" customHeight="1" x14ac:dyDescent="0.25">
      <c r="A20" s="204" t="s">
        <v>69</v>
      </c>
      <c r="B20" s="204"/>
      <c r="C20" s="104"/>
      <c r="D20" s="162">
        <v>11029391</v>
      </c>
      <c r="E20" s="162">
        <v>11029394</v>
      </c>
      <c r="F20" s="162">
        <v>11029392</v>
      </c>
      <c r="G20" s="162">
        <v>11029393</v>
      </c>
      <c r="H20" s="162">
        <v>11029389</v>
      </c>
      <c r="I20" s="162">
        <v>11029390</v>
      </c>
      <c r="J20" s="162" t="s">
        <v>38</v>
      </c>
      <c r="M20" s="162"/>
    </row>
    <row r="21" spans="1:17" ht="13.5" customHeight="1" x14ac:dyDescent="0.25">
      <c r="A21" s="156" t="s">
        <v>85</v>
      </c>
      <c r="B21" s="156"/>
      <c r="C21" s="104"/>
      <c r="D21" s="161">
        <f>17443+56</f>
        <v>17499</v>
      </c>
      <c r="E21" s="160">
        <f>9579+30</f>
        <v>9609</v>
      </c>
      <c r="F21" s="160">
        <f>5359+21</f>
        <v>5380</v>
      </c>
      <c r="G21" s="160">
        <f>17105+63</f>
        <v>17168</v>
      </c>
      <c r="H21" s="160">
        <f>12172+40</f>
        <v>12212</v>
      </c>
      <c r="I21" s="160">
        <f>6653+22</f>
        <v>6675</v>
      </c>
      <c r="J21" s="153">
        <f>(D21+E21+F21+G21+H21+I21)</f>
        <v>68543</v>
      </c>
      <c r="L21" s="126">
        <f>J23/J21</f>
        <v>0.72032154997592757</v>
      </c>
      <c r="M21" s="159" t="s">
        <v>84</v>
      </c>
    </row>
    <row r="22" spans="1:17" ht="22.5" customHeight="1" x14ac:dyDescent="0.25">
      <c r="A22" s="200" t="s">
        <v>83</v>
      </c>
      <c r="B22" s="200"/>
      <c r="C22" s="104"/>
      <c r="D22" s="120">
        <v>11029382</v>
      </c>
      <c r="E22" s="158">
        <v>11029385</v>
      </c>
      <c r="F22" s="120">
        <v>11029383</v>
      </c>
      <c r="G22" s="158">
        <v>11029384</v>
      </c>
      <c r="H22" s="120">
        <v>11029380</v>
      </c>
      <c r="I22" s="158">
        <v>11029381</v>
      </c>
      <c r="J22" s="157"/>
      <c r="M22" s="104"/>
    </row>
    <row r="23" spans="1:17" ht="13.5" customHeight="1" x14ac:dyDescent="0.2">
      <c r="A23" s="156" t="s">
        <v>65</v>
      </c>
      <c r="B23" s="156"/>
      <c r="C23" s="104"/>
      <c r="D23" s="155">
        <f>12308+56</f>
        <v>12364</v>
      </c>
      <c r="E23" s="154">
        <f>8247+30</f>
        <v>8277</v>
      </c>
      <c r="F23" s="155">
        <f>4071+21</f>
        <v>4092</v>
      </c>
      <c r="G23" s="154">
        <f>13258+63</f>
        <v>13321</v>
      </c>
      <c r="H23" s="155">
        <f>7698+40</f>
        <v>7738</v>
      </c>
      <c r="I23" s="154">
        <f>3559+22</f>
        <v>3581</v>
      </c>
      <c r="J23" s="153">
        <f>(D23+E23+F23+G23+H23+I23)</f>
        <v>49373</v>
      </c>
      <c r="L23" s="152"/>
      <c r="M23" s="151"/>
    </row>
    <row r="24" spans="1:17" ht="6.75" customHeight="1" x14ac:dyDescent="0.2">
      <c r="C24" s="104"/>
      <c r="D24" s="104"/>
      <c r="E24" s="104"/>
      <c r="F24" s="104"/>
      <c r="G24" s="104"/>
      <c r="H24" s="104"/>
      <c r="I24" s="104"/>
      <c r="J24" s="104"/>
      <c r="M24" s="104"/>
    </row>
    <row r="25" spans="1:17" ht="12" x14ac:dyDescent="0.25">
      <c r="B25" s="119"/>
      <c r="C25" s="104"/>
      <c r="D25" s="104"/>
      <c r="E25" s="104"/>
      <c r="F25" s="104"/>
      <c r="G25" s="104"/>
      <c r="H25" s="104"/>
      <c r="I25" s="104"/>
      <c r="J25" s="150"/>
      <c r="K25" s="149"/>
      <c r="L25" s="118"/>
      <c r="M25" s="118"/>
    </row>
    <row r="26" spans="1:17" ht="19.5" customHeight="1" x14ac:dyDescent="0.25">
      <c r="A26" s="201" t="s">
        <v>82</v>
      </c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</row>
    <row r="27" spans="1:17" ht="12.6" thickBot="1" x14ac:dyDescent="0.3">
      <c r="D27" s="202" t="s">
        <v>81</v>
      </c>
      <c r="E27" s="202"/>
      <c r="F27" s="202" t="s">
        <v>80</v>
      </c>
      <c r="G27" s="202"/>
      <c r="H27" s="202" t="s">
        <v>79</v>
      </c>
      <c r="I27" s="202"/>
      <c r="J27" s="202" t="s">
        <v>78</v>
      </c>
      <c r="K27" s="202"/>
      <c r="L27" s="202" t="s">
        <v>77</v>
      </c>
      <c r="M27" s="202"/>
      <c r="N27" s="202" t="s">
        <v>76</v>
      </c>
      <c r="O27" s="202"/>
    </row>
    <row r="28" spans="1:17" s="139" customFormat="1" ht="10.199999999999999" x14ac:dyDescent="0.2">
      <c r="A28" s="140"/>
      <c r="B28" s="140"/>
      <c r="C28" s="140"/>
      <c r="D28" s="142">
        <v>0.22</v>
      </c>
      <c r="E28" s="141">
        <v>0.78</v>
      </c>
      <c r="F28" s="142">
        <v>0.22</v>
      </c>
      <c r="G28" s="141">
        <v>0.78</v>
      </c>
      <c r="H28" s="142">
        <v>0.22</v>
      </c>
      <c r="I28" s="141">
        <v>0.78</v>
      </c>
      <c r="J28" s="142">
        <v>0.22</v>
      </c>
      <c r="K28" s="141">
        <v>0.78</v>
      </c>
      <c r="L28" s="142">
        <v>0.22</v>
      </c>
      <c r="M28" s="141">
        <v>0.78</v>
      </c>
      <c r="N28" s="142">
        <v>0.22</v>
      </c>
      <c r="O28" s="141">
        <v>0.78</v>
      </c>
    </row>
    <row r="29" spans="1:17" s="104" customFormat="1" ht="12" thickBot="1" x14ac:dyDescent="0.25">
      <c r="D29" s="138">
        <v>11002001</v>
      </c>
      <c r="E29" s="137">
        <v>11029483</v>
      </c>
      <c r="F29" s="138">
        <v>11002003</v>
      </c>
      <c r="G29" s="137">
        <v>11029487</v>
      </c>
      <c r="H29" s="138">
        <v>11001995</v>
      </c>
      <c r="I29" s="148">
        <v>11029493</v>
      </c>
      <c r="J29" s="138">
        <v>11001997</v>
      </c>
      <c r="K29" s="137">
        <v>11029481</v>
      </c>
      <c r="L29" s="138">
        <v>11002000</v>
      </c>
      <c r="M29" s="137">
        <v>11029486</v>
      </c>
      <c r="N29" s="138">
        <v>11002142</v>
      </c>
      <c r="O29" s="137">
        <v>11029491</v>
      </c>
    </row>
    <row r="30" spans="1:17" ht="12.6" thickBot="1" x14ac:dyDescent="0.3">
      <c r="A30" s="192" t="s">
        <v>69</v>
      </c>
      <c r="B30" s="192"/>
      <c r="C30" s="104"/>
      <c r="D30" s="147">
        <f>D31*D28</f>
        <v>1382.04</v>
      </c>
      <c r="E30" s="146">
        <f>D31*E28</f>
        <v>4899.96</v>
      </c>
      <c r="F30" s="147">
        <f>F31*F28</f>
        <v>757.68</v>
      </c>
      <c r="G30" s="146">
        <f>F31*G28</f>
        <v>2686.32</v>
      </c>
      <c r="H30" s="147">
        <f>H31*H28</f>
        <v>1514.48</v>
      </c>
      <c r="I30" s="146">
        <f>H31*I28</f>
        <v>5369.52</v>
      </c>
      <c r="J30" s="147">
        <f>J31*J28</f>
        <v>1156.54</v>
      </c>
      <c r="K30" s="146">
        <f>J31*K28</f>
        <v>4100.46</v>
      </c>
      <c r="L30" s="147">
        <f>L31*L28</f>
        <v>1226.94</v>
      </c>
      <c r="M30" s="146">
        <f>L31*M28</f>
        <v>4350.0600000000004</v>
      </c>
      <c r="N30" s="147">
        <f>N31*N28</f>
        <v>1840.08</v>
      </c>
      <c r="O30" s="146">
        <f>N31*O28</f>
        <v>6523.92</v>
      </c>
      <c r="P30" s="104" t="s">
        <v>66</v>
      </c>
      <c r="Q30" s="104"/>
    </row>
    <row r="31" spans="1:17" ht="12" thickBot="1" x14ac:dyDescent="0.25">
      <c r="A31" s="131" t="s">
        <v>68</v>
      </c>
      <c r="B31" s="131"/>
      <c r="C31" s="104"/>
      <c r="D31" s="198">
        <v>6282</v>
      </c>
      <c r="E31" s="199"/>
      <c r="F31" s="193">
        <v>3444</v>
      </c>
      <c r="G31" s="185"/>
      <c r="H31" s="193">
        <f>6763+121</f>
        <v>6884</v>
      </c>
      <c r="I31" s="185"/>
      <c r="J31" s="193">
        <v>5257</v>
      </c>
      <c r="K31" s="185"/>
      <c r="L31" s="193">
        <v>5577</v>
      </c>
      <c r="M31" s="185"/>
      <c r="N31" s="193">
        <v>8364</v>
      </c>
      <c r="O31" s="185"/>
      <c r="P31" s="104"/>
      <c r="Q31" s="104"/>
    </row>
    <row r="32" spans="1:17" ht="12.6" thickBot="1" x14ac:dyDescent="0.3">
      <c r="A32" s="186" t="s">
        <v>67</v>
      </c>
      <c r="B32" s="187"/>
      <c r="C32" s="104"/>
      <c r="D32" s="145">
        <f>D33*D28</f>
        <v>560.78</v>
      </c>
      <c r="E32" s="144">
        <f>D33*E28</f>
        <v>1988.22</v>
      </c>
      <c r="F32" s="145">
        <f>F33*F28</f>
        <v>80.959999999999994</v>
      </c>
      <c r="G32" s="144">
        <f>F33*G28</f>
        <v>287.04000000000002</v>
      </c>
      <c r="H32" s="145">
        <f>H33*H28</f>
        <v>946</v>
      </c>
      <c r="I32" s="144">
        <f>H33*I28</f>
        <v>3354</v>
      </c>
      <c r="J32" s="145">
        <f>J33*J28</f>
        <v>749.98</v>
      </c>
      <c r="K32" s="144">
        <f>J33*K28</f>
        <v>2659.02</v>
      </c>
      <c r="L32" s="144">
        <f>L33*L28</f>
        <v>617.1</v>
      </c>
      <c r="M32" s="144">
        <f>L33*M28</f>
        <v>2187.9</v>
      </c>
      <c r="N32" s="145">
        <f>N33*N28</f>
        <v>847.88</v>
      </c>
      <c r="O32" s="144">
        <f>N33*O28</f>
        <v>3006.12</v>
      </c>
      <c r="P32" s="104" t="s">
        <v>66</v>
      </c>
      <c r="Q32" s="104"/>
    </row>
    <row r="33" spans="1:19" ht="12" thickBot="1" x14ac:dyDescent="0.25">
      <c r="A33" s="131" t="s">
        <v>65</v>
      </c>
      <c r="B33" s="131"/>
      <c r="C33" s="104"/>
      <c r="D33" s="194">
        <v>2549</v>
      </c>
      <c r="E33" s="195"/>
      <c r="F33" s="196">
        <v>368</v>
      </c>
      <c r="G33" s="197"/>
      <c r="H33" s="196">
        <f>4179+121</f>
        <v>4300</v>
      </c>
      <c r="I33" s="197"/>
      <c r="J33" s="196">
        <v>3409</v>
      </c>
      <c r="K33" s="197"/>
      <c r="L33" s="196">
        <v>2805</v>
      </c>
      <c r="M33" s="197"/>
      <c r="N33" s="196">
        <v>3854</v>
      </c>
      <c r="O33" s="197"/>
      <c r="P33" s="104"/>
      <c r="Q33" s="104"/>
    </row>
    <row r="34" spans="1:19" x14ac:dyDescent="0.2">
      <c r="A34" s="104"/>
      <c r="B34" s="104"/>
      <c r="C34" s="122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04"/>
      <c r="P34" s="104"/>
      <c r="Q34" s="104"/>
    </row>
    <row r="35" spans="1:19" ht="12.6" thickBot="1" x14ac:dyDescent="0.3">
      <c r="A35" s="104"/>
      <c r="B35" s="104"/>
      <c r="C35" s="104"/>
      <c r="D35" s="191" t="s">
        <v>75</v>
      </c>
      <c r="E35" s="191"/>
      <c r="F35" s="191" t="s">
        <v>74</v>
      </c>
      <c r="G35" s="191"/>
      <c r="H35" s="191" t="s">
        <v>73</v>
      </c>
      <c r="I35" s="191"/>
      <c r="J35" s="191" t="s">
        <v>72</v>
      </c>
      <c r="K35" s="191"/>
      <c r="L35" s="191" t="s">
        <v>71</v>
      </c>
      <c r="M35" s="191"/>
      <c r="N35" s="191" t="s">
        <v>70</v>
      </c>
      <c r="O35" s="191"/>
      <c r="P35" s="104"/>
      <c r="Q35" s="104"/>
    </row>
    <row r="36" spans="1:19" s="139" customFormat="1" ht="10.199999999999999" x14ac:dyDescent="0.2">
      <c r="A36" s="140"/>
      <c r="B36" s="140"/>
      <c r="C36" s="140"/>
      <c r="D36" s="142">
        <v>0.22</v>
      </c>
      <c r="E36" s="141">
        <v>0.78</v>
      </c>
      <c r="F36" s="142">
        <v>0.22</v>
      </c>
      <c r="G36" s="141">
        <v>0.78</v>
      </c>
      <c r="H36" s="142">
        <v>0.22</v>
      </c>
      <c r="I36" s="141">
        <v>0.78</v>
      </c>
      <c r="J36" s="142">
        <v>0.22</v>
      </c>
      <c r="K36" s="141">
        <v>0.78</v>
      </c>
      <c r="L36" s="142">
        <v>0.22</v>
      </c>
      <c r="M36" s="141">
        <v>0.78</v>
      </c>
      <c r="N36" s="142">
        <v>0.22</v>
      </c>
      <c r="O36" s="141">
        <v>0.78</v>
      </c>
      <c r="P36" s="140"/>
      <c r="Q36" s="140"/>
    </row>
    <row r="37" spans="1:19" ht="12" thickBot="1" x14ac:dyDescent="0.25">
      <c r="C37" s="104"/>
      <c r="D37" s="138">
        <v>11001996</v>
      </c>
      <c r="E37" s="137">
        <v>11029494</v>
      </c>
      <c r="F37" s="138">
        <v>11002006</v>
      </c>
      <c r="G37" s="137">
        <v>11029482</v>
      </c>
      <c r="H37" s="138">
        <v>11002143</v>
      </c>
      <c r="I37" s="137">
        <v>11029490</v>
      </c>
      <c r="J37" s="138">
        <v>11002007</v>
      </c>
      <c r="K37" s="137">
        <v>11029485</v>
      </c>
      <c r="L37" s="138">
        <v>11002008</v>
      </c>
      <c r="M37" s="137">
        <v>11029489</v>
      </c>
      <c r="N37" s="138">
        <v>11002009</v>
      </c>
      <c r="O37" s="137">
        <v>11029484</v>
      </c>
      <c r="P37" s="104"/>
      <c r="Q37" s="104"/>
    </row>
    <row r="38" spans="1:19" ht="12.6" thickBot="1" x14ac:dyDescent="0.3">
      <c r="A38" s="192" t="s">
        <v>69</v>
      </c>
      <c r="B38" s="192"/>
      <c r="C38" s="122"/>
      <c r="D38" s="136">
        <f>D39*D36</f>
        <v>1531.86</v>
      </c>
      <c r="E38" s="135">
        <f>D39*E36</f>
        <v>5431.14</v>
      </c>
      <c r="F38" s="136">
        <f>F39*F36</f>
        <v>930.6</v>
      </c>
      <c r="G38" s="135">
        <f>F39*G36</f>
        <v>3299.4</v>
      </c>
      <c r="H38" s="136">
        <f>H39*H36</f>
        <v>1232.8800000000001</v>
      </c>
      <c r="I38" s="135">
        <f>H39*I36</f>
        <v>4371.12</v>
      </c>
      <c r="J38" s="136">
        <f>J39*J36</f>
        <v>998.14</v>
      </c>
      <c r="K38" s="135">
        <f>J39*K36</f>
        <v>3538.86</v>
      </c>
      <c r="L38" s="136">
        <f>L39*L36</f>
        <v>833.8</v>
      </c>
      <c r="M38" s="135">
        <f>L39*M36</f>
        <v>2956.2000000000003</v>
      </c>
      <c r="N38" s="136">
        <f>N39*N36</f>
        <v>786.94</v>
      </c>
      <c r="O38" s="135">
        <f>N39*O36</f>
        <v>2790.06</v>
      </c>
      <c r="P38" s="104" t="s">
        <v>66</v>
      </c>
      <c r="Q38" s="104"/>
    </row>
    <row r="39" spans="1:19" ht="13.5" customHeight="1" thickBot="1" x14ac:dyDescent="0.25">
      <c r="A39" s="131" t="s">
        <v>68</v>
      </c>
      <c r="B39" s="131"/>
      <c r="C39" s="104"/>
      <c r="D39" s="193">
        <f>6860+103</f>
        <v>6963</v>
      </c>
      <c r="E39" s="185"/>
      <c r="F39" s="184">
        <v>4230</v>
      </c>
      <c r="G39" s="185"/>
      <c r="H39" s="193">
        <v>5604</v>
      </c>
      <c r="I39" s="185"/>
      <c r="J39" s="193">
        <v>4537</v>
      </c>
      <c r="K39" s="185"/>
      <c r="L39" s="193">
        <v>3790</v>
      </c>
      <c r="M39" s="185"/>
      <c r="N39" s="184">
        <v>3577</v>
      </c>
      <c r="O39" s="185"/>
      <c r="P39" s="104"/>
      <c r="Q39" s="104"/>
    </row>
    <row r="40" spans="1:19" ht="12.6" thickBot="1" x14ac:dyDescent="0.3">
      <c r="A40" s="186" t="s">
        <v>67</v>
      </c>
      <c r="B40" s="187"/>
      <c r="C40" s="122"/>
      <c r="D40" s="134">
        <f>D41*D36</f>
        <v>980.1</v>
      </c>
      <c r="E40" s="132">
        <f>D41*E36</f>
        <v>3474.9</v>
      </c>
      <c r="F40" s="134">
        <f>F41*F36</f>
        <v>554.84</v>
      </c>
      <c r="G40" s="132">
        <f>F41*G36</f>
        <v>1967.16</v>
      </c>
      <c r="H40" s="132">
        <f>H41*H36</f>
        <v>625.02</v>
      </c>
      <c r="I40" s="132">
        <f>H41*I36</f>
        <v>2215.98</v>
      </c>
      <c r="J40" s="134">
        <f>J41*J36</f>
        <v>720.5</v>
      </c>
      <c r="K40" s="132">
        <f>J41*K36</f>
        <v>2554.5</v>
      </c>
      <c r="L40" s="134">
        <f>L41*L36</f>
        <v>412.06</v>
      </c>
      <c r="M40" s="132">
        <f>L41*M36</f>
        <v>1460.94</v>
      </c>
      <c r="N40" s="133">
        <f>N41*N36</f>
        <v>574.86</v>
      </c>
      <c r="O40" s="132">
        <f>N41*O36</f>
        <v>2038.14</v>
      </c>
      <c r="P40" s="104" t="s">
        <v>66</v>
      </c>
      <c r="Q40" s="104"/>
    </row>
    <row r="41" spans="1:19" ht="12" thickBot="1" x14ac:dyDescent="0.25">
      <c r="A41" s="131" t="s">
        <v>65</v>
      </c>
      <c r="B41" s="131"/>
      <c r="C41" s="104"/>
      <c r="D41" s="188">
        <f>4352+103</f>
        <v>4455</v>
      </c>
      <c r="E41" s="189"/>
      <c r="F41" s="188">
        <v>2522</v>
      </c>
      <c r="G41" s="189"/>
      <c r="H41" s="188">
        <v>2841</v>
      </c>
      <c r="I41" s="189"/>
      <c r="J41" s="188">
        <v>3275</v>
      </c>
      <c r="K41" s="189"/>
      <c r="L41" s="188">
        <v>1873</v>
      </c>
      <c r="M41" s="189"/>
      <c r="N41" s="190">
        <v>2613</v>
      </c>
      <c r="O41" s="189"/>
      <c r="P41" s="104"/>
      <c r="Q41" s="104"/>
    </row>
    <row r="42" spans="1:19" x14ac:dyDescent="0.2">
      <c r="A42" s="104"/>
      <c r="B42" s="104"/>
      <c r="C42" s="122"/>
      <c r="D42" s="130">
        <f>$C$42*D41</f>
        <v>0</v>
      </c>
      <c r="E42" s="104"/>
      <c r="F42" s="130"/>
      <c r="G42" s="104"/>
      <c r="H42" s="130">
        <f>$C$42*H41</f>
        <v>0</v>
      </c>
      <c r="I42" s="104"/>
      <c r="J42" s="130">
        <f>$C$42*J41</f>
        <v>0</v>
      </c>
      <c r="K42" s="130"/>
      <c r="L42" s="130">
        <f>$C$42*L41</f>
        <v>0</v>
      </c>
      <c r="M42" s="130"/>
      <c r="N42" s="130">
        <f>$C$42*N41</f>
        <v>0</v>
      </c>
      <c r="O42" s="104"/>
      <c r="P42" s="104"/>
      <c r="Q42" s="104"/>
    </row>
    <row r="43" spans="1:19" ht="13.5" customHeight="1" x14ac:dyDescent="0.25">
      <c r="A43" s="104"/>
      <c r="B43" s="119"/>
      <c r="C43" s="104"/>
      <c r="D43" s="106"/>
      <c r="E43" s="106"/>
      <c r="F43" s="106"/>
      <c r="G43" s="106"/>
      <c r="H43" s="106"/>
      <c r="I43" s="106"/>
      <c r="J43" s="104"/>
      <c r="K43" s="104"/>
      <c r="L43" s="104"/>
      <c r="M43" s="104"/>
      <c r="N43" s="182" t="s">
        <v>64</v>
      </c>
      <c r="O43" s="182"/>
      <c r="P43" s="182"/>
      <c r="Q43" s="104"/>
    </row>
    <row r="44" spans="1:19" ht="12" x14ac:dyDescent="0.25">
      <c r="A44" s="104"/>
      <c r="B44" s="119"/>
      <c r="C44" s="104"/>
      <c r="D44" s="106"/>
      <c r="E44" s="106"/>
      <c r="F44" s="106"/>
      <c r="G44" s="106"/>
      <c r="H44" s="106"/>
      <c r="I44" s="106"/>
      <c r="J44" s="104"/>
      <c r="K44" s="104"/>
      <c r="L44" s="104"/>
      <c r="M44" s="104"/>
      <c r="N44" s="129">
        <v>0.22</v>
      </c>
      <c r="O44" s="129">
        <v>0.78</v>
      </c>
      <c r="P44" s="128" t="s">
        <v>38</v>
      </c>
      <c r="Q44" s="104"/>
    </row>
    <row r="45" spans="1:19" ht="12" x14ac:dyDescent="0.25">
      <c r="A45" s="104"/>
      <c r="B45" s="104"/>
      <c r="C45" s="104"/>
      <c r="D45" s="106"/>
      <c r="E45" s="106"/>
      <c r="F45" s="127"/>
      <c r="G45" s="127"/>
      <c r="H45" s="119"/>
      <c r="I45" s="119"/>
      <c r="J45" s="104"/>
      <c r="K45" s="126">
        <f>P46/P45</f>
        <v>0.54045171991505059</v>
      </c>
      <c r="L45" s="125" t="s">
        <v>63</v>
      </c>
      <c r="M45" s="124" t="s">
        <v>59</v>
      </c>
      <c r="N45" s="116">
        <f>N38+L38+J38+H38+F38+D38+D30+F30+H30+J30+L30+N30</f>
        <v>14191.98</v>
      </c>
      <c r="O45" s="123">
        <f>O38+M38+K38+I38+G38+E38+E30+G30+I30+K30+M30+O30</f>
        <v>50317.02</v>
      </c>
      <c r="P45" s="116">
        <f>N45+O45</f>
        <v>64509</v>
      </c>
      <c r="Q45" s="122"/>
      <c r="R45" s="121"/>
      <c r="S45" s="120"/>
    </row>
    <row r="46" spans="1:19" ht="12" x14ac:dyDescent="0.25">
      <c r="A46" s="119" t="s">
        <v>62</v>
      </c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18"/>
      <c r="M46" s="117" t="s">
        <v>58</v>
      </c>
      <c r="N46" s="116">
        <f>N40+L40+J40+H40+F40+D40+D32+F32+H32+J32+L32+N32</f>
        <v>7670.0800000000008</v>
      </c>
      <c r="O46" s="116">
        <f>O40+M40+K40+I40+G40+E40+E32+G32+I32+K32+M32+O32</f>
        <v>27193.919999999998</v>
      </c>
      <c r="P46" s="116">
        <f>N46+O46</f>
        <v>34864</v>
      </c>
      <c r="Q46" s="104"/>
    </row>
    <row r="47" spans="1:19" ht="12" thickBot="1" x14ac:dyDescent="0.25">
      <c r="A47" s="115" t="s">
        <v>61</v>
      </c>
      <c r="B47" s="115"/>
      <c r="C47" s="115"/>
      <c r="D47" s="114">
        <v>668</v>
      </c>
    </row>
    <row r="48" spans="1:19" x14ac:dyDescent="0.2">
      <c r="M48" s="113"/>
      <c r="N48" s="112" t="s">
        <v>60</v>
      </c>
    </row>
    <row r="49" spans="6:17" ht="12" x14ac:dyDescent="0.25">
      <c r="F49" s="104"/>
      <c r="G49" s="104"/>
      <c r="H49" s="104"/>
      <c r="I49" s="104"/>
      <c r="J49" s="104"/>
      <c r="K49" s="104"/>
      <c r="L49" s="104"/>
      <c r="M49" s="111" t="s">
        <v>59</v>
      </c>
      <c r="N49" s="110">
        <f>P45+J21</f>
        <v>133052</v>
      </c>
      <c r="O49" s="109"/>
      <c r="P49" s="104"/>
      <c r="Q49" s="104"/>
    </row>
    <row r="50" spans="6:17" ht="12" thickBot="1" x14ac:dyDescent="0.25">
      <c r="F50" s="104"/>
      <c r="G50" s="104"/>
      <c r="H50" s="104"/>
      <c r="I50" s="104"/>
      <c r="J50" s="106"/>
      <c r="K50" s="106"/>
      <c r="L50" s="106"/>
      <c r="M50" s="108" t="s">
        <v>58</v>
      </c>
      <c r="N50" s="107">
        <f>J23+P46+D47</f>
        <v>84905</v>
      </c>
      <c r="O50" s="106"/>
      <c r="P50" s="104"/>
      <c r="Q50" s="104"/>
    </row>
    <row r="51" spans="6:17" x14ac:dyDescent="0.2">
      <c r="F51" s="104"/>
      <c r="G51" s="104"/>
      <c r="H51" s="104"/>
      <c r="I51" s="104"/>
      <c r="J51" s="106"/>
      <c r="K51" s="106"/>
      <c r="L51" s="106"/>
      <c r="M51" s="106"/>
      <c r="N51" s="104"/>
      <c r="O51" s="106"/>
      <c r="P51" s="104"/>
      <c r="Q51" s="104"/>
    </row>
  </sheetData>
  <sheetProtection formatCells="0"/>
  <protectedRanges>
    <protectedRange sqref="A13:L13" name="Range8"/>
    <protectedRange sqref="D41:O41" name="Range6"/>
    <protectedRange sqref="D39:O39" name="Range5"/>
    <protectedRange sqref="D33:O33" name="Range4"/>
    <protectedRange sqref="D31:O31" name="Range3"/>
    <protectedRange sqref="D23:I23" name="Range2"/>
    <protectedRange sqref="D21:I21" name="Range1"/>
    <protectedRange sqref="D47" name="Range7"/>
  </protectedRanges>
  <mergeCells count="48">
    <mergeCell ref="A11:L11"/>
    <mergeCell ref="A12:L12"/>
    <mergeCell ref="A13:L13"/>
    <mergeCell ref="A17:O17"/>
    <mergeCell ref="A20:B20"/>
    <mergeCell ref="A22:B22"/>
    <mergeCell ref="A26:O26"/>
    <mergeCell ref="D27:E27"/>
    <mergeCell ref="F27:G27"/>
    <mergeCell ref="H27:I27"/>
    <mergeCell ref="J27:K27"/>
    <mergeCell ref="L27:M27"/>
    <mergeCell ref="N27:O27"/>
    <mergeCell ref="A30:B30"/>
    <mergeCell ref="D31:E31"/>
    <mergeCell ref="F31:G31"/>
    <mergeCell ref="H31:I31"/>
    <mergeCell ref="J31:K31"/>
    <mergeCell ref="L31:M31"/>
    <mergeCell ref="N31:O31"/>
    <mergeCell ref="A32:B32"/>
    <mergeCell ref="D33:E33"/>
    <mergeCell ref="F33:G33"/>
    <mergeCell ref="H33:I33"/>
    <mergeCell ref="J33:K33"/>
    <mergeCell ref="L33:M33"/>
    <mergeCell ref="N33:O33"/>
    <mergeCell ref="N35:O35"/>
    <mergeCell ref="A38:B38"/>
    <mergeCell ref="D39:E39"/>
    <mergeCell ref="F39:G39"/>
    <mergeCell ref="H39:I39"/>
    <mergeCell ref="J39:K39"/>
    <mergeCell ref="L39:M39"/>
    <mergeCell ref="D35:E35"/>
    <mergeCell ref="F35:G35"/>
    <mergeCell ref="H35:I35"/>
    <mergeCell ref="J35:K35"/>
    <mergeCell ref="L35:M35"/>
    <mergeCell ref="N43:P43"/>
    <mergeCell ref="N39:O39"/>
    <mergeCell ref="A40:B40"/>
    <mergeCell ref="D41:E41"/>
    <mergeCell ref="F41:G41"/>
    <mergeCell ref="H41:I41"/>
    <mergeCell ref="J41:K41"/>
    <mergeCell ref="L41:M41"/>
    <mergeCell ref="N41:O41"/>
  </mergeCells>
  <pageMargins left="1" right="1" top="1" bottom="1" header="0.5" footer="0.5"/>
  <pageSetup scale="72" orientation="landscape" r:id="rId1"/>
  <headerFooter>
    <oddHeader>&amp;RSchedule V-K-9.2
Page &amp;P of &amp;N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S51"/>
  <sheetViews>
    <sheetView view="pageBreakPreview" topLeftCell="A16" zoomScale="60" zoomScaleNormal="100" workbookViewId="0">
      <selection activeCell="A52" sqref="A52:XFD60"/>
    </sheetView>
  </sheetViews>
  <sheetFormatPr defaultColWidth="9.109375" defaultRowHeight="11.4" x14ac:dyDescent="0.2"/>
  <cols>
    <col min="1" max="1" width="9.88671875" style="102" customWidth="1"/>
    <col min="2" max="2" width="14.5546875" style="102" customWidth="1"/>
    <col min="3" max="3" width="0.6640625" style="102" customWidth="1"/>
    <col min="4" max="4" width="10.5546875" style="102" bestFit="1" customWidth="1"/>
    <col min="5" max="5" width="9.33203125" style="102" bestFit="1" customWidth="1"/>
    <col min="6" max="6" width="10.5546875" style="102" bestFit="1" customWidth="1"/>
    <col min="7" max="7" width="9.33203125" style="102" customWidth="1"/>
    <col min="8" max="9" width="11.109375" style="102" customWidth="1"/>
    <col min="10" max="10" width="10.5546875" style="102" bestFit="1" customWidth="1"/>
    <col min="11" max="11" width="9.33203125" style="102" bestFit="1" customWidth="1"/>
    <col min="12" max="13" width="10.33203125" style="102" customWidth="1"/>
    <col min="14" max="14" width="10.6640625" style="102" customWidth="1"/>
    <col min="15" max="15" width="10" style="102" customWidth="1"/>
    <col min="16" max="16" width="10" style="102" bestFit="1" customWidth="1"/>
    <col min="17" max="17" width="9.109375" style="102"/>
    <col min="18" max="18" width="6.109375" style="102" customWidth="1"/>
    <col min="19" max="16384" width="9.109375" style="102"/>
  </cols>
  <sheetData>
    <row r="2" spans="1:13" ht="13.8" x14ac:dyDescent="0.25">
      <c r="A2" s="205" t="s">
        <v>106</v>
      </c>
      <c r="B2" s="208"/>
      <c r="C2" s="221"/>
      <c r="D2" s="222"/>
    </row>
    <row r="3" spans="1:13" ht="13.8" x14ac:dyDescent="0.25">
      <c r="A3" s="206" t="s">
        <v>107</v>
      </c>
      <c r="B3" s="211"/>
      <c r="C3" s="223"/>
      <c r="D3" s="224"/>
    </row>
    <row r="4" spans="1:13" ht="13.8" x14ac:dyDescent="0.25">
      <c r="A4" s="206" t="s">
        <v>111</v>
      </c>
      <c r="B4" s="211"/>
      <c r="C4" s="223"/>
      <c r="D4" s="224"/>
    </row>
    <row r="5" spans="1:13" ht="13.8" x14ac:dyDescent="0.25">
      <c r="A5" s="206" t="s">
        <v>108</v>
      </c>
      <c r="B5" s="211"/>
      <c r="C5" s="223"/>
      <c r="D5" s="224"/>
    </row>
    <row r="6" spans="1:13" ht="13.8" x14ac:dyDescent="0.25">
      <c r="A6" s="206" t="s">
        <v>109</v>
      </c>
      <c r="B6" s="211"/>
      <c r="C6" s="223"/>
      <c r="D6" s="224"/>
    </row>
    <row r="7" spans="1:13" ht="13.8" x14ac:dyDescent="0.25">
      <c r="A7" s="207" t="s">
        <v>110</v>
      </c>
      <c r="B7" s="214"/>
      <c r="C7" s="225"/>
      <c r="D7" s="226"/>
    </row>
    <row r="11" spans="1:13" x14ac:dyDescent="0.2">
      <c r="A11" s="203" t="s">
        <v>94</v>
      </c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165"/>
    </row>
    <row r="12" spans="1:13" x14ac:dyDescent="0.2">
      <c r="A12" s="203" t="s">
        <v>93</v>
      </c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165"/>
    </row>
    <row r="13" spans="1:13" x14ac:dyDescent="0.2">
      <c r="A13" s="203" t="s">
        <v>100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165"/>
    </row>
    <row r="17" spans="1:17" ht="13.8" x14ac:dyDescent="0.25">
      <c r="A17" s="201" t="s">
        <v>91</v>
      </c>
      <c r="B17" s="201"/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</row>
    <row r="18" spans="1:17" x14ac:dyDescent="0.2">
      <c r="A18" s="104"/>
      <c r="B18" s="104"/>
      <c r="J18" s="164"/>
      <c r="K18" s="164"/>
      <c r="L18" s="103"/>
      <c r="M18" s="103"/>
    </row>
    <row r="19" spans="1:17" ht="12" x14ac:dyDescent="0.25">
      <c r="B19" s="104"/>
      <c r="C19" s="104"/>
      <c r="D19" s="163" t="s">
        <v>90</v>
      </c>
      <c r="E19" s="163" t="s">
        <v>89</v>
      </c>
      <c r="F19" s="163" t="s">
        <v>88</v>
      </c>
      <c r="G19" s="163" t="s">
        <v>87</v>
      </c>
      <c r="H19" s="163" t="s">
        <v>81</v>
      </c>
      <c r="I19" s="163" t="s">
        <v>86</v>
      </c>
      <c r="J19" s="162"/>
      <c r="M19" s="162"/>
    </row>
    <row r="20" spans="1:17" ht="18.75" customHeight="1" x14ac:dyDescent="0.25">
      <c r="A20" s="204" t="s">
        <v>69</v>
      </c>
      <c r="B20" s="204"/>
      <c r="C20" s="104"/>
      <c r="D20" s="162">
        <v>11029391</v>
      </c>
      <c r="E20" s="162">
        <v>11029394</v>
      </c>
      <c r="F20" s="162">
        <v>11029392</v>
      </c>
      <c r="G20" s="162">
        <v>11029393</v>
      </c>
      <c r="H20" s="162">
        <v>11029389</v>
      </c>
      <c r="I20" s="162">
        <v>11029390</v>
      </c>
      <c r="J20" s="162" t="s">
        <v>38</v>
      </c>
      <c r="M20" s="162"/>
    </row>
    <row r="21" spans="1:17" ht="13.5" customHeight="1" x14ac:dyDescent="0.25">
      <c r="A21" s="156" t="s">
        <v>85</v>
      </c>
      <c r="B21" s="156"/>
      <c r="C21" s="104"/>
      <c r="D21" s="161">
        <v>17958</v>
      </c>
      <c r="E21" s="160">
        <v>10158</v>
      </c>
      <c r="F21" s="160">
        <v>5748</v>
      </c>
      <c r="G21" s="160">
        <v>17942</v>
      </c>
      <c r="H21" s="160">
        <v>12799</v>
      </c>
      <c r="I21" s="160">
        <v>6776</v>
      </c>
      <c r="J21" s="153">
        <f>(D21+E21+F21+G21+H21+I21)</f>
        <v>71381</v>
      </c>
      <c r="L21" s="126">
        <f>J23/J21</f>
        <v>0.71645115647020918</v>
      </c>
      <c r="M21" s="159" t="s">
        <v>84</v>
      </c>
    </row>
    <row r="22" spans="1:17" ht="22.5" customHeight="1" x14ac:dyDescent="0.25">
      <c r="A22" s="200" t="s">
        <v>83</v>
      </c>
      <c r="B22" s="200"/>
      <c r="C22" s="104"/>
      <c r="D22" s="120">
        <v>11029382</v>
      </c>
      <c r="E22" s="158">
        <v>11029385</v>
      </c>
      <c r="F22" s="120">
        <v>11029383</v>
      </c>
      <c r="G22" s="158">
        <v>11029384</v>
      </c>
      <c r="H22" s="120">
        <v>11029380</v>
      </c>
      <c r="I22" s="158">
        <v>11029381</v>
      </c>
      <c r="J22" s="157"/>
      <c r="M22" s="104"/>
    </row>
    <row r="23" spans="1:17" ht="13.5" customHeight="1" x14ac:dyDescent="0.2">
      <c r="A23" s="156" t="s">
        <v>65</v>
      </c>
      <c r="B23" s="156"/>
      <c r="C23" s="104"/>
      <c r="D23" s="155">
        <v>12335</v>
      </c>
      <c r="E23" s="154">
        <v>8834</v>
      </c>
      <c r="F23" s="155">
        <v>4402</v>
      </c>
      <c r="G23" s="154">
        <v>13984</v>
      </c>
      <c r="H23" s="155">
        <v>7922</v>
      </c>
      <c r="I23" s="154">
        <v>3664</v>
      </c>
      <c r="J23" s="153">
        <f>(D23+E23+F23+G23+H23+I23)</f>
        <v>51141</v>
      </c>
      <c r="L23" s="152"/>
      <c r="M23" s="151"/>
    </row>
    <row r="24" spans="1:17" ht="6.75" customHeight="1" x14ac:dyDescent="0.2">
      <c r="C24" s="104"/>
      <c r="D24" s="104"/>
      <c r="E24" s="104"/>
      <c r="F24" s="104"/>
      <c r="G24" s="104"/>
      <c r="H24" s="104"/>
      <c r="I24" s="104"/>
      <c r="J24" s="104"/>
      <c r="M24" s="104"/>
    </row>
    <row r="25" spans="1:17" ht="12" x14ac:dyDescent="0.25">
      <c r="B25" s="119"/>
      <c r="C25" s="104"/>
      <c r="D25" s="104"/>
      <c r="E25" s="104"/>
      <c r="F25" s="104"/>
      <c r="G25" s="104"/>
      <c r="H25" s="104"/>
      <c r="I25" s="104"/>
      <c r="J25" s="150"/>
      <c r="K25" s="149"/>
      <c r="L25" s="118"/>
      <c r="M25" s="118"/>
    </row>
    <row r="26" spans="1:17" ht="19.5" customHeight="1" x14ac:dyDescent="0.25">
      <c r="A26" s="201" t="s">
        <v>82</v>
      </c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</row>
    <row r="27" spans="1:17" ht="12.6" thickBot="1" x14ac:dyDescent="0.3">
      <c r="D27" s="202" t="s">
        <v>81</v>
      </c>
      <c r="E27" s="202"/>
      <c r="F27" s="202" t="s">
        <v>80</v>
      </c>
      <c r="G27" s="202"/>
      <c r="H27" s="202" t="s">
        <v>79</v>
      </c>
      <c r="I27" s="202"/>
      <c r="J27" s="202" t="s">
        <v>78</v>
      </c>
      <c r="K27" s="202"/>
      <c r="L27" s="202" t="s">
        <v>77</v>
      </c>
      <c r="M27" s="202"/>
      <c r="N27" s="202" t="s">
        <v>76</v>
      </c>
      <c r="O27" s="202"/>
    </row>
    <row r="28" spans="1:17" s="139" customFormat="1" ht="10.199999999999999" x14ac:dyDescent="0.2">
      <c r="A28" s="140"/>
      <c r="B28" s="140"/>
      <c r="C28" s="140"/>
      <c r="D28" s="142">
        <v>0.22</v>
      </c>
      <c r="E28" s="141">
        <v>0.78</v>
      </c>
      <c r="F28" s="142">
        <v>0.22</v>
      </c>
      <c r="G28" s="141">
        <v>0.78</v>
      </c>
      <c r="H28" s="142">
        <v>0.22</v>
      </c>
      <c r="I28" s="141">
        <v>0.78</v>
      </c>
      <c r="J28" s="142">
        <v>0.22</v>
      </c>
      <c r="K28" s="141">
        <v>0.78</v>
      </c>
      <c r="L28" s="142">
        <v>0.22</v>
      </c>
      <c r="M28" s="141">
        <v>0.78</v>
      </c>
      <c r="N28" s="142">
        <v>0.22</v>
      </c>
      <c r="O28" s="141">
        <v>0.78</v>
      </c>
    </row>
    <row r="29" spans="1:17" s="104" customFormat="1" ht="12" thickBot="1" x14ac:dyDescent="0.25">
      <c r="D29" s="138">
        <v>11002001</v>
      </c>
      <c r="E29" s="137">
        <v>11029483</v>
      </c>
      <c r="F29" s="138">
        <v>11002003</v>
      </c>
      <c r="G29" s="137">
        <v>11029487</v>
      </c>
      <c r="H29" s="138">
        <v>11001995</v>
      </c>
      <c r="I29" s="148">
        <v>11029493</v>
      </c>
      <c r="J29" s="138">
        <v>11001997</v>
      </c>
      <c r="K29" s="137">
        <v>11029481</v>
      </c>
      <c r="L29" s="138">
        <v>11002000</v>
      </c>
      <c r="M29" s="137">
        <v>11029486</v>
      </c>
      <c r="N29" s="138">
        <v>11002142</v>
      </c>
      <c r="O29" s="137">
        <v>11029491</v>
      </c>
    </row>
    <row r="30" spans="1:17" ht="12.6" thickBot="1" x14ac:dyDescent="0.3">
      <c r="A30" s="192" t="s">
        <v>69</v>
      </c>
      <c r="B30" s="192"/>
      <c r="C30" s="104"/>
      <c r="D30" s="147">
        <f>D31*D28</f>
        <v>1492.04</v>
      </c>
      <c r="E30" s="146">
        <f>D31*E28</f>
        <v>5289.96</v>
      </c>
      <c r="F30" s="147">
        <f>F31*F28</f>
        <v>812.24</v>
      </c>
      <c r="G30" s="146">
        <f>F31*G28</f>
        <v>2879.76</v>
      </c>
      <c r="H30" s="147">
        <f>H31*H28</f>
        <v>1556.06</v>
      </c>
      <c r="I30" s="146">
        <f>H31*I28</f>
        <v>5516.9400000000005</v>
      </c>
      <c r="J30" s="147">
        <f>J31*J28</f>
        <v>1111.8800000000001</v>
      </c>
      <c r="K30" s="146">
        <f>J31*K28</f>
        <v>3942.1200000000003</v>
      </c>
      <c r="L30" s="147">
        <f>L31*L28</f>
        <v>1302.8399999999999</v>
      </c>
      <c r="M30" s="146">
        <f>L31*M28</f>
        <v>4619.16</v>
      </c>
      <c r="N30" s="147">
        <f>N31*N28</f>
        <v>2002.22</v>
      </c>
      <c r="O30" s="146">
        <f>N31*O28</f>
        <v>7098.7800000000007</v>
      </c>
      <c r="P30" s="104" t="s">
        <v>66</v>
      </c>
      <c r="Q30" s="104"/>
    </row>
    <row r="31" spans="1:17" ht="12" thickBot="1" x14ac:dyDescent="0.25">
      <c r="A31" s="131" t="s">
        <v>68</v>
      </c>
      <c r="B31" s="131"/>
      <c r="C31" s="104"/>
      <c r="D31" s="198">
        <v>6782</v>
      </c>
      <c r="E31" s="199"/>
      <c r="F31" s="193">
        <v>3692</v>
      </c>
      <c r="G31" s="185"/>
      <c r="H31" s="193">
        <v>7073</v>
      </c>
      <c r="I31" s="185"/>
      <c r="J31" s="193">
        <v>5054</v>
      </c>
      <c r="K31" s="185"/>
      <c r="L31" s="193">
        <v>5922</v>
      </c>
      <c r="M31" s="185"/>
      <c r="N31" s="193">
        <v>9101</v>
      </c>
      <c r="O31" s="185"/>
      <c r="P31" s="104"/>
      <c r="Q31" s="104"/>
    </row>
    <row r="32" spans="1:17" ht="12.6" thickBot="1" x14ac:dyDescent="0.3">
      <c r="A32" s="186" t="s">
        <v>67</v>
      </c>
      <c r="B32" s="187"/>
      <c r="C32" s="104"/>
      <c r="D32" s="145">
        <f>D33*D28</f>
        <v>600.38</v>
      </c>
      <c r="E32" s="144">
        <f>D33*E28</f>
        <v>2128.62</v>
      </c>
      <c r="F32" s="145">
        <f>F33*F28</f>
        <v>96.36</v>
      </c>
      <c r="G32" s="144">
        <f>F33*G28</f>
        <v>341.64</v>
      </c>
      <c r="H32" s="145">
        <f>H33*H28</f>
        <v>1000.5600000000001</v>
      </c>
      <c r="I32" s="144">
        <f>H33*I28</f>
        <v>3547.44</v>
      </c>
      <c r="J32" s="145">
        <f>J33*J28</f>
        <v>753.72</v>
      </c>
      <c r="K32" s="144">
        <f>J33*K28</f>
        <v>2672.28</v>
      </c>
      <c r="L32" s="144">
        <f>L33*L28</f>
        <v>703.34</v>
      </c>
      <c r="M32" s="144">
        <f>L33*M28</f>
        <v>2493.6600000000003</v>
      </c>
      <c r="N32" s="145">
        <f>N33*N28</f>
        <v>968</v>
      </c>
      <c r="O32" s="144">
        <f>N33*O28</f>
        <v>3432</v>
      </c>
      <c r="P32" s="104" t="s">
        <v>66</v>
      </c>
      <c r="Q32" s="104"/>
    </row>
    <row r="33" spans="1:19" ht="12" thickBot="1" x14ac:dyDescent="0.25">
      <c r="A33" s="131" t="s">
        <v>65</v>
      </c>
      <c r="B33" s="131"/>
      <c r="C33" s="104"/>
      <c r="D33" s="194">
        <v>2729</v>
      </c>
      <c r="E33" s="195"/>
      <c r="F33" s="196">
        <v>438</v>
      </c>
      <c r="G33" s="197"/>
      <c r="H33" s="196">
        <v>4548</v>
      </c>
      <c r="I33" s="197"/>
      <c r="J33" s="196">
        <v>3426</v>
      </c>
      <c r="K33" s="197"/>
      <c r="L33" s="196">
        <v>3197</v>
      </c>
      <c r="M33" s="197"/>
      <c r="N33" s="196">
        <v>4400</v>
      </c>
      <c r="O33" s="197"/>
      <c r="P33" s="104"/>
      <c r="Q33" s="104"/>
    </row>
    <row r="34" spans="1:19" x14ac:dyDescent="0.2">
      <c r="A34" s="104"/>
      <c r="B34" s="104"/>
      <c r="C34" s="122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04"/>
      <c r="P34" s="104"/>
      <c r="Q34" s="104"/>
    </row>
    <row r="35" spans="1:19" ht="12.6" thickBot="1" x14ac:dyDescent="0.3">
      <c r="A35" s="104"/>
      <c r="B35" s="104"/>
      <c r="C35" s="104"/>
      <c r="D35" s="191" t="s">
        <v>75</v>
      </c>
      <c r="E35" s="191"/>
      <c r="F35" s="191" t="s">
        <v>74</v>
      </c>
      <c r="G35" s="191"/>
      <c r="H35" s="191" t="s">
        <v>73</v>
      </c>
      <c r="I35" s="191"/>
      <c r="J35" s="191" t="s">
        <v>72</v>
      </c>
      <c r="K35" s="191"/>
      <c r="L35" s="191" t="s">
        <v>71</v>
      </c>
      <c r="M35" s="191"/>
      <c r="N35" s="191" t="s">
        <v>70</v>
      </c>
      <c r="O35" s="191"/>
      <c r="P35" s="104"/>
      <c r="Q35" s="104"/>
    </row>
    <row r="36" spans="1:19" s="139" customFormat="1" ht="10.199999999999999" x14ac:dyDescent="0.2">
      <c r="A36" s="140"/>
      <c r="B36" s="140"/>
      <c r="C36" s="140"/>
      <c r="D36" s="142">
        <v>0.22</v>
      </c>
      <c r="E36" s="141">
        <v>0.78</v>
      </c>
      <c r="F36" s="142">
        <v>0.22</v>
      </c>
      <c r="G36" s="141">
        <v>0.78</v>
      </c>
      <c r="H36" s="142">
        <v>0.22</v>
      </c>
      <c r="I36" s="141">
        <v>0.78</v>
      </c>
      <c r="J36" s="142">
        <v>0.22</v>
      </c>
      <c r="K36" s="141">
        <v>0.78</v>
      </c>
      <c r="L36" s="142">
        <v>0.22</v>
      </c>
      <c r="M36" s="141">
        <v>0.78</v>
      </c>
      <c r="N36" s="142">
        <v>0.22</v>
      </c>
      <c r="O36" s="141">
        <v>0.78</v>
      </c>
      <c r="P36" s="140"/>
      <c r="Q36" s="140"/>
    </row>
    <row r="37" spans="1:19" ht="12" thickBot="1" x14ac:dyDescent="0.25">
      <c r="C37" s="104"/>
      <c r="D37" s="138">
        <v>11001996</v>
      </c>
      <c r="E37" s="137">
        <v>11029494</v>
      </c>
      <c r="F37" s="138">
        <v>11002006</v>
      </c>
      <c r="G37" s="137">
        <v>11029482</v>
      </c>
      <c r="H37" s="138">
        <v>11002143</v>
      </c>
      <c r="I37" s="137">
        <v>11029490</v>
      </c>
      <c r="J37" s="138">
        <v>11002007</v>
      </c>
      <c r="K37" s="137">
        <v>11029485</v>
      </c>
      <c r="L37" s="138">
        <v>11002008</v>
      </c>
      <c r="M37" s="137">
        <v>11029489</v>
      </c>
      <c r="N37" s="138">
        <v>11002009</v>
      </c>
      <c r="O37" s="137">
        <v>11029484</v>
      </c>
      <c r="P37" s="104"/>
      <c r="Q37" s="104"/>
    </row>
    <row r="38" spans="1:19" ht="12.6" thickBot="1" x14ac:dyDescent="0.3">
      <c r="A38" s="192" t="s">
        <v>69</v>
      </c>
      <c r="B38" s="192"/>
      <c r="C38" s="122"/>
      <c r="D38" s="136">
        <f>D39*D36</f>
        <v>1536.26</v>
      </c>
      <c r="E38" s="135">
        <f>D39*E36</f>
        <v>5446.74</v>
      </c>
      <c r="F38" s="136">
        <f>F39*F36</f>
        <v>933.9</v>
      </c>
      <c r="G38" s="135">
        <f>F39*G36</f>
        <v>3311.1</v>
      </c>
      <c r="H38" s="136">
        <f>H39*H36</f>
        <v>1214.4000000000001</v>
      </c>
      <c r="I38" s="135">
        <f>H39*I36</f>
        <v>4305.6000000000004</v>
      </c>
      <c r="J38" s="136">
        <f>J39*J36</f>
        <v>997.7</v>
      </c>
      <c r="K38" s="135">
        <f>J39*K36</f>
        <v>3537.3</v>
      </c>
      <c r="L38" s="136">
        <f>L39*L36</f>
        <v>905.08</v>
      </c>
      <c r="M38" s="135">
        <f>L39*M36</f>
        <v>3208.92</v>
      </c>
      <c r="N38" s="136">
        <f>N39*N36</f>
        <v>867.46</v>
      </c>
      <c r="O38" s="135">
        <f>N39*O36</f>
        <v>3075.54</v>
      </c>
      <c r="P38" s="104" t="s">
        <v>66</v>
      </c>
      <c r="Q38" s="104"/>
    </row>
    <row r="39" spans="1:19" ht="13.5" customHeight="1" thickBot="1" x14ac:dyDescent="0.25">
      <c r="A39" s="131" t="s">
        <v>68</v>
      </c>
      <c r="B39" s="131"/>
      <c r="C39" s="104"/>
      <c r="D39" s="193">
        <v>6983</v>
      </c>
      <c r="E39" s="185"/>
      <c r="F39" s="184">
        <v>4245</v>
      </c>
      <c r="G39" s="185"/>
      <c r="H39" s="193">
        <v>5520</v>
      </c>
      <c r="I39" s="185"/>
      <c r="J39" s="193">
        <v>4535</v>
      </c>
      <c r="K39" s="185"/>
      <c r="L39" s="193">
        <v>4114</v>
      </c>
      <c r="M39" s="185"/>
      <c r="N39" s="184">
        <v>3943</v>
      </c>
      <c r="O39" s="185"/>
      <c r="P39" s="104"/>
      <c r="Q39" s="104"/>
    </row>
    <row r="40" spans="1:19" ht="12.6" thickBot="1" x14ac:dyDescent="0.3">
      <c r="A40" s="186" t="s">
        <v>67</v>
      </c>
      <c r="B40" s="187"/>
      <c r="C40" s="122"/>
      <c r="D40" s="134">
        <f>D41*D36</f>
        <v>1001.44</v>
      </c>
      <c r="E40" s="132">
        <f>D41*E36</f>
        <v>3550.56</v>
      </c>
      <c r="F40" s="134">
        <f>F41*F36</f>
        <v>558.14</v>
      </c>
      <c r="G40" s="132">
        <f>F41*G36</f>
        <v>1978.8600000000001</v>
      </c>
      <c r="H40" s="132">
        <f>H41*H36</f>
        <v>597.08000000000004</v>
      </c>
      <c r="I40" s="132">
        <f>H41*I36</f>
        <v>2116.92</v>
      </c>
      <c r="J40" s="134">
        <f>J41*J36</f>
        <v>718.3</v>
      </c>
      <c r="K40" s="132">
        <f>J41*K36</f>
        <v>2546.7000000000003</v>
      </c>
      <c r="L40" s="134">
        <f>L41*L36</f>
        <v>467.72</v>
      </c>
      <c r="M40" s="132">
        <f>L41*M36</f>
        <v>1658.28</v>
      </c>
      <c r="N40" s="133">
        <f>N41*N36</f>
        <v>661.76</v>
      </c>
      <c r="O40" s="132">
        <f>N41*O36</f>
        <v>2346.2400000000002</v>
      </c>
      <c r="P40" s="104" t="s">
        <v>66</v>
      </c>
      <c r="Q40" s="104"/>
    </row>
    <row r="41" spans="1:19" ht="12" thickBot="1" x14ac:dyDescent="0.25">
      <c r="A41" s="131" t="s">
        <v>65</v>
      </c>
      <c r="B41" s="131"/>
      <c r="C41" s="104"/>
      <c r="D41" s="188">
        <v>4552</v>
      </c>
      <c r="E41" s="189"/>
      <c r="F41" s="188">
        <v>2537</v>
      </c>
      <c r="G41" s="189"/>
      <c r="H41" s="188">
        <v>2714</v>
      </c>
      <c r="I41" s="189"/>
      <c r="J41" s="188">
        <v>3265</v>
      </c>
      <c r="K41" s="189"/>
      <c r="L41" s="188">
        <v>2126</v>
      </c>
      <c r="M41" s="189"/>
      <c r="N41" s="190">
        <v>3008</v>
      </c>
      <c r="O41" s="189"/>
      <c r="P41" s="104"/>
      <c r="Q41" s="104"/>
    </row>
    <row r="42" spans="1:19" x14ac:dyDescent="0.2">
      <c r="A42" s="104"/>
      <c r="B42" s="104"/>
      <c r="C42" s="122"/>
      <c r="D42" s="130">
        <f>$C$42*D41</f>
        <v>0</v>
      </c>
      <c r="E42" s="104"/>
      <c r="F42" s="130"/>
      <c r="G42" s="104"/>
      <c r="H42" s="130">
        <f>$C$42*H41</f>
        <v>0</v>
      </c>
      <c r="I42" s="104"/>
      <c r="J42" s="130">
        <f>$C$42*J41</f>
        <v>0</v>
      </c>
      <c r="K42" s="130"/>
      <c r="L42" s="130">
        <f>$C$42*L41</f>
        <v>0</v>
      </c>
      <c r="M42" s="130"/>
      <c r="N42" s="130">
        <f>$C$42*N41</f>
        <v>0</v>
      </c>
      <c r="O42" s="104"/>
      <c r="P42" s="104"/>
      <c r="Q42" s="104"/>
    </row>
    <row r="43" spans="1:19" ht="13.5" customHeight="1" x14ac:dyDescent="0.25">
      <c r="A43" s="104"/>
      <c r="B43" s="119"/>
      <c r="C43" s="104"/>
      <c r="D43" s="106"/>
      <c r="E43" s="106"/>
      <c r="F43" s="106"/>
      <c r="G43" s="106"/>
      <c r="H43" s="106"/>
      <c r="I43" s="106"/>
      <c r="J43" s="104"/>
      <c r="K43" s="104"/>
      <c r="L43" s="104"/>
      <c r="M43" s="104"/>
      <c r="N43" s="182" t="s">
        <v>64</v>
      </c>
      <c r="O43" s="182"/>
      <c r="P43" s="182"/>
      <c r="Q43" s="104"/>
    </row>
    <row r="44" spans="1:19" ht="12" x14ac:dyDescent="0.25">
      <c r="A44" s="104"/>
      <c r="B44" s="119"/>
      <c r="C44" s="104"/>
      <c r="D44" s="106"/>
      <c r="E44" s="106"/>
      <c r="F44" s="106"/>
      <c r="G44" s="106"/>
      <c r="H44" s="106"/>
      <c r="I44" s="106"/>
      <c r="J44" s="104"/>
      <c r="K44" s="104"/>
      <c r="L44" s="104"/>
      <c r="M44" s="104"/>
      <c r="N44" s="129">
        <v>0.22</v>
      </c>
      <c r="O44" s="129">
        <v>0.78</v>
      </c>
      <c r="P44" s="128" t="s">
        <v>38</v>
      </c>
      <c r="Q44" s="104"/>
    </row>
    <row r="45" spans="1:19" ht="12" x14ac:dyDescent="0.25">
      <c r="A45" s="104"/>
      <c r="B45" s="104"/>
      <c r="C45" s="104"/>
      <c r="D45" s="106"/>
      <c r="E45" s="106"/>
      <c r="F45" s="127"/>
      <c r="G45" s="127"/>
      <c r="H45" s="119"/>
      <c r="I45" s="119"/>
      <c r="J45" s="104"/>
      <c r="K45" s="126">
        <f>P46/P45</f>
        <v>0.55163968699599786</v>
      </c>
      <c r="L45" s="125" t="s">
        <v>63</v>
      </c>
      <c r="M45" s="124" t="s">
        <v>59</v>
      </c>
      <c r="N45" s="116">
        <f>N38+L38+J38+H38+F38+D38+D30+F30+H30+J30+L30+N30</f>
        <v>14732.08</v>
      </c>
      <c r="O45" s="123">
        <f>O38+M38+K38+I38+G38+E38+E30+G30+I30+K30+M30+O30</f>
        <v>52231.92</v>
      </c>
      <c r="P45" s="116">
        <f>N45+O45</f>
        <v>66964</v>
      </c>
      <c r="Q45" s="122"/>
      <c r="R45" s="121"/>
      <c r="S45" s="120"/>
    </row>
    <row r="46" spans="1:19" ht="12" x14ac:dyDescent="0.25">
      <c r="A46" s="119" t="s">
        <v>62</v>
      </c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18"/>
      <c r="M46" s="117" t="s">
        <v>58</v>
      </c>
      <c r="N46" s="116">
        <f>N40+L40+J40+H40+F40+D40+D32+F32+H32+J32+L32+N32</f>
        <v>8126.8</v>
      </c>
      <c r="O46" s="116">
        <f>O40+M40+K40+I40+G40+E40+E32+G32+I32+K32+M32+O32</f>
        <v>28813.199999999997</v>
      </c>
      <c r="P46" s="116">
        <f>N46+O46</f>
        <v>36940</v>
      </c>
      <c r="Q46" s="104"/>
    </row>
    <row r="47" spans="1:19" ht="12" thickBot="1" x14ac:dyDescent="0.25">
      <c r="A47" s="115" t="s">
        <v>61</v>
      </c>
      <c r="B47" s="115"/>
      <c r="C47" s="115"/>
      <c r="D47" s="114">
        <v>752</v>
      </c>
    </row>
    <row r="48" spans="1:19" x14ac:dyDescent="0.2">
      <c r="M48" s="113"/>
      <c r="N48" s="112" t="s">
        <v>60</v>
      </c>
    </row>
    <row r="49" spans="6:17" ht="12" x14ac:dyDescent="0.25">
      <c r="F49" s="104"/>
      <c r="G49" s="104"/>
      <c r="H49" s="104"/>
      <c r="I49" s="104"/>
      <c r="J49" s="104"/>
      <c r="K49" s="104"/>
      <c r="L49" s="104"/>
      <c r="M49" s="111" t="s">
        <v>59</v>
      </c>
      <c r="N49" s="110">
        <f>P45+J21</f>
        <v>138345</v>
      </c>
      <c r="O49" s="109"/>
      <c r="P49" s="104"/>
      <c r="Q49" s="104"/>
    </row>
    <row r="50" spans="6:17" ht="12" thickBot="1" x14ac:dyDescent="0.25">
      <c r="F50" s="104"/>
      <c r="G50" s="104"/>
      <c r="H50" s="104"/>
      <c r="I50" s="104"/>
      <c r="J50" s="106"/>
      <c r="K50" s="106"/>
      <c r="L50" s="106"/>
      <c r="M50" s="108" t="s">
        <v>58</v>
      </c>
      <c r="N50" s="107">
        <f>J23+P46+D47</f>
        <v>88833</v>
      </c>
      <c r="O50" s="106"/>
      <c r="P50" s="104"/>
      <c r="Q50" s="104"/>
    </row>
    <row r="51" spans="6:17" x14ac:dyDescent="0.2">
      <c r="F51" s="104"/>
      <c r="G51" s="104"/>
      <c r="H51" s="104"/>
      <c r="I51" s="104"/>
      <c r="J51" s="106"/>
      <c r="K51" s="106"/>
      <c r="L51" s="106"/>
      <c r="M51" s="106"/>
      <c r="N51" s="104"/>
      <c r="O51" s="106"/>
      <c r="P51" s="104"/>
      <c r="Q51" s="104"/>
    </row>
  </sheetData>
  <sheetProtection formatCells="0"/>
  <protectedRanges>
    <protectedRange sqref="A13:L13" name="Range8"/>
    <protectedRange sqref="D41:O41" name="Range6"/>
    <protectedRange sqref="D39:O39" name="Range5"/>
    <protectedRange sqref="D33:O33" name="Range4"/>
    <protectedRange sqref="D31:O31" name="Range3"/>
    <protectedRange sqref="D23:I23" name="Range2"/>
    <protectedRange sqref="D21:I21" name="Range1"/>
    <protectedRange sqref="D47" name="Range7"/>
  </protectedRanges>
  <mergeCells count="48">
    <mergeCell ref="A11:L11"/>
    <mergeCell ref="A12:L12"/>
    <mergeCell ref="A13:L13"/>
    <mergeCell ref="A17:O17"/>
    <mergeCell ref="A20:B20"/>
    <mergeCell ref="A22:B22"/>
    <mergeCell ref="A26:O26"/>
    <mergeCell ref="D27:E27"/>
    <mergeCell ref="F27:G27"/>
    <mergeCell ref="H27:I27"/>
    <mergeCell ref="J27:K27"/>
    <mergeCell ref="L27:M27"/>
    <mergeCell ref="N27:O27"/>
    <mergeCell ref="A30:B30"/>
    <mergeCell ref="D31:E31"/>
    <mergeCell ref="F31:G31"/>
    <mergeCell ref="H31:I31"/>
    <mergeCell ref="J31:K31"/>
    <mergeCell ref="L31:M31"/>
    <mergeCell ref="N31:O31"/>
    <mergeCell ref="A32:B32"/>
    <mergeCell ref="D33:E33"/>
    <mergeCell ref="F33:G33"/>
    <mergeCell ref="H33:I33"/>
    <mergeCell ref="J33:K33"/>
    <mergeCell ref="L33:M33"/>
    <mergeCell ref="N33:O33"/>
    <mergeCell ref="N35:O35"/>
    <mergeCell ref="A38:B38"/>
    <mergeCell ref="D39:E39"/>
    <mergeCell ref="F39:G39"/>
    <mergeCell ref="H39:I39"/>
    <mergeCell ref="J39:K39"/>
    <mergeCell ref="L39:M39"/>
    <mergeCell ref="D35:E35"/>
    <mergeCell ref="F35:G35"/>
    <mergeCell ref="H35:I35"/>
    <mergeCell ref="J35:K35"/>
    <mergeCell ref="L35:M35"/>
    <mergeCell ref="N43:P43"/>
    <mergeCell ref="N39:O39"/>
    <mergeCell ref="A40:B40"/>
    <mergeCell ref="D41:E41"/>
    <mergeCell ref="F41:G41"/>
    <mergeCell ref="H41:I41"/>
    <mergeCell ref="J41:K41"/>
    <mergeCell ref="L41:M41"/>
    <mergeCell ref="N41:O41"/>
  </mergeCells>
  <pageMargins left="1" right="1" top="1" bottom="1" header="0.5" footer="0.5"/>
  <pageSetup scale="72" orientation="landscape" r:id="rId1"/>
  <headerFooter>
    <oddHeader>&amp;RSchedule V-K-9.2
Page &amp;P of 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S51"/>
  <sheetViews>
    <sheetView view="pageBreakPreview" topLeftCell="A28" zoomScale="60" zoomScaleNormal="100" workbookViewId="0">
      <selection activeCell="A52" sqref="A52:XFD60"/>
    </sheetView>
  </sheetViews>
  <sheetFormatPr defaultColWidth="9.109375" defaultRowHeight="11.4" x14ac:dyDescent="0.2"/>
  <cols>
    <col min="1" max="1" width="9.88671875" style="102" customWidth="1"/>
    <col min="2" max="2" width="14.5546875" style="102" customWidth="1"/>
    <col min="3" max="3" width="0.6640625" style="102" customWidth="1"/>
    <col min="4" max="4" width="10.5546875" style="102" bestFit="1" customWidth="1"/>
    <col min="5" max="5" width="9.33203125" style="102" bestFit="1" customWidth="1"/>
    <col min="6" max="6" width="10.5546875" style="102" bestFit="1" customWidth="1"/>
    <col min="7" max="7" width="9.33203125" style="102" customWidth="1"/>
    <col min="8" max="9" width="11.109375" style="102" customWidth="1"/>
    <col min="10" max="10" width="10.5546875" style="102" bestFit="1" customWidth="1"/>
    <col min="11" max="11" width="9.33203125" style="102" bestFit="1" customWidth="1"/>
    <col min="12" max="13" width="10.33203125" style="102" customWidth="1"/>
    <col min="14" max="14" width="10.6640625" style="102" customWidth="1"/>
    <col min="15" max="15" width="10" style="102" customWidth="1"/>
    <col min="16" max="16" width="10" style="102" bestFit="1" customWidth="1"/>
    <col min="17" max="17" width="9.109375" style="102"/>
    <col min="18" max="18" width="6.109375" style="102" customWidth="1"/>
    <col min="19" max="16384" width="9.109375" style="102"/>
  </cols>
  <sheetData>
    <row r="2" spans="1:13" ht="13.8" x14ac:dyDescent="0.25">
      <c r="A2" s="205" t="s">
        <v>106</v>
      </c>
      <c r="B2" s="208"/>
      <c r="C2" s="221"/>
      <c r="D2" s="222"/>
    </row>
    <row r="3" spans="1:13" ht="13.8" x14ac:dyDescent="0.25">
      <c r="A3" s="206" t="s">
        <v>107</v>
      </c>
      <c r="B3" s="211"/>
      <c r="C3" s="223"/>
      <c r="D3" s="224"/>
    </row>
    <row r="4" spans="1:13" ht="13.8" x14ac:dyDescent="0.25">
      <c r="A4" s="206" t="s">
        <v>111</v>
      </c>
      <c r="B4" s="211"/>
      <c r="C4" s="223"/>
      <c r="D4" s="224"/>
    </row>
    <row r="5" spans="1:13" ht="13.8" x14ac:dyDescent="0.25">
      <c r="A5" s="206" t="s">
        <v>108</v>
      </c>
      <c r="B5" s="211"/>
      <c r="C5" s="223"/>
      <c r="D5" s="224"/>
    </row>
    <row r="6" spans="1:13" ht="13.8" x14ac:dyDescent="0.25">
      <c r="A6" s="206" t="s">
        <v>109</v>
      </c>
      <c r="B6" s="211"/>
      <c r="C6" s="223"/>
      <c r="D6" s="224"/>
    </row>
    <row r="7" spans="1:13" ht="13.8" x14ac:dyDescent="0.25">
      <c r="A7" s="207" t="s">
        <v>110</v>
      </c>
      <c r="B7" s="214"/>
      <c r="C7" s="225"/>
      <c r="D7" s="226"/>
    </row>
    <row r="11" spans="1:13" x14ac:dyDescent="0.2">
      <c r="A11" s="203" t="s">
        <v>94</v>
      </c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165"/>
    </row>
    <row r="12" spans="1:13" x14ac:dyDescent="0.2">
      <c r="A12" s="203" t="s">
        <v>93</v>
      </c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165"/>
    </row>
    <row r="13" spans="1:13" x14ac:dyDescent="0.2">
      <c r="A13" s="203" t="s">
        <v>99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165"/>
    </row>
    <row r="17" spans="1:17" ht="13.8" x14ac:dyDescent="0.25">
      <c r="A17" s="201" t="s">
        <v>91</v>
      </c>
      <c r="B17" s="201"/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</row>
    <row r="18" spans="1:17" x14ac:dyDescent="0.2">
      <c r="A18" s="104"/>
      <c r="B18" s="104"/>
      <c r="J18" s="164"/>
      <c r="K18" s="164"/>
      <c r="L18" s="103"/>
      <c r="M18" s="103"/>
    </row>
    <row r="19" spans="1:17" ht="12" x14ac:dyDescent="0.25">
      <c r="B19" s="104"/>
      <c r="C19" s="104"/>
      <c r="D19" s="163" t="s">
        <v>90</v>
      </c>
      <c r="E19" s="163" t="s">
        <v>89</v>
      </c>
      <c r="F19" s="163" t="s">
        <v>88</v>
      </c>
      <c r="G19" s="163" t="s">
        <v>87</v>
      </c>
      <c r="H19" s="163" t="s">
        <v>81</v>
      </c>
      <c r="I19" s="163" t="s">
        <v>86</v>
      </c>
      <c r="J19" s="162"/>
      <c r="M19" s="162"/>
    </row>
    <row r="20" spans="1:17" ht="18.75" customHeight="1" x14ac:dyDescent="0.25">
      <c r="A20" s="204" t="s">
        <v>69</v>
      </c>
      <c r="B20" s="204"/>
      <c r="C20" s="104"/>
      <c r="D20" s="162">
        <v>11029391</v>
      </c>
      <c r="E20" s="162">
        <v>11029394</v>
      </c>
      <c r="F20" s="162">
        <v>11029392</v>
      </c>
      <c r="G20" s="162">
        <v>11029393</v>
      </c>
      <c r="H20" s="162">
        <v>11029389</v>
      </c>
      <c r="I20" s="162">
        <v>11029390</v>
      </c>
      <c r="J20" s="162" t="s">
        <v>38</v>
      </c>
      <c r="M20" s="162"/>
    </row>
    <row r="21" spans="1:17" ht="13.5" customHeight="1" x14ac:dyDescent="0.25">
      <c r="A21" s="156" t="s">
        <v>85</v>
      </c>
      <c r="B21" s="156"/>
      <c r="C21" s="104"/>
      <c r="D21" s="161">
        <v>15930</v>
      </c>
      <c r="E21" s="160">
        <v>9722</v>
      </c>
      <c r="F21" s="160">
        <v>5910</v>
      </c>
      <c r="G21" s="160">
        <v>17020</v>
      </c>
      <c r="H21" s="160">
        <v>11951</v>
      </c>
      <c r="I21" s="160">
        <v>6141</v>
      </c>
      <c r="J21" s="153">
        <f>(D21+E21+F21+G21+H21+I21)</f>
        <v>66674</v>
      </c>
      <c r="L21" s="126">
        <f>J23/J21</f>
        <v>0.72710501844797071</v>
      </c>
      <c r="M21" s="159" t="s">
        <v>84</v>
      </c>
    </row>
    <row r="22" spans="1:17" ht="22.5" customHeight="1" x14ac:dyDescent="0.25">
      <c r="A22" s="200" t="s">
        <v>83</v>
      </c>
      <c r="B22" s="200"/>
      <c r="C22" s="104"/>
      <c r="D22" s="120">
        <v>11029382</v>
      </c>
      <c r="E22" s="158">
        <v>11029385</v>
      </c>
      <c r="F22" s="120">
        <v>11029383</v>
      </c>
      <c r="G22" s="158">
        <v>11029384</v>
      </c>
      <c r="H22" s="120">
        <v>11029380</v>
      </c>
      <c r="I22" s="158">
        <v>11029381</v>
      </c>
      <c r="J22" s="157"/>
      <c r="M22" s="104"/>
    </row>
    <row r="23" spans="1:17" ht="13.5" customHeight="1" x14ac:dyDescent="0.2">
      <c r="A23" s="156" t="s">
        <v>65</v>
      </c>
      <c r="B23" s="156"/>
      <c r="C23" s="104"/>
      <c r="D23" s="155">
        <v>11031</v>
      </c>
      <c r="E23" s="154">
        <v>8557</v>
      </c>
      <c r="F23" s="155">
        <v>4654</v>
      </c>
      <c r="G23" s="154">
        <v>13555</v>
      </c>
      <c r="H23" s="155">
        <v>7312</v>
      </c>
      <c r="I23" s="154">
        <v>3370</v>
      </c>
      <c r="J23" s="153">
        <f>(D23+E23+F23+G23+H23+I23)</f>
        <v>48479</v>
      </c>
      <c r="L23" s="152"/>
      <c r="M23" s="151"/>
    </row>
    <row r="24" spans="1:17" ht="6.75" customHeight="1" x14ac:dyDescent="0.2">
      <c r="C24" s="104"/>
      <c r="D24" s="104"/>
      <c r="E24" s="104"/>
      <c r="F24" s="104"/>
      <c r="G24" s="104"/>
      <c r="H24" s="104"/>
      <c r="I24" s="104"/>
      <c r="J24" s="104"/>
      <c r="M24" s="104"/>
    </row>
    <row r="25" spans="1:17" ht="12" x14ac:dyDescent="0.25">
      <c r="B25" s="119"/>
      <c r="C25" s="104"/>
      <c r="D25" s="104"/>
      <c r="E25" s="104"/>
      <c r="F25" s="104"/>
      <c r="G25" s="104"/>
      <c r="H25" s="104"/>
      <c r="I25" s="104"/>
      <c r="J25" s="150"/>
      <c r="K25" s="149"/>
      <c r="L25" s="118"/>
      <c r="M25" s="118"/>
    </row>
    <row r="26" spans="1:17" ht="19.5" customHeight="1" x14ac:dyDescent="0.25">
      <c r="A26" s="201" t="s">
        <v>82</v>
      </c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</row>
    <row r="27" spans="1:17" ht="12.6" thickBot="1" x14ac:dyDescent="0.3">
      <c r="D27" s="202" t="s">
        <v>81</v>
      </c>
      <c r="E27" s="202"/>
      <c r="F27" s="202" t="s">
        <v>80</v>
      </c>
      <c r="G27" s="202"/>
      <c r="H27" s="202" t="s">
        <v>79</v>
      </c>
      <c r="I27" s="202"/>
      <c r="J27" s="202" t="s">
        <v>78</v>
      </c>
      <c r="K27" s="202"/>
      <c r="L27" s="202" t="s">
        <v>77</v>
      </c>
      <c r="M27" s="202"/>
      <c r="N27" s="202" t="s">
        <v>76</v>
      </c>
      <c r="O27" s="202"/>
    </row>
    <row r="28" spans="1:17" s="139" customFormat="1" ht="10.199999999999999" x14ac:dyDescent="0.2">
      <c r="A28" s="140"/>
      <c r="B28" s="140"/>
      <c r="C28" s="140"/>
      <c r="D28" s="142">
        <v>0.22</v>
      </c>
      <c r="E28" s="141">
        <v>0.78</v>
      </c>
      <c r="F28" s="142">
        <v>0.22</v>
      </c>
      <c r="G28" s="141">
        <v>0.78</v>
      </c>
      <c r="H28" s="142">
        <v>0.22</v>
      </c>
      <c r="I28" s="141">
        <v>0.78</v>
      </c>
      <c r="J28" s="142">
        <v>0.22</v>
      </c>
      <c r="K28" s="141">
        <v>0.78</v>
      </c>
      <c r="L28" s="142">
        <v>0.22</v>
      </c>
      <c r="M28" s="141">
        <v>0.78</v>
      </c>
      <c r="N28" s="142">
        <v>0.22</v>
      </c>
      <c r="O28" s="141">
        <v>0.78</v>
      </c>
    </row>
    <row r="29" spans="1:17" s="104" customFormat="1" ht="12" thickBot="1" x14ac:dyDescent="0.25">
      <c r="D29" s="138">
        <v>11002001</v>
      </c>
      <c r="E29" s="137">
        <v>11029483</v>
      </c>
      <c r="F29" s="138">
        <v>11002003</v>
      </c>
      <c r="G29" s="137">
        <v>11029487</v>
      </c>
      <c r="H29" s="138">
        <v>11001995</v>
      </c>
      <c r="I29" s="148">
        <v>11029493</v>
      </c>
      <c r="J29" s="138">
        <v>11001997</v>
      </c>
      <c r="K29" s="137">
        <v>11029481</v>
      </c>
      <c r="L29" s="138">
        <v>11002000</v>
      </c>
      <c r="M29" s="137">
        <v>11029486</v>
      </c>
      <c r="N29" s="138">
        <v>11002142</v>
      </c>
      <c r="O29" s="137">
        <v>11029491</v>
      </c>
    </row>
    <row r="30" spans="1:17" ht="12.6" thickBot="1" x14ac:dyDescent="0.3">
      <c r="A30" s="192" t="s">
        <v>69</v>
      </c>
      <c r="B30" s="192"/>
      <c r="C30" s="104"/>
      <c r="D30" s="147">
        <f>D31*D28</f>
        <v>1360.48</v>
      </c>
      <c r="E30" s="146">
        <f>D31*E28</f>
        <v>4823.5200000000004</v>
      </c>
      <c r="F30" s="147">
        <f>F31*F28</f>
        <v>770.44</v>
      </c>
      <c r="G30" s="146">
        <f>F31*G28</f>
        <v>2731.56</v>
      </c>
      <c r="H30" s="147">
        <f>H31*H28</f>
        <v>1400.08</v>
      </c>
      <c r="I30" s="146">
        <f>H31*I28</f>
        <v>4963.92</v>
      </c>
      <c r="J30" s="147">
        <f>J31*J28</f>
        <v>1006.0600000000001</v>
      </c>
      <c r="K30" s="146">
        <f>J31*K28</f>
        <v>3566.94</v>
      </c>
      <c r="L30" s="147">
        <f>L31*L28</f>
        <v>1323.3</v>
      </c>
      <c r="M30" s="146">
        <f>L31*M28</f>
        <v>4691.7</v>
      </c>
      <c r="N30" s="147">
        <f>N31*N28</f>
        <v>1917.3</v>
      </c>
      <c r="O30" s="146">
        <f>N31*O28</f>
        <v>6797.7</v>
      </c>
      <c r="P30" s="104" t="s">
        <v>66</v>
      </c>
      <c r="Q30" s="104"/>
    </row>
    <row r="31" spans="1:17" ht="12" thickBot="1" x14ac:dyDescent="0.25">
      <c r="A31" s="131" t="s">
        <v>68</v>
      </c>
      <c r="B31" s="131"/>
      <c r="C31" s="104"/>
      <c r="D31" s="198">
        <v>6184</v>
      </c>
      <c r="E31" s="199"/>
      <c r="F31" s="193">
        <v>3502</v>
      </c>
      <c r="G31" s="185"/>
      <c r="H31" s="193">
        <v>6364</v>
      </c>
      <c r="I31" s="185"/>
      <c r="J31" s="193">
        <v>4573</v>
      </c>
      <c r="K31" s="185"/>
      <c r="L31" s="193">
        <v>6015</v>
      </c>
      <c r="M31" s="185"/>
      <c r="N31" s="193">
        <v>8715</v>
      </c>
      <c r="O31" s="185"/>
      <c r="P31" s="104"/>
      <c r="Q31" s="104"/>
    </row>
    <row r="32" spans="1:17" ht="12.6" thickBot="1" x14ac:dyDescent="0.3">
      <c r="A32" s="186" t="s">
        <v>67</v>
      </c>
      <c r="B32" s="187"/>
      <c r="C32" s="104"/>
      <c r="D32" s="145">
        <f>D33*D28</f>
        <v>528</v>
      </c>
      <c r="E32" s="144">
        <f>D33*E28</f>
        <v>1872</v>
      </c>
      <c r="F32" s="145">
        <f>F33*F28</f>
        <v>114.62</v>
      </c>
      <c r="G32" s="144">
        <f>F33*G28</f>
        <v>406.38</v>
      </c>
      <c r="H32" s="145">
        <f>H33*H28</f>
        <v>940.28</v>
      </c>
      <c r="I32" s="144">
        <f>H33*I28</f>
        <v>3333.7200000000003</v>
      </c>
      <c r="J32" s="145">
        <f>J33*J28</f>
        <v>663.3</v>
      </c>
      <c r="K32" s="144">
        <f>J33*K28</f>
        <v>2351.7000000000003</v>
      </c>
      <c r="L32" s="144">
        <f>L33*L28</f>
        <v>761.64</v>
      </c>
      <c r="M32" s="144">
        <f>L33*M28</f>
        <v>2700.36</v>
      </c>
      <c r="N32" s="145">
        <f>N33*N28</f>
        <v>962.94</v>
      </c>
      <c r="O32" s="144">
        <f>N33*O28</f>
        <v>3414.06</v>
      </c>
      <c r="P32" s="104" t="s">
        <v>66</v>
      </c>
      <c r="Q32" s="104"/>
    </row>
    <row r="33" spans="1:19" ht="12" thickBot="1" x14ac:dyDescent="0.25">
      <c r="A33" s="131" t="s">
        <v>65</v>
      </c>
      <c r="B33" s="131"/>
      <c r="C33" s="104"/>
      <c r="D33" s="194">
        <v>2400</v>
      </c>
      <c r="E33" s="195"/>
      <c r="F33" s="196">
        <v>521</v>
      </c>
      <c r="G33" s="197"/>
      <c r="H33" s="196">
        <v>4274</v>
      </c>
      <c r="I33" s="197"/>
      <c r="J33" s="196">
        <v>3015</v>
      </c>
      <c r="K33" s="197"/>
      <c r="L33" s="196">
        <v>3462</v>
      </c>
      <c r="M33" s="197"/>
      <c r="N33" s="196">
        <v>4377</v>
      </c>
      <c r="O33" s="197"/>
      <c r="P33" s="104"/>
      <c r="Q33" s="104"/>
    </row>
    <row r="34" spans="1:19" x14ac:dyDescent="0.2">
      <c r="A34" s="104"/>
      <c r="B34" s="104"/>
      <c r="C34" s="122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04"/>
      <c r="P34" s="104"/>
      <c r="Q34" s="104"/>
    </row>
    <row r="35" spans="1:19" ht="12.6" thickBot="1" x14ac:dyDescent="0.3">
      <c r="A35" s="104"/>
      <c r="B35" s="104"/>
      <c r="C35" s="104"/>
      <c r="D35" s="191" t="s">
        <v>75</v>
      </c>
      <c r="E35" s="191"/>
      <c r="F35" s="191" t="s">
        <v>74</v>
      </c>
      <c r="G35" s="191"/>
      <c r="H35" s="191" t="s">
        <v>73</v>
      </c>
      <c r="I35" s="191"/>
      <c r="J35" s="191" t="s">
        <v>72</v>
      </c>
      <c r="K35" s="191"/>
      <c r="L35" s="191" t="s">
        <v>71</v>
      </c>
      <c r="M35" s="191"/>
      <c r="N35" s="191" t="s">
        <v>70</v>
      </c>
      <c r="O35" s="191"/>
      <c r="P35" s="104"/>
      <c r="Q35" s="104"/>
    </row>
    <row r="36" spans="1:19" s="139" customFormat="1" ht="10.199999999999999" x14ac:dyDescent="0.2">
      <c r="A36" s="140"/>
      <c r="B36" s="140"/>
      <c r="C36" s="140"/>
      <c r="D36" s="142">
        <v>0.22</v>
      </c>
      <c r="E36" s="141">
        <v>0.78</v>
      </c>
      <c r="F36" s="142">
        <v>0.22</v>
      </c>
      <c r="G36" s="141">
        <v>0.78</v>
      </c>
      <c r="H36" s="142">
        <v>0.22</v>
      </c>
      <c r="I36" s="141">
        <v>0.78</v>
      </c>
      <c r="J36" s="142">
        <v>0.22</v>
      </c>
      <c r="K36" s="141">
        <v>0.78</v>
      </c>
      <c r="L36" s="142">
        <v>0.22</v>
      </c>
      <c r="M36" s="141">
        <v>0.78</v>
      </c>
      <c r="N36" s="142">
        <v>0.22</v>
      </c>
      <c r="O36" s="141">
        <v>0.78</v>
      </c>
      <c r="P36" s="140"/>
      <c r="Q36" s="140"/>
    </row>
    <row r="37" spans="1:19" ht="12" thickBot="1" x14ac:dyDescent="0.25">
      <c r="C37" s="104"/>
      <c r="D37" s="138">
        <v>11001996</v>
      </c>
      <c r="E37" s="137">
        <v>11029494</v>
      </c>
      <c r="F37" s="138">
        <v>11002006</v>
      </c>
      <c r="G37" s="137">
        <v>11029482</v>
      </c>
      <c r="H37" s="138">
        <v>11002143</v>
      </c>
      <c r="I37" s="137">
        <v>11029490</v>
      </c>
      <c r="J37" s="138">
        <v>11002007</v>
      </c>
      <c r="K37" s="137">
        <v>11029485</v>
      </c>
      <c r="L37" s="138">
        <v>11002008</v>
      </c>
      <c r="M37" s="137">
        <v>11029489</v>
      </c>
      <c r="N37" s="138">
        <v>11002009</v>
      </c>
      <c r="O37" s="137">
        <v>11029484</v>
      </c>
      <c r="P37" s="104"/>
      <c r="Q37" s="104"/>
    </row>
    <row r="38" spans="1:19" ht="12.6" thickBot="1" x14ac:dyDescent="0.3">
      <c r="A38" s="192" t="s">
        <v>69</v>
      </c>
      <c r="B38" s="192"/>
      <c r="C38" s="122"/>
      <c r="D38" s="136">
        <f>D39*D36</f>
        <v>1346.4</v>
      </c>
      <c r="E38" s="135">
        <f>D39*E36</f>
        <v>4773.6000000000004</v>
      </c>
      <c r="F38" s="136">
        <f>F39*F36</f>
        <v>805.64</v>
      </c>
      <c r="G38" s="135">
        <f>F39*G36</f>
        <v>2856.36</v>
      </c>
      <c r="H38" s="136">
        <f>H39*H36</f>
        <v>1181.6200000000001</v>
      </c>
      <c r="I38" s="135">
        <f>H39*I36</f>
        <v>4189.38</v>
      </c>
      <c r="J38" s="136">
        <f>J39*J36</f>
        <v>967.56000000000006</v>
      </c>
      <c r="K38" s="135">
        <f>J39*K36</f>
        <v>3430.44</v>
      </c>
      <c r="L38" s="136">
        <f>L39*L36</f>
        <v>932.58</v>
      </c>
      <c r="M38" s="135">
        <f>L39*M36</f>
        <v>3306.42</v>
      </c>
      <c r="N38" s="136">
        <f>N39*N36</f>
        <v>818.4</v>
      </c>
      <c r="O38" s="135">
        <f>N39*O36</f>
        <v>2901.6</v>
      </c>
      <c r="P38" s="104" t="s">
        <v>66</v>
      </c>
      <c r="Q38" s="104"/>
    </row>
    <row r="39" spans="1:19" ht="13.5" customHeight="1" thickBot="1" x14ac:dyDescent="0.25">
      <c r="A39" s="131" t="s">
        <v>68</v>
      </c>
      <c r="B39" s="131"/>
      <c r="C39" s="104"/>
      <c r="D39" s="193">
        <v>6120</v>
      </c>
      <c r="E39" s="185"/>
      <c r="F39" s="184">
        <v>3662</v>
      </c>
      <c r="G39" s="185"/>
      <c r="H39" s="193">
        <v>5371</v>
      </c>
      <c r="I39" s="185"/>
      <c r="J39" s="193">
        <v>4398</v>
      </c>
      <c r="K39" s="185"/>
      <c r="L39" s="193">
        <v>4239</v>
      </c>
      <c r="M39" s="185"/>
      <c r="N39" s="184">
        <v>3720</v>
      </c>
      <c r="O39" s="185"/>
      <c r="P39" s="104"/>
      <c r="Q39" s="104"/>
    </row>
    <row r="40" spans="1:19" ht="12.6" thickBot="1" x14ac:dyDescent="0.3">
      <c r="A40" s="186" t="s">
        <v>67</v>
      </c>
      <c r="B40" s="187"/>
      <c r="C40" s="122"/>
      <c r="D40" s="134">
        <f>D41*D36</f>
        <v>920.48</v>
      </c>
      <c r="E40" s="132">
        <f>D41*E36</f>
        <v>3263.52</v>
      </c>
      <c r="F40" s="134">
        <f>F41*F36</f>
        <v>478.06</v>
      </c>
      <c r="G40" s="132">
        <f>F41*G36</f>
        <v>1694.94</v>
      </c>
      <c r="H40" s="132">
        <f>H41*H36</f>
        <v>597.52</v>
      </c>
      <c r="I40" s="132">
        <f>H41*I36</f>
        <v>2118.48</v>
      </c>
      <c r="J40" s="134">
        <f>J41*J36</f>
        <v>698.72</v>
      </c>
      <c r="K40" s="132">
        <f>J41*K36</f>
        <v>2477.2800000000002</v>
      </c>
      <c r="L40" s="134">
        <f>L41*L36</f>
        <v>483.56</v>
      </c>
      <c r="M40" s="132">
        <f>L41*M36</f>
        <v>1714.44</v>
      </c>
      <c r="N40" s="133">
        <f>N41*N36</f>
        <v>628.76</v>
      </c>
      <c r="O40" s="132">
        <f>N41*O36</f>
        <v>2229.2400000000002</v>
      </c>
      <c r="P40" s="104" t="s">
        <v>66</v>
      </c>
      <c r="Q40" s="104"/>
    </row>
    <row r="41" spans="1:19" ht="12" thickBot="1" x14ac:dyDescent="0.25">
      <c r="A41" s="131" t="s">
        <v>65</v>
      </c>
      <c r="B41" s="131"/>
      <c r="C41" s="104"/>
      <c r="D41" s="188">
        <v>4184</v>
      </c>
      <c r="E41" s="189"/>
      <c r="F41" s="188">
        <v>2173</v>
      </c>
      <c r="G41" s="189"/>
      <c r="H41" s="188">
        <v>2716</v>
      </c>
      <c r="I41" s="189"/>
      <c r="J41" s="188">
        <v>3176</v>
      </c>
      <c r="K41" s="189"/>
      <c r="L41" s="188">
        <v>2198</v>
      </c>
      <c r="M41" s="189"/>
      <c r="N41" s="190">
        <v>2858</v>
      </c>
      <c r="O41" s="189"/>
      <c r="P41" s="104"/>
      <c r="Q41" s="104"/>
    </row>
    <row r="42" spans="1:19" x14ac:dyDescent="0.2">
      <c r="A42" s="104"/>
      <c r="B42" s="104"/>
      <c r="C42" s="122"/>
      <c r="D42" s="130">
        <f>$C$42*D41</f>
        <v>0</v>
      </c>
      <c r="E42" s="104"/>
      <c r="F42" s="130"/>
      <c r="G42" s="104"/>
      <c r="H42" s="130">
        <f>$C$42*H41</f>
        <v>0</v>
      </c>
      <c r="I42" s="104"/>
      <c r="J42" s="130">
        <f>$C$42*J41</f>
        <v>0</v>
      </c>
      <c r="K42" s="130"/>
      <c r="L42" s="130">
        <f>$C$42*L41</f>
        <v>0</v>
      </c>
      <c r="M42" s="130"/>
      <c r="N42" s="130">
        <f>$C$42*N41</f>
        <v>0</v>
      </c>
      <c r="O42" s="104"/>
      <c r="P42" s="104"/>
      <c r="Q42" s="104"/>
    </row>
    <row r="43" spans="1:19" ht="13.5" customHeight="1" x14ac:dyDescent="0.25">
      <c r="A43" s="104"/>
      <c r="B43" s="119"/>
      <c r="C43" s="104"/>
      <c r="D43" s="106"/>
      <c r="E43" s="106"/>
      <c r="F43" s="106"/>
      <c r="G43" s="106"/>
      <c r="H43" s="106"/>
      <c r="I43" s="106"/>
      <c r="J43" s="104"/>
      <c r="K43" s="104"/>
      <c r="L43" s="104"/>
      <c r="M43" s="104"/>
      <c r="N43" s="182" t="s">
        <v>64</v>
      </c>
      <c r="O43" s="182"/>
      <c r="P43" s="182"/>
      <c r="Q43" s="104"/>
    </row>
    <row r="44" spans="1:19" ht="12" x14ac:dyDescent="0.25">
      <c r="A44" s="104"/>
      <c r="B44" s="119"/>
      <c r="C44" s="104"/>
      <c r="D44" s="106"/>
      <c r="E44" s="106"/>
      <c r="F44" s="106"/>
      <c r="G44" s="106"/>
      <c r="H44" s="106"/>
      <c r="I44" s="106"/>
      <c r="J44" s="104"/>
      <c r="K44" s="104"/>
      <c r="L44" s="104"/>
      <c r="M44" s="104"/>
      <c r="N44" s="129">
        <v>0.22</v>
      </c>
      <c r="O44" s="129">
        <v>0.78</v>
      </c>
      <c r="P44" s="128" t="s">
        <v>38</v>
      </c>
      <c r="Q44" s="104"/>
    </row>
    <row r="45" spans="1:19" ht="12" x14ac:dyDescent="0.25">
      <c r="A45" s="104"/>
      <c r="B45" s="104"/>
      <c r="C45" s="104"/>
      <c r="D45" s="106"/>
      <c r="E45" s="106"/>
      <c r="F45" s="127"/>
      <c r="G45" s="127"/>
      <c r="H45" s="119"/>
      <c r="I45" s="119"/>
      <c r="J45" s="104"/>
      <c r="K45" s="126">
        <f>P46/P45</f>
        <v>0.56239759476957829</v>
      </c>
      <c r="L45" s="125" t="s">
        <v>63</v>
      </c>
      <c r="M45" s="124" t="s">
        <v>59</v>
      </c>
      <c r="N45" s="116">
        <f>N38+L38+J38+H38+F38+D38+D30+F30+H30+J30+L30+N30</f>
        <v>13829.859999999999</v>
      </c>
      <c r="O45" s="123">
        <f>O38+M38+K38+I38+G38+E38+E30+G30+I30+K30+M30+O30</f>
        <v>49033.14</v>
      </c>
      <c r="P45" s="116">
        <f>N45+O45</f>
        <v>62863</v>
      </c>
      <c r="Q45" s="122"/>
      <c r="R45" s="121"/>
      <c r="S45" s="120"/>
    </row>
    <row r="46" spans="1:19" ht="12" x14ac:dyDescent="0.25">
      <c r="A46" s="119" t="s">
        <v>62</v>
      </c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18"/>
      <c r="M46" s="117" t="s">
        <v>58</v>
      </c>
      <c r="N46" s="116">
        <f>N40+L40+J40+H40+F40+D40+D32+F32+H32+J32+L32+N32</f>
        <v>7777.880000000001</v>
      </c>
      <c r="O46" s="116">
        <f>O40+M40+K40+I40+G40+E40+E32+G32+I32+K32+M32+O32</f>
        <v>27576.120000000003</v>
      </c>
      <c r="P46" s="116">
        <f>N46+O46</f>
        <v>35354</v>
      </c>
      <c r="Q46" s="104"/>
    </row>
    <row r="47" spans="1:19" ht="12" thickBot="1" x14ac:dyDescent="0.25">
      <c r="A47" s="115" t="s">
        <v>61</v>
      </c>
      <c r="B47" s="115"/>
      <c r="C47" s="115"/>
      <c r="D47" s="114">
        <v>721</v>
      </c>
    </row>
    <row r="48" spans="1:19" x14ac:dyDescent="0.2">
      <c r="M48" s="113"/>
      <c r="N48" s="112" t="s">
        <v>60</v>
      </c>
    </row>
    <row r="49" spans="6:17" ht="12" x14ac:dyDescent="0.25">
      <c r="F49" s="104"/>
      <c r="G49" s="104"/>
      <c r="H49" s="104"/>
      <c r="I49" s="104"/>
      <c r="J49" s="104"/>
      <c r="K49" s="104"/>
      <c r="L49" s="104"/>
      <c r="M49" s="111" t="s">
        <v>59</v>
      </c>
      <c r="N49" s="110">
        <f>P45+J21</f>
        <v>129537</v>
      </c>
      <c r="O49" s="109"/>
      <c r="P49" s="104"/>
      <c r="Q49" s="104"/>
    </row>
    <row r="50" spans="6:17" ht="12" thickBot="1" x14ac:dyDescent="0.25">
      <c r="F50" s="104"/>
      <c r="G50" s="104"/>
      <c r="H50" s="104"/>
      <c r="I50" s="104"/>
      <c r="J50" s="106"/>
      <c r="K50" s="106"/>
      <c r="L50" s="106"/>
      <c r="M50" s="108" t="s">
        <v>58</v>
      </c>
      <c r="N50" s="107">
        <f>J23+P46+D47</f>
        <v>84554</v>
      </c>
      <c r="O50" s="106"/>
      <c r="P50" s="104"/>
      <c r="Q50" s="104"/>
    </row>
    <row r="51" spans="6:17" x14ac:dyDescent="0.2">
      <c r="F51" s="104"/>
      <c r="G51" s="104"/>
      <c r="H51" s="104"/>
      <c r="I51" s="104"/>
      <c r="J51" s="106"/>
      <c r="K51" s="106"/>
      <c r="L51" s="106"/>
      <c r="M51" s="106"/>
      <c r="N51" s="104"/>
      <c r="O51" s="106"/>
      <c r="P51" s="104"/>
      <c r="Q51" s="104"/>
    </row>
  </sheetData>
  <sheetProtection formatCells="0"/>
  <protectedRanges>
    <protectedRange sqref="A13:L13" name="Range8"/>
    <protectedRange sqref="D41:O41" name="Range6"/>
    <protectedRange sqref="D39:O39" name="Range5"/>
    <protectedRange sqref="D33:O33" name="Range4"/>
    <protectedRange sqref="D31:O31" name="Range3"/>
    <protectedRange sqref="D23:I23" name="Range2"/>
    <protectedRange sqref="D21:I21" name="Range1"/>
    <protectedRange sqref="D47" name="Range7"/>
  </protectedRanges>
  <mergeCells count="48">
    <mergeCell ref="N43:P43"/>
    <mergeCell ref="N39:O39"/>
    <mergeCell ref="A40:B40"/>
    <mergeCell ref="D41:E41"/>
    <mergeCell ref="F41:G41"/>
    <mergeCell ref="H41:I41"/>
    <mergeCell ref="J41:K41"/>
    <mergeCell ref="L41:M41"/>
    <mergeCell ref="N41:O41"/>
    <mergeCell ref="L39:M39"/>
    <mergeCell ref="A38:B38"/>
    <mergeCell ref="D39:E39"/>
    <mergeCell ref="F39:G39"/>
    <mergeCell ref="H39:I39"/>
    <mergeCell ref="J39:K39"/>
    <mergeCell ref="N35:O35"/>
    <mergeCell ref="N31:O31"/>
    <mergeCell ref="A32:B32"/>
    <mergeCell ref="D33:E33"/>
    <mergeCell ref="F33:G33"/>
    <mergeCell ref="H33:I33"/>
    <mergeCell ref="J33:K33"/>
    <mergeCell ref="L33:M33"/>
    <mergeCell ref="N33:O33"/>
    <mergeCell ref="L31:M31"/>
    <mergeCell ref="D35:E35"/>
    <mergeCell ref="F35:G35"/>
    <mergeCell ref="H35:I35"/>
    <mergeCell ref="J35:K35"/>
    <mergeCell ref="L35:M35"/>
    <mergeCell ref="A30:B30"/>
    <mergeCell ref="D31:E31"/>
    <mergeCell ref="F31:G31"/>
    <mergeCell ref="H31:I31"/>
    <mergeCell ref="J31:K31"/>
    <mergeCell ref="A26:O26"/>
    <mergeCell ref="D27:E27"/>
    <mergeCell ref="F27:G27"/>
    <mergeCell ref="H27:I27"/>
    <mergeCell ref="J27:K27"/>
    <mergeCell ref="L27:M27"/>
    <mergeCell ref="N27:O27"/>
    <mergeCell ref="A22:B22"/>
    <mergeCell ref="A11:L11"/>
    <mergeCell ref="A12:L12"/>
    <mergeCell ref="A13:L13"/>
    <mergeCell ref="A17:O17"/>
    <mergeCell ref="A20:B20"/>
  </mergeCells>
  <pageMargins left="1" right="1" top="1" bottom="1" header="0.5" footer="0.5"/>
  <pageSetup scale="72" orientation="landscape" r:id="rId1"/>
  <headerFooter>
    <oddHeader>&amp;RSchedule V-K-9.2
Page &amp;P of &amp;N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S51"/>
  <sheetViews>
    <sheetView view="pageBreakPreview" topLeftCell="A22" zoomScale="60" zoomScaleNormal="100" workbookViewId="0">
      <selection activeCell="A52" sqref="A52:XFD60"/>
    </sheetView>
  </sheetViews>
  <sheetFormatPr defaultColWidth="9.109375" defaultRowHeight="11.4" x14ac:dyDescent="0.2"/>
  <cols>
    <col min="1" max="1" width="9.88671875" style="102" customWidth="1"/>
    <col min="2" max="2" width="14.5546875" style="102" customWidth="1"/>
    <col min="3" max="3" width="0.6640625" style="102" customWidth="1"/>
    <col min="4" max="4" width="10.5546875" style="102" bestFit="1" customWidth="1"/>
    <col min="5" max="5" width="9.33203125" style="102" bestFit="1" customWidth="1"/>
    <col min="6" max="6" width="10.5546875" style="102" bestFit="1" customWidth="1"/>
    <col min="7" max="7" width="9.33203125" style="102" customWidth="1"/>
    <col min="8" max="9" width="11.109375" style="102" customWidth="1"/>
    <col min="10" max="10" width="10.5546875" style="102" bestFit="1" customWidth="1"/>
    <col min="11" max="11" width="9.33203125" style="102" bestFit="1" customWidth="1"/>
    <col min="12" max="13" width="10.33203125" style="102" customWidth="1"/>
    <col min="14" max="14" width="10.6640625" style="102" customWidth="1"/>
    <col min="15" max="15" width="10" style="102" customWidth="1"/>
    <col min="16" max="16" width="10" style="102" bestFit="1" customWidth="1"/>
    <col min="17" max="17" width="9.109375" style="102"/>
    <col min="18" max="18" width="6.109375" style="102" customWidth="1"/>
    <col min="19" max="16384" width="9.109375" style="102"/>
  </cols>
  <sheetData>
    <row r="2" spans="1:13" ht="13.8" x14ac:dyDescent="0.25">
      <c r="A2" s="205" t="s">
        <v>106</v>
      </c>
      <c r="B2" s="208"/>
      <c r="C2" s="221"/>
      <c r="D2" s="222"/>
    </row>
    <row r="3" spans="1:13" ht="13.8" x14ac:dyDescent="0.25">
      <c r="A3" s="206" t="s">
        <v>107</v>
      </c>
      <c r="B3" s="211"/>
      <c r="C3" s="223"/>
      <c r="D3" s="224"/>
    </row>
    <row r="4" spans="1:13" ht="13.8" x14ac:dyDescent="0.25">
      <c r="A4" s="206" t="s">
        <v>111</v>
      </c>
      <c r="B4" s="211"/>
      <c r="C4" s="223"/>
      <c r="D4" s="224"/>
    </row>
    <row r="5" spans="1:13" ht="13.8" x14ac:dyDescent="0.25">
      <c r="A5" s="206" t="s">
        <v>108</v>
      </c>
      <c r="B5" s="211"/>
      <c r="C5" s="223"/>
      <c r="D5" s="224"/>
    </row>
    <row r="6" spans="1:13" ht="13.8" x14ac:dyDescent="0.25">
      <c r="A6" s="206" t="s">
        <v>109</v>
      </c>
      <c r="B6" s="211"/>
      <c r="C6" s="223"/>
      <c r="D6" s="224"/>
    </row>
    <row r="7" spans="1:13" ht="13.8" x14ac:dyDescent="0.25">
      <c r="A7" s="207" t="s">
        <v>110</v>
      </c>
      <c r="B7" s="214"/>
      <c r="C7" s="225"/>
      <c r="D7" s="226"/>
    </row>
    <row r="11" spans="1:13" x14ac:dyDescent="0.2">
      <c r="A11" s="203" t="s">
        <v>94</v>
      </c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165"/>
    </row>
    <row r="12" spans="1:13" x14ac:dyDescent="0.2">
      <c r="A12" s="203" t="s">
        <v>93</v>
      </c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165"/>
    </row>
    <row r="13" spans="1:13" x14ac:dyDescent="0.2">
      <c r="A13" s="203" t="s">
        <v>98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165"/>
    </row>
    <row r="17" spans="1:17" ht="13.8" x14ac:dyDescent="0.25">
      <c r="A17" s="201" t="s">
        <v>91</v>
      </c>
      <c r="B17" s="201"/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</row>
    <row r="18" spans="1:17" x14ac:dyDescent="0.2">
      <c r="A18" s="104"/>
      <c r="B18" s="104"/>
      <c r="J18" s="164"/>
      <c r="K18" s="164"/>
      <c r="L18" s="103"/>
      <c r="M18" s="103"/>
    </row>
    <row r="19" spans="1:17" ht="12" x14ac:dyDescent="0.25">
      <c r="B19" s="104"/>
      <c r="C19" s="104"/>
      <c r="D19" s="163" t="s">
        <v>90</v>
      </c>
      <c r="E19" s="163" t="s">
        <v>89</v>
      </c>
      <c r="F19" s="163" t="s">
        <v>88</v>
      </c>
      <c r="G19" s="163" t="s">
        <v>87</v>
      </c>
      <c r="H19" s="163" t="s">
        <v>81</v>
      </c>
      <c r="I19" s="163" t="s">
        <v>86</v>
      </c>
      <c r="J19" s="162"/>
      <c r="M19" s="162"/>
    </row>
    <row r="20" spans="1:17" ht="18.75" customHeight="1" x14ac:dyDescent="0.25">
      <c r="A20" s="204" t="s">
        <v>69</v>
      </c>
      <c r="B20" s="204"/>
      <c r="C20" s="104"/>
      <c r="D20" s="162">
        <v>11029391</v>
      </c>
      <c r="E20" s="162">
        <v>11029394</v>
      </c>
      <c r="F20" s="162">
        <v>11029392</v>
      </c>
      <c r="G20" s="162">
        <v>11029393</v>
      </c>
      <c r="H20" s="162">
        <v>11029389</v>
      </c>
      <c r="I20" s="162">
        <v>11029390</v>
      </c>
      <c r="J20" s="162" t="s">
        <v>38</v>
      </c>
      <c r="M20" s="162"/>
    </row>
    <row r="21" spans="1:17" ht="13.5" customHeight="1" x14ac:dyDescent="0.25">
      <c r="A21" s="156" t="s">
        <v>85</v>
      </c>
      <c r="B21" s="156"/>
      <c r="C21" s="104"/>
      <c r="D21" s="161">
        <v>17231</v>
      </c>
      <c r="E21" s="160">
        <v>10379</v>
      </c>
      <c r="F21" s="160">
        <v>6347</v>
      </c>
      <c r="G21" s="160">
        <v>17339</v>
      </c>
      <c r="H21" s="160">
        <v>13394</v>
      </c>
      <c r="I21" s="160">
        <v>6948</v>
      </c>
      <c r="J21" s="153">
        <f>(D21+E21+F21+G21+H21+I21)</f>
        <v>71638</v>
      </c>
      <c r="L21" s="126">
        <f>J23/J21</f>
        <v>0.73350735643094445</v>
      </c>
      <c r="M21" s="159" t="s">
        <v>84</v>
      </c>
    </row>
    <row r="22" spans="1:17" ht="22.5" customHeight="1" x14ac:dyDescent="0.25">
      <c r="A22" s="200" t="s">
        <v>83</v>
      </c>
      <c r="B22" s="200"/>
      <c r="C22" s="104"/>
      <c r="D22" s="120">
        <v>11029382</v>
      </c>
      <c r="E22" s="158">
        <v>11029385</v>
      </c>
      <c r="F22" s="120">
        <v>11029383</v>
      </c>
      <c r="G22" s="158">
        <v>11029384</v>
      </c>
      <c r="H22" s="120">
        <v>11029380</v>
      </c>
      <c r="I22" s="158">
        <v>11029381</v>
      </c>
      <c r="J22" s="157"/>
      <c r="M22" s="104"/>
    </row>
    <row r="23" spans="1:17" ht="13.5" customHeight="1" x14ac:dyDescent="0.2">
      <c r="A23" s="156" t="s">
        <v>65</v>
      </c>
      <c r="B23" s="156"/>
      <c r="C23" s="104"/>
      <c r="D23" s="155">
        <v>12202</v>
      </c>
      <c r="E23" s="154">
        <v>9272</v>
      </c>
      <c r="F23" s="155">
        <v>5187</v>
      </c>
      <c r="G23" s="154">
        <v>13562</v>
      </c>
      <c r="H23" s="155">
        <v>8440</v>
      </c>
      <c r="I23" s="154">
        <v>3884</v>
      </c>
      <c r="J23" s="153">
        <f>(D23+E23+F23+G23+H23+I23)</f>
        <v>52547</v>
      </c>
      <c r="L23" s="152"/>
      <c r="M23" s="151"/>
    </row>
    <row r="24" spans="1:17" ht="6.75" customHeight="1" x14ac:dyDescent="0.2">
      <c r="C24" s="104"/>
      <c r="D24" s="104"/>
      <c r="E24" s="104"/>
      <c r="F24" s="104"/>
      <c r="G24" s="104"/>
      <c r="H24" s="104"/>
      <c r="I24" s="104"/>
      <c r="J24" s="104"/>
      <c r="M24" s="104"/>
    </row>
    <row r="25" spans="1:17" ht="12" x14ac:dyDescent="0.25">
      <c r="B25" s="119"/>
      <c r="C25" s="104"/>
      <c r="D25" s="104"/>
      <c r="E25" s="104"/>
      <c r="F25" s="104"/>
      <c r="G25" s="104"/>
      <c r="H25" s="104"/>
      <c r="I25" s="104"/>
      <c r="J25" s="150"/>
      <c r="K25" s="149"/>
      <c r="L25" s="118"/>
      <c r="M25" s="118"/>
    </row>
    <row r="26" spans="1:17" ht="19.5" customHeight="1" x14ac:dyDescent="0.25">
      <c r="A26" s="201" t="s">
        <v>82</v>
      </c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</row>
    <row r="27" spans="1:17" ht="12.6" thickBot="1" x14ac:dyDescent="0.3">
      <c r="D27" s="202" t="s">
        <v>81</v>
      </c>
      <c r="E27" s="202"/>
      <c r="F27" s="202" t="s">
        <v>80</v>
      </c>
      <c r="G27" s="202"/>
      <c r="H27" s="202" t="s">
        <v>79</v>
      </c>
      <c r="I27" s="202"/>
      <c r="J27" s="202" t="s">
        <v>78</v>
      </c>
      <c r="K27" s="202"/>
      <c r="L27" s="202" t="s">
        <v>77</v>
      </c>
      <c r="M27" s="202"/>
      <c r="N27" s="202" t="s">
        <v>76</v>
      </c>
      <c r="O27" s="202"/>
    </row>
    <row r="28" spans="1:17" s="139" customFormat="1" ht="10.199999999999999" x14ac:dyDescent="0.2">
      <c r="A28" s="140"/>
      <c r="B28" s="140"/>
      <c r="C28" s="140"/>
      <c r="D28" s="142">
        <v>0.22</v>
      </c>
      <c r="E28" s="141">
        <v>0.78</v>
      </c>
      <c r="F28" s="142">
        <v>0.22</v>
      </c>
      <c r="G28" s="141">
        <v>0.78</v>
      </c>
      <c r="H28" s="142">
        <v>0.22</v>
      </c>
      <c r="I28" s="141">
        <v>0.78</v>
      </c>
      <c r="J28" s="142">
        <v>0.22</v>
      </c>
      <c r="K28" s="141">
        <v>0.78</v>
      </c>
      <c r="L28" s="142">
        <v>0.22</v>
      </c>
      <c r="M28" s="141">
        <v>0.78</v>
      </c>
      <c r="N28" s="142">
        <v>0.22</v>
      </c>
      <c r="O28" s="141">
        <v>0.78</v>
      </c>
    </row>
    <row r="29" spans="1:17" s="104" customFormat="1" ht="12" thickBot="1" x14ac:dyDescent="0.25">
      <c r="D29" s="138">
        <v>11002001</v>
      </c>
      <c r="E29" s="137">
        <v>11029483</v>
      </c>
      <c r="F29" s="138">
        <v>11002003</v>
      </c>
      <c r="G29" s="137">
        <v>11029487</v>
      </c>
      <c r="H29" s="138">
        <v>11001995</v>
      </c>
      <c r="I29" s="148">
        <v>11029493</v>
      </c>
      <c r="J29" s="138">
        <v>11001997</v>
      </c>
      <c r="K29" s="137">
        <v>11029481</v>
      </c>
      <c r="L29" s="138">
        <v>11002000</v>
      </c>
      <c r="M29" s="137">
        <v>11029486</v>
      </c>
      <c r="N29" s="138">
        <v>11002142</v>
      </c>
      <c r="O29" s="137">
        <v>11029491</v>
      </c>
    </row>
    <row r="30" spans="1:17" ht="12.6" thickBot="1" x14ac:dyDescent="0.3">
      <c r="A30" s="192" t="s">
        <v>69</v>
      </c>
      <c r="B30" s="192"/>
      <c r="C30" s="104"/>
      <c r="D30" s="147">
        <f>D31*D28</f>
        <v>1615.24</v>
      </c>
      <c r="E30" s="146">
        <f>D31*E28</f>
        <v>5726.76</v>
      </c>
      <c r="F30" s="147">
        <f>F31*F28</f>
        <v>837.54</v>
      </c>
      <c r="G30" s="146">
        <f>F31*G28</f>
        <v>2969.46</v>
      </c>
      <c r="H30" s="147">
        <f>H31*H28</f>
        <v>1467.18</v>
      </c>
      <c r="I30" s="146">
        <f>H31*I28</f>
        <v>5201.8200000000006</v>
      </c>
      <c r="J30" s="147">
        <f>J31*J28</f>
        <v>1174.8</v>
      </c>
      <c r="K30" s="146">
        <f>J31*K28</f>
        <v>4165.2</v>
      </c>
      <c r="L30" s="147">
        <f>L31*L28</f>
        <v>1442.1</v>
      </c>
      <c r="M30" s="146">
        <f>L31*M28</f>
        <v>5112.9000000000005</v>
      </c>
      <c r="N30" s="147">
        <f>N31*N28</f>
        <v>2019.38</v>
      </c>
      <c r="O30" s="146">
        <f>N31*O28</f>
        <v>7159.62</v>
      </c>
      <c r="P30" s="104" t="s">
        <v>66</v>
      </c>
      <c r="Q30" s="104"/>
    </row>
    <row r="31" spans="1:17" ht="12" thickBot="1" x14ac:dyDescent="0.25">
      <c r="A31" s="131" t="s">
        <v>68</v>
      </c>
      <c r="B31" s="131"/>
      <c r="C31" s="104"/>
      <c r="D31" s="198">
        <v>7342</v>
      </c>
      <c r="E31" s="199"/>
      <c r="F31" s="193">
        <v>3807</v>
      </c>
      <c r="G31" s="185"/>
      <c r="H31" s="193">
        <v>6669</v>
      </c>
      <c r="I31" s="185"/>
      <c r="J31" s="193">
        <v>5340</v>
      </c>
      <c r="K31" s="185"/>
      <c r="L31" s="193">
        <v>6555</v>
      </c>
      <c r="M31" s="185"/>
      <c r="N31" s="193">
        <v>9179</v>
      </c>
      <c r="O31" s="185"/>
      <c r="P31" s="104"/>
      <c r="Q31" s="104"/>
    </row>
    <row r="32" spans="1:17" ht="12.6" thickBot="1" x14ac:dyDescent="0.3">
      <c r="A32" s="186" t="s">
        <v>67</v>
      </c>
      <c r="B32" s="187"/>
      <c r="C32" s="104"/>
      <c r="D32" s="145">
        <f>D33*D28</f>
        <v>670.12</v>
      </c>
      <c r="E32" s="144">
        <f>D33*E28</f>
        <v>2375.88</v>
      </c>
      <c r="F32" s="145">
        <f>F33*F28</f>
        <v>147.4</v>
      </c>
      <c r="G32" s="144">
        <f>F33*G28</f>
        <v>522.6</v>
      </c>
      <c r="H32" s="145">
        <f>H33*H28</f>
        <v>1018.82</v>
      </c>
      <c r="I32" s="144">
        <f>H33*I28</f>
        <v>3612.1800000000003</v>
      </c>
      <c r="J32" s="145">
        <f>J33*J28</f>
        <v>776.82</v>
      </c>
      <c r="K32" s="144">
        <f>J33*K28</f>
        <v>2754.1800000000003</v>
      </c>
      <c r="L32" s="144">
        <f>L33*L28</f>
        <v>788.7</v>
      </c>
      <c r="M32" s="144">
        <f>L33*M28</f>
        <v>2796.3</v>
      </c>
      <c r="N32" s="145">
        <f>N33*N28</f>
        <v>1032.9000000000001</v>
      </c>
      <c r="O32" s="144">
        <f>N33*O28</f>
        <v>3662.1</v>
      </c>
      <c r="P32" s="104" t="s">
        <v>66</v>
      </c>
      <c r="Q32" s="104"/>
    </row>
    <row r="33" spans="1:19" ht="12" thickBot="1" x14ac:dyDescent="0.25">
      <c r="A33" s="131" t="s">
        <v>65</v>
      </c>
      <c r="B33" s="131"/>
      <c r="C33" s="104"/>
      <c r="D33" s="194">
        <v>3046</v>
      </c>
      <c r="E33" s="195"/>
      <c r="F33" s="196">
        <v>670</v>
      </c>
      <c r="G33" s="197"/>
      <c r="H33" s="196">
        <v>4631</v>
      </c>
      <c r="I33" s="197"/>
      <c r="J33" s="196">
        <v>3531</v>
      </c>
      <c r="K33" s="197"/>
      <c r="L33" s="196">
        <v>3585</v>
      </c>
      <c r="M33" s="197"/>
      <c r="N33" s="196">
        <v>4695</v>
      </c>
      <c r="O33" s="197"/>
      <c r="P33" s="104"/>
      <c r="Q33" s="104"/>
    </row>
    <row r="34" spans="1:19" x14ac:dyDescent="0.2">
      <c r="A34" s="104"/>
      <c r="B34" s="104"/>
      <c r="C34" s="122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04"/>
      <c r="P34" s="104"/>
      <c r="Q34" s="104"/>
    </row>
    <row r="35" spans="1:19" ht="12.6" thickBot="1" x14ac:dyDescent="0.3">
      <c r="A35" s="104"/>
      <c r="B35" s="104"/>
      <c r="C35" s="104"/>
      <c r="D35" s="191" t="s">
        <v>75</v>
      </c>
      <c r="E35" s="191"/>
      <c r="F35" s="191" t="s">
        <v>74</v>
      </c>
      <c r="G35" s="191"/>
      <c r="H35" s="191" t="s">
        <v>73</v>
      </c>
      <c r="I35" s="191"/>
      <c r="J35" s="191" t="s">
        <v>72</v>
      </c>
      <c r="K35" s="191"/>
      <c r="L35" s="191" t="s">
        <v>71</v>
      </c>
      <c r="M35" s="191"/>
      <c r="N35" s="191" t="s">
        <v>70</v>
      </c>
      <c r="O35" s="191"/>
      <c r="P35" s="104"/>
      <c r="Q35" s="104"/>
    </row>
    <row r="36" spans="1:19" s="139" customFormat="1" ht="10.199999999999999" x14ac:dyDescent="0.2">
      <c r="A36" s="140"/>
      <c r="B36" s="140"/>
      <c r="C36" s="140"/>
      <c r="D36" s="142">
        <v>0.22</v>
      </c>
      <c r="E36" s="141">
        <v>0.78</v>
      </c>
      <c r="F36" s="142">
        <v>0.22</v>
      </c>
      <c r="G36" s="141">
        <v>0.78</v>
      </c>
      <c r="H36" s="142">
        <v>0.22</v>
      </c>
      <c r="I36" s="141">
        <v>0.78</v>
      </c>
      <c r="J36" s="142">
        <v>0.22</v>
      </c>
      <c r="K36" s="141">
        <v>0.78</v>
      </c>
      <c r="L36" s="142">
        <v>0.22</v>
      </c>
      <c r="M36" s="141">
        <v>0.78</v>
      </c>
      <c r="N36" s="142">
        <v>0.22</v>
      </c>
      <c r="O36" s="141">
        <v>0.78</v>
      </c>
      <c r="P36" s="140"/>
      <c r="Q36" s="140"/>
    </row>
    <row r="37" spans="1:19" ht="12" thickBot="1" x14ac:dyDescent="0.25">
      <c r="C37" s="104"/>
      <c r="D37" s="138">
        <v>11001996</v>
      </c>
      <c r="E37" s="137">
        <v>11029494</v>
      </c>
      <c r="F37" s="138">
        <v>11002006</v>
      </c>
      <c r="G37" s="137">
        <v>11029482</v>
      </c>
      <c r="H37" s="138">
        <v>11002143</v>
      </c>
      <c r="I37" s="137">
        <v>11029490</v>
      </c>
      <c r="J37" s="138">
        <v>11002007</v>
      </c>
      <c r="K37" s="137">
        <v>11029485</v>
      </c>
      <c r="L37" s="138">
        <v>11002008</v>
      </c>
      <c r="M37" s="137">
        <v>11029489</v>
      </c>
      <c r="N37" s="138">
        <v>11002009</v>
      </c>
      <c r="O37" s="137">
        <v>11029484</v>
      </c>
      <c r="P37" s="104"/>
      <c r="Q37" s="104"/>
    </row>
    <row r="38" spans="1:19" ht="12.6" thickBot="1" x14ac:dyDescent="0.3">
      <c r="A38" s="192" t="s">
        <v>69</v>
      </c>
      <c r="B38" s="192"/>
      <c r="C38" s="122"/>
      <c r="D38" s="136">
        <f>D39*D36</f>
        <v>1283.04</v>
      </c>
      <c r="E38" s="135">
        <f>D39*E36</f>
        <v>4548.96</v>
      </c>
      <c r="F38" s="136">
        <f>F39*F36</f>
        <v>948.2</v>
      </c>
      <c r="G38" s="135">
        <f>F39*G36</f>
        <v>3361.8</v>
      </c>
      <c r="H38" s="136">
        <f>H39*H36</f>
        <v>1245.2</v>
      </c>
      <c r="I38" s="135">
        <f>H39*I36</f>
        <v>4414.8</v>
      </c>
      <c r="J38" s="136">
        <f>J39*J36</f>
        <v>1049.6200000000001</v>
      </c>
      <c r="K38" s="135">
        <f>J39*K36</f>
        <v>3721.38</v>
      </c>
      <c r="L38" s="136">
        <f>L39*L36</f>
        <v>993.3</v>
      </c>
      <c r="M38" s="135">
        <f>L39*M36</f>
        <v>3521.7000000000003</v>
      </c>
      <c r="N38" s="136">
        <f>N39*N36</f>
        <v>850.3</v>
      </c>
      <c r="O38" s="135">
        <f>N39*O36</f>
        <v>3014.7000000000003</v>
      </c>
      <c r="P38" s="104" t="s">
        <v>66</v>
      </c>
      <c r="Q38" s="104"/>
    </row>
    <row r="39" spans="1:19" ht="13.5" customHeight="1" thickBot="1" x14ac:dyDescent="0.25">
      <c r="A39" s="131" t="s">
        <v>68</v>
      </c>
      <c r="B39" s="131"/>
      <c r="C39" s="104"/>
      <c r="D39" s="193">
        <v>5832</v>
      </c>
      <c r="E39" s="185"/>
      <c r="F39" s="184">
        <v>4310</v>
      </c>
      <c r="G39" s="185"/>
      <c r="H39" s="193">
        <v>5660</v>
      </c>
      <c r="I39" s="185"/>
      <c r="J39" s="193">
        <v>4771</v>
      </c>
      <c r="K39" s="185"/>
      <c r="L39" s="193">
        <v>4515</v>
      </c>
      <c r="M39" s="185"/>
      <c r="N39" s="184">
        <v>3865</v>
      </c>
      <c r="O39" s="185"/>
      <c r="P39" s="104"/>
      <c r="Q39" s="104"/>
    </row>
    <row r="40" spans="1:19" ht="12.6" thickBot="1" x14ac:dyDescent="0.3">
      <c r="A40" s="186" t="s">
        <v>67</v>
      </c>
      <c r="B40" s="187"/>
      <c r="C40" s="122"/>
      <c r="D40" s="134">
        <f>D41*D36</f>
        <v>889.02</v>
      </c>
      <c r="E40" s="132">
        <f>D41*E36</f>
        <v>3151.98</v>
      </c>
      <c r="F40" s="134">
        <f>F41*F36</f>
        <v>600.38</v>
      </c>
      <c r="G40" s="132">
        <f>F41*G36</f>
        <v>2128.62</v>
      </c>
      <c r="H40" s="132">
        <f>H41*H36</f>
        <v>616.66</v>
      </c>
      <c r="I40" s="132">
        <f>H41*I36</f>
        <v>2186.34</v>
      </c>
      <c r="J40" s="134">
        <f>J41*J36</f>
        <v>766.48</v>
      </c>
      <c r="K40" s="132">
        <f>J41*K36</f>
        <v>2717.52</v>
      </c>
      <c r="L40" s="134">
        <f>L41*L36</f>
        <v>561.22</v>
      </c>
      <c r="M40" s="132">
        <f>L41*M36</f>
        <v>1989.78</v>
      </c>
      <c r="N40" s="133">
        <f>N41*N36</f>
        <v>666.38</v>
      </c>
      <c r="O40" s="132">
        <f>N41*O36</f>
        <v>2362.62</v>
      </c>
      <c r="P40" s="104" t="s">
        <v>66</v>
      </c>
      <c r="Q40" s="104"/>
    </row>
    <row r="41" spans="1:19" ht="12" thickBot="1" x14ac:dyDescent="0.25">
      <c r="A41" s="131" t="s">
        <v>65</v>
      </c>
      <c r="B41" s="131"/>
      <c r="C41" s="104"/>
      <c r="D41" s="188">
        <v>4041</v>
      </c>
      <c r="E41" s="189"/>
      <c r="F41" s="188">
        <v>2729</v>
      </c>
      <c r="G41" s="189"/>
      <c r="H41" s="188">
        <v>2803</v>
      </c>
      <c r="I41" s="189"/>
      <c r="J41" s="188">
        <v>3484</v>
      </c>
      <c r="K41" s="189"/>
      <c r="L41" s="188">
        <v>2551</v>
      </c>
      <c r="M41" s="189"/>
      <c r="N41" s="190">
        <v>3029</v>
      </c>
      <c r="O41" s="189"/>
      <c r="P41" s="104"/>
      <c r="Q41" s="104"/>
    </row>
    <row r="42" spans="1:19" x14ac:dyDescent="0.2">
      <c r="A42" s="104"/>
      <c r="B42" s="104"/>
      <c r="C42" s="122"/>
      <c r="D42" s="130">
        <f>$C$42*D41</f>
        <v>0</v>
      </c>
      <c r="E42" s="104"/>
      <c r="F42" s="130"/>
      <c r="G42" s="104"/>
      <c r="H42" s="130">
        <f>$C$42*H41</f>
        <v>0</v>
      </c>
      <c r="I42" s="104"/>
      <c r="J42" s="130">
        <f>$C$42*J41</f>
        <v>0</v>
      </c>
      <c r="K42" s="130"/>
      <c r="L42" s="130">
        <f>$C$42*L41</f>
        <v>0</v>
      </c>
      <c r="M42" s="130"/>
      <c r="N42" s="130">
        <f>$C$42*N41</f>
        <v>0</v>
      </c>
      <c r="O42" s="104"/>
      <c r="P42" s="104"/>
      <c r="Q42" s="104"/>
    </row>
    <row r="43" spans="1:19" ht="13.5" customHeight="1" x14ac:dyDescent="0.25">
      <c r="A43" s="104"/>
      <c r="B43" s="119"/>
      <c r="C43" s="104"/>
      <c r="D43" s="106"/>
      <c r="E43" s="106"/>
      <c r="F43" s="106"/>
      <c r="G43" s="106"/>
      <c r="H43" s="106"/>
      <c r="I43" s="106"/>
      <c r="J43" s="104"/>
      <c r="K43" s="104"/>
      <c r="L43" s="104"/>
      <c r="M43" s="104"/>
      <c r="N43" s="182" t="s">
        <v>64</v>
      </c>
      <c r="O43" s="182"/>
      <c r="P43" s="182"/>
      <c r="Q43" s="104"/>
    </row>
    <row r="44" spans="1:19" ht="12" x14ac:dyDescent="0.25">
      <c r="A44" s="104"/>
      <c r="B44" s="119"/>
      <c r="C44" s="104"/>
      <c r="D44" s="106"/>
      <c r="E44" s="106"/>
      <c r="F44" s="106"/>
      <c r="G44" s="106"/>
      <c r="H44" s="106"/>
      <c r="I44" s="106"/>
      <c r="J44" s="104"/>
      <c r="K44" s="104"/>
      <c r="L44" s="104"/>
      <c r="M44" s="104"/>
      <c r="N44" s="129">
        <v>0.22</v>
      </c>
      <c r="O44" s="129">
        <v>0.78</v>
      </c>
      <c r="P44" s="128" t="s">
        <v>38</v>
      </c>
      <c r="Q44" s="104"/>
    </row>
    <row r="45" spans="1:19" ht="12" x14ac:dyDescent="0.25">
      <c r="A45" s="104"/>
      <c r="B45" s="104"/>
      <c r="C45" s="104"/>
      <c r="D45" s="106"/>
      <c r="E45" s="106"/>
      <c r="F45" s="127"/>
      <c r="G45" s="127"/>
      <c r="H45" s="119"/>
      <c r="I45" s="119"/>
      <c r="J45" s="104"/>
      <c r="K45" s="126">
        <f>P46/P45</f>
        <v>0.57181811482054679</v>
      </c>
      <c r="L45" s="125" t="s">
        <v>63</v>
      </c>
      <c r="M45" s="124" t="s">
        <v>59</v>
      </c>
      <c r="N45" s="116">
        <f>N38+L38+J38+H38+F38+D38+D30+F30+H30+J30+L30+N30</f>
        <v>14925.899999999998</v>
      </c>
      <c r="O45" s="123">
        <f>O38+M38+K38+I38+G38+E38+E30+G30+I30+K30+M30+O30</f>
        <v>52919.1</v>
      </c>
      <c r="P45" s="116">
        <f>N45+O45</f>
        <v>67845</v>
      </c>
      <c r="Q45" s="122"/>
      <c r="R45" s="121"/>
      <c r="S45" s="120"/>
    </row>
    <row r="46" spans="1:19" ht="12" x14ac:dyDescent="0.25">
      <c r="A46" s="119" t="s">
        <v>62</v>
      </c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18"/>
      <c r="M46" s="117" t="s">
        <v>58</v>
      </c>
      <c r="N46" s="116">
        <f>N40+L40+J40+H40+F40+D40+D32+F32+H32+J32+L32+N32</f>
        <v>8534.8999999999978</v>
      </c>
      <c r="O46" s="116">
        <f>O40+M40+K40+I40+G40+E40+E32+G32+I32+K32+M32+O32</f>
        <v>30260.1</v>
      </c>
      <c r="P46" s="116">
        <f>N46+O46</f>
        <v>38795</v>
      </c>
      <c r="Q46" s="104"/>
    </row>
    <row r="47" spans="1:19" ht="12" thickBot="1" x14ac:dyDescent="0.25">
      <c r="A47" s="115" t="s">
        <v>61</v>
      </c>
      <c r="B47" s="115"/>
      <c r="C47" s="115"/>
      <c r="D47" s="114">
        <v>860</v>
      </c>
    </row>
    <row r="48" spans="1:19" x14ac:dyDescent="0.2">
      <c r="M48" s="113"/>
      <c r="N48" s="112" t="s">
        <v>60</v>
      </c>
    </row>
    <row r="49" spans="6:17" ht="12" x14ac:dyDescent="0.25">
      <c r="F49" s="104"/>
      <c r="G49" s="104"/>
      <c r="H49" s="104"/>
      <c r="I49" s="104"/>
      <c r="J49" s="104"/>
      <c r="K49" s="104"/>
      <c r="L49" s="104"/>
      <c r="M49" s="111" t="s">
        <v>59</v>
      </c>
      <c r="N49" s="110">
        <f>P45+J21</f>
        <v>139483</v>
      </c>
      <c r="O49" s="109"/>
      <c r="P49" s="104"/>
      <c r="Q49" s="104"/>
    </row>
    <row r="50" spans="6:17" ht="12" thickBot="1" x14ac:dyDescent="0.25">
      <c r="F50" s="104"/>
      <c r="G50" s="104"/>
      <c r="H50" s="104"/>
      <c r="I50" s="104"/>
      <c r="J50" s="106"/>
      <c r="K50" s="106"/>
      <c r="L50" s="106"/>
      <c r="M50" s="108" t="s">
        <v>58</v>
      </c>
      <c r="N50" s="107">
        <f>J23+P46+D47</f>
        <v>92202</v>
      </c>
      <c r="O50" s="106"/>
      <c r="P50" s="104"/>
      <c r="Q50" s="104"/>
    </row>
    <row r="51" spans="6:17" x14ac:dyDescent="0.2">
      <c r="F51" s="104"/>
      <c r="G51" s="104"/>
      <c r="H51" s="104"/>
      <c r="I51" s="104"/>
      <c r="J51" s="106"/>
      <c r="K51" s="106"/>
      <c r="L51" s="106"/>
      <c r="M51" s="106"/>
      <c r="N51" s="104"/>
      <c r="O51" s="106"/>
      <c r="P51" s="104"/>
      <c r="Q51" s="104"/>
    </row>
  </sheetData>
  <sheetProtection formatCells="0"/>
  <protectedRanges>
    <protectedRange sqref="A13:L13" name="Range8"/>
    <protectedRange sqref="D41:O41" name="Range6"/>
    <protectedRange sqref="D39:O39" name="Range5"/>
    <protectedRange sqref="D33:O33" name="Range4"/>
    <protectedRange sqref="D31:O31" name="Range3"/>
    <protectedRange sqref="D23:I23" name="Range2"/>
    <protectedRange sqref="D21:I21" name="Range1"/>
    <protectedRange sqref="D47" name="Range7"/>
  </protectedRanges>
  <mergeCells count="48">
    <mergeCell ref="N43:P43"/>
    <mergeCell ref="N39:O39"/>
    <mergeCell ref="A40:B40"/>
    <mergeCell ref="D41:E41"/>
    <mergeCell ref="F41:G41"/>
    <mergeCell ref="H41:I41"/>
    <mergeCell ref="J41:K41"/>
    <mergeCell ref="L41:M41"/>
    <mergeCell ref="N41:O41"/>
    <mergeCell ref="L39:M39"/>
    <mergeCell ref="A38:B38"/>
    <mergeCell ref="D39:E39"/>
    <mergeCell ref="F39:G39"/>
    <mergeCell ref="H39:I39"/>
    <mergeCell ref="J39:K39"/>
    <mergeCell ref="N35:O35"/>
    <mergeCell ref="N31:O31"/>
    <mergeCell ref="A32:B32"/>
    <mergeCell ref="D33:E33"/>
    <mergeCell ref="F33:G33"/>
    <mergeCell ref="H33:I33"/>
    <mergeCell ref="J33:K33"/>
    <mergeCell ref="L33:M33"/>
    <mergeCell ref="N33:O33"/>
    <mergeCell ref="L31:M31"/>
    <mergeCell ref="D35:E35"/>
    <mergeCell ref="F35:G35"/>
    <mergeCell ref="H35:I35"/>
    <mergeCell ref="J35:K35"/>
    <mergeCell ref="L35:M35"/>
    <mergeCell ref="A30:B30"/>
    <mergeCell ref="D31:E31"/>
    <mergeCell ref="F31:G31"/>
    <mergeCell ref="H31:I31"/>
    <mergeCell ref="J31:K31"/>
    <mergeCell ref="A26:O26"/>
    <mergeCell ref="D27:E27"/>
    <mergeCell ref="F27:G27"/>
    <mergeCell ref="H27:I27"/>
    <mergeCell ref="J27:K27"/>
    <mergeCell ref="L27:M27"/>
    <mergeCell ref="N27:O27"/>
    <mergeCell ref="A22:B22"/>
    <mergeCell ref="A11:L11"/>
    <mergeCell ref="A12:L12"/>
    <mergeCell ref="A13:L13"/>
    <mergeCell ref="A17:O17"/>
    <mergeCell ref="A20:B20"/>
  </mergeCells>
  <pageMargins left="1" right="1" top="1" bottom="1" header="0.5" footer="0.5"/>
  <pageSetup scale="72" orientation="landscape" r:id="rId1"/>
  <headerFooter>
    <oddHeader>&amp;RSchedule V-K-9.2
Page &amp;P of &amp;N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S51"/>
  <sheetViews>
    <sheetView view="pageBreakPreview" topLeftCell="A22" zoomScale="60" zoomScaleNormal="100" workbookViewId="0">
      <selection activeCell="A52" sqref="A52:XFD60"/>
    </sheetView>
  </sheetViews>
  <sheetFormatPr defaultColWidth="9.109375" defaultRowHeight="11.4" x14ac:dyDescent="0.2"/>
  <cols>
    <col min="1" max="1" width="9.88671875" style="102" customWidth="1"/>
    <col min="2" max="2" width="14.5546875" style="102" customWidth="1"/>
    <col min="3" max="3" width="0.6640625" style="102" customWidth="1"/>
    <col min="4" max="4" width="10.5546875" style="102" bestFit="1" customWidth="1"/>
    <col min="5" max="5" width="9.33203125" style="102" bestFit="1" customWidth="1"/>
    <col min="6" max="6" width="10.5546875" style="102" bestFit="1" customWidth="1"/>
    <col min="7" max="7" width="9.33203125" style="102" customWidth="1"/>
    <col min="8" max="9" width="11.109375" style="102" customWidth="1"/>
    <col min="10" max="10" width="10.5546875" style="102" bestFit="1" customWidth="1"/>
    <col min="11" max="11" width="9.33203125" style="102" bestFit="1" customWidth="1"/>
    <col min="12" max="13" width="10.33203125" style="102" customWidth="1"/>
    <col min="14" max="14" width="10.6640625" style="102" customWidth="1"/>
    <col min="15" max="15" width="10" style="102" customWidth="1"/>
    <col min="16" max="16" width="10" style="102" bestFit="1" customWidth="1"/>
    <col min="17" max="17" width="9.109375" style="102"/>
    <col min="18" max="18" width="6.109375" style="102" customWidth="1"/>
    <col min="19" max="16384" width="9.109375" style="102"/>
  </cols>
  <sheetData>
    <row r="2" spans="1:13" ht="13.8" x14ac:dyDescent="0.25">
      <c r="A2" s="205" t="s">
        <v>106</v>
      </c>
      <c r="B2" s="208"/>
      <c r="C2" s="221"/>
      <c r="D2" s="222"/>
    </row>
    <row r="3" spans="1:13" ht="13.8" x14ac:dyDescent="0.25">
      <c r="A3" s="206" t="s">
        <v>107</v>
      </c>
      <c r="B3" s="211"/>
      <c r="C3" s="223"/>
      <c r="D3" s="224"/>
    </row>
    <row r="4" spans="1:13" ht="13.8" x14ac:dyDescent="0.25">
      <c r="A4" s="206" t="s">
        <v>111</v>
      </c>
      <c r="B4" s="211"/>
      <c r="C4" s="223"/>
      <c r="D4" s="224"/>
    </row>
    <row r="5" spans="1:13" ht="13.8" x14ac:dyDescent="0.25">
      <c r="A5" s="206" t="s">
        <v>108</v>
      </c>
      <c r="B5" s="211"/>
      <c r="C5" s="223"/>
      <c r="D5" s="224"/>
    </row>
    <row r="6" spans="1:13" ht="13.8" x14ac:dyDescent="0.25">
      <c r="A6" s="206" t="s">
        <v>109</v>
      </c>
      <c r="B6" s="211"/>
      <c r="C6" s="223"/>
      <c r="D6" s="224"/>
    </row>
    <row r="7" spans="1:13" ht="13.8" x14ac:dyDescent="0.25">
      <c r="A7" s="207" t="s">
        <v>110</v>
      </c>
      <c r="B7" s="214"/>
      <c r="C7" s="225"/>
      <c r="D7" s="226"/>
    </row>
    <row r="11" spans="1:13" x14ac:dyDescent="0.2">
      <c r="A11" s="203" t="s">
        <v>94</v>
      </c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165"/>
    </row>
    <row r="12" spans="1:13" x14ac:dyDescent="0.2">
      <c r="A12" s="203" t="s">
        <v>93</v>
      </c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165"/>
    </row>
    <row r="13" spans="1:13" x14ac:dyDescent="0.2">
      <c r="A13" s="203" t="s">
        <v>97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165"/>
    </row>
    <row r="17" spans="1:17" ht="13.8" x14ac:dyDescent="0.25">
      <c r="A17" s="201" t="s">
        <v>91</v>
      </c>
      <c r="B17" s="201"/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</row>
    <row r="18" spans="1:17" x14ac:dyDescent="0.2">
      <c r="A18" s="104"/>
      <c r="B18" s="104"/>
      <c r="J18" s="164"/>
      <c r="K18" s="164"/>
      <c r="L18" s="103"/>
      <c r="M18" s="103"/>
    </row>
    <row r="19" spans="1:17" ht="12" x14ac:dyDescent="0.25">
      <c r="B19" s="104"/>
      <c r="C19" s="104"/>
      <c r="D19" s="163" t="s">
        <v>90</v>
      </c>
      <c r="E19" s="163" t="s">
        <v>89</v>
      </c>
      <c r="F19" s="163" t="s">
        <v>88</v>
      </c>
      <c r="G19" s="163" t="s">
        <v>87</v>
      </c>
      <c r="H19" s="163" t="s">
        <v>81</v>
      </c>
      <c r="I19" s="163" t="s">
        <v>86</v>
      </c>
      <c r="J19" s="162"/>
      <c r="M19" s="162"/>
    </row>
    <row r="20" spans="1:17" ht="18.75" customHeight="1" x14ac:dyDescent="0.25">
      <c r="A20" s="204" t="s">
        <v>69</v>
      </c>
      <c r="B20" s="204"/>
      <c r="C20" s="104"/>
      <c r="D20" s="162">
        <v>11029391</v>
      </c>
      <c r="E20" s="162">
        <v>11029394</v>
      </c>
      <c r="F20" s="162">
        <v>11029392</v>
      </c>
      <c r="G20" s="162">
        <v>11029393</v>
      </c>
      <c r="H20" s="162">
        <v>11029389</v>
      </c>
      <c r="I20" s="162">
        <v>11029390</v>
      </c>
      <c r="J20" s="162" t="s">
        <v>38</v>
      </c>
      <c r="M20" s="162"/>
    </row>
    <row r="21" spans="1:17" ht="13.5" customHeight="1" x14ac:dyDescent="0.25">
      <c r="A21" s="156" t="s">
        <v>85</v>
      </c>
      <c r="B21" s="156"/>
      <c r="C21" s="104"/>
      <c r="D21" s="161">
        <f>18252+74</f>
        <v>18326</v>
      </c>
      <c r="E21" s="160">
        <f>9800+33</f>
        <v>9833</v>
      </c>
      <c r="F21" s="160">
        <f>6886+49</f>
        <v>6935</v>
      </c>
      <c r="G21" s="160">
        <f>16643+116</f>
        <v>16759</v>
      </c>
      <c r="H21" s="160">
        <f>13689+82</f>
        <v>13771</v>
      </c>
      <c r="I21" s="160">
        <f>7224+38</f>
        <v>7262</v>
      </c>
      <c r="J21" s="153">
        <f>(D21+E21+F21+G21+H21+I21)</f>
        <v>72886</v>
      </c>
      <c r="L21" s="126">
        <f>J23/J21</f>
        <v>0.7263809236341684</v>
      </c>
      <c r="M21" s="159" t="s">
        <v>84</v>
      </c>
    </row>
    <row r="22" spans="1:17" ht="22.5" customHeight="1" x14ac:dyDescent="0.25">
      <c r="A22" s="200" t="s">
        <v>83</v>
      </c>
      <c r="B22" s="200"/>
      <c r="C22" s="104"/>
      <c r="D22" s="120">
        <v>11029382</v>
      </c>
      <c r="E22" s="158">
        <v>11029385</v>
      </c>
      <c r="F22" s="120">
        <v>11029383</v>
      </c>
      <c r="G22" s="158">
        <v>11029384</v>
      </c>
      <c r="H22" s="120">
        <v>11029380</v>
      </c>
      <c r="I22" s="158">
        <v>11029381</v>
      </c>
      <c r="J22" s="157"/>
      <c r="M22" s="104"/>
    </row>
    <row r="23" spans="1:17" ht="13.5" customHeight="1" x14ac:dyDescent="0.2">
      <c r="A23" s="156" t="s">
        <v>65</v>
      </c>
      <c r="B23" s="156"/>
      <c r="C23" s="104"/>
      <c r="D23" s="155">
        <f>12607+74</f>
        <v>12681</v>
      </c>
      <c r="E23" s="154">
        <f>8658+33</f>
        <v>8691</v>
      </c>
      <c r="F23" s="155">
        <f>5684+49</f>
        <v>5733</v>
      </c>
      <c r="G23" s="154">
        <f>12965+116</f>
        <v>13081</v>
      </c>
      <c r="H23" s="155">
        <f>8706+82</f>
        <v>8788</v>
      </c>
      <c r="I23" s="154">
        <f>3931+38</f>
        <v>3969</v>
      </c>
      <c r="J23" s="153">
        <f>(D23+E23+F23+G23+H23+I23)</f>
        <v>52943</v>
      </c>
      <c r="L23" s="152"/>
      <c r="M23" s="151"/>
    </row>
    <row r="24" spans="1:17" ht="6.75" customHeight="1" x14ac:dyDescent="0.2">
      <c r="C24" s="104"/>
      <c r="D24" s="104"/>
      <c r="E24" s="104"/>
      <c r="F24" s="104"/>
      <c r="G24" s="104"/>
      <c r="H24" s="104"/>
      <c r="I24" s="104"/>
      <c r="J24" s="104"/>
      <c r="M24" s="104"/>
    </row>
    <row r="25" spans="1:17" ht="12" x14ac:dyDescent="0.25">
      <c r="B25" s="119"/>
      <c r="C25" s="104"/>
      <c r="D25" s="104"/>
      <c r="E25" s="104"/>
      <c r="F25" s="104"/>
      <c r="G25" s="104"/>
      <c r="H25" s="104"/>
      <c r="I25" s="104"/>
      <c r="J25" s="150"/>
      <c r="K25" s="149"/>
      <c r="L25" s="118"/>
      <c r="M25" s="118"/>
    </row>
    <row r="26" spans="1:17" ht="19.5" customHeight="1" x14ac:dyDescent="0.25">
      <c r="A26" s="201" t="s">
        <v>82</v>
      </c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</row>
    <row r="27" spans="1:17" ht="12.6" thickBot="1" x14ac:dyDescent="0.3">
      <c r="D27" s="202" t="s">
        <v>81</v>
      </c>
      <c r="E27" s="202"/>
      <c r="F27" s="202" t="s">
        <v>80</v>
      </c>
      <c r="G27" s="202"/>
      <c r="H27" s="202" t="s">
        <v>79</v>
      </c>
      <c r="I27" s="202"/>
      <c r="J27" s="202" t="s">
        <v>78</v>
      </c>
      <c r="K27" s="202"/>
      <c r="L27" s="202" t="s">
        <v>77</v>
      </c>
      <c r="M27" s="202"/>
      <c r="N27" s="202" t="s">
        <v>76</v>
      </c>
      <c r="O27" s="202"/>
    </row>
    <row r="28" spans="1:17" s="139" customFormat="1" ht="10.199999999999999" x14ac:dyDescent="0.2">
      <c r="A28" s="140"/>
      <c r="B28" s="140"/>
      <c r="C28" s="140"/>
      <c r="D28" s="142">
        <v>0.22</v>
      </c>
      <c r="E28" s="141">
        <v>0.78</v>
      </c>
      <c r="F28" s="142">
        <v>0.22</v>
      </c>
      <c r="G28" s="141">
        <v>0.78</v>
      </c>
      <c r="H28" s="142">
        <v>0.22</v>
      </c>
      <c r="I28" s="141">
        <v>0.78</v>
      </c>
      <c r="J28" s="142">
        <v>0.22</v>
      </c>
      <c r="K28" s="141">
        <v>0.78</v>
      </c>
      <c r="L28" s="142">
        <v>0.22</v>
      </c>
      <c r="M28" s="141">
        <v>0.78</v>
      </c>
      <c r="N28" s="142">
        <v>0.22</v>
      </c>
      <c r="O28" s="141">
        <v>0.78</v>
      </c>
    </row>
    <row r="29" spans="1:17" s="104" customFormat="1" ht="12" thickBot="1" x14ac:dyDescent="0.25">
      <c r="D29" s="138">
        <v>11002001</v>
      </c>
      <c r="E29" s="137">
        <v>11029483</v>
      </c>
      <c r="F29" s="138">
        <v>11002003</v>
      </c>
      <c r="G29" s="137">
        <v>11029487</v>
      </c>
      <c r="H29" s="138">
        <v>11001995</v>
      </c>
      <c r="I29" s="148">
        <v>11029493</v>
      </c>
      <c r="J29" s="138">
        <v>11001997</v>
      </c>
      <c r="K29" s="137">
        <v>11029481</v>
      </c>
      <c r="L29" s="138">
        <v>11002000</v>
      </c>
      <c r="M29" s="137">
        <v>11029486</v>
      </c>
      <c r="N29" s="138">
        <v>11002142</v>
      </c>
      <c r="O29" s="137">
        <v>11029491</v>
      </c>
    </row>
    <row r="30" spans="1:17" ht="12.6" thickBot="1" x14ac:dyDescent="0.3">
      <c r="A30" s="192" t="s">
        <v>69</v>
      </c>
      <c r="B30" s="192"/>
      <c r="C30" s="104"/>
      <c r="D30" s="147">
        <f>D31*D28</f>
        <v>1589.94</v>
      </c>
      <c r="E30" s="146">
        <f>D31*E28</f>
        <v>5637.06</v>
      </c>
      <c r="F30" s="147">
        <f>F31*F28</f>
        <v>858</v>
      </c>
      <c r="G30" s="146">
        <f>F31*G28</f>
        <v>3042</v>
      </c>
      <c r="H30" s="147">
        <f>H31*H28</f>
        <v>1487.86</v>
      </c>
      <c r="I30" s="146">
        <f>H31*I28</f>
        <v>5275.14</v>
      </c>
      <c r="J30" s="147">
        <f>J31*J28</f>
        <v>1225.6200000000001</v>
      </c>
      <c r="K30" s="146">
        <f>J31*K28</f>
        <v>4345.38</v>
      </c>
      <c r="L30" s="147">
        <f>L31*L28</f>
        <v>1584.44</v>
      </c>
      <c r="M30" s="146">
        <f>L31*M28</f>
        <v>5617.56</v>
      </c>
      <c r="N30" s="147">
        <f>N31*N28</f>
        <v>1917.96</v>
      </c>
      <c r="O30" s="146">
        <f>N31*O28</f>
        <v>6800.04</v>
      </c>
      <c r="P30" s="104" t="s">
        <v>66</v>
      </c>
      <c r="Q30" s="104"/>
    </row>
    <row r="31" spans="1:17" ht="12" thickBot="1" x14ac:dyDescent="0.25">
      <c r="A31" s="131" t="s">
        <v>68</v>
      </c>
      <c r="B31" s="131"/>
      <c r="C31" s="104"/>
      <c r="D31" s="198">
        <v>7227</v>
      </c>
      <c r="E31" s="199"/>
      <c r="F31" s="193">
        <v>3900</v>
      </c>
      <c r="G31" s="185"/>
      <c r="H31" s="193">
        <f>6578+185</f>
        <v>6763</v>
      </c>
      <c r="I31" s="185"/>
      <c r="J31" s="193">
        <v>5571</v>
      </c>
      <c r="K31" s="185"/>
      <c r="L31" s="193">
        <v>7202</v>
      </c>
      <c r="M31" s="185"/>
      <c r="N31" s="193">
        <v>8718</v>
      </c>
      <c r="O31" s="185"/>
      <c r="P31" s="104"/>
      <c r="Q31" s="104"/>
    </row>
    <row r="32" spans="1:17" ht="12.6" thickBot="1" x14ac:dyDescent="0.3">
      <c r="A32" s="186" t="s">
        <v>67</v>
      </c>
      <c r="B32" s="187"/>
      <c r="C32" s="104"/>
      <c r="D32" s="145">
        <f>D33*D28</f>
        <v>645.91999999999996</v>
      </c>
      <c r="E32" s="144">
        <f>D33*E28</f>
        <v>2290.08</v>
      </c>
      <c r="F32" s="145">
        <f>F33*F28</f>
        <v>141.9</v>
      </c>
      <c r="G32" s="144">
        <f>F33*G28</f>
        <v>503.1</v>
      </c>
      <c r="H32" s="145">
        <f>H33*H28</f>
        <v>1051.3800000000001</v>
      </c>
      <c r="I32" s="144">
        <f>H33*I28</f>
        <v>3727.6200000000003</v>
      </c>
      <c r="J32" s="145">
        <f>J33*J28</f>
        <v>830.5</v>
      </c>
      <c r="K32" s="144">
        <f>J33*K28</f>
        <v>2944.5</v>
      </c>
      <c r="L32" s="144">
        <f>L33*L28</f>
        <v>844.8</v>
      </c>
      <c r="M32" s="144">
        <f>L33*M28</f>
        <v>2995.2000000000003</v>
      </c>
      <c r="N32" s="145">
        <f>N33*N28</f>
        <v>987.36</v>
      </c>
      <c r="O32" s="144">
        <f>N33*O28</f>
        <v>3500.6400000000003</v>
      </c>
      <c r="P32" s="104" t="s">
        <v>66</v>
      </c>
      <c r="Q32" s="104"/>
    </row>
    <row r="33" spans="1:19" ht="12" thickBot="1" x14ac:dyDescent="0.25">
      <c r="A33" s="131" t="s">
        <v>65</v>
      </c>
      <c r="B33" s="131"/>
      <c r="C33" s="104"/>
      <c r="D33" s="194">
        <v>2936</v>
      </c>
      <c r="E33" s="195"/>
      <c r="F33" s="196">
        <v>645</v>
      </c>
      <c r="G33" s="197"/>
      <c r="H33" s="196">
        <f>4594+185</f>
        <v>4779</v>
      </c>
      <c r="I33" s="197"/>
      <c r="J33" s="196">
        <v>3775</v>
      </c>
      <c r="K33" s="197"/>
      <c r="L33" s="196">
        <v>3840</v>
      </c>
      <c r="M33" s="197"/>
      <c r="N33" s="196">
        <v>4488</v>
      </c>
      <c r="O33" s="197"/>
      <c r="P33" s="104"/>
      <c r="Q33" s="104"/>
    </row>
    <row r="34" spans="1:19" x14ac:dyDescent="0.2">
      <c r="A34" s="104"/>
      <c r="B34" s="104"/>
      <c r="C34" s="122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04"/>
      <c r="P34" s="104"/>
      <c r="Q34" s="104"/>
    </row>
    <row r="35" spans="1:19" ht="12.6" thickBot="1" x14ac:dyDescent="0.3">
      <c r="A35" s="104"/>
      <c r="B35" s="104"/>
      <c r="C35" s="104"/>
      <c r="D35" s="191" t="s">
        <v>75</v>
      </c>
      <c r="E35" s="191"/>
      <c r="F35" s="191" t="s">
        <v>74</v>
      </c>
      <c r="G35" s="191"/>
      <c r="H35" s="191" t="s">
        <v>73</v>
      </c>
      <c r="I35" s="191"/>
      <c r="J35" s="191" t="s">
        <v>72</v>
      </c>
      <c r="K35" s="191"/>
      <c r="L35" s="191" t="s">
        <v>71</v>
      </c>
      <c r="M35" s="191"/>
      <c r="N35" s="191" t="s">
        <v>70</v>
      </c>
      <c r="O35" s="191"/>
      <c r="P35" s="104"/>
      <c r="Q35" s="104"/>
    </row>
    <row r="36" spans="1:19" s="139" customFormat="1" ht="10.199999999999999" x14ac:dyDescent="0.2">
      <c r="A36" s="140"/>
      <c r="B36" s="140"/>
      <c r="C36" s="140"/>
      <c r="D36" s="142">
        <v>0.22</v>
      </c>
      <c r="E36" s="141">
        <v>0.78</v>
      </c>
      <c r="F36" s="142">
        <v>0.22</v>
      </c>
      <c r="G36" s="141">
        <v>0.78</v>
      </c>
      <c r="H36" s="142">
        <v>0.22</v>
      </c>
      <c r="I36" s="141">
        <v>0.78</v>
      </c>
      <c r="J36" s="142">
        <v>0.22</v>
      </c>
      <c r="K36" s="141">
        <v>0.78</v>
      </c>
      <c r="L36" s="142">
        <v>0.22</v>
      </c>
      <c r="M36" s="141">
        <v>0.78</v>
      </c>
      <c r="N36" s="142">
        <v>0.22</v>
      </c>
      <c r="O36" s="141">
        <v>0.78</v>
      </c>
      <c r="P36" s="140"/>
      <c r="Q36" s="140"/>
    </row>
    <row r="37" spans="1:19" ht="12" thickBot="1" x14ac:dyDescent="0.25">
      <c r="C37" s="104"/>
      <c r="D37" s="138">
        <v>11001996</v>
      </c>
      <c r="E37" s="137">
        <v>11029494</v>
      </c>
      <c r="F37" s="138">
        <v>11002006</v>
      </c>
      <c r="G37" s="137">
        <v>11029482</v>
      </c>
      <c r="H37" s="138">
        <v>11002143</v>
      </c>
      <c r="I37" s="137">
        <v>11029490</v>
      </c>
      <c r="J37" s="138">
        <v>11002007</v>
      </c>
      <c r="K37" s="137">
        <v>11029485</v>
      </c>
      <c r="L37" s="138">
        <v>11002008</v>
      </c>
      <c r="M37" s="137">
        <v>11029489</v>
      </c>
      <c r="N37" s="138">
        <v>11002009</v>
      </c>
      <c r="O37" s="137">
        <v>11029484</v>
      </c>
      <c r="P37" s="104"/>
      <c r="Q37" s="104"/>
    </row>
    <row r="38" spans="1:19" ht="12.6" thickBot="1" x14ac:dyDescent="0.3">
      <c r="A38" s="192" t="s">
        <v>69</v>
      </c>
      <c r="B38" s="192"/>
      <c r="C38" s="122"/>
      <c r="D38" s="136">
        <f>D39*D36</f>
        <v>1306.3599999999999</v>
      </c>
      <c r="E38" s="135">
        <f>D39*E36</f>
        <v>4631.6400000000003</v>
      </c>
      <c r="F38" s="136">
        <f>F39*F36</f>
        <v>935.44</v>
      </c>
      <c r="G38" s="135">
        <f>F39*G36</f>
        <v>3316.56</v>
      </c>
      <c r="H38" s="136">
        <f>H39*H36</f>
        <v>1318.9</v>
      </c>
      <c r="I38" s="135">
        <f>H39*I36</f>
        <v>4676.1000000000004</v>
      </c>
      <c r="J38" s="136">
        <f>J39*J36</f>
        <v>1107.7</v>
      </c>
      <c r="K38" s="135">
        <f>J39*K36</f>
        <v>3927.3</v>
      </c>
      <c r="L38" s="136">
        <f>L39*L36</f>
        <v>809.82</v>
      </c>
      <c r="M38" s="135">
        <f>L39*M36</f>
        <v>2871.1800000000003</v>
      </c>
      <c r="N38" s="136">
        <f>N39*N36</f>
        <v>973.72</v>
      </c>
      <c r="O38" s="135">
        <f>N39*O36</f>
        <v>3452.28</v>
      </c>
      <c r="P38" s="104" t="s">
        <v>66</v>
      </c>
      <c r="Q38" s="104"/>
    </row>
    <row r="39" spans="1:19" ht="13.5" customHeight="1" thickBot="1" x14ac:dyDescent="0.25">
      <c r="A39" s="131" t="s">
        <v>68</v>
      </c>
      <c r="B39" s="131"/>
      <c r="C39" s="104"/>
      <c r="D39" s="193">
        <f>5749+189</f>
        <v>5938</v>
      </c>
      <c r="E39" s="185"/>
      <c r="F39" s="184">
        <v>4252</v>
      </c>
      <c r="G39" s="185"/>
      <c r="H39" s="193">
        <v>5995</v>
      </c>
      <c r="I39" s="185"/>
      <c r="J39" s="193">
        <v>5035</v>
      </c>
      <c r="K39" s="185"/>
      <c r="L39" s="193">
        <v>3681</v>
      </c>
      <c r="M39" s="185"/>
      <c r="N39" s="184">
        <v>4426</v>
      </c>
      <c r="O39" s="185"/>
      <c r="P39" s="104"/>
      <c r="Q39" s="104"/>
    </row>
    <row r="40" spans="1:19" ht="12.6" thickBot="1" x14ac:dyDescent="0.3">
      <c r="A40" s="186" t="s">
        <v>67</v>
      </c>
      <c r="B40" s="187"/>
      <c r="C40" s="122"/>
      <c r="D40" s="134">
        <f>D41*D36</f>
        <v>899.8</v>
      </c>
      <c r="E40" s="132">
        <f>D41*E36</f>
        <v>3190.2000000000003</v>
      </c>
      <c r="F40" s="134">
        <f>F41*F36</f>
        <v>583.22</v>
      </c>
      <c r="G40" s="132">
        <f>F41*G36</f>
        <v>2067.7800000000002</v>
      </c>
      <c r="H40" s="132">
        <f>H41*H36</f>
        <v>669.9</v>
      </c>
      <c r="I40" s="132">
        <f>H41*I36</f>
        <v>2375.1</v>
      </c>
      <c r="J40" s="134">
        <f>J41*J36</f>
        <v>847.66</v>
      </c>
      <c r="K40" s="132">
        <f>J41*K36</f>
        <v>3005.34</v>
      </c>
      <c r="L40" s="134">
        <f>L41*L36</f>
        <v>481.36</v>
      </c>
      <c r="M40" s="132">
        <f>L41*M36</f>
        <v>1706.64</v>
      </c>
      <c r="N40" s="133">
        <f>N41*N36</f>
        <v>806.3</v>
      </c>
      <c r="O40" s="132">
        <f>N41*O36</f>
        <v>2858.7000000000003</v>
      </c>
      <c r="P40" s="104" t="s">
        <v>66</v>
      </c>
      <c r="Q40" s="104"/>
    </row>
    <row r="41" spans="1:19" ht="12" thickBot="1" x14ac:dyDescent="0.25">
      <c r="A41" s="131" t="s">
        <v>65</v>
      </c>
      <c r="B41" s="131"/>
      <c r="C41" s="104"/>
      <c r="D41" s="188">
        <f>3901+189</f>
        <v>4090</v>
      </c>
      <c r="E41" s="189"/>
      <c r="F41" s="188">
        <v>2651</v>
      </c>
      <c r="G41" s="189"/>
      <c r="H41" s="188">
        <v>3045</v>
      </c>
      <c r="I41" s="189"/>
      <c r="J41" s="188">
        <v>3853</v>
      </c>
      <c r="K41" s="189"/>
      <c r="L41" s="188">
        <v>2188</v>
      </c>
      <c r="M41" s="189"/>
      <c r="N41" s="190">
        <v>3665</v>
      </c>
      <c r="O41" s="189"/>
      <c r="P41" s="104"/>
      <c r="Q41" s="104"/>
    </row>
    <row r="42" spans="1:19" x14ac:dyDescent="0.2">
      <c r="A42" s="104"/>
      <c r="B42" s="104"/>
      <c r="C42" s="122"/>
      <c r="D42" s="130">
        <f>$C$42*D41</f>
        <v>0</v>
      </c>
      <c r="E42" s="104"/>
      <c r="F42" s="130"/>
      <c r="G42" s="104"/>
      <c r="H42" s="130">
        <f>$C$42*H41</f>
        <v>0</v>
      </c>
      <c r="I42" s="104"/>
      <c r="J42" s="130">
        <f>$C$42*J41</f>
        <v>0</v>
      </c>
      <c r="K42" s="130"/>
      <c r="L42" s="130">
        <f>$C$42*L41</f>
        <v>0</v>
      </c>
      <c r="M42" s="130"/>
      <c r="N42" s="130">
        <f>$C$42*N41</f>
        <v>0</v>
      </c>
      <c r="O42" s="104"/>
      <c r="P42" s="104"/>
      <c r="Q42" s="104"/>
    </row>
    <row r="43" spans="1:19" ht="13.5" customHeight="1" x14ac:dyDescent="0.25">
      <c r="A43" s="104"/>
      <c r="B43" s="119"/>
      <c r="C43" s="104"/>
      <c r="D43" s="106"/>
      <c r="E43" s="106"/>
      <c r="F43" s="106"/>
      <c r="G43" s="106"/>
      <c r="H43" s="106"/>
      <c r="I43" s="106"/>
      <c r="J43" s="104"/>
      <c r="K43" s="104"/>
      <c r="L43" s="104"/>
      <c r="M43" s="104"/>
      <c r="N43" s="182" t="s">
        <v>64</v>
      </c>
      <c r="O43" s="182"/>
      <c r="P43" s="182"/>
      <c r="Q43" s="104"/>
    </row>
    <row r="44" spans="1:19" ht="12" x14ac:dyDescent="0.25">
      <c r="A44" s="104"/>
      <c r="B44" s="119"/>
      <c r="C44" s="104"/>
      <c r="D44" s="106"/>
      <c r="E44" s="106"/>
      <c r="F44" s="106"/>
      <c r="G44" s="106"/>
      <c r="H44" s="106"/>
      <c r="I44" s="106"/>
      <c r="J44" s="104"/>
      <c r="K44" s="104"/>
      <c r="L44" s="104"/>
      <c r="M44" s="104"/>
      <c r="N44" s="129">
        <v>0.22</v>
      </c>
      <c r="O44" s="129">
        <v>0.78</v>
      </c>
      <c r="P44" s="128" t="s">
        <v>38</v>
      </c>
      <c r="Q44" s="104"/>
    </row>
    <row r="45" spans="1:19" ht="12" x14ac:dyDescent="0.25">
      <c r="A45" s="104"/>
      <c r="B45" s="104"/>
      <c r="C45" s="104"/>
      <c r="D45" s="106"/>
      <c r="E45" s="106"/>
      <c r="F45" s="127"/>
      <c r="G45" s="127"/>
      <c r="H45" s="119"/>
      <c r="I45" s="119"/>
      <c r="J45" s="104"/>
      <c r="K45" s="126">
        <f>P46/P45</f>
        <v>0.5815188915410141</v>
      </c>
      <c r="L45" s="125" t="s">
        <v>63</v>
      </c>
      <c r="M45" s="124" t="s">
        <v>59</v>
      </c>
      <c r="N45" s="116">
        <f>N38+L38+J38+H38+F38+D38+D30+F30+H30+J30+L30+N30</f>
        <v>15115.760000000002</v>
      </c>
      <c r="O45" s="123">
        <f>O38+M38+K38+I38+G38+E38+E30+G30+I30+K30+M30+O30</f>
        <v>53592.24</v>
      </c>
      <c r="P45" s="116">
        <f>N45+O45</f>
        <v>68708</v>
      </c>
      <c r="Q45" s="122"/>
      <c r="R45" s="121"/>
      <c r="S45" s="120"/>
    </row>
    <row r="46" spans="1:19" ht="12" x14ac:dyDescent="0.25">
      <c r="A46" s="119" t="s">
        <v>62</v>
      </c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18"/>
      <c r="M46" s="117" t="s">
        <v>58</v>
      </c>
      <c r="N46" s="116">
        <f>N40+L40+J40+H40+F40+D40+D32+F32+H32+J32+L32+N32</f>
        <v>8790.1</v>
      </c>
      <c r="O46" s="116">
        <f>O40+M40+K40+I40+G40+E40+E32+G32+I32+K32+M32+O32</f>
        <v>31164.9</v>
      </c>
      <c r="P46" s="116">
        <f>N46+O46</f>
        <v>39955</v>
      </c>
      <c r="Q46" s="104"/>
    </row>
    <row r="47" spans="1:19" ht="12" thickBot="1" x14ac:dyDescent="0.25">
      <c r="A47" s="115" t="s">
        <v>61</v>
      </c>
      <c r="B47" s="115"/>
      <c r="C47" s="115"/>
      <c r="D47" s="114">
        <v>998</v>
      </c>
    </row>
    <row r="48" spans="1:19" x14ac:dyDescent="0.2">
      <c r="M48" s="113"/>
      <c r="N48" s="112" t="s">
        <v>60</v>
      </c>
    </row>
    <row r="49" spans="6:17" ht="12" x14ac:dyDescent="0.25">
      <c r="F49" s="104"/>
      <c r="G49" s="104"/>
      <c r="H49" s="104"/>
      <c r="I49" s="104"/>
      <c r="J49" s="104"/>
      <c r="K49" s="104"/>
      <c r="L49" s="104"/>
      <c r="M49" s="111" t="s">
        <v>59</v>
      </c>
      <c r="N49" s="110">
        <f>P45+J21</f>
        <v>141594</v>
      </c>
      <c r="O49" s="109"/>
      <c r="P49" s="104"/>
      <c r="Q49" s="104"/>
    </row>
    <row r="50" spans="6:17" ht="12" thickBot="1" x14ac:dyDescent="0.25">
      <c r="F50" s="104"/>
      <c r="G50" s="104"/>
      <c r="H50" s="104"/>
      <c r="I50" s="104"/>
      <c r="J50" s="106"/>
      <c r="K50" s="106"/>
      <c r="L50" s="106"/>
      <c r="M50" s="108" t="s">
        <v>58</v>
      </c>
      <c r="N50" s="107">
        <f>J23+P46+D47</f>
        <v>93896</v>
      </c>
      <c r="O50" s="106"/>
      <c r="P50" s="104"/>
      <c r="Q50" s="104"/>
    </row>
    <row r="51" spans="6:17" x14ac:dyDescent="0.2">
      <c r="F51" s="104"/>
      <c r="G51" s="104"/>
      <c r="H51" s="104"/>
      <c r="I51" s="104"/>
      <c r="J51" s="106"/>
      <c r="K51" s="106"/>
      <c r="L51" s="106"/>
      <c r="M51" s="106"/>
      <c r="N51" s="104"/>
      <c r="O51" s="106"/>
      <c r="P51" s="104"/>
      <c r="Q51" s="104"/>
    </row>
  </sheetData>
  <sheetProtection formatCells="0"/>
  <protectedRanges>
    <protectedRange sqref="A13:L13" name="Range8"/>
    <protectedRange sqref="D41:O41" name="Range6"/>
    <protectedRange sqref="D39:O39" name="Range5"/>
    <protectedRange sqref="D33:O33" name="Range4"/>
    <protectedRange sqref="D31:O31" name="Range3"/>
    <protectedRange sqref="D23:I23" name="Range2"/>
    <protectedRange sqref="D21:I21" name="Range1"/>
    <protectedRange sqref="D47" name="Range7"/>
  </protectedRanges>
  <mergeCells count="48">
    <mergeCell ref="A11:L11"/>
    <mergeCell ref="A12:L12"/>
    <mergeCell ref="A13:L13"/>
    <mergeCell ref="A17:O17"/>
    <mergeCell ref="A20:B20"/>
    <mergeCell ref="A22:B22"/>
    <mergeCell ref="A26:O26"/>
    <mergeCell ref="D27:E27"/>
    <mergeCell ref="F27:G27"/>
    <mergeCell ref="H27:I27"/>
    <mergeCell ref="J27:K27"/>
    <mergeCell ref="L27:M27"/>
    <mergeCell ref="N27:O27"/>
    <mergeCell ref="A30:B30"/>
    <mergeCell ref="D31:E31"/>
    <mergeCell ref="F31:G31"/>
    <mergeCell ref="H31:I31"/>
    <mergeCell ref="J31:K31"/>
    <mergeCell ref="L31:M31"/>
    <mergeCell ref="N31:O31"/>
    <mergeCell ref="A32:B32"/>
    <mergeCell ref="D33:E33"/>
    <mergeCell ref="F33:G33"/>
    <mergeCell ref="H33:I33"/>
    <mergeCell ref="J33:K33"/>
    <mergeCell ref="L33:M33"/>
    <mergeCell ref="N33:O33"/>
    <mergeCell ref="N35:O35"/>
    <mergeCell ref="A38:B38"/>
    <mergeCell ref="D39:E39"/>
    <mergeCell ref="F39:G39"/>
    <mergeCell ref="H39:I39"/>
    <mergeCell ref="J39:K39"/>
    <mergeCell ref="L39:M39"/>
    <mergeCell ref="D35:E35"/>
    <mergeCell ref="F35:G35"/>
    <mergeCell ref="H35:I35"/>
    <mergeCell ref="J35:K35"/>
    <mergeCell ref="L35:M35"/>
    <mergeCell ref="N43:P43"/>
    <mergeCell ref="N39:O39"/>
    <mergeCell ref="A40:B40"/>
    <mergeCell ref="D41:E41"/>
    <mergeCell ref="F41:G41"/>
    <mergeCell ref="H41:I41"/>
    <mergeCell ref="J41:K41"/>
    <mergeCell ref="L41:M41"/>
    <mergeCell ref="N41:O41"/>
  </mergeCells>
  <pageMargins left="1" right="1" top="1" bottom="1" header="0.5" footer="0.5"/>
  <pageSetup scale="72" orientation="landscape" r:id="rId1"/>
  <headerFooter>
    <oddHeader>&amp;RSchedule V-K-9.2
Page &amp;P of &amp;N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S51"/>
  <sheetViews>
    <sheetView view="pageBreakPreview" topLeftCell="A25" zoomScale="60" zoomScaleNormal="100" workbookViewId="0">
      <selection activeCell="A52" sqref="A52:XFD60"/>
    </sheetView>
  </sheetViews>
  <sheetFormatPr defaultColWidth="9.109375" defaultRowHeight="11.4" x14ac:dyDescent="0.2"/>
  <cols>
    <col min="1" max="1" width="9.88671875" style="102" customWidth="1"/>
    <col min="2" max="2" width="14.5546875" style="102" customWidth="1"/>
    <col min="3" max="3" width="0.6640625" style="102" customWidth="1"/>
    <col min="4" max="4" width="10.5546875" style="102" bestFit="1" customWidth="1"/>
    <col min="5" max="5" width="9.33203125" style="102" bestFit="1" customWidth="1"/>
    <col min="6" max="6" width="10.5546875" style="102" bestFit="1" customWidth="1"/>
    <col min="7" max="7" width="9.33203125" style="102" customWidth="1"/>
    <col min="8" max="9" width="11.109375" style="102" customWidth="1"/>
    <col min="10" max="10" width="10.5546875" style="102" bestFit="1" customWidth="1"/>
    <col min="11" max="11" width="9.33203125" style="102" bestFit="1" customWidth="1"/>
    <col min="12" max="13" width="10.33203125" style="102" customWidth="1"/>
    <col min="14" max="14" width="10.6640625" style="102" customWidth="1"/>
    <col min="15" max="15" width="10" style="102" customWidth="1"/>
    <col min="16" max="16" width="10" style="102" bestFit="1" customWidth="1"/>
    <col min="17" max="17" width="9.109375" style="102"/>
    <col min="18" max="18" width="6.109375" style="102" customWidth="1"/>
    <col min="19" max="16384" width="9.109375" style="102"/>
  </cols>
  <sheetData>
    <row r="2" spans="1:13" ht="13.8" x14ac:dyDescent="0.25">
      <c r="A2" s="205" t="s">
        <v>106</v>
      </c>
      <c r="B2" s="208"/>
      <c r="C2" s="221"/>
      <c r="D2" s="222"/>
    </row>
    <row r="3" spans="1:13" ht="13.8" x14ac:dyDescent="0.25">
      <c r="A3" s="206" t="s">
        <v>107</v>
      </c>
      <c r="B3" s="211"/>
      <c r="C3" s="223"/>
      <c r="D3" s="224"/>
    </row>
    <row r="4" spans="1:13" ht="13.8" x14ac:dyDescent="0.25">
      <c r="A4" s="206" t="s">
        <v>111</v>
      </c>
      <c r="B4" s="211"/>
      <c r="C4" s="223"/>
      <c r="D4" s="224"/>
    </row>
    <row r="5" spans="1:13" ht="13.8" x14ac:dyDescent="0.25">
      <c r="A5" s="206" t="s">
        <v>108</v>
      </c>
      <c r="B5" s="211"/>
      <c r="C5" s="223"/>
      <c r="D5" s="224"/>
    </row>
    <row r="6" spans="1:13" ht="13.8" x14ac:dyDescent="0.25">
      <c r="A6" s="206" t="s">
        <v>109</v>
      </c>
      <c r="B6" s="211"/>
      <c r="C6" s="223"/>
      <c r="D6" s="224"/>
    </row>
    <row r="7" spans="1:13" ht="13.8" x14ac:dyDescent="0.25">
      <c r="A7" s="207" t="s">
        <v>110</v>
      </c>
      <c r="B7" s="214"/>
      <c r="C7" s="225"/>
      <c r="D7" s="226"/>
    </row>
    <row r="11" spans="1:13" x14ac:dyDescent="0.2">
      <c r="A11" s="203" t="s">
        <v>94</v>
      </c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165"/>
    </row>
    <row r="12" spans="1:13" x14ac:dyDescent="0.2">
      <c r="A12" s="203" t="s">
        <v>93</v>
      </c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165"/>
    </row>
    <row r="13" spans="1:13" x14ac:dyDescent="0.2">
      <c r="A13" s="203" t="s">
        <v>96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165"/>
    </row>
    <row r="17" spans="1:17" ht="13.8" x14ac:dyDescent="0.25">
      <c r="A17" s="201" t="s">
        <v>91</v>
      </c>
      <c r="B17" s="201"/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</row>
    <row r="18" spans="1:17" x14ac:dyDescent="0.2">
      <c r="A18" s="104"/>
      <c r="B18" s="104"/>
      <c r="J18" s="164"/>
      <c r="K18" s="164"/>
      <c r="L18" s="103"/>
      <c r="M18" s="103"/>
    </row>
    <row r="19" spans="1:17" ht="12" x14ac:dyDescent="0.25">
      <c r="B19" s="104"/>
      <c r="C19" s="104"/>
      <c r="D19" s="163" t="s">
        <v>90</v>
      </c>
      <c r="E19" s="163" t="s">
        <v>89</v>
      </c>
      <c r="F19" s="163" t="s">
        <v>88</v>
      </c>
      <c r="G19" s="163" t="s">
        <v>87</v>
      </c>
      <c r="H19" s="163" t="s">
        <v>81</v>
      </c>
      <c r="I19" s="163" t="s">
        <v>86</v>
      </c>
      <c r="J19" s="162"/>
      <c r="M19" s="162"/>
    </row>
    <row r="20" spans="1:17" ht="18.75" customHeight="1" x14ac:dyDescent="0.25">
      <c r="A20" s="204" t="s">
        <v>69</v>
      </c>
      <c r="B20" s="204"/>
      <c r="C20" s="104"/>
      <c r="D20" s="162">
        <v>11029391</v>
      </c>
      <c r="E20" s="162">
        <v>11029394</v>
      </c>
      <c r="F20" s="162">
        <v>11029392</v>
      </c>
      <c r="G20" s="162">
        <v>11029393</v>
      </c>
      <c r="H20" s="162">
        <v>11029389</v>
      </c>
      <c r="I20" s="162">
        <v>11029390</v>
      </c>
      <c r="J20" s="162" t="s">
        <v>38</v>
      </c>
      <c r="M20" s="162"/>
    </row>
    <row r="21" spans="1:17" ht="13.5" customHeight="1" x14ac:dyDescent="0.25">
      <c r="A21" s="156" t="s">
        <v>85</v>
      </c>
      <c r="B21" s="156"/>
      <c r="C21" s="104"/>
      <c r="D21" s="161">
        <f>14883+58</f>
        <v>14941</v>
      </c>
      <c r="E21" s="160">
        <f>8320+36</f>
        <v>8356</v>
      </c>
      <c r="F21" s="160">
        <f>5488+28</f>
        <v>5516</v>
      </c>
      <c r="G21" s="160">
        <f>13691+96</f>
        <v>13787</v>
      </c>
      <c r="H21" s="160">
        <f>10911+55</f>
        <v>10966</v>
      </c>
      <c r="I21" s="160">
        <f>5556+23</f>
        <v>5579</v>
      </c>
      <c r="J21" s="153">
        <f>(D21+E21+F21+G21+H21+I21)</f>
        <v>59145</v>
      </c>
      <c r="L21" s="126">
        <f>J23/J21</f>
        <v>0.72481190295037623</v>
      </c>
      <c r="M21" s="159" t="s">
        <v>84</v>
      </c>
    </row>
    <row r="22" spans="1:17" ht="22.5" customHeight="1" x14ac:dyDescent="0.25">
      <c r="A22" s="200" t="s">
        <v>83</v>
      </c>
      <c r="B22" s="200"/>
      <c r="C22" s="104"/>
      <c r="D22" s="120">
        <v>11029382</v>
      </c>
      <c r="E22" s="158">
        <v>11029385</v>
      </c>
      <c r="F22" s="120">
        <v>11029383</v>
      </c>
      <c r="G22" s="158">
        <v>11029384</v>
      </c>
      <c r="H22" s="120">
        <v>11029380</v>
      </c>
      <c r="I22" s="158">
        <v>11029381</v>
      </c>
      <c r="J22" s="157"/>
      <c r="M22" s="104"/>
    </row>
    <row r="23" spans="1:17" ht="13.5" customHeight="1" x14ac:dyDescent="0.2">
      <c r="A23" s="156" t="s">
        <v>65</v>
      </c>
      <c r="B23" s="156"/>
      <c r="C23" s="104"/>
      <c r="D23" s="155">
        <f>10239+58</f>
        <v>10297</v>
      </c>
      <c r="E23" s="154">
        <f>7172+36</f>
        <v>7208</v>
      </c>
      <c r="F23" s="155">
        <f>4552+28</f>
        <v>4580</v>
      </c>
      <c r="G23" s="154">
        <f>10596+96</f>
        <v>10692</v>
      </c>
      <c r="H23" s="155">
        <f>7053+55</f>
        <v>7108</v>
      </c>
      <c r="I23" s="154">
        <f>2961+23</f>
        <v>2984</v>
      </c>
      <c r="J23" s="153">
        <f>(D23+E23+F23+G23+H23+I23)</f>
        <v>42869</v>
      </c>
      <c r="L23" s="152"/>
      <c r="M23" s="151"/>
    </row>
    <row r="24" spans="1:17" ht="6.75" customHeight="1" x14ac:dyDescent="0.2">
      <c r="C24" s="104"/>
      <c r="D24" s="104"/>
      <c r="E24" s="104"/>
      <c r="F24" s="104"/>
      <c r="G24" s="104"/>
      <c r="H24" s="104"/>
      <c r="I24" s="104"/>
      <c r="J24" s="104"/>
      <c r="M24" s="104"/>
    </row>
    <row r="25" spans="1:17" ht="12" x14ac:dyDescent="0.25">
      <c r="B25" s="119"/>
      <c r="C25" s="104"/>
      <c r="D25" s="104"/>
      <c r="E25" s="104"/>
      <c r="F25" s="104"/>
      <c r="G25" s="104"/>
      <c r="H25" s="104"/>
      <c r="I25" s="104"/>
      <c r="J25" s="150"/>
      <c r="K25" s="149"/>
      <c r="L25" s="118"/>
      <c r="M25" s="118"/>
    </row>
    <row r="26" spans="1:17" ht="19.5" customHeight="1" x14ac:dyDescent="0.25">
      <c r="A26" s="201" t="s">
        <v>82</v>
      </c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</row>
    <row r="27" spans="1:17" ht="12.6" thickBot="1" x14ac:dyDescent="0.3">
      <c r="D27" s="202" t="s">
        <v>81</v>
      </c>
      <c r="E27" s="202"/>
      <c r="F27" s="202" t="s">
        <v>80</v>
      </c>
      <c r="G27" s="202"/>
      <c r="H27" s="202" t="s">
        <v>79</v>
      </c>
      <c r="I27" s="202"/>
      <c r="J27" s="202" t="s">
        <v>78</v>
      </c>
      <c r="K27" s="202"/>
      <c r="L27" s="202" t="s">
        <v>77</v>
      </c>
      <c r="M27" s="202"/>
      <c r="N27" s="202" t="s">
        <v>76</v>
      </c>
      <c r="O27" s="202"/>
    </row>
    <row r="28" spans="1:17" s="139" customFormat="1" ht="10.199999999999999" x14ac:dyDescent="0.2">
      <c r="A28" s="140"/>
      <c r="B28" s="140"/>
      <c r="C28" s="140"/>
      <c r="D28" s="142">
        <v>0.22</v>
      </c>
      <c r="E28" s="141">
        <v>0.78</v>
      </c>
      <c r="F28" s="142">
        <v>0.22</v>
      </c>
      <c r="G28" s="141">
        <v>0.78</v>
      </c>
      <c r="H28" s="142">
        <v>0.22</v>
      </c>
      <c r="I28" s="141">
        <v>0.78</v>
      </c>
      <c r="J28" s="142">
        <v>0.22</v>
      </c>
      <c r="K28" s="141">
        <v>0.78</v>
      </c>
      <c r="L28" s="142">
        <v>0.22</v>
      </c>
      <c r="M28" s="141">
        <v>0.78</v>
      </c>
      <c r="N28" s="142">
        <v>0.22</v>
      </c>
      <c r="O28" s="141">
        <v>0.78</v>
      </c>
    </row>
    <row r="29" spans="1:17" s="104" customFormat="1" ht="12" thickBot="1" x14ac:dyDescent="0.25">
      <c r="D29" s="138">
        <v>11002001</v>
      </c>
      <c r="E29" s="137">
        <v>11029483</v>
      </c>
      <c r="F29" s="138">
        <v>11002003</v>
      </c>
      <c r="G29" s="137">
        <v>11029487</v>
      </c>
      <c r="H29" s="138">
        <v>11001995</v>
      </c>
      <c r="I29" s="148">
        <v>11029493</v>
      </c>
      <c r="J29" s="138">
        <v>11001997</v>
      </c>
      <c r="K29" s="137">
        <v>11029481</v>
      </c>
      <c r="L29" s="138">
        <v>11002000</v>
      </c>
      <c r="M29" s="137">
        <v>11029486</v>
      </c>
      <c r="N29" s="138">
        <v>11002142</v>
      </c>
      <c r="O29" s="137">
        <v>11029491</v>
      </c>
    </row>
    <row r="30" spans="1:17" ht="12.6" thickBot="1" x14ac:dyDescent="0.3">
      <c r="A30" s="192" t="s">
        <v>69</v>
      </c>
      <c r="B30" s="192"/>
      <c r="C30" s="104"/>
      <c r="D30" s="147">
        <f>D31*D28</f>
        <v>1373.24</v>
      </c>
      <c r="E30" s="146">
        <f>D31*E28</f>
        <v>4868.76</v>
      </c>
      <c r="F30" s="147">
        <f>F31*F28</f>
        <v>712.8</v>
      </c>
      <c r="G30" s="146">
        <f>F31*G28</f>
        <v>2527.2000000000003</v>
      </c>
      <c r="H30" s="147">
        <f>H31*H28</f>
        <v>1191.08</v>
      </c>
      <c r="I30" s="146">
        <f>H31*I28</f>
        <v>4222.92</v>
      </c>
      <c r="J30" s="147">
        <f>J31*J28</f>
        <v>944.02</v>
      </c>
      <c r="K30" s="146">
        <f>J31*K28</f>
        <v>3346.98</v>
      </c>
      <c r="L30" s="147">
        <f>L31*L28</f>
        <v>1168.8599999999999</v>
      </c>
      <c r="M30" s="146">
        <f>L31*M28</f>
        <v>4144.1400000000003</v>
      </c>
      <c r="N30" s="147">
        <f>N31*N28</f>
        <v>1583.1200000000001</v>
      </c>
      <c r="O30" s="146">
        <f>N31*O28</f>
        <v>5612.88</v>
      </c>
      <c r="P30" s="104" t="s">
        <v>66</v>
      </c>
      <c r="Q30" s="104"/>
    </row>
    <row r="31" spans="1:17" ht="12" thickBot="1" x14ac:dyDescent="0.25">
      <c r="A31" s="131" t="s">
        <v>68</v>
      </c>
      <c r="B31" s="131"/>
      <c r="C31" s="104"/>
      <c r="D31" s="198">
        <v>6242</v>
      </c>
      <c r="E31" s="199"/>
      <c r="F31" s="193">
        <v>3240</v>
      </c>
      <c r="G31" s="185"/>
      <c r="H31" s="193">
        <f>5257+157</f>
        <v>5414</v>
      </c>
      <c r="I31" s="185"/>
      <c r="J31" s="193">
        <v>4291</v>
      </c>
      <c r="K31" s="185"/>
      <c r="L31" s="193">
        <v>5313</v>
      </c>
      <c r="M31" s="185"/>
      <c r="N31" s="193">
        <v>7196</v>
      </c>
      <c r="O31" s="185"/>
      <c r="P31" s="104"/>
      <c r="Q31" s="104"/>
    </row>
    <row r="32" spans="1:17" ht="12.6" thickBot="1" x14ac:dyDescent="0.3">
      <c r="A32" s="186" t="s">
        <v>67</v>
      </c>
      <c r="B32" s="187"/>
      <c r="C32" s="104"/>
      <c r="D32" s="145">
        <f>D33*D28</f>
        <v>628.1</v>
      </c>
      <c r="E32" s="144">
        <f>D33*E28</f>
        <v>2226.9</v>
      </c>
      <c r="F32" s="145">
        <f>F33*F28</f>
        <v>97.9</v>
      </c>
      <c r="G32" s="144">
        <f>F33*G28</f>
        <v>347.1</v>
      </c>
      <c r="H32" s="145">
        <f>H33*H28</f>
        <v>844.8</v>
      </c>
      <c r="I32" s="144">
        <f>H33*I28</f>
        <v>2995.2000000000003</v>
      </c>
      <c r="J32" s="145">
        <f>J33*J28</f>
        <v>673.42</v>
      </c>
      <c r="K32" s="144">
        <f>J33*K28</f>
        <v>2387.58</v>
      </c>
      <c r="L32" s="144">
        <f>L33*L28</f>
        <v>664.84</v>
      </c>
      <c r="M32" s="144">
        <f>L33*M28</f>
        <v>2357.16</v>
      </c>
      <c r="N32" s="145">
        <f>N33*N28</f>
        <v>815.98</v>
      </c>
      <c r="O32" s="144">
        <f>N33*O28</f>
        <v>2893.02</v>
      </c>
      <c r="P32" s="104" t="s">
        <v>66</v>
      </c>
      <c r="Q32" s="104"/>
    </row>
    <row r="33" spans="1:19" ht="12" thickBot="1" x14ac:dyDescent="0.25">
      <c r="A33" s="131" t="s">
        <v>65</v>
      </c>
      <c r="B33" s="131"/>
      <c r="C33" s="104"/>
      <c r="D33" s="194">
        <v>2855</v>
      </c>
      <c r="E33" s="195"/>
      <c r="F33" s="196">
        <v>445</v>
      </c>
      <c r="G33" s="197"/>
      <c r="H33" s="196">
        <f>3683+157</f>
        <v>3840</v>
      </c>
      <c r="I33" s="197"/>
      <c r="J33" s="196">
        <v>3061</v>
      </c>
      <c r="K33" s="197"/>
      <c r="L33" s="196">
        <v>3022</v>
      </c>
      <c r="M33" s="197"/>
      <c r="N33" s="196">
        <v>3709</v>
      </c>
      <c r="O33" s="197"/>
      <c r="P33" s="104"/>
      <c r="Q33" s="104"/>
    </row>
    <row r="34" spans="1:19" x14ac:dyDescent="0.2">
      <c r="A34" s="104"/>
      <c r="B34" s="104"/>
      <c r="C34" s="122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04"/>
      <c r="P34" s="104"/>
      <c r="Q34" s="104"/>
    </row>
    <row r="35" spans="1:19" ht="12.6" thickBot="1" x14ac:dyDescent="0.3">
      <c r="A35" s="104"/>
      <c r="B35" s="104"/>
      <c r="C35" s="104"/>
      <c r="D35" s="191" t="s">
        <v>75</v>
      </c>
      <c r="E35" s="191"/>
      <c r="F35" s="191" t="s">
        <v>74</v>
      </c>
      <c r="G35" s="191"/>
      <c r="H35" s="191" t="s">
        <v>73</v>
      </c>
      <c r="I35" s="191"/>
      <c r="J35" s="191" t="s">
        <v>72</v>
      </c>
      <c r="K35" s="191"/>
      <c r="L35" s="191" t="s">
        <v>71</v>
      </c>
      <c r="M35" s="191"/>
      <c r="N35" s="191" t="s">
        <v>70</v>
      </c>
      <c r="O35" s="191"/>
      <c r="P35" s="104"/>
      <c r="Q35" s="104"/>
    </row>
    <row r="36" spans="1:19" s="139" customFormat="1" ht="10.199999999999999" x14ac:dyDescent="0.2">
      <c r="A36" s="140"/>
      <c r="B36" s="140"/>
      <c r="C36" s="140"/>
      <c r="D36" s="142">
        <v>0.22</v>
      </c>
      <c r="E36" s="141">
        <v>0.78</v>
      </c>
      <c r="F36" s="142">
        <v>0.22</v>
      </c>
      <c r="G36" s="141">
        <v>0.78</v>
      </c>
      <c r="H36" s="142">
        <v>0.22</v>
      </c>
      <c r="I36" s="141">
        <v>0.78</v>
      </c>
      <c r="J36" s="142">
        <v>0.22</v>
      </c>
      <c r="K36" s="141">
        <v>0.78</v>
      </c>
      <c r="L36" s="142">
        <v>0.22</v>
      </c>
      <c r="M36" s="141">
        <v>0.78</v>
      </c>
      <c r="N36" s="142">
        <v>0.22</v>
      </c>
      <c r="O36" s="141">
        <v>0.78</v>
      </c>
      <c r="P36" s="140"/>
      <c r="Q36" s="140"/>
    </row>
    <row r="37" spans="1:19" ht="12" thickBot="1" x14ac:dyDescent="0.25">
      <c r="C37" s="104"/>
      <c r="D37" s="138">
        <v>11001996</v>
      </c>
      <c r="E37" s="137">
        <v>11029494</v>
      </c>
      <c r="F37" s="138">
        <v>11002006</v>
      </c>
      <c r="G37" s="137">
        <v>11029482</v>
      </c>
      <c r="H37" s="138">
        <v>11002143</v>
      </c>
      <c r="I37" s="137">
        <v>11029490</v>
      </c>
      <c r="J37" s="138">
        <v>11002007</v>
      </c>
      <c r="K37" s="137">
        <v>11029485</v>
      </c>
      <c r="L37" s="138">
        <v>11002008</v>
      </c>
      <c r="M37" s="137">
        <v>11029489</v>
      </c>
      <c r="N37" s="138">
        <v>11002009</v>
      </c>
      <c r="O37" s="137">
        <v>11029484</v>
      </c>
      <c r="P37" s="104"/>
      <c r="Q37" s="104"/>
    </row>
    <row r="38" spans="1:19" ht="12.6" thickBot="1" x14ac:dyDescent="0.3">
      <c r="A38" s="192" t="s">
        <v>69</v>
      </c>
      <c r="B38" s="192"/>
      <c r="C38" s="122"/>
      <c r="D38" s="136">
        <f>D39*D36</f>
        <v>1050.94</v>
      </c>
      <c r="E38" s="135">
        <f>D39*E36</f>
        <v>3726.06</v>
      </c>
      <c r="F38" s="136">
        <f>F39*F36</f>
        <v>677.38</v>
      </c>
      <c r="G38" s="135">
        <f>F39*G36</f>
        <v>2401.62</v>
      </c>
      <c r="H38" s="136">
        <f>H39*H36</f>
        <v>1063.92</v>
      </c>
      <c r="I38" s="135">
        <f>H39*I36</f>
        <v>3772.08</v>
      </c>
      <c r="J38" s="136">
        <f>J39*J36</f>
        <v>917.62</v>
      </c>
      <c r="K38" s="135">
        <f>J39*K36</f>
        <v>3253.38</v>
      </c>
      <c r="L38" s="136">
        <f>L39*L36</f>
        <v>769.12</v>
      </c>
      <c r="M38" s="135">
        <f>L39*M36</f>
        <v>2726.88</v>
      </c>
      <c r="N38" s="136">
        <f>N39*N36</f>
        <v>755.04</v>
      </c>
      <c r="O38" s="135">
        <f>N39*O36</f>
        <v>2676.96</v>
      </c>
      <c r="P38" s="104" t="s">
        <v>66</v>
      </c>
      <c r="Q38" s="104"/>
    </row>
    <row r="39" spans="1:19" ht="13.5" customHeight="1" thickBot="1" x14ac:dyDescent="0.25">
      <c r="A39" s="131" t="s">
        <v>68</v>
      </c>
      <c r="B39" s="131"/>
      <c r="C39" s="104"/>
      <c r="D39" s="193">
        <f>4640+137</f>
        <v>4777</v>
      </c>
      <c r="E39" s="185"/>
      <c r="F39" s="184">
        <v>3079</v>
      </c>
      <c r="G39" s="185"/>
      <c r="H39" s="193">
        <v>4836</v>
      </c>
      <c r="I39" s="185"/>
      <c r="J39" s="193">
        <v>4171</v>
      </c>
      <c r="K39" s="185"/>
      <c r="L39" s="193">
        <v>3496</v>
      </c>
      <c r="M39" s="185"/>
      <c r="N39" s="184">
        <v>3432</v>
      </c>
      <c r="O39" s="185"/>
      <c r="P39" s="104"/>
      <c r="Q39" s="104"/>
    </row>
    <row r="40" spans="1:19" ht="12.6" thickBot="1" x14ac:dyDescent="0.3">
      <c r="A40" s="186" t="s">
        <v>67</v>
      </c>
      <c r="B40" s="187"/>
      <c r="C40" s="122"/>
      <c r="D40" s="134">
        <f>D41*D36</f>
        <v>725.56000000000006</v>
      </c>
      <c r="E40" s="132">
        <f>D41*E36</f>
        <v>2572.44</v>
      </c>
      <c r="F40" s="134">
        <f>F41*F36</f>
        <v>426.58</v>
      </c>
      <c r="G40" s="132">
        <f>F41*G36</f>
        <v>1512.42</v>
      </c>
      <c r="H40" s="132">
        <f>H41*H36</f>
        <v>543.17999999999995</v>
      </c>
      <c r="I40" s="132">
        <f>H41*I36</f>
        <v>1925.8200000000002</v>
      </c>
      <c r="J40" s="134">
        <f>J41*J36</f>
        <v>717.86</v>
      </c>
      <c r="K40" s="132">
        <f>J41*K36</f>
        <v>2545.14</v>
      </c>
      <c r="L40" s="134">
        <f>L41*L36</f>
        <v>533.72</v>
      </c>
      <c r="M40" s="132">
        <f>L41*M36</f>
        <v>1892.28</v>
      </c>
      <c r="N40" s="133">
        <f>N41*N36</f>
        <v>639.32000000000005</v>
      </c>
      <c r="O40" s="132">
        <f>N41*O36</f>
        <v>2266.6800000000003</v>
      </c>
      <c r="P40" s="104" t="s">
        <v>66</v>
      </c>
      <c r="Q40" s="104"/>
    </row>
    <row r="41" spans="1:19" ht="12" thickBot="1" x14ac:dyDescent="0.25">
      <c r="A41" s="131" t="s">
        <v>65</v>
      </c>
      <c r="B41" s="131"/>
      <c r="C41" s="104"/>
      <c r="D41" s="188">
        <f>3161+137</f>
        <v>3298</v>
      </c>
      <c r="E41" s="189"/>
      <c r="F41" s="188">
        <v>1939</v>
      </c>
      <c r="G41" s="189"/>
      <c r="H41" s="188">
        <v>2469</v>
      </c>
      <c r="I41" s="189"/>
      <c r="J41" s="188">
        <v>3263</v>
      </c>
      <c r="K41" s="189"/>
      <c r="L41" s="188">
        <v>2426</v>
      </c>
      <c r="M41" s="189"/>
      <c r="N41" s="190">
        <v>2906</v>
      </c>
      <c r="O41" s="189"/>
      <c r="P41" s="104"/>
      <c r="Q41" s="104"/>
    </row>
    <row r="42" spans="1:19" x14ac:dyDescent="0.2">
      <c r="A42" s="104"/>
      <c r="B42" s="104"/>
      <c r="C42" s="122"/>
      <c r="D42" s="130">
        <f>$C$42*D41</f>
        <v>0</v>
      </c>
      <c r="E42" s="104"/>
      <c r="F42" s="130"/>
      <c r="G42" s="104"/>
      <c r="H42" s="130">
        <f>$C$42*H41</f>
        <v>0</v>
      </c>
      <c r="I42" s="104"/>
      <c r="J42" s="130">
        <f>$C$42*J41</f>
        <v>0</v>
      </c>
      <c r="K42" s="130"/>
      <c r="L42" s="130">
        <f>$C$42*L41</f>
        <v>0</v>
      </c>
      <c r="M42" s="130"/>
      <c r="N42" s="130">
        <f>$C$42*N41</f>
        <v>0</v>
      </c>
      <c r="O42" s="104"/>
      <c r="P42" s="104"/>
      <c r="Q42" s="104"/>
    </row>
    <row r="43" spans="1:19" ht="13.5" customHeight="1" x14ac:dyDescent="0.25">
      <c r="A43" s="104"/>
      <c r="B43" s="119"/>
      <c r="C43" s="104"/>
      <c r="D43" s="106"/>
      <c r="E43" s="106"/>
      <c r="F43" s="106"/>
      <c r="G43" s="106"/>
      <c r="H43" s="106"/>
      <c r="I43" s="106"/>
      <c r="J43" s="104"/>
      <c r="K43" s="104"/>
      <c r="L43" s="104"/>
      <c r="M43" s="104"/>
      <c r="N43" s="182" t="s">
        <v>64</v>
      </c>
      <c r="O43" s="182"/>
      <c r="P43" s="182"/>
      <c r="Q43" s="104"/>
    </row>
    <row r="44" spans="1:19" ht="12" x14ac:dyDescent="0.25">
      <c r="A44" s="104"/>
      <c r="B44" s="119"/>
      <c r="C44" s="104"/>
      <c r="D44" s="106"/>
      <c r="E44" s="106"/>
      <c r="F44" s="106"/>
      <c r="G44" s="106"/>
      <c r="H44" s="106"/>
      <c r="I44" s="106"/>
      <c r="J44" s="104"/>
      <c r="K44" s="104"/>
      <c r="L44" s="104"/>
      <c r="M44" s="104"/>
      <c r="N44" s="129">
        <v>0.22</v>
      </c>
      <c r="O44" s="129">
        <v>0.78</v>
      </c>
      <c r="P44" s="128" t="s">
        <v>38</v>
      </c>
      <c r="Q44" s="104"/>
    </row>
    <row r="45" spans="1:19" ht="12" x14ac:dyDescent="0.25">
      <c r="A45" s="104"/>
      <c r="B45" s="104"/>
      <c r="C45" s="104"/>
      <c r="D45" s="106"/>
      <c r="E45" s="106"/>
      <c r="F45" s="127"/>
      <c r="G45" s="127"/>
      <c r="H45" s="119"/>
      <c r="I45" s="119"/>
      <c r="J45" s="104"/>
      <c r="K45" s="126">
        <f>P46/P45</f>
        <v>0.59893308342494633</v>
      </c>
      <c r="L45" s="125" t="s">
        <v>63</v>
      </c>
      <c r="M45" s="124" t="s">
        <v>59</v>
      </c>
      <c r="N45" s="116">
        <f>N38+L38+J38+H38+F38+D38+D30+F30+H30+J30+L30+N30</f>
        <v>12207.140000000001</v>
      </c>
      <c r="O45" s="123">
        <f>O38+M38+K38+I38+G38+E38+E30+G30+I30+K30+M30+O30</f>
        <v>43279.860000000008</v>
      </c>
      <c r="P45" s="116">
        <f>N45+O45</f>
        <v>55487.000000000007</v>
      </c>
      <c r="Q45" s="122"/>
      <c r="R45" s="121"/>
      <c r="S45" s="120"/>
    </row>
    <row r="46" spans="1:19" ht="12" x14ac:dyDescent="0.25">
      <c r="A46" s="119" t="s">
        <v>62</v>
      </c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18"/>
      <c r="M46" s="117" t="s">
        <v>58</v>
      </c>
      <c r="N46" s="116">
        <f>N40+L40+J40+H40+F40+D40+D32+F32+H32+J32+L32+N32</f>
        <v>7311.26</v>
      </c>
      <c r="O46" s="116">
        <f>O40+M40+K40+I40+G40+E40+E32+G32+I32+K32+M32+O32</f>
        <v>25921.739999999998</v>
      </c>
      <c r="P46" s="116">
        <f>N46+O46</f>
        <v>33233</v>
      </c>
      <c r="Q46" s="104"/>
    </row>
    <row r="47" spans="1:19" ht="12" thickBot="1" x14ac:dyDescent="0.25">
      <c r="A47" s="115" t="s">
        <v>61</v>
      </c>
      <c r="B47" s="115"/>
      <c r="C47" s="115"/>
      <c r="D47" s="114">
        <v>940</v>
      </c>
    </row>
    <row r="48" spans="1:19" x14ac:dyDescent="0.2">
      <c r="M48" s="113"/>
      <c r="N48" s="112" t="s">
        <v>60</v>
      </c>
    </row>
    <row r="49" spans="6:17" ht="12" x14ac:dyDescent="0.25">
      <c r="F49" s="104"/>
      <c r="G49" s="104"/>
      <c r="H49" s="104"/>
      <c r="I49" s="104"/>
      <c r="J49" s="104"/>
      <c r="K49" s="104"/>
      <c r="L49" s="104"/>
      <c r="M49" s="111" t="s">
        <v>59</v>
      </c>
      <c r="N49" s="110">
        <f>P45+J21</f>
        <v>114632</v>
      </c>
      <c r="O49" s="109"/>
      <c r="P49" s="104"/>
      <c r="Q49" s="104"/>
    </row>
    <row r="50" spans="6:17" ht="12" thickBot="1" x14ac:dyDescent="0.25">
      <c r="F50" s="104"/>
      <c r="G50" s="104"/>
      <c r="H50" s="104"/>
      <c r="I50" s="104"/>
      <c r="J50" s="106"/>
      <c r="K50" s="106"/>
      <c r="L50" s="106"/>
      <c r="M50" s="108" t="s">
        <v>58</v>
      </c>
      <c r="N50" s="107">
        <f>J23+P46+D47</f>
        <v>77042</v>
      </c>
      <c r="O50" s="106"/>
      <c r="P50" s="104"/>
      <c r="Q50" s="104"/>
    </row>
    <row r="51" spans="6:17" x14ac:dyDescent="0.2">
      <c r="F51" s="104"/>
      <c r="G51" s="104"/>
      <c r="H51" s="104"/>
      <c r="I51" s="104"/>
      <c r="J51" s="106"/>
      <c r="K51" s="106"/>
      <c r="L51" s="106"/>
      <c r="M51" s="106"/>
      <c r="N51" s="104"/>
      <c r="O51" s="106"/>
      <c r="P51" s="104"/>
      <c r="Q51" s="104"/>
    </row>
  </sheetData>
  <sheetProtection formatCells="0"/>
  <protectedRanges>
    <protectedRange sqref="A13:L13" name="Range8"/>
    <protectedRange sqref="D41:O41" name="Range6"/>
    <protectedRange sqref="D39:O39" name="Range5"/>
    <protectedRange sqref="D33:O33" name="Range4"/>
    <protectedRange sqref="D31:O31" name="Range3"/>
    <protectedRange sqref="D23:I23" name="Range2"/>
    <protectedRange sqref="D21:I21" name="Range1"/>
    <protectedRange sqref="D47" name="Range7"/>
  </protectedRanges>
  <mergeCells count="48">
    <mergeCell ref="A11:L11"/>
    <mergeCell ref="A12:L12"/>
    <mergeCell ref="A13:L13"/>
    <mergeCell ref="A17:O17"/>
    <mergeCell ref="A20:B20"/>
    <mergeCell ref="A22:B22"/>
    <mergeCell ref="A26:O26"/>
    <mergeCell ref="D27:E27"/>
    <mergeCell ref="F27:G27"/>
    <mergeCell ref="H27:I27"/>
    <mergeCell ref="J27:K27"/>
    <mergeCell ref="L27:M27"/>
    <mergeCell ref="N27:O27"/>
    <mergeCell ref="A30:B30"/>
    <mergeCell ref="D31:E31"/>
    <mergeCell ref="F31:G31"/>
    <mergeCell ref="H31:I31"/>
    <mergeCell ref="J31:K31"/>
    <mergeCell ref="L31:M31"/>
    <mergeCell ref="N31:O31"/>
    <mergeCell ref="A32:B32"/>
    <mergeCell ref="D33:E33"/>
    <mergeCell ref="F33:G33"/>
    <mergeCell ref="H33:I33"/>
    <mergeCell ref="J33:K33"/>
    <mergeCell ref="L33:M33"/>
    <mergeCell ref="N33:O33"/>
    <mergeCell ref="N35:O35"/>
    <mergeCell ref="A38:B38"/>
    <mergeCell ref="D39:E39"/>
    <mergeCell ref="F39:G39"/>
    <mergeCell ref="H39:I39"/>
    <mergeCell ref="J39:K39"/>
    <mergeCell ref="L39:M39"/>
    <mergeCell ref="D35:E35"/>
    <mergeCell ref="F35:G35"/>
    <mergeCell ref="H35:I35"/>
    <mergeCell ref="J35:K35"/>
    <mergeCell ref="L35:M35"/>
    <mergeCell ref="N43:P43"/>
    <mergeCell ref="N39:O39"/>
    <mergeCell ref="A40:B40"/>
    <mergeCell ref="D41:E41"/>
    <mergeCell ref="F41:G41"/>
    <mergeCell ref="H41:I41"/>
    <mergeCell ref="J41:K41"/>
    <mergeCell ref="L41:M41"/>
    <mergeCell ref="N41:O41"/>
  </mergeCells>
  <pageMargins left="1" right="1" top="1" bottom="1" header="0.5" footer="0.5"/>
  <pageSetup scale="72" orientation="landscape" r:id="rId1"/>
  <headerFooter>
    <oddHeader>&amp;RSchedule V-K-9.2
Page &amp;P of &amp;N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S51"/>
  <sheetViews>
    <sheetView view="pageBreakPreview" topLeftCell="A16" zoomScale="60" zoomScaleNormal="100" workbookViewId="0">
      <selection activeCell="A52" sqref="A52:XFD60"/>
    </sheetView>
  </sheetViews>
  <sheetFormatPr defaultColWidth="9.109375" defaultRowHeight="11.4" x14ac:dyDescent="0.2"/>
  <cols>
    <col min="1" max="1" width="9.88671875" style="102" customWidth="1"/>
    <col min="2" max="2" width="14.5546875" style="102" customWidth="1"/>
    <col min="3" max="3" width="0.6640625" style="102" customWidth="1"/>
    <col min="4" max="4" width="10.5546875" style="102" bestFit="1" customWidth="1"/>
    <col min="5" max="5" width="9.33203125" style="102" bestFit="1" customWidth="1"/>
    <col min="6" max="6" width="10.5546875" style="102" bestFit="1" customWidth="1"/>
    <col min="7" max="7" width="9.33203125" style="102" customWidth="1"/>
    <col min="8" max="9" width="11.109375" style="102" customWidth="1"/>
    <col min="10" max="10" width="10.5546875" style="102" bestFit="1" customWidth="1"/>
    <col min="11" max="11" width="9.33203125" style="102" bestFit="1" customWidth="1"/>
    <col min="12" max="13" width="10.33203125" style="102" customWidth="1"/>
    <col min="14" max="14" width="10.6640625" style="102" customWidth="1"/>
    <col min="15" max="15" width="10" style="102" customWidth="1"/>
    <col min="16" max="16" width="10" style="102" bestFit="1" customWidth="1"/>
    <col min="17" max="17" width="9.109375" style="102"/>
    <col min="18" max="18" width="6.109375" style="102" customWidth="1"/>
    <col min="19" max="16384" width="9.109375" style="102"/>
  </cols>
  <sheetData>
    <row r="2" spans="1:13" ht="13.8" x14ac:dyDescent="0.25">
      <c r="A2" s="205" t="s">
        <v>106</v>
      </c>
      <c r="B2" s="208"/>
      <c r="C2" s="221"/>
      <c r="D2" s="222"/>
    </row>
    <row r="3" spans="1:13" ht="13.8" x14ac:dyDescent="0.25">
      <c r="A3" s="206" t="s">
        <v>107</v>
      </c>
      <c r="B3" s="211"/>
      <c r="C3" s="223"/>
      <c r="D3" s="224"/>
    </row>
    <row r="4" spans="1:13" ht="13.8" x14ac:dyDescent="0.25">
      <c r="A4" s="206" t="s">
        <v>111</v>
      </c>
      <c r="B4" s="211"/>
      <c r="C4" s="223"/>
      <c r="D4" s="224"/>
    </row>
    <row r="5" spans="1:13" ht="13.8" x14ac:dyDescent="0.25">
      <c r="A5" s="206" t="s">
        <v>108</v>
      </c>
      <c r="B5" s="211"/>
      <c r="C5" s="223"/>
      <c r="D5" s="224"/>
    </row>
    <row r="6" spans="1:13" ht="13.8" x14ac:dyDescent="0.25">
      <c r="A6" s="206" t="s">
        <v>109</v>
      </c>
      <c r="B6" s="211"/>
      <c r="C6" s="223"/>
      <c r="D6" s="224"/>
    </row>
    <row r="7" spans="1:13" ht="13.8" x14ac:dyDescent="0.25">
      <c r="A7" s="207" t="s">
        <v>110</v>
      </c>
      <c r="B7" s="214"/>
      <c r="C7" s="225"/>
      <c r="D7" s="226"/>
    </row>
    <row r="11" spans="1:13" x14ac:dyDescent="0.2">
      <c r="A11" s="203" t="s">
        <v>94</v>
      </c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165"/>
    </row>
    <row r="12" spans="1:13" x14ac:dyDescent="0.2">
      <c r="A12" s="203" t="s">
        <v>93</v>
      </c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165"/>
    </row>
    <row r="13" spans="1:13" x14ac:dyDescent="0.2">
      <c r="A13" s="203" t="s">
        <v>95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165"/>
    </row>
    <row r="17" spans="1:17" ht="13.8" x14ac:dyDescent="0.25">
      <c r="A17" s="201" t="s">
        <v>91</v>
      </c>
      <c r="B17" s="201"/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</row>
    <row r="18" spans="1:17" x14ac:dyDescent="0.2">
      <c r="A18" s="104"/>
      <c r="B18" s="104"/>
      <c r="J18" s="164"/>
      <c r="K18" s="164"/>
      <c r="L18" s="103"/>
      <c r="M18" s="103"/>
    </row>
    <row r="19" spans="1:17" ht="12" x14ac:dyDescent="0.25">
      <c r="B19" s="104"/>
      <c r="C19" s="104"/>
      <c r="D19" s="163" t="s">
        <v>90</v>
      </c>
      <c r="E19" s="163" t="s">
        <v>89</v>
      </c>
      <c r="F19" s="163" t="s">
        <v>88</v>
      </c>
      <c r="G19" s="163" t="s">
        <v>87</v>
      </c>
      <c r="H19" s="163" t="s">
        <v>81</v>
      </c>
      <c r="I19" s="163" t="s">
        <v>86</v>
      </c>
      <c r="J19" s="162"/>
      <c r="M19" s="162"/>
    </row>
    <row r="20" spans="1:17" ht="18.75" customHeight="1" x14ac:dyDescent="0.25">
      <c r="A20" s="204" t="s">
        <v>69</v>
      </c>
      <c r="B20" s="204"/>
      <c r="C20" s="104"/>
      <c r="D20" s="162">
        <v>11029391</v>
      </c>
      <c r="E20" s="162">
        <v>11029394</v>
      </c>
      <c r="F20" s="162">
        <v>11029392</v>
      </c>
      <c r="G20" s="162">
        <v>11029393</v>
      </c>
      <c r="H20" s="162">
        <v>11029389</v>
      </c>
      <c r="I20" s="162">
        <v>11029390</v>
      </c>
      <c r="J20" s="162" t="s">
        <v>38</v>
      </c>
      <c r="M20" s="162"/>
    </row>
    <row r="21" spans="1:17" ht="13.5" customHeight="1" x14ac:dyDescent="0.25">
      <c r="A21" s="156" t="s">
        <v>85</v>
      </c>
      <c r="B21" s="156"/>
      <c r="C21" s="104"/>
      <c r="D21" s="161">
        <v>17426</v>
      </c>
      <c r="E21" s="160">
        <v>9753</v>
      </c>
      <c r="F21" s="160">
        <v>6418</v>
      </c>
      <c r="G21" s="160">
        <v>17184</v>
      </c>
      <c r="H21" s="160">
        <v>12684</v>
      </c>
      <c r="I21" s="160">
        <v>7305</v>
      </c>
      <c r="J21" s="153">
        <f>(D21+E21+F21+G21+H21+I21)</f>
        <v>70770</v>
      </c>
      <c r="L21" s="126">
        <f>J23/J21</f>
        <v>0.72144976685036033</v>
      </c>
      <c r="M21" s="159" t="s">
        <v>84</v>
      </c>
    </row>
    <row r="22" spans="1:17" ht="22.5" customHeight="1" x14ac:dyDescent="0.25">
      <c r="A22" s="200" t="s">
        <v>83</v>
      </c>
      <c r="B22" s="200"/>
      <c r="C22" s="104"/>
      <c r="D22" s="120">
        <v>11029382</v>
      </c>
      <c r="E22" s="158">
        <v>11029385</v>
      </c>
      <c r="F22" s="120">
        <v>11029383</v>
      </c>
      <c r="G22" s="158">
        <v>11029384</v>
      </c>
      <c r="H22" s="120">
        <v>11029380</v>
      </c>
      <c r="I22" s="158">
        <v>11029381</v>
      </c>
      <c r="J22" s="157"/>
      <c r="M22" s="104"/>
    </row>
    <row r="23" spans="1:17" ht="13.5" customHeight="1" x14ac:dyDescent="0.2">
      <c r="A23" s="156" t="s">
        <v>65</v>
      </c>
      <c r="B23" s="156"/>
      <c r="C23" s="104"/>
      <c r="D23" s="155">
        <v>11981</v>
      </c>
      <c r="E23" s="154">
        <v>8440</v>
      </c>
      <c r="F23" s="155">
        <v>5163</v>
      </c>
      <c r="G23" s="154">
        <v>13594</v>
      </c>
      <c r="H23" s="155">
        <v>8153</v>
      </c>
      <c r="I23" s="154">
        <v>3726</v>
      </c>
      <c r="J23" s="153">
        <f>(D23+E23+F23+G23+H23+I23)</f>
        <v>51057</v>
      </c>
      <c r="L23" s="152"/>
      <c r="M23" s="151"/>
    </row>
    <row r="24" spans="1:17" ht="6.75" customHeight="1" x14ac:dyDescent="0.2">
      <c r="C24" s="104"/>
      <c r="D24" s="104"/>
      <c r="E24" s="104"/>
      <c r="F24" s="104"/>
      <c r="G24" s="104"/>
      <c r="H24" s="104"/>
      <c r="I24" s="104"/>
      <c r="J24" s="104"/>
      <c r="M24" s="104"/>
    </row>
    <row r="25" spans="1:17" ht="12" x14ac:dyDescent="0.25">
      <c r="B25" s="119"/>
      <c r="C25" s="104"/>
      <c r="D25" s="104"/>
      <c r="E25" s="104"/>
      <c r="F25" s="104"/>
      <c r="G25" s="104"/>
      <c r="H25" s="104"/>
      <c r="I25" s="104"/>
      <c r="J25" s="150"/>
      <c r="K25" s="149"/>
      <c r="L25" s="118"/>
      <c r="M25" s="118"/>
    </row>
    <row r="26" spans="1:17" ht="19.5" customHeight="1" x14ac:dyDescent="0.25">
      <c r="A26" s="201" t="s">
        <v>82</v>
      </c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</row>
    <row r="27" spans="1:17" ht="12.6" thickBot="1" x14ac:dyDescent="0.3">
      <c r="D27" s="202" t="s">
        <v>81</v>
      </c>
      <c r="E27" s="202"/>
      <c r="F27" s="202" t="s">
        <v>80</v>
      </c>
      <c r="G27" s="202"/>
      <c r="H27" s="202" t="s">
        <v>79</v>
      </c>
      <c r="I27" s="202"/>
      <c r="J27" s="202" t="s">
        <v>78</v>
      </c>
      <c r="K27" s="202"/>
      <c r="L27" s="202" t="s">
        <v>77</v>
      </c>
      <c r="M27" s="202"/>
      <c r="N27" s="202" t="s">
        <v>76</v>
      </c>
      <c r="O27" s="202"/>
    </row>
    <row r="28" spans="1:17" s="139" customFormat="1" ht="10.199999999999999" x14ac:dyDescent="0.2">
      <c r="A28" s="140"/>
      <c r="B28" s="140"/>
      <c r="C28" s="140"/>
      <c r="D28" s="142">
        <v>0.22</v>
      </c>
      <c r="E28" s="141">
        <v>0.78</v>
      </c>
      <c r="F28" s="142">
        <v>0.22</v>
      </c>
      <c r="G28" s="141">
        <v>0.78</v>
      </c>
      <c r="H28" s="142">
        <v>0.22</v>
      </c>
      <c r="I28" s="141">
        <v>0.78</v>
      </c>
      <c r="J28" s="142">
        <v>0.22</v>
      </c>
      <c r="K28" s="141">
        <v>0.78</v>
      </c>
      <c r="L28" s="142">
        <v>0.22</v>
      </c>
      <c r="M28" s="141">
        <v>0.78</v>
      </c>
      <c r="N28" s="142">
        <v>0.22</v>
      </c>
      <c r="O28" s="141">
        <v>0.78</v>
      </c>
    </row>
    <row r="29" spans="1:17" s="104" customFormat="1" ht="12" thickBot="1" x14ac:dyDescent="0.25">
      <c r="D29" s="138">
        <v>11002001</v>
      </c>
      <c r="E29" s="137">
        <v>11029483</v>
      </c>
      <c r="F29" s="138">
        <v>11002003</v>
      </c>
      <c r="G29" s="137">
        <v>11029487</v>
      </c>
      <c r="H29" s="138">
        <v>11001995</v>
      </c>
      <c r="I29" s="148">
        <v>11029493</v>
      </c>
      <c r="J29" s="138">
        <v>11001997</v>
      </c>
      <c r="K29" s="137">
        <v>11029481</v>
      </c>
      <c r="L29" s="138">
        <v>11002000</v>
      </c>
      <c r="M29" s="137">
        <v>11029486</v>
      </c>
      <c r="N29" s="138">
        <v>11002142</v>
      </c>
      <c r="O29" s="137">
        <v>11029491</v>
      </c>
    </row>
    <row r="30" spans="1:17" ht="12.6" thickBot="1" x14ac:dyDescent="0.3">
      <c r="A30" s="192" t="s">
        <v>69</v>
      </c>
      <c r="B30" s="192"/>
      <c r="C30" s="104"/>
      <c r="D30" s="147">
        <f>D31*D28</f>
        <v>1470.26</v>
      </c>
      <c r="E30" s="146">
        <f>D31*E28</f>
        <v>5212.74</v>
      </c>
      <c r="F30" s="147">
        <f>F31*F28</f>
        <v>802.12</v>
      </c>
      <c r="G30" s="146">
        <f>F31*G28</f>
        <v>2843.88</v>
      </c>
      <c r="H30" s="147">
        <f>H31*H28</f>
        <v>1463.22</v>
      </c>
      <c r="I30" s="146">
        <f>H31*I28</f>
        <v>5187.78</v>
      </c>
      <c r="J30" s="147">
        <f>J31*J28</f>
        <v>1154.1200000000001</v>
      </c>
      <c r="K30" s="146">
        <f>J31*K28</f>
        <v>4091.88</v>
      </c>
      <c r="L30" s="147">
        <f>L31*L28</f>
        <v>1399.42</v>
      </c>
      <c r="M30" s="146">
        <f>L31*M28</f>
        <v>4961.58</v>
      </c>
      <c r="N30" s="147">
        <f>N31*N28</f>
        <v>1871.1</v>
      </c>
      <c r="O30" s="146">
        <f>N31*O28</f>
        <v>6633.9000000000005</v>
      </c>
      <c r="P30" s="104" t="s">
        <v>66</v>
      </c>
      <c r="Q30" s="104"/>
    </row>
    <row r="31" spans="1:17" ht="12" thickBot="1" x14ac:dyDescent="0.25">
      <c r="A31" s="131" t="s">
        <v>68</v>
      </c>
      <c r="B31" s="131"/>
      <c r="C31" s="104"/>
      <c r="D31" s="198">
        <v>6683</v>
      </c>
      <c r="E31" s="199"/>
      <c r="F31" s="193">
        <v>3646</v>
      </c>
      <c r="G31" s="185"/>
      <c r="H31" s="193">
        <v>6651</v>
      </c>
      <c r="I31" s="185"/>
      <c r="J31" s="193">
        <v>5246</v>
      </c>
      <c r="K31" s="185"/>
      <c r="L31" s="193">
        <v>6361</v>
      </c>
      <c r="M31" s="185"/>
      <c r="N31" s="193">
        <v>8505</v>
      </c>
      <c r="O31" s="185"/>
      <c r="P31" s="104"/>
      <c r="Q31" s="104"/>
    </row>
    <row r="32" spans="1:17" ht="12.6" thickBot="1" x14ac:dyDescent="0.3">
      <c r="A32" s="186" t="s">
        <v>67</v>
      </c>
      <c r="B32" s="187"/>
      <c r="C32" s="104"/>
      <c r="D32" s="145">
        <f>D33*D28</f>
        <v>621.28</v>
      </c>
      <c r="E32" s="144">
        <f>D33*E28</f>
        <v>2202.7200000000003</v>
      </c>
      <c r="F32" s="145">
        <f>F33*F28</f>
        <v>118.14</v>
      </c>
      <c r="G32" s="144">
        <f>F33*G28</f>
        <v>418.86</v>
      </c>
      <c r="H32" s="145">
        <f>H33*H28</f>
        <v>1020.8</v>
      </c>
      <c r="I32" s="144">
        <f>H33*I28</f>
        <v>3619.2000000000003</v>
      </c>
      <c r="J32" s="145">
        <f>J33*J28</f>
        <v>804.1</v>
      </c>
      <c r="K32" s="144">
        <f>J33*K28</f>
        <v>2850.9</v>
      </c>
      <c r="L32" s="144">
        <f>L33*L28</f>
        <v>789.36</v>
      </c>
      <c r="M32" s="144">
        <f>L33*M28</f>
        <v>2798.64</v>
      </c>
      <c r="N32" s="145">
        <f>N33*N28</f>
        <v>929.72</v>
      </c>
      <c r="O32" s="144">
        <f>N33*O28</f>
        <v>3296.28</v>
      </c>
      <c r="P32" s="104" t="s">
        <v>66</v>
      </c>
      <c r="Q32" s="104"/>
    </row>
    <row r="33" spans="1:19" ht="12" thickBot="1" x14ac:dyDescent="0.25">
      <c r="A33" s="131" t="s">
        <v>65</v>
      </c>
      <c r="B33" s="131"/>
      <c r="C33" s="104"/>
      <c r="D33" s="194">
        <v>2824</v>
      </c>
      <c r="E33" s="195"/>
      <c r="F33" s="196">
        <v>537</v>
      </c>
      <c r="G33" s="197"/>
      <c r="H33" s="196">
        <v>4640</v>
      </c>
      <c r="I33" s="197"/>
      <c r="J33" s="196">
        <v>3655</v>
      </c>
      <c r="K33" s="197"/>
      <c r="L33" s="196">
        <v>3588</v>
      </c>
      <c r="M33" s="197"/>
      <c r="N33" s="196">
        <v>4226</v>
      </c>
      <c r="O33" s="197"/>
      <c r="P33" s="104"/>
      <c r="Q33" s="104"/>
    </row>
    <row r="34" spans="1:19" x14ac:dyDescent="0.2">
      <c r="A34" s="104"/>
      <c r="B34" s="104"/>
      <c r="C34" s="122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04"/>
      <c r="P34" s="104"/>
      <c r="Q34" s="104"/>
    </row>
    <row r="35" spans="1:19" ht="12.6" thickBot="1" x14ac:dyDescent="0.3">
      <c r="A35" s="104"/>
      <c r="B35" s="104"/>
      <c r="C35" s="104"/>
      <c r="D35" s="191" t="s">
        <v>75</v>
      </c>
      <c r="E35" s="191"/>
      <c r="F35" s="191" t="s">
        <v>74</v>
      </c>
      <c r="G35" s="191"/>
      <c r="H35" s="191" t="s">
        <v>73</v>
      </c>
      <c r="I35" s="191"/>
      <c r="J35" s="191" t="s">
        <v>72</v>
      </c>
      <c r="K35" s="191"/>
      <c r="L35" s="191" t="s">
        <v>71</v>
      </c>
      <c r="M35" s="191"/>
      <c r="N35" s="191" t="s">
        <v>70</v>
      </c>
      <c r="O35" s="191"/>
      <c r="P35" s="104"/>
      <c r="Q35" s="104"/>
    </row>
    <row r="36" spans="1:19" s="139" customFormat="1" ht="10.199999999999999" x14ac:dyDescent="0.2">
      <c r="A36" s="140"/>
      <c r="B36" s="140"/>
      <c r="C36" s="140"/>
      <c r="D36" s="142">
        <v>0.22</v>
      </c>
      <c r="E36" s="141">
        <v>0.78</v>
      </c>
      <c r="F36" s="142">
        <v>0.22</v>
      </c>
      <c r="G36" s="141">
        <v>0.78</v>
      </c>
      <c r="H36" s="142">
        <v>0.22</v>
      </c>
      <c r="I36" s="141">
        <v>0.78</v>
      </c>
      <c r="J36" s="142">
        <v>0.22</v>
      </c>
      <c r="K36" s="141">
        <v>0.78</v>
      </c>
      <c r="L36" s="142">
        <v>0.22</v>
      </c>
      <c r="M36" s="141">
        <v>0.78</v>
      </c>
      <c r="N36" s="142">
        <v>0.22</v>
      </c>
      <c r="O36" s="141">
        <v>0.78</v>
      </c>
      <c r="P36" s="140"/>
      <c r="Q36" s="140"/>
    </row>
    <row r="37" spans="1:19" ht="12" thickBot="1" x14ac:dyDescent="0.25">
      <c r="C37" s="104"/>
      <c r="D37" s="138">
        <v>11001996</v>
      </c>
      <c r="E37" s="137">
        <v>11029494</v>
      </c>
      <c r="F37" s="138">
        <v>11002006</v>
      </c>
      <c r="G37" s="137">
        <v>11029482</v>
      </c>
      <c r="H37" s="138">
        <v>11002143</v>
      </c>
      <c r="I37" s="137">
        <v>11029490</v>
      </c>
      <c r="J37" s="138">
        <v>11002007</v>
      </c>
      <c r="K37" s="137">
        <v>11029485</v>
      </c>
      <c r="L37" s="138">
        <v>11002008</v>
      </c>
      <c r="M37" s="137">
        <v>11029489</v>
      </c>
      <c r="N37" s="138">
        <v>11002009</v>
      </c>
      <c r="O37" s="137">
        <v>11029484</v>
      </c>
      <c r="P37" s="104"/>
      <c r="Q37" s="104"/>
    </row>
    <row r="38" spans="1:19" ht="12.6" thickBot="1" x14ac:dyDescent="0.3">
      <c r="A38" s="192" t="s">
        <v>69</v>
      </c>
      <c r="B38" s="192"/>
      <c r="C38" s="122"/>
      <c r="D38" s="136">
        <f>D39*D36</f>
        <v>1313.6200000000001</v>
      </c>
      <c r="E38" s="135">
        <f>D39*E36</f>
        <v>4657.38</v>
      </c>
      <c r="F38" s="136">
        <f>F39*F36</f>
        <v>927.74</v>
      </c>
      <c r="G38" s="135">
        <f>F39*G36</f>
        <v>3289.26</v>
      </c>
      <c r="H38" s="136">
        <f>H39*H36</f>
        <v>1333.42</v>
      </c>
      <c r="I38" s="135">
        <f>H39*I36</f>
        <v>4727.58</v>
      </c>
      <c r="J38" s="136">
        <f>J39*J36</f>
        <v>1103.08</v>
      </c>
      <c r="K38" s="135">
        <f>J39*K36</f>
        <v>3910.92</v>
      </c>
      <c r="L38" s="136">
        <f>L39*L36</f>
        <v>1073.82</v>
      </c>
      <c r="M38" s="135">
        <f>L39*M36</f>
        <v>3807.1800000000003</v>
      </c>
      <c r="N38" s="136">
        <f>N39*N36</f>
        <v>834.68</v>
      </c>
      <c r="O38" s="135">
        <f>N39*O36</f>
        <v>2959.32</v>
      </c>
      <c r="P38" s="104" t="s">
        <v>66</v>
      </c>
      <c r="Q38" s="104"/>
    </row>
    <row r="39" spans="1:19" ht="13.5" customHeight="1" thickBot="1" x14ac:dyDescent="0.25">
      <c r="A39" s="131" t="s">
        <v>68</v>
      </c>
      <c r="B39" s="131"/>
      <c r="C39" s="104"/>
      <c r="D39" s="193">
        <v>5971</v>
      </c>
      <c r="E39" s="185"/>
      <c r="F39" s="184">
        <v>4217</v>
      </c>
      <c r="G39" s="185"/>
      <c r="H39" s="193">
        <v>6061</v>
      </c>
      <c r="I39" s="185"/>
      <c r="J39" s="193">
        <v>5014</v>
      </c>
      <c r="K39" s="185"/>
      <c r="L39" s="193">
        <v>4881</v>
      </c>
      <c r="M39" s="185"/>
      <c r="N39" s="184">
        <v>3794</v>
      </c>
      <c r="O39" s="185"/>
      <c r="P39" s="104"/>
      <c r="Q39" s="104"/>
    </row>
    <row r="40" spans="1:19" ht="12.6" thickBot="1" x14ac:dyDescent="0.3">
      <c r="A40" s="186" t="s">
        <v>67</v>
      </c>
      <c r="B40" s="187"/>
      <c r="C40" s="122"/>
      <c r="D40" s="134">
        <f>D41*D36</f>
        <v>936.32</v>
      </c>
      <c r="E40" s="132">
        <f>D41*E36</f>
        <v>3319.6800000000003</v>
      </c>
      <c r="F40" s="134">
        <f>F41*F36</f>
        <v>554.62</v>
      </c>
      <c r="G40" s="132">
        <f>F41*G36</f>
        <v>1966.38</v>
      </c>
      <c r="H40" s="132">
        <f>H41*H36</f>
        <v>737.44</v>
      </c>
      <c r="I40" s="132">
        <f>H41*I36</f>
        <v>2614.56</v>
      </c>
      <c r="J40" s="134">
        <f>J41*J36</f>
        <v>878.02</v>
      </c>
      <c r="K40" s="132">
        <f>J41*K36</f>
        <v>3112.98</v>
      </c>
      <c r="L40" s="134">
        <f>L41*L36</f>
        <v>768.46</v>
      </c>
      <c r="M40" s="132">
        <f>L41*M36</f>
        <v>2724.54</v>
      </c>
      <c r="N40" s="133">
        <f>N41*N36</f>
        <v>669.9</v>
      </c>
      <c r="O40" s="132">
        <f>N41*O36</f>
        <v>2375.1</v>
      </c>
      <c r="P40" s="104" t="s">
        <v>66</v>
      </c>
      <c r="Q40" s="104"/>
    </row>
    <row r="41" spans="1:19" ht="12" thickBot="1" x14ac:dyDescent="0.25">
      <c r="A41" s="131" t="s">
        <v>65</v>
      </c>
      <c r="B41" s="131"/>
      <c r="C41" s="104"/>
      <c r="D41" s="188">
        <v>4256</v>
      </c>
      <c r="E41" s="189"/>
      <c r="F41" s="188">
        <v>2521</v>
      </c>
      <c r="G41" s="189"/>
      <c r="H41" s="188">
        <v>3352</v>
      </c>
      <c r="I41" s="189"/>
      <c r="J41" s="188">
        <v>3991</v>
      </c>
      <c r="K41" s="189"/>
      <c r="L41" s="188">
        <v>3493</v>
      </c>
      <c r="M41" s="189"/>
      <c r="N41" s="190">
        <v>3045</v>
      </c>
      <c r="O41" s="189"/>
      <c r="P41" s="104"/>
      <c r="Q41" s="104"/>
    </row>
    <row r="42" spans="1:19" x14ac:dyDescent="0.2">
      <c r="A42" s="104"/>
      <c r="B42" s="104"/>
      <c r="C42" s="122"/>
      <c r="D42" s="130">
        <f>$C$42*D41</f>
        <v>0</v>
      </c>
      <c r="E42" s="104"/>
      <c r="F42" s="130"/>
      <c r="G42" s="104"/>
      <c r="H42" s="130">
        <f>$C$42*H41</f>
        <v>0</v>
      </c>
      <c r="I42" s="104"/>
      <c r="J42" s="130">
        <f>$C$42*J41</f>
        <v>0</v>
      </c>
      <c r="K42" s="130"/>
      <c r="L42" s="130">
        <f>$C$42*L41</f>
        <v>0</v>
      </c>
      <c r="M42" s="130"/>
      <c r="N42" s="130">
        <f>$C$42*N41</f>
        <v>0</v>
      </c>
      <c r="O42" s="104"/>
      <c r="P42" s="104"/>
      <c r="Q42" s="104"/>
    </row>
    <row r="43" spans="1:19" ht="13.5" customHeight="1" x14ac:dyDescent="0.25">
      <c r="A43" s="104"/>
      <c r="B43" s="119"/>
      <c r="C43" s="104"/>
      <c r="D43" s="106"/>
      <c r="E43" s="106"/>
      <c r="F43" s="106"/>
      <c r="G43" s="106"/>
      <c r="H43" s="106"/>
      <c r="I43" s="106"/>
      <c r="J43" s="104"/>
      <c r="K43" s="104"/>
      <c r="L43" s="104"/>
      <c r="M43" s="104"/>
      <c r="N43" s="182" t="s">
        <v>64</v>
      </c>
      <c r="O43" s="182"/>
      <c r="P43" s="182"/>
      <c r="Q43" s="104"/>
    </row>
    <row r="44" spans="1:19" ht="12" x14ac:dyDescent="0.25">
      <c r="A44" s="104"/>
      <c r="B44" s="119"/>
      <c r="C44" s="104"/>
      <c r="D44" s="106"/>
      <c r="E44" s="106"/>
      <c r="F44" s="106"/>
      <c r="G44" s="106"/>
      <c r="H44" s="106"/>
      <c r="I44" s="106"/>
      <c r="J44" s="104"/>
      <c r="K44" s="104"/>
      <c r="L44" s="104"/>
      <c r="M44" s="104"/>
      <c r="N44" s="129">
        <v>0.22</v>
      </c>
      <c r="O44" s="129">
        <v>0.78</v>
      </c>
      <c r="P44" s="128" t="s">
        <v>38</v>
      </c>
      <c r="Q44" s="104"/>
    </row>
    <row r="45" spans="1:19" ht="12" x14ac:dyDescent="0.25">
      <c r="A45" s="104"/>
      <c r="B45" s="104"/>
      <c r="C45" s="104"/>
      <c r="D45" s="106"/>
      <c r="E45" s="106"/>
      <c r="F45" s="127"/>
      <c r="G45" s="127"/>
      <c r="H45" s="119"/>
      <c r="I45" s="119"/>
      <c r="J45" s="104"/>
      <c r="K45" s="126">
        <f>P46/P45</f>
        <v>0.59865731761897645</v>
      </c>
      <c r="L45" s="125" t="s">
        <v>63</v>
      </c>
      <c r="M45" s="124" t="s">
        <v>59</v>
      </c>
      <c r="N45" s="116">
        <f>N38+L38+J38+H38+F38+D38+D30+F30+H30+J30+L30+N30</f>
        <v>14746.6</v>
      </c>
      <c r="O45" s="123">
        <f>O38+M38+K38+I38+G38+E38+E30+G30+I30+K30+M30+O30</f>
        <v>52283.400000000009</v>
      </c>
      <c r="P45" s="116">
        <f>N45+O45</f>
        <v>67030.000000000015</v>
      </c>
      <c r="Q45" s="122"/>
      <c r="R45" s="121"/>
      <c r="S45" s="120"/>
    </row>
    <row r="46" spans="1:19" ht="12" x14ac:dyDescent="0.25">
      <c r="A46" s="119" t="s">
        <v>62</v>
      </c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18"/>
      <c r="M46" s="117" t="s">
        <v>58</v>
      </c>
      <c r="N46" s="116">
        <f>N40+L40+J40+H40+F40+D40+D32+F32+H32+J32+L32+N32</f>
        <v>8828.16</v>
      </c>
      <c r="O46" s="116">
        <f>O40+M40+K40+I40+G40+E40+E32+G32+I32+K32+M32+O32</f>
        <v>31299.84</v>
      </c>
      <c r="P46" s="116">
        <f>N46+O46</f>
        <v>40128</v>
      </c>
      <c r="Q46" s="104"/>
    </row>
    <row r="47" spans="1:19" ht="12" thickBot="1" x14ac:dyDescent="0.25">
      <c r="A47" s="115" t="s">
        <v>61</v>
      </c>
      <c r="B47" s="115"/>
      <c r="C47" s="115"/>
      <c r="D47" s="114">
        <v>1254</v>
      </c>
    </row>
    <row r="48" spans="1:19" x14ac:dyDescent="0.2">
      <c r="M48" s="113"/>
      <c r="N48" s="112" t="s">
        <v>60</v>
      </c>
    </row>
    <row r="49" spans="6:17" ht="12" x14ac:dyDescent="0.25">
      <c r="F49" s="104"/>
      <c r="G49" s="104"/>
      <c r="H49" s="104"/>
      <c r="I49" s="104"/>
      <c r="J49" s="104"/>
      <c r="K49" s="104"/>
      <c r="L49" s="104"/>
      <c r="M49" s="111" t="s">
        <v>59</v>
      </c>
      <c r="N49" s="110">
        <f>P45+J21</f>
        <v>137800</v>
      </c>
      <c r="O49" s="109"/>
      <c r="P49" s="104"/>
      <c r="Q49" s="104"/>
    </row>
    <row r="50" spans="6:17" ht="12" thickBot="1" x14ac:dyDescent="0.25">
      <c r="F50" s="104"/>
      <c r="G50" s="104"/>
      <c r="H50" s="104"/>
      <c r="I50" s="104"/>
      <c r="J50" s="106"/>
      <c r="K50" s="106"/>
      <c r="L50" s="106"/>
      <c r="M50" s="108" t="s">
        <v>58</v>
      </c>
      <c r="N50" s="107">
        <f>J23+P46+D47</f>
        <v>92439</v>
      </c>
      <c r="O50" s="106"/>
      <c r="P50" s="104"/>
      <c r="Q50" s="104"/>
    </row>
    <row r="51" spans="6:17" x14ac:dyDescent="0.2">
      <c r="F51" s="104"/>
      <c r="G51" s="104"/>
      <c r="H51" s="104"/>
      <c r="I51" s="104"/>
      <c r="J51" s="106"/>
      <c r="K51" s="106"/>
      <c r="L51" s="106"/>
      <c r="M51" s="106"/>
      <c r="N51" s="104"/>
      <c r="O51" s="106"/>
      <c r="P51" s="104"/>
      <c r="Q51" s="104"/>
    </row>
  </sheetData>
  <sheetProtection formatCells="0"/>
  <protectedRanges>
    <protectedRange sqref="A13:L13" name="Range8"/>
    <protectedRange sqref="D41:O41" name="Range6"/>
    <protectedRange sqref="D39:O39" name="Range5"/>
    <protectedRange sqref="D33:O33" name="Range4"/>
    <protectedRange sqref="D31:O31" name="Range3"/>
    <protectedRange sqref="D23:I23" name="Range2"/>
    <protectedRange sqref="D21:I21" name="Range1"/>
    <protectedRange sqref="D47" name="Range7"/>
  </protectedRanges>
  <mergeCells count="48">
    <mergeCell ref="N43:P43"/>
    <mergeCell ref="N39:O39"/>
    <mergeCell ref="A40:B40"/>
    <mergeCell ref="D41:E41"/>
    <mergeCell ref="F41:G41"/>
    <mergeCell ref="H41:I41"/>
    <mergeCell ref="J41:K41"/>
    <mergeCell ref="L41:M41"/>
    <mergeCell ref="N41:O41"/>
    <mergeCell ref="L39:M39"/>
    <mergeCell ref="A38:B38"/>
    <mergeCell ref="D39:E39"/>
    <mergeCell ref="F39:G39"/>
    <mergeCell ref="H39:I39"/>
    <mergeCell ref="J39:K39"/>
    <mergeCell ref="N35:O35"/>
    <mergeCell ref="N31:O31"/>
    <mergeCell ref="A32:B32"/>
    <mergeCell ref="D33:E33"/>
    <mergeCell ref="F33:G33"/>
    <mergeCell ref="H33:I33"/>
    <mergeCell ref="J33:K33"/>
    <mergeCell ref="L33:M33"/>
    <mergeCell ref="N33:O33"/>
    <mergeCell ref="L31:M31"/>
    <mergeCell ref="D35:E35"/>
    <mergeCell ref="F35:G35"/>
    <mergeCell ref="H35:I35"/>
    <mergeCell ref="J35:K35"/>
    <mergeCell ref="L35:M35"/>
    <mergeCell ref="A30:B30"/>
    <mergeCell ref="D31:E31"/>
    <mergeCell ref="F31:G31"/>
    <mergeCell ref="H31:I31"/>
    <mergeCell ref="J31:K31"/>
    <mergeCell ref="A26:O26"/>
    <mergeCell ref="D27:E27"/>
    <mergeCell ref="F27:G27"/>
    <mergeCell ref="H27:I27"/>
    <mergeCell ref="J27:K27"/>
    <mergeCell ref="L27:M27"/>
    <mergeCell ref="N27:O27"/>
    <mergeCell ref="A22:B22"/>
    <mergeCell ref="A11:L11"/>
    <mergeCell ref="A12:L12"/>
    <mergeCell ref="A13:L13"/>
    <mergeCell ref="A17:O17"/>
    <mergeCell ref="A20:B20"/>
  </mergeCells>
  <pageMargins left="1" right="1" top="1" bottom="1" header="0.5" footer="0.5"/>
  <pageSetup scale="72" orientation="landscape" r:id="rId1"/>
  <headerFooter>
    <oddHeader>&amp;RSchedule V-K-9.2
Page &amp;P of &amp;N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S51"/>
  <sheetViews>
    <sheetView view="pageBreakPreview" topLeftCell="A19" zoomScale="60" zoomScaleNormal="100" workbookViewId="0">
      <selection activeCell="A52" sqref="A52:XFD60"/>
    </sheetView>
  </sheetViews>
  <sheetFormatPr defaultColWidth="9.109375" defaultRowHeight="11.4" x14ac:dyDescent="0.2"/>
  <cols>
    <col min="1" max="1" width="9.88671875" style="102" customWidth="1"/>
    <col min="2" max="2" width="14.5546875" style="102" customWidth="1"/>
    <col min="3" max="3" width="0.6640625" style="102" customWidth="1"/>
    <col min="4" max="4" width="10.5546875" style="102" bestFit="1" customWidth="1"/>
    <col min="5" max="5" width="9.33203125" style="102" bestFit="1" customWidth="1"/>
    <col min="6" max="6" width="10.5546875" style="102" bestFit="1" customWidth="1"/>
    <col min="7" max="7" width="9.33203125" style="102" customWidth="1"/>
    <col min="8" max="9" width="11.109375" style="102" customWidth="1"/>
    <col min="10" max="10" width="10.5546875" style="102" bestFit="1" customWidth="1"/>
    <col min="11" max="11" width="9.33203125" style="102" bestFit="1" customWidth="1"/>
    <col min="12" max="13" width="10.33203125" style="102" customWidth="1"/>
    <col min="14" max="14" width="10.6640625" style="102" customWidth="1"/>
    <col min="15" max="15" width="10" style="102" customWidth="1"/>
    <col min="16" max="16" width="10" style="102" bestFit="1" customWidth="1"/>
    <col min="17" max="17" width="9.109375" style="102"/>
    <col min="18" max="18" width="6.109375" style="102" customWidth="1"/>
    <col min="19" max="16384" width="9.109375" style="102"/>
  </cols>
  <sheetData>
    <row r="2" spans="1:13" ht="13.8" x14ac:dyDescent="0.25">
      <c r="A2" s="205" t="s">
        <v>106</v>
      </c>
      <c r="B2" s="208"/>
      <c r="C2" s="221"/>
      <c r="D2" s="222"/>
    </row>
    <row r="3" spans="1:13" ht="13.8" x14ac:dyDescent="0.25">
      <c r="A3" s="206" t="s">
        <v>107</v>
      </c>
      <c r="B3" s="211"/>
      <c r="C3" s="223"/>
      <c r="D3" s="224"/>
    </row>
    <row r="4" spans="1:13" ht="13.8" x14ac:dyDescent="0.25">
      <c r="A4" s="206" t="s">
        <v>111</v>
      </c>
      <c r="B4" s="211"/>
      <c r="C4" s="223"/>
      <c r="D4" s="224"/>
    </row>
    <row r="5" spans="1:13" ht="13.8" x14ac:dyDescent="0.25">
      <c r="A5" s="206" t="s">
        <v>108</v>
      </c>
      <c r="B5" s="211"/>
      <c r="C5" s="223"/>
      <c r="D5" s="224"/>
    </row>
    <row r="6" spans="1:13" ht="13.8" x14ac:dyDescent="0.25">
      <c r="A6" s="206" t="s">
        <v>109</v>
      </c>
      <c r="B6" s="211"/>
      <c r="C6" s="223"/>
      <c r="D6" s="224"/>
    </row>
    <row r="7" spans="1:13" ht="13.8" x14ac:dyDescent="0.25">
      <c r="A7" s="207" t="s">
        <v>110</v>
      </c>
      <c r="B7" s="214"/>
      <c r="C7" s="225"/>
      <c r="D7" s="226"/>
    </row>
    <row r="11" spans="1:13" x14ac:dyDescent="0.2">
      <c r="A11" s="203" t="s">
        <v>94</v>
      </c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165"/>
    </row>
    <row r="12" spans="1:13" x14ac:dyDescent="0.2">
      <c r="A12" s="203" t="s">
        <v>93</v>
      </c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165"/>
    </row>
    <row r="13" spans="1:13" x14ac:dyDescent="0.2">
      <c r="A13" s="203" t="s">
        <v>92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165"/>
    </row>
    <row r="17" spans="1:17" ht="13.8" x14ac:dyDescent="0.25">
      <c r="A17" s="201" t="s">
        <v>91</v>
      </c>
      <c r="B17" s="201"/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</row>
    <row r="18" spans="1:17" x14ac:dyDescent="0.2">
      <c r="A18" s="104"/>
      <c r="B18" s="104"/>
      <c r="J18" s="164"/>
      <c r="K18" s="164"/>
      <c r="L18" s="103"/>
      <c r="M18" s="103"/>
    </row>
    <row r="19" spans="1:17" ht="12" x14ac:dyDescent="0.25">
      <c r="B19" s="104"/>
      <c r="C19" s="104"/>
      <c r="D19" s="163" t="s">
        <v>90</v>
      </c>
      <c r="E19" s="163" t="s">
        <v>89</v>
      </c>
      <c r="F19" s="163" t="s">
        <v>88</v>
      </c>
      <c r="G19" s="163" t="s">
        <v>87</v>
      </c>
      <c r="H19" s="163" t="s">
        <v>81</v>
      </c>
      <c r="I19" s="163" t="s">
        <v>86</v>
      </c>
      <c r="J19" s="162"/>
      <c r="M19" s="162"/>
    </row>
    <row r="20" spans="1:17" ht="18.75" customHeight="1" x14ac:dyDescent="0.25">
      <c r="A20" s="204" t="s">
        <v>69</v>
      </c>
      <c r="B20" s="204"/>
      <c r="C20" s="104"/>
      <c r="D20" s="162">
        <v>11029391</v>
      </c>
      <c r="E20" s="162">
        <v>11029394</v>
      </c>
      <c r="F20" s="162">
        <v>11029392</v>
      </c>
      <c r="G20" s="162">
        <v>11029393</v>
      </c>
      <c r="H20" s="162">
        <v>11029389</v>
      </c>
      <c r="I20" s="162">
        <v>11029390</v>
      </c>
      <c r="J20" s="162" t="s">
        <v>38</v>
      </c>
      <c r="M20" s="162"/>
    </row>
    <row r="21" spans="1:17" ht="13.5" customHeight="1" x14ac:dyDescent="0.25">
      <c r="A21" s="156" t="s">
        <v>85</v>
      </c>
      <c r="B21" s="156"/>
      <c r="C21" s="104"/>
      <c r="D21" s="161">
        <v>13950</v>
      </c>
      <c r="E21" s="160">
        <v>9161</v>
      </c>
      <c r="F21" s="160">
        <v>5667</v>
      </c>
      <c r="G21" s="160">
        <v>16008</v>
      </c>
      <c r="H21" s="160">
        <v>11980</v>
      </c>
      <c r="I21" s="160">
        <v>6343</v>
      </c>
      <c r="J21" s="153">
        <f>(D21+E21+F21+G21+H21+I21)</f>
        <v>63109</v>
      </c>
      <c r="L21" s="126">
        <f>J23/J21</f>
        <v>0.73667781140566324</v>
      </c>
      <c r="M21" s="159" t="s">
        <v>84</v>
      </c>
    </row>
    <row r="22" spans="1:17" ht="22.5" customHeight="1" x14ac:dyDescent="0.25">
      <c r="A22" s="200" t="s">
        <v>83</v>
      </c>
      <c r="B22" s="200"/>
      <c r="C22" s="104"/>
      <c r="D22" s="120">
        <v>11029382</v>
      </c>
      <c r="E22" s="158">
        <v>11029385</v>
      </c>
      <c r="F22" s="120">
        <v>11029383</v>
      </c>
      <c r="G22" s="158">
        <v>11029384</v>
      </c>
      <c r="H22" s="120">
        <v>11029380</v>
      </c>
      <c r="I22" s="158">
        <v>11029381</v>
      </c>
      <c r="J22" s="157"/>
      <c r="M22" s="104"/>
    </row>
    <row r="23" spans="1:17" ht="13.5" customHeight="1" x14ac:dyDescent="0.2">
      <c r="A23" s="156" t="s">
        <v>65</v>
      </c>
      <c r="B23" s="156"/>
      <c r="C23" s="104"/>
      <c r="D23" s="155">
        <v>9910</v>
      </c>
      <c r="E23" s="154">
        <v>8007</v>
      </c>
      <c r="F23" s="155">
        <v>4609</v>
      </c>
      <c r="G23" s="154">
        <v>12815</v>
      </c>
      <c r="H23" s="155">
        <v>7897</v>
      </c>
      <c r="I23" s="154">
        <v>3253</v>
      </c>
      <c r="J23" s="153">
        <f>(D23+E23+F23+G23+H23+I23)</f>
        <v>46491</v>
      </c>
      <c r="L23" s="152"/>
      <c r="M23" s="151"/>
    </row>
    <row r="24" spans="1:17" ht="6.75" customHeight="1" x14ac:dyDescent="0.2">
      <c r="C24" s="104"/>
      <c r="D24" s="104"/>
      <c r="E24" s="104"/>
      <c r="F24" s="104"/>
      <c r="G24" s="104"/>
      <c r="H24" s="104"/>
      <c r="I24" s="104"/>
      <c r="J24" s="104"/>
      <c r="M24" s="104"/>
    </row>
    <row r="25" spans="1:17" ht="12" x14ac:dyDescent="0.25">
      <c r="B25" s="119"/>
      <c r="C25" s="104"/>
      <c r="D25" s="104"/>
      <c r="E25" s="104"/>
      <c r="F25" s="104"/>
      <c r="G25" s="104"/>
      <c r="H25" s="104"/>
      <c r="I25" s="104"/>
      <c r="J25" s="150"/>
      <c r="K25" s="149"/>
      <c r="L25" s="118"/>
      <c r="M25" s="118"/>
    </row>
    <row r="26" spans="1:17" ht="19.5" customHeight="1" x14ac:dyDescent="0.25">
      <c r="A26" s="201" t="s">
        <v>82</v>
      </c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</row>
    <row r="27" spans="1:17" ht="12.6" thickBot="1" x14ac:dyDescent="0.3">
      <c r="D27" s="202" t="s">
        <v>81</v>
      </c>
      <c r="E27" s="202"/>
      <c r="F27" s="202" t="s">
        <v>80</v>
      </c>
      <c r="G27" s="202"/>
      <c r="H27" s="202" t="s">
        <v>79</v>
      </c>
      <c r="I27" s="202"/>
      <c r="J27" s="202" t="s">
        <v>78</v>
      </c>
      <c r="K27" s="202"/>
      <c r="L27" s="202" t="s">
        <v>77</v>
      </c>
      <c r="M27" s="202"/>
      <c r="N27" s="202" t="s">
        <v>76</v>
      </c>
      <c r="O27" s="202"/>
    </row>
    <row r="28" spans="1:17" s="139" customFormat="1" ht="10.199999999999999" x14ac:dyDescent="0.2">
      <c r="A28" s="140"/>
      <c r="B28" s="140"/>
      <c r="C28" s="140"/>
      <c r="D28" s="142">
        <v>0.22</v>
      </c>
      <c r="E28" s="141">
        <v>0.78</v>
      </c>
      <c r="F28" s="142">
        <v>0.22</v>
      </c>
      <c r="G28" s="141">
        <v>0.78</v>
      </c>
      <c r="H28" s="142">
        <v>0.22</v>
      </c>
      <c r="I28" s="141">
        <v>0.78</v>
      </c>
      <c r="J28" s="142">
        <v>0.22</v>
      </c>
      <c r="K28" s="141">
        <v>0.78</v>
      </c>
      <c r="L28" s="142">
        <v>0.22</v>
      </c>
      <c r="M28" s="141">
        <v>0.78</v>
      </c>
      <c r="N28" s="142">
        <v>0.22</v>
      </c>
      <c r="O28" s="141">
        <v>0.78</v>
      </c>
    </row>
    <row r="29" spans="1:17" s="104" customFormat="1" ht="12" thickBot="1" x14ac:dyDescent="0.25">
      <c r="D29" s="138">
        <v>11002001</v>
      </c>
      <c r="E29" s="137">
        <v>11029483</v>
      </c>
      <c r="F29" s="138">
        <v>11002003</v>
      </c>
      <c r="G29" s="137">
        <v>11029487</v>
      </c>
      <c r="H29" s="138">
        <v>11001995</v>
      </c>
      <c r="I29" s="148">
        <v>11029493</v>
      </c>
      <c r="J29" s="138">
        <v>11001997</v>
      </c>
      <c r="K29" s="137">
        <v>11029481</v>
      </c>
      <c r="L29" s="138">
        <v>11002000</v>
      </c>
      <c r="M29" s="137">
        <v>11029486</v>
      </c>
      <c r="N29" s="138">
        <v>11002142</v>
      </c>
      <c r="O29" s="137">
        <v>11029491</v>
      </c>
    </row>
    <row r="30" spans="1:17" ht="12.6" thickBot="1" x14ac:dyDescent="0.3">
      <c r="A30" s="192" t="s">
        <v>69</v>
      </c>
      <c r="B30" s="192"/>
      <c r="C30" s="104"/>
      <c r="D30" s="147">
        <f>D31*D28</f>
        <v>1315.6</v>
      </c>
      <c r="E30" s="146">
        <f>D31*E28</f>
        <v>4664.4000000000005</v>
      </c>
      <c r="F30" s="147">
        <f>F31*F28</f>
        <v>685.08</v>
      </c>
      <c r="G30" s="146">
        <f>F31*G28</f>
        <v>2428.92</v>
      </c>
      <c r="H30" s="147">
        <f>H31*H28</f>
        <v>1159.8399999999999</v>
      </c>
      <c r="I30" s="146">
        <f>H31*I28</f>
        <v>4112.16</v>
      </c>
      <c r="J30" s="147">
        <f>J31*J28</f>
        <v>932.14</v>
      </c>
      <c r="K30" s="146">
        <f>J31*K28</f>
        <v>3304.86</v>
      </c>
      <c r="L30" s="147">
        <f>L31*L28</f>
        <v>1202.52</v>
      </c>
      <c r="M30" s="146">
        <f>L31*M28</f>
        <v>4263.4800000000005</v>
      </c>
      <c r="N30" s="147">
        <f>N31*N28</f>
        <v>1778.7</v>
      </c>
      <c r="O30" s="146">
        <f>N31*O28</f>
        <v>6306.3</v>
      </c>
      <c r="P30" s="104" t="s">
        <v>66</v>
      </c>
      <c r="Q30" s="104"/>
    </row>
    <row r="31" spans="1:17" ht="12" thickBot="1" x14ac:dyDescent="0.25">
      <c r="A31" s="131" t="s">
        <v>68</v>
      </c>
      <c r="B31" s="131"/>
      <c r="C31" s="104"/>
      <c r="D31" s="198">
        <v>5980</v>
      </c>
      <c r="E31" s="199"/>
      <c r="F31" s="193">
        <v>3114</v>
      </c>
      <c r="G31" s="185"/>
      <c r="H31" s="193">
        <v>5272</v>
      </c>
      <c r="I31" s="185"/>
      <c r="J31" s="193">
        <v>4237</v>
      </c>
      <c r="K31" s="185"/>
      <c r="L31" s="193">
        <v>5466</v>
      </c>
      <c r="M31" s="185"/>
      <c r="N31" s="193">
        <v>8085</v>
      </c>
      <c r="O31" s="185"/>
      <c r="P31" s="104"/>
      <c r="Q31" s="104"/>
    </row>
    <row r="32" spans="1:17" ht="12.6" thickBot="1" x14ac:dyDescent="0.3">
      <c r="A32" s="186" t="s">
        <v>67</v>
      </c>
      <c r="B32" s="187"/>
      <c r="C32" s="104"/>
      <c r="D32" s="145">
        <f>D33*D28</f>
        <v>582.78</v>
      </c>
      <c r="E32" s="144">
        <f>D33*E28</f>
        <v>2066.2200000000003</v>
      </c>
      <c r="F32" s="145">
        <f>F33*F28</f>
        <v>97.24</v>
      </c>
      <c r="G32" s="144">
        <f>F33*G28</f>
        <v>344.76</v>
      </c>
      <c r="H32" s="145">
        <f>H33*H28</f>
        <v>818.62</v>
      </c>
      <c r="I32" s="144">
        <f>H33*I28</f>
        <v>2902.38</v>
      </c>
      <c r="J32" s="145">
        <f>J33*J28</f>
        <v>652.52</v>
      </c>
      <c r="K32" s="144">
        <f>J33*K28</f>
        <v>2313.48</v>
      </c>
      <c r="L32" s="144">
        <f>L33*L28</f>
        <v>677.16</v>
      </c>
      <c r="M32" s="144">
        <f>L33*M28</f>
        <v>2400.84</v>
      </c>
      <c r="N32" s="145">
        <f>N33*N28</f>
        <v>892.76</v>
      </c>
      <c r="O32" s="144">
        <f>N33*O28</f>
        <v>3165.2400000000002</v>
      </c>
      <c r="P32" s="104" t="s">
        <v>66</v>
      </c>
      <c r="Q32" s="104"/>
    </row>
    <row r="33" spans="1:19" ht="12" thickBot="1" x14ac:dyDescent="0.25">
      <c r="A33" s="131" t="s">
        <v>65</v>
      </c>
      <c r="B33" s="131"/>
      <c r="C33" s="104"/>
      <c r="D33" s="194">
        <v>2649</v>
      </c>
      <c r="E33" s="195"/>
      <c r="F33" s="196">
        <v>442</v>
      </c>
      <c r="G33" s="197"/>
      <c r="H33" s="196">
        <v>3721</v>
      </c>
      <c r="I33" s="197"/>
      <c r="J33" s="196">
        <v>2966</v>
      </c>
      <c r="K33" s="197"/>
      <c r="L33" s="196">
        <v>3078</v>
      </c>
      <c r="M33" s="197"/>
      <c r="N33" s="196">
        <v>4058</v>
      </c>
      <c r="O33" s="197"/>
      <c r="P33" s="104"/>
      <c r="Q33" s="104"/>
    </row>
    <row r="34" spans="1:19" x14ac:dyDescent="0.2">
      <c r="A34" s="104"/>
      <c r="B34" s="104"/>
      <c r="C34" s="122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04"/>
      <c r="P34" s="104"/>
      <c r="Q34" s="104"/>
    </row>
    <row r="35" spans="1:19" ht="12.6" thickBot="1" x14ac:dyDescent="0.3">
      <c r="A35" s="104"/>
      <c r="B35" s="104"/>
      <c r="C35" s="104"/>
      <c r="D35" s="191" t="s">
        <v>75</v>
      </c>
      <c r="E35" s="191"/>
      <c r="F35" s="191" t="s">
        <v>74</v>
      </c>
      <c r="G35" s="191"/>
      <c r="H35" s="191" t="s">
        <v>73</v>
      </c>
      <c r="I35" s="191"/>
      <c r="J35" s="191" t="s">
        <v>72</v>
      </c>
      <c r="K35" s="191"/>
      <c r="L35" s="191" t="s">
        <v>71</v>
      </c>
      <c r="M35" s="191"/>
      <c r="N35" s="191" t="s">
        <v>70</v>
      </c>
      <c r="O35" s="191"/>
      <c r="P35" s="104"/>
      <c r="Q35" s="104"/>
    </row>
    <row r="36" spans="1:19" s="139" customFormat="1" ht="10.199999999999999" x14ac:dyDescent="0.2">
      <c r="A36" s="140"/>
      <c r="B36" s="140"/>
      <c r="C36" s="140"/>
      <c r="D36" s="142">
        <v>0.22</v>
      </c>
      <c r="E36" s="141">
        <v>0.78</v>
      </c>
      <c r="F36" s="142">
        <v>0.22</v>
      </c>
      <c r="G36" s="141">
        <v>0.78</v>
      </c>
      <c r="H36" s="142">
        <v>0.22</v>
      </c>
      <c r="I36" s="141">
        <v>0.78</v>
      </c>
      <c r="J36" s="142">
        <v>0.22</v>
      </c>
      <c r="K36" s="141">
        <v>0.78</v>
      </c>
      <c r="L36" s="142">
        <v>0.22</v>
      </c>
      <c r="M36" s="141">
        <v>0.78</v>
      </c>
      <c r="N36" s="142">
        <v>0.22</v>
      </c>
      <c r="O36" s="141">
        <v>0.78</v>
      </c>
      <c r="P36" s="140"/>
      <c r="Q36" s="140"/>
    </row>
    <row r="37" spans="1:19" ht="12" thickBot="1" x14ac:dyDescent="0.25">
      <c r="C37" s="104"/>
      <c r="D37" s="138">
        <v>11001996</v>
      </c>
      <c r="E37" s="137">
        <v>11029494</v>
      </c>
      <c r="F37" s="138">
        <v>11002006</v>
      </c>
      <c r="G37" s="137">
        <v>11029482</v>
      </c>
      <c r="H37" s="138">
        <v>11002143</v>
      </c>
      <c r="I37" s="137">
        <v>11029490</v>
      </c>
      <c r="J37" s="138">
        <v>11002007</v>
      </c>
      <c r="K37" s="137">
        <v>11029485</v>
      </c>
      <c r="L37" s="138">
        <v>11002008</v>
      </c>
      <c r="M37" s="137">
        <v>11029489</v>
      </c>
      <c r="N37" s="138">
        <v>11002009</v>
      </c>
      <c r="O37" s="137">
        <v>11029484</v>
      </c>
      <c r="P37" s="104"/>
      <c r="Q37" s="104"/>
    </row>
    <row r="38" spans="1:19" ht="12.6" thickBot="1" x14ac:dyDescent="0.3">
      <c r="A38" s="192" t="s">
        <v>69</v>
      </c>
      <c r="B38" s="192"/>
      <c r="C38" s="122"/>
      <c r="D38" s="136">
        <f>D39*D36</f>
        <v>1130.8</v>
      </c>
      <c r="E38" s="135">
        <f>D39*E36</f>
        <v>4009.2000000000003</v>
      </c>
      <c r="F38" s="136">
        <f>F39*F36</f>
        <v>822.58</v>
      </c>
      <c r="G38" s="135">
        <f>F39*G36</f>
        <v>2916.42</v>
      </c>
      <c r="H38" s="136">
        <f>H39*H36</f>
        <v>1346.6200000000001</v>
      </c>
      <c r="I38" s="135">
        <f>H39*I36</f>
        <v>4774.38</v>
      </c>
      <c r="J38" s="136">
        <f>J39*J36</f>
        <v>953.92</v>
      </c>
      <c r="K38" s="135">
        <f>J39*K36</f>
        <v>3382.08</v>
      </c>
      <c r="L38" s="136">
        <f>L39*L36</f>
        <v>1052.7</v>
      </c>
      <c r="M38" s="135">
        <f>L39*M36</f>
        <v>3732.3</v>
      </c>
      <c r="N38" s="136">
        <f>N39*N36</f>
        <v>800.8</v>
      </c>
      <c r="O38" s="135">
        <f>N39*O36</f>
        <v>2839.2000000000003</v>
      </c>
      <c r="P38" s="104" t="s">
        <v>66</v>
      </c>
      <c r="Q38" s="104"/>
    </row>
    <row r="39" spans="1:19" ht="13.5" customHeight="1" thickBot="1" x14ac:dyDescent="0.25">
      <c r="A39" s="131" t="s">
        <v>68</v>
      </c>
      <c r="B39" s="131"/>
      <c r="C39" s="104"/>
      <c r="D39" s="193">
        <v>5140</v>
      </c>
      <c r="E39" s="185"/>
      <c r="F39" s="184">
        <v>3739</v>
      </c>
      <c r="G39" s="185"/>
      <c r="H39" s="193">
        <v>6121</v>
      </c>
      <c r="I39" s="185"/>
      <c r="J39" s="193">
        <v>4336</v>
      </c>
      <c r="K39" s="185"/>
      <c r="L39" s="193">
        <v>4785</v>
      </c>
      <c r="M39" s="185"/>
      <c r="N39" s="184">
        <v>3640</v>
      </c>
      <c r="O39" s="185"/>
      <c r="P39" s="104"/>
      <c r="Q39" s="104"/>
    </row>
    <row r="40" spans="1:19" ht="12.6" thickBot="1" x14ac:dyDescent="0.3">
      <c r="A40" s="186" t="s">
        <v>67</v>
      </c>
      <c r="B40" s="187"/>
      <c r="C40" s="122"/>
      <c r="D40" s="134">
        <f>D41*D36</f>
        <v>792.22</v>
      </c>
      <c r="E40" s="132">
        <f>D41*E36</f>
        <v>2808.78</v>
      </c>
      <c r="F40" s="134">
        <f>F41*F36</f>
        <v>518.32000000000005</v>
      </c>
      <c r="G40" s="132">
        <f>F41*G36</f>
        <v>1837.68</v>
      </c>
      <c r="H40" s="132">
        <f>H41*H36</f>
        <v>727.76</v>
      </c>
      <c r="I40" s="132">
        <f>H41*I36</f>
        <v>2580.2400000000002</v>
      </c>
      <c r="J40" s="134">
        <f>J41*J36</f>
        <v>738.76</v>
      </c>
      <c r="K40" s="132">
        <f>J41*K36</f>
        <v>2619.2400000000002</v>
      </c>
      <c r="L40" s="134">
        <f>L41*L36</f>
        <v>766.92</v>
      </c>
      <c r="M40" s="132">
        <f>L41*M36</f>
        <v>2719.08</v>
      </c>
      <c r="N40" s="133">
        <f>N41*N36</f>
        <v>642.62</v>
      </c>
      <c r="O40" s="132">
        <f>N41*O36</f>
        <v>2278.38</v>
      </c>
      <c r="P40" s="104" t="s">
        <v>66</v>
      </c>
      <c r="Q40" s="104"/>
    </row>
    <row r="41" spans="1:19" ht="12" thickBot="1" x14ac:dyDescent="0.25">
      <c r="A41" s="131" t="s">
        <v>65</v>
      </c>
      <c r="B41" s="131"/>
      <c r="C41" s="104"/>
      <c r="D41" s="188">
        <v>3601</v>
      </c>
      <c r="E41" s="189"/>
      <c r="F41" s="188">
        <v>2356</v>
      </c>
      <c r="G41" s="189"/>
      <c r="H41" s="188">
        <v>3308</v>
      </c>
      <c r="I41" s="189"/>
      <c r="J41" s="188">
        <v>3358</v>
      </c>
      <c r="K41" s="189"/>
      <c r="L41" s="188">
        <v>3486</v>
      </c>
      <c r="M41" s="189"/>
      <c r="N41" s="190">
        <v>2921</v>
      </c>
      <c r="O41" s="189"/>
      <c r="P41" s="104"/>
      <c r="Q41" s="104"/>
    </row>
    <row r="42" spans="1:19" x14ac:dyDescent="0.2">
      <c r="A42" s="104"/>
      <c r="B42" s="104"/>
      <c r="C42" s="122"/>
      <c r="D42" s="130">
        <f>$C$42*D41</f>
        <v>0</v>
      </c>
      <c r="E42" s="104"/>
      <c r="F42" s="130"/>
      <c r="G42" s="104"/>
      <c r="H42" s="130">
        <f>$C$42*H41</f>
        <v>0</v>
      </c>
      <c r="I42" s="104"/>
      <c r="J42" s="130">
        <f>$C$42*J41</f>
        <v>0</v>
      </c>
      <c r="K42" s="130"/>
      <c r="L42" s="130">
        <f>$C$42*L41</f>
        <v>0</v>
      </c>
      <c r="M42" s="130"/>
      <c r="N42" s="130">
        <f>$C$42*N41</f>
        <v>0</v>
      </c>
      <c r="O42" s="104"/>
      <c r="P42" s="104"/>
      <c r="Q42" s="104"/>
    </row>
    <row r="43" spans="1:19" ht="13.5" customHeight="1" x14ac:dyDescent="0.25">
      <c r="A43" s="104"/>
      <c r="B43" s="119"/>
      <c r="C43" s="104"/>
      <c r="D43" s="106"/>
      <c r="E43" s="106"/>
      <c r="F43" s="106"/>
      <c r="G43" s="106"/>
      <c r="H43" s="106"/>
      <c r="I43" s="106"/>
      <c r="J43" s="104"/>
      <c r="K43" s="104"/>
      <c r="L43" s="104"/>
      <c r="M43" s="104"/>
      <c r="N43" s="182" t="s">
        <v>64</v>
      </c>
      <c r="O43" s="182"/>
      <c r="P43" s="182"/>
      <c r="Q43" s="104"/>
    </row>
    <row r="44" spans="1:19" ht="12" x14ac:dyDescent="0.25">
      <c r="A44" s="104"/>
      <c r="B44" s="119"/>
      <c r="C44" s="104"/>
      <c r="D44" s="106"/>
      <c r="E44" s="106"/>
      <c r="F44" s="106"/>
      <c r="G44" s="106"/>
      <c r="H44" s="106"/>
      <c r="I44" s="106"/>
      <c r="J44" s="104"/>
      <c r="K44" s="104"/>
      <c r="L44" s="104"/>
      <c r="M44" s="104"/>
      <c r="N44" s="129">
        <v>0.22</v>
      </c>
      <c r="O44" s="129">
        <v>0.78</v>
      </c>
      <c r="P44" s="128" t="s">
        <v>38</v>
      </c>
      <c r="Q44" s="104"/>
    </row>
    <row r="45" spans="1:19" ht="12" x14ac:dyDescent="0.25">
      <c r="A45" s="104"/>
      <c r="B45" s="104"/>
      <c r="C45" s="104"/>
      <c r="D45" s="106"/>
      <c r="E45" s="106"/>
      <c r="F45" s="127"/>
      <c r="G45" s="127"/>
      <c r="H45" s="119"/>
      <c r="I45" s="119"/>
      <c r="J45" s="104"/>
      <c r="K45" s="126">
        <f>P46/P45</f>
        <v>0.59991654844362841</v>
      </c>
      <c r="L45" s="125" t="s">
        <v>63</v>
      </c>
      <c r="M45" s="124" t="s">
        <v>59</v>
      </c>
      <c r="N45" s="116">
        <f>N38+L38+J38+H38+F38+D38+D30+F30+H30+J30+L30+N30</f>
        <v>13181.300000000001</v>
      </c>
      <c r="O45" s="123">
        <f>O38+M38+K38+I38+G38+E38+E30+G30+I30+K30+M30+O30</f>
        <v>46733.700000000004</v>
      </c>
      <c r="P45" s="116">
        <f>N45+O45</f>
        <v>59915.000000000007</v>
      </c>
      <c r="Q45" s="122"/>
      <c r="R45" s="121"/>
      <c r="S45" s="120"/>
    </row>
    <row r="46" spans="1:19" ht="12" x14ac:dyDescent="0.25">
      <c r="A46" s="119" t="s">
        <v>62</v>
      </c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18"/>
      <c r="M46" s="117" t="s">
        <v>58</v>
      </c>
      <c r="N46" s="116">
        <f>N40+L40+J40+H40+F40+D40+D32+F32+H32+J32+L32+N32</f>
        <v>7907.68</v>
      </c>
      <c r="O46" s="116">
        <f>O40+M40+K40+I40+G40+E40+E32+G32+I32+K32+M32+O32</f>
        <v>28036.320000000003</v>
      </c>
      <c r="P46" s="116">
        <f>N46+O46</f>
        <v>35944</v>
      </c>
      <c r="Q46" s="104"/>
    </row>
    <row r="47" spans="1:19" ht="12" thickBot="1" x14ac:dyDescent="0.25">
      <c r="A47" s="115" t="s">
        <v>61</v>
      </c>
      <c r="B47" s="115"/>
      <c r="C47" s="115"/>
      <c r="D47" s="114">
        <v>1205</v>
      </c>
    </row>
    <row r="48" spans="1:19" x14ac:dyDescent="0.2">
      <c r="M48" s="113"/>
      <c r="N48" s="112" t="s">
        <v>60</v>
      </c>
    </row>
    <row r="49" spans="6:17" ht="12" x14ac:dyDescent="0.25">
      <c r="F49" s="104"/>
      <c r="G49" s="104"/>
      <c r="H49" s="104"/>
      <c r="I49" s="104"/>
      <c r="J49" s="104"/>
      <c r="K49" s="104"/>
      <c r="L49" s="104"/>
      <c r="M49" s="111" t="s">
        <v>59</v>
      </c>
      <c r="N49" s="110">
        <f>P45+J21</f>
        <v>123024</v>
      </c>
      <c r="O49" s="109"/>
      <c r="P49" s="104"/>
      <c r="Q49" s="104"/>
    </row>
    <row r="50" spans="6:17" ht="12" thickBot="1" x14ac:dyDescent="0.25">
      <c r="F50" s="104"/>
      <c r="G50" s="104"/>
      <c r="H50" s="104"/>
      <c r="I50" s="104"/>
      <c r="J50" s="106"/>
      <c r="K50" s="106"/>
      <c r="L50" s="106"/>
      <c r="M50" s="108" t="s">
        <v>58</v>
      </c>
      <c r="N50" s="107">
        <f>J23+P46+D47</f>
        <v>83640</v>
      </c>
      <c r="O50" s="106"/>
      <c r="P50" s="104"/>
      <c r="Q50" s="104"/>
    </row>
    <row r="51" spans="6:17" x14ac:dyDescent="0.2">
      <c r="F51" s="104"/>
      <c r="G51" s="104"/>
      <c r="H51" s="104"/>
      <c r="I51" s="104"/>
      <c r="J51" s="106"/>
      <c r="K51" s="106"/>
      <c r="L51" s="106"/>
      <c r="M51" s="106"/>
      <c r="N51" s="104"/>
      <c r="O51" s="106"/>
      <c r="P51" s="104"/>
      <c r="Q51" s="104"/>
    </row>
  </sheetData>
  <sheetProtection formatCells="0"/>
  <protectedRanges>
    <protectedRange sqref="A13:L13" name="Range8"/>
    <protectedRange sqref="D41:O41" name="Range6"/>
    <protectedRange sqref="D39:O39" name="Range5"/>
    <protectedRange sqref="D33:O33" name="Range4"/>
    <protectedRange sqref="D31:O31" name="Range3"/>
    <protectedRange sqref="D23:I23" name="Range2"/>
    <protectedRange sqref="D21:I21" name="Range1"/>
    <protectedRange sqref="D47" name="Range7"/>
  </protectedRanges>
  <mergeCells count="48">
    <mergeCell ref="A11:L11"/>
    <mergeCell ref="A12:L12"/>
    <mergeCell ref="A13:L13"/>
    <mergeCell ref="A17:O17"/>
    <mergeCell ref="A20:B20"/>
    <mergeCell ref="A22:B22"/>
    <mergeCell ref="A26:O26"/>
    <mergeCell ref="D27:E27"/>
    <mergeCell ref="F27:G27"/>
    <mergeCell ref="H27:I27"/>
    <mergeCell ref="J27:K27"/>
    <mergeCell ref="L27:M27"/>
    <mergeCell ref="N27:O27"/>
    <mergeCell ref="A30:B30"/>
    <mergeCell ref="D31:E31"/>
    <mergeCell ref="F31:G31"/>
    <mergeCell ref="H31:I31"/>
    <mergeCell ref="J31:K31"/>
    <mergeCell ref="L31:M31"/>
    <mergeCell ref="N31:O31"/>
    <mergeCell ref="A32:B32"/>
    <mergeCell ref="D33:E33"/>
    <mergeCell ref="F33:G33"/>
    <mergeCell ref="H33:I33"/>
    <mergeCell ref="J33:K33"/>
    <mergeCell ref="L33:M33"/>
    <mergeCell ref="N33:O33"/>
    <mergeCell ref="N35:O35"/>
    <mergeCell ref="A38:B38"/>
    <mergeCell ref="D39:E39"/>
    <mergeCell ref="F39:G39"/>
    <mergeCell ref="H39:I39"/>
    <mergeCell ref="J39:K39"/>
    <mergeCell ref="L39:M39"/>
    <mergeCell ref="D35:E35"/>
    <mergeCell ref="F35:G35"/>
    <mergeCell ref="H35:I35"/>
    <mergeCell ref="J35:K35"/>
    <mergeCell ref="L35:M35"/>
    <mergeCell ref="N43:P43"/>
    <mergeCell ref="N39:O39"/>
    <mergeCell ref="A40:B40"/>
    <mergeCell ref="D41:E41"/>
    <mergeCell ref="F41:G41"/>
    <mergeCell ref="H41:I41"/>
    <mergeCell ref="J41:K41"/>
    <mergeCell ref="L41:M41"/>
    <mergeCell ref="N41:O41"/>
  </mergeCells>
  <pageMargins left="1" right="1" top="1" bottom="1" header="0.5" footer="0.5"/>
  <pageSetup scale="72" orientation="landscape" r:id="rId1"/>
  <headerFooter>
    <oddHeader>&amp;RSchedule V-K-9.2
Page &amp;P of &amp;N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S51"/>
  <sheetViews>
    <sheetView view="pageBreakPreview" topLeftCell="A13" zoomScale="60" zoomScaleNormal="100" workbookViewId="0">
      <selection activeCell="U50" sqref="U50"/>
    </sheetView>
  </sheetViews>
  <sheetFormatPr defaultColWidth="9.109375" defaultRowHeight="11.4" x14ac:dyDescent="0.2"/>
  <cols>
    <col min="1" max="1" width="9.88671875" style="102" customWidth="1"/>
    <col min="2" max="2" width="14.5546875" style="102" customWidth="1"/>
    <col min="3" max="3" width="0.6640625" style="102" customWidth="1"/>
    <col min="4" max="4" width="10.5546875" style="102" bestFit="1" customWidth="1"/>
    <col min="5" max="5" width="9.33203125" style="102" bestFit="1" customWidth="1"/>
    <col min="6" max="6" width="10.5546875" style="102" bestFit="1" customWidth="1"/>
    <col min="7" max="7" width="9.33203125" style="102" customWidth="1"/>
    <col min="8" max="9" width="11.109375" style="102" customWidth="1"/>
    <col min="10" max="10" width="10.5546875" style="102" bestFit="1" customWidth="1"/>
    <col min="11" max="11" width="9.33203125" style="102" bestFit="1" customWidth="1"/>
    <col min="12" max="13" width="10.33203125" style="102" customWidth="1"/>
    <col min="14" max="14" width="10.6640625" style="102" customWidth="1"/>
    <col min="15" max="15" width="10" style="102" customWidth="1"/>
    <col min="16" max="16" width="10" style="102" bestFit="1" customWidth="1"/>
    <col min="17" max="17" width="9.109375" style="102"/>
    <col min="18" max="18" width="6.109375" style="102" customWidth="1"/>
    <col min="19" max="16384" width="9.109375" style="102"/>
  </cols>
  <sheetData>
    <row r="2" spans="1:13" ht="13.8" x14ac:dyDescent="0.25">
      <c r="A2" s="205" t="s">
        <v>106</v>
      </c>
      <c r="B2" s="208"/>
      <c r="C2" s="221"/>
      <c r="D2" s="222"/>
    </row>
    <row r="3" spans="1:13" ht="13.8" x14ac:dyDescent="0.25">
      <c r="A3" s="206" t="s">
        <v>107</v>
      </c>
      <c r="B3" s="211"/>
      <c r="C3" s="223"/>
      <c r="D3" s="224"/>
    </row>
    <row r="4" spans="1:13" ht="13.8" x14ac:dyDescent="0.25">
      <c r="A4" s="206" t="s">
        <v>111</v>
      </c>
      <c r="B4" s="211"/>
      <c r="C4" s="223"/>
      <c r="D4" s="224"/>
    </row>
    <row r="5" spans="1:13" ht="13.8" x14ac:dyDescent="0.25">
      <c r="A5" s="206" t="s">
        <v>108</v>
      </c>
      <c r="B5" s="211"/>
      <c r="C5" s="223"/>
      <c r="D5" s="224"/>
    </row>
    <row r="6" spans="1:13" ht="13.8" x14ac:dyDescent="0.25">
      <c r="A6" s="206" t="s">
        <v>109</v>
      </c>
      <c r="B6" s="211"/>
      <c r="C6" s="223"/>
      <c r="D6" s="224"/>
    </row>
    <row r="7" spans="1:13" ht="13.8" x14ac:dyDescent="0.25">
      <c r="A7" s="207" t="s">
        <v>110</v>
      </c>
      <c r="B7" s="214"/>
      <c r="C7" s="225"/>
      <c r="D7" s="226"/>
    </row>
    <row r="11" spans="1:13" x14ac:dyDescent="0.2">
      <c r="A11" s="203" t="s">
        <v>94</v>
      </c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166"/>
    </row>
    <row r="12" spans="1:13" x14ac:dyDescent="0.2">
      <c r="A12" s="203" t="s">
        <v>93</v>
      </c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166"/>
    </row>
    <row r="13" spans="1:13" x14ac:dyDescent="0.2">
      <c r="A13" s="203" t="s">
        <v>105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166"/>
    </row>
    <row r="17" spans="1:17" ht="13.8" x14ac:dyDescent="0.25">
      <c r="A17" s="201" t="s">
        <v>91</v>
      </c>
      <c r="B17" s="201"/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</row>
    <row r="18" spans="1:17" x14ac:dyDescent="0.2">
      <c r="A18" s="104"/>
      <c r="B18" s="104"/>
      <c r="J18" s="164"/>
      <c r="K18" s="164"/>
      <c r="L18" s="105"/>
      <c r="M18" s="105"/>
    </row>
    <row r="19" spans="1:17" ht="12" x14ac:dyDescent="0.25">
      <c r="B19" s="104"/>
      <c r="C19" s="104"/>
      <c r="D19" s="163" t="s">
        <v>90</v>
      </c>
      <c r="E19" s="163" t="s">
        <v>89</v>
      </c>
      <c r="F19" s="163" t="s">
        <v>88</v>
      </c>
      <c r="G19" s="163" t="s">
        <v>87</v>
      </c>
      <c r="H19" s="163" t="s">
        <v>81</v>
      </c>
      <c r="I19" s="163" t="s">
        <v>86</v>
      </c>
      <c r="J19" s="162"/>
      <c r="M19" s="162"/>
    </row>
    <row r="20" spans="1:17" ht="18.75" customHeight="1" x14ac:dyDescent="0.25">
      <c r="A20" s="204" t="s">
        <v>69</v>
      </c>
      <c r="B20" s="204"/>
      <c r="C20" s="104"/>
      <c r="D20" s="162">
        <v>11029391</v>
      </c>
      <c r="E20" s="162">
        <v>11029394</v>
      </c>
      <c r="F20" s="162">
        <v>11029392</v>
      </c>
      <c r="G20" s="162">
        <v>11029393</v>
      </c>
      <c r="H20" s="162">
        <v>11029389</v>
      </c>
      <c r="I20" s="162">
        <v>11029390</v>
      </c>
      <c r="J20" s="162" t="s">
        <v>38</v>
      </c>
      <c r="M20" s="162"/>
    </row>
    <row r="21" spans="1:17" ht="13.5" customHeight="1" x14ac:dyDescent="0.25">
      <c r="A21" s="156" t="s">
        <v>85</v>
      </c>
      <c r="B21" s="156"/>
      <c r="C21" s="104"/>
      <c r="D21" s="161">
        <v>12174</v>
      </c>
      <c r="E21" s="160">
        <v>7362</v>
      </c>
      <c r="F21" s="160">
        <v>4940</v>
      </c>
      <c r="G21" s="160">
        <v>12687</v>
      </c>
      <c r="H21" s="160">
        <v>10056</v>
      </c>
      <c r="I21" s="160">
        <v>5231</v>
      </c>
      <c r="J21" s="153">
        <f>(D21+E21+F21+G21+H21+I21)</f>
        <v>52450</v>
      </c>
      <c r="L21" s="126">
        <f>J23/J21</f>
        <v>0.74150619637750237</v>
      </c>
      <c r="M21" s="159" t="s">
        <v>84</v>
      </c>
    </row>
    <row r="22" spans="1:17" ht="22.5" customHeight="1" x14ac:dyDescent="0.25">
      <c r="A22" s="200" t="s">
        <v>83</v>
      </c>
      <c r="B22" s="200"/>
      <c r="C22" s="104"/>
      <c r="D22" s="120">
        <v>11029382</v>
      </c>
      <c r="E22" s="158">
        <v>11029385</v>
      </c>
      <c r="F22" s="120">
        <v>11029383</v>
      </c>
      <c r="G22" s="158">
        <v>11029384</v>
      </c>
      <c r="H22" s="120">
        <v>11029380</v>
      </c>
      <c r="I22" s="158">
        <v>11029381</v>
      </c>
      <c r="J22" s="157"/>
      <c r="M22" s="104"/>
    </row>
    <row r="23" spans="1:17" ht="13.5" customHeight="1" x14ac:dyDescent="0.2">
      <c r="A23" s="156" t="s">
        <v>65</v>
      </c>
      <c r="B23" s="156"/>
      <c r="C23" s="104"/>
      <c r="D23" s="155">
        <v>8820</v>
      </c>
      <c r="E23" s="154">
        <v>6503</v>
      </c>
      <c r="F23" s="155">
        <v>3977</v>
      </c>
      <c r="G23" s="154">
        <v>10104</v>
      </c>
      <c r="H23" s="155">
        <v>6578</v>
      </c>
      <c r="I23" s="154">
        <v>2910</v>
      </c>
      <c r="J23" s="153">
        <f>(D23+E23+F23+G23+H23+I23)</f>
        <v>38892</v>
      </c>
      <c r="L23" s="152"/>
      <c r="M23" s="151"/>
    </row>
    <row r="24" spans="1:17" ht="6.75" customHeight="1" x14ac:dyDescent="0.2">
      <c r="C24" s="104"/>
      <c r="D24" s="104"/>
      <c r="E24" s="104"/>
      <c r="F24" s="104"/>
      <c r="G24" s="104"/>
      <c r="H24" s="104"/>
      <c r="I24" s="104"/>
      <c r="J24" s="104"/>
      <c r="M24" s="104"/>
    </row>
    <row r="25" spans="1:17" ht="12" x14ac:dyDescent="0.25">
      <c r="B25" s="119"/>
      <c r="C25" s="104"/>
      <c r="D25" s="104"/>
      <c r="E25" s="104"/>
      <c r="F25" s="104"/>
      <c r="G25" s="104"/>
      <c r="H25" s="104"/>
      <c r="I25" s="104"/>
      <c r="J25" s="150"/>
      <c r="K25" s="149"/>
      <c r="L25" s="118"/>
      <c r="M25" s="118"/>
    </row>
    <row r="26" spans="1:17" ht="19.5" customHeight="1" x14ac:dyDescent="0.25">
      <c r="A26" s="201" t="s">
        <v>82</v>
      </c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</row>
    <row r="27" spans="1:17" ht="12.6" thickBot="1" x14ac:dyDescent="0.3">
      <c r="D27" s="202" t="s">
        <v>81</v>
      </c>
      <c r="E27" s="202"/>
      <c r="F27" s="202" t="s">
        <v>80</v>
      </c>
      <c r="G27" s="202"/>
      <c r="H27" s="202" t="s">
        <v>79</v>
      </c>
      <c r="I27" s="202"/>
      <c r="J27" s="202" t="s">
        <v>78</v>
      </c>
      <c r="K27" s="202"/>
      <c r="L27" s="202" t="s">
        <v>77</v>
      </c>
      <c r="M27" s="202"/>
      <c r="N27" s="202" t="s">
        <v>76</v>
      </c>
      <c r="O27" s="202"/>
    </row>
    <row r="28" spans="1:17" s="139" customFormat="1" ht="10.199999999999999" x14ac:dyDescent="0.2">
      <c r="A28" s="140"/>
      <c r="B28" s="140"/>
      <c r="C28" s="140"/>
      <c r="D28" s="142">
        <v>0.22</v>
      </c>
      <c r="E28" s="141">
        <v>0.78</v>
      </c>
      <c r="F28" s="142">
        <v>0.22</v>
      </c>
      <c r="G28" s="141">
        <v>0.78</v>
      </c>
      <c r="H28" s="142">
        <v>0.22</v>
      </c>
      <c r="I28" s="141">
        <v>0.78</v>
      </c>
      <c r="J28" s="142">
        <v>0.22</v>
      </c>
      <c r="K28" s="141">
        <v>0.78</v>
      </c>
      <c r="L28" s="142">
        <v>0.22</v>
      </c>
      <c r="M28" s="141">
        <v>0.78</v>
      </c>
      <c r="N28" s="142">
        <v>0.22</v>
      </c>
      <c r="O28" s="141">
        <v>0.78</v>
      </c>
    </row>
    <row r="29" spans="1:17" s="104" customFormat="1" ht="12" thickBot="1" x14ac:dyDescent="0.25">
      <c r="D29" s="138">
        <v>11002001</v>
      </c>
      <c r="E29" s="137">
        <v>11029483</v>
      </c>
      <c r="F29" s="138">
        <v>11002003</v>
      </c>
      <c r="G29" s="137">
        <v>11029487</v>
      </c>
      <c r="H29" s="138">
        <v>11001995</v>
      </c>
      <c r="I29" s="148">
        <v>11029493</v>
      </c>
      <c r="J29" s="138">
        <v>11001997</v>
      </c>
      <c r="K29" s="137">
        <v>11029481</v>
      </c>
      <c r="L29" s="138">
        <v>11002000</v>
      </c>
      <c r="M29" s="137">
        <v>11029486</v>
      </c>
      <c r="N29" s="138">
        <v>11002142</v>
      </c>
      <c r="O29" s="137">
        <v>11029491</v>
      </c>
    </row>
    <row r="30" spans="1:17" ht="12.6" thickBot="1" x14ac:dyDescent="0.3">
      <c r="A30" s="192" t="s">
        <v>69</v>
      </c>
      <c r="B30" s="192"/>
      <c r="C30" s="104"/>
      <c r="D30" s="147">
        <f>D31*D28</f>
        <v>1120.24</v>
      </c>
      <c r="E30" s="146">
        <f>D31*E28</f>
        <v>3971.76</v>
      </c>
      <c r="F30" s="147">
        <f>F31*F28</f>
        <v>544.28</v>
      </c>
      <c r="G30" s="146">
        <f>F31*G28</f>
        <v>1929.72</v>
      </c>
      <c r="H30" s="147">
        <f>H31*H28</f>
        <v>1084.82</v>
      </c>
      <c r="I30" s="146">
        <f>H31*I28</f>
        <v>3846.1800000000003</v>
      </c>
      <c r="J30" s="147">
        <f>J31*J28</f>
        <v>790.46</v>
      </c>
      <c r="K30" s="146">
        <f>J31*K28</f>
        <v>2802.54</v>
      </c>
      <c r="L30" s="147">
        <f>L31*L28</f>
        <v>1032.9000000000001</v>
      </c>
      <c r="M30" s="146">
        <f>L31*M28</f>
        <v>3662.1</v>
      </c>
      <c r="N30" s="147">
        <f>N31*N28</f>
        <v>1456.4</v>
      </c>
      <c r="O30" s="146">
        <f>N31*O28</f>
        <v>5163.6000000000004</v>
      </c>
      <c r="P30" s="104" t="s">
        <v>66</v>
      </c>
      <c r="Q30" s="104"/>
    </row>
    <row r="31" spans="1:17" ht="12" thickBot="1" x14ac:dyDescent="0.25">
      <c r="A31" s="131" t="s">
        <v>68</v>
      </c>
      <c r="B31" s="131"/>
      <c r="C31" s="104"/>
      <c r="D31" s="198">
        <v>5092</v>
      </c>
      <c r="E31" s="199"/>
      <c r="F31" s="193">
        <v>2474</v>
      </c>
      <c r="G31" s="185"/>
      <c r="H31" s="193">
        <v>4931</v>
      </c>
      <c r="I31" s="185"/>
      <c r="J31" s="193">
        <v>3593</v>
      </c>
      <c r="K31" s="185"/>
      <c r="L31" s="193">
        <v>4695</v>
      </c>
      <c r="M31" s="185"/>
      <c r="N31" s="193">
        <v>6620</v>
      </c>
      <c r="O31" s="185"/>
      <c r="P31" s="104"/>
      <c r="Q31" s="104"/>
    </row>
    <row r="32" spans="1:17" ht="12.6" thickBot="1" x14ac:dyDescent="0.3">
      <c r="A32" s="186" t="s">
        <v>67</v>
      </c>
      <c r="B32" s="187"/>
      <c r="C32" s="104"/>
      <c r="D32" s="145">
        <f>D33*D28</f>
        <v>506.66</v>
      </c>
      <c r="E32" s="144">
        <f>D33*E28</f>
        <v>1796.3400000000001</v>
      </c>
      <c r="F32" s="145">
        <f>F33*F28</f>
        <v>83.6</v>
      </c>
      <c r="G32" s="144">
        <f>F33*G28</f>
        <v>296.40000000000003</v>
      </c>
      <c r="H32" s="145">
        <f>H33*H28</f>
        <v>801.02</v>
      </c>
      <c r="I32" s="144">
        <f>H33*I28</f>
        <v>2839.98</v>
      </c>
      <c r="J32" s="145">
        <f>J33*J28</f>
        <v>552.41999999999996</v>
      </c>
      <c r="K32" s="144">
        <f>J33*K28</f>
        <v>1958.5800000000002</v>
      </c>
      <c r="L32" s="144">
        <f>L33*L28</f>
        <v>546.04</v>
      </c>
      <c r="M32" s="144">
        <f>L33*M28</f>
        <v>1935.96</v>
      </c>
      <c r="N32" s="145">
        <f>N33*N28</f>
        <v>730.4</v>
      </c>
      <c r="O32" s="144">
        <f>N33*O28</f>
        <v>2589.6</v>
      </c>
      <c r="P32" s="104" t="s">
        <v>66</v>
      </c>
      <c r="Q32" s="104"/>
    </row>
    <row r="33" spans="1:19" ht="12" thickBot="1" x14ac:dyDescent="0.25">
      <c r="A33" s="131" t="s">
        <v>65</v>
      </c>
      <c r="B33" s="131"/>
      <c r="C33" s="104"/>
      <c r="D33" s="194">
        <v>2303</v>
      </c>
      <c r="E33" s="195"/>
      <c r="F33" s="196">
        <v>380</v>
      </c>
      <c r="G33" s="197"/>
      <c r="H33" s="196">
        <v>3641</v>
      </c>
      <c r="I33" s="197"/>
      <c r="J33" s="196">
        <v>2511</v>
      </c>
      <c r="K33" s="197"/>
      <c r="L33" s="196">
        <v>2482</v>
      </c>
      <c r="M33" s="197"/>
      <c r="N33" s="196">
        <v>3320</v>
      </c>
      <c r="O33" s="197"/>
      <c r="P33" s="104"/>
      <c r="Q33" s="104"/>
    </row>
    <row r="34" spans="1:19" x14ac:dyDescent="0.2">
      <c r="A34" s="104"/>
      <c r="B34" s="104"/>
      <c r="C34" s="122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04"/>
      <c r="P34" s="104"/>
      <c r="Q34" s="104"/>
    </row>
    <row r="35" spans="1:19" ht="12.6" thickBot="1" x14ac:dyDescent="0.3">
      <c r="A35" s="104"/>
      <c r="B35" s="104"/>
      <c r="C35" s="104"/>
      <c r="D35" s="191" t="s">
        <v>75</v>
      </c>
      <c r="E35" s="191"/>
      <c r="F35" s="191" t="s">
        <v>74</v>
      </c>
      <c r="G35" s="191"/>
      <c r="H35" s="191" t="s">
        <v>73</v>
      </c>
      <c r="I35" s="191"/>
      <c r="J35" s="191" t="s">
        <v>72</v>
      </c>
      <c r="K35" s="191"/>
      <c r="L35" s="191" t="s">
        <v>71</v>
      </c>
      <c r="M35" s="191"/>
      <c r="N35" s="191" t="s">
        <v>70</v>
      </c>
      <c r="O35" s="191"/>
      <c r="P35" s="104"/>
      <c r="Q35" s="104"/>
    </row>
    <row r="36" spans="1:19" s="139" customFormat="1" ht="10.199999999999999" x14ac:dyDescent="0.2">
      <c r="A36" s="140"/>
      <c r="B36" s="140"/>
      <c r="C36" s="140"/>
      <c r="D36" s="142">
        <v>0.22</v>
      </c>
      <c r="E36" s="141">
        <v>0.78</v>
      </c>
      <c r="F36" s="142">
        <v>0.22</v>
      </c>
      <c r="G36" s="141">
        <v>0.78</v>
      </c>
      <c r="H36" s="142">
        <v>0.22</v>
      </c>
      <c r="I36" s="141">
        <v>0.78</v>
      </c>
      <c r="J36" s="142">
        <v>0.22</v>
      </c>
      <c r="K36" s="141">
        <v>0.78</v>
      </c>
      <c r="L36" s="142">
        <v>0.22</v>
      </c>
      <c r="M36" s="141">
        <v>0.78</v>
      </c>
      <c r="N36" s="142">
        <v>0.22</v>
      </c>
      <c r="O36" s="141">
        <v>0.78</v>
      </c>
      <c r="P36" s="140"/>
      <c r="Q36" s="140"/>
    </row>
    <row r="37" spans="1:19" ht="12" thickBot="1" x14ac:dyDescent="0.25">
      <c r="C37" s="104"/>
      <c r="D37" s="138">
        <v>11001996</v>
      </c>
      <c r="E37" s="137">
        <v>11029494</v>
      </c>
      <c r="F37" s="138">
        <v>11002006</v>
      </c>
      <c r="G37" s="137">
        <v>11029482</v>
      </c>
      <c r="H37" s="138">
        <v>11002143</v>
      </c>
      <c r="I37" s="137">
        <v>11029490</v>
      </c>
      <c r="J37" s="138">
        <v>11002007</v>
      </c>
      <c r="K37" s="137">
        <v>11029485</v>
      </c>
      <c r="L37" s="138">
        <v>11002008</v>
      </c>
      <c r="M37" s="137">
        <v>11029489</v>
      </c>
      <c r="N37" s="138">
        <v>11002009</v>
      </c>
      <c r="O37" s="137">
        <v>11029484</v>
      </c>
      <c r="P37" s="104"/>
      <c r="Q37" s="104"/>
    </row>
    <row r="38" spans="1:19" ht="12.6" thickBot="1" x14ac:dyDescent="0.3">
      <c r="A38" s="192" t="s">
        <v>69</v>
      </c>
      <c r="B38" s="192"/>
      <c r="C38" s="122"/>
      <c r="D38" s="136">
        <f>D39*D36</f>
        <v>958.1</v>
      </c>
      <c r="E38" s="135">
        <f>D39*E36</f>
        <v>3396.9</v>
      </c>
      <c r="F38" s="136">
        <f>F39*F36</f>
        <v>708.4</v>
      </c>
      <c r="G38" s="135">
        <f>F39*G36</f>
        <v>2511.6</v>
      </c>
      <c r="H38" s="136">
        <f>H39*H36</f>
        <v>1100.8800000000001</v>
      </c>
      <c r="I38" s="135">
        <f>H39*I36</f>
        <v>3903.1200000000003</v>
      </c>
      <c r="J38" s="136">
        <f>J39*J36</f>
        <v>758.56000000000006</v>
      </c>
      <c r="K38" s="135">
        <f>J39*K36</f>
        <v>2689.44</v>
      </c>
      <c r="L38" s="136">
        <f>L39*L36</f>
        <v>701.36</v>
      </c>
      <c r="M38" s="135">
        <f>L39*M36</f>
        <v>2486.64</v>
      </c>
      <c r="N38" s="136">
        <f>N39*N36</f>
        <v>645.91999999999996</v>
      </c>
      <c r="O38" s="135">
        <f>N39*O36</f>
        <v>2290.08</v>
      </c>
      <c r="P38" s="104" t="s">
        <v>66</v>
      </c>
      <c r="Q38" s="104"/>
    </row>
    <row r="39" spans="1:19" ht="13.5" customHeight="1" thickBot="1" x14ac:dyDescent="0.25">
      <c r="A39" s="131" t="s">
        <v>68</v>
      </c>
      <c r="B39" s="131"/>
      <c r="C39" s="104"/>
      <c r="D39" s="193">
        <v>4355</v>
      </c>
      <c r="E39" s="185"/>
      <c r="F39" s="184">
        <v>3220</v>
      </c>
      <c r="G39" s="185"/>
      <c r="H39" s="193">
        <v>5004</v>
      </c>
      <c r="I39" s="185"/>
      <c r="J39" s="193">
        <v>3448</v>
      </c>
      <c r="K39" s="185"/>
      <c r="L39" s="193">
        <v>3188</v>
      </c>
      <c r="M39" s="185"/>
      <c r="N39" s="184">
        <v>2936</v>
      </c>
      <c r="O39" s="185"/>
      <c r="P39" s="104"/>
      <c r="Q39" s="104"/>
    </row>
    <row r="40" spans="1:19" ht="12.6" thickBot="1" x14ac:dyDescent="0.3">
      <c r="A40" s="186" t="s">
        <v>67</v>
      </c>
      <c r="B40" s="187"/>
      <c r="C40" s="122"/>
      <c r="D40" s="134">
        <f>D41*D36</f>
        <v>679.8</v>
      </c>
      <c r="E40" s="132">
        <f>D41*E36</f>
        <v>2410.2000000000003</v>
      </c>
      <c r="F40" s="134">
        <f>F41*F36</f>
        <v>464.86</v>
      </c>
      <c r="G40" s="132">
        <f>F41*G36</f>
        <v>1648.14</v>
      </c>
      <c r="H40" s="132">
        <f>H41*H36</f>
        <v>602.36</v>
      </c>
      <c r="I40" s="132">
        <f>H41*I36</f>
        <v>2135.64</v>
      </c>
      <c r="J40" s="134">
        <f>J41*J36</f>
        <v>578.38</v>
      </c>
      <c r="K40" s="132">
        <f>J41*K36</f>
        <v>2050.62</v>
      </c>
      <c r="L40" s="134">
        <f>L41*L36</f>
        <v>479.16</v>
      </c>
      <c r="M40" s="132">
        <f>L41*M36</f>
        <v>1698.8400000000001</v>
      </c>
      <c r="N40" s="133">
        <f>N41*N36</f>
        <v>515.67999999999995</v>
      </c>
      <c r="O40" s="132">
        <f>N41*O36</f>
        <v>1828.3200000000002</v>
      </c>
      <c r="P40" s="104" t="s">
        <v>66</v>
      </c>
      <c r="Q40" s="104"/>
    </row>
    <row r="41" spans="1:19" ht="12" thickBot="1" x14ac:dyDescent="0.25">
      <c r="A41" s="131" t="s">
        <v>65</v>
      </c>
      <c r="B41" s="131"/>
      <c r="C41" s="104"/>
      <c r="D41" s="188">
        <v>3090</v>
      </c>
      <c r="E41" s="189"/>
      <c r="F41" s="188">
        <v>2113</v>
      </c>
      <c r="G41" s="189"/>
      <c r="H41" s="188">
        <v>2738</v>
      </c>
      <c r="I41" s="189"/>
      <c r="J41" s="188">
        <v>2629</v>
      </c>
      <c r="K41" s="189"/>
      <c r="L41" s="188">
        <v>2178</v>
      </c>
      <c r="M41" s="189"/>
      <c r="N41" s="190">
        <v>2344</v>
      </c>
      <c r="O41" s="189"/>
      <c r="P41" s="104"/>
      <c r="Q41" s="104"/>
    </row>
    <row r="42" spans="1:19" x14ac:dyDescent="0.2">
      <c r="A42" s="104"/>
      <c r="B42" s="104"/>
      <c r="C42" s="122"/>
      <c r="D42" s="130">
        <f>$C$42*D41</f>
        <v>0</v>
      </c>
      <c r="E42" s="104"/>
      <c r="F42" s="130"/>
      <c r="G42" s="104"/>
      <c r="H42" s="130">
        <f>$C$42*H41</f>
        <v>0</v>
      </c>
      <c r="I42" s="104"/>
      <c r="J42" s="130">
        <f>$C$42*J41</f>
        <v>0</v>
      </c>
      <c r="K42" s="130"/>
      <c r="L42" s="130">
        <f>$C$42*L41</f>
        <v>0</v>
      </c>
      <c r="M42" s="130"/>
      <c r="N42" s="130">
        <f>$C$42*N41</f>
        <v>0</v>
      </c>
      <c r="O42" s="104"/>
      <c r="P42" s="104"/>
      <c r="Q42" s="104"/>
    </row>
    <row r="43" spans="1:19" ht="13.5" customHeight="1" x14ac:dyDescent="0.25">
      <c r="A43" s="104"/>
      <c r="B43" s="119"/>
      <c r="C43" s="104"/>
      <c r="D43" s="106"/>
      <c r="E43" s="106"/>
      <c r="F43" s="106"/>
      <c r="G43" s="106"/>
      <c r="H43" s="106"/>
      <c r="I43" s="106"/>
      <c r="J43" s="104"/>
      <c r="K43" s="104"/>
      <c r="L43" s="104"/>
      <c r="M43" s="104"/>
      <c r="N43" s="182" t="s">
        <v>64</v>
      </c>
      <c r="O43" s="182"/>
      <c r="P43" s="182"/>
      <c r="Q43" s="104"/>
    </row>
    <row r="44" spans="1:19" ht="12" x14ac:dyDescent="0.25">
      <c r="A44" s="104"/>
      <c r="B44" s="119"/>
      <c r="C44" s="104"/>
      <c r="D44" s="106"/>
      <c r="E44" s="106"/>
      <c r="F44" s="106"/>
      <c r="G44" s="106"/>
      <c r="H44" s="106"/>
      <c r="I44" s="106"/>
      <c r="J44" s="104"/>
      <c r="K44" s="104"/>
      <c r="L44" s="104"/>
      <c r="M44" s="104"/>
      <c r="N44" s="129">
        <v>0.22</v>
      </c>
      <c r="O44" s="129">
        <v>0.78</v>
      </c>
      <c r="P44" s="128" t="s">
        <v>38</v>
      </c>
      <c r="Q44" s="104"/>
    </row>
    <row r="45" spans="1:19" ht="12" x14ac:dyDescent="0.25">
      <c r="A45" s="104"/>
      <c r="B45" s="104"/>
      <c r="C45" s="104"/>
      <c r="D45" s="106"/>
      <c r="E45" s="106"/>
      <c r="F45" s="127"/>
      <c r="G45" s="127"/>
      <c r="H45" s="119"/>
      <c r="I45" s="119"/>
      <c r="J45" s="104"/>
      <c r="K45" s="126">
        <f>P46/P45</f>
        <v>0.59990717572039709</v>
      </c>
      <c r="L45" s="125" t="s">
        <v>63</v>
      </c>
      <c r="M45" s="124" t="s">
        <v>59</v>
      </c>
      <c r="N45" s="116">
        <f>N38+L38+J38+H38+F38+D38+D30+F30+H30+J30+L30+N30</f>
        <v>10902.32</v>
      </c>
      <c r="O45" s="123">
        <f>O38+M38+K38+I38+G38+E38+E30+G30+I30+K30+M30+O30</f>
        <v>38653.68</v>
      </c>
      <c r="P45" s="116">
        <f>N45+O45</f>
        <v>49556</v>
      </c>
      <c r="Q45" s="122"/>
      <c r="R45" s="121"/>
      <c r="S45" s="120"/>
    </row>
    <row r="46" spans="1:19" ht="12" x14ac:dyDescent="0.25">
      <c r="A46" s="119" t="s">
        <v>62</v>
      </c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18"/>
      <c r="M46" s="117" t="s">
        <v>58</v>
      </c>
      <c r="N46" s="116">
        <f>N40+L40+J40+H40+F40+D40+D32+F32+H32+J32+L32+N32</f>
        <v>6540.3799999999992</v>
      </c>
      <c r="O46" s="116">
        <f>O40+M40+K40+I40+G40+E40+E32+G32+I32+K32+M32+O32</f>
        <v>23188.62</v>
      </c>
      <c r="P46" s="116">
        <f>N46+O46</f>
        <v>29729</v>
      </c>
      <c r="Q46" s="104"/>
    </row>
    <row r="47" spans="1:19" ht="12" thickBot="1" x14ac:dyDescent="0.25">
      <c r="A47" s="115" t="s">
        <v>61</v>
      </c>
      <c r="B47" s="115"/>
      <c r="C47" s="115"/>
      <c r="D47" s="114">
        <v>951</v>
      </c>
    </row>
    <row r="48" spans="1:19" x14ac:dyDescent="0.2">
      <c r="M48" s="113"/>
      <c r="N48" s="112" t="s">
        <v>60</v>
      </c>
    </row>
    <row r="49" spans="6:17" ht="12" x14ac:dyDescent="0.25">
      <c r="F49" s="104"/>
      <c r="G49" s="104"/>
      <c r="H49" s="104"/>
      <c r="I49" s="104"/>
      <c r="J49" s="104"/>
      <c r="K49" s="104"/>
      <c r="L49" s="104"/>
      <c r="M49" s="111" t="s">
        <v>59</v>
      </c>
      <c r="N49" s="110">
        <f>P45+J21</f>
        <v>102006</v>
      </c>
      <c r="O49" s="109"/>
      <c r="P49" s="104"/>
      <c r="Q49" s="104"/>
    </row>
    <row r="50" spans="6:17" ht="12" thickBot="1" x14ac:dyDescent="0.25">
      <c r="F50" s="104"/>
      <c r="G50" s="104"/>
      <c r="H50" s="104"/>
      <c r="I50" s="104"/>
      <c r="J50" s="106"/>
      <c r="K50" s="106"/>
      <c r="L50" s="106"/>
      <c r="M50" s="108" t="s">
        <v>58</v>
      </c>
      <c r="N50" s="107">
        <f>J23+P46+D47</f>
        <v>69572</v>
      </c>
      <c r="O50" s="106"/>
      <c r="P50" s="104"/>
      <c r="Q50" s="104"/>
    </row>
    <row r="51" spans="6:17" x14ac:dyDescent="0.2">
      <c r="F51" s="104"/>
      <c r="G51" s="104"/>
      <c r="H51" s="104"/>
      <c r="I51" s="104"/>
      <c r="J51" s="106"/>
      <c r="K51" s="106"/>
      <c r="L51" s="106"/>
      <c r="M51" s="106"/>
      <c r="N51" s="104"/>
      <c r="O51" s="106"/>
      <c r="P51" s="104"/>
      <c r="Q51" s="104"/>
    </row>
  </sheetData>
  <sheetProtection formatCells="0"/>
  <protectedRanges>
    <protectedRange sqref="A13:L13" name="Range8"/>
    <protectedRange sqref="D41:O41" name="Range6"/>
    <protectedRange sqref="D39:O39" name="Range5"/>
    <protectedRange sqref="D33:O33" name="Range4"/>
    <protectedRange sqref="D31:O31" name="Range3"/>
    <protectedRange sqref="D23:I23" name="Range2"/>
    <protectedRange sqref="D21:I21" name="Range1"/>
    <protectedRange sqref="D47" name="Range7"/>
  </protectedRanges>
  <mergeCells count="48">
    <mergeCell ref="N43:P43"/>
    <mergeCell ref="N39:O39"/>
    <mergeCell ref="A40:B40"/>
    <mergeCell ref="D41:E41"/>
    <mergeCell ref="F41:G41"/>
    <mergeCell ref="H41:I41"/>
    <mergeCell ref="J41:K41"/>
    <mergeCell ref="L41:M41"/>
    <mergeCell ref="N41:O41"/>
    <mergeCell ref="N35:O35"/>
    <mergeCell ref="A38:B38"/>
    <mergeCell ref="D39:E39"/>
    <mergeCell ref="F39:G39"/>
    <mergeCell ref="H39:I39"/>
    <mergeCell ref="J39:K39"/>
    <mergeCell ref="L39:M39"/>
    <mergeCell ref="D35:E35"/>
    <mergeCell ref="F35:G35"/>
    <mergeCell ref="H35:I35"/>
    <mergeCell ref="J35:K35"/>
    <mergeCell ref="L35:M35"/>
    <mergeCell ref="L31:M31"/>
    <mergeCell ref="N31:O31"/>
    <mergeCell ref="A32:B32"/>
    <mergeCell ref="D33:E33"/>
    <mergeCell ref="F33:G33"/>
    <mergeCell ref="H33:I33"/>
    <mergeCell ref="J33:K33"/>
    <mergeCell ref="L33:M33"/>
    <mergeCell ref="N33:O33"/>
    <mergeCell ref="A30:B30"/>
    <mergeCell ref="D31:E31"/>
    <mergeCell ref="F31:G31"/>
    <mergeCell ref="H31:I31"/>
    <mergeCell ref="J31:K31"/>
    <mergeCell ref="A22:B22"/>
    <mergeCell ref="A26:O26"/>
    <mergeCell ref="D27:E27"/>
    <mergeCell ref="F27:G27"/>
    <mergeCell ref="H27:I27"/>
    <mergeCell ref="J27:K27"/>
    <mergeCell ref="L27:M27"/>
    <mergeCell ref="N27:O27"/>
    <mergeCell ref="A11:L11"/>
    <mergeCell ref="A12:L12"/>
    <mergeCell ref="A13:L13"/>
    <mergeCell ref="A17:O17"/>
    <mergeCell ref="A20:B20"/>
  </mergeCells>
  <pageMargins left="1" right="1" top="1" bottom="1" header="0.5" footer="0.5"/>
  <pageSetup scale="72" orientation="landscape" r:id="rId1"/>
  <headerFooter>
    <oddHeader>&amp;RSchedule V-K-9.2
Page &amp;P of &amp;N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0 xmlns="865981c9-0d5d-4731-8f98-e0df777efe6c" xsi:nil="true"/>
    <_dlc_DocId xmlns="4777317f-02d7-486c-a6c4-d83800b952bb">FSKP5SM2V632-709847244-1824</_dlc_DocId>
    <_dlc_DocIdUrl xmlns="4777317f-02d7-486c-a6c4-d83800b952bb">
      <Url>http://teams.cnptoday.com/finance/project/RegWorkpapers/_layouts/DocIdRedir.aspx?ID=FSKP5SM2V632-709847244-1824</Url>
      <Description>FSKP5SM2V632-709847244-1824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1F1F937D8234E8AAFD253DF1DE478" ma:contentTypeVersion="1" ma:contentTypeDescription="Create a new document." ma:contentTypeScope="" ma:versionID="475371fe300d5338bd77092e05e2fa86">
  <xsd:schema xmlns:xsd="http://www.w3.org/2001/XMLSchema" xmlns:xs="http://www.w3.org/2001/XMLSchema" xmlns:p="http://schemas.microsoft.com/office/2006/metadata/properties" xmlns:ns2="865981c9-0d5d-4731-8f98-e0df777efe6c" xmlns:ns3="4777317f-02d7-486c-a6c4-d83800b952bb" targetNamespace="http://schemas.microsoft.com/office/2006/metadata/properties" ma:root="true" ma:fieldsID="d7bb87087538744a72a08a0e9ec75f34" ns2:_="" ns3:_="">
    <xsd:import namespace="865981c9-0d5d-4731-8f98-e0df777efe6c"/>
    <xsd:import namespace="4777317f-02d7-486c-a6c4-d83800b952bb"/>
    <xsd:element name="properties">
      <xsd:complexType>
        <xsd:sequence>
          <xsd:element name="documentManagement">
            <xsd:complexType>
              <xsd:all>
                <xsd:element ref="ns2:Notes0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5981c9-0d5d-4731-8f98-e0df777efe6c" elementFormDefault="qualified">
    <xsd:import namespace="http://schemas.microsoft.com/office/2006/documentManagement/types"/>
    <xsd:import namespace="http://schemas.microsoft.com/office/infopath/2007/PartnerControls"/>
    <xsd:element name="Notes0" ma:index="8" nillable="true" ma:displayName="Notes" ma:internalName="Notes0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7317f-02d7-486c-a6c4-d83800b952bb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8682AA-C5EB-465A-BCDE-08892796623E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1F6E0B03-2C8E-42D2-AF73-FEBC53F4EC5D}">
  <ds:schemaRefs>
    <ds:schemaRef ds:uri="http://purl.org/dc/terms/"/>
    <ds:schemaRef ds:uri="http://schemas.microsoft.com/office/2006/documentManagement/types"/>
    <ds:schemaRef ds:uri="4777317f-02d7-486c-a6c4-d83800b952bb"/>
    <ds:schemaRef ds:uri="http://purl.org/dc/elements/1.1/"/>
    <ds:schemaRef ds:uri="http://schemas.microsoft.com/office/2006/metadata/properties"/>
    <ds:schemaRef ds:uri="865981c9-0d5d-4731-8f98-e0df777efe6c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20132A9-1E41-499B-82E4-C740F30A18E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0B62AB1-0956-4617-B22C-969A239498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5981c9-0d5d-4731-8f98-e0df777efe6c"/>
    <ds:schemaRef ds:uri="4777317f-02d7-486c-a6c4-d83800b952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2018 Customer Count</vt:lpstr>
      <vt:lpstr>2018 Broadband Units</vt:lpstr>
      <vt:lpstr>1.18 Ticket Counts</vt:lpstr>
      <vt:lpstr>2.18 Ticket Counts</vt:lpstr>
      <vt:lpstr>3.18 Ticket Counts</vt:lpstr>
      <vt:lpstr>4.18 Ticket Counts</vt:lpstr>
      <vt:lpstr>5.18 Ticket Counts</vt:lpstr>
      <vt:lpstr>6.18 Ticket Counts</vt:lpstr>
      <vt:lpstr>7.18Ticket Counts</vt:lpstr>
      <vt:lpstr>8.18 Ticket Counts</vt:lpstr>
      <vt:lpstr>9.18 Ticket Counts</vt:lpstr>
      <vt:lpstr>10.18 Ticket Counts</vt:lpstr>
      <vt:lpstr>11.18 Ticket Counts</vt:lpstr>
      <vt:lpstr>12.18 Ticket Counts</vt:lpstr>
      <vt:lpstr>'2018 Broadband Units'!Print_Titles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Hill, Kerale P</dc:creator>
  <cp:lastModifiedBy>Murphree, Stacey E</cp:lastModifiedBy>
  <cp:lastPrinted>2019-03-21T20:06:07Z</cp:lastPrinted>
  <dcterms:created xsi:type="dcterms:W3CDTF">2018-12-13T16:20:19Z</dcterms:created>
  <dcterms:modified xsi:type="dcterms:W3CDTF">2019-03-21T20:10:26Z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Entex 2018 Allocation SKFs (002).xlsx</vt:lpwstr>
  </property>
  <property fmtid="{D5CDD505-2E9C-101B-9397-08002B2CF9AE}" pid="3" name="ContentTypeId">
    <vt:lpwstr>0x0101007EA1F1F937D8234E8AAFD253DF1DE478</vt:lpwstr>
  </property>
  <property fmtid="{D5CDD505-2E9C-101B-9397-08002B2CF9AE}" pid="4" name="_dlc_DocIdItemGuid">
    <vt:lpwstr>9f55869d-00d6-4e85-8fb7-78fd69dbd8a9</vt:lpwstr>
  </property>
</Properties>
</file>