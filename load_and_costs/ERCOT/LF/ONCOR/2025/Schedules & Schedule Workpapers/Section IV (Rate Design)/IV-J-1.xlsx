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chedules &amp; Schedule Workpapers\Section IV (Rate Design)\"/>
    </mc:Choice>
  </mc:AlternateContent>
  <xr:revisionPtr revIDLastSave="0" documentId="13_ncr:1_{59CDC966-8ECC-4DBD-BBBA-BAB714EAB0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venue Summary" sheetId="1" r:id="rId1"/>
  </sheets>
  <externalReferences>
    <externalReference r:id="rId2"/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8" i="1" l="1"/>
  <c r="K28" i="1"/>
  <c r="J28" i="1"/>
  <c r="I28" i="1"/>
  <c r="H28" i="1"/>
  <c r="G28" i="1"/>
  <c r="F28" i="1"/>
  <c r="O21" i="1"/>
  <c r="N21" i="1"/>
  <c r="M21" i="1"/>
  <c r="L21" i="1"/>
  <c r="K21" i="1"/>
  <c r="J21" i="1"/>
  <c r="I21" i="1"/>
  <c r="H21" i="1"/>
  <c r="G21" i="1"/>
  <c r="F21" i="1"/>
  <c r="O19" i="1"/>
  <c r="N19" i="1"/>
  <c r="M19" i="1"/>
  <c r="L19" i="1"/>
  <c r="K19" i="1"/>
  <c r="J19" i="1"/>
  <c r="I19" i="1"/>
  <c r="H19" i="1"/>
  <c r="G19" i="1"/>
  <c r="F19" i="1"/>
  <c r="O17" i="1"/>
  <c r="N17" i="1"/>
  <c r="M17" i="1"/>
  <c r="L17" i="1"/>
  <c r="K17" i="1"/>
  <c r="J17" i="1"/>
  <c r="I17" i="1"/>
  <c r="H17" i="1"/>
  <c r="G17" i="1"/>
  <c r="F17" i="1"/>
  <c r="C15" i="1"/>
  <c r="M39" i="1"/>
  <c r="L39" i="1"/>
  <c r="K39" i="1"/>
  <c r="J39" i="1"/>
  <c r="I39" i="1"/>
  <c r="H39" i="1"/>
  <c r="G39" i="1"/>
  <c r="F39" i="1"/>
  <c r="M32" i="1"/>
  <c r="L32" i="1"/>
  <c r="K32" i="1"/>
  <c r="J32" i="1"/>
  <c r="I32" i="1"/>
  <c r="H32" i="1"/>
  <c r="G32" i="1"/>
  <c r="F32" i="1"/>
  <c r="O29" i="1"/>
  <c r="N29" i="1"/>
  <c r="M29" i="1"/>
  <c r="L29" i="1"/>
  <c r="K29" i="1"/>
  <c r="J29" i="1"/>
  <c r="I29" i="1"/>
  <c r="H29" i="1"/>
  <c r="G29" i="1"/>
  <c r="F29" i="1"/>
  <c r="M28" i="1"/>
  <c r="C39" i="1" l="1"/>
  <c r="E39" i="1"/>
  <c r="E32" i="1"/>
  <c r="A16" i="1"/>
  <c r="A17" i="1" s="1"/>
  <c r="A18" i="1" s="1"/>
  <c r="A19" i="1" s="1"/>
  <c r="A20" i="1" s="1"/>
  <c r="A21" i="1" s="1"/>
  <c r="C32" i="1" l="1"/>
  <c r="A22" i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H34" i="1" l="1"/>
  <c r="K34" i="1"/>
  <c r="E28" i="1"/>
  <c r="C28" i="1" l="1"/>
  <c r="J34" i="1"/>
  <c r="L34" i="1"/>
  <c r="M34" i="1"/>
  <c r="I34" i="1"/>
  <c r="N34" i="1"/>
  <c r="G34" i="1"/>
  <c r="O34" i="1"/>
  <c r="F34" i="1" l="1"/>
  <c r="E29" i="1" l="1"/>
  <c r="E34" i="1" s="1"/>
  <c r="C29" i="1"/>
  <c r="C34" i="1" s="1"/>
  <c r="M23" i="1"/>
  <c r="M25" i="1" s="1"/>
  <c r="M36" i="1" s="1"/>
  <c r="M41" i="1" s="1"/>
  <c r="C19" i="1"/>
  <c r="E21" i="1"/>
  <c r="K23" i="1"/>
  <c r="K25" i="1" s="1"/>
  <c r="K36" i="1" s="1"/>
  <c r="K41" i="1" s="1"/>
  <c r="F23" i="1"/>
  <c r="E17" i="1"/>
  <c r="C17" i="1"/>
  <c r="H23" i="1"/>
  <c r="H25" i="1" s="1"/>
  <c r="H36" i="1" s="1"/>
  <c r="H41" i="1" s="1"/>
  <c r="G23" i="1"/>
  <c r="G25" i="1" s="1"/>
  <c r="G36" i="1" s="1"/>
  <c r="G41" i="1" s="1"/>
  <c r="I23" i="1"/>
  <c r="I25" i="1" s="1"/>
  <c r="I36" i="1" s="1"/>
  <c r="I41" i="1" s="1"/>
  <c r="C21" i="1"/>
  <c r="O23" i="1"/>
  <c r="O25" i="1"/>
  <c r="O36" i="1"/>
  <c r="O41" i="1" s="1"/>
  <c r="E19" i="1"/>
  <c r="L23" i="1"/>
  <c r="L25" i="1" s="1"/>
  <c r="L36" i="1" s="1"/>
  <c r="L41" i="1" s="1"/>
  <c r="N23" i="1"/>
  <c r="N25" i="1" s="1"/>
  <c r="N36" i="1" s="1"/>
  <c r="N41" i="1" s="1"/>
  <c r="J23" i="1"/>
  <c r="J25" i="1"/>
  <c r="J36" i="1" s="1"/>
  <c r="J41" i="1" s="1"/>
  <c r="E23" i="1" l="1"/>
  <c r="E25" i="1" s="1"/>
  <c r="C23" i="1"/>
  <c r="C25" i="1" s="1"/>
  <c r="C36" i="1" s="1"/>
  <c r="C41" i="1" s="1"/>
  <c r="F25" i="1"/>
  <c r="F36" i="1" s="1"/>
  <c r="E36" i="1" l="1"/>
  <c r="E41" i="1" s="1"/>
  <c r="F41" i="1"/>
</calcChain>
</file>

<file path=xl/sharedStrings.xml><?xml version="1.0" encoding="utf-8"?>
<sst xmlns="http://schemas.openxmlformats.org/spreadsheetml/2006/main" count="63" uniqueCount="44">
  <si>
    <t>Test Year</t>
  </si>
  <si>
    <t>Line</t>
  </si>
  <si>
    <t>Description</t>
  </si>
  <si>
    <t>Revenue</t>
  </si>
  <si>
    <t>Residential</t>
  </si>
  <si>
    <t>Secondary</t>
  </si>
  <si>
    <t>Primary</t>
  </si>
  <si>
    <t>Transmission</t>
  </si>
  <si>
    <t>Lighting</t>
  </si>
  <si>
    <t>No.</t>
  </si>
  <si>
    <t>Requirement</t>
  </si>
  <si>
    <t>&gt; 10 kW</t>
  </si>
  <si>
    <t>Substation</t>
  </si>
  <si>
    <t>≤ 10 kW</t>
  </si>
  <si>
    <t>Transmission (TRAN)</t>
  </si>
  <si>
    <t>N/A</t>
  </si>
  <si>
    <t>Metering (MET)</t>
  </si>
  <si>
    <t>Customer (TBILL + TDCS)</t>
  </si>
  <si>
    <t>Schedule IV-J-1</t>
  </si>
  <si>
    <t>Page 1 of 1</t>
  </si>
  <si>
    <t>Wholesale</t>
  </si>
  <si>
    <t>ONCOR ELECTRIC DELIVERY COMPANY LLC</t>
  </si>
  <si>
    <t>Non-Revenue Charges in This Docket</t>
  </si>
  <si>
    <t>XFMR</t>
  </si>
  <si>
    <t>DLS</t>
  </si>
  <si>
    <t>2025 RATE CASE</t>
  </si>
  <si>
    <t>FOR THE TEST YEAR ENDING DECEMBER 31, 2024</t>
  </si>
  <si>
    <r>
      <t>Energy Efficiency Cost Recovery Factor (EECRF)</t>
    </r>
    <r>
      <rPr>
        <vertAlign val="superscript"/>
        <sz val="10"/>
        <rFont val="Arial"/>
        <family val="2"/>
      </rPr>
      <t>1</t>
    </r>
  </si>
  <si>
    <t>Revenue Charges Approved in Other Dockets</t>
  </si>
  <si>
    <r>
      <t>Distribution (DIST)</t>
    </r>
    <r>
      <rPr>
        <sz val="10"/>
        <rFont val="Arial"/>
        <family val="2"/>
      </rPr>
      <t xml:space="preserve"> (excluding Acct 565)</t>
    </r>
  </si>
  <si>
    <t xml:space="preserve">DIST + MET + CUST </t>
  </si>
  <si>
    <t>Rate Case Expense (Rider RCE)</t>
  </si>
  <si>
    <t>(TOTAL)</t>
  </si>
  <si>
    <t>(RETAIL)</t>
  </si>
  <si>
    <t>Nuclear Decommissioning Charge (Rider NDC)</t>
  </si>
  <si>
    <t>Transmission Cost Recovery Factor (TCRF)</t>
  </si>
  <si>
    <t>EECRF revenue requirement reflected in this schedule represents the approved annual revenue requirements by class in Dockets 56682.</t>
  </si>
  <si>
    <t>Other Revenue Charges in This Docket</t>
  </si>
  <si>
    <t xml:space="preserve">Subtotal - Other Revenue </t>
  </si>
  <si>
    <t>Total Pertaining to This Rate Case   (1+9)</t>
  </si>
  <si>
    <t>Total Revenue Charges     (11+20)</t>
  </si>
  <si>
    <t>Total     (22+25)</t>
  </si>
  <si>
    <t>SCHEDULE IV-J-1 REVENUE SUMMARY</t>
  </si>
  <si>
    <t>SPONSOR:  M. A. TROXLE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</si>
</sst>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vertAlign val="superscript"/>
      <sz val="10"/>
      <name val="Arial"/>
      <family val="2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</cellStyleXfs>
  <cellXfs count="63">
    <xf numFmtId="0" fontId="0" fillId="0" borderId="0" xfId="0"/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4" xfId="0" applyFont="1" applyBorder="1"/>
    <xf numFmtId="0" fontId="4" fillId="0" borderId="0" xfId="0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4" fillId="0" borderId="0" xfId="0" applyFont="1" applyFill="1" applyBorder="1"/>
    <xf numFmtId="0" fontId="2" fillId="0" borderId="0" xfId="0" applyFont="1" applyFill="1" applyBorder="1"/>
    <xf numFmtId="164" fontId="2" fillId="0" borderId="0" xfId="1" applyNumberFormat="1" applyFont="1" applyFill="1" applyBorder="1"/>
    <xf numFmtId="164" fontId="2" fillId="0" borderId="5" xfId="1" applyNumberFormat="1" applyFont="1" applyFill="1" applyBorder="1"/>
    <xf numFmtId="164" fontId="2" fillId="0" borderId="0" xfId="1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indent="1"/>
    </xf>
    <xf numFmtId="0" fontId="0" fillId="0" borderId="0" xfId="0" applyBorder="1"/>
    <xf numFmtId="0" fontId="0" fillId="0" borderId="5" xfId="0" applyBorder="1"/>
    <xf numFmtId="0" fontId="0" fillId="0" borderId="0" xfId="0" applyAlignment="1">
      <alignment horizontal="centerContinuous"/>
    </xf>
    <xf numFmtId="164" fontId="2" fillId="0" borderId="0" xfId="1" quotePrefix="1" applyNumberFormat="1" applyFont="1" applyFill="1" applyBorder="1" applyAlignment="1">
      <alignment horizontal="left"/>
    </xf>
    <xf numFmtId="164" fontId="0" fillId="0" borderId="0" xfId="0" applyNumberFormat="1"/>
    <xf numFmtId="164" fontId="2" fillId="0" borderId="0" xfId="0" applyNumberFormat="1" applyFont="1" applyFill="1" applyBorder="1" applyAlignment="1">
      <alignment horizontal="left"/>
    </xf>
    <xf numFmtId="0" fontId="0" fillId="0" borderId="3" xfId="0" applyBorder="1"/>
    <xf numFmtId="0" fontId="2" fillId="0" borderId="3" xfId="0" applyFont="1" applyFill="1" applyBorder="1" applyAlignment="1">
      <alignment horizontal="center"/>
    </xf>
    <xf numFmtId="0" fontId="5" fillId="0" borderId="0" xfId="0" applyFont="1" applyBorder="1"/>
    <xf numFmtId="164" fontId="6" fillId="0" borderId="5" xfId="1" applyNumberFormat="1" applyFont="1" applyBorder="1"/>
    <xf numFmtId="0" fontId="7" fillId="0" borderId="5" xfId="0" applyFont="1" applyBorder="1"/>
    <xf numFmtId="164" fontId="2" fillId="2" borderId="0" xfId="1" applyNumberFormat="1" applyFont="1" applyFill="1" applyBorder="1"/>
    <xf numFmtId="0" fontId="9" fillId="0" borderId="0" xfId="0" applyFont="1" applyBorder="1"/>
    <xf numFmtId="164" fontId="2" fillId="2" borderId="0" xfId="1" applyNumberFormat="1" applyFont="1" applyFill="1" applyBorder="1" applyAlignment="1">
      <alignment horizontal="right"/>
    </xf>
    <xf numFmtId="164" fontId="2" fillId="2" borderId="5" xfId="1" applyNumberFormat="1" applyFont="1" applyFill="1" applyBorder="1" applyAlignment="1">
      <alignment horizontal="right"/>
    </xf>
    <xf numFmtId="164" fontId="2" fillId="2" borderId="10" xfId="1" applyNumberFormat="1" applyFont="1" applyFill="1" applyBorder="1"/>
    <xf numFmtId="164" fontId="0" fillId="0" borderId="10" xfId="0" applyNumberFormat="1" applyBorder="1" applyAlignment="1">
      <alignment horizontal="right"/>
    </xf>
    <xf numFmtId="164" fontId="2" fillId="0" borderId="10" xfId="1" applyNumberFormat="1" applyFont="1" applyFill="1" applyBorder="1" applyAlignment="1">
      <alignment horizontal="left"/>
    </xf>
    <xf numFmtId="0" fontId="2" fillId="0" borderId="10" xfId="0" applyFont="1" applyFill="1" applyBorder="1" applyAlignment="1">
      <alignment horizontal="left"/>
    </xf>
    <xf numFmtId="164" fontId="2" fillId="0" borderId="10" xfId="1" applyNumberFormat="1" applyFont="1" applyFill="1" applyBorder="1"/>
    <xf numFmtId="164" fontId="2" fillId="0" borderId="11" xfId="1" applyNumberFormat="1" applyFont="1" applyFill="1" applyBorder="1"/>
    <xf numFmtId="164" fontId="2" fillId="0" borderId="0" xfId="0" quotePrefix="1" applyNumberFormat="1" applyFont="1" applyFill="1" applyBorder="1" applyAlignment="1">
      <alignment horizontal="left"/>
    </xf>
    <xf numFmtId="164" fontId="2" fillId="0" borderId="10" xfId="0" quotePrefix="1" applyNumberFormat="1" applyFont="1" applyFill="1" applyBorder="1" applyAlignment="1">
      <alignment horizontal="left"/>
    </xf>
    <xf numFmtId="0" fontId="2" fillId="0" borderId="10" xfId="0" quotePrefix="1" applyFont="1" applyFill="1" applyBorder="1" applyAlignment="1">
      <alignment horizontal="left"/>
    </xf>
    <xf numFmtId="164" fontId="0" fillId="2" borderId="0" xfId="0" applyNumberFormat="1" applyFill="1"/>
    <xf numFmtId="164" fontId="0" fillId="0" borderId="11" xfId="0" applyNumberFormat="1" applyBorder="1" applyAlignment="1">
      <alignment horizontal="right"/>
    </xf>
    <xf numFmtId="164" fontId="0" fillId="0" borderId="5" xfId="0" applyNumberFormat="1" applyBorder="1"/>
    <xf numFmtId="0" fontId="0" fillId="0" borderId="7" xfId="0" applyBorder="1"/>
    <xf numFmtId="0" fontId="0" fillId="0" borderId="6" xfId="0" applyBorder="1"/>
    <xf numFmtId="164" fontId="6" fillId="2" borderId="5" xfId="1" applyNumberFormat="1" applyFont="1" applyFill="1" applyBorder="1"/>
    <xf numFmtId="0" fontId="0" fillId="0" borderId="12" xfId="0" applyBorder="1"/>
    <xf numFmtId="164" fontId="2" fillId="2" borderId="0" xfId="0" quotePrefix="1" applyNumberFormat="1" applyFont="1" applyFill="1" applyBorder="1" applyAlignment="1">
      <alignment horizontal="left"/>
    </xf>
    <xf numFmtId="0" fontId="2" fillId="2" borderId="0" xfId="0" quotePrefix="1" applyFont="1" applyFill="1" applyBorder="1" applyAlignment="1">
      <alignment horizontal="left"/>
    </xf>
    <xf numFmtId="164" fontId="0" fillId="2" borderId="0" xfId="0" applyNumberFormat="1" applyFill="1" applyBorder="1" applyAlignment="1">
      <alignment horizontal="right"/>
    </xf>
    <xf numFmtId="164" fontId="0" fillId="2" borderId="5" xfId="0" applyNumberFormat="1" applyFill="1" applyBorder="1" applyAlignment="1">
      <alignment horizontal="right"/>
    </xf>
    <xf numFmtId="0" fontId="10" fillId="0" borderId="0" xfId="0" applyFont="1" applyAlignment="1">
      <alignment horizontal="centerContinuous"/>
    </xf>
    <xf numFmtId="0" fontId="2" fillId="2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quotePrefix="1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quotePrefix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2" borderId="7" xfId="0" quotePrefix="1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6" xfId="0" applyFont="1" applyFill="1" applyBorder="1"/>
  </cellXfs>
  <cellStyles count="8">
    <cellStyle name="Comma" xfId="1" builtinId="3"/>
    <cellStyle name="Comma 2" xfId="3" xr:uid="{6F025E3B-EFA4-421F-826E-62966D2AD1C7}"/>
    <cellStyle name="Currency 2" xfId="4" xr:uid="{86B68C82-176F-4DE2-ACB2-0924F17B6F86}"/>
    <cellStyle name="Normal" xfId="0" builtinId="0"/>
    <cellStyle name="Normal 2" xfId="6" xr:uid="{FC532EE1-0BDA-421D-B6F6-05B522745BA7}"/>
    <cellStyle name="Normal 3" xfId="7" xr:uid="{4E42EAFF-078E-48E4-AE2E-3EDFCE68A74A}"/>
    <cellStyle name="Normal 4" xfId="2" xr:uid="{4FFADF28-8C17-4F36-A499-E524AAA30D2D}"/>
    <cellStyle name="Percent 2" xfId="5" xr:uid="{DB75C04F-1E17-4CA9-96BC-2D118B4CFF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V-J-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chedules%20&amp;%20Schedule%20Workpapers/Section%20II%20(Test%20Year%20Data)/Schedule%20H%20(Historic%20Billing%20Determinants)/II-H-4_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chedules%20&amp;%20Schedule%20Workpapers/Section%20II%20(Test%20Year%20Data)/Schedule%20I%20(Class%20Allocation)/II-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 Summary"/>
      <sheetName val="RATE DESIGN SUMMARY"/>
      <sheetName val="RATE DESIGN SUMMARY (2)"/>
      <sheetName val="RESIDENTIAL"/>
      <sheetName val="SECONDARY-SMALL"/>
      <sheetName val="SECONDARY-LARGE"/>
      <sheetName val="PRIMARY-SMALL"/>
      <sheetName val="PRIMARY-LARGE-DLS"/>
      <sheetName val="PRIMARY-LARGE-SUB"/>
      <sheetName val="TRANSMISSION"/>
      <sheetName val="LIGHTING"/>
      <sheetName val="WHOLESALE-SUB"/>
      <sheetName val="WHOLESALE-DLS"/>
      <sheetName val="WHOLESALE-NTU"/>
      <sheetName val="EGY EFF"/>
      <sheetName val="EECRF"/>
      <sheetName val="TCRF"/>
      <sheetName val="NDC_kW"/>
      <sheetName val="ALLOWANCE"/>
      <sheetName val="RCE"/>
      <sheetName val="DCRF"/>
      <sheetName val="DCRF Baseline"/>
      <sheetName val="Summary"/>
      <sheetName val="IV-J-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2">
          <cell r="G12">
            <v>53393779</v>
          </cell>
        </row>
        <row r="13">
          <cell r="G13">
            <v>-341175</v>
          </cell>
        </row>
        <row r="14">
          <cell r="G14">
            <v>10646107</v>
          </cell>
        </row>
        <row r="15">
          <cell r="G15">
            <v>-629</v>
          </cell>
        </row>
        <row r="16">
          <cell r="G16">
            <v>8392629</v>
          </cell>
        </row>
        <row r="17">
          <cell r="G17">
            <v>73237</v>
          </cell>
        </row>
        <row r="18">
          <cell r="G18">
            <v>-134274</v>
          </cell>
        </row>
        <row r="20">
          <cell r="G20">
            <v>0</v>
          </cell>
        </row>
      </sheetData>
      <sheetData sheetId="16"/>
      <sheetData sheetId="17">
        <row r="20">
          <cell r="C20">
            <v>8378851</v>
          </cell>
        </row>
        <row r="21">
          <cell r="C21">
            <v>174689</v>
          </cell>
        </row>
        <row r="22">
          <cell r="C22">
            <v>5794567</v>
          </cell>
        </row>
        <row r="23">
          <cell r="C23">
            <v>2765</v>
          </cell>
        </row>
        <row r="24">
          <cell r="C24">
            <v>1885450</v>
          </cell>
        </row>
        <row r="25">
          <cell r="C25">
            <v>825802</v>
          </cell>
        </row>
        <row r="26">
          <cell r="C26">
            <v>2965274</v>
          </cell>
        </row>
        <row r="27">
          <cell r="C27">
            <v>49769</v>
          </cell>
        </row>
      </sheetData>
      <sheetData sheetId="18"/>
      <sheetData sheetId="19">
        <row r="20">
          <cell r="F20">
            <v>7081317.3012119988</v>
          </cell>
        </row>
        <row r="21">
          <cell r="F21">
            <v>239986.10750399999</v>
          </cell>
        </row>
        <row r="22">
          <cell r="F22">
            <v>4814983.1826359993</v>
          </cell>
        </row>
        <row r="23">
          <cell r="F23">
            <v>11155.559975999999</v>
          </cell>
        </row>
        <row r="24">
          <cell r="F24">
            <v>1059721.570512</v>
          </cell>
        </row>
        <row r="25">
          <cell r="F25">
            <v>202371.48459000001</v>
          </cell>
        </row>
        <row r="26">
          <cell r="F26">
            <v>484049.37398400001</v>
          </cell>
        </row>
        <row r="27">
          <cell r="F27">
            <v>237098.11989599999</v>
          </cell>
        </row>
        <row r="28">
          <cell r="F28">
            <v>4728.3718680000002</v>
          </cell>
        </row>
        <row r="29">
          <cell r="F29">
            <v>21362.614217999999</v>
          </cell>
        </row>
      </sheetData>
      <sheetData sheetId="20"/>
      <sheetData sheetId="21"/>
      <sheetData sheetId="22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1"/>
      <sheetName val="Page 2"/>
      <sheetName val="Page 3"/>
      <sheetName val="Page 4"/>
      <sheetName val="Page 5"/>
      <sheetName val="Page 6"/>
      <sheetName val="Page 7"/>
      <sheetName val="Page 8"/>
      <sheetName val="Page 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5">
          <cell r="N35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Sheet"/>
      <sheetName val="WP II-I-1.1"/>
      <sheetName val=" WP II-I-1.4"/>
      <sheetName val="II-I-DIST"/>
      <sheetName val="II-I-MET"/>
      <sheetName val="II-I-TBILLTDCS"/>
      <sheetName val="II-I-Total"/>
      <sheetName val="II-I-2.1f"/>
      <sheetName val="WP II-I-2.1"/>
      <sheetName val="II-I Summary"/>
      <sheetName val="WP II-I-1.6"/>
      <sheetName val="WP II-I-1.9 "/>
      <sheetName val="WP II-I-1.2"/>
      <sheetName val="WP II-I-1.7"/>
      <sheetName val="II-I-1"/>
      <sheetName val="WP II-I-2.2"/>
      <sheetName val="II-I-3.1"/>
    </sheetNames>
    <sheetDataSet>
      <sheetData sheetId="0">
        <row r="8">
          <cell r="G8">
            <v>1808863015.7172115</v>
          </cell>
          <cell r="H8">
            <v>51193085.431880623</v>
          </cell>
          <cell r="I8">
            <v>1207580120.741354</v>
          </cell>
          <cell r="J8">
            <v>533883.97708080732</v>
          </cell>
          <cell r="K8">
            <v>235145734.55356389</v>
          </cell>
          <cell r="L8">
            <v>26160818.439228907</v>
          </cell>
          <cell r="M8">
            <v>26746602.143922776</v>
          </cell>
          <cell r="N8">
            <v>92687433.402685627</v>
          </cell>
          <cell r="O8">
            <v>1834322.4234604596</v>
          </cell>
          <cell r="P8">
            <v>8506147.7628804408</v>
          </cell>
        </row>
        <row r="10">
          <cell r="G10">
            <v>107128369.71654037</v>
          </cell>
          <cell r="H10">
            <v>15024827.075282607</v>
          </cell>
          <cell r="I10">
            <v>59094145.324412614</v>
          </cell>
          <cell r="J10">
            <v>2487758.3204837111</v>
          </cell>
          <cell r="K10">
            <v>19159478.061950289</v>
          </cell>
          <cell r="L10">
            <v>628890.65007431689</v>
          </cell>
          <cell r="M10">
            <v>1312242.3470040681</v>
          </cell>
          <cell r="N10">
            <v>144408.8608343357</v>
          </cell>
          <cell r="O10">
            <v>74189.556561552148</v>
          </cell>
          <cell r="P10">
            <v>188303.24217351509</v>
          </cell>
        </row>
        <row r="12">
          <cell r="G12">
            <v>61413320.278503731</v>
          </cell>
          <cell r="H12">
            <v>8072044.3509532567</v>
          </cell>
          <cell r="I12">
            <v>33901630.912658975</v>
          </cell>
          <cell r="J12">
            <v>1296712.1714855914</v>
          </cell>
          <cell r="K12">
            <v>10639949.738875244</v>
          </cell>
          <cell r="L12">
            <v>465386.72416250466</v>
          </cell>
          <cell r="M12">
            <v>1055899.508167366</v>
          </cell>
          <cell r="N12">
            <v>4692561.9931837013</v>
          </cell>
          <cell r="O12">
            <v>35862.94831318986</v>
          </cell>
          <cell r="P12">
            <v>90978.281524309466</v>
          </cell>
        </row>
        <row r="31">
          <cell r="F31">
            <v>1911456212.2359519</v>
          </cell>
        </row>
        <row r="46">
          <cell r="G46">
            <v>921404987.56823277</v>
          </cell>
          <cell r="H46">
            <v>18574877.225939702</v>
          </cell>
          <cell r="I46">
            <v>641459520.33425462</v>
          </cell>
          <cell r="J46">
            <v>202929.38868169783</v>
          </cell>
          <cell r="K46">
            <v>199449419.61540604</v>
          </cell>
          <cell r="L46">
            <v>72408095.541425809</v>
          </cell>
          <cell r="M46">
            <v>247341642.9860594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6"/>
  <sheetViews>
    <sheetView showGridLines="0" tabSelected="1" topLeftCell="A4" zoomScale="80" zoomScaleNormal="80" workbookViewId="0">
      <selection activeCell="H24" sqref="H24"/>
    </sheetView>
  </sheetViews>
  <sheetFormatPr defaultRowHeight="15" x14ac:dyDescent="0.25"/>
  <cols>
    <col min="1" max="1" width="4.42578125" bestFit="1" customWidth="1"/>
    <col min="2" max="2" width="51.85546875" customWidth="1"/>
    <col min="3" max="3" width="15" bestFit="1" customWidth="1"/>
    <col min="4" max="4" width="2.42578125" customWidth="1"/>
    <col min="5" max="6" width="15.140625" bestFit="1" customWidth="1"/>
    <col min="7" max="7" width="14.140625" customWidth="1"/>
    <col min="8" max="8" width="15.140625" bestFit="1" customWidth="1"/>
    <col min="9" max="9" width="11.28515625" bestFit="1" customWidth="1"/>
    <col min="10" max="10" width="13.42578125" bestFit="1" customWidth="1"/>
    <col min="11" max="11" width="13.140625" customWidth="1"/>
    <col min="12" max="12" width="15.85546875" customWidth="1"/>
    <col min="13" max="13" width="13.5703125" customWidth="1"/>
    <col min="14" max="14" width="11.42578125" bestFit="1" customWidth="1"/>
    <col min="15" max="15" width="12.85546875" bestFit="1" customWidth="1"/>
    <col min="16" max="16" width="22" customWidth="1"/>
  </cols>
  <sheetData>
    <row r="1" spans="1:15" x14ac:dyDescent="0.25">
      <c r="M1" t="s">
        <v>18</v>
      </c>
    </row>
    <row r="2" spans="1:15" x14ac:dyDescent="0.25">
      <c r="M2" t="s">
        <v>19</v>
      </c>
    </row>
    <row r="4" spans="1:15" x14ac:dyDescent="0.25">
      <c r="A4" s="50" t="s">
        <v>25</v>
      </c>
      <c r="B4" s="50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5" x14ac:dyDescent="0.25">
      <c r="A5" s="50" t="s">
        <v>21</v>
      </c>
      <c r="B5" s="50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5" x14ac:dyDescent="0.25">
      <c r="A6" s="50" t="s">
        <v>42</v>
      </c>
      <c r="B6" s="50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5" x14ac:dyDescent="0.25">
      <c r="A7" s="50" t="s">
        <v>26</v>
      </c>
      <c r="B7" s="50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5" x14ac:dyDescent="0.25">
      <c r="A8" s="50" t="s">
        <v>43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5" ht="15.75" thickBot="1" x14ac:dyDescent="0.3"/>
    <row r="10" spans="1:15" x14ac:dyDescent="0.25">
      <c r="A10" s="1"/>
      <c r="B10" s="51"/>
      <c r="C10" s="52" t="s">
        <v>0</v>
      </c>
      <c r="D10" s="52"/>
      <c r="E10" s="52" t="s">
        <v>0</v>
      </c>
      <c r="F10" s="53"/>
      <c r="G10" s="53"/>
      <c r="H10" s="53"/>
      <c r="I10" s="53"/>
      <c r="J10" s="53"/>
      <c r="K10" s="53"/>
      <c r="L10" s="52"/>
      <c r="M10" s="52"/>
      <c r="N10" s="52"/>
      <c r="O10" s="54"/>
    </row>
    <row r="11" spans="1:15" x14ac:dyDescent="0.25">
      <c r="A11" s="2" t="s">
        <v>1</v>
      </c>
      <c r="B11" s="55" t="s">
        <v>2</v>
      </c>
      <c r="C11" s="56" t="s">
        <v>3</v>
      </c>
      <c r="D11" s="56"/>
      <c r="E11" s="56" t="s">
        <v>3</v>
      </c>
      <c r="F11" s="56" t="s">
        <v>4</v>
      </c>
      <c r="G11" s="56" t="s">
        <v>5</v>
      </c>
      <c r="H11" s="56" t="s">
        <v>5</v>
      </c>
      <c r="I11" s="57" t="s">
        <v>6</v>
      </c>
      <c r="J11" s="57" t="s">
        <v>6</v>
      </c>
      <c r="K11" s="57" t="s">
        <v>6</v>
      </c>
      <c r="L11" s="57" t="s">
        <v>7</v>
      </c>
      <c r="M11" s="57" t="s">
        <v>8</v>
      </c>
      <c r="N11" s="56" t="s">
        <v>20</v>
      </c>
      <c r="O11" s="58" t="s">
        <v>20</v>
      </c>
    </row>
    <row r="12" spans="1:15" x14ac:dyDescent="0.25">
      <c r="A12" s="2" t="s">
        <v>9</v>
      </c>
      <c r="B12" s="55"/>
      <c r="C12" s="56" t="s">
        <v>10</v>
      </c>
      <c r="D12" s="56"/>
      <c r="E12" s="56" t="s">
        <v>10</v>
      </c>
      <c r="F12" s="56"/>
      <c r="G12" s="56" t="s">
        <v>13</v>
      </c>
      <c r="H12" s="56" t="s">
        <v>11</v>
      </c>
      <c r="I12" s="56" t="s">
        <v>13</v>
      </c>
      <c r="J12" s="57" t="s">
        <v>11</v>
      </c>
      <c r="K12" s="57" t="s">
        <v>12</v>
      </c>
      <c r="L12" s="57"/>
      <c r="M12" s="57"/>
      <c r="N12" s="56" t="s">
        <v>23</v>
      </c>
      <c r="O12" s="58" t="s">
        <v>24</v>
      </c>
    </row>
    <row r="13" spans="1:15" ht="15.75" thickBot="1" x14ac:dyDescent="0.3">
      <c r="A13" s="3"/>
      <c r="B13" s="59"/>
      <c r="C13" s="60" t="s">
        <v>32</v>
      </c>
      <c r="D13" s="60"/>
      <c r="E13" s="60" t="s">
        <v>33</v>
      </c>
      <c r="F13" s="61"/>
      <c r="G13" s="61"/>
      <c r="H13" s="61"/>
      <c r="I13" s="61"/>
      <c r="J13" s="61"/>
      <c r="K13" s="61"/>
      <c r="L13" s="61"/>
      <c r="M13" s="61"/>
      <c r="N13" s="61"/>
      <c r="O13" s="62"/>
    </row>
    <row r="14" spans="1:15" x14ac:dyDescent="0.25">
      <c r="A14" s="21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6"/>
    </row>
    <row r="15" spans="1:15" x14ac:dyDescent="0.25">
      <c r="A15" s="22">
        <v>1</v>
      </c>
      <c r="B15" s="4" t="s">
        <v>14</v>
      </c>
      <c r="C15" s="18">
        <f>[3]LinkSheet!$F$31</f>
        <v>1911456212.2359519</v>
      </c>
      <c r="D15" s="5"/>
      <c r="E15" s="6" t="s">
        <v>15</v>
      </c>
      <c r="F15" s="6" t="s">
        <v>15</v>
      </c>
      <c r="G15" s="6" t="s">
        <v>15</v>
      </c>
      <c r="H15" s="6" t="s">
        <v>15</v>
      </c>
      <c r="I15" s="6" t="s">
        <v>15</v>
      </c>
      <c r="J15" s="6" t="s">
        <v>15</v>
      </c>
      <c r="K15" s="6" t="s">
        <v>15</v>
      </c>
      <c r="L15" s="6" t="s">
        <v>15</v>
      </c>
      <c r="M15" s="6" t="s">
        <v>15</v>
      </c>
      <c r="N15" s="6" t="s">
        <v>15</v>
      </c>
      <c r="O15" s="7" t="s">
        <v>15</v>
      </c>
    </row>
    <row r="16" spans="1:15" x14ac:dyDescent="0.25">
      <c r="A16" s="22">
        <f>A15+1</f>
        <v>2</v>
      </c>
      <c r="B16" s="8"/>
      <c r="C16" s="9"/>
      <c r="D16" s="9"/>
      <c r="E16" s="10"/>
      <c r="F16" s="10"/>
      <c r="G16" s="10"/>
      <c r="H16" s="10"/>
      <c r="I16" s="10"/>
      <c r="J16" s="10"/>
      <c r="K16" s="10"/>
      <c r="L16" s="10"/>
      <c r="M16" s="10"/>
      <c r="N16" s="15"/>
      <c r="O16" s="16"/>
    </row>
    <row r="17" spans="1:16" x14ac:dyDescent="0.25">
      <c r="A17" s="22">
        <f t="shared" ref="A17:A42" si="0">A16+1</f>
        <v>3</v>
      </c>
      <c r="B17" s="4" t="s">
        <v>29</v>
      </c>
      <c r="C17" s="12">
        <f>SUM(F17:O17)</f>
        <v>3459251164.5932693</v>
      </c>
      <c r="D17" s="13"/>
      <c r="E17" s="10">
        <f>SUM(F17:M17)</f>
        <v>3448910694.4069285</v>
      </c>
      <c r="F17" s="10">
        <f>[3]LinkSheet!$G$8</f>
        <v>1808863015.7172115</v>
      </c>
      <c r="G17" s="10">
        <f>[3]LinkSheet!$H$8</f>
        <v>51193085.431880623</v>
      </c>
      <c r="H17" s="10">
        <f>[3]LinkSheet!$I$8</f>
        <v>1207580120.741354</v>
      </c>
      <c r="I17" s="10">
        <f>[3]LinkSheet!$J$8</f>
        <v>533883.97708080732</v>
      </c>
      <c r="J17" s="10">
        <f>[3]LinkSheet!$K$8</f>
        <v>235145734.55356389</v>
      </c>
      <c r="K17" s="10">
        <f>[3]LinkSheet!$L$8</f>
        <v>26160818.439228907</v>
      </c>
      <c r="L17" s="10">
        <f>[3]LinkSheet!$M$8</f>
        <v>26746602.143922776</v>
      </c>
      <c r="M17" s="10">
        <f>[3]LinkSheet!$N$8</f>
        <v>92687433.402685627</v>
      </c>
      <c r="N17" s="10">
        <f>[3]LinkSheet!$O$8</f>
        <v>1834322.4234604596</v>
      </c>
      <c r="O17" s="11">
        <f>[3]LinkSheet!$P$8</f>
        <v>8506147.7628804408</v>
      </c>
      <c r="P17" s="19"/>
    </row>
    <row r="18" spans="1:16" x14ac:dyDescent="0.25">
      <c r="A18" s="22">
        <f t="shared" si="0"/>
        <v>4</v>
      </c>
      <c r="B18" s="4"/>
      <c r="C18" s="12"/>
      <c r="D18" s="13"/>
      <c r="E18" s="10"/>
      <c r="F18" s="10"/>
      <c r="G18" s="10"/>
      <c r="H18" s="10"/>
      <c r="I18" s="10"/>
      <c r="J18" s="10"/>
      <c r="K18" s="10"/>
      <c r="L18" s="10"/>
      <c r="M18" s="10"/>
      <c r="N18" s="23"/>
      <c r="O18" s="24"/>
    </row>
    <row r="19" spans="1:16" x14ac:dyDescent="0.25">
      <c r="A19" s="22">
        <f t="shared" si="0"/>
        <v>5</v>
      </c>
      <c r="B19" s="4" t="s">
        <v>16</v>
      </c>
      <c r="C19" s="12">
        <f>SUM(F19:O19)</f>
        <v>205242613.15531737</v>
      </c>
      <c r="D19" s="13"/>
      <c r="E19" s="10">
        <f>SUM(F19:M19)</f>
        <v>204980120.35658228</v>
      </c>
      <c r="F19" s="10">
        <f>[3]LinkSheet!$G$10</f>
        <v>107128369.71654037</v>
      </c>
      <c r="G19" s="10">
        <f>[3]LinkSheet!$H$10</f>
        <v>15024827.075282607</v>
      </c>
      <c r="H19" s="10">
        <f>[3]LinkSheet!$I$10</f>
        <v>59094145.324412614</v>
      </c>
      <c r="I19" s="10">
        <f>[3]LinkSheet!$J$10</f>
        <v>2487758.3204837111</v>
      </c>
      <c r="J19" s="10">
        <f>[3]LinkSheet!$K$10</f>
        <v>19159478.061950289</v>
      </c>
      <c r="K19" s="10">
        <f>[3]LinkSheet!$L$10</f>
        <v>628890.65007431689</v>
      </c>
      <c r="L19" s="10">
        <f>[3]LinkSheet!$M$10</f>
        <v>1312242.3470040681</v>
      </c>
      <c r="M19" s="10">
        <f>[3]LinkSheet!$N$10</f>
        <v>144408.8608343357</v>
      </c>
      <c r="N19" s="10">
        <f>[3]LinkSheet!$O$10</f>
        <v>74189.556561552148</v>
      </c>
      <c r="O19" s="11">
        <f>[3]LinkSheet!$P$10</f>
        <v>188303.24217351509</v>
      </c>
      <c r="P19" s="19"/>
    </row>
    <row r="20" spans="1:16" x14ac:dyDescent="0.25">
      <c r="A20" s="22">
        <f t="shared" si="0"/>
        <v>6</v>
      </c>
      <c r="B20" s="4"/>
      <c r="C20" s="12"/>
      <c r="D20" s="13"/>
      <c r="E20" s="10"/>
      <c r="F20" s="10"/>
      <c r="G20" s="10"/>
      <c r="H20" s="10"/>
      <c r="I20" s="10"/>
      <c r="J20" s="10"/>
      <c r="K20" s="10"/>
      <c r="L20" s="10"/>
      <c r="M20" s="10"/>
      <c r="N20" s="23"/>
      <c r="O20" s="24"/>
    </row>
    <row r="21" spans="1:16" x14ac:dyDescent="0.25">
      <c r="A21" s="22">
        <f t="shared" si="0"/>
        <v>7</v>
      </c>
      <c r="B21" s="4" t="s">
        <v>17</v>
      </c>
      <c r="C21" s="12">
        <f>SUM(F21:O21)</f>
        <v>121664346.90782787</v>
      </c>
      <c r="D21" s="13"/>
      <c r="E21" s="10">
        <f>SUM(F21:M21)</f>
        <v>121537505.67799036</v>
      </c>
      <c r="F21" s="10">
        <f>[3]LinkSheet!$G$12</f>
        <v>61413320.278503731</v>
      </c>
      <c r="G21" s="10">
        <f>[3]LinkSheet!$H$12</f>
        <v>8072044.3509532567</v>
      </c>
      <c r="H21" s="10">
        <f>[3]LinkSheet!$I$12</f>
        <v>33901630.912658975</v>
      </c>
      <c r="I21" s="10">
        <f>[3]LinkSheet!$J$12</f>
        <v>1296712.1714855914</v>
      </c>
      <c r="J21" s="10">
        <f>[3]LinkSheet!$K$12</f>
        <v>10639949.738875244</v>
      </c>
      <c r="K21" s="10">
        <f>[3]LinkSheet!$L$12</f>
        <v>465386.72416250466</v>
      </c>
      <c r="L21" s="10">
        <f>[3]LinkSheet!$M$12</f>
        <v>1055899.508167366</v>
      </c>
      <c r="M21" s="10">
        <f>[3]LinkSheet!$N$12</f>
        <v>4692561.9931837013</v>
      </c>
      <c r="N21" s="10">
        <f>[3]LinkSheet!$O$12</f>
        <v>35862.94831318986</v>
      </c>
      <c r="O21" s="11">
        <f>[3]LinkSheet!$P$12</f>
        <v>90978.281524309466</v>
      </c>
      <c r="P21" s="19"/>
    </row>
    <row r="22" spans="1:16" x14ac:dyDescent="0.25">
      <c r="A22" s="22">
        <f>A21+1</f>
        <v>8</v>
      </c>
      <c r="B22" s="13"/>
      <c r="C22" s="12"/>
      <c r="D22" s="13"/>
      <c r="E22" s="10"/>
      <c r="F22" s="10"/>
      <c r="G22" s="10"/>
      <c r="H22" s="10"/>
      <c r="I22" s="10"/>
      <c r="J22" s="10"/>
      <c r="K22" s="10"/>
      <c r="L22" s="10"/>
      <c r="M22" s="10"/>
      <c r="N22" s="15"/>
      <c r="O22" s="25"/>
    </row>
    <row r="23" spans="1:16" x14ac:dyDescent="0.25">
      <c r="A23" s="22">
        <f t="shared" si="0"/>
        <v>9</v>
      </c>
      <c r="B23" s="4" t="s">
        <v>30</v>
      </c>
      <c r="C23" s="32">
        <f>SUM(F23:O23)</f>
        <v>3786158124.656414</v>
      </c>
      <c r="D23" s="33"/>
      <c r="E23" s="34">
        <f>SUM(F23:M23)</f>
        <v>3775428320.4415007</v>
      </c>
      <c r="F23" s="34">
        <f t="shared" ref="F23:O23" si="1">SUM(F17:F21)</f>
        <v>1977404705.7122555</v>
      </c>
      <c r="G23" s="34">
        <f t="shared" si="1"/>
        <v>74289956.858116478</v>
      </c>
      <c r="H23" s="34">
        <f t="shared" si="1"/>
        <v>1300575896.9784255</v>
      </c>
      <c r="I23" s="34">
        <f t="shared" si="1"/>
        <v>4318354.4690501103</v>
      </c>
      <c r="J23" s="34">
        <f t="shared" si="1"/>
        <v>264945162.35438943</v>
      </c>
      <c r="K23" s="34">
        <f t="shared" si="1"/>
        <v>27255095.813465729</v>
      </c>
      <c r="L23" s="34">
        <f t="shared" si="1"/>
        <v>29114743.999094211</v>
      </c>
      <c r="M23" s="34">
        <f t="shared" si="1"/>
        <v>97524404.25670366</v>
      </c>
      <c r="N23" s="34">
        <f t="shared" si="1"/>
        <v>1944374.9283352017</v>
      </c>
      <c r="O23" s="35">
        <f t="shared" si="1"/>
        <v>8785429.286578266</v>
      </c>
      <c r="P23" s="19"/>
    </row>
    <row r="24" spans="1:16" x14ac:dyDescent="0.25">
      <c r="A24" s="22">
        <f t="shared" si="0"/>
        <v>10</v>
      </c>
      <c r="B24" s="13"/>
      <c r="C24" s="12"/>
      <c r="D24" s="13"/>
      <c r="E24" s="10"/>
      <c r="F24" s="10"/>
      <c r="G24" s="10"/>
      <c r="H24" s="10"/>
      <c r="I24" s="10"/>
      <c r="J24" s="10"/>
      <c r="K24" s="10"/>
      <c r="L24" s="10"/>
      <c r="M24" s="10"/>
      <c r="N24" s="15"/>
      <c r="O24" s="25"/>
    </row>
    <row r="25" spans="1:16" x14ac:dyDescent="0.25">
      <c r="A25" s="22">
        <f t="shared" si="0"/>
        <v>11</v>
      </c>
      <c r="B25" s="4" t="s">
        <v>39</v>
      </c>
      <c r="C25" s="20">
        <f>C15+C23</f>
        <v>5697614336.8923664</v>
      </c>
      <c r="D25" s="13"/>
      <c r="E25" s="10">
        <f t="shared" ref="E25:O25" si="2">E23</f>
        <v>3775428320.4415007</v>
      </c>
      <c r="F25" s="10">
        <f t="shared" si="2"/>
        <v>1977404705.7122555</v>
      </c>
      <c r="G25" s="10">
        <f t="shared" si="2"/>
        <v>74289956.858116478</v>
      </c>
      <c r="H25" s="10">
        <f t="shared" si="2"/>
        <v>1300575896.9784255</v>
      </c>
      <c r="I25" s="10">
        <f t="shared" si="2"/>
        <v>4318354.4690501103</v>
      </c>
      <c r="J25" s="10">
        <f t="shared" si="2"/>
        <v>264945162.35438943</v>
      </c>
      <c r="K25" s="10">
        <f t="shared" si="2"/>
        <v>27255095.813465729</v>
      </c>
      <c r="L25" s="10">
        <f t="shared" si="2"/>
        <v>29114743.999094211</v>
      </c>
      <c r="M25" s="10">
        <f t="shared" si="2"/>
        <v>97524404.25670366</v>
      </c>
      <c r="N25" s="10">
        <f t="shared" si="2"/>
        <v>1944374.9283352017</v>
      </c>
      <c r="O25" s="11">
        <f t="shared" si="2"/>
        <v>8785429.286578266</v>
      </c>
      <c r="P25" s="19"/>
    </row>
    <row r="26" spans="1:16" x14ac:dyDescent="0.25">
      <c r="A26" s="22">
        <f t="shared" si="0"/>
        <v>12</v>
      </c>
      <c r="B26" s="13"/>
      <c r="C26" s="13"/>
      <c r="D26" s="13"/>
      <c r="E26" s="10"/>
      <c r="F26" s="10"/>
      <c r="G26" s="10"/>
      <c r="H26" s="10"/>
      <c r="I26" s="10"/>
      <c r="J26" s="10"/>
      <c r="K26" s="10"/>
      <c r="L26" s="10"/>
      <c r="M26" s="10"/>
      <c r="N26" s="15"/>
      <c r="O26" s="25"/>
    </row>
    <row r="27" spans="1:16" x14ac:dyDescent="0.25">
      <c r="A27" s="22">
        <f t="shared" si="0"/>
        <v>13</v>
      </c>
      <c r="B27" s="4" t="s">
        <v>37</v>
      </c>
      <c r="C27" s="13"/>
      <c r="D27" s="13"/>
      <c r="E27" s="10"/>
      <c r="F27" s="10"/>
      <c r="G27" s="10"/>
      <c r="H27" s="10"/>
      <c r="I27" s="10"/>
      <c r="J27" s="10"/>
      <c r="K27" s="10"/>
      <c r="L27" s="10"/>
      <c r="M27" s="10"/>
      <c r="N27" s="15"/>
      <c r="O27" s="25"/>
    </row>
    <row r="28" spans="1:16" x14ac:dyDescent="0.25">
      <c r="A28" s="22">
        <f t="shared" si="0"/>
        <v>14</v>
      </c>
      <c r="B28" s="14" t="s">
        <v>35</v>
      </c>
      <c r="C28" s="46">
        <f>E28</f>
        <v>2100841472.6599998</v>
      </c>
      <c r="D28" s="47"/>
      <c r="E28" s="26">
        <f>SUM(F28:M28)</f>
        <v>2100841472.6599998</v>
      </c>
      <c r="F28" s="26">
        <f>[3]LinkSheet!$G$46</f>
        <v>921404987.56823277</v>
      </c>
      <c r="G28" s="26">
        <f>[3]LinkSheet!$H$46</f>
        <v>18574877.225939702</v>
      </c>
      <c r="H28" s="26">
        <f>[3]LinkSheet!$I$46</f>
        <v>641459520.33425462</v>
      </c>
      <c r="I28" s="26">
        <f>[3]LinkSheet!$J$46</f>
        <v>202929.38868169783</v>
      </c>
      <c r="J28" s="26">
        <f>[3]LinkSheet!$K$46</f>
        <v>199449419.61540604</v>
      </c>
      <c r="K28" s="26">
        <f>[3]LinkSheet!$L$46</f>
        <v>72408095.541425809</v>
      </c>
      <c r="L28" s="26">
        <f>[3]LinkSheet!$M$46</f>
        <v>247341642.9860594</v>
      </c>
      <c r="M28" s="26">
        <f>'[2]Page 9'!$N$35</f>
        <v>0</v>
      </c>
      <c r="N28" s="48">
        <v>0</v>
      </c>
      <c r="O28" s="49">
        <v>0</v>
      </c>
    </row>
    <row r="29" spans="1:16" x14ac:dyDescent="0.25">
      <c r="A29" s="22">
        <f t="shared" si="0"/>
        <v>15</v>
      </c>
      <c r="B29" s="14" t="s">
        <v>31</v>
      </c>
      <c r="C29" s="36">
        <f>SUM(F29:O29)</f>
        <v>14156773.686395997</v>
      </c>
      <c r="D29" s="5"/>
      <c r="E29" s="26">
        <f>SUM(F29:M29)</f>
        <v>14130682.700309997</v>
      </c>
      <c r="F29" s="26">
        <f>[1]RCE!$F$20</f>
        <v>7081317.3012119988</v>
      </c>
      <c r="G29" s="26">
        <f>[1]RCE!$F$21</f>
        <v>239986.10750399999</v>
      </c>
      <c r="H29" s="26">
        <f>[1]RCE!$F$22</f>
        <v>4814983.1826359993</v>
      </c>
      <c r="I29" s="26">
        <f>[1]RCE!$F$23</f>
        <v>11155.559975999999</v>
      </c>
      <c r="J29" s="26">
        <f>[1]RCE!$F$24</f>
        <v>1059721.570512</v>
      </c>
      <c r="K29" s="26">
        <f>[1]RCE!$F$25</f>
        <v>202371.48459000001</v>
      </c>
      <c r="L29" s="26">
        <f>[1]RCE!$F$26</f>
        <v>484049.37398400001</v>
      </c>
      <c r="M29" s="26">
        <f>[1]RCE!$F$27</f>
        <v>237098.11989599999</v>
      </c>
      <c r="N29" s="26">
        <f>[1]RCE!$F$28</f>
        <v>4728.3718680000002</v>
      </c>
      <c r="O29" s="44">
        <f>[1]RCE!$F$29</f>
        <v>21362.614217999999</v>
      </c>
    </row>
    <row r="30" spans="1:16" x14ac:dyDescent="0.25">
      <c r="A30" s="22">
        <f t="shared" si="0"/>
        <v>16</v>
      </c>
      <c r="B30" s="13"/>
      <c r="C30" s="13"/>
      <c r="D30" s="13"/>
      <c r="E30" s="10"/>
      <c r="F30" s="10"/>
      <c r="G30" s="10"/>
      <c r="H30" s="10"/>
      <c r="I30" s="10"/>
      <c r="J30" s="10"/>
      <c r="K30" s="10"/>
      <c r="L30" s="10"/>
      <c r="M30" s="10"/>
      <c r="N30" s="15"/>
      <c r="O30" s="25"/>
    </row>
    <row r="31" spans="1:16" x14ac:dyDescent="0.25">
      <c r="A31" s="22">
        <f t="shared" si="0"/>
        <v>17</v>
      </c>
      <c r="B31" s="4" t="s">
        <v>28</v>
      </c>
      <c r="C31" s="13"/>
      <c r="D31" s="13"/>
      <c r="E31" s="10"/>
      <c r="F31" s="10"/>
      <c r="G31" s="10"/>
      <c r="H31" s="10"/>
      <c r="I31" s="10"/>
      <c r="J31" s="10"/>
      <c r="K31" s="10"/>
      <c r="L31" s="10"/>
      <c r="M31" s="10"/>
      <c r="N31" s="15"/>
      <c r="O31" s="25"/>
    </row>
    <row r="32" spans="1:16" x14ac:dyDescent="0.25">
      <c r="A32" s="22">
        <f t="shared" si="0"/>
        <v>18</v>
      </c>
      <c r="B32" s="14" t="s">
        <v>27</v>
      </c>
      <c r="C32" s="37">
        <f>E32</f>
        <v>72029674</v>
      </c>
      <c r="D32" s="38"/>
      <c r="E32" s="30">
        <f>SUM(F32:M32)</f>
        <v>72029674</v>
      </c>
      <c r="F32" s="30">
        <f>[1]EECRF!$G$12</f>
        <v>53393779</v>
      </c>
      <c r="G32" s="30">
        <f>[1]EECRF!$G$13</f>
        <v>-341175</v>
      </c>
      <c r="H32" s="30">
        <f>[1]EECRF!$G$14</f>
        <v>10646107</v>
      </c>
      <c r="I32" s="30">
        <f>[1]EECRF!$G$15</f>
        <v>-629</v>
      </c>
      <c r="J32" s="30">
        <f>[1]EECRF!$G$16</f>
        <v>8392629</v>
      </c>
      <c r="K32" s="30">
        <f>[1]EECRF!$G$17</f>
        <v>73237</v>
      </c>
      <c r="L32" s="30">
        <f>[1]EECRF!$G$18</f>
        <v>-134274</v>
      </c>
      <c r="M32" s="30">
        <f>[1]EECRF!$G$20</f>
        <v>0</v>
      </c>
      <c r="N32" s="31">
        <v>0</v>
      </c>
      <c r="O32" s="40">
        <v>0</v>
      </c>
    </row>
    <row r="33" spans="1:15" x14ac:dyDescent="0.25">
      <c r="A33" s="22">
        <f t="shared" si="0"/>
        <v>19</v>
      </c>
      <c r="O33" s="45"/>
    </row>
    <row r="34" spans="1:15" x14ac:dyDescent="0.25">
      <c r="A34" s="22">
        <f t="shared" si="0"/>
        <v>20</v>
      </c>
      <c r="B34" s="4" t="s">
        <v>38</v>
      </c>
      <c r="C34" s="39">
        <f>C28+C29+C32</f>
        <v>2187027920.3463955</v>
      </c>
      <c r="E34" s="19">
        <f>E28+E29+E32</f>
        <v>2187001829.3603096</v>
      </c>
      <c r="F34" s="19">
        <f t="shared" ref="F34:O34" si="3">F28+F29+F32</f>
        <v>981880083.86944473</v>
      </c>
      <c r="G34" s="19">
        <f t="shared" si="3"/>
        <v>18473688.333443701</v>
      </c>
      <c r="H34" s="19">
        <f t="shared" si="3"/>
        <v>656920610.51689065</v>
      </c>
      <c r="I34" s="19">
        <f t="shared" si="3"/>
        <v>213455.94865769782</v>
      </c>
      <c r="J34" s="19">
        <f t="shared" si="3"/>
        <v>208901770.18591803</v>
      </c>
      <c r="K34" s="19">
        <f t="shared" si="3"/>
        <v>72683704.026015803</v>
      </c>
      <c r="L34" s="19">
        <f t="shared" si="3"/>
        <v>247691418.36004341</v>
      </c>
      <c r="M34" s="19">
        <f t="shared" si="3"/>
        <v>237098.11989599999</v>
      </c>
      <c r="N34" s="19">
        <f t="shared" si="3"/>
        <v>4728.3718680000002</v>
      </c>
      <c r="O34" s="41">
        <f t="shared" si="3"/>
        <v>21362.614217999999</v>
      </c>
    </row>
    <row r="35" spans="1:15" x14ac:dyDescent="0.25">
      <c r="A35" s="22">
        <f t="shared" si="0"/>
        <v>21</v>
      </c>
      <c r="B35" s="4"/>
      <c r="C35" s="5"/>
      <c r="D35" s="5"/>
      <c r="E35" s="10"/>
      <c r="F35" s="10"/>
      <c r="G35" s="10"/>
      <c r="H35" s="10"/>
      <c r="I35" s="10"/>
      <c r="J35" s="10"/>
      <c r="K35" s="10"/>
      <c r="L35" s="10"/>
      <c r="M35" s="10"/>
      <c r="N35" s="15"/>
      <c r="O35" s="25"/>
    </row>
    <row r="36" spans="1:15" x14ac:dyDescent="0.25">
      <c r="A36" s="22">
        <f t="shared" si="0"/>
        <v>22</v>
      </c>
      <c r="B36" s="4" t="s">
        <v>40</v>
      </c>
      <c r="C36" s="36">
        <f>C25+C34</f>
        <v>7884642257.2387619</v>
      </c>
      <c r="D36" s="5"/>
      <c r="E36" s="10">
        <f>SUM(F36:M36)</f>
        <v>5962430149.8018093</v>
      </c>
      <c r="F36" s="10">
        <f>F25+F34</f>
        <v>2959284789.5817003</v>
      </c>
      <c r="G36" s="10">
        <f t="shared" ref="G36:N36" si="4">G25+G34</f>
        <v>92763645.191560179</v>
      </c>
      <c r="H36" s="10">
        <f t="shared" si="4"/>
        <v>1957496507.495316</v>
      </c>
      <c r="I36" s="10">
        <f t="shared" si="4"/>
        <v>4531810.4177078083</v>
      </c>
      <c r="J36" s="10">
        <f t="shared" si="4"/>
        <v>473846932.54030746</v>
      </c>
      <c r="K36" s="10">
        <f t="shared" si="4"/>
        <v>99938799.839481533</v>
      </c>
      <c r="L36" s="10">
        <f t="shared" si="4"/>
        <v>276806162.35913759</v>
      </c>
      <c r="M36" s="10">
        <f t="shared" si="4"/>
        <v>97761502.376599655</v>
      </c>
      <c r="N36" s="10">
        <f t="shared" si="4"/>
        <v>1949103.3002032016</v>
      </c>
      <c r="O36" s="11">
        <f>O25+O34</f>
        <v>8806791.9007962663</v>
      </c>
    </row>
    <row r="37" spans="1:15" x14ac:dyDescent="0.25">
      <c r="A37" s="22">
        <f t="shared" si="0"/>
        <v>23</v>
      </c>
      <c r="B37" s="4"/>
      <c r="C37" s="5"/>
      <c r="D37" s="5"/>
      <c r="E37" s="10"/>
      <c r="F37" s="10"/>
      <c r="G37" s="10"/>
      <c r="H37" s="10"/>
      <c r="I37" s="10"/>
      <c r="J37" s="10"/>
      <c r="K37" s="10"/>
      <c r="L37" s="10"/>
      <c r="M37" s="10"/>
      <c r="N37" s="15"/>
      <c r="O37" s="25"/>
    </row>
    <row r="38" spans="1:15" x14ac:dyDescent="0.25">
      <c r="A38" s="22">
        <f t="shared" si="0"/>
        <v>24</v>
      </c>
      <c r="B38" s="4" t="s">
        <v>22</v>
      </c>
      <c r="C38" s="5"/>
      <c r="D38" s="5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25"/>
    </row>
    <row r="39" spans="1:15" x14ac:dyDescent="0.25">
      <c r="A39" s="22">
        <f t="shared" si="0"/>
        <v>25</v>
      </c>
      <c r="B39" s="14" t="s">
        <v>34</v>
      </c>
      <c r="C39" s="36">
        <f>SUM(F39:O39)</f>
        <v>20077167</v>
      </c>
      <c r="D39" s="5"/>
      <c r="E39" s="26">
        <f>SUM(F39:M39)</f>
        <v>20077167</v>
      </c>
      <c r="F39" s="26">
        <f>[1]NDC_kW!$C$20</f>
        <v>8378851</v>
      </c>
      <c r="G39" s="26">
        <f>[1]NDC_kW!$C$21</f>
        <v>174689</v>
      </c>
      <c r="H39" s="26">
        <f>[1]NDC_kW!$C$22</f>
        <v>5794567</v>
      </c>
      <c r="I39" s="26">
        <f>[1]NDC_kW!$C$23</f>
        <v>2765</v>
      </c>
      <c r="J39" s="26">
        <f>[1]NDC_kW!$C$24</f>
        <v>1885450</v>
      </c>
      <c r="K39" s="26">
        <f>[1]NDC_kW!$C$25</f>
        <v>825802</v>
      </c>
      <c r="L39" s="26">
        <f>[1]NDC_kW!$C$26</f>
        <v>2965274</v>
      </c>
      <c r="M39" s="26">
        <f>[1]NDC_kW!$C$27</f>
        <v>49769</v>
      </c>
      <c r="N39" s="28">
        <v>0</v>
      </c>
      <c r="O39" s="29">
        <v>0</v>
      </c>
    </row>
    <row r="40" spans="1:15" x14ac:dyDescent="0.25">
      <c r="A40" s="22">
        <f t="shared" si="0"/>
        <v>26</v>
      </c>
      <c r="O40" s="16"/>
    </row>
    <row r="41" spans="1:15" x14ac:dyDescent="0.25">
      <c r="A41" s="22">
        <f t="shared" si="0"/>
        <v>27</v>
      </c>
      <c r="B41" s="4" t="s">
        <v>41</v>
      </c>
      <c r="C41" s="36">
        <f>C36+C39</f>
        <v>7904719424.2387619</v>
      </c>
      <c r="D41" s="5"/>
      <c r="E41" s="10">
        <f>E36+E39</f>
        <v>5982507316.8018093</v>
      </c>
      <c r="F41" s="10">
        <f>F36+F39</f>
        <v>2967663640.5817003</v>
      </c>
      <c r="G41" s="10">
        <f t="shared" ref="G41:O41" si="5">G36+G39</f>
        <v>92938334.191560179</v>
      </c>
      <c r="H41" s="10">
        <f t="shared" si="5"/>
        <v>1963291074.495316</v>
      </c>
      <c r="I41" s="10">
        <f t="shared" si="5"/>
        <v>4534575.4177078083</v>
      </c>
      <c r="J41" s="10">
        <f t="shared" si="5"/>
        <v>475732382.54030746</v>
      </c>
      <c r="K41" s="10">
        <f t="shared" si="5"/>
        <v>100764601.83948153</v>
      </c>
      <c r="L41" s="10">
        <f t="shared" si="5"/>
        <v>279771436.35913759</v>
      </c>
      <c r="M41" s="10">
        <f t="shared" si="5"/>
        <v>97811271.376599655</v>
      </c>
      <c r="N41" s="10">
        <f t="shared" si="5"/>
        <v>1949103.3002032016</v>
      </c>
      <c r="O41" s="11">
        <f t="shared" si="5"/>
        <v>8806791.9007962663</v>
      </c>
    </row>
    <row r="42" spans="1:15" ht="15.75" thickBot="1" x14ac:dyDescent="0.3">
      <c r="A42" s="22">
        <f t="shared" si="0"/>
        <v>28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3"/>
    </row>
    <row r="43" spans="1:15" ht="17.25" x14ac:dyDescent="0.25">
      <c r="A43" s="27">
        <v>1</v>
      </c>
      <c r="B43" s="13" t="s">
        <v>36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5" ht="17.25" x14ac:dyDescent="0.25">
      <c r="A44" s="27"/>
    </row>
    <row r="46" spans="1:15" x14ac:dyDescent="0.25">
      <c r="C46" s="19"/>
      <c r="E46" s="19"/>
    </row>
  </sheetData>
  <printOptions horizontalCentered="1"/>
  <pageMargins left="0.35" right="0.35" top="1.5" bottom="0.5" header="0.3" footer="0.3"/>
  <pageSetup scale="5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Tenorio, Stephanie</cp:lastModifiedBy>
  <cp:lastPrinted>1900-01-01T06:00:00Z</cp:lastPrinted>
  <dcterms:created xsi:type="dcterms:W3CDTF">1900-01-01T06:00:00Z</dcterms:created>
  <dcterms:modified xsi:type="dcterms:W3CDTF">2025-06-25T18:43:19Z</dcterms:modified>
</cp:coreProperties>
</file>