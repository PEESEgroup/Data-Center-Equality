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Q:\2024 Test Year\"/>
    </mc:Choice>
  </mc:AlternateContent>
  <xr:revisionPtr revIDLastSave="0" documentId="13_ncr:1_{0CAF3092-8526-4F8B-B97E-E159C4D895CC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Labor and Transportation" sheetId="1" r:id="rId1"/>
    <x:sheet name="Meter Non-Comm Cost" sheetId="2" r:id="rId2"/>
  </x:sheets>
  <x:definedNames>
    <x:definedName name="_xlnm.Print_Area" localSheetId="0">'Labor and Transportation'!$A$1:$J$68</x:definedName>
  </x:definedNames>
  <x:calcPr calcId="191029" iterate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I41" i="1" l="1"/>
  <x:c r="I40" i="1"/>
  <x:c r="I39" i="1"/>
  <x:c r="I38" i="1"/>
  <x:c r="I37" i="1"/>
  <x:c r="I36" i="1"/>
  <x:c r="I35" i="1"/>
  <x:c r="G16" i="1"/>
  <x:c r="B41" i="1" l="1"/>
  <x:c r="C41" i="1" s="1"/>
  <x:c r="B40" i="1"/>
  <x:c r="C40" i="1" s="1"/>
  <x:c r="D40" i="1" s="1"/>
  <x:c r="B39" i="1"/>
  <x:c r="C39" i="1" s="1"/>
  <x:c r="D39" i="1" s="1"/>
  <x:c r="B38" i="1"/>
  <x:c r="C38" i="1" s="1"/>
  <x:c r="D38" i="1" s="1"/>
  <x:c r="B35" i="1"/>
  <x:c r="C35" i="1" s="1"/>
  <x:c r="D35" i="1" s="1"/>
  <x:c r="B37" i="1"/>
  <x:c r="C37" i="1" s="1"/>
  <x:c r="D37" i="1" s="1"/>
  <x:c r="J59" i="1"/>
  <x:c r="B59" i="1" s="1"/>
  <x:c r="C59" i="1" s="1"/>
  <x:c r="D59" i="1" s="1"/>
  <x:c r="J58" i="1"/>
  <x:c r="B58" i="1" s="1"/>
  <x:c r="C58" i="1" s="1"/>
  <x:c r="D58" i="1" s="1"/>
  <x:c r="J57" i="1"/>
  <x:c r="B57" i="1" s="1"/>
  <x:c r="C57" i="1" s="1"/>
  <x:c r="D57" i="1" s="1"/>
  <x:c r="J56" i="1"/>
  <x:c r="B56" i="1" s="1"/>
  <x:c r="C56" i="1" s="1"/>
  <x:c r="D56" i="1" s="1"/>
  <x:c r="J55" i="1"/>
  <x:c r="B55" i="1" s="1"/>
  <x:c r="C55" i="1" s="1"/>
  <x:c r="D55" i="1" s="1"/>
  <x:c r="F41" i="1" l="1"/>
  <x:c r="D41" i="1"/>
  <x:c r="F55" i="1"/>
  <x:c r="E38" i="1"/>
  <x:c r="F38" i="1"/>
  <x:c r="F39" i="1"/>
  <x:c r="E39" i="1"/>
  <x:c r="F40" i="1"/>
  <x:c r="E40" i="1"/>
  <x:c r="E35" i="1"/>
  <x:c r="F35" i="1"/>
  <x:c r="E37" i="1"/>
  <x:c r="F37" i="1"/>
  <x:c r="E41" i="1"/>
  <x:c r="E56" i="1"/>
  <x:c r="F56" i="1"/>
  <x:c r="F57" i="1"/>
  <x:c r="E57" i="1"/>
  <x:c r="F58" i="1"/>
  <x:c r="E58" i="1"/>
  <x:c r="F59" i="1"/>
  <x:c r="E59" i="1"/>
  <x:c r="E55" i="1"/>
  <x:c r="G40" i="1"/>
  <x:c r="G39" i="1"/>
  <x:c r="G41" i="1" s="1"/>
  <x:c r="G35" i="1"/>
  <x:c r="G36" i="1" s="1"/>
  <x:c r="G25" i="1"/>
  <x:c r="G22" i="1"/>
  <x:c r="J60" i="1" l="1"/>
  <x:c r="B60" i="1" s="1"/>
  <x:c r="C60" i="1" s="1"/>
  <x:c r="D60" i="1" s="1"/>
  <x:c r="F60" i="1" l="1"/>
  <x:c r="E60" i="1"/>
  <x:c r="J16" i="1"/>
  <x:c r="B16" i="1" s="1"/>
  <x:c r="D16" i="1" s="1"/>
  <x:c r="J17" i="1"/>
  <x:c r="B17" i="1" s="1"/>
  <x:c r="C17" i="1" s="1"/>
  <x:c r="D17" i="1" s="1"/>
  <x:c r="J18" i="1"/>
  <x:c r="B18" i="1" s="1"/>
  <x:c r="C18" i="1" s="1"/>
  <x:c r="D18" i="1" s="1"/>
  <x:c r="J19" i="1"/>
  <x:c r="B19" i="1" s="1"/>
  <x:c r="C19" i="1" s="1"/>
  <x:c r="D19" i="1" s="1"/>
  <x:c r="G20" i="1"/>
  <x:c r="J20" i="1"/>
  <x:c r="B20" i="1" s="1"/>
  <x:c r="C20" i="1" s="1"/>
  <x:c r="D20" i="1" s="1"/>
  <x:c r="G21" i="1"/>
  <x:c r="J21" i="1"/>
  <x:c r="B21" i="1" s="1"/>
  <x:c r="C21" i="1" s="1"/>
  <x:c r="D21" i="1" s="1"/>
  <x:c r="J22" i="1"/>
  <x:c r="B22" i="1" s="1"/>
  <x:c r="C22" i="1" s="1"/>
  <x:c r="D22" i="1" s="1"/>
  <x:c r="E22" i="1" l="1"/>
  <x:c r="F22" i="1"/>
  <x:c r="F21" i="1"/>
  <x:c r="E21" i="1"/>
  <x:c r="E20" i="1"/>
  <x:c r="F20" i="1"/>
  <x:c r="E19" i="1"/>
  <x:c r="F19" i="1"/>
  <x:c r="F18" i="1"/>
  <x:c r="E18" i="1"/>
  <x:c r="E17" i="1"/>
  <x:c r="F17" i="1"/>
  <x:c r="F16" i="1"/>
  <x:c r="E16" i="1"/>
  <x:c r="J49" i="1" l="1"/>
  <x:c r="B49" i="1" s="1"/>
  <x:c r="C49" i="1" s="1"/>
  <x:c r="D49" i="1" s="1"/>
  <x:c r="F49" i="1" l="1"/>
  <x:c r="E49" i="1"/>
  <x:c r="C11" i="2"/>
  <x:c r="D11" i="2"/>
  <x:c r="G23" i="1"/>
  <x:c r="J23" i="1"/>
  <x:c r="B23" i="1" s="1"/>
  <x:c r="C23" i="1" s="1"/>
  <x:c r="J24" i="1"/>
  <x:c r="B24" i="1" s="1"/>
  <x:c r="C24" i="1" s="1"/>
  <x:c r="J25" i="1"/>
  <x:c r="B25" i="1" s="1"/>
  <x:c r="J47" i="1"/>
  <x:c r="B47" i="1" s="1"/>
  <x:c r="C47" i="1" s="1"/>
  <x:c r="D47" i="1" s="1"/>
  <x:c r="J48" i="1"/>
  <x:c r="B48" i="1" s="1"/>
  <x:c r="C48" i="1" s="1"/>
  <x:c r="D48" i="1" s="1"/>
  <x:c r="F24" i="1" l="1"/>
  <x:c r="D24" i="1"/>
  <x:c r="E23" i="1"/>
  <x:c r="D23" i="1"/>
  <x:c r="C12" i="2"/>
  <x:c r="E12" i="2" s="1"/>
  <x:c r="E24" i="1"/>
  <x:c r="E11" i="2"/>
  <x:c r="G27" i="1"/>
  <x:c r="F23" i="1"/>
  <x:c r="F47" i="1"/>
  <x:c r="E47" i="1"/>
  <x:c r="C25" i="1"/>
  <x:c r="D25" i="1" s="1"/>
  <x:c r="B27" i="1"/>
  <x:c r="E48" i="1"/>
  <x:c r="F48" i="1"/>
  <x:c r="E21" i="2" l="1"/>
  <x:c r="E22" i="2" s="1"/>
  <x:c r="E25" i="1"/>
  <x:c r="F25" i="1"/>
  <x:c r="C27" i="1"/>
  <x:c r="D27" i="1" l="1"/>
  <x:c r="E27" i="1"/>
  <x:c r="F27" i="1"/>
  <x:c r="B36" i="1"/>
  <x:c r="C36" i="1" s="1"/>
  <x:c r="D36" i="1" s="1"/>
  <x:c r="E36" i="1" l="1"/>
  <x:c r="F36" i="1"/>
</x:calcChain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Unknown</x:author>
  </x:authors>
  <x:commentList/>
</x:comments>
</file>

<file path=xl/sharedStrings.xml><?xml version="1.0" encoding="utf-8"?>
<sst xmlns="http://schemas.openxmlformats.org/spreadsheetml/2006/main" count="111" uniqueCount="72">
  <si>
    <t>Benefits</t>
  </si>
  <si>
    <t>Revenue Management Specialist</t>
  </si>
  <si>
    <t>Average Monthly</t>
  </si>
  <si>
    <t>Salary</t>
  </si>
  <si>
    <t>Veh Desc</t>
  </si>
  <si>
    <t>Transportation</t>
  </si>
  <si>
    <t>Hourly Overtime Rate 2.0</t>
  </si>
  <si>
    <t>Hourly Overtime Rate 1.5</t>
  </si>
  <si>
    <t>Loaded Hourly Rate</t>
  </si>
  <si>
    <t>Base Hourly Rate</t>
  </si>
  <si>
    <t>Monthly Average Job Value</t>
  </si>
  <si>
    <t>Job Classification</t>
  </si>
  <si>
    <t>PTO Loading</t>
  </si>
  <si>
    <t>Payroll Tax</t>
  </si>
  <si>
    <t>OPEBs</t>
  </si>
  <si>
    <t>Pension</t>
  </si>
  <si>
    <t>1/2 Ton pickup</t>
  </si>
  <si>
    <t>Designer</t>
  </si>
  <si>
    <t>Large Bucket, trailer, 3/4 Ton pickup</t>
  </si>
  <si>
    <t>3-Man Crew</t>
  </si>
  <si>
    <t>FCC</t>
  </si>
  <si>
    <t>Clerical</t>
  </si>
  <si>
    <t>Dispatcher</t>
  </si>
  <si>
    <t>Small Bucket</t>
  </si>
  <si>
    <t>DOT</t>
  </si>
  <si>
    <t>Serviceman</t>
  </si>
  <si>
    <t>DISTRIBUTION</t>
  </si>
  <si>
    <t>Broken Meter Seal Average*</t>
  </si>
  <si>
    <t>Small Bucket Truck</t>
  </si>
  <si>
    <t>System Service Rep Sr.</t>
  </si>
  <si>
    <t>Data Analyst II</t>
  </si>
  <si>
    <t>1/2 ton</t>
  </si>
  <si>
    <t>Revenue Security Rep</t>
  </si>
  <si>
    <t>3/4 ton</t>
  </si>
  <si>
    <t>T&amp;D Meter Tech Sr.</t>
  </si>
  <si>
    <t>T&amp;D Meter Tech</t>
  </si>
  <si>
    <t>Meter Technician</t>
  </si>
  <si>
    <t>Meter Repair Tech Sr.</t>
  </si>
  <si>
    <t>Meter Analyst Sr.</t>
  </si>
  <si>
    <t>Hold Que Rep</t>
  </si>
  <si>
    <t>Field Service Rep</t>
  </si>
  <si>
    <t>MEASUREMENT SERVICES</t>
  </si>
  <si>
    <t>Cost per Service Order</t>
  </si>
  <si>
    <t>TOTAL COST</t>
  </si>
  <si>
    <t>Total AMS Orders</t>
  </si>
  <si>
    <t>Cost</t>
  </si>
  <si>
    <t>Hours</t>
  </si>
  <si>
    <t>Rate</t>
  </si>
  <si>
    <t>Non-Communication Dispatch</t>
  </si>
  <si>
    <t>Non-Communication Cost</t>
  </si>
  <si>
    <t>Sent to Dispatch</t>
  </si>
  <si>
    <t xml:space="preserve">   and System Service Rep Sr.</t>
  </si>
  <si>
    <t>* Broken meter seals are normally replaced by a Field Service Rep, however, approximately 20% are replaced by Meter Technicians, Revenue Security Reps</t>
  </si>
  <si>
    <t>Market Ops Specialst, Sr</t>
  </si>
  <si>
    <t>Sr. Engineer - Distribution Planning</t>
  </si>
  <si>
    <t>Sr. Engineer - System Protection</t>
  </si>
  <si>
    <t>Sr. Engineer - Distribution Major Design</t>
  </si>
  <si>
    <t>Sr. Engineer - Transmission Engineering</t>
  </si>
  <si>
    <t>Staff Engineer - Asset Planning</t>
  </si>
  <si>
    <t>Sr. Engineer - Metering</t>
  </si>
  <si>
    <t>1/2 Ton Truck</t>
  </si>
  <si>
    <t>3/4 Ton Truck</t>
  </si>
  <si>
    <t>Large Bucket Truck</t>
  </si>
  <si>
    <t>Trailer</t>
  </si>
  <si>
    <t>OTHER</t>
  </si>
  <si>
    <t>ENGINEERING</t>
  </si>
  <si>
    <t>TRANSPORTATION RATES</t>
  </si>
  <si>
    <t>Used for Distribution only.</t>
  </si>
  <si>
    <t>LABOR LOADING RATES</t>
  </si>
  <si>
    <t>Market Solutions Specialist</t>
  </si>
  <si>
    <t>TRANSPORTATION, METERING AND ENGINEERING DATA UPDATED</t>
  </si>
  <si>
    <t>need to update distribution and Market Ops Specialist 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</si>
</sst>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u/>
      <sz val="10"/>
      <color theme="1"/>
      <name val="Arial"/>
      <family val="2"/>
    </font>
    <font>
      <sz val="2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4" fontId="0" fillId="0" borderId="0" xfId="2" applyFont="1"/>
    <xf numFmtId="44" fontId="2" fillId="0" borderId="0" xfId="0" applyNumberFormat="1" applyFont="1" applyFill="1"/>
    <xf numFmtId="0" fontId="2" fillId="0" borderId="0" xfId="0" applyFont="1"/>
    <xf numFmtId="0" fontId="0" fillId="0" borderId="0" xfId="0" applyAlignment="1">
      <alignment horizontal="center"/>
    </xf>
    <xf numFmtId="44" fontId="0" fillId="0" borderId="0" xfId="2" applyNumberFormat="1" applyFont="1"/>
    <xf numFmtId="44" fontId="4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6" fontId="2" fillId="0" borderId="0" xfId="1" applyNumberFormat="1" applyFont="1" applyFill="1"/>
    <xf numFmtId="44" fontId="2" fillId="0" borderId="0" xfId="2" applyFont="1" applyFill="1"/>
    <xf numFmtId="0" fontId="2" fillId="0" borderId="0" xfId="0" applyFont="1" applyFill="1"/>
    <xf numFmtId="0" fontId="3" fillId="0" borderId="1" xfId="0" applyFont="1" applyFill="1" applyBorder="1" applyAlignment="1">
      <alignment horizontal="center" wrapText="1"/>
    </xf>
    <xf numFmtId="44" fontId="5" fillId="0" borderId="0" xfId="2" applyFont="1" applyFill="1"/>
    <xf numFmtId="0" fontId="5" fillId="0" borderId="0" xfId="0" applyFont="1" applyFill="1"/>
    <xf numFmtId="44" fontId="2" fillId="0" borderId="0" xfId="0" applyNumberFormat="1" applyFont="1" applyFill="1" applyAlignment="1">
      <alignment horizontal="left"/>
    </xf>
    <xf numFmtId="0" fontId="2" fillId="0" borderId="0" xfId="0" applyFont="1" applyFill="1" applyBorder="1" applyAlignment="1">
      <alignment horizontal="left" wrapText="1"/>
    </xf>
    <xf numFmtId="44" fontId="2" fillId="0" borderId="0" xfId="2" applyFont="1" applyFill="1" applyAlignment="1">
      <alignment horizontal="left"/>
    </xf>
    <xf numFmtId="166" fontId="2" fillId="0" borderId="0" xfId="1" applyNumberFormat="1" applyFont="1" applyFill="1" applyAlignment="1">
      <alignment horizontal="left"/>
    </xf>
    <xf numFmtId="165" fontId="5" fillId="0" borderId="0" xfId="2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164" fontId="5" fillId="0" borderId="0" xfId="3" applyNumberFormat="1" applyFont="1" applyFill="1" applyAlignment="1">
      <alignment horizontal="left"/>
    </xf>
    <xf numFmtId="10" fontId="5" fillId="0" borderId="0" xfId="3" applyNumberFormat="1" applyFont="1" applyFill="1" applyAlignment="1">
      <alignment horizontal="left"/>
    </xf>
    <xf numFmtId="44" fontId="5" fillId="0" borderId="0" xfId="2" applyFont="1" applyFill="1" applyAlignment="1">
      <alignment horizontal="left"/>
    </xf>
    <xf numFmtId="0" fontId="3" fillId="0" borderId="2" xfId="0" applyFont="1" applyFill="1" applyBorder="1"/>
    <xf numFmtId="165" fontId="2" fillId="0" borderId="0" xfId="2" applyNumberFormat="1" applyFont="1" applyFill="1"/>
    <xf numFmtId="166" fontId="5" fillId="0" borderId="0" xfId="1" applyNumberFormat="1" applyFont="1" applyFill="1"/>
    <xf numFmtId="166" fontId="3" fillId="0" borderId="1" xfId="1" applyNumberFormat="1" applyFont="1" applyFill="1" applyBorder="1" applyAlignment="1">
      <alignment horizontal="center" wrapText="1"/>
    </xf>
    <xf numFmtId="44" fontId="0" fillId="0" borderId="0" xfId="2" applyFont="1" applyBorder="1"/>
    <xf numFmtId="3" fontId="6" fillId="0" borderId="0" xfId="0" quotePrefix="1" applyNumberFormat="1" applyFont="1" applyFill="1" applyBorder="1"/>
    <xf numFmtId="166" fontId="0" fillId="0" borderId="0" xfId="1" applyNumberFormat="1" applyFont="1" applyBorder="1"/>
    <xf numFmtId="0" fontId="3" fillId="0" borderId="0" xfId="0" applyFont="1" applyFill="1"/>
    <xf numFmtId="166" fontId="0" fillId="0" borderId="0" xfId="1" applyNumberFormat="1" applyFont="1"/>
    <xf numFmtId="0" fontId="2" fillId="0" borderId="0" xfId="0" applyFont="1" applyFill="1" applyBorder="1" applyAlignment="1">
      <alignment horizontal="left"/>
    </xf>
    <xf numFmtId="0" fontId="0" fillId="0" borderId="0" xfId="0" applyAlignment="1"/>
    <xf numFmtId="43" fontId="5" fillId="0" borderId="0" xfId="1" applyFont="1" applyFill="1"/>
    <xf numFmtId="0" fontId="7" fillId="0" borderId="0" xfId="0" applyFont="1" applyFill="1"/>
    <xf numFmtId="10" fontId="2" fillId="0" borderId="0" xfId="3" applyNumberFormat="1" applyFont="1" applyFill="1"/>
    <xf numFmtId="165" fontId="5" fillId="0" borderId="0" xfId="0" applyNumberFormat="1" applyFont="1" applyFill="1"/>
    <xf numFmtId="166" fontId="5" fillId="0" borderId="0" xfId="1" applyNumberFormat="1" applyFont="1" applyFill="1" applyAlignment="1">
      <alignment horizontal="left"/>
    </xf>
    <xf numFmtId="166" fontId="5" fillId="0" borderId="0" xfId="0" applyNumberFormat="1" applyFont="1" applyFill="1"/>
    <xf numFmtId="0" fontId="11" fillId="0" borderId="0" xfId="0" applyFont="1" applyFill="1"/>
    <xf numFmtId="0" fontId="8" fillId="2" borderId="0" xfId="0" applyFont="1" applyFill="1" applyAlignment="1">
      <alignment horizont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Id3" /><Relationship Type="http://schemas.openxmlformats.org/officeDocument/2006/relationships/vmlDrawing" Target="../drawings/vmlDrawing1.vml" Id="rId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R68"/>
  <x:sheetViews>
    <x:sheetView tabSelected="1" view="pageBreakPreview" zoomScaleNormal="100" zoomScaleSheetLayoutView="100" workbookViewId="0"/>
  </x:sheetViews>
  <x:sheetFormatPr defaultRowHeight="12.5" x14ac:dyDescent="0.25"/>
  <x:cols>
    <x:col min="1" max="1" width="30.36328125" style="14" customWidth="1"/>
    <x:col min="2" max="2" width="12.08984375" style="14" bestFit="1" customWidth="1"/>
    <x:col min="3" max="3" width="11.7265625" style="14" bestFit="1" customWidth="1"/>
    <x:col min="4" max="4" width="11.26953125" style="14" bestFit="1" customWidth="1"/>
    <x:col min="5" max="5" width="13.81640625" style="14" bestFit="1" customWidth="1"/>
    <x:col min="6" max="6" width="10.1796875" style="14" bestFit="1" customWidth="1"/>
    <x:col min="7" max="7" width="14.90625" style="14" customWidth="1"/>
    <x:col min="8" max="8" width="32.81640625" style="14" bestFit="1" customWidth="1"/>
    <x:col min="9" max="9" width="8.7265625" style="26" bestFit="1" customWidth="1"/>
    <x:col min="10" max="10" width="8.90625" style="26" customWidth="1"/>
    <x:col min="11" max="11" width="11.26953125" style="40" bestFit="1" customWidth="1"/>
    <x:col min="12" max="14" width="8.7265625" style="14"/>
    <x:col min="15" max="15" width="24.90625" style="14" bestFit="1" customWidth="1"/>
    <x:col min="16" max="16384" width="8.7265625" style="14"/>
  </x:cols>
  <x:sheetData>
    <x:row r="1" spans="1:18" ht="14.5" customHeight="1" x14ac:dyDescent="0.25">
      <x:c r="O1" s="42" t="s">
        <x:v>70</x:v>
      </x:c>
      <x:c r="P1" s="42"/>
      <x:c r="Q1" s="42"/>
      <x:c r="R1" s="42"/>
    </x:row>
    <x:row r="2" spans="1:18" x14ac:dyDescent="0.25">
      <x:c r="A2" s="11"/>
      <x:c r="B2" s="11"/>
      <x:c r="C2" s="11"/>
      <x:c r="O2" s="42"/>
      <x:c r="P2" s="42"/>
      <x:c r="Q2" s="42"/>
      <x:c r="R2" s="42"/>
    </x:row>
    <x:row r="3" spans="1:18" x14ac:dyDescent="0.25">
      <x:c r="A3" s="11"/>
      <x:c r="B3" s="11"/>
      <x:c r="C3" s="11"/>
      <x:c r="O3" s="42"/>
      <x:c r="P3" s="42"/>
      <x:c r="Q3" s="42"/>
      <x:c r="R3" s="42"/>
    </x:row>
    <x:row r="4" spans="1:18" ht="14.5" customHeight="1" x14ac:dyDescent="0.25">
      <x:c r="A4" s="11"/>
      <x:c r="B4" s="11"/>
      <x:c r="C4" s="11"/>
      <x:c r="O4" s="42"/>
      <x:c r="P4" s="42"/>
      <x:c r="Q4" s="42"/>
      <x:c r="R4" s="42"/>
    </x:row>
    <x:row r="5" spans="1:18" ht="12.5" customHeight="1" x14ac:dyDescent="0.25">
      <x:c r="A5" s="11"/>
      <x:c r="B5" s="11"/>
      <x:c r="C5" s="11"/>
      <x:c r="O5" s="42"/>
      <x:c r="P5" s="42"/>
      <x:c r="Q5" s="42"/>
      <x:c r="R5" s="42"/>
    </x:row>
    <x:row r="6" spans="1:18" ht="12.5" customHeight="1" x14ac:dyDescent="0.25">
      <x:c r="D6" s="11"/>
      <x:c r="E6" s="11"/>
      <x:c r="F6" s="11"/>
      <x:c r="G6" s="11"/>
      <x:c r="H6" s="11"/>
      <x:c r="I6" s="9"/>
      <x:c r="J6" s="9"/>
      <x:c r="O6" s="42"/>
      <x:c r="P6" s="42"/>
      <x:c r="Q6" s="42"/>
      <x:c r="R6" s="42"/>
    </x:row>
    <x:row r="7" spans="1:18" ht="13" customHeight="1" x14ac:dyDescent="0.3">
      <x:c r="A7" s="36" t="s">
        <x:v>68</x:v>
      </x:c>
      <x:c r="O7" s="42"/>
      <x:c r="P7" s="42"/>
      <x:c r="Q7" s="42"/>
      <x:c r="R7" s="42"/>
    </x:row>
    <x:row r="8" spans="1:18" ht="12.5" customHeight="1" x14ac:dyDescent="0.25">
      <x:c r="A8" s="11" t="s">
        <x:v>0</x:v>
      </x:c>
      <x:c r="B8" s="11"/>
      <x:c r="C8" s="37">
        <x:v>0.1774</x:v>
      </x:c>
      <x:c r="D8" s="11"/>
      <x:c r="E8" s="11"/>
      <x:c r="F8" s="11"/>
      <x:c r="G8" s="11"/>
      <x:c r="H8" s="11"/>
      <x:c r="I8" s="9"/>
      <x:c r="J8" s="9"/>
      <x:c r="O8" s="42"/>
      <x:c r="P8" s="42"/>
      <x:c r="Q8" s="42"/>
      <x:c r="R8" s="42"/>
    </x:row>
    <x:row r="9" spans="1:18" ht="12.5" customHeight="1" x14ac:dyDescent="0.25">
      <x:c r="A9" s="11" t="s">
        <x:v>15</x:v>
      </x:c>
      <x:c r="B9" s="11"/>
      <x:c r="C9" s="37">
        <x:v>0</x:v>
      </x:c>
      <x:c r="D9" s="37"/>
      <x:c r="E9" s="11"/>
      <x:c r="F9" s="11"/>
      <x:c r="G9" s="11"/>
      <x:c r="H9" s="11"/>
      <x:c r="I9" s="9"/>
      <x:c r="J9" s="9"/>
      <x:c r="O9" s="42"/>
      <x:c r="P9" s="42"/>
      <x:c r="Q9" s="42"/>
      <x:c r="R9" s="42"/>
    </x:row>
    <x:row r="10" spans="1:18" ht="12.5" customHeight="1" x14ac:dyDescent="0.25">
      <x:c r="A10" s="11" t="s">
        <x:v>14</x:v>
      </x:c>
      <x:c r="B10" s="11"/>
      <x:c r="C10" s="37">
        <x:v>0</x:v>
      </x:c>
      <x:c r="D10" s="37"/>
      <x:c r="E10" s="11"/>
      <x:c r="F10" s="11"/>
      <x:c r="G10" s="11"/>
      <x:c r="H10" s="11"/>
      <x:c r="I10" s="9"/>
      <x:c r="J10" s="9"/>
      <x:c r="O10" s="42"/>
      <x:c r="P10" s="42"/>
      <x:c r="Q10" s="42"/>
      <x:c r="R10" s="42"/>
    </x:row>
    <x:row r="11" spans="1:18" ht="13" x14ac:dyDescent="0.3">
      <x:c r="A11" s="11" t="s">
        <x:v>13</x:v>
      </x:c>
      <x:c r="B11" s="11"/>
      <x:c r="C11" s="37">
        <x:v>7.6499999999999999E-2</x:v>
      </x:c>
      <x:c r="D11" s="11"/>
      <x:c r="E11" s="11"/>
      <x:c r="F11" s="11"/>
      <x:c r="G11" s="11"/>
      <x:c r="H11" s="11"/>
      <x:c r="I11" s="9"/>
      <x:c r="J11" s="9"/>
      <x:c r="O11" s="41" t="s">
        <x:v>71</x:v>
      </x:c>
    </x:row>
    <x:row r="12" spans="1:18" x14ac:dyDescent="0.25">
      <x:c r="A12" s="11" t="s">
        <x:v>12</x:v>
      </x:c>
      <x:c r="B12" s="11"/>
      <x:c r="C12" s="37">
        <x:v>0.16320000000000001</x:v>
      </x:c>
      <x:c r="D12" s="11" t="s">
        <x:v>67</x:v>
      </x:c>
      <x:c r="E12" s="11"/>
      <x:c r="F12" s="11"/>
      <x:c r="G12" s="11"/>
      <x:c r="H12" s="11"/>
      <x:c r="I12" s="9"/>
      <x:c r="J12" s="9"/>
    </x:row>
    <x:row r="13" spans="1:18" x14ac:dyDescent="0.25">
      <x:c r="A13" s="11"/>
      <x:c r="B13" s="11"/>
      <x:c r="C13" s="11"/>
      <x:c r="D13" s="11"/>
      <x:c r="E13" s="11"/>
      <x:c r="F13" s="11"/>
      <x:c r="G13" s="11"/>
      <x:c r="H13" s="11"/>
      <x:c r="I13" s="9"/>
      <x:c r="J13" s="9"/>
    </x:row>
    <x:row r="14" spans="1:18" ht="13" x14ac:dyDescent="0.3">
      <x:c r="A14" s="31" t="s">
        <x:v>41</x:v>
      </x:c>
      <x:c r="B14" s="11"/>
      <x:c r="C14" s="25"/>
      <x:c r="D14" s="11"/>
      <x:c r="E14" s="11"/>
      <x:c r="F14" s="11"/>
      <x:c r="G14" s="11"/>
      <x:c r="H14" s="11"/>
      <x:c r="I14" s="9"/>
      <x:c r="J14" s="9"/>
    </x:row>
    <x:row r="15" spans="1:18" ht="39" x14ac:dyDescent="0.3">
      <x:c r="A15" s="12" t="s">
        <x:v>11</x:v>
      </x:c>
      <x:c r="B15" s="12" t="s">
        <x:v>10</x:v>
      </x:c>
      <x:c r="C15" s="12" t="s">
        <x:v>9</x:v>
      </x:c>
      <x:c r="D15" s="12" t="s">
        <x:v>8</x:v>
      </x:c>
      <x:c r="E15" s="12" t="s">
        <x:v>7</x:v>
      </x:c>
      <x:c r="F15" s="12" t="s">
        <x:v>6</x:v>
      </x:c>
      <x:c r="G15" s="12" t="s">
        <x:v>5</x:v>
      </x:c>
      <x:c r="H15" s="12" t="s">
        <x:v>4</x:v>
      </x:c>
      <x:c r="I15" s="27" t="s">
        <x:v>3</x:v>
      </x:c>
      <x:c r="J15" s="27" t="s">
        <x:v>2</x:v>
      </x:c>
    </x:row>
    <x:row r="16" spans="1:18" x14ac:dyDescent="0.25">
      <x:c r="A16" s="11" t="s">
        <x:v>40</x:v>
      </x:c>
      <x:c r="B16" s="25">
        <x:f t="shared" ref="B16:B25" si="0">J16</x:f>
        <x:v>5444.416666666667</x:v>
      </x:c>
      <x:c r="C16" s="10">
        <x:v>31.41</x:v>
      </x:c>
      <x:c r="D16" s="10">
        <x:f t="shared" ref="D16:D25" si="1">ROUND(C16+(C16*($C$11))+(C16*($C$8+$C$10)),2)</x:f>
        <x:v>39.380000000000003</x:v>
      </x:c>
      <x:c r="E16" s="2">
        <x:f t="shared" ref="E16:E25" si="2">ROUND((($C16*1.5)*1.0765),2)</x:f>
        <x:v>50.72</x:v>
      </x:c>
      <x:c r="F16" s="2">
        <x:f t="shared" ref="F16:F25" si="3">ROUND((($C16*2)*1.0765),2)</x:f>
        <x:v>67.63</x:v>
      </x:c>
      <x:c r="G16" s="2">
        <x:f>B67</x:f>
        <x:v>8</x:v>
      </x:c>
      <x:c r="H16" s="2" t="s">
        <x:v>31</x:v>
      </x:c>
      <x:c r="I16" s="9">
        <x:v>65333</x:v>
      </x:c>
      <x:c r="J16" s="9">
        <x:f t="shared" ref="J16:J25" si="4">I16/12</x:f>
        <x:v>5444.416666666667</x:v>
      </x:c>
    </x:row>
    <x:row r="17" spans="1:11" s="11" customFormat="1" x14ac:dyDescent="0.25">
      <x:c r="A17" s="11" t="s">
        <x:v>39</x:v>
      </x:c>
      <x:c r="B17" s="25">
        <x:f t="shared" si="0"/>
        <x:v>5622.083333333333</x:v>
      </x:c>
      <x:c r="C17" s="10">
        <x:f t="shared" ref="C17:C24" si="5">ROUND(B17/173.3,2)</x:f>
        <x:v>32.44</x:v>
      </x:c>
      <x:c r="D17" s="10">
        <x:f t="shared" si="1"/>
        <x:v>40.68</x:v>
      </x:c>
      <x:c r="E17" s="2">
        <x:f t="shared" si="2"/>
        <x:v>52.38</x:v>
      </x:c>
      <x:c r="F17" s="2">
        <x:f t="shared" si="3"/>
        <x:v>69.84</x:v>
      </x:c>
      <x:c r="G17" s="2"/>
      <x:c r="I17" s="9">
        <x:v>67465</x:v>
      </x:c>
      <x:c r="J17" s="9">
        <x:f t="shared" si="4"/>
        <x:v>5622.083333333333</x:v>
      </x:c>
      <x:c r="K17" s="40"/>
    </x:row>
    <x:row r="18" spans="1:11" s="11" customFormat="1" x14ac:dyDescent="0.25">
      <x:c r="A18" s="11" t="s">
        <x:v>38</x:v>
      </x:c>
      <x:c r="B18" s="25">
        <x:f t="shared" si="0"/>
        <x:v>9686.9166666666661</x:v>
      </x:c>
      <x:c r="C18" s="10">
        <x:f t="shared" si="5"/>
        <x:v>55.9</x:v>
      </x:c>
      <x:c r="D18" s="10">
        <x:f t="shared" si="1"/>
        <x:v>70.09</x:v>
      </x:c>
      <x:c r="E18" s="2">
        <x:f t="shared" si="2"/>
        <x:v>90.26</x:v>
      </x:c>
      <x:c r="F18" s="2">
        <x:f t="shared" si="3"/>
        <x:v>120.35</x:v>
      </x:c>
      <x:c r="I18" s="9">
        <x:v>116243</x:v>
      </x:c>
      <x:c r="J18" s="9">
        <x:f t="shared" si="4"/>
        <x:v>9686.9166666666661</x:v>
      </x:c>
      <x:c r="K18" s="40"/>
    </x:row>
    <x:row r="19" spans="1:11" s="11" customFormat="1" x14ac:dyDescent="0.25">
      <x:c r="A19" s="11" t="s">
        <x:v>37</x:v>
      </x:c>
      <x:c r="B19" s="25">
        <x:f t="shared" si="0"/>
        <x:v>8945.8333333333339</x:v>
      </x:c>
      <x:c r="C19" s="10">
        <x:f t="shared" si="5"/>
        <x:v>51.62</x:v>
      </x:c>
      <x:c r="D19" s="10">
        <x:f t="shared" si="1"/>
        <x:v>64.73</x:v>
      </x:c>
      <x:c r="E19" s="2">
        <x:f t="shared" si="2"/>
        <x:v>83.35</x:v>
      </x:c>
      <x:c r="F19" s="2">
        <x:f t="shared" si="3"/>
        <x:v>111.14</x:v>
      </x:c>
      <x:c r="I19" s="9">
        <x:v>107350</x:v>
      </x:c>
      <x:c r="J19" s="9">
        <x:f t="shared" si="4"/>
        <x:v>8945.8333333333339</x:v>
      </x:c>
      <x:c r="K19" s="40"/>
    </x:row>
    <x:row r="20" spans="1:11" x14ac:dyDescent="0.25">
      <x:c r="A20" s="11" t="s">
        <x:v>36</x:v>
      </x:c>
      <x:c r="B20" s="25">
        <x:f t="shared" si="0"/>
        <x:v>7369.666666666667</x:v>
      </x:c>
      <x:c r="C20" s="10">
        <x:f t="shared" si="5"/>
        <x:v>42.53</x:v>
      </x:c>
      <x:c r="D20" s="10">
        <x:f t="shared" si="1"/>
        <x:v>53.33</x:v>
      </x:c>
      <x:c r="E20" s="2">
        <x:f t="shared" si="2"/>
        <x:v>68.680000000000007</x:v>
      </x:c>
      <x:c r="F20" s="2">
        <x:f t="shared" si="3"/>
        <x:v>91.57</x:v>
      </x:c>
      <x:c r="G20" s="2">
        <x:f>G16</x:f>
        <x:v>8</x:v>
      </x:c>
      <x:c r="H20" s="2" t="s">
        <x:v>31</x:v>
      </x:c>
      <x:c r="I20" s="9">
        <x:v>88436</x:v>
      </x:c>
      <x:c r="J20" s="9">
        <x:f t="shared" si="4"/>
        <x:v>7369.666666666667</x:v>
      </x:c>
    </x:row>
    <x:row r="21" spans="1:11" x14ac:dyDescent="0.25">
      <x:c r="A21" s="11" t="s">
        <x:v>35</x:v>
      </x:c>
      <x:c r="B21" s="25">
        <x:f t="shared" si="0"/>
        <x:v>8112.916666666667</x:v>
      </x:c>
      <x:c r="C21" s="10">
        <x:f t="shared" si="5"/>
        <x:v>46.81</x:v>
      </x:c>
      <x:c r="D21" s="10">
        <x:f t="shared" si="1"/>
        <x:v>58.7</x:v>
      </x:c>
      <x:c r="E21" s="2">
        <x:f t="shared" si="2"/>
        <x:v>75.59</x:v>
      </x:c>
      <x:c r="F21" s="2">
        <x:f t="shared" si="3"/>
        <x:v>100.78</x:v>
      </x:c>
      <x:c r="G21" s="2">
        <x:f>G16</x:f>
        <x:v>8</x:v>
      </x:c>
      <x:c r="H21" s="2" t="s">
        <x:v>31</x:v>
      </x:c>
      <x:c r="I21" s="9">
        <x:v>97355</x:v>
      </x:c>
      <x:c r="J21" s="9">
        <x:f t="shared" si="4"/>
        <x:v>8112.916666666667</x:v>
      </x:c>
    </x:row>
    <x:row r="22" spans="1:11" x14ac:dyDescent="0.25">
      <x:c r="A22" s="11" t="s">
        <x:v>34</x:v>
      </x:c>
      <x:c r="B22" s="25">
        <x:f t="shared" si="0"/>
        <x:v>9873.5833333333339</x:v>
      </x:c>
      <x:c r="C22" s="10">
        <x:f t="shared" si="5"/>
        <x:v>56.97</x:v>
      </x:c>
      <x:c r="D22" s="10">
        <x:f t="shared" si="1"/>
        <x:v>71.430000000000007</x:v>
      </x:c>
      <x:c r="E22" s="2">
        <x:f t="shared" si="2"/>
        <x:v>91.99</x:v>
      </x:c>
      <x:c r="F22" s="2">
        <x:f t="shared" si="3"/>
        <x:v>122.66</x:v>
      </x:c>
      <x:c r="G22" s="2">
        <x:f>B68</x:f>
        <x:v>13</x:v>
      </x:c>
      <x:c r="H22" s="2" t="s">
        <x:v>33</x:v>
      </x:c>
      <x:c r="I22" s="9">
        <x:v>118483</x:v>
      </x:c>
      <x:c r="J22" s="9">
        <x:f t="shared" si="4"/>
        <x:v>9873.5833333333339</x:v>
      </x:c>
    </x:row>
    <x:row r="23" spans="1:11" x14ac:dyDescent="0.25">
      <x:c r="A23" s="11" t="s">
        <x:v>32</x:v>
      </x:c>
      <x:c r="B23" s="25">
        <x:f t="shared" si="0"/>
        <x:v>5776</x:v>
      </x:c>
      <x:c r="C23" s="10">
        <x:f t="shared" si="5"/>
        <x:v>33.33</x:v>
      </x:c>
      <x:c r="D23" s="10">
        <x:f t="shared" si="1"/>
        <x:v>41.79</x:v>
      </x:c>
      <x:c r="E23" s="2">
        <x:f t="shared" si="2"/>
        <x:v>53.82</x:v>
      </x:c>
      <x:c r="F23" s="2">
        <x:f t="shared" si="3"/>
        <x:v>71.760000000000005</x:v>
      </x:c>
      <x:c r="G23" s="2">
        <x:f>G16</x:f>
        <x:v>8</x:v>
      </x:c>
      <x:c r="H23" s="2" t="s">
        <x:v>31</x:v>
      </x:c>
      <x:c r="I23" s="9">
        <x:v>69312</x:v>
      </x:c>
      <x:c r="J23" s="9">
        <x:f t="shared" si="4"/>
        <x:v>5776</x:v>
      </x:c>
    </x:row>
    <x:row r="24" spans="1:11" x14ac:dyDescent="0.25">
      <x:c r="A24" s="11" t="s">
        <x:v>30</x:v>
      </x:c>
      <x:c r="B24" s="25">
        <x:f t="shared" si="0"/>
        <x:v>7718.166666666667</x:v>
      </x:c>
      <x:c r="C24" s="10">
        <x:f t="shared" si="5"/>
        <x:v>44.54</x:v>
      </x:c>
      <x:c r="D24" s="10">
        <x:f t="shared" si="1"/>
        <x:v>55.85</x:v>
      </x:c>
      <x:c r="E24" s="2">
        <x:f t="shared" si="2"/>
        <x:v>71.92</x:v>
      </x:c>
      <x:c r="F24" s="2">
        <x:f t="shared" si="3"/>
        <x:v>95.89</x:v>
      </x:c>
      <x:c r="G24" s="2"/>
      <x:c r="H24" s="2"/>
      <x:c r="I24" s="9">
        <x:v>92618</x:v>
      </x:c>
      <x:c r="J24" s="9">
        <x:f t="shared" si="4"/>
        <x:v>7718.166666666667</x:v>
      </x:c>
    </x:row>
    <x:row r="25" spans="1:11" x14ac:dyDescent="0.25">
      <x:c r="A25" s="11" t="s">
        <x:v>29</x:v>
      </x:c>
      <x:c r="B25" s="25">
        <x:f t="shared" si="0"/>
        <x:v>6716.25</x:v>
      </x:c>
      <x:c r="C25" s="10">
        <x:f>ROUND(B25/173.3,2)</x:f>
        <x:v>38.76</x:v>
      </x:c>
      <x:c r="D25" s="10">
        <x:f t="shared" si="1"/>
        <x:v>48.6</x:v>
      </x:c>
      <x:c r="E25" s="2">
        <x:f t="shared" si="2"/>
        <x:v>62.59</x:v>
      </x:c>
      <x:c r="F25" s="2">
        <x:f t="shared" si="3"/>
        <x:v>83.45</x:v>
      </x:c>
      <x:c r="G25" s="2">
        <x:f>B64</x:f>
        <x:v>29</x:v>
      </x:c>
      <x:c r="H25" s="2" t="s">
        <x:v>28</x:v>
      </x:c>
      <x:c r="I25" s="9">
        <x:v>80595</x:v>
      </x:c>
      <x:c r="J25" s="9">
        <x:f t="shared" si="4"/>
        <x:v>6716.25</x:v>
      </x:c>
    </x:row>
    <x:row r="27" spans="1:11" x14ac:dyDescent="0.25">
      <x:c r="A27" s="14" t="s">
        <x:v>27</x:v>
      </x:c>
      <x:c r="B27" s="38">
        <x:f t="shared" ref="B27:G27" si="6">AVERAGE(B20,B23,B25)</x:f>
        <x:v>6620.6388888888896</x:v>
      </x:c>
      <x:c r="C27" s="13">
        <x:f t="shared" si="6"/>
        <x:v>38.206666666666671</x:v>
      </x:c>
      <x:c r="D27" s="13">
        <x:f t="shared" si="6"/>
        <x:v>47.906666666666666</x:v>
      </x:c>
      <x:c r="E27" s="13">
        <x:f t="shared" si="6"/>
        <x:v>61.696666666666665</x:v>
      </x:c>
      <x:c r="F27" s="13">
        <x:f t="shared" si="6"/>
        <x:v>82.259999999999991</x:v>
      </x:c>
      <x:c r="G27" s="13">
        <x:f t="shared" si="6"/>
        <x:v>15</x:v>
      </x:c>
    </x:row>
    <x:row r="28" spans="1:11" x14ac:dyDescent="0.25">
      <x:c r="B28" s="38"/>
      <x:c r="C28" s="13"/>
      <x:c r="D28" s="13"/>
      <x:c r="E28" s="13"/>
      <x:c r="F28" s="13"/>
      <x:c r="G28" s="13"/>
    </x:row>
    <x:row r="29" spans="1:11" x14ac:dyDescent="0.25">
      <x:c r="A29" s="14" t="s">
        <x:v>52</x:v>
      </x:c>
    </x:row>
    <x:row r="30" spans="1:11" x14ac:dyDescent="0.25">
      <x:c r="A30" s="14" t="s">
        <x:v>51</x:v>
      </x:c>
    </x:row>
    <x:row r="33" spans="1:11" ht="13" x14ac:dyDescent="0.3">
      <x:c r="A33" s="31" t="s">
        <x:v>26</x:v>
      </x:c>
    </x:row>
    <x:row r="34" spans="1:11" ht="39" x14ac:dyDescent="0.3">
      <x:c r="A34" s="12" t="s">
        <x:v>11</x:v>
      </x:c>
      <x:c r="B34" s="12" t="s">
        <x:v>10</x:v>
      </x:c>
      <x:c r="C34" s="12" t="s">
        <x:v>9</x:v>
      </x:c>
      <x:c r="D34" s="12" t="s">
        <x:v>8</x:v>
      </x:c>
      <x:c r="E34" s="12" t="s">
        <x:v>7</x:v>
      </x:c>
      <x:c r="F34" s="12" t="s">
        <x:v>6</x:v>
      </x:c>
      <x:c r="G34" s="12" t="s">
        <x:v>5</x:v>
      </x:c>
      <x:c r="H34" s="12" t="s">
        <x:v>4</x:v>
      </x:c>
      <x:c r="I34" s="27" t="s">
        <x:v>3</x:v>
      </x:c>
      <x:c r="J34" s="27" t="s">
        <x:v>2</x:v>
      </x:c>
    </x:row>
    <x:row r="35" spans="1:11" x14ac:dyDescent="0.25">
      <x:c r="A35" s="11" t="s">
        <x:v>25</x:v>
      </x:c>
      <x:c r="B35" s="19">
        <x:f t="shared" ref="B35:B41" si="7">J35</x:f>
        <x:v>9150</x:v>
      </x:c>
      <x:c r="C35" s="17">
        <x:f t="shared" ref="C35:C41" si="8">ROUND(B35/173.3,2)</x:f>
        <x:v>52.8</x:v>
      </x:c>
      <x:c r="D35" s="17">
        <x:f t="shared" ref="D35:D41" si="9">ROUND(C35+(C35*($C$12+$C$11))+(C35*($C$8+$C$10)),2)</x:f>
        <x:v>74.819999999999993</x:v>
      </x:c>
      <x:c r="E35" s="15">
        <x:f t="shared" ref="E35:E41" si="10">ROUND((($C35*1.5)*1.0765),2)</x:f>
        <x:v>85.26</x:v>
      </x:c>
      <x:c r="F35" s="15">
        <x:f t="shared" ref="F35:F41" si="11">ROUND((($C35*2)*1.0765),2)</x:f>
        <x:v>113.68</x:v>
      </x:c>
      <x:c r="G35" s="2">
        <x:f>B64</x:f>
        <x:v>29</x:v>
      </x:c>
      <x:c r="H35" s="2" t="s">
        <x:v>23</x:v>
      </x:c>
      <x:c r="I35" s="26">
        <x:f t="shared" ref="I35:I41" si="12">12*J35</x:f>
        <x:v>109800</x:v>
      </x:c>
      <x:c r="J35" s="26">
        <x:v>9150</x:v>
      </x:c>
    </x:row>
    <x:row r="36" spans="1:11" x14ac:dyDescent="0.25">
      <x:c r="A36" s="11" t="s">
        <x:v>24</x:v>
      </x:c>
      <x:c r="B36" s="19">
        <x:f t="shared" si="7"/>
        <x:v>10141</x:v>
      </x:c>
      <x:c r="C36" s="17">
        <x:f t="shared" si="8"/>
        <x:v>58.52</x:v>
      </x:c>
      <x:c r="D36" s="17">
        <x:f t="shared" si="9"/>
        <x:v>82.93</x:v>
      </x:c>
      <x:c r="E36" s="15">
        <x:f t="shared" si="10"/>
        <x:v>94.5</x:v>
      </x:c>
      <x:c r="F36" s="15">
        <x:f t="shared" si="11"/>
        <x:v>125.99</x:v>
      </x:c>
      <x:c r="G36" s="2">
        <x:f>G35</x:f>
        <x:v>29</x:v>
      </x:c>
      <x:c r="H36" s="2" t="s">
        <x:v>23</x:v>
      </x:c>
      <x:c r="I36" s="26">
        <x:f t="shared" si="12"/>
        <x:v>121692</x:v>
      </x:c>
      <x:c r="J36" s="26">
        <x:v>10141</x:v>
      </x:c>
    </x:row>
    <x:row r="37" spans="1:11" x14ac:dyDescent="0.25">
      <x:c r="A37" s="11" t="s">
        <x:v>22</x:v>
      </x:c>
      <x:c r="B37" s="19">
        <x:f t="shared" si="7"/>
        <x:v>9500</x:v>
      </x:c>
      <x:c r="C37" s="17">
        <x:f t="shared" si="8"/>
        <x:v>54.82</x:v>
      </x:c>
      <x:c r="D37" s="17">
        <x:f t="shared" si="9"/>
        <x:v>77.69</x:v>
      </x:c>
      <x:c r="E37" s="15">
        <x:f t="shared" si="10"/>
        <x:v>88.52</x:v>
      </x:c>
      <x:c r="F37" s="15">
        <x:f t="shared" si="11"/>
        <x:v>118.03</x:v>
      </x:c>
      <x:c r="G37" s="2"/>
      <x:c r="H37" s="2"/>
      <x:c r="I37" s="26">
        <x:f t="shared" si="12"/>
        <x:v>114000</x:v>
      </x:c>
      <x:c r="J37" s="26">
        <x:v>9500</x:v>
      </x:c>
    </x:row>
    <x:row r="38" spans="1:11" x14ac:dyDescent="0.25">
      <x:c r="A38" s="11" t="s">
        <x:v>21</x:v>
      </x:c>
      <x:c r="B38" s="19">
        <x:f t="shared" si="7"/>
        <x:v>5066</x:v>
      </x:c>
      <x:c r="C38" s="17">
        <x:f t="shared" si="8"/>
        <x:v>29.23</x:v>
      </x:c>
      <x:c r="D38" s="17">
        <x:f t="shared" si="9"/>
        <x:v>41.42</x:v>
      </x:c>
      <x:c r="E38" s="15">
        <x:f t="shared" si="10"/>
        <x:v>47.2</x:v>
      </x:c>
      <x:c r="F38" s="15">
        <x:f t="shared" si="11"/>
        <x:v>62.93</x:v>
      </x:c>
      <x:c r="G38" s="2"/>
      <x:c r="H38" s="2"/>
      <x:c r="I38" s="26">
        <x:f t="shared" si="12"/>
        <x:v>60792</x:v>
      </x:c>
      <x:c r="J38" s="9">
        <x:v>5066</x:v>
      </x:c>
    </x:row>
    <x:row r="39" spans="1:11" x14ac:dyDescent="0.25">
      <x:c r="A39" s="11" t="s">
        <x:v>20</x:v>
      </x:c>
      <x:c r="B39" s="19">
        <x:f t="shared" si="7"/>
        <x:v>9824</x:v>
      </x:c>
      <x:c r="C39" s="17">
        <x:f t="shared" si="8"/>
        <x:v>56.69</x:v>
      </x:c>
      <x:c r="D39" s="17">
        <x:f t="shared" si="9"/>
        <x:v>80.34</x:v>
      </x:c>
      <x:c r="E39" s="15">
        <x:f t="shared" si="10"/>
        <x:v>91.54</x:v>
      </x:c>
      <x:c r="F39" s="15">
        <x:f t="shared" si="11"/>
        <x:v>122.05</x:v>
      </x:c>
      <x:c r="G39" s="2">
        <x:f>B67</x:f>
        <x:v>8</x:v>
      </x:c>
      <x:c r="H39" s="2" t="s">
        <x:v>16</x:v>
      </x:c>
      <x:c r="I39" s="26">
        <x:f t="shared" si="12"/>
        <x:v>117888</x:v>
      </x:c>
      <x:c r="J39" s="26">
        <x:v>9824</x:v>
      </x:c>
    </x:row>
    <x:row r="40" spans="1:11" x14ac:dyDescent="0.25">
      <x:c r="A40" s="11" t="s">
        <x:v>19</x:v>
      </x:c>
      <x:c r="B40" s="19">
        <x:f t="shared" si="7"/>
        <x:v>28054</x:v>
      </x:c>
      <x:c r="C40" s="17">
        <x:f t="shared" si="8"/>
        <x:v>161.88</x:v>
      </x:c>
      <x:c r="D40" s="17">
        <x:f t="shared" si="9"/>
        <x:v>229.4</x:v>
      </x:c>
      <x:c r="E40" s="15">
        <x:f t="shared" si="10"/>
        <x:v>261.39999999999998</x:v>
      </x:c>
      <x:c r="F40" s="15">
        <x:f t="shared" si="11"/>
        <x:v>348.53</x:v>
      </x:c>
      <x:c r="G40" s="2">
        <x:f>B65+B66+B68</x:f>
        <x:v>59</x:v>
      </x:c>
      <x:c r="H40" s="2" t="s">
        <x:v>18</x:v>
      </x:c>
      <x:c r="I40" s="26">
        <x:f t="shared" si="12"/>
        <x:v>336648</x:v>
      </x:c>
      <x:c r="J40" s="26">
        <x:v>28054</x:v>
      </x:c>
    </x:row>
    <x:row r="41" spans="1:11" x14ac:dyDescent="0.25">
      <x:c r="A41" s="11" t="s">
        <x:v>17</x:v>
      </x:c>
      <x:c r="B41" s="19">
        <x:f t="shared" si="7"/>
        <x:v>6957</x:v>
      </x:c>
      <x:c r="C41" s="17">
        <x:f t="shared" si="8"/>
        <x:v>40.14</x:v>
      </x:c>
      <x:c r="D41" s="17">
        <x:f t="shared" si="9"/>
        <x:v>56.88</x:v>
      </x:c>
      <x:c r="E41" s="15">
        <x:f t="shared" si="10"/>
        <x:v>64.819999999999993</x:v>
      </x:c>
      <x:c r="F41" s="15">
        <x:f t="shared" si="11"/>
        <x:v>86.42</x:v>
      </x:c>
      <x:c r="G41" s="2">
        <x:f>G39</x:f>
        <x:v>8</x:v>
      </x:c>
      <x:c r="H41" s="2" t="s">
        <x:v>16</x:v>
      </x:c>
      <x:c r="I41" s="26">
        <x:f t="shared" si="12"/>
        <x:v>83484</x:v>
      </x:c>
      <x:c r="J41" s="39">
        <x:v>6957</x:v>
      </x:c>
    </x:row>
    <x:row r="45" spans="1:11" ht="13" x14ac:dyDescent="0.3">
      <x:c r="A45" s="31" t="s">
        <x:v>64</x:v>
      </x:c>
      <x:c r="B45" s="11"/>
      <x:c r="C45" s="25"/>
      <x:c r="D45" s="11"/>
      <x:c r="E45" s="11"/>
      <x:c r="F45" s="11"/>
      <x:c r="G45" s="11"/>
      <x:c r="H45" s="11"/>
      <x:c r="I45" s="9"/>
      <x:c r="J45" s="9"/>
    </x:row>
    <x:row r="46" spans="1:11" ht="39" x14ac:dyDescent="0.3">
      <x:c r="A46" s="12" t="s">
        <x:v>11</x:v>
      </x:c>
      <x:c r="B46" s="12" t="s">
        <x:v>10</x:v>
      </x:c>
      <x:c r="C46" s="12" t="s">
        <x:v>9</x:v>
      </x:c>
      <x:c r="D46" s="12" t="s">
        <x:v>8</x:v>
      </x:c>
      <x:c r="E46" s="12" t="s">
        <x:v>7</x:v>
      </x:c>
      <x:c r="F46" s="12" t="s">
        <x:v>6</x:v>
      </x:c>
      <x:c r="G46" s="12" t="s">
        <x:v>5</x:v>
      </x:c>
      <x:c r="H46" s="12" t="s">
        <x:v>4</x:v>
      </x:c>
      <x:c r="I46" s="27" t="s">
        <x:v>3</x:v>
      </x:c>
      <x:c r="J46" s="27" t="s">
        <x:v>2</x:v>
      </x:c>
    </x:row>
    <x:row r="47" spans="1:11" x14ac:dyDescent="0.25">
      <x:c r="A47" s="11" t="s">
        <x:v>1</x:v>
      </x:c>
      <x:c r="B47" s="25">
        <x:f>J47</x:f>
        <x:v>6944.333333333333</x:v>
      </x:c>
      <x:c r="C47" s="10">
        <x:f>ROUND(B47/173.3,2)</x:f>
        <x:v>40.07</x:v>
      </x:c>
      <x:c r="D47" s="17">
        <x:f>ROUND(C47+(C47*($C$11))+(C47*($C$8+$C$10)),2)</x:f>
        <x:v>50.24</x:v>
      </x:c>
      <x:c r="E47" s="2">
        <x:f>ROUND((($C47*1.5)*1.0765),2)</x:f>
        <x:v>64.7</x:v>
      </x:c>
      <x:c r="F47" s="2">
        <x:f>ROUND((($C47*2)*1.0765),2)</x:f>
        <x:v>86.27</x:v>
      </x:c>
      <x:c r="G47" s="2"/>
      <x:c r="H47" s="2"/>
      <x:c r="I47" s="9">
        <x:v>83332</x:v>
      </x:c>
      <x:c r="J47" s="9">
        <x:f>I47/12</x:f>
        <x:v>6944.333333333333</x:v>
      </x:c>
    </x:row>
    <x:row r="48" spans="1:11" s="11" customFormat="1" x14ac:dyDescent="0.25">
      <x:c r="A48" s="11" t="s">
        <x:v>69</x:v>
      </x:c>
      <x:c r="B48" s="25">
        <x:f>J48</x:f>
        <x:v>6944.333333333333</x:v>
      </x:c>
      <x:c r="C48" s="10">
        <x:f>ROUND(B48/173.3,2)</x:f>
        <x:v>40.07</x:v>
      </x:c>
      <x:c r="D48" s="17">
        <x:f>ROUND(C48+(C48*($C$11))+(C48*($C$8+$C$10)),2)</x:f>
        <x:v>50.24</x:v>
      </x:c>
      <x:c r="E48" s="2">
        <x:f>ROUND((($C48*1.5)*1.0765),2)</x:f>
        <x:v>64.7</x:v>
      </x:c>
      <x:c r="F48" s="2">
        <x:f>ROUND((($C48*2)*1.0765),2)</x:f>
        <x:v>86.27</x:v>
      </x:c>
      <x:c r="G48" s="2"/>
      <x:c r="I48" s="9">
        <x:v>83332</x:v>
      </x:c>
      <x:c r="J48" s="9">
        <x:f>I48/12</x:f>
        <x:v>6944.333333333333</x:v>
      </x:c>
      <x:c r="K48" s="40"/>
    </x:row>
    <x:row r="49" spans="1:11" x14ac:dyDescent="0.25">
      <x:c r="A49" s="20" t="s">
        <x:v>53</x:v>
      </x:c>
      <x:c r="B49" s="25">
        <x:f>J49</x:f>
        <x:v>8022.4373916666664</x:v>
      </x:c>
      <x:c r="C49" s="10">
        <x:f>ROUND(B49/173.3,2)</x:f>
        <x:v>46.29</x:v>
      </x:c>
      <x:c r="D49" s="17">
        <x:f>ROUND(C49+(C49*($C$11))+(C49*($C$8+$C$10)),2)</x:f>
        <x:v>58.04</x:v>
      </x:c>
      <x:c r="E49" s="2">
        <x:f>ROUND((($C49*1.5)*1.0765),2)</x:f>
        <x:v>74.75</x:v>
      </x:c>
      <x:c r="F49" s="2">
        <x:f>ROUND((($C49*2)*1.0765),2)</x:f>
        <x:v>99.66</x:v>
      </x:c>
      <x:c r="I49" s="26">
        <x:v>96269.248699999996</x:v>
      </x:c>
      <x:c r="J49" s="9">
        <x:f>I49/12</x:f>
        <x:v>8022.4373916666664</x:v>
      </x:c>
    </x:row>
    <x:row r="53" spans="1:11" ht="13" x14ac:dyDescent="0.3">
      <x:c r="A53" s="24" t="s">
        <x:v>65</x:v>
      </x:c>
    </x:row>
    <x:row r="54" spans="1:11" ht="39" x14ac:dyDescent="0.3">
      <x:c r="A54" s="12" t="s">
        <x:v>11</x:v>
      </x:c>
      <x:c r="B54" s="12" t="s">
        <x:v>10</x:v>
      </x:c>
      <x:c r="C54" s="12" t="s">
        <x:v>9</x:v>
      </x:c>
      <x:c r="D54" s="12" t="s">
        <x:v>8</x:v>
      </x:c>
      <x:c r="E54" s="12" t="s">
        <x:v>7</x:v>
      </x:c>
      <x:c r="F54" s="12" t="s">
        <x:v>6</x:v>
      </x:c>
      <x:c r="G54" s="12" t="s">
        <x:v>5</x:v>
      </x:c>
      <x:c r="H54" s="12" t="s">
        <x:v>4</x:v>
      </x:c>
      <x:c r="I54" s="27" t="s">
        <x:v>3</x:v>
      </x:c>
      <x:c r="J54" s="27" t="s">
        <x:v>2</x:v>
      </x:c>
    </x:row>
    <x:row r="55" spans="1:11" s="20" customFormat="1" x14ac:dyDescent="0.25">
      <x:c r="A55" s="16" t="s">
        <x:v>54</x:v>
      </x:c>
      <x:c r="B55" s="19">
        <x:f>J55</x:f>
        <x:v>12125.75</x:v>
      </x:c>
      <x:c r="C55" s="17">
        <x:f t="shared" ref="C55:C59" si="13">ROUND(B55/173.3,2)</x:f>
        <x:v>69.97</x:v>
      </x:c>
      <x:c r="D55" s="17">
        <x:f t="shared" ref="D55:D60" si="14">ROUND(C55+(C55*($C$11))+(C55*($C$8+$C$10)),2)</x:f>
        <x:v>87.74</x:v>
      </x:c>
      <x:c r="E55" s="15">
        <x:f t="shared" ref="E55:E59" si="15">ROUND((($C55*1.5)*1.0765),2)</x:f>
        <x:v>112.98</x:v>
      </x:c>
      <x:c r="F55" s="15">
        <x:f t="shared" ref="F55:F59" si="16">ROUND((($C55*2)*1.0765),2)</x:f>
        <x:v>150.65</x:v>
      </x:c>
      <x:c r="G55" s="15"/>
      <x:c r="I55" s="18">
        <x:v>145509</x:v>
      </x:c>
      <x:c r="J55" s="18">
        <x:f t="shared" ref="J55:J59" si="17">I55/12</x:f>
        <x:v>12125.75</x:v>
      </x:c>
      <x:c r="K55" s="40"/>
    </x:row>
    <x:row r="56" spans="1:11" s="20" customFormat="1" x14ac:dyDescent="0.25">
      <x:c r="A56" s="16" t="s">
        <x:v>55</x:v>
      </x:c>
      <x:c r="B56" s="19">
        <x:f t="shared" ref="B56:B59" si="18">J56</x:f>
        <x:v>12125.75</x:v>
      </x:c>
      <x:c r="C56" s="17">
        <x:f t="shared" si="13"/>
        <x:v>69.97</x:v>
      </x:c>
      <x:c r="D56" s="17">
        <x:f t="shared" si="14"/>
        <x:v>87.74</x:v>
      </x:c>
      <x:c r="E56" s="15">
        <x:f t="shared" si="15"/>
        <x:v>112.98</x:v>
      </x:c>
      <x:c r="F56" s="15">
        <x:f t="shared" si="16"/>
        <x:v>150.65</x:v>
      </x:c>
      <x:c r="G56" s="15"/>
      <x:c r="I56" s="18">
        <x:v>145509</x:v>
      </x:c>
      <x:c r="J56" s="18">
        <x:f t="shared" si="17"/>
        <x:v>12125.75</x:v>
      </x:c>
      <x:c r="K56" s="40"/>
    </x:row>
    <x:row r="57" spans="1:11" s="20" customFormat="1" x14ac:dyDescent="0.25">
      <x:c r="A57" s="33" t="s">
        <x:v>56</x:v>
      </x:c>
      <x:c r="B57" s="19">
        <x:f t="shared" si="18"/>
        <x:v>12125.75</x:v>
      </x:c>
      <x:c r="C57" s="17">
        <x:f t="shared" si="13"/>
        <x:v>69.97</x:v>
      </x:c>
      <x:c r="D57" s="17">
        <x:f t="shared" si="14"/>
        <x:v>87.74</x:v>
      </x:c>
      <x:c r="E57" s="15">
        <x:f t="shared" si="15"/>
        <x:v>112.98</x:v>
      </x:c>
      <x:c r="F57" s="15">
        <x:f t="shared" si="16"/>
        <x:v>150.65</x:v>
      </x:c>
      <x:c r="G57" s="21"/>
      <x:c r="I57" s="18">
        <x:v>145509</x:v>
      </x:c>
      <x:c r="J57" s="18">
        <x:f t="shared" si="17"/>
        <x:v>12125.75</x:v>
      </x:c>
      <x:c r="K57" s="40"/>
    </x:row>
    <x:row r="58" spans="1:11" s="20" customFormat="1" x14ac:dyDescent="0.25">
      <x:c r="A58" s="33" t="s">
        <x:v>57</x:v>
      </x:c>
      <x:c r="B58" s="19">
        <x:f t="shared" si="18"/>
        <x:v>12125.75</x:v>
      </x:c>
      <x:c r="C58" s="17">
        <x:f t="shared" si="13"/>
        <x:v>69.97</x:v>
      </x:c>
      <x:c r="D58" s="17">
        <x:f t="shared" si="14"/>
        <x:v>87.74</x:v>
      </x:c>
      <x:c r="E58" s="15">
        <x:f t="shared" si="15"/>
        <x:v>112.98</x:v>
      </x:c>
      <x:c r="F58" s="15">
        <x:f t="shared" si="16"/>
        <x:v>150.65</x:v>
      </x:c>
      <x:c r="G58" s="22"/>
      <x:c r="I58" s="18">
        <x:v>145509</x:v>
      </x:c>
      <x:c r="J58" s="18">
        <x:f t="shared" si="17"/>
        <x:v>12125.75</x:v>
      </x:c>
      <x:c r="K58" s="40"/>
    </x:row>
    <x:row r="59" spans="1:11" s="20" customFormat="1" x14ac:dyDescent="0.25">
      <x:c r="A59" s="16" t="s">
        <x:v>58</x:v>
      </x:c>
      <x:c r="B59" s="19">
        <x:f t="shared" si="18"/>
        <x:v>10842.666666666666</x:v>
      </x:c>
      <x:c r="C59" s="17">
        <x:f t="shared" si="13"/>
        <x:v>62.57</x:v>
      </x:c>
      <x:c r="D59" s="17">
        <x:f t="shared" si="14"/>
        <x:v>78.459999999999994</x:v>
      </x:c>
      <x:c r="E59" s="15">
        <x:f t="shared" si="15"/>
        <x:v>101.03</x:v>
      </x:c>
      <x:c r="F59" s="15">
        <x:f t="shared" si="16"/>
        <x:v>134.71</x:v>
      </x:c>
      <x:c r="I59" s="18">
        <x:v>130112</x:v>
      </x:c>
      <x:c r="J59" s="18">
        <x:f t="shared" si="17"/>
        <x:v>10842.666666666666</x:v>
      </x:c>
      <x:c r="K59" s="40"/>
    </x:row>
    <x:row r="60" spans="1:11" s="20" customFormat="1" x14ac:dyDescent="0.25">
      <x:c r="A60" s="16" t="s">
        <x:v>59</x:v>
      </x:c>
      <x:c r="B60" s="19">
        <x:f>J60</x:f>
        <x:v>12125.75</x:v>
      </x:c>
      <x:c r="C60" s="17">
        <x:f t="shared" ref="C60" si="19">ROUND(B60/173.3,2)</x:f>
        <x:v>69.97</x:v>
      </x:c>
      <x:c r="D60" s="17">
        <x:f t="shared" si="14"/>
        <x:v>87.74</x:v>
      </x:c>
      <x:c r="E60" s="15">
        <x:f t="shared" ref="E60" si="20">ROUND((($C60*1.5)*1.0765),2)</x:f>
        <x:v>112.98</x:v>
      </x:c>
      <x:c r="F60" s="15">
        <x:f t="shared" ref="F60" si="21">ROUND((($C60*2)*1.0765),2)</x:f>
        <x:v>150.65</x:v>
      </x:c>
      <x:c r="G60" s="23"/>
      <x:c r="I60" s="18">
        <x:v>145509</x:v>
      </x:c>
      <x:c r="J60" s="18">
        <x:f>I60/12</x:f>
        <x:v>12125.75</x:v>
      </x:c>
      <x:c r="K60" s="40"/>
    </x:row>
    <x:row r="63" spans="1:11" ht="13" x14ac:dyDescent="0.3">
      <x:c r="A63" s="36" t="s">
        <x:v>66</x:v>
      </x:c>
    </x:row>
    <x:row r="64" spans="1:11" x14ac:dyDescent="0.25">
      <x:c r="A64" s="14" t="s">
        <x:v>28</x:v>
      </x:c>
      <x:c r="B64" s="13">
        <x:v>29</x:v>
      </x:c>
      <x:c r="D64" s="40"/>
    </x:row>
    <x:row r="65" spans="1:4" x14ac:dyDescent="0.25">
      <x:c r="A65" s="14" t="s">
        <x:v>62</x:v>
      </x:c>
      <x:c r="B65" s="35">
        <x:v>42</x:v>
      </x:c>
      <x:c r="D65" s="40"/>
    </x:row>
    <x:row r="66" spans="1:4" x14ac:dyDescent="0.25">
      <x:c r="A66" s="14" t="s">
        <x:v>63</x:v>
      </x:c>
      <x:c r="B66" s="35">
        <x:v>4</x:v>
      </x:c>
      <x:c r="D66" s="40"/>
    </x:row>
    <x:row r="67" spans="1:4" x14ac:dyDescent="0.25">
      <x:c r="A67" s="14" t="s">
        <x:v>60</x:v>
      </x:c>
      <x:c r="B67" s="35">
        <x:v>8</x:v>
      </x:c>
      <x:c r="D67" s="40"/>
    </x:row>
    <x:row r="68" spans="1:4" x14ac:dyDescent="0.25">
      <x:c r="A68" s="14" t="s">
        <x:v>61</x:v>
      </x:c>
      <x:c r="B68" s="35">
        <x:v>13</x:v>
      </x:c>
      <x:c r="D68" s="40"/>
    </x:row>
  </x:sheetData>
  <x:mergeCells count="1">
    <x:mergeCell ref="O1:R10"/>
  </x:mergeCells>
  <x:pageMargins left="0.7" right="0.7" top="0.75" bottom="0.75" header="0.3" footer="0.3"/>
  <x:pageSetup scale="58" orientation="portrait" r:id="rId1"/>
  <x:headerFooter>
    <x:oddHeader>&amp;C2025 RATE CASE 
ONCOR ELECTRIC DELIVERY COMPANY LLC
PROPOSED CHARGES FOR DISCRETIONARY SERVICES AND OTHER SERVICES
FOR THE TEST YEAR ENDING DECEMBER 31, 2024
SPONSOR:  MATTHEW A. TROXLE&amp;RWP IV-J-2/2
PAGE &amp;P of &amp;N</x:oddHeader>
  </x:headerFooter>
  <x:rowBreaks count="2" manualBreakCount="2">
    <x:brk id="30" max="16383" man="1"/>
    <x:brk id="41" max="16383" man="1"/>
  </x:rowBreaks>
  <x:legacy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7:I58"/>
  <x:sheetViews>
    <x:sheetView view="pageBreakPreview" topLeftCell="A8" zoomScale="90" zoomScaleNormal="100" zoomScaleSheetLayoutView="90" workbookViewId="0">
      <x:selection activeCell="D11" sqref="D11"/>
    </x:sheetView>
  </x:sheetViews>
  <x:sheetFormatPr defaultRowHeight="14.5" x14ac:dyDescent="0.35"/>
  <x:cols>
    <x:col min="1" max="1" width="30.36328125" customWidth="1"/>
    <x:col min="2" max="2" width="13.26953125" customWidth="1"/>
    <x:col min="3" max="3" width="11.1796875" bestFit="1" customWidth="1"/>
    <x:col min="5" max="5" width="13.26953125" bestFit="1" customWidth="1"/>
    <x:col min="8" max="8" width="29.54296875" customWidth="1"/>
    <x:col min="9" max="9" width="8.1796875" customWidth="1"/>
    <x:col min="10" max="10" width="7.6328125" customWidth="1"/>
  </x:cols>
  <x:sheetData>
    <x:row r="7" spans="1:5" x14ac:dyDescent="0.35">
      <x:c r="A7" s="8" t="s">
        <x:v>49</x:v>
      </x:c>
      <x:c r="C7" s="1"/>
      <x:c r="D7" s="4"/>
      <x:c r="E7" s="1"/>
    </x:row>
    <x:row r="8" spans="1:5" x14ac:dyDescent="0.35">
      <x:c r="A8" s="8"/>
      <x:c r="C8" s="1"/>
      <x:c r="D8" s="4"/>
      <x:c r="E8" s="1"/>
    </x:row>
    <x:row r="9" spans="1:5" x14ac:dyDescent="0.35">
      <x:c r="A9" s="8" t="s">
        <x:v>48</x:v>
      </x:c>
      <x:c r="C9" s="1"/>
      <x:c r="D9" s="4"/>
      <x:c r="E9" s="1"/>
    </x:row>
    <x:row r="10" spans="1:5" x14ac:dyDescent="0.35">
      <x:c r="C10" s="6" t="s">
        <x:v>47</x:v>
      </x:c>
      <x:c r="D10" s="7" t="s">
        <x:v>46</x:v>
      </x:c>
      <x:c r="E10" s="6" t="s">
        <x:v>45</x:v>
      </x:c>
    </x:row>
    <x:row r="11" spans="1:5" x14ac:dyDescent="0.35">
      <x:c r="A11" t="s">
        <x:v>22</x:v>
      </x:c>
      <x:c r="C11" s="1">
        <x:f>'Labor and Transportation'!D37</x:f>
        <x:v>77.69</x:v>
      </x:c>
      <x:c r="D11" s="4">
        <x:f>ROUND(C17*0.03,0)</x:f>
        <x:v>1382</x:v>
      </x:c>
      <x:c r="E11" s="1">
        <x:f>C11*D11</x:f>
        <x:v>107367.58</x:v>
      </x:c>
    </x:row>
    <x:row r="12" spans="1:5" x14ac:dyDescent="0.35">
      <x:c r="A12" t="s">
        <x:v>30</x:v>
      </x:c>
      <x:c r="C12" s="1">
        <x:f>'Labor and Transportation'!D24</x:f>
        <x:v>55.85</x:v>
      </x:c>
      <x:c r="D12" s="4">
        <x:v>2080</x:v>
      </x:c>
      <x:c r="E12" s="1">
        <x:f>C12*D12</x:f>
        <x:v>116168</x:v>
      </x:c>
    </x:row>
    <x:row r="13" spans="1:5" x14ac:dyDescent="0.35">
      <x:c r="C13" s="1"/>
      <x:c r="D13" s="4"/>
      <x:c r="E13" s="1"/>
    </x:row>
    <x:row r="14" spans="1:5" x14ac:dyDescent="0.35">
      <x:c r="C14" s="1"/>
      <x:c r="D14" s="4"/>
      <x:c r="E14" s="1"/>
    </x:row>
    <x:row r="15" spans="1:5" x14ac:dyDescent="0.35">
      <x:c r="C15" s="28"/>
      <x:c r="D15" s="4"/>
      <x:c r="E15" s="1"/>
    </x:row>
    <x:row r="16" spans="1:5" x14ac:dyDescent="0.35">
      <x:c r="A16" t="s">
        <x:v>44</x:v>
      </x:c>
      <x:c r="C16" s="29">
        <x:v>4642560</x:v>
      </x:c>
      <x:c r="D16" s="4"/>
      <x:c r="E16" s="1"/>
    </x:row>
    <x:row r="17" spans="1:5" x14ac:dyDescent="0.35">
      <x:c r="A17" s="3" t="s">
        <x:v>50</x:v>
      </x:c>
      <x:c r="C17" s="30">
        <x:v>46064</x:v>
      </x:c>
      <x:c r="D17" s="4"/>
      <x:c r="E17" s="1"/>
    </x:row>
    <x:row r="18" spans="1:5" x14ac:dyDescent="0.35">
      <x:c r="C18" s="1"/>
      <x:c r="D18" s="4"/>
      <x:c r="E18" s="1"/>
    </x:row>
    <x:row r="19" spans="1:5" x14ac:dyDescent="0.35">
      <x:c r="C19" s="1"/>
      <x:c r="D19" s="4"/>
      <x:c r="E19" s="1"/>
    </x:row>
    <x:row r="20" spans="1:5" x14ac:dyDescent="0.35">
      <x:c r="C20" s="1"/>
      <x:c r="D20" s="4"/>
      <x:c r="E20" s="1"/>
    </x:row>
    <x:row r="21" spans="1:5" x14ac:dyDescent="0.35">
      <x:c r="A21" t="s">
        <x:v>43</x:v>
      </x:c>
      <x:c r="C21" s="1"/>
      <x:c r="D21" s="4"/>
      <x:c r="E21" s="1">
        <x:f>SUM(E11:E14)</x:f>
        <x:v>223535.58000000002</x:v>
      </x:c>
    </x:row>
    <x:row r="22" spans="1:5" x14ac:dyDescent="0.35">
      <x:c r="A22" t="s">
        <x:v>42</x:v>
      </x:c>
      <x:c r="C22" s="1"/>
      <x:c r="D22" s="4"/>
      <x:c r="E22" s="5">
        <x:f>ROUND(E21/C16,2)</x:f>
        <x:v>0.05</x:v>
      </x:c>
    </x:row>
    <x:row r="23" spans="1:5" x14ac:dyDescent="0.35">
      <x:c r="C23" s="1"/>
      <x:c r="D23" s="4"/>
      <x:c r="E23" s="1"/>
    </x:row>
    <x:row r="33" spans="1:9" x14ac:dyDescent="0.35">
      <x:c r="A33" s="3"/>
    </x:row>
    <x:row r="36" spans="1:9" x14ac:dyDescent="0.35">
      <x:c r="I36" s="32"/>
    </x:row>
    <x:row r="57" spans="1:1" x14ac:dyDescent="0.35">
      <x:c r="A57" s="34" t="s">
        <x:v>56</x:v>
      </x:c>
    </x:row>
    <x:row r="58" spans="1:1" x14ac:dyDescent="0.35">
      <x:c r="A58" s="34"/>
    </x:row>
  </x:sheetData>
  <x:pageMargins left="0.7" right="0.7" top="0.75" bottom="0.75" header="0.3" footer="0.3"/>
  <x:pageSetup scale="82" orientation="portrait" r:id="rId1"/>
  <x:headerFooter>
    <x:oddHeader>&amp;C2022 RATE CASE 
ONCOR ELECTRIC DELIVERY COMPANY LLC
PROPOSED CHARGES FOR DISCRETIONARY SERVICES AND OTHER SERVICES
FOR THE TEST YEAR ENDING DECEMBER 31, 2021
SPONSOR:  MATTHEW A. TROXLE&amp;RWP IV-J-2/2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2025-03-31T18:42:29.0000000Z</dcterms:modified>
</coreProperties>
</file>