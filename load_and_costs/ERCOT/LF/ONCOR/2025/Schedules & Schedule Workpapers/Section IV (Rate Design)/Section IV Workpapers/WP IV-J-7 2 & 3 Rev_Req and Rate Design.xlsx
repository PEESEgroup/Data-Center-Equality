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V (Rate Design)\Section IV Workpapers\"/>
    </mc:Choice>
  </mc:AlternateContent>
  <xr:revisionPtr revIDLastSave="0" documentId="13_ncr:1_{25712A0B-B122-4CC6-96C2-A18B35F59B68}" xr6:coauthVersionLast="47" xr6:coauthVersionMax="47" xr10:uidLastSave="{00000000-0000-0000-0000-000000000000}"/>
  <x:bookViews>
    <x:workbookView xWindow="-110" yWindow="-110" windowWidth="19420" windowHeight="10300" xr2:uid="{00000000-000D-0000-FFFF-FFFF00000000}"/>
  </x:bookViews>
  <x:sheets>
    <x:sheet name="SL Rate Design Sch. A&amp;B" sheetId="3" r:id="rId1"/>
    <x:sheet name="Revenue Req." sheetId="2" r:id="rId2"/>
  </x:sheets>
  <x:externalReferences>
    <x:externalReference r:id="rId3"/>
    <x:externalReference r:id="rId4"/>
    <x:externalReference r:id="rId5"/>
    <x:externalReference r:id="rId6"/>
  </x:externalReferences>
  <x:definedNames>
    <x:definedName name="_xlnm.Print_Area" localSheetId="1">'Revenue Req.'!$B$1:$Q$49</x:definedName>
    <x:definedName name="_xlnm.Print_Area" localSheetId="0">'SL Rate Design Sch. A&amp;B'!$A$2:$BM$66</x:definedName>
    <x:definedName name="_xlnm.Print_Titles" localSheetId="0">'SL Rate Design Sch. A&amp;B'!$B:$E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J34" i="2" l="1"/>
  <x:c r="L20" i="2"/>
  <x:c r="N21" i="2"/>
  <x:c r="H16" i="2"/>
  <x:c r="P18" i="2"/>
  <x:c r="N18" i="2"/>
  <x:c r="J18" i="2"/>
  <x:c r="N17" i="2"/>
  <x:c r="H17" i="2"/>
  <x:c r="AS11" i="3" l="1"/>
  <x:c r="AR11" i="3"/>
  <x:c r="AQ11" i="3"/>
  <x:c r="AP11" i="3"/>
  <x:c r="AO11" i="3"/>
  <x:c r="AN11" i="3"/>
  <x:c r="U11" i="3"/>
  <x:c r="T11" i="3"/>
  <x:c r="R11" i="3"/>
  <x:c r="Q11" i="3"/>
  <x:c r="O11" i="3"/>
  <x:c r="N11" i="3"/>
  <x:c r="M11" i="3"/>
  <x:c r="K11" i="3"/>
  <x:c r="J11" i="3"/>
  <x:c r="I11" i="3"/>
  <x:c r="H11" i="3"/>
  <x:c r="G11" i="3"/>
  <x:c r="BM10" i="3" l="1"/>
  <x:c r="AC39" i="3" s="1"/>
  <x:c r="G39" i="3" l="1"/>
  <x:c r="I39" i="3"/>
  <x:c r="J39" i="3"/>
  <x:c r="Q39" i="3"/>
  <x:c r="Z39" i="3"/>
  <x:c r="AA39" i="3"/>
  <x:c r="AB39" i="3"/>
  <x:c r="J41" i="2" l="1"/>
  <x:c r="B16" i="2"/>
  <x:c r="B17" i="2" s="1"/>
  <x:c r="B18" i="2" s="1"/>
  <x:c r="B19" i="2" s="1"/>
  <x:c r="B20" i="2" s="1"/>
  <x:c r="B21" i="2" s="1"/>
  <x:c r="B22" i="2" s="1"/>
  <x:c r="B23" i="2" s="1"/>
  <x:c r="B24" i="2" s="1"/>
  <x:c r="B25" i="2" s="1"/>
  <x:c r="B26" i="2" s="1"/>
  <x:c r="B39" i="2" s="1"/>
  <x:c r="B40" i="2" s="1"/>
  <x:c r="B41" i="2" s="1"/>
  <x:c r="B42" i="2" s="1"/>
  <x:c r="B45" i="2" s="1"/>
  <x:c r="B46" i="2" s="1"/>
  <x:c r="B47" i="2" s="1"/>
  <x:c r="A11" i="3"/>
  <x:c r="A12" i="3" s="1"/>
  <x:c r="A19" i="3" s="1"/>
  <x:c r="A20" i="3" s="1"/>
  <x:c r="A21" i="3" s="1"/>
  <x:c r="A24" i="3" s="1"/>
  <x:c r="A26" i="3" s="1"/>
  <x:c r="A27" i="3" s="1"/>
  <x:c r="A28" i="3" s="1"/>
  <x:c r="A31" i="3" s="1"/>
  <x:c r="A33" i="3" s="1"/>
  <x:c r="A34" i="3" s="1"/>
  <x:c r="A35" i="3" s="1"/>
  <x:c r="A40" i="3" s="1"/>
  <x:c r="A47" i="3" s="1"/>
  <x:c r="A60" i="3" s="1"/>
  <x:c r="A61" i="3" s="1"/>
  <x:c r="A62" i="3" s="1"/>
  <x:c r="A63" i="3" s="1"/>
  <x:c r="A64" i="3" s="1"/>
  <x:c r="A65" i="3" s="1"/>
  <x:c r="A6" i="3"/>
  <x:c r="BH12" i="3" l="1"/>
  <x:c r="AV55" i="3" l="1"/>
  <x:c r="AT55" i="3"/>
  <x:c r="AV51" i="3"/>
  <x:c r="AT51" i="3"/>
  <x:c r="J42" i="2" l="1"/>
  <x:c r="P51" i="3"/>
  <x:c r="L51" i="3"/>
  <x:c r="AX25" i="3" l="1"/>
  <x:c r="AW25" i="3"/>
  <x:c r="AV25" i="3"/>
  <x:c r="AU25" i="3"/>
  <x:c r="AT25" i="3"/>
  <x:c r="AS25" i="3"/>
  <x:c r="AR25" i="3"/>
  <x:c r="AQ25" i="3"/>
  <x:c r="AP25" i="3"/>
  <x:c r="AO25" i="3"/>
  <x:c r="AN25" i="3"/>
  <x:c r="AM25" i="3"/>
  <x:c r="AL25" i="3"/>
  <x:c r="AK25" i="3"/>
  <x:c r="AJ25" i="3"/>
  <x:c r="AI25" i="3"/>
  <x:c r="AH25" i="3"/>
  <x:c r="AG25" i="3"/>
  <x:c r="AF25" i="3"/>
  <x:c r="AE25" i="3"/>
  <x:c r="AD25" i="3"/>
  <x:c r="AC25" i="3"/>
  <x:c r="AB25" i="3"/>
  <x:c r="AA25" i="3"/>
  <x:c r="Z25" i="3"/>
  <x:c r="Y25" i="3"/>
  <x:c r="X25" i="3"/>
  <x:c r="W25" i="3"/>
  <x:c r="U25" i="3"/>
  <x:c r="T25" i="3"/>
  <x:c r="R25" i="3"/>
  <x:c r="Q25" i="3"/>
  <x:c r="P25" i="3"/>
  <x:c r="O25" i="3"/>
  <x:c r="N25" i="3"/>
  <x:c r="M25" i="3"/>
  <x:c r="K25" i="3"/>
  <x:c r="J25" i="3"/>
  <x:c r="I25" i="3"/>
  <x:c r="H25" i="3"/>
  <x:c r="U26" i="3" l="1"/>
  <x:c r="T26" i="3"/>
  <x:c r="R26" i="3"/>
  <x:c r="Q26" i="3"/>
  <x:c r="O26" i="3"/>
  <x:c r="N26" i="3"/>
  <x:c r="M26" i="3"/>
  <x:c r="G33" i="3"/>
  <x:c r="K26" i="3"/>
  <x:c r="J26" i="3"/>
  <x:c r="I26" i="3"/>
  <x:c r="H26" i="3"/>
  <x:c r="G26" i="3"/>
  <x:c r="U39" i="3" l="1"/>
  <x:c r="O39" i="3"/>
  <x:c r="M39" i="3"/>
  <x:c r="N39" i="3"/>
  <x:c r="H39" i="3"/>
  <x:c r="R39" i="3"/>
  <x:c r="T39" i="3"/>
  <x:c r="K39" i="3"/>
  <x:c r="R22" i="2" l="1"/>
  <x:c r="AG53" i="3"/>
  <x:c r="X26" i="3"/>
  <x:c r="Y26" i="3"/>
  <x:c r="AB26" i="3"/>
  <x:c r="AD26" i="3"/>
  <x:c r="AE26" i="3"/>
  <x:c r="AF26" i="3"/>
  <x:c r="AH26" i="3"/>
  <x:c r="AI26" i="3"/>
  <x:c r="AJ26" i="3"/>
  <x:c r="AK26" i="3"/>
  <x:c r="AL26" i="3"/>
  <x:c r="AM26" i="3"/>
  <x:c r="AN26" i="3"/>
  <x:c r="AO26" i="3"/>
  <x:c r="AP26" i="3"/>
  <x:c r="AQ26" i="3"/>
  <x:c r="AR26" i="3"/>
  <x:c r="AS26" i="3"/>
  <x:c r="AT26" i="3"/>
  <x:c r="AU26" i="3"/>
  <x:c r="AV26" i="3"/>
  <x:c r="AW26" i="3"/>
  <x:c r="AX26" i="3"/>
  <x:c r="AZ12" i="3"/>
  <x:c r="AZ25" i="3" s="1"/>
  <x:c r="BA12" i="3"/>
  <x:c r="BA25" i="3" s="1"/>
  <x:c r="BB12" i="3"/>
  <x:c r="BB25" i="3" s="1"/>
  <x:c r="BC12" i="3"/>
  <x:c r="BC25" i="3" s="1"/>
  <x:c r="BG12" i="3"/>
  <x:c r="BG25" i="3" s="1"/>
  <x:c r="BH25" i="3"/>
  <x:c r="BI12" i="3"/>
  <x:c r="BI25" i="3" s="1"/>
  <x:c r="BB26" i="3" l="1"/>
  <x:c r="AZ26" i="3"/>
  <x:c r="BC26" i="3"/>
  <x:c r="BI26" i="3"/>
  <x:c r="BH26" i="3"/>
  <x:c r="BG26" i="3"/>
  <x:c r="BA26" i="3"/>
  <x:c r="BF12" i="3"/>
  <x:c r="BF25" i="3" s="1"/>
  <x:c r="G19" i="3"/>
  <x:c r="Z26" i="3"/>
  <x:c r="W26" i="3"/>
  <x:c r="AC26" i="3"/>
  <x:c r="BE12" i="3"/>
  <x:c r="BE25" i="3" s="1"/>
  <x:c r="AA26" i="3"/>
  <x:c r="BD12" i="3"/>
  <x:c r="BD25" i="3" s="1"/>
  <x:c r="AM39" i="3"/>
  <x:c r="AG26" i="3"/>
  <x:c r="AV39" i="3"/>
  <x:c r="AE39" i="3"/>
  <x:c r="BD39" i="3"/>
  <x:c r="W39" i="3"/>
  <x:c r="AI39" i="3"/>
  <x:c r="AQ39" i="3"/>
  <x:c r="BC39" i="3"/>
  <x:c r="AD39" i="3"/>
  <x:c r="BK39" i="3"/>
  <x:c r="BB39" i="3"/>
  <x:c r="BF26" i="3" l="1"/>
  <x:c r="BD26" i="3"/>
  <x:c r="BE26" i="3"/>
  <x:c r="BK12" i="3"/>
  <x:c r="BK25" i="3" s="1"/>
  <x:c r="AN39" i="3"/>
  <x:c r="AG39" i="3"/>
  <x:c r="AO39" i="3"/>
  <x:c r="X39" i="3"/>
  <x:c r="Y39" i="3"/>
  <x:c r="AU39" i="3"/>
  <x:c r="AP39" i="3"/>
  <x:c r="AX39" i="3"/>
  <x:c r="AJ39" i="3"/>
  <x:c r="BG39" i="3"/>
  <x:c r="BJ39" i="3"/>
  <x:c r="BI39" i="3"/>
  <x:c r="AZ39" i="3"/>
  <x:c r="AS39" i="3"/>
  <x:c r="BJ12" i="3"/>
  <x:c r="BJ25" i="3" s="1"/>
  <x:c r="AT39" i="3"/>
  <x:c r="AR39" i="3"/>
  <x:c r="AF39" i="3"/>
  <x:c r="AK39" i="3"/>
  <x:c r="BE39" i="3"/>
  <x:c r="BH39" i="3"/>
  <x:c r="AW39" i="3"/>
  <x:c r="BA39" i="3"/>
  <x:c r="AL39" i="3"/>
  <x:c r="BF39" i="3"/>
  <x:c r="AH39" i="3"/>
  <x:c r="BM39" i="3" l="1"/>
  <x:c r="BJ26" i="3"/>
  <x:c r="BK26" i="3"/>
  <x:c r="BM26" i="3" l="1"/>
  <x:c r="BJ27" i="3" s="1"/>
  <x:c r="BK27" i="3" l="1"/>
  <x:c r="U27" i="3"/>
  <x:c r="K27" i="3"/>
  <x:c r="AO27" i="3"/>
  <x:c r="AZ27" i="3"/>
  <x:c r="BG27" i="3"/>
  <x:c r="X27" i="3"/>
  <x:c r="AP27" i="3"/>
  <x:c r="I27" i="3"/>
  <x:c r="T27" i="3"/>
  <x:c r="AL27" i="3"/>
  <x:c r="BA27" i="3"/>
  <x:c r="AR27" i="3"/>
  <x:c r="BC27" i="3"/>
  <x:c r="N27" i="3"/>
  <x:c r="BH27" i="3"/>
  <x:c r="AC27" i="3"/>
  <x:c r="AD27" i="3"/>
  <x:c r="AB27" i="3"/>
  <x:c r="M27" i="3"/>
  <x:c r="AK27" i="3"/>
  <x:c r="AW27" i="3"/>
  <x:c r="G27" i="3"/>
  <x:c r="O27" i="3"/>
  <x:c r="BF27" i="3"/>
  <x:c r="BI27" i="3"/>
  <x:c r="AS27" i="3"/>
  <x:c r="BB27" i="3"/>
  <x:c r="AE27" i="3"/>
  <x:c r="AH27" i="3"/>
  <x:c r="BD27" i="3"/>
  <x:c r="Z27" i="3"/>
  <x:c r="AF27" i="3"/>
  <x:c r="AA27" i="3"/>
  <x:c r="H27" i="3"/>
  <x:c r="Y27" i="3"/>
  <x:c r="BE27" i="3"/>
  <x:c r="AX27" i="3"/>
  <x:c r="AG27" i="3"/>
  <x:c r="AN27" i="3"/>
  <x:c r="AU27" i="3"/>
  <x:c r="Q27" i="3"/>
  <x:c r="AI27" i="3"/>
  <x:c r="W27" i="3"/>
  <x:c r="AM27" i="3"/>
  <x:c r="J27" i="3"/>
  <x:c r="AJ27" i="3"/>
  <x:c r="AQ27" i="3"/>
  <x:c r="AT27" i="3"/>
  <x:c r="R27" i="3"/>
  <x:c r="AV27" i="3"/>
  <x:c r="BM27" i="3" l="1"/>
  <x:c r="Z11" i="3" l="1"/>
  <x:c r="BD11" i="3"/>
  <x:c r="W11" i="3"/>
  <x:c r="P32" i="3"/>
  <x:c r="BB11" i="3"/>
  <x:c r="BC11" i="3"/>
  <x:c r="U32" i="3"/>
  <x:c r="U33" i="3" s="1"/>
  <x:c r="U18" i="3"/>
  <x:c r="U19" i="3" s="1"/>
  <x:c r="BF11" i="3"/>
  <x:c r="BE11" i="3"/>
  <x:c r="M32" i="3"/>
  <x:c r="M33" i="3" s="1"/>
  <x:c r="M18" i="3"/>
  <x:c r="M19" i="3" s="1"/>
  <x:c r="BA11" i="3"/>
  <x:c r="AZ11" i="3"/>
  <x:c r="T32" i="3"/>
  <x:c r="T33" i="3" s="1"/>
  <x:c r="T18" i="3"/>
  <x:c r="T19" i="3" s="1"/>
  <x:c r="AG11" i="3"/>
  <x:c r="AF11" i="3"/>
  <x:c r="AA11" i="3"/>
  <x:c r="H32" i="3"/>
  <x:c r="H18" i="3"/>
  <x:c r="H19" i="3" s="1"/>
  <x:c r="AC11" i="3"/>
  <x:c r="AH11" i="3"/>
  <x:c r="J32" i="3"/>
  <x:c r="J33" i="3" s="1"/>
  <x:c r="J18" i="3"/>
  <x:c r="J19" i="3" s="1"/>
  <x:c r="Y11" i="3"/>
  <x:c r="AE11" i="3"/>
  <x:c r="AD11" i="3"/>
  <x:c r="AJ11" i="3"/>
  <x:c r="AI11" i="3"/>
  <x:c r="K32" i="3"/>
  <x:c r="K33" i="3" s="1"/>
  <x:c r="K18" i="3"/>
  <x:c r="K19" i="3" s="1"/>
  <x:c r="N32" i="3"/>
  <x:c r="N33" i="3" s="1"/>
  <x:c r="N18" i="3"/>
  <x:c r="N19" i="3" s="1"/>
  <x:c r="X11" i="3"/>
  <x:c r="AB11" i="3"/>
  <x:c r="I32" i="3"/>
  <x:c r="I33" i="3" s="1"/>
  <x:c r="I18" i="3"/>
  <x:c r="I19" i="3" s="1"/>
  <x:c r="BG11" i="3"/>
  <x:c r="BI11" i="3"/>
  <x:c r="BH11" i="3"/>
  <x:c r="O32" i="3"/>
  <x:c r="O33" i="3" s="1"/>
  <x:c r="O18" i="3"/>
  <x:c r="O19" i="3" s="1"/>
  <x:c r="AJ32" i="3" l="1"/>
  <x:c r="AJ33" i="3" s="1"/>
  <x:c r="AJ18" i="3"/>
  <x:c r="AJ19" i="3" s="1"/>
  <x:c r="AB32" i="3"/>
  <x:c r="AB33" i="3" s="1"/>
  <x:c r="AB18" i="3"/>
  <x:c r="AB19" i="3" s="1"/>
  <x:c r="BB32" i="3"/>
  <x:c r="BB33" i="3" s="1"/>
  <x:c r="BB18" i="3"/>
  <x:c r="BB19" i="3" s="1"/>
  <x:c r="W32" i="3"/>
  <x:c r="W33" i="3" s="1"/>
  <x:c r="W18" i="3"/>
  <x:c r="W19" i="3" s="1"/>
  <x:c r="BI32" i="3"/>
  <x:c r="BI33" i="3" s="1"/>
  <x:c r="BI18" i="3"/>
  <x:c r="BI19" i="3" s="1"/>
  <x:c r="AI32" i="3"/>
  <x:c r="AI33" i="3" s="1"/>
  <x:c r="AI18" i="3"/>
  <x:c r="AI19" i="3" s="1"/>
  <x:c r="AC32" i="3"/>
  <x:c r="AC33" i="3" s="1"/>
  <x:c r="AC18" i="3"/>
  <x:c r="AC19" i="3" s="1"/>
  <x:c r="AZ32" i="3"/>
  <x:c r="AZ33" i="3" s="1"/>
  <x:c r="AZ18" i="3"/>
  <x:c r="AZ19" i="3" s="1"/>
  <x:c r="BC32" i="3"/>
  <x:c r="BC33" i="3" s="1"/>
  <x:c r="BC18" i="3"/>
  <x:c r="BC19" i="3" s="1"/>
  <x:c r="BA32" i="3"/>
  <x:c r="BA33" i="3" s="1"/>
  <x:c r="BA18" i="3"/>
  <x:c r="BA19" i="3" s="1"/>
  <x:c r="AD32" i="3"/>
  <x:c r="AD33" i="3" s="1"/>
  <x:c r="AD18" i="3"/>
  <x:c r="AD19" i="3" s="1"/>
  <x:c r="X32" i="3"/>
  <x:c r="X33" i="3" s="1"/>
  <x:c r="X18" i="3"/>
  <x:c r="X19" i="3" s="1"/>
  <x:c r="Y32" i="3"/>
  <x:c r="Y33" i="3" s="1"/>
  <x:c r="Y18" i="3"/>
  <x:c r="Y19" i="3" s="1"/>
  <x:c r="AF32" i="3"/>
  <x:c r="AF33" i="3" s="1"/>
  <x:c r="AF18" i="3"/>
  <x:c r="AF19" i="3" s="1"/>
  <x:c r="BE32" i="3"/>
  <x:c r="BE33" i="3" s="1"/>
  <x:c r="BE18" i="3"/>
  <x:c r="BE19" i="3" s="1"/>
  <x:c r="BD32" i="3"/>
  <x:c r="BD33" i="3" s="1"/>
  <x:c r="BD18" i="3"/>
  <x:c r="BD19" i="3" s="1"/>
  <x:c r="AX11" i="3"/>
  <x:c r="AS32" i="3"/>
  <x:c r="AS33" i="3" s="1"/>
  <x:c r="AS18" i="3"/>
  <x:c r="AS19" i="3" s="1"/>
  <x:c r="BG32" i="3"/>
  <x:c r="BG33" i="3" s="1"/>
  <x:c r="BG18" i="3"/>
  <x:c r="BG19" i="3" s="1"/>
  <x:c r="AH32" i="3"/>
  <x:c r="AH33" i="3" s="1"/>
  <x:c r="AH18" i="3"/>
  <x:c r="AH19" i="3" s="1"/>
  <x:c r="AL11" i="3"/>
  <x:c r="AP32" i="3"/>
  <x:c r="AP33" i="3" s="1"/>
  <x:c r="AP18" i="3"/>
  <x:c r="AP19" i="3" s="1"/>
  <x:c r="AV11" i="3"/>
  <x:c r="AQ32" i="3"/>
  <x:c r="AQ33" i="3" s="1"/>
  <x:c r="AQ18" i="3"/>
  <x:c r="AQ19" i="3" s="1"/>
  <x:c r="H33" i="3"/>
  <x:c r="AE32" i="3"/>
  <x:c r="AE33" i="3" s="1"/>
  <x:c r="AE18" i="3"/>
  <x:c r="AE19" i="3" s="1"/>
  <x:c r="AA32" i="3"/>
  <x:c r="AA33" i="3" s="1"/>
  <x:c r="AA18" i="3"/>
  <x:c r="AA19" i="3" s="1"/>
  <x:c r="AT11" i="3"/>
  <x:c r="AU11" i="3"/>
  <x:c r="AO32" i="3"/>
  <x:c r="AO33" i="3" s="1"/>
  <x:c r="AO18" i="3"/>
  <x:c r="AO19" i="3" s="1"/>
  <x:c r="AW11" i="3"/>
  <x:c r="AM11" i="3"/>
  <x:c r="AR32" i="3"/>
  <x:c r="AR33" i="3" s="1"/>
  <x:c r="AR18" i="3"/>
  <x:c r="AR19" i="3" s="1"/>
  <x:c r="BH32" i="3"/>
  <x:c r="BH33" i="3" s="1"/>
  <x:c r="BH18" i="3"/>
  <x:c r="BH19" i="3" s="1"/>
  <x:c r="AG32" i="3"/>
  <x:c r="AG33" i="3" s="1"/>
  <x:c r="AG18" i="3"/>
  <x:c r="AG19" i="3" s="1"/>
  <x:c r="BF32" i="3"/>
  <x:c r="BF33" i="3" s="1"/>
  <x:c r="BF18" i="3"/>
  <x:c r="BF19" i="3" s="1"/>
  <x:c r="Z32" i="3"/>
  <x:c r="Z33" i="3" s="1"/>
  <x:c r="Z18" i="3"/>
  <x:c r="Z19" i="3" s="1"/>
  <x:c r="AW32" i="3" l="1"/>
  <x:c r="AW33" i="3" s="1"/>
  <x:c r="AW18" i="3"/>
  <x:c r="AW19" i="3" s="1"/>
  <x:c r="AL32" i="3"/>
  <x:c r="AL33" i="3" s="1"/>
  <x:c r="AL18" i="3"/>
  <x:c r="AL19" i="3" s="1"/>
  <x:c r="AX32" i="3"/>
  <x:c r="AX33" i="3" s="1"/>
  <x:c r="AX18" i="3"/>
  <x:c r="AX19" i="3" s="1"/>
  <x:c r="AM32" i="3"/>
  <x:c r="AM33" i="3" s="1"/>
  <x:c r="AM18" i="3"/>
  <x:c r="AM19" i="3" s="1"/>
  <x:c r="AT32" i="3"/>
  <x:c r="AT33" i="3" s="1"/>
  <x:c r="AT18" i="3"/>
  <x:c r="AT19" i="3" s="1"/>
  <x:c r="AV32" i="3"/>
  <x:c r="AV33" i="3" s="1"/>
  <x:c r="AV18" i="3"/>
  <x:c r="AV19" i="3" s="1"/>
  <x:c r="AK11" i="3"/>
  <x:c r="AN32" i="3"/>
  <x:c r="AN33" i="3" s="1"/>
  <x:c r="AN18" i="3"/>
  <x:c r="AN19" i="3" s="1"/>
  <x:c r="AU32" i="3"/>
  <x:c r="AU33" i="3" s="1"/>
  <x:c r="AU18" i="3"/>
  <x:c r="AU19" i="3" s="1"/>
  <x:c r="AK32" i="3" l="1"/>
  <x:c r="AK33" i="3" s="1"/>
  <x:c r="AK18" i="3"/>
  <x:c r="AK19" i="3" s="1"/>
  <x:c r="BJ11" i="3"/>
  <x:c r="Q32" i="3"/>
  <x:c r="Q18" i="3"/>
  <x:c r="Q19" i="3" s="1"/>
  <x:c r="R32" i="3" l="1"/>
  <x:c r="R33" i="3" s="1"/>
  <x:c r="R18" i="3"/>
  <x:c r="R19" i="3" s="1"/>
  <x:c r="Q33" i="3"/>
  <x:c r="BK11" i="3"/>
  <x:c r="BJ32" i="3"/>
  <x:c r="BJ33" i="3" s="1"/>
  <x:c r="BJ18" i="3"/>
  <x:c r="BJ19" i="3" s="1"/>
  <x:c r="BK32" i="3" l="1"/>
  <x:c r="BK18" i="3"/>
  <x:c r="BK19" i="3" s="1"/>
  <x:c r="BK33" i="3" l="1"/>
  <x:c r="BM32" i="3"/>
  <x:c r="BM19" i="3"/>
  <x:c r="R20" i="3" l="1"/>
  <x:c r="G20" i="3"/>
  <x:c r="U20" i="3"/>
  <x:c r="I20" i="3"/>
  <x:c r="N20" i="3"/>
  <x:c r="O20" i="3"/>
  <x:c r="H20" i="3"/>
  <x:c r="J20" i="3"/>
  <x:c r="K20" i="3"/>
  <x:c r="T20" i="3"/>
  <x:c r="M20" i="3"/>
  <x:c r="W20" i="3"/>
  <x:c r="AH20" i="3"/>
  <x:c r="AJ20" i="3"/>
  <x:c r="AI20" i="3"/>
  <x:c r="AE20" i="3"/>
  <x:c r="AF20" i="3"/>
  <x:c r="AR20" i="3"/>
  <x:c r="AA20" i="3"/>
  <x:c r="BE20" i="3"/>
  <x:c r="AG20" i="3"/>
  <x:c r="AB20" i="3"/>
  <x:c r="BB20" i="3"/>
  <x:c r="BD20" i="3"/>
  <x:c r="AO20" i="3"/>
  <x:c r="BA20" i="3"/>
  <x:c r="X20" i="3"/>
  <x:c r="AQ20" i="3"/>
  <x:c r="Z20" i="3"/>
  <x:c r="AP20" i="3"/>
  <x:c r="AD20" i="3"/>
  <x:c r="BC20" i="3"/>
  <x:c r="AZ20" i="3"/>
  <x:c r="Y20" i="3"/>
  <x:c r="BH20" i="3"/>
  <x:c r="BG20" i="3"/>
  <x:c r="BF20" i="3"/>
  <x:c r="AS20" i="3"/>
  <x:c r="BI20" i="3"/>
  <x:c r="AC20" i="3"/>
  <x:c r="AL20" i="3"/>
  <x:c r="AV20" i="3"/>
  <x:c r="AW20" i="3"/>
  <x:c r="AT20" i="3"/>
  <x:c r="AU20" i="3"/>
  <x:c r="AN20" i="3"/>
  <x:c r="AX20" i="3"/>
  <x:c r="AM20" i="3"/>
  <x:c r="AK20" i="3"/>
  <x:c r="Q20" i="3"/>
  <x:c r="BJ20" i="3"/>
  <x:c r="BK20" i="3"/>
  <x:c r="BM33" i="3"/>
  <x:c r="N34" i="3" l="1"/>
  <x:c r="G34" i="3"/>
  <x:c r="J34" i="3"/>
  <x:c r="I34" i="3"/>
  <x:c r="K34" i="3"/>
  <x:c r="M34" i="3"/>
  <x:c r="U34" i="3"/>
  <x:c r="T34" i="3"/>
  <x:c r="O34" i="3"/>
  <x:c r="X34" i="3"/>
  <x:c r="AZ34" i="3"/>
  <x:c r="AD34" i="3"/>
  <x:c r="AI34" i="3"/>
  <x:c r="BB34" i="3"/>
  <x:c r="AQ34" i="3"/>
  <x:c r="BI34" i="3"/>
  <x:c r="AC34" i="3"/>
  <x:c r="Z34" i="3"/>
  <x:c r="AO34" i="3"/>
  <x:c r="W34" i="3"/>
  <x:c r="BH34" i="3"/>
  <x:c r="AJ34" i="3"/>
  <x:c r="BE34" i="3"/>
  <x:c r="AB34" i="3"/>
  <x:c r="BF34" i="3"/>
  <x:c r="AS34" i="3"/>
  <x:c r="AR34" i="3"/>
  <x:c r="AG34" i="3"/>
  <x:c r="BG34" i="3"/>
  <x:c r="AE34" i="3"/>
  <x:c r="BC34" i="3"/>
  <x:c r="AF34" i="3"/>
  <x:c r="Y34" i="3"/>
  <x:c r="H34" i="3"/>
  <x:c r="AA34" i="3"/>
  <x:c r="AP34" i="3"/>
  <x:c r="AH34" i="3"/>
  <x:c r="BA34" i="3"/>
  <x:c r="BD34" i="3"/>
  <x:c r="AN34" i="3"/>
  <x:c r="AL34" i="3"/>
  <x:c r="AW34" i="3"/>
  <x:c r="AV34" i="3"/>
  <x:c r="AU34" i="3"/>
  <x:c r="AT34" i="3"/>
  <x:c r="AX34" i="3"/>
  <x:c r="AM34" i="3"/>
  <x:c r="AK34" i="3"/>
  <x:c r="Q34" i="3"/>
  <x:c r="BJ34" i="3"/>
  <x:c r="R34" i="3"/>
  <x:c r="BK34" i="3"/>
  <x:c r="BM20" i="3"/>
  <x:c r="BM34" i="3" l="1"/>
  <x:c r="J39" i="2" l="1"/>
  <x:c r="P15" i="2" l="1"/>
  <x:c r="H15" i="2" l="1"/>
  <x:c r="P17" i="2" l="1"/>
  <x:c r="L17" i="2" l="1"/>
  <x:c r="J17" i="2" l="1"/>
  <x:c r="R17" i="2" s="1"/>
  <x:c r="H18" i="2" l="1"/>
  <x:c r="H19" i="2" l="1"/>
  <x:c r="L18" i="2"/>
  <x:c r="R18" i="2" s="1"/>
  <x:c r="J15" i="2"/>
  <x:c r="J19" i="2"/>
  <x:c r="L19" i="2"/>
  <x:c r="J23" i="2" l="1"/>
  <x:c r="N15" i="2"/>
  <x:c r="L15" i="2"/>
  <x:c r="N19" i="2"/>
  <x:c r="P19" i="2"/>
  <x:c r="P23" i="2" s="1"/>
  <x:c r="R19" i="2" l="1"/>
  <x:c r="R15" i="2"/>
  <x:c r="R16" i="2"/>
  <x:c r="L23" i="2"/>
  <x:c r="R20" i="2" l="1"/>
  <x:c r="H23" i="2"/>
  <x:c r="R21" i="2"/>
  <x:c r="N23" i="2"/>
  <x:c r="R23" i="2" l="1"/>
  <x:c r="U23" i="2" s="1"/>
  <x:c r="J40" i="2" l="1"/>
  <x:c r="J38" i="2" l="1"/>
  <x:c r="J44" i="2" s="1"/>
  <x:c r="J47" i="2" l="1"/>
  <x:c r="T44" i="2"/>
  <x:c r="H25" i="2" l="1"/>
  <x:c r="H28" i="2" s="1"/>
  <x:c r="J25" i="2"/>
  <x:c r="J28" i="2" s="1"/>
  <x:c r="P25" i="2"/>
  <x:c r="P28" i="2" s="1"/>
  <x:c r="N25" i="2"/>
  <x:c r="N28" i="2" s="1"/>
  <x:c r="L25" i="2"/>
  <x:c r="L28" i="2" s="1"/>
  <x:c r="G40" i="3" l="1"/>
  <x:c r="T40" i="3"/>
  <x:c r="Z40" i="3"/>
  <x:c r="BI40" i="3"/>
  <x:c r="AU40" i="3"/>
  <x:c r="AS40" i="3"/>
  <x:c r="BF40" i="3"/>
  <x:c r="AZ40" i="3"/>
  <x:c r="X40" i="3"/>
  <x:c r="AG40" i="3"/>
  <x:c r="AK40" i="3"/>
  <x:c r="BE40" i="3"/>
  <x:c r="BB40" i="3"/>
  <x:c r="J40" i="3"/>
  <x:c r="I40" i="3"/>
  <x:c r="AF40" i="3"/>
  <x:c r="AD40" i="3"/>
  <x:c r="AH40" i="3"/>
  <x:c r="Y40" i="3"/>
  <x:c r="O40" i="3"/>
  <x:c r="M40" i="3"/>
  <x:c r="BA40" i="3"/>
  <x:c r="N40" i="3"/>
  <x:c r="AV40" i="3"/>
  <x:c r="W40" i="3"/>
  <x:c r="AE40" i="3"/>
  <x:c r="BG40" i="3"/>
  <x:c r="BC40" i="3"/>
  <x:c r="AT40" i="3"/>
  <x:c r="Q40" i="3"/>
  <x:c r="AI40" i="3"/>
  <x:c r="BK40" i="3"/>
  <x:c r="R40" i="3"/>
  <x:c r="K40" i="3"/>
  <x:c r="AP40" i="3"/>
  <x:c r="AW40" i="3"/>
  <x:c r="H40" i="3"/>
  <x:c r="AN40" i="3"/>
  <x:c r="AR40" i="3"/>
  <x:c r="AB40" i="3"/>
  <x:c r="AQ40" i="3"/>
  <x:c r="AJ40" i="3"/>
  <x:c r="AL40" i="3"/>
  <x:c r="BD40" i="3"/>
  <x:c r="BH40" i="3"/>
  <x:c r="BJ40" i="3"/>
  <x:c r="AM40" i="3"/>
  <x:c r="AO40" i="3"/>
  <x:c r="U40" i="3"/>
  <x:c r="AX40" i="3"/>
  <x:c r="AC40" i="3"/>
  <x:c r="AA40" i="3"/>
  <x:c r="K35" i="3"/>
  <x:c r="AE35" i="3"/>
  <x:c r="J35" i="3"/>
  <x:c r="R35" i="3"/>
  <x:c r="N35" i="3"/>
  <x:c r="AW35" i="3"/>
  <x:c r="AA35" i="3"/>
  <x:c r="AH35" i="3"/>
  <x:c r="BJ35" i="3"/>
  <x:c r="U35" i="3"/>
  <x:c r="M35" i="3"/>
  <x:c r="BC35" i="3"/>
  <x:c r="AN35" i="3"/>
  <x:c r="AB35" i="3"/>
  <x:c r="AU35" i="3"/>
  <x:c r="BK35" i="3"/>
  <x:c r="AO35" i="3"/>
  <x:c r="AQ35" i="3"/>
  <x:c r="AD35" i="3"/>
  <x:c r="BI35" i="3"/>
  <x:c r="AR35" i="3"/>
  <x:c r="AX35" i="3"/>
  <x:c r="AC35" i="3"/>
  <x:c r="AS35" i="3"/>
  <x:c r="BH35" i="3"/>
  <x:c r="H35" i="3"/>
  <x:c r="Z35" i="3"/>
  <x:c r="I35" i="3"/>
  <x:c r="AL35" i="3"/>
  <x:c r="BA35" i="3"/>
  <x:c r="W35" i="3"/>
  <x:c r="G35" i="3"/>
  <x:c r="AV35" i="3"/>
  <x:c r="O35" i="3"/>
  <x:c r="BG35" i="3"/>
  <x:c r="AP35" i="3"/>
  <x:c r="AI35" i="3"/>
  <x:c r="BB35" i="3"/>
  <x:c r="BF35" i="3"/>
  <x:c r="AZ35" i="3"/>
  <x:c r="AF35" i="3"/>
  <x:c r="X35" i="3"/>
  <x:c r="AM35" i="3"/>
  <x:c r="Q35" i="3"/>
  <x:c r="AT35" i="3"/>
  <x:c r="Y35" i="3"/>
  <x:c r="AG35" i="3"/>
  <x:c r="AK35" i="3"/>
  <x:c r="T35" i="3"/>
  <x:c r="BD35" i="3"/>
  <x:c r="AJ35" i="3"/>
  <x:c r="BE35" i="3"/>
  <x:c r="U28" i="3"/>
  <x:c r="AU28" i="3"/>
  <x:c r="AS28" i="3"/>
  <x:c r="AJ28" i="3"/>
  <x:c r="BD28" i="3"/>
  <x:c r="T28" i="3"/>
  <x:c r="BC28" i="3"/>
  <x:c r="AT28" i="3"/>
  <x:c r="AA28" i="3"/>
  <x:c r="AR28" i="3"/>
  <x:c r="M28" i="3"/>
  <x:c r="J28" i="3"/>
  <x:c r="AN28" i="3"/>
  <x:c r="AO28" i="3"/>
  <x:c r="BK28" i="3"/>
  <x:c r="X28" i="3"/>
  <x:c r="BE28" i="3"/>
  <x:c r="AI28" i="3"/>
  <x:c r="Y28" i="3"/>
  <x:c r="BI28" i="3"/>
  <x:c r="AX28" i="3"/>
  <x:c r="AV28" i="3"/>
  <x:c r="AL28" i="3"/>
  <x:c r="BF28" i="3"/>
  <x:c r="O28" i="3"/>
  <x:c r="AK28" i="3"/>
  <x:c r="BA28" i="3"/>
  <x:c r="BH28" i="3"/>
  <x:c r="BG28" i="3"/>
  <x:c r="BB28" i="3"/>
  <x:c r="K28" i="3"/>
  <x:c r="BJ28" i="3"/>
  <x:c r="G28" i="3"/>
  <x:c r="AZ28" i="3"/>
  <x:c r="Z28" i="3"/>
  <x:c r="AD28" i="3"/>
  <x:c r="N28" i="3"/>
  <x:c r="AE28" i="3"/>
  <x:c r="AQ28" i="3"/>
  <x:c r="AF28" i="3"/>
  <x:c r="AM28" i="3"/>
  <x:c r="AB28" i="3"/>
  <x:c r="AP28" i="3"/>
  <x:c r="AH28" i="3"/>
  <x:c r="R28" i="3"/>
  <x:c r="AG28" i="3"/>
  <x:c r="AW28" i="3"/>
  <x:c r="W28" i="3"/>
  <x:c r="Q28" i="3"/>
  <x:c r="AC28" i="3"/>
  <x:c r="H28" i="3"/>
  <x:c r="I28" i="3"/>
  <x:c r="AZ21" i="3"/>
  <x:c r="W21" i="3"/>
  <x:c r="M21" i="3"/>
  <x:c r="AH21" i="3"/>
  <x:c r="BE21" i="3"/>
  <x:c r="H21" i="3"/>
  <x:c r="BJ21" i="3"/>
  <x:c r="AB21" i="3"/>
  <x:c r="U21" i="3"/>
  <x:c r="AG21" i="3"/>
  <x:c r="AX21" i="3"/>
  <x:c r="BH21" i="3"/>
  <x:c r="G21" i="3"/>
  <x:c r="AN21" i="3"/>
  <x:c r="AC21" i="3"/>
  <x:c r="BG21" i="3"/>
  <x:c r="X21" i="3"/>
  <x:c r="BK21" i="3"/>
  <x:c r="AQ21" i="3"/>
  <x:c r="AW21" i="3"/>
  <x:c r="BD21" i="3"/>
  <x:c r="I21" i="3"/>
  <x:c r="AM21" i="3"/>
  <x:c r="BA21" i="3"/>
  <x:c r="O21" i="3"/>
  <x:c r="Z21" i="3"/>
  <x:c r="AV21" i="3"/>
  <x:c r="AD21" i="3"/>
  <x:c r="AJ21" i="3"/>
  <x:c r="AF21" i="3"/>
  <x:c r="AE21" i="3"/>
  <x:c r="T21" i="3"/>
  <x:c r="Y21" i="3"/>
  <x:c r="R21" i="3"/>
  <x:c r="BC21" i="3"/>
  <x:c r="BB21" i="3"/>
  <x:c r="AI21" i="3"/>
  <x:c r="AA21" i="3"/>
  <x:c r="K21" i="3"/>
  <x:c r="AK21" i="3"/>
  <x:c r="AR21" i="3"/>
  <x:c r="AU21" i="3"/>
  <x:c r="AP21" i="3"/>
  <x:c r="AS21" i="3"/>
  <x:c r="J21" i="3"/>
  <x:c r="AL21" i="3"/>
  <x:c r="BI21" i="3"/>
  <x:c r="AO21" i="3"/>
  <x:c r="N21" i="3"/>
  <x:c r="Q21" i="3"/>
  <x:c r="AT21" i="3"/>
  <x:c r="BF21" i="3"/>
  <x:c r="R28" i="2"/>
  <x:c r="T38" i="2" s="1"/>
  <x:c r="AV42" i="3" l="1"/>
  <x:c r="BM35" i="3"/>
  <x:c r="BN35" i="3" s="1"/>
  <x:c r="BE42" i="3"/>
  <x:c r="AW42" i="3"/>
  <x:c r="K42" i="3"/>
  <x:c r="BJ42" i="3"/>
  <x:c r="AM42" i="3"/>
  <x:c r="AP42" i="3"/>
  <x:c r="N42" i="3"/>
  <x:c r="AK42" i="3"/>
  <x:c r="BA42" i="3"/>
  <x:c r="AG42" i="3"/>
  <x:c r="BH42" i="3"/>
  <x:c r="R42" i="3"/>
  <x:c r="M42" i="3"/>
  <x:c r="X42" i="3"/>
  <x:c r="BK42" i="3"/>
  <x:c r="O42" i="3"/>
  <x:c r="AZ42" i="3"/>
  <x:c r="AJ42" i="3"/>
  <x:c r="AL42" i="3"/>
  <x:c r="AI42" i="3"/>
  <x:c r="Y42" i="3"/>
  <x:c r="BF42" i="3"/>
  <x:c r="BD42" i="3"/>
  <x:c r="Q42" i="3"/>
  <x:c r="AH42" i="3"/>
  <x:c r="AS42" i="3"/>
  <x:c r="BM28" i="3"/>
  <x:c r="BN28" i="3" s="1"/>
  <x:c r="AQ42" i="3"/>
  <x:c r="AT42" i="3"/>
  <x:c r="AD42" i="3"/>
  <x:c r="AU42" i="3"/>
  <x:c r="AB42" i="3"/>
  <x:c r="BC42" i="3"/>
  <x:c r="AF42" i="3"/>
  <x:c r="BI42" i="3"/>
  <x:c r="AO42" i="3"/>
  <x:c r="AC42" i="3"/>
  <x:c r="BG42" i="3"/>
  <x:c r="I42" i="3"/>
  <x:c r="Z42" i="3"/>
  <x:c r="AX42" i="3"/>
  <x:c r="AN42" i="3"/>
  <x:c r="AE42" i="3"/>
  <x:c r="J42" i="3"/>
  <x:c r="T42" i="3"/>
  <x:c r="AA42" i="3"/>
  <x:c r="BM21" i="3"/>
  <x:c r="BN21" i="3" s="1"/>
  <x:c r="AR42" i="3"/>
  <x:c r="U42" i="3"/>
  <x:c r="H42" i="3"/>
  <x:c r="W42" i="3"/>
  <x:c r="BB42" i="3"/>
  <x:c r="BM40" i="3"/>
  <x:c r="BN40" i="3" s="1"/>
  <x:c r="G42" i="3"/>
  <x:c r="BM42" i="3" l="1"/>
  <x:c r="BD46" i="3" s="1"/>
  <x:c r="BD47" i="3" s="1"/>
  <x:c r="BD49" i="3" s="1"/>
  <x:c r="BD51" i="3" s="1"/>
  <x:c r="N46" i="3" l="1"/>
  <x:c r="N47" i="3" s="1"/>
  <x:c r="N49" i="3" s="1"/>
  <x:c r="N51" i="3" s="1"/>
  <x:c r="N81" i="3" s="1"/>
  <x:c r="N82" i="3" s="1"/>
  <x:c r="Y46" i="3"/>
  <x:c r="Y47" i="3" s="1"/>
  <x:c r="Y49" i="3" s="1"/>
  <x:c r="Y51" i="3" s="1"/>
  <x:c r="Y81" i="3" s="1"/>
  <x:c r="Y82" i="3" s="1"/>
  <x:c r="R46" i="3"/>
  <x:c r="R47" i="3" s="1"/>
  <x:c r="R49" i="3" s="1"/>
  <x:c r="R51" i="3" s="1"/>
  <x:c r="R81" i="3" s="1"/>
  <x:c r="R82" i="3" s="1"/>
  <x:c r="BI46" i="3"/>
  <x:c r="BI47" i="3" s="1"/>
  <x:c r="BI49" i="3" s="1"/>
  <x:c r="BI51" i="3" s="1"/>
  <x:c r="BI55" i="3" s="1"/>
  <x:c r="AH46" i="3"/>
  <x:c r="AH47" i="3" s="1"/>
  <x:c r="AH49" i="3" s="1"/>
  <x:c r="AH51" i="3" s="1"/>
  <x:c r="AH81" i="3" s="1"/>
  <x:c r="AH82" i="3" s="1"/>
  <x:c r="I46" i="3"/>
  <x:c r="I47" i="3" s="1"/>
  <x:c r="I49" i="3" s="1"/>
  <x:c r="I51" i="3" s="1"/>
  <x:c r="I55" i="3" s="1"/>
  <x:c r="BF46" i="3"/>
  <x:c r="BF47" i="3" s="1"/>
  <x:c r="BF49" i="3" s="1"/>
  <x:c r="BF51" i="3" s="1"/>
  <x:c r="BF55" i="3" s="1"/>
  <x:c r="AC46" i="3"/>
  <x:c r="AC47" i="3" s="1"/>
  <x:c r="AC49" i="3" s="1"/>
  <x:c r="AC51" i="3" s="1"/>
  <x:c r="AC81" i="3" s="1"/>
  <x:c r="AC82" i="3" s="1"/>
  <x:c r="T47" i="2"/>
  <x:c r="AI46" i="3"/>
  <x:c r="AI47" i="3" s="1"/>
  <x:c r="AI49" i="3" s="1"/>
  <x:c r="AI51" i="3" s="1"/>
  <x:c r="AI55" i="3" s="1"/>
  <x:c r="AD46" i="3"/>
  <x:c r="AD47" i="3" s="1"/>
  <x:c r="AD49" i="3" s="1"/>
  <x:c r="AD51" i="3" s="1"/>
  <x:c r="AD81" i="3" s="1"/>
  <x:c r="AD82" i="3" s="1"/>
  <x:c r="AJ46" i="3"/>
  <x:c r="AJ47" i="3" s="1"/>
  <x:c r="AJ49" i="3" s="1"/>
  <x:c r="AJ51" i="3" s="1"/>
  <x:c r="AJ55" i="3" s="1"/>
  <x:c r="M46" i="3"/>
  <x:c r="M47" i="3" s="1"/>
  <x:c r="M49" i="3" s="1"/>
  <x:c r="M51" i="3" s="1"/>
  <x:c r="M55" i="3" s="1"/>
  <x:c r="U46" i="3"/>
  <x:c r="U47" i="3" s="1"/>
  <x:c r="U49" i="3" s="1"/>
  <x:c r="U51" i="3" s="1"/>
  <x:c r="U55" i="3" s="1"/>
  <x:c r="AU46" i="3"/>
  <x:c r="AU47" i="3" s="1"/>
  <x:c r="AU49" i="3" s="1"/>
  <x:c r="AU51" i="3" s="1"/>
  <x:c r="AU81" i="3" s="1"/>
  <x:c r="AU82" i="3" s="1"/>
  <x:c r="AF46" i="3"/>
  <x:c r="AF47" i="3" s="1"/>
  <x:c r="AF49" i="3" s="1"/>
  <x:c r="AF51" i="3" s="1"/>
  <x:c r="AF81" i="3" s="1"/>
  <x:c r="AF82" i="3" s="1"/>
  <x:c r="BB46" i="3"/>
  <x:c r="BB47" i="3" s="1"/>
  <x:c r="BB49" i="3" s="1"/>
  <x:c r="BB51" i="3" s="1"/>
  <x:c r="BB81" i="3" s="1"/>
  <x:c r="BB82" i="3" s="1"/>
  <x:c r="H46" i="3"/>
  <x:c r="H47" i="3" s="1"/>
  <x:c r="H49" i="3" s="1"/>
  <x:c r="H51" i="3" s="1"/>
  <x:c r="H55" i="3" s="1"/>
  <x:c r="AM46" i="3"/>
  <x:c r="AM47" i="3" s="1"/>
  <x:c r="AM49" i="3" s="1"/>
  <x:c r="AM51" i="3" s="1"/>
  <x:c r="AM81" i="3" s="1"/>
  <x:c r="AM82" i="3" s="1"/>
  <x:c r="X46" i="3"/>
  <x:c r="X47" i="3" s="1"/>
  <x:c r="X49" i="3" s="1"/>
  <x:c r="X51" i="3" s="1"/>
  <x:c r="X55" i="3" s="1"/>
  <x:c r="BC46" i="3"/>
  <x:c r="BC47" i="3" s="1"/>
  <x:c r="BC49" i="3" s="1"/>
  <x:c r="BC51" i="3" s="1"/>
  <x:c r="BC81" i="3" s="1"/>
  <x:c r="BC82" i="3" s="1"/>
  <x:c r="AP46" i="3"/>
  <x:c r="AP47" i="3" s="1"/>
  <x:c r="AP49" i="3" s="1"/>
  <x:c r="AP51" i="3" s="1"/>
  <x:c r="AP55" i="3" s="1"/>
  <x:c r="AL46" i="3"/>
  <x:c r="AL47" i="3" s="1"/>
  <x:c r="AL49" i="3" s="1"/>
  <x:c r="AL51" i="3" s="1"/>
  <x:c r="AL81" i="3" s="1"/>
  <x:c r="AL82" i="3" s="1"/>
  <x:c r="AK46" i="3"/>
  <x:c r="AK47" i="3" s="1"/>
  <x:c r="AK49" i="3" s="1"/>
  <x:c r="AK51" i="3" s="1"/>
  <x:c r="AK81" i="3" s="1"/>
  <x:c r="AK82" i="3" s="1"/>
  <x:c r="AR46" i="3"/>
  <x:c r="AR47" i="3" s="1"/>
  <x:c r="AR49" i="3" s="1"/>
  <x:c r="AR51" i="3" s="1"/>
  <x:c r="AR55" i="3" s="1"/>
  <x:c r="W46" i="3"/>
  <x:c r="W47" i="3" s="1"/>
  <x:c r="W49" i="3" s="1"/>
  <x:c r="W51" i="3" s="1"/>
  <x:c r="W81" i="3" s="1"/>
  <x:c r="W82" i="3" s="1"/>
  <x:c r="AE46" i="3"/>
  <x:c r="AE47" i="3" s="1"/>
  <x:c r="AE49" i="3" s="1"/>
  <x:c r="AE51" i="3" s="1"/>
  <x:c r="AE55" i="3" s="1"/>
  <x:c r="BK46" i="3"/>
  <x:c r="BK47" i="3" s="1"/>
  <x:c r="BK49" i="3" s="1"/>
  <x:c r="BK51" i="3" s="1"/>
  <x:c r="BK55" i="3" s="1"/>
  <x:c r="AZ46" i="3"/>
  <x:c r="AZ47" i="3" s="1"/>
  <x:c r="AZ49" i="3" s="1"/>
  <x:c r="AZ51" i="3" s="1"/>
  <x:c r="AZ81" i="3" s="1"/>
  <x:c r="AZ82" i="3" s="1"/>
  <x:c r="AB46" i="3"/>
  <x:c r="AB47" i="3" s="1"/>
  <x:c r="AB49" i="3" s="1"/>
  <x:c r="AB51" i="3" s="1"/>
  <x:c r="AB55" i="3" s="1"/>
  <x:c r="BH46" i="3"/>
  <x:c r="BH47" i="3" s="1"/>
  <x:c r="BH49" i="3" s="1"/>
  <x:c r="BH51" i="3" s="1"/>
  <x:c r="BH81" i="3" s="1"/>
  <x:c r="BH82" i="3" s="1"/>
  <x:c r="AS46" i="3"/>
  <x:c r="AS47" i="3" s="1"/>
  <x:c r="AS49" i="3" s="1"/>
  <x:c r="AS51" i="3" s="1"/>
  <x:c r="AS81" i="3" s="1"/>
  <x:c r="AS82" i="3" s="1"/>
  <x:c r="Z46" i="3"/>
  <x:c r="Z47" i="3" s="1"/>
  <x:c r="Z49" i="3" s="1"/>
  <x:c r="Z51" i="3" s="1"/>
  <x:c r="Z81" i="3" s="1"/>
  <x:c r="Z82" i="3" s="1"/>
  <x:c r="AO46" i="3"/>
  <x:c r="AO47" i="3" s="1"/>
  <x:c r="AO49" i="3" s="1"/>
  <x:c r="AO51" i="3" s="1"/>
  <x:c r="AO81" i="3" s="1"/>
  <x:c r="AO82" i="3" s="1"/>
  <x:c r="BG46" i="3"/>
  <x:c r="BG47" i="3" s="1"/>
  <x:c r="BG49" i="3" s="1"/>
  <x:c r="BG51" i="3" s="1"/>
  <x:c r="BG55" i="3" s="1"/>
  <x:c r="AN46" i="3"/>
  <x:c r="AN47" i="3" s="1"/>
  <x:c r="AN49" i="3" s="1"/>
  <x:c r="AN51" i="3" s="1"/>
  <x:c r="AN81" i="3" s="1"/>
  <x:c r="AN82" i="3" s="1"/>
  <x:c r="AA46" i="3"/>
  <x:c r="AA47" i="3" s="1"/>
  <x:c r="AA49" i="3" s="1"/>
  <x:c r="AA51" i="3" s="1"/>
  <x:c r="AA81" i="3" s="1"/>
  <x:c r="AA82" i="3" s="1"/>
  <x:c r="BA46" i="3"/>
  <x:c r="BA47" i="3" s="1"/>
  <x:c r="BA49" i="3" s="1"/>
  <x:c r="BA51" i="3" s="1"/>
  <x:c r="BA81" i="3" s="1"/>
  <x:c r="BA82" i="3" s="1"/>
  <x:c r="O46" i="3"/>
  <x:c r="O47" i="3" s="1"/>
  <x:c r="O49" i="3" s="1"/>
  <x:c r="O51" i="3" s="1"/>
  <x:c r="O55" i="3" s="1"/>
  <x:c r="T46" i="3"/>
  <x:c r="T47" i="3" s="1"/>
  <x:c r="T49" i="3" s="1"/>
  <x:c r="T51" i="3" s="1"/>
  <x:c r="T55" i="3" s="1"/>
  <x:c r="AT46" i="3"/>
  <x:c r="AT47" i="3" s="1"/>
  <x:c r="AT49" i="3" s="1"/>
  <x:c r="J46" i="3"/>
  <x:c r="J47" i="3" s="1"/>
  <x:c r="J49" i="3" s="1"/>
  <x:c r="J51" i="3" s="1"/>
  <x:c r="J55" i="3" s="1"/>
  <x:c r="AQ46" i="3"/>
  <x:c r="AQ47" i="3" s="1"/>
  <x:c r="AQ49" i="3" s="1"/>
  <x:c r="AQ51" i="3" s="1"/>
  <x:c r="AQ55" i="3" s="1"/>
  <x:c r="Q46" i="3"/>
  <x:c r="Q47" i="3" s="1"/>
  <x:c r="Q49" i="3" s="1"/>
  <x:c r="Q51" i="3" s="1"/>
  <x:c r="Q55" i="3" s="1"/>
  <x:c r="G46" i="3"/>
  <x:c r="G47" i="3" s="1"/>
  <x:c r="BD55" i="3"/>
  <x:c r="BD81" i="3"/>
  <x:c r="BD82" i="3" s="1"/>
  <x:c r="AX46" i="3"/>
  <x:c r="AX47" i="3" s="1"/>
  <x:c r="AX49" i="3" s="1"/>
  <x:c r="AX51" i="3" s="1"/>
  <x:c r="AV46" i="3"/>
  <x:c r="AV47" i="3" s="1"/>
  <x:c r="AV49" i="3" s="1"/>
  <x:c r="AW46" i="3"/>
  <x:c r="AW47" i="3" s="1"/>
  <x:c r="AW49" i="3" s="1"/>
  <x:c r="AW51" i="3" s="1"/>
  <x:c r="BE46" i="3"/>
  <x:c r="BE47" i="3" s="1"/>
  <x:c r="BE49" i="3" s="1"/>
  <x:c r="BE51" i="3" s="1"/>
  <x:c r="BJ46" i="3"/>
  <x:c r="BJ47" i="3" s="1"/>
  <x:c r="BJ49" i="3" s="1"/>
  <x:c r="BJ51" i="3" s="1"/>
  <x:c r="K46" i="3"/>
  <x:c r="K47" i="3" s="1"/>
  <x:c r="K49" i="3" s="1"/>
  <x:c r="K51" i="3" s="1"/>
  <x:c r="AG46" i="3"/>
  <x:c r="AG47" i="3" s="1"/>
  <x:c r="AG49" i="3" s="1"/>
  <x:c r="AG51" i="3" s="1"/>
  <x:c r="BI81" i="3" l="1"/>
  <x:c r="BI82" i="3" s="1"/>
  <x:c r="M81" i="3"/>
  <x:c r="M82" i="3" s="1"/>
  <x:c r="N55" i="3"/>
  <x:c r="AA55" i="3"/>
  <x:c r="R55" i="3"/>
  <x:c r="Y55" i="3"/>
  <x:c r="BA55" i="3"/>
  <x:c r="AF55" i="3"/>
  <x:c r="AK55" i="3"/>
  <x:c r="AJ81" i="3"/>
  <x:c r="AJ82" i="3" s="1"/>
  <x:c r="AN55" i="3"/>
  <x:c r="BB55" i="3"/>
  <x:c r="U81" i="3"/>
  <x:c r="U82" i="3" s="1"/>
  <x:c r="AE81" i="3"/>
  <x:c r="AE82" i="3" s="1"/>
  <x:c r="W55" i="3"/>
  <x:c r="AR81" i="3"/>
  <x:c r="AR82" i="3" s="1"/>
  <x:c r="BK81" i="3"/>
  <x:c r="BK82" i="3" s="1"/>
  <x:c r="O81" i="3"/>
  <x:c r="O82" i="3" s="1"/>
  <x:c r="AH55" i="3"/>
  <x:c r="AU55" i="3"/>
  <x:c r="AS55" i="3"/>
  <x:c r="AQ81" i="3"/>
  <x:c r="AQ82" i="3" s="1"/>
  <x:c r="J81" i="3"/>
  <x:c r="J82" i="3" s="1"/>
  <x:c r="AZ55" i="3"/>
  <x:c r="AC55" i="3"/>
  <x:c r="H81" i="3"/>
  <x:c r="H82" i="3" s="1"/>
  <x:c r="Q81" i="3"/>
  <x:c r="Q82" i="3" s="1"/>
  <x:c r="AO55" i="3"/>
  <x:c r="BH55" i="3"/>
  <x:c r="T81" i="3"/>
  <x:c r="T82" i="3" s="1"/>
  <x:c r="I81" i="3"/>
  <x:c r="I82" i="3" s="1"/>
  <x:c r="AB81" i="3"/>
  <x:c r="AB82" i="3" s="1"/>
  <x:c r="AL55" i="3"/>
  <x:c r="BG81" i="3"/>
  <x:c r="BG82" i="3" s="1"/>
  <x:c r="Z55" i="3"/>
  <x:c r="BM46" i="3"/>
  <x:c r="AP81" i="3"/>
  <x:c r="AP82" i="3" s="1"/>
  <x:c r="BC55" i="3"/>
  <x:c r="X81" i="3"/>
  <x:c r="X82" i="3" s="1"/>
  <x:c r="BF81" i="3"/>
  <x:c r="BF82" i="3" s="1"/>
  <x:c r="AM55" i="3"/>
  <x:c r="AI81" i="3"/>
  <x:c r="AI82" i="3" s="1"/>
  <x:c r="AD55" i="3"/>
  <x:c r="BM47" i="3"/>
  <x:c r="BN47" i="3" s="1"/>
  <x:c r="G49" i="3"/>
  <x:c r="BJ81" i="3"/>
  <x:c r="BJ82" i="3" s="1"/>
  <x:c r="BJ55" i="3"/>
  <x:c r="BE55" i="3"/>
  <x:c r="BE81" i="3"/>
  <x:c r="BE82" i="3" s="1"/>
  <x:c r="AX81" i="3"/>
  <x:c r="AX82" i="3" s="1"/>
  <x:c r="AX55" i="3"/>
  <x:c r="AG55" i="3"/>
  <x:c r="AG81" i="3"/>
  <x:c r="AG82" i="3" s="1"/>
  <x:c r="K55" i="3"/>
  <x:c r="K81" i="3"/>
  <x:c r="K82" i="3" s="1"/>
  <x:c r="AW55" i="3"/>
  <x:c r="AW81" i="3"/>
  <x:c r="AW82" i="3" s="1"/>
  <x:c r="G51" i="3" l="1"/>
  <x:c r="BM49" i="3"/>
  <x:c r="BN49" i="3" s="1"/>
  <x:c r="G81" i="3" l="1"/>
  <x:c r="G82" i="3" s="1"/>
  <x:c r="BM82" i="3" s="1"/>
  <x:c r="G55" i="3"/>
</x:calcChain>
</file>

<file path=xl/comments1.xml><?xml version="1.0" encoding="utf-8"?>
<x:comments xmlns:mc="http://schemas.openxmlformats.org/markup-compatibility/2006" xmlns:xr="http://schemas.microsoft.com/office/spreadsheetml/2014/revision" xmlns:x="http://schemas.openxmlformats.org/spreadsheetml/2006/main" mc:Ignorable="xr">
  <x:authors>
    <x:author>Unknown</x:author>
  </x:authors>
  <x:commentList/>
</x:comments>
</file>

<file path=xl/sharedStrings.xml><?xml version="1.0" encoding="utf-8"?>
<sst xmlns="http://schemas.openxmlformats.org/spreadsheetml/2006/main" count="231" uniqueCount="192">
  <si>
    <t>[a]</t>
  </si>
  <si>
    <t>[b]</t>
  </si>
  <si>
    <t>[c]</t>
  </si>
  <si>
    <t>Cost  Category</t>
  </si>
  <si>
    <t>Based on Installed Cost</t>
  </si>
  <si>
    <t>Based  on  Load</t>
  </si>
  <si>
    <t>Per Light Basis</t>
  </si>
  <si>
    <t>A&amp;G Expenses</t>
  </si>
  <si>
    <t>Based on Maintenance Cost Wt.</t>
  </si>
  <si>
    <t>ASSIGNMENT  OF  COSTS  ALLOCATED  TO  THE  LIGHTING  CLASS  TO  UNMETERED  SLs</t>
  </si>
  <si>
    <t>Less:</t>
  </si>
  <si>
    <t>Outdoor Lighting Revenue =</t>
  </si>
  <si>
    <t>Schedule C &amp; D Revenue =</t>
  </si>
  <si>
    <t>Metered Lighting (Co.-owned) Rev =</t>
  </si>
  <si>
    <t>Sub Totals</t>
  </si>
  <si>
    <t>Taxes</t>
  </si>
  <si>
    <t xml:space="preserve">to Total Lighting Class Revenue Requirement = </t>
  </si>
  <si>
    <t>Ratio of Total Unmetered SL Revenue Req (Sch A&amp;B)</t>
  </si>
  <si>
    <t>* - based on the ratio of unmetered SL revenue requirement to the total lighting class revenue requirement</t>
  </si>
  <si>
    <t xml:space="preserve">        Total Rev. Req. - Unmetered Service</t>
  </si>
  <si>
    <t>Percentage of Class Rev. Req.</t>
  </si>
  <si>
    <t>Based on Relative Revenue by Light Type</t>
  </si>
  <si>
    <t xml:space="preserve">        for Schedule A &amp; B Lights</t>
  </si>
  <si>
    <t>[f]</t>
  </si>
  <si>
    <t>[r]</t>
  </si>
  <si>
    <t>Sodium  Vapor</t>
  </si>
  <si>
    <t>Mercury  Vapor</t>
  </si>
  <si>
    <t>Metal  Halide</t>
  </si>
  <si>
    <t xml:space="preserve">Schedule  A </t>
  </si>
  <si>
    <t>Fully Loaded Installed Cost</t>
  </si>
  <si>
    <t>Monthly kWh Usage</t>
  </si>
  <si>
    <t xml:space="preserve">Schedule  B </t>
  </si>
  <si>
    <t>Historical</t>
  </si>
  <si>
    <t>MV</t>
  </si>
  <si>
    <t>SV</t>
  </si>
  <si>
    <t>MH</t>
  </si>
  <si>
    <t>Incandescent</t>
  </si>
  <si>
    <t>all</t>
  </si>
  <si>
    <t>Rectangular</t>
  </si>
  <si>
    <t>Post Top</t>
  </si>
  <si>
    <t>% of Total Weighted NF</t>
  </si>
  <si>
    <t>Weighted NF</t>
  </si>
  <si>
    <t>Weighted Cost</t>
  </si>
  <si>
    <t>175 w</t>
  </si>
  <si>
    <t>400 w</t>
  </si>
  <si>
    <t>1000 w</t>
  </si>
  <si>
    <t xml:space="preserve">Line Description </t>
  </si>
  <si>
    <t>Installed Cost - Based Revenue Requirement :</t>
  </si>
  <si>
    <t>Load - Based Revenue Requirement :</t>
  </si>
  <si>
    <t>Maintenance - Based Revenue Requirement :</t>
  </si>
  <si>
    <t>Per Light - Based Revenue Requirement :</t>
  </si>
  <si>
    <t>% of Total # of Lights</t>
  </si>
  <si>
    <t>Revenue - Based Revenue Requirement :</t>
  </si>
  <si>
    <t xml:space="preserve">Monthly Rate </t>
  </si>
  <si>
    <t>Current Rate</t>
  </si>
  <si>
    <t>Wt. Cost Subtotals</t>
  </si>
  <si>
    <t>Total Cost</t>
  </si>
  <si>
    <t>check:</t>
  </si>
  <si>
    <t>check input:</t>
  </si>
  <si>
    <t>Depr, Amort, and Other Exp.</t>
  </si>
  <si>
    <t>ONCOR  ELECTRIC  DELIVERY  COMPANY  LLC</t>
  </si>
  <si>
    <t xml:space="preserve">     Page 1 of 1</t>
  </si>
  <si>
    <t xml:space="preserve">     WP/IV-J-7/3</t>
  </si>
  <si>
    <t>O&amp;M and Customer Expenses</t>
  </si>
  <si>
    <t>-</t>
  </si>
  <si>
    <t xml:space="preserve">Return on Rate Base </t>
  </si>
  <si>
    <t>Total Lighting   Costs</t>
  </si>
  <si>
    <t>from unmetered SL facilities</t>
  </si>
  <si>
    <t>(a)</t>
  </si>
  <si>
    <t>(b)</t>
  </si>
  <si>
    <t>= (b)/(a)</t>
  </si>
  <si>
    <t>Unmetered SL POD Charges</t>
  </si>
  <si>
    <t>Metered Lighting (Non Co.-owned) Rev =</t>
  </si>
  <si>
    <r>
      <t>Total Unmetered SL Revenue Req (Sch A&amp;B)</t>
    </r>
    <r>
      <rPr>
        <vertAlign val="superscript"/>
        <sz val="10"/>
        <rFont val="Verdana"/>
        <family val="2"/>
      </rPr>
      <t>#</t>
    </r>
    <r>
      <rPr>
        <sz val="9"/>
        <rFont val="Verdana"/>
        <family val="2"/>
      </rPr>
      <t xml:space="preserve"> = </t>
    </r>
  </si>
  <si>
    <t># - Also includes Rectangular, Post Top, Incandescent, and Historical lights.</t>
  </si>
  <si>
    <t>&lt;--- excludes A928</t>
  </si>
  <si>
    <t>CALCULATION  OF  REVENUE  REQUIREMENT  FOR  UNMETERED  STREET  LIGHTING  -  SCHEDULES  A &amp; B</t>
  </si>
  <si>
    <t>Row Totals</t>
  </si>
  <si>
    <t>Settlement-Related Adjustment</t>
  </si>
  <si>
    <t>2 - Refer to tab entitled "Revenue Req."</t>
  </si>
  <si>
    <t xml:space="preserve">Schedule A </t>
  </si>
  <si>
    <t>LED Cobra Head</t>
  </si>
  <si>
    <t>56 - 100 w</t>
  </si>
  <si>
    <t>0 - 55 w</t>
  </si>
  <si>
    <t>101 - 140 w</t>
  </si>
  <si>
    <t>141 - 180 w</t>
  </si>
  <si>
    <t>181 - 265 w</t>
  </si>
  <si>
    <t>Schedule  A</t>
  </si>
  <si>
    <t>LED Rectangular</t>
  </si>
  <si>
    <t>Schedule A</t>
  </si>
  <si>
    <t>LED Post Top</t>
  </si>
  <si>
    <t>LED Historical</t>
  </si>
  <si>
    <r>
      <t xml:space="preserve">[m] </t>
    </r>
    <r>
      <rPr>
        <sz val="9"/>
        <rFont val="Verdana"/>
        <family val="2"/>
      </rPr>
      <t>= [h] + [k1]</t>
    </r>
  </si>
  <si>
    <r>
      <t xml:space="preserve">[p] </t>
    </r>
    <r>
      <rPr>
        <sz val="9"/>
        <rFont val="Verdana"/>
        <family val="2"/>
      </rPr>
      <t>= [m] / ( [a]* 12)</t>
    </r>
  </si>
  <si>
    <r>
      <t xml:space="preserve">[s] </t>
    </r>
    <r>
      <rPr>
        <sz val="9"/>
        <rFont val="Verdana"/>
        <family val="2"/>
      </rPr>
      <t xml:space="preserve">= [p]/[r] - 1 </t>
    </r>
  </si>
  <si>
    <t xml:space="preserve">     LED Cobra Head light on Schedule A.</t>
  </si>
  <si>
    <t xml:space="preserve">3 - Normalized to the "Monthly kWh Usage" of a 0-55 watt </t>
  </si>
  <si>
    <t xml:space="preserve">    check - cells below should be less than $100 +/-</t>
  </si>
  <si>
    <t>% of Total Weighted Cost</t>
  </si>
  <si>
    <t>4 - The Maintenance Normalization Factor is based on an assumption that 60% of the maintenance costs are incurred on a per light basis (i.e., the cost is the same for all lights) and 40% is related to the installed cost shown in line (b).</t>
  </si>
  <si>
    <t>SPONSOR:  MATTHEW A. TROXLE</t>
  </si>
  <si>
    <t xml:space="preserve">5 -  Excludes changes in the Point of Delivery (POD) Charge. </t>
  </si>
  <si>
    <t xml:space="preserve">Total Lighting Class Revenue Requirement  (DIST Function + MET Function + Customer Function) = </t>
  </si>
  <si>
    <t>Plus : MET &amp; CUST Function Costs</t>
  </si>
  <si>
    <t>Less : Other Revenue</t>
  </si>
  <si>
    <t>bot</t>
  </si>
  <si>
    <t>Line Reference</t>
  </si>
  <si>
    <t>Line #</t>
  </si>
  <si>
    <t>[A]</t>
  </si>
  <si>
    <t>[B]</t>
  </si>
  <si>
    <t>[C]</t>
  </si>
  <si>
    <t>[D]</t>
  </si>
  <si>
    <t>[E]</t>
  </si>
  <si>
    <t>[F]</t>
  </si>
  <si>
    <t>[G]</t>
  </si>
  <si>
    <t>[H]</t>
  </si>
  <si>
    <t>[J]</t>
  </si>
  <si>
    <t>[K]</t>
  </si>
  <si>
    <t>[L]</t>
  </si>
  <si>
    <t>[M]</t>
  </si>
  <si>
    <t>[N]</t>
  </si>
  <si>
    <t>[O]</t>
  </si>
  <si>
    <t>[P]</t>
  </si>
  <si>
    <t>[Q]</t>
  </si>
  <si>
    <t>[R]</t>
  </si>
  <si>
    <t>[S]</t>
  </si>
  <si>
    <t>[T]</t>
  </si>
  <si>
    <t>[U]</t>
  </si>
  <si>
    <t>[V]</t>
  </si>
  <si>
    <t>[W]</t>
  </si>
  <si>
    <t>[X]</t>
  </si>
  <si>
    <t>[Y]</t>
  </si>
  <si>
    <t>[Z]</t>
  </si>
  <si>
    <t>[AA]</t>
  </si>
  <si>
    <t>[AB]</t>
  </si>
  <si>
    <t>[AC]</t>
  </si>
  <si>
    <t>[AD]</t>
  </si>
  <si>
    <t>[AE]</t>
  </si>
  <si>
    <t>[AF]</t>
  </si>
  <si>
    <t>[AG]</t>
  </si>
  <si>
    <t>[AH]</t>
  </si>
  <si>
    <t>[AI]</t>
  </si>
  <si>
    <t>[AJ]</t>
  </si>
  <si>
    <t>[AK]</t>
  </si>
  <si>
    <t>[AL]</t>
  </si>
  <si>
    <t>[AM]</t>
  </si>
  <si>
    <t>[AN]</t>
  </si>
  <si>
    <t>[AO]</t>
  </si>
  <si>
    <t>[AP]</t>
  </si>
  <si>
    <t>[AQ]</t>
  </si>
  <si>
    <t>[AR]</t>
  </si>
  <si>
    <t>[AS]</t>
  </si>
  <si>
    <t>[AT]</t>
  </si>
  <si>
    <t>[AU]</t>
  </si>
  <si>
    <t>[AV]</t>
  </si>
  <si>
    <t>[AW]</t>
  </si>
  <si>
    <t>[AX]</t>
  </si>
  <si>
    <t>[AY]</t>
  </si>
  <si>
    <t>[AZ]</t>
  </si>
  <si>
    <t>[BA]</t>
  </si>
  <si>
    <t>[BB]</t>
  </si>
  <si>
    <t>[BC]</t>
  </si>
  <si>
    <t>[BD]</t>
  </si>
  <si>
    <t>[I]</t>
  </si>
  <si>
    <t>1 - Normalized to the "Fully Loaded Installed Cost" of a 0-55</t>
  </si>
  <si>
    <t xml:space="preserve">     watt LED Cobra Head light on Schedule A.</t>
  </si>
  <si>
    <r>
      <t>% Increase (Decr)</t>
    </r>
    <r>
      <rPr>
        <b/>
        <sz val="11"/>
        <rFont val="Verdana"/>
        <family val="2"/>
      </rPr>
      <t xml:space="preserve"> </t>
    </r>
    <r>
      <rPr>
        <b/>
        <vertAlign val="superscript"/>
        <sz val="11"/>
        <rFont val="Verdana"/>
        <family val="2"/>
      </rPr>
      <t>5</t>
    </r>
  </si>
  <si>
    <r>
      <t>Normalization Factor (NF)</t>
    </r>
    <r>
      <rPr>
        <vertAlign val="superscript"/>
        <sz val="9"/>
        <rFont val="Verdana"/>
        <family val="2"/>
      </rPr>
      <t>4</t>
    </r>
  </si>
  <si>
    <r>
      <t>[d3]</t>
    </r>
    <r>
      <rPr>
        <sz val="9"/>
        <rFont val="Verdana"/>
        <family val="2"/>
      </rPr>
      <t xml:space="preserve"> = [d2] * Installed Cost-Based Rev. Req.</t>
    </r>
    <r>
      <rPr>
        <vertAlign val="superscript"/>
        <sz val="10"/>
        <rFont val="Verdana"/>
        <family val="2"/>
      </rPr>
      <t>2</t>
    </r>
  </si>
  <si>
    <r>
      <t>[d]</t>
    </r>
    <r>
      <rPr>
        <sz val="9"/>
        <rFont val="Verdana"/>
        <family val="2"/>
      </rPr>
      <t xml:space="preserve"> = [b] / [b</t>
    </r>
    <r>
      <rPr>
        <vertAlign val="subscript"/>
        <sz val="9"/>
        <rFont val="Verdana"/>
        <family val="2"/>
      </rPr>
      <t>55w LED_CH</t>
    </r>
    <r>
      <rPr>
        <sz val="9"/>
        <rFont val="Verdana"/>
        <family val="2"/>
      </rPr>
      <t>]</t>
    </r>
  </si>
  <si>
    <r>
      <t>[d1]</t>
    </r>
    <r>
      <rPr>
        <sz val="9"/>
        <rFont val="Verdana"/>
        <family val="2"/>
      </rPr>
      <t xml:space="preserve"> = [a] * [d]</t>
    </r>
  </si>
  <si>
    <r>
      <t>[d2]</t>
    </r>
    <r>
      <rPr>
        <sz val="9"/>
        <rFont val="Verdana"/>
        <family val="2"/>
      </rPr>
      <t xml:space="preserve"> = [d1] / ∑[d1]</t>
    </r>
  </si>
  <si>
    <r>
      <t>Normalization Factor (NF)</t>
    </r>
    <r>
      <rPr>
        <vertAlign val="superscript"/>
        <sz val="10"/>
        <rFont val="Verdana"/>
        <family val="2"/>
      </rPr>
      <t>1</t>
    </r>
  </si>
  <si>
    <r>
      <t>[e]</t>
    </r>
    <r>
      <rPr>
        <sz val="9"/>
        <rFont val="Verdana"/>
        <family val="2"/>
      </rPr>
      <t xml:space="preserve"> = [c] / [c</t>
    </r>
    <r>
      <rPr>
        <vertAlign val="subscript"/>
        <sz val="9"/>
        <rFont val="Verdana"/>
        <family val="2"/>
      </rPr>
      <t>55w LED_CH</t>
    </r>
    <r>
      <rPr>
        <sz val="9"/>
        <rFont val="Verdana"/>
        <family val="2"/>
      </rPr>
      <t>]</t>
    </r>
  </si>
  <si>
    <r>
      <t>[e1]</t>
    </r>
    <r>
      <rPr>
        <sz val="9"/>
        <rFont val="Verdana"/>
        <family val="2"/>
      </rPr>
      <t xml:space="preserve"> = [a] * [e]</t>
    </r>
  </si>
  <si>
    <r>
      <t>[e2]</t>
    </r>
    <r>
      <rPr>
        <sz val="9"/>
        <rFont val="Verdana"/>
        <family val="2"/>
      </rPr>
      <t xml:space="preserve"> = [e1] / ∑[e1]</t>
    </r>
  </si>
  <si>
    <r>
      <t>[e3]</t>
    </r>
    <r>
      <rPr>
        <sz val="9"/>
        <rFont val="Verdana"/>
        <family val="2"/>
      </rPr>
      <t xml:space="preserve"> = [e2] * Load-Based Rev. Req.</t>
    </r>
    <r>
      <rPr>
        <vertAlign val="superscript"/>
        <sz val="10"/>
        <rFont val="Verdana"/>
        <family val="2"/>
      </rPr>
      <t>2</t>
    </r>
  </si>
  <si>
    <r>
      <t>Normalization Factor (NF)</t>
    </r>
    <r>
      <rPr>
        <vertAlign val="superscript"/>
        <sz val="10"/>
        <rFont val="Verdana"/>
        <family val="2"/>
      </rPr>
      <t>3</t>
    </r>
  </si>
  <si>
    <r>
      <t>[f1]</t>
    </r>
    <r>
      <rPr>
        <sz val="9"/>
        <rFont val="Verdana"/>
        <family val="2"/>
      </rPr>
      <t xml:space="preserve"> = [a] * [f]</t>
    </r>
  </si>
  <si>
    <r>
      <t>[f2]</t>
    </r>
    <r>
      <rPr>
        <sz val="9"/>
        <rFont val="Verdana"/>
        <family val="2"/>
      </rPr>
      <t xml:space="preserve"> = [f1] / ∑[f1]</t>
    </r>
  </si>
  <si>
    <r>
      <t>[f3]</t>
    </r>
    <r>
      <rPr>
        <sz val="9"/>
        <rFont val="Verdana"/>
        <family val="2"/>
      </rPr>
      <t xml:space="preserve"> = [f2] * Maint-Based Rev. Req.</t>
    </r>
    <r>
      <rPr>
        <vertAlign val="superscript"/>
        <sz val="9"/>
        <rFont val="Verdana"/>
        <family val="2"/>
      </rPr>
      <t>2</t>
    </r>
  </si>
  <si>
    <r>
      <t>[g]</t>
    </r>
    <r>
      <rPr>
        <sz val="9"/>
        <rFont val="Verdana"/>
        <family val="2"/>
      </rPr>
      <t xml:space="preserve"> = [a] / ∑[a]</t>
    </r>
  </si>
  <si>
    <r>
      <t>[h]</t>
    </r>
    <r>
      <rPr>
        <sz val="9"/>
        <rFont val="Verdana"/>
        <family val="2"/>
      </rPr>
      <t xml:space="preserve"> = [d3]+[e3]+[f3]+[g1]</t>
    </r>
  </si>
  <si>
    <r>
      <t>[g1]</t>
    </r>
    <r>
      <rPr>
        <sz val="9"/>
        <rFont val="Verdana"/>
        <family val="2"/>
      </rPr>
      <t xml:space="preserve"> = [g] * Per Light-Based Rev. Req.</t>
    </r>
    <r>
      <rPr>
        <vertAlign val="superscript"/>
        <sz val="10"/>
        <rFont val="Verdana"/>
        <family val="2"/>
      </rPr>
      <t>2</t>
    </r>
  </si>
  <si>
    <r>
      <t>[k]</t>
    </r>
    <r>
      <rPr>
        <sz val="9"/>
        <rFont val="Verdana"/>
        <family val="2"/>
      </rPr>
      <t xml:space="preserve"> = [h] / ∑[h]</t>
    </r>
  </si>
  <si>
    <r>
      <t>[k1]</t>
    </r>
    <r>
      <rPr>
        <sz val="9"/>
        <rFont val="Verdana"/>
        <family val="2"/>
      </rPr>
      <t xml:space="preserve"> = [k] * Revenue-Based Rev. Req.</t>
    </r>
    <r>
      <rPr>
        <vertAlign val="superscript"/>
        <sz val="10"/>
        <rFont val="Verdana"/>
        <family val="2"/>
      </rPr>
      <t>2</t>
    </r>
  </si>
  <si>
    <t xml:space="preserve">   Allocation of the Unmetered SL Rev. Requirement to each light type and wattage - by Cost Component :</t>
  </si>
  <si>
    <t>&lt;-----  rate adjustments are exactly revenue neutral if = $0</t>
  </si>
  <si>
    <t>N/A</t>
  </si>
  <si>
    <t>2025 RATE  CASE</t>
  </si>
  <si>
    <t>FOR  THE  TEST  YEAR  ENDING  DECEMBER 31, 2024</t>
  </si>
  <si>
    <t># of Lights on 12/31/2024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</si>
</sst>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$&quot;#,##0_);\(&quot;$&quot;#,##0\)"/>
    <numFmt numFmtId="7" formatCode="&quot;$&quot;#,##0.00_);\(&quot;$&quot;#,##0.00\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00000"/>
    <numFmt numFmtId="168" formatCode="#,##0.0000"/>
    <numFmt numFmtId="169" formatCode="0.0000"/>
    <numFmt numFmtId="170" formatCode="0.0000%"/>
    <numFmt numFmtId="171" formatCode="#,##0.000000"/>
    <numFmt numFmtId="172" formatCode="0.000000%"/>
    <numFmt numFmtId="173" formatCode="#,##0.000"/>
  </numFmts>
  <fonts count="27" x14ac:knownFonts="1">
    <font>
      <sz val="10"/>
      <name val="Verdana"/>
    </font>
    <font>
      <sz val="10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indexed="81"/>
      <name val="Tahoma"/>
      <family val="2"/>
    </font>
    <font>
      <b/>
      <sz val="9"/>
      <name val="Verdana"/>
      <family val="2"/>
    </font>
    <font>
      <b/>
      <u/>
      <sz val="8"/>
      <name val="Verdana"/>
      <family val="2"/>
    </font>
    <font>
      <sz val="9"/>
      <name val="Verdana"/>
      <family val="2"/>
    </font>
    <font>
      <u/>
      <sz val="10"/>
      <name val="Verdana"/>
      <family val="2"/>
    </font>
    <font>
      <u/>
      <sz val="10"/>
      <name val="Verdana"/>
      <family val="2"/>
    </font>
    <font>
      <sz val="9"/>
      <name val="Verdana"/>
      <family val="2"/>
    </font>
    <font>
      <vertAlign val="superscript"/>
      <sz val="10"/>
      <name val="Verdana"/>
      <family val="2"/>
    </font>
    <font>
      <sz val="10"/>
      <color theme="1"/>
      <name val="Verdana"/>
      <family val="2"/>
    </font>
    <font>
      <sz val="9"/>
      <color theme="1"/>
      <name val="Verdan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vertAlign val="superscript"/>
      <sz val="9"/>
      <name val="Verdana"/>
      <family val="2"/>
    </font>
    <font>
      <sz val="8"/>
      <color rgb="FFFF0000"/>
      <name val="Verdana"/>
      <family val="2"/>
    </font>
    <font>
      <sz val="10"/>
      <color rgb="FFFF0000"/>
      <name val="Verdana"/>
      <family val="2"/>
    </font>
    <font>
      <u/>
      <sz val="8"/>
      <name val="Tahoma"/>
      <family val="2"/>
    </font>
    <font>
      <u/>
      <sz val="9"/>
      <name val="Verdana"/>
      <family val="2"/>
    </font>
    <font>
      <b/>
      <sz val="11"/>
      <name val="Verdana"/>
      <family val="2"/>
    </font>
    <font>
      <b/>
      <vertAlign val="superscript"/>
      <sz val="11"/>
      <name val="Verdana"/>
      <family val="2"/>
    </font>
    <font>
      <vertAlign val="subscript"/>
      <sz val="9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4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/>
    <xf numFmtId="166" fontId="2" fillId="0" borderId="0" xfId="0" applyNumberFormat="1" applyFont="1" applyFill="1" applyBorder="1"/>
    <xf numFmtId="166" fontId="0" fillId="0" borderId="0" xfId="0" applyNumberFormat="1"/>
    <xf numFmtId="166" fontId="2" fillId="0" borderId="0" xfId="0" applyNumberFormat="1" applyFont="1"/>
    <xf numFmtId="0" fontId="2" fillId="0" borderId="0" xfId="0" applyFont="1"/>
    <xf numFmtId="0" fontId="2" fillId="0" borderId="0" xfId="0" applyFont="1" applyFill="1" applyBorder="1"/>
    <xf numFmtId="0" fontId="2" fillId="0" borderId="0" xfId="0" applyFont="1" applyFill="1"/>
    <xf numFmtId="0" fontId="2" fillId="0" borderId="0" xfId="0" applyFont="1" applyAlignment="1">
      <alignment horizontal="center" wrapText="1"/>
    </xf>
    <xf numFmtId="166" fontId="2" fillId="0" borderId="0" xfId="0" applyNumberFormat="1" applyFont="1" applyBorder="1"/>
    <xf numFmtId="166" fontId="2" fillId="0" borderId="0" xfId="0" applyNumberFormat="1" applyFont="1" applyFill="1"/>
    <xf numFmtId="166" fontId="2" fillId="0" borderId="1" xfId="0" applyNumberFormat="1" applyFont="1" applyBorder="1"/>
    <xf numFmtId="171" fontId="0" fillId="0" borderId="0" xfId="0" applyNumberFormat="1"/>
    <xf numFmtId="0" fontId="3" fillId="0" borderId="0" xfId="0" applyFont="1" applyFill="1"/>
    <xf numFmtId="0" fontId="2" fillId="0" borderId="0" xfId="0" quotePrefix="1" applyFont="1"/>
    <xf numFmtId="0" fontId="2" fillId="0" borderId="3" xfId="0" applyFont="1" applyFill="1" applyBorder="1"/>
    <xf numFmtId="0" fontId="2" fillId="0" borderId="4" xfId="0" applyFont="1" applyFill="1" applyBorder="1"/>
    <xf numFmtId="0" fontId="9" fillId="0" borderId="3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right"/>
    </xf>
    <xf numFmtId="0" fontId="0" fillId="0" borderId="3" xfId="0" applyFill="1" applyBorder="1" applyAlignment="1">
      <alignment horizontal="center"/>
    </xf>
    <xf numFmtId="0" fontId="0" fillId="0" borderId="3" xfId="0" applyFill="1" applyBorder="1"/>
    <xf numFmtId="0" fontId="0" fillId="0" borderId="4" xfId="0" applyFill="1" applyBorder="1"/>
    <xf numFmtId="37" fontId="2" fillId="0" borderId="0" xfId="1" applyNumberFormat="1" applyFont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/>
    </xf>
    <xf numFmtId="166" fontId="2" fillId="0" borderId="5" xfId="0" applyNumberFormat="1" applyFont="1" applyFill="1" applyBorder="1"/>
    <xf numFmtId="5" fontId="0" fillId="0" borderId="0" xfId="0" applyNumberFormat="1"/>
    <xf numFmtId="0" fontId="10" fillId="0" borderId="0" xfId="0" applyFont="1" applyFill="1"/>
    <xf numFmtId="5" fontId="2" fillId="0" borderId="0" xfId="0" applyNumberFormat="1" applyFont="1" applyFill="1" applyAlignment="1">
      <alignment horizontal="right"/>
    </xf>
    <xf numFmtId="7" fontId="5" fillId="0" borderId="0" xfId="0" quotePrefix="1" applyNumberFormat="1" applyFont="1" applyFill="1" applyBorder="1"/>
    <xf numFmtId="0" fontId="4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167" fontId="2" fillId="0" borderId="0" xfId="0" applyNumberFormat="1" applyFont="1" applyFill="1" applyBorder="1" applyAlignment="1"/>
    <xf numFmtId="170" fontId="2" fillId="0" borderId="0" xfId="0" applyNumberFormat="1" applyFont="1" applyFill="1" applyBorder="1"/>
    <xf numFmtId="166" fontId="5" fillId="0" borderId="0" xfId="0" applyNumberFormat="1" applyFont="1" applyFill="1" applyBorder="1"/>
    <xf numFmtId="5" fontId="5" fillId="0" borderId="0" xfId="0" applyNumberFormat="1" applyFont="1" applyFill="1" applyBorder="1"/>
    <xf numFmtId="7" fontId="5" fillId="0" borderId="0" xfId="0" applyNumberFormat="1" applyFont="1" applyFill="1" applyBorder="1"/>
    <xf numFmtId="10" fontId="6" fillId="0" borderId="0" xfId="0" applyNumberFormat="1" applyFont="1" applyFill="1" applyBorder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10" xfId="0" applyFill="1" applyBorder="1"/>
    <xf numFmtId="0" fontId="11" fillId="0" borderId="0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right"/>
    </xf>
    <xf numFmtId="0" fontId="11" fillId="0" borderId="4" xfId="0" applyFont="1" applyFill="1" applyBorder="1" applyAlignment="1">
      <alignment horizontal="right"/>
    </xf>
    <xf numFmtId="0" fontId="11" fillId="0" borderId="3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4" fillId="0" borderId="3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8" fontId="2" fillId="0" borderId="0" xfId="0" applyNumberFormat="1" applyFont="1" applyFill="1"/>
    <xf numFmtId="0" fontId="0" fillId="0" borderId="3" xfId="0" applyFill="1" applyBorder="1" applyAlignment="1">
      <alignment wrapText="1"/>
    </xf>
    <xf numFmtId="3" fontId="0" fillId="0" borderId="0" xfId="0" applyNumberFormat="1" applyFill="1" applyBorder="1"/>
    <xf numFmtId="0" fontId="8" fillId="0" borderId="0" xfId="0" applyFont="1" applyFill="1"/>
    <xf numFmtId="0" fontId="0" fillId="0" borderId="0" xfId="0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ill="1" applyAlignment="1"/>
    <xf numFmtId="170" fontId="2" fillId="0" borderId="3" xfId="0" applyNumberFormat="1" applyFont="1" applyFill="1" applyBorder="1"/>
    <xf numFmtId="170" fontId="2" fillId="0" borderId="4" xfId="0" applyNumberFormat="1" applyFont="1" applyFill="1" applyBorder="1"/>
    <xf numFmtId="170" fontId="2" fillId="0" borderId="10" xfId="0" applyNumberFormat="1" applyFont="1" applyFill="1" applyBorder="1"/>
    <xf numFmtId="0" fontId="5" fillId="0" borderId="0" xfId="0" applyFont="1" applyFill="1" applyAlignment="1">
      <alignment horizontal="left" wrapText="1"/>
    </xf>
    <xf numFmtId="0" fontId="6" fillId="0" borderId="0" xfId="0" applyFont="1" applyFill="1" applyAlignment="1">
      <alignment wrapText="1"/>
    </xf>
    <xf numFmtId="166" fontId="5" fillId="0" borderId="3" xfId="0" applyNumberFormat="1" applyFont="1" applyFill="1" applyBorder="1"/>
    <xf numFmtId="166" fontId="5" fillId="0" borderId="4" xfId="0" applyNumberFormat="1" applyFont="1" applyFill="1" applyBorder="1"/>
    <xf numFmtId="166" fontId="5" fillId="0" borderId="10" xfId="0" applyNumberFormat="1" applyFont="1" applyFill="1" applyBorder="1"/>
    <xf numFmtId="169" fontId="9" fillId="0" borderId="0" xfId="0" applyNumberFormat="1" applyFont="1" applyFill="1" applyBorder="1" applyAlignment="1">
      <alignment horizontal="center"/>
    </xf>
    <xf numFmtId="166" fontId="5" fillId="0" borderId="11" xfId="0" applyNumberFormat="1" applyFont="1" applyFill="1" applyBorder="1"/>
    <xf numFmtId="166" fontId="5" fillId="0" borderId="1" xfId="0" applyNumberFormat="1" applyFont="1" applyFill="1" applyBorder="1"/>
    <xf numFmtId="166" fontId="5" fillId="0" borderId="12" xfId="0" applyNumberFormat="1" applyFont="1" applyFill="1" applyBorder="1"/>
    <xf numFmtId="166" fontId="5" fillId="0" borderId="13" xfId="0" applyNumberFormat="1" applyFont="1" applyFill="1" applyBorder="1"/>
    <xf numFmtId="5" fontId="5" fillId="0" borderId="3" xfId="0" applyNumberFormat="1" applyFont="1" applyFill="1" applyBorder="1"/>
    <xf numFmtId="5" fontId="5" fillId="0" borderId="4" xfId="0" applyNumberFormat="1" applyFont="1" applyFill="1" applyBorder="1"/>
    <xf numFmtId="5" fontId="5" fillId="0" borderId="10" xfId="0" applyNumberFormat="1" applyFont="1" applyFill="1" applyBorder="1"/>
    <xf numFmtId="5" fontId="2" fillId="0" borderId="0" xfId="0" applyNumberFormat="1" applyFont="1" applyFill="1"/>
    <xf numFmtId="7" fontId="5" fillId="0" borderId="14" xfId="0" applyNumberFormat="1" applyFont="1" applyFill="1" applyBorder="1"/>
    <xf numFmtId="7" fontId="5" fillId="0" borderId="3" xfId="0" applyNumberFormat="1" applyFont="1" applyFill="1" applyBorder="1"/>
    <xf numFmtId="7" fontId="5" fillId="0" borderId="4" xfId="0" applyNumberFormat="1" applyFont="1" applyFill="1" applyBorder="1"/>
    <xf numFmtId="7" fontId="5" fillId="0" borderId="10" xfId="0" applyNumberFormat="1" applyFont="1" applyFill="1" applyBorder="1"/>
    <xf numFmtId="10" fontId="6" fillId="0" borderId="3" xfId="0" applyNumberFormat="1" applyFont="1" applyFill="1" applyBorder="1"/>
    <xf numFmtId="10" fontId="6" fillId="0" borderId="4" xfId="0" applyNumberFormat="1" applyFont="1" applyFill="1" applyBorder="1"/>
    <xf numFmtId="10" fontId="6" fillId="0" borderId="10" xfId="0" applyNumberFormat="1" applyFont="1" applyFill="1" applyBorder="1"/>
    <xf numFmtId="10" fontId="6" fillId="0" borderId="15" xfId="0" applyNumberFormat="1" applyFont="1" applyFill="1" applyBorder="1"/>
    <xf numFmtId="10" fontId="6" fillId="0" borderId="16" xfId="0" applyNumberFormat="1" applyFont="1" applyFill="1" applyBorder="1"/>
    <xf numFmtId="10" fontId="6" fillId="0" borderId="17" xfId="0" applyNumberFormat="1" applyFont="1" applyFill="1" applyBorder="1"/>
    <xf numFmtId="10" fontId="6" fillId="0" borderId="18" xfId="0" applyNumberFormat="1" applyFont="1" applyFill="1" applyBorder="1"/>
    <xf numFmtId="0" fontId="5" fillId="0" borderId="6" xfId="0" applyFont="1" applyFill="1" applyBorder="1"/>
    <xf numFmtId="0" fontId="2" fillId="0" borderId="7" xfId="0" applyFont="1" applyFill="1" applyBorder="1"/>
    <xf numFmtId="166" fontId="2" fillId="0" borderId="7" xfId="0" applyNumberFormat="1" applyFont="1" applyFill="1" applyBorder="1"/>
    <xf numFmtId="2" fontId="2" fillId="0" borderId="7" xfId="0" applyNumberFormat="1" applyFont="1" applyFill="1" applyBorder="1"/>
    <xf numFmtId="169" fontId="2" fillId="0" borderId="7" xfId="0" applyNumberFormat="1" applyFont="1" applyFill="1" applyBorder="1"/>
    <xf numFmtId="0" fontId="2" fillId="0" borderId="8" xfId="0" applyFont="1" applyFill="1" applyBorder="1"/>
    <xf numFmtId="0" fontId="9" fillId="0" borderId="3" xfId="0" applyFont="1" applyFill="1" applyBorder="1"/>
    <xf numFmtId="2" fontId="2" fillId="0" borderId="0" xfId="0" applyNumberFormat="1" applyFont="1" applyFill="1" applyBorder="1"/>
    <xf numFmtId="169" fontId="2" fillId="0" borderId="0" xfId="0" applyNumberFormat="1" applyFont="1" applyFill="1" applyBorder="1"/>
    <xf numFmtId="166" fontId="2" fillId="0" borderId="0" xfId="0" quotePrefix="1" applyNumberFormat="1" applyFont="1" applyFill="1" applyBorder="1"/>
    <xf numFmtId="0" fontId="2" fillId="0" borderId="15" xfId="0" applyFont="1" applyFill="1" applyBorder="1"/>
    <xf numFmtId="0" fontId="2" fillId="0" borderId="16" xfId="0" applyFont="1" applyFill="1" applyBorder="1"/>
    <xf numFmtId="0" fontId="0" fillId="0" borderId="16" xfId="0" applyFill="1" applyBorder="1"/>
    <xf numFmtId="166" fontId="2" fillId="0" borderId="16" xfId="0" applyNumberFormat="1" applyFont="1" applyFill="1" applyBorder="1"/>
    <xf numFmtId="0" fontId="2" fillId="0" borderId="17" xfId="0" applyFont="1" applyFill="1" applyBorder="1"/>
    <xf numFmtId="168" fontId="2" fillId="0" borderId="0" xfId="0" quotePrefix="1" applyNumberFormat="1" applyFont="1" applyFill="1" applyBorder="1"/>
    <xf numFmtId="0" fontId="4" fillId="0" borderId="0" xfId="0" applyFont="1" applyFill="1"/>
    <xf numFmtId="166" fontId="10" fillId="0" borderId="0" xfId="0" applyNumberFormat="1" applyFont="1"/>
    <xf numFmtId="5" fontId="0" fillId="0" borderId="0" xfId="0" applyNumberFormat="1" applyFill="1" applyAlignment="1">
      <alignment horizontal="right"/>
    </xf>
    <xf numFmtId="5" fontId="2" fillId="0" borderId="1" xfId="0" applyNumberFormat="1" applyFont="1" applyFill="1" applyBorder="1" applyAlignment="1">
      <alignment horizontal="right"/>
    </xf>
    <xf numFmtId="0" fontId="4" fillId="0" borderId="0" xfId="0" applyFont="1"/>
    <xf numFmtId="0" fontId="4" fillId="0" borderId="0" xfId="0" quotePrefix="1" applyFont="1"/>
    <xf numFmtId="5" fontId="2" fillId="0" borderId="0" xfId="0" applyNumberFormat="1" applyFont="1" applyFill="1" applyBorder="1" applyAlignment="1">
      <alignment horizontal="right"/>
    </xf>
    <xf numFmtId="0" fontId="2" fillId="0" borderId="0" xfId="0" quotePrefix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10" fillId="0" borderId="0" xfId="0" applyFont="1"/>
    <xf numFmtId="167" fontId="2" fillId="0" borderId="3" xfId="0" applyNumberFormat="1" applyFont="1" applyFill="1" applyBorder="1"/>
    <xf numFmtId="167" fontId="2" fillId="0" borderId="0" xfId="0" applyNumberFormat="1" applyFont="1" applyFill="1" applyBorder="1"/>
    <xf numFmtId="3" fontId="2" fillId="0" borderId="0" xfId="0" quotePrefix="1" applyNumberFormat="1" applyFont="1" applyFill="1" applyBorder="1"/>
    <xf numFmtId="164" fontId="0" fillId="0" borderId="0" xfId="1" applyNumberFormat="1" applyFont="1"/>
    <xf numFmtId="166" fontId="2" fillId="2" borderId="0" xfId="0" applyNumberFormat="1" applyFont="1" applyFill="1" applyBorder="1"/>
    <xf numFmtId="5" fontId="2" fillId="3" borderId="5" xfId="0" applyNumberFormat="1" applyFont="1" applyFill="1" applyBorder="1"/>
    <xf numFmtId="5" fontId="10" fillId="0" borderId="0" xfId="0" applyNumberFormat="1" applyFont="1" applyFill="1"/>
    <xf numFmtId="166" fontId="0" fillId="2" borderId="0" xfId="0" applyNumberForma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11" fillId="0" borderId="3" xfId="0" quotePrefix="1" applyFont="1" applyFill="1" applyBorder="1" applyAlignment="1">
      <alignment horizontal="center"/>
    </xf>
    <xf numFmtId="0" fontId="11" fillId="0" borderId="0" xfId="0" quotePrefix="1" applyFont="1" applyFill="1" applyBorder="1" applyAlignment="1">
      <alignment horizontal="center"/>
    </xf>
    <xf numFmtId="0" fontId="11" fillId="0" borderId="4" xfId="0" quotePrefix="1" applyFont="1" applyFill="1" applyBorder="1" applyAlignment="1">
      <alignment horizontal="center"/>
    </xf>
    <xf numFmtId="37" fontId="15" fillId="0" borderId="0" xfId="0" applyNumberFormat="1" applyFont="1" applyFill="1" applyBorder="1"/>
    <xf numFmtId="0" fontId="8" fillId="0" borderId="0" xfId="0" applyFont="1" applyFill="1" applyAlignment="1">
      <alignment horizontal="left"/>
    </xf>
    <xf numFmtId="0" fontId="8" fillId="0" borderId="0" xfId="0" applyFont="1" applyFill="1" applyAlignment="1">
      <alignment horizontal="left" wrapText="1"/>
    </xf>
    <xf numFmtId="165" fontId="10" fillId="0" borderId="0" xfId="0" applyNumberFormat="1" applyFont="1" applyFill="1"/>
    <xf numFmtId="0" fontId="8" fillId="0" borderId="0" xfId="0" applyFont="1" applyFill="1" applyAlignment="1">
      <alignment vertical="center"/>
    </xf>
    <xf numFmtId="0" fontId="0" fillId="0" borderId="0" xfId="0" applyFill="1" applyBorder="1" applyAlignment="1">
      <alignment horizontal="center"/>
    </xf>
    <xf numFmtId="166" fontId="18" fillId="0" borderId="0" xfId="0" applyNumberFormat="1" applyFont="1"/>
    <xf numFmtId="0" fontId="0" fillId="0" borderId="0" xfId="0" applyBorder="1" applyAlignment="1">
      <alignment horizontal="center"/>
    </xf>
    <xf numFmtId="167" fontId="2" fillId="0" borderId="4" xfId="0" applyNumberFormat="1" applyFont="1" applyFill="1" applyBorder="1"/>
    <xf numFmtId="5" fontId="0" fillId="0" borderId="0" xfId="0" applyNumberFormat="1" applyFill="1"/>
    <xf numFmtId="5" fontId="2" fillId="0" borderId="3" xfId="0" applyNumberFormat="1" applyFont="1" applyFill="1" applyBorder="1"/>
    <xf numFmtId="5" fontId="2" fillId="0" borderId="4" xfId="0" applyNumberFormat="1" applyFont="1" applyFill="1" applyBorder="1"/>
    <xf numFmtId="5" fontId="2" fillId="0" borderId="0" xfId="0" applyNumberFormat="1" applyFont="1" applyBorder="1"/>
    <xf numFmtId="5" fontId="4" fillId="0" borderId="0" xfId="0" applyNumberFormat="1" applyFont="1" applyFill="1"/>
    <xf numFmtId="5" fontId="2" fillId="0" borderId="0" xfId="0" quotePrefix="1" applyNumberFormat="1" applyFont="1" applyFill="1"/>
    <xf numFmtId="5" fontId="2" fillId="0" borderId="0" xfId="0" applyNumberFormat="1" applyFont="1"/>
    <xf numFmtId="10" fontId="6" fillId="0" borderId="3" xfId="0" applyNumberFormat="1" applyFont="1" applyFill="1" applyBorder="1" applyAlignment="1">
      <alignment horizontal="right"/>
    </xf>
    <xf numFmtId="10" fontId="6" fillId="0" borderId="0" xfId="0" applyNumberFormat="1" applyFont="1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167" fontId="2" fillId="0" borderId="10" xfId="0" applyNumberFormat="1" applyFont="1" applyFill="1" applyBorder="1"/>
    <xf numFmtId="0" fontId="13" fillId="0" borderId="0" xfId="0" applyFont="1" applyFill="1" applyAlignment="1">
      <alignment wrapText="1"/>
    </xf>
    <xf numFmtId="165" fontId="10" fillId="0" borderId="3" xfId="0" applyNumberFormat="1" applyFont="1" applyFill="1" applyBorder="1"/>
    <xf numFmtId="165" fontId="10" fillId="0" borderId="0" xfId="0" applyNumberFormat="1" applyFont="1" applyFill="1" applyBorder="1"/>
    <xf numFmtId="165" fontId="10" fillId="0" borderId="4" xfId="0" applyNumberFormat="1" applyFont="1" applyFill="1" applyBorder="1"/>
    <xf numFmtId="165" fontId="10" fillId="0" borderId="3" xfId="0" applyNumberFormat="1" applyFont="1" applyFill="1" applyBorder="1" applyAlignment="1">
      <alignment horizontal="right"/>
    </xf>
    <xf numFmtId="165" fontId="10" fillId="0" borderId="10" xfId="0" applyNumberFormat="1" applyFont="1" applyFill="1" applyBorder="1"/>
    <xf numFmtId="0" fontId="0" fillId="0" borderId="0" xfId="0" applyFill="1" applyBorder="1" applyAlignment="1">
      <alignment horizontal="center"/>
    </xf>
    <xf numFmtId="3" fontId="0" fillId="0" borderId="0" xfId="0" applyNumberFormat="1" applyFill="1"/>
    <xf numFmtId="0" fontId="10" fillId="0" borderId="3" xfId="0" applyFont="1" applyFill="1" applyBorder="1"/>
    <xf numFmtId="0" fontId="10" fillId="0" borderId="0" xfId="0" applyFont="1" applyFill="1" applyBorder="1"/>
    <xf numFmtId="0" fontId="10" fillId="0" borderId="4" xfId="0" applyFont="1" applyFill="1" applyBorder="1"/>
    <xf numFmtId="0" fontId="10" fillId="0" borderId="10" xfId="0" applyFont="1" applyFill="1" applyBorder="1"/>
    <xf numFmtId="3" fontId="10" fillId="0" borderId="0" xfId="0" applyNumberFormat="1" applyFont="1" applyFill="1"/>
    <xf numFmtId="167" fontId="2" fillId="0" borderId="3" xfId="0" applyNumberFormat="1" applyFont="1" applyFill="1" applyBorder="1" applyAlignment="1"/>
    <xf numFmtId="167" fontId="2" fillId="0" borderId="4" xfId="0" applyNumberFormat="1" applyFont="1" applyFill="1" applyBorder="1" applyAlignment="1"/>
    <xf numFmtId="167" fontId="2" fillId="0" borderId="10" xfId="0" applyNumberFormat="1" applyFont="1" applyFill="1" applyBorder="1" applyAlignment="1"/>
    <xf numFmtId="166" fontId="0" fillId="0" borderId="0" xfId="0" applyNumberFormat="1" applyFill="1"/>
    <xf numFmtId="173" fontId="2" fillId="0" borderId="0" xfId="0" applyNumberFormat="1" applyFont="1" applyFill="1" applyBorder="1"/>
    <xf numFmtId="0" fontId="5" fillId="0" borderId="2" xfId="0" applyFont="1" applyFill="1" applyBorder="1" applyAlignment="1">
      <alignment horizontal="left" wrapText="1"/>
    </xf>
    <xf numFmtId="166" fontId="5" fillId="0" borderId="0" xfId="0" applyNumberFormat="1" applyFont="1" applyFill="1"/>
    <xf numFmtId="39" fontId="5" fillId="0" borderId="0" xfId="0" applyNumberFormat="1" applyFont="1" applyFill="1"/>
    <xf numFmtId="164" fontId="0" fillId="0" borderId="0" xfId="0" applyNumberFormat="1" applyFill="1"/>
    <xf numFmtId="10" fontId="0" fillId="0" borderId="0" xfId="2" applyNumberFormat="1" applyFont="1" applyFill="1"/>
    <xf numFmtId="164" fontId="0" fillId="0" borderId="0" xfId="1" applyNumberFormat="1" applyFont="1" applyFill="1"/>
    <xf numFmtId="165" fontId="3" fillId="0" borderId="0" xfId="0" applyNumberFormat="1" applyFont="1" applyFill="1" applyBorder="1"/>
    <xf numFmtId="0" fontId="6" fillId="0" borderId="0" xfId="0" applyFont="1" applyFill="1" applyBorder="1"/>
    <xf numFmtId="0" fontId="3" fillId="0" borderId="3" xfId="0" applyFont="1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quotePrefix="1" applyFill="1" applyBorder="1"/>
    <xf numFmtId="3" fontId="10" fillId="0" borderId="3" xfId="0" applyNumberFormat="1" applyFont="1" applyFill="1" applyBorder="1" applyAlignment="1">
      <alignment horizontal="right"/>
    </xf>
    <xf numFmtId="164" fontId="16" fillId="0" borderId="0" xfId="1" applyNumberFormat="1" applyFont="1" applyFill="1" applyBorder="1" applyAlignment="1">
      <alignment horizontal="right"/>
    </xf>
    <xf numFmtId="3" fontId="10" fillId="0" borderId="4" xfId="0" applyNumberFormat="1" applyFont="1" applyFill="1" applyBorder="1" applyAlignment="1">
      <alignment horizontal="right"/>
    </xf>
    <xf numFmtId="3" fontId="10" fillId="0" borderId="0" xfId="0" applyNumberFormat="1" applyFont="1" applyFill="1" applyBorder="1" applyAlignment="1">
      <alignment horizontal="right"/>
    </xf>
    <xf numFmtId="0" fontId="10" fillId="0" borderId="0" xfId="0" applyFont="1" applyFill="1" applyAlignment="1">
      <alignment horizontal="right"/>
    </xf>
    <xf numFmtId="37" fontId="10" fillId="0" borderId="0" xfId="0" applyNumberFormat="1" applyFont="1" applyFill="1" applyBorder="1" applyAlignment="1">
      <alignment horizontal="right"/>
    </xf>
    <xf numFmtId="3" fontId="10" fillId="0" borderId="10" xfId="0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right"/>
    </xf>
    <xf numFmtId="3" fontId="10" fillId="0" borderId="0" xfId="0" applyNumberFormat="1" applyFont="1" applyFill="1" applyAlignment="1">
      <alignment horizontal="right"/>
    </xf>
    <xf numFmtId="166" fontId="18" fillId="0" borderId="0" xfId="0" applyNumberFormat="1" applyFont="1" applyFill="1" applyBorder="1"/>
    <xf numFmtId="164" fontId="15" fillId="0" borderId="0" xfId="1" applyNumberFormat="1" applyFont="1" applyFill="1" applyBorder="1"/>
    <xf numFmtId="37" fontId="10" fillId="0" borderId="4" xfId="0" applyNumberFormat="1" applyFont="1" applyFill="1" applyBorder="1" applyAlignment="1">
      <alignment horizontal="right"/>
    </xf>
    <xf numFmtId="166" fontId="10" fillId="0" borderId="3" xfId="0" applyNumberFormat="1" applyFont="1" applyFill="1" applyBorder="1"/>
    <xf numFmtId="166" fontId="10" fillId="0" borderId="0" xfId="0" applyNumberFormat="1" applyFont="1" applyFill="1" applyBorder="1"/>
    <xf numFmtId="166" fontId="10" fillId="0" borderId="4" xfId="0" applyNumberFormat="1" applyFont="1" applyFill="1" applyBorder="1"/>
    <xf numFmtId="166" fontId="10" fillId="0" borderId="3" xfId="0" quotePrefix="1" applyNumberFormat="1" applyFont="1" applyFill="1" applyBorder="1" applyAlignment="1"/>
    <xf numFmtId="166" fontId="10" fillId="0" borderId="0" xfId="0" quotePrefix="1" applyNumberFormat="1" applyFont="1" applyFill="1" applyBorder="1" applyAlignment="1"/>
    <xf numFmtId="166" fontId="10" fillId="0" borderId="4" xfId="0" quotePrefix="1" applyNumberFormat="1" applyFont="1" applyFill="1" applyBorder="1" applyAlignment="1"/>
    <xf numFmtId="166" fontId="10" fillId="0" borderId="10" xfId="0" applyNumberFormat="1" applyFont="1" applyFill="1" applyBorder="1"/>
    <xf numFmtId="168" fontId="10" fillId="0" borderId="0" xfId="0" applyNumberFormat="1" applyFont="1" applyFill="1"/>
    <xf numFmtId="0" fontId="1" fillId="5" borderId="0" xfId="0" quotePrefix="1" applyFont="1" applyFill="1"/>
    <xf numFmtId="0" fontId="0" fillId="5" borderId="0" xfId="0" applyFill="1"/>
    <xf numFmtId="0" fontId="2" fillId="0" borderId="0" xfId="0" quotePrefix="1" applyFont="1" applyFill="1" applyBorder="1"/>
    <xf numFmtId="0" fontId="20" fillId="4" borderId="0" xfId="0" applyFont="1" applyFill="1" applyBorder="1"/>
    <xf numFmtId="0" fontId="21" fillId="4" borderId="0" xfId="0" applyFont="1" applyFill="1" applyBorder="1"/>
    <xf numFmtId="166" fontId="20" fillId="4" borderId="0" xfId="0" applyNumberFormat="1" applyFont="1" applyFill="1" applyBorder="1"/>
    <xf numFmtId="7" fontId="3" fillId="0" borderId="19" xfId="0" applyNumberFormat="1" applyFont="1" applyFill="1" applyBorder="1"/>
    <xf numFmtId="7" fontId="3" fillId="0" borderId="14" xfId="0" applyNumberFormat="1" applyFont="1" applyFill="1" applyBorder="1"/>
    <xf numFmtId="7" fontId="3" fillId="0" borderId="20" xfId="0" applyNumberFormat="1" applyFont="1" applyFill="1" applyBorder="1"/>
    <xf numFmtId="7" fontId="3" fillId="0" borderId="0" xfId="0" applyNumberFormat="1" applyFont="1" applyFill="1" applyBorder="1"/>
    <xf numFmtId="7" fontId="3" fillId="0" borderId="19" xfId="0" applyNumberFormat="1" applyFont="1" applyFill="1" applyBorder="1" applyAlignment="1">
      <alignment horizontal="right"/>
    </xf>
    <xf numFmtId="7" fontId="3" fillId="0" borderId="14" xfId="0" applyNumberFormat="1" applyFont="1" applyFill="1" applyBorder="1" applyAlignment="1">
      <alignment horizontal="right"/>
    </xf>
    <xf numFmtId="7" fontId="3" fillId="0" borderId="21" xfId="0" applyNumberFormat="1" applyFont="1" applyFill="1" applyBorder="1"/>
    <xf numFmtId="164" fontId="0" fillId="0" borderId="0" xfId="0" applyNumberFormat="1"/>
    <xf numFmtId="0" fontId="0" fillId="0" borderId="0" xfId="0" applyFill="1" applyBorder="1" applyAlignment="1">
      <alignment horizontal="center"/>
    </xf>
    <xf numFmtId="173" fontId="2" fillId="0" borderId="3" xfId="0" applyNumberFormat="1" applyFont="1" applyFill="1" applyBorder="1"/>
    <xf numFmtId="173" fontId="2" fillId="0" borderId="4" xfId="0" applyNumberFormat="1" applyFont="1" applyFill="1" applyBorder="1"/>
    <xf numFmtId="37" fontId="5" fillId="0" borderId="0" xfId="0" applyNumberFormat="1" applyFont="1" applyFill="1"/>
    <xf numFmtId="173" fontId="0" fillId="0" borderId="0" xfId="0" applyNumberFormat="1" applyFill="1"/>
    <xf numFmtId="173" fontId="2" fillId="0" borderId="10" xfId="0" applyNumberFormat="1" applyFont="1" applyFill="1" applyBorder="1"/>
    <xf numFmtId="173" fontId="2" fillId="0" borderId="0" xfId="0" applyNumberFormat="1" applyFont="1" applyFill="1"/>
    <xf numFmtId="0" fontId="5" fillId="0" borderId="0" xfId="0" applyFont="1" applyAlignment="1">
      <alignment horizontal="center"/>
    </xf>
    <xf numFmtId="0" fontId="12" fillId="0" borderId="4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/>
    <xf numFmtId="0" fontId="2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23" fillId="0" borderId="0" xfId="0" applyFont="1" applyFill="1" applyBorder="1"/>
    <xf numFmtId="166" fontId="23" fillId="0" borderId="0" xfId="0" applyNumberFormat="1" applyFont="1" applyFill="1" applyBorder="1" applyAlignment="1">
      <alignment horizontal="center" wrapText="1"/>
    </xf>
    <xf numFmtId="169" fontId="10" fillId="0" borderId="0" xfId="0" applyNumberFormat="1" applyFont="1" applyFill="1" applyBorder="1"/>
    <xf numFmtId="5" fontId="10" fillId="0" borderId="0" xfId="0" applyNumberFormat="1" applyFont="1" applyFill="1" applyBorder="1"/>
    <xf numFmtId="5" fontId="10" fillId="0" borderId="0" xfId="0" applyNumberFormat="1" applyFont="1"/>
    <xf numFmtId="5" fontId="10" fillId="0" borderId="0" xfId="0" applyNumberFormat="1" applyFont="1" applyFill="1" applyBorder="1" applyAlignment="1">
      <alignment horizontal="right"/>
    </xf>
    <xf numFmtId="166" fontId="10" fillId="0" borderId="1" xfId="0" applyNumberFormat="1" applyFont="1" applyFill="1" applyBorder="1"/>
    <xf numFmtId="5" fontId="10" fillId="0" borderId="1" xfId="0" applyNumberFormat="1" applyFont="1" applyFill="1" applyBorder="1"/>
    <xf numFmtId="0" fontId="10" fillId="0" borderId="0" xfId="0" applyFont="1" applyFill="1" applyBorder="1" applyAlignment="1">
      <alignment vertical="center"/>
    </xf>
    <xf numFmtId="0" fontId="10" fillId="0" borderId="0" xfId="0" quotePrefix="1" applyFont="1" applyFill="1" applyBorder="1" applyAlignment="1">
      <alignment horizontal="right"/>
    </xf>
    <xf numFmtId="172" fontId="10" fillId="0" borderId="0" xfId="0" applyNumberFormat="1" applyFont="1" applyFill="1" applyBorder="1"/>
    <xf numFmtId="170" fontId="10" fillId="0" borderId="0" xfId="0" applyNumberFormat="1" applyFont="1" applyFill="1" applyBorder="1"/>
    <xf numFmtId="0" fontId="8" fillId="0" borderId="3" xfId="0" applyFont="1" applyFill="1" applyBorder="1"/>
    <xf numFmtId="0" fontId="8" fillId="0" borderId="0" xfId="0" applyFont="1" applyFill="1" applyBorder="1"/>
    <xf numFmtId="166" fontId="8" fillId="0" borderId="0" xfId="0" applyNumberFormat="1" applyFont="1" applyFill="1" applyBorder="1"/>
    <xf numFmtId="166" fontId="8" fillId="0" borderId="1" xfId="0" applyNumberFormat="1" applyFont="1" applyFill="1" applyBorder="1"/>
    <xf numFmtId="5" fontId="8" fillId="0" borderId="1" xfId="0" applyNumberFormat="1" applyFont="1" applyFill="1" applyBorder="1"/>
    <xf numFmtId="0" fontId="8" fillId="0" borderId="3" xfId="0" quotePrefix="1" applyFont="1" applyFill="1" applyBorder="1"/>
    <xf numFmtId="0" fontId="10" fillId="0" borderId="0" xfId="0" applyFont="1" applyAlignment="1">
      <alignment horizontal="center"/>
    </xf>
    <xf numFmtId="0" fontId="0" fillId="0" borderId="0" xfId="0" applyAlignment="1"/>
    <xf numFmtId="0" fontId="10" fillId="0" borderId="0" xfId="0" applyFont="1" applyFill="1" applyAlignment="1">
      <alignment vertical="center" wrapText="1"/>
    </xf>
    <xf numFmtId="0" fontId="10" fillId="0" borderId="0" xfId="0" applyFont="1" applyFill="1" applyAlignment="1">
      <alignment vertical="center"/>
    </xf>
    <xf numFmtId="173" fontId="10" fillId="0" borderId="3" xfId="0" applyNumberFormat="1" applyFont="1" applyFill="1" applyBorder="1"/>
    <xf numFmtId="173" fontId="10" fillId="0" borderId="0" xfId="0" applyNumberFormat="1" applyFont="1" applyFill="1" applyBorder="1"/>
    <xf numFmtId="173" fontId="10" fillId="0" borderId="4" xfId="0" applyNumberFormat="1" applyFont="1" applyFill="1" applyBorder="1"/>
    <xf numFmtId="173" fontId="10" fillId="0" borderId="0" xfId="0" applyNumberFormat="1" applyFont="1" applyFill="1"/>
    <xf numFmtId="173" fontId="10" fillId="0" borderId="10" xfId="0" applyNumberFormat="1" applyFont="1" applyFill="1" applyBorder="1"/>
    <xf numFmtId="169" fontId="8" fillId="0" borderId="0" xfId="0" applyNumberFormat="1" applyFont="1" applyFill="1" applyAlignment="1">
      <alignment horizontal="left"/>
    </xf>
    <xf numFmtId="170" fontId="10" fillId="0" borderId="3" xfId="0" applyNumberFormat="1" applyFont="1" applyFill="1" applyBorder="1"/>
    <xf numFmtId="170" fontId="10" fillId="0" borderId="4" xfId="0" applyNumberFormat="1" applyFont="1" applyFill="1" applyBorder="1"/>
    <xf numFmtId="170" fontId="10" fillId="0" borderId="10" xfId="0" applyNumberFormat="1" applyFont="1" applyFill="1" applyBorder="1"/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wrapText="1"/>
    </xf>
    <xf numFmtId="166" fontId="10" fillId="0" borderId="0" xfId="0" applyNumberFormat="1" applyFont="1" applyFill="1"/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/>
    </xf>
    <xf numFmtId="5" fontId="2" fillId="0" borderId="0" xfId="0" applyNumberFormat="1" applyFont="1" applyAlignment="1">
      <alignment horizontal="right"/>
    </xf>
    <xf numFmtId="7" fontId="0" fillId="0" borderId="0" xfId="0" applyNumberFormat="1" applyFill="1"/>
    <xf numFmtId="0" fontId="2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0" borderId="0" xfId="0" quotePrefix="1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Fill="1" applyAlignment="1">
      <alignment wrapText="1"/>
    </xf>
    <xf numFmtId="0" fontId="13" fillId="0" borderId="0" xfId="0" applyFont="1" applyFill="1" applyAlignment="1">
      <alignment wrapText="1"/>
    </xf>
    <xf numFmtId="0" fontId="0" fillId="0" borderId="0" xfId="0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wrapText="1"/>
    </xf>
    <xf numFmtId="0" fontId="10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2" fillId="0" borderId="16" xfId="0" quotePrefix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99FF66"/>
      <color rgb="FFFF99FF"/>
      <color rgb="FF66FF99"/>
      <color rgb="FFFFCCFF"/>
      <color rgb="FFFFCC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drawing1.xml><?xml version="1.0" encoding="utf-8"?>
<xdr:wsDr xmlns:a16="http://schemas.microsoft.com/office/drawing/2014/main" xmlns:mc="http://schemas.openxmlformats.org/markup-compatibility/2006" xmlns:a14="http://schemas.microsoft.com/office/drawing/2010/main" xmlns:xdr="http://schemas.openxmlformats.org/drawingml/2006/spreadsheetDrawing" xmlns:a="http://schemas.openxmlformats.org/drawingml/2006/main">
  <xdr:twoCellAnchor>
    <xdr:from>
      <xdr:col>17</xdr:col>
      <xdr:colOff>333375</xdr:colOff>
      <xdr:row>43</xdr:row>
      <xdr:rowOff>85725</xdr:rowOff>
    </xdr:from>
    <xdr:to>
      <xdr:col>17</xdr:col>
      <xdr:colOff>638175</xdr:colOff>
      <xdr:row>43</xdr:row>
      <xdr:rowOff>85725</xdr:rowOff>
    </xdr:to>
    <xdr:sp macro="" textlink="">
      <xdr:nvSpPr>
        <xdr:cNvPr id="2396" name="Line 8" descr="" title="">
          <a:extLst>
            <a:ext uri="{FF2B5EF4-FFF2-40B4-BE49-F238E27FC236}">
              <a16:creationId xmlns:a16="http://schemas.microsoft.com/office/drawing/2014/main" id="{00000000-0008-0000-0100-00005C090000}"/>
            </a:ext>
          </a:extLst>
        </xdr:cNvPr>
        <xdr:cNvSpPr>
          <a:spLocks noChangeShapeType="1"/>
        </xdr:cNvSpPr>
      </xdr:nvSpPr>
      <xdr:spPr bwMode="auto">
        <a:xfrm flipH="1">
          <a:off x="9801225" y="6372225"/>
          <a:ext cx="304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a14:legacySpreadsheetColorIndex="64" mc:Ignorable="a1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638175</xdr:colOff>
      <xdr:row>28</xdr:row>
      <xdr:rowOff>114300</xdr:rowOff>
    </xdr:from>
    <xdr:to>
      <xdr:col>17</xdr:col>
      <xdr:colOff>647700</xdr:colOff>
      <xdr:row>43</xdr:row>
      <xdr:rowOff>95250</xdr:rowOff>
    </xdr:to>
    <xdr:sp macro="" textlink="">
      <xdr:nvSpPr>
        <xdr:cNvPr id="2397" name="Line 10" descr="" title="">
          <a:extLst>
            <a:ext uri="{FF2B5EF4-FFF2-40B4-BE49-F238E27FC236}">
              <a16:creationId xmlns:a16="http://schemas.microsoft.com/office/drawing/2014/main" id="{00000000-0008-0000-0100-00005D090000}"/>
            </a:ext>
          </a:extLst>
        </xdr:cNvPr>
        <xdr:cNvSpPr>
          <a:spLocks noChangeShapeType="1"/>
        </xdr:cNvSpPr>
      </xdr:nvSpPr>
      <xdr:spPr bwMode="auto">
        <a:xfrm flipH="1" flipV="1">
          <a:off x="10106025" y="4419600"/>
          <a:ext cx="9525" cy="1962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a14:legacySpreadsheetColorIndex="64" mc:Ignorable="a1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P%20IV-J-7%205%20&amp;%20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P%20IV-J-7%204%20Dist%20Function%20Costs%20to%20Lgt%20Clas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WP_IV-J-7%2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Rate%20Case/Section%20II%20(Test%20Year%20Data)/Schedule%20I%20(Class%20Allocation)/II-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by Light Type - IV-J-7|5"/>
      <sheetName val="Scenarios-IV-J-7|6"/>
    </sheetNames>
    <sheetDataSet>
      <sheetData sheetId="0">
        <row r="14">
          <cell r="E14">
            <v>3800.5807</v>
          </cell>
        </row>
        <row r="15">
          <cell r="E15">
            <v>3845.5288999999998</v>
          </cell>
        </row>
        <row r="16">
          <cell r="E16">
            <v>3973.9617000000003</v>
          </cell>
        </row>
        <row r="17">
          <cell r="E17">
            <v>4154.7961000000005</v>
          </cell>
        </row>
        <row r="18">
          <cell r="E18">
            <v>4359.6882000000005</v>
          </cell>
        </row>
        <row r="49">
          <cell r="E49">
            <v>4786.0511999999999</v>
          </cell>
        </row>
        <row r="50">
          <cell r="E50">
            <v>4894.8181999999997</v>
          </cell>
        </row>
        <row r="51">
          <cell r="E51">
            <v>4950.1374999999998</v>
          </cell>
        </row>
        <row r="60">
          <cell r="E60">
            <v>3111.3243000000002</v>
          </cell>
        </row>
        <row r="61">
          <cell r="E61">
            <v>3150.8595</v>
          </cell>
        </row>
        <row r="68">
          <cell r="E68">
            <v>3720.2069000000001</v>
          </cell>
        </row>
        <row r="69">
          <cell r="E69">
            <v>4867.5002000000004</v>
          </cell>
        </row>
        <row r="85">
          <cell r="E85">
            <v>5375.0124000000005</v>
          </cell>
        </row>
        <row r="86">
          <cell r="E86">
            <v>5419.9606000000003</v>
          </cell>
        </row>
        <row r="87">
          <cell r="E87">
            <v>5548.3934000000008</v>
          </cell>
        </row>
        <row r="88">
          <cell r="E88">
            <v>5729.2278000000006</v>
          </cell>
        </row>
        <row r="89">
          <cell r="E89">
            <v>5934.1198999999997</v>
          </cell>
        </row>
        <row r="90">
          <cell r="E90">
            <v>5934.1198999999997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Assignments by Group"/>
    </sheetNames>
    <sheetDataSet>
      <sheetData sheetId="0">
        <row r="62">
          <cell r="H62">
            <v>10911060</v>
          </cell>
          <cell r="I62">
            <v>3653551</v>
          </cell>
          <cell r="J62">
            <v>4047336</v>
          </cell>
          <cell r="K62">
            <v>-4760663</v>
          </cell>
          <cell r="L62">
            <v>0</v>
          </cell>
        </row>
        <row r="130">
          <cell r="H130">
            <v>0</v>
          </cell>
          <cell r="I130">
            <v>684932.97085013683</v>
          </cell>
          <cell r="J130">
            <v>525713.98102353769</v>
          </cell>
          <cell r="K130">
            <v>0</v>
          </cell>
          <cell r="L130">
            <v>10605133.359999968</v>
          </cell>
        </row>
        <row r="156">
          <cell r="H156">
            <v>19260638.998913523</v>
          </cell>
          <cell r="I156">
            <v>0</v>
          </cell>
          <cell r="J156">
            <v>8240159.3681044849</v>
          </cell>
          <cell r="K156">
            <v>0</v>
          </cell>
          <cell r="L156">
            <v>0</v>
          </cell>
        </row>
        <row r="180">
          <cell r="H180">
            <v>4634073.4582506437</v>
          </cell>
          <cell r="I180">
            <v>972598.6867293173</v>
          </cell>
          <cell r="J180">
            <v>7696</v>
          </cell>
          <cell r="K180">
            <v>2332960.8803827879</v>
          </cell>
          <cell r="L180">
            <v>155246.5518673296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 Design"/>
      <sheetName val="OL"/>
      <sheetName val="SL"/>
      <sheetName val="SL Sch D"/>
      <sheetName val="LIGHTING SUMMARY"/>
      <sheetName val="Reassigned Revenue"/>
      <sheetName val="Billing Units"/>
      <sheetName val="Adjusted Billing Units"/>
      <sheetName val="Average and Excess"/>
      <sheetName val="FI Table"/>
    </sheetNames>
    <sheetDataSet>
      <sheetData sheetId="0" refreshError="1"/>
      <sheetData sheetId="1">
        <row r="75">
          <cell r="O75">
            <v>20155391</v>
          </cell>
        </row>
      </sheetData>
      <sheetData sheetId="2">
        <row r="19">
          <cell r="I19">
            <v>364445</v>
          </cell>
        </row>
        <row r="181">
          <cell r="I181">
            <v>14532</v>
          </cell>
        </row>
        <row r="182">
          <cell r="I182">
            <v>1810566</v>
          </cell>
        </row>
        <row r="197">
          <cell r="I197">
            <v>337817</v>
          </cell>
        </row>
        <row r="203">
          <cell r="I203">
            <v>33158</v>
          </cell>
        </row>
      </sheetData>
      <sheetData sheetId="3" refreshError="1"/>
      <sheetData sheetId="4">
        <row r="43">
          <cell r="I43">
            <v>97524366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Sheet"/>
      <sheetName val="WP II-I-1.1"/>
      <sheetName val=" WP II-I-1.4"/>
      <sheetName val="II-I-DIST"/>
      <sheetName val="II-I-MET"/>
      <sheetName val="II-I-TBILLTDCS"/>
      <sheetName val="II-I-Total"/>
      <sheetName val="II-I-2.1f"/>
      <sheetName val="WP II-I-2.1"/>
      <sheetName val="II-I Summary"/>
      <sheetName val="WP II-I-1.6"/>
      <sheetName val="WP II-I-1.9 "/>
      <sheetName val="WP II-I-1.2"/>
      <sheetName val="WP II-I-1.7"/>
      <sheetName val="II-I-1"/>
      <sheetName val="WP II-I-2.2"/>
      <sheetName val="II-I-3.1"/>
      <sheetName val="II-I"/>
    </sheetNames>
    <sheetDataSet>
      <sheetData sheetId="0">
        <row r="8">
          <cell r="N8">
            <v>92687433.402685627</v>
          </cell>
        </row>
        <row r="10">
          <cell r="N10">
            <v>144408.8608343357</v>
          </cell>
        </row>
        <row r="12">
          <cell r="N12">
            <v>4692561.9931837013</v>
          </cell>
        </row>
      </sheetData>
      <sheetData sheetId="1"/>
      <sheetData sheetId="2"/>
      <sheetData sheetId="3">
        <row r="22">
          <cell r="Q22">
            <v>31826537.364641424</v>
          </cell>
        </row>
        <row r="31">
          <cell r="Q31">
            <v>409541.83410346473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Id3" /><Relationship Type="http://schemas.openxmlformats.org/officeDocument/2006/relationships/vmlDrawing" Target="../drawings/vmlDrawing1.v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BY90"/>
  <x:sheetViews>
    <x:sheetView tabSelected="1" zoomScale="80" zoomScaleNormal="80" zoomScaleSheetLayoutView="100" workbookViewId="0">
      <x:pane xSplit="6" ySplit="9" topLeftCell="G10" activePane="bottomRight" state="frozen"/>
      <x:selection pane="topRight" activeCell="G1" sqref="G1"/>
      <x:selection pane="bottomLeft" activeCell="A10" sqref="A10"/>
      <x:selection pane="bottomRight" activeCell="G10" sqref="G10"/>
    </x:sheetView>
  </x:sheetViews>
  <x:sheetFormatPr defaultRowHeight="13.5" x14ac:dyDescent="0.3"/>
  <x:cols>
    <x:col min="1" max="1" width="5.765625" customWidth="1"/>
    <x:col min="2" max="2" width="3.61328125" customWidth="1"/>
    <x:col min="3" max="3" width="18.61328125" customWidth="1"/>
    <x:col min="4" max="4" width="1.765625" customWidth="1"/>
    <x:col min="5" max="5" width="20.765625" customWidth="1"/>
    <x:col min="6" max="6" width="1.765625" customWidth="1"/>
    <x:col min="7" max="11" width="12.765625" customWidth="1"/>
    <x:col min="12" max="12" width="0.3828125" customWidth="1"/>
    <x:col min="13" max="15" width="10.61328125" customWidth="1"/>
    <x:col min="16" max="16" width="0.765625" style="1" customWidth="1"/>
    <x:col min="17" max="18" width="10.61328125" customWidth="1"/>
    <x:col min="19" max="19" width="0.4609375" customWidth="1"/>
    <x:col min="20" max="21" width="10.61328125" customWidth="1"/>
    <x:col min="22" max="22" width="1.61328125" customWidth="1"/>
    <x:col min="23" max="36" width="11.765625" customWidth="1"/>
    <x:col min="37" max="39" width="12.765625" customWidth="1"/>
    <x:col min="40" max="50" width="11.765625" customWidth="1"/>
    <x:col min="51" max="51" width="1.23046875" style="2" customWidth="1"/>
    <x:col min="52" max="55" width="10.61328125" customWidth="1"/>
    <x:col min="56" max="56" width="13" customWidth="1"/>
    <x:col min="57" max="63" width="9.23046875" customWidth="1"/>
    <x:col min="64" max="64" width="1.15234375" customWidth="1"/>
    <x:col min="65" max="65" width="11.765625" customWidth="1"/>
    <x:col min="66" max="68" width="10.61328125" customWidth="1"/>
  </x:cols>
  <x:sheetData>
    <x:row r="1" spans="1:68" s="2" customFormat="1" ht="14" x14ac:dyDescent="0.3">
      <x:c r="B1" s="145"/>
    </x:row>
    <x:row r="2" spans="1:68" s="2" customFormat="1" ht="14" x14ac:dyDescent="0.3">
      <x:c r="B2" s="197"/>
      <x:c r="G2" s="198"/>
      <x:c r="H2" s="198"/>
      <x:c r="I2" s="198"/>
      <x:c r="J2" s="198"/>
      <x:c r="K2" s="198"/>
      <x:c r="L2" s="139"/>
      <x:c r="O2" s="236"/>
      <x:c r="P2" s="236"/>
      <x:c r="Q2" s="236"/>
      <x:c r="R2" s="236"/>
      <x:c r="S2" s="236"/>
      <x:c r="T2" s="236"/>
      <x:c r="U2" s="236"/>
      <x:c r="V2" s="236"/>
      <x:c r="AY2" s="236"/>
      <x:c r="BK2" s="236"/>
      <x:c r="BL2" s="236"/>
      <x:c r="BM2" s="236"/>
    </x:row>
    <x:row r="3" spans="1:68" s="168" customFormat="1" ht="11.5" x14ac:dyDescent="0.25">
      <x:c r="A3" s="235" t="s">
        <x:v>107</x:v>
      </x:c>
      <x:c r="B3" s="236" t="s">
        <x:v>108</x:v>
      </x:c>
      <x:c r="C3" s="236" t="s">
        <x:v>109</x:v>
      </x:c>
      <x:c r="D3" s="236"/>
      <x:c r="E3" s="236" t="s">
        <x:v>110</x:v>
      </x:c>
      <x:c r="G3" s="236" t="s">
        <x:v>111</x:v>
      </x:c>
      <x:c r="H3" s="236" t="s">
        <x:v>112</x:v>
      </x:c>
      <x:c r="I3" s="236" t="s">
        <x:v>113</x:v>
      </x:c>
      <x:c r="J3" s="236" t="s">
        <x:v>114</x:v>
      </x:c>
      <x:c r="K3" s="236" t="s">
        <x:v>115</x:v>
      </x:c>
      <x:c r="L3" s="236"/>
      <x:c r="M3" s="236" t="s">
        <x:v>163</x:v>
      </x:c>
      <x:c r="N3" s="236" t="s">
        <x:v>116</x:v>
      </x:c>
      <x:c r="O3" s="236" t="s">
        <x:v>117</x:v>
      </x:c>
      <x:c r="P3" s="236"/>
      <x:c r="Q3" s="236" t="s">
        <x:v>118</x:v>
      </x:c>
      <x:c r="R3" s="236" t="s">
        <x:v>119</x:v>
      </x:c>
      <x:c r="S3" s="236"/>
      <x:c r="T3" s="236" t="s">
        <x:v>120</x:v>
      </x:c>
      <x:c r="U3" s="236" t="s">
        <x:v>121</x:v>
      </x:c>
      <x:c r="V3" s="236"/>
      <x:c r="W3" s="236" t="s">
        <x:v>122</x:v>
      </x:c>
      <x:c r="X3" s="236" t="s">
        <x:v>123</x:v>
      </x:c>
      <x:c r="Y3" s="236" t="s">
        <x:v>124</x:v>
      </x:c>
      <x:c r="Z3" s="236" t="s">
        <x:v>125</x:v>
      </x:c>
      <x:c r="AA3" s="236" t="s">
        <x:v>126</x:v>
      </x:c>
      <x:c r="AB3" s="236" t="s">
        <x:v>127</x:v>
      </x:c>
      <x:c r="AC3" s="236" t="s">
        <x:v>128</x:v>
      </x:c>
      <x:c r="AD3" s="236" t="s">
        <x:v>129</x:v>
      </x:c>
      <x:c r="AE3" s="236" t="s">
        <x:v>130</x:v>
      </x:c>
      <x:c r="AF3" s="236" t="s">
        <x:v>131</x:v>
      </x:c>
      <x:c r="AG3" s="236" t="s">
        <x:v>132</x:v>
      </x:c>
      <x:c r="AH3" s="236" t="s">
        <x:v>133</x:v>
      </x:c>
      <x:c r="AI3" s="236" t="s">
        <x:v>134</x:v>
      </x:c>
      <x:c r="AJ3" s="236" t="s">
        <x:v>135</x:v>
      </x:c>
      <x:c r="AK3" s="236" t="s">
        <x:v>136</x:v>
      </x:c>
      <x:c r="AL3" s="236" t="s">
        <x:v>137</x:v>
      </x:c>
      <x:c r="AM3" s="236" t="s">
        <x:v>138</x:v>
      </x:c>
      <x:c r="AN3" s="236" t="s">
        <x:v>139</x:v>
      </x:c>
      <x:c r="AO3" s="236" t="s">
        <x:v>140</x:v>
      </x:c>
      <x:c r="AP3" s="236" t="s">
        <x:v>141</x:v>
      </x:c>
      <x:c r="AQ3" s="236" t="s">
        <x:v>142</x:v>
      </x:c>
      <x:c r="AR3" s="236" t="s">
        <x:v>143</x:v>
      </x:c>
      <x:c r="AS3" s="236" t="s">
        <x:v>144</x:v>
      </x:c>
      <x:c r="AT3" s="236" t="s">
        <x:v>145</x:v>
      </x:c>
      <x:c r="AU3" s="236" t="s">
        <x:v>146</x:v>
      </x:c>
      <x:c r="AV3" s="236" t="s">
        <x:v>147</x:v>
      </x:c>
      <x:c r="AW3" s="236" t="s">
        <x:v>148</x:v>
      </x:c>
      <x:c r="AX3" s="236" t="s">
        <x:v>149</x:v>
      </x:c>
      <x:c r="AY3" s="236"/>
      <x:c r="AZ3" s="236" t="s">
        <x:v>150</x:v>
      </x:c>
      <x:c r="BA3" s="236" t="s">
        <x:v>151</x:v>
      </x:c>
      <x:c r="BB3" s="236" t="s">
        <x:v>152</x:v>
      </x:c>
      <x:c r="BC3" s="236" t="s">
        <x:v>153</x:v>
      </x:c>
      <x:c r="BD3" s="236" t="s">
        <x:v>154</x:v>
      </x:c>
      <x:c r="BE3" s="236" t="s">
        <x:v>155</x:v>
      </x:c>
      <x:c r="BF3" s="236" t="s">
        <x:v>156</x:v>
      </x:c>
      <x:c r="BG3" s="236" t="s">
        <x:v>157</x:v>
      </x:c>
      <x:c r="BH3" s="236" t="s">
        <x:v>158</x:v>
      </x:c>
      <x:c r="BI3" s="236" t="s">
        <x:v>159</x:v>
      </x:c>
      <x:c r="BJ3" s="236" t="s">
        <x:v>160</x:v>
      </x:c>
      <x:c r="BK3" s="236" t="s">
        <x:v>161</x:v>
      </x:c>
      <x:c r="BL3" s="236"/>
      <x:c r="BM3" s="236" t="s">
        <x:v>162</x:v>
      </x:c>
    </x:row>
    <x:row r="4" spans="1:68" s="2" customFormat="1" ht="8.5" customHeight="1" x14ac:dyDescent="0.3">
      <x:c r="B4" s="197"/>
      <x:c r="E4" s="187"/>
      <x:c r="G4" s="191"/>
      <x:c r="H4" s="189"/>
      <x:c r="I4" s="189"/>
      <x:c r="J4" s="189"/>
      <x:c r="K4" s="191"/>
      <x:c r="L4" s="191"/>
      <x:c r="M4" s="191"/>
      <x:c r="N4" s="191"/>
      <x:c r="O4" s="191"/>
      <x:c r="P4" s="191"/>
      <x:c r="Q4" s="191"/>
      <x:c r="R4" s="191"/>
      <x:c r="S4" s="191"/>
      <x:c r="T4" s="191"/>
      <x:c r="U4" s="191"/>
      <x:c r="V4" s="195"/>
      <x:c r="W4" s="191"/>
      <x:c r="X4" s="191"/>
      <x:c r="Y4" s="191"/>
      <x:c r="Z4" s="191"/>
      <x:c r="AA4" s="191"/>
      <x:c r="AB4" s="191"/>
      <x:c r="AC4" s="191"/>
      <x:c r="AD4" s="191"/>
      <x:c r="AE4" s="193"/>
      <x:c r="AF4" s="191"/>
      <x:c r="AG4" s="191"/>
      <x:c r="AH4" s="191"/>
      <x:c r="AI4" s="191"/>
      <x:c r="AJ4" s="191"/>
      <x:c r="AK4" s="191"/>
      <x:c r="AL4" s="191"/>
      <x:c r="AM4" s="191"/>
      <x:c r="AN4" s="191"/>
      <x:c r="AO4" s="191"/>
      <x:c r="AP4" s="191"/>
      <x:c r="AQ4" s="191"/>
      <x:c r="AR4" s="191"/>
      <x:c r="AS4" s="191"/>
      <x:c r="AT4" s="191"/>
      <x:c r="AU4" s="191"/>
      <x:c r="AV4" s="191"/>
      <x:c r="AW4" s="191"/>
      <x:c r="AX4" s="191"/>
      <x:c r="AY4" s="191"/>
      <x:c r="AZ4" s="191"/>
      <x:c r="BA4" s="191"/>
      <x:c r="BB4" s="191"/>
      <x:c r="BC4" s="191"/>
      <x:c r="BD4" s="191"/>
      <x:c r="BE4" s="191"/>
      <x:c r="BF4" s="191"/>
      <x:c r="BG4" s="195"/>
      <x:c r="BH4" s="191"/>
      <x:c r="BI4" s="191"/>
      <x:c r="BJ4" s="191"/>
      <x:c r="BK4" s="191"/>
      <x:c r="BL4" s="195"/>
      <x:c r="BM4" s="191"/>
      <x:c r="BN4" s="64"/>
    </x:row>
    <x:row r="5" spans="1:68" ht="14.5" thickBot="1" x14ac:dyDescent="0.35">
      <x:c r="A5" s="231">
        <x:v>1</x:v>
      </x:c>
      <x:c r="B5" s="145"/>
      <x:c r="G5" s="279" t="s">
        <x:v>80</x:v>
      </x:c>
      <x:c r="H5" s="280"/>
      <x:c r="I5" s="280"/>
      <x:c r="J5" s="280"/>
      <x:c r="K5" s="280"/>
      <x:c r="L5" s="133"/>
      <x:c r="M5" s="279" t="s">
        <x:v>87</x:v>
      </x:c>
      <x:c r="N5" s="284"/>
      <x:c r="O5" s="284"/>
      <x:c r="P5" s="146"/>
      <x:c r="Q5" s="281" t="s">
        <x:v>89</x:v>
      </x:c>
      <x:c r="R5" s="281"/>
      <x:c r="S5" s="132"/>
      <x:c r="T5" s="281" t="s">
        <x:v>89</x:v>
      </x:c>
      <x:c r="U5" s="281"/>
      <x:c r="W5" s="279" t="s">
        <x:v>28</x:v>
      </x:c>
      <x:c r="X5" s="279"/>
      <x:c r="Y5" s="279"/>
      <x:c r="Z5" s="279" t="s">
        <x:v>28</x:v>
      </x:c>
      <x:c r="AA5" s="279"/>
      <x:c r="AB5" s="279"/>
      <x:c r="AC5" s="279"/>
      <x:c r="AD5" s="279"/>
      <x:c r="AE5" s="279"/>
      <x:c r="AF5" s="279" t="s">
        <x:v>28</x:v>
      </x:c>
      <x:c r="AG5" s="280"/>
      <x:c r="AH5" s="280"/>
      <x:c r="AI5" s="280"/>
      <x:c r="AJ5" s="280"/>
      <x:c r="AK5" s="279" t="s">
        <x:v>31</x:v>
      </x:c>
      <x:c r="AL5" s="284"/>
      <x:c r="AM5" s="284"/>
      <x:c r="AN5" s="279" t="s">
        <x:v>31</x:v>
      </x:c>
      <x:c r="AO5" s="279"/>
      <x:c r="AP5" s="279"/>
      <x:c r="AQ5" s="279"/>
      <x:c r="AR5" s="279"/>
      <x:c r="AS5" s="279"/>
      <x:c r="AT5" s="279" t="s">
        <x:v>31</x:v>
      </x:c>
      <x:c r="AU5" s="280"/>
      <x:c r="AV5" s="280"/>
      <x:c r="AW5" s="280"/>
      <x:c r="AX5" s="280"/>
      <x:c r="AY5" s="34"/>
      <x:c r="AZ5" s="279" t="s">
        <x:v>32</x:v>
      </x:c>
      <x:c r="BA5" s="284"/>
      <x:c r="BB5" s="284"/>
      <x:c r="BC5" s="284"/>
      <x:c r="BD5" s="229" t="s">
        <x:v>36</x:v>
      </x:c>
      <x:c r="BE5" s="279" t="s">
        <x:v>38</x:v>
      </x:c>
      <x:c r="BF5" s="279"/>
      <x:c r="BG5" s="279"/>
      <x:c r="BH5" s="279"/>
      <x:c r="BI5" s="279"/>
      <x:c r="BJ5" s="279" t="s">
        <x:v>39</x:v>
      </x:c>
      <x:c r="BK5" s="279"/>
    </x:row>
    <x:row r="6" spans="1:68" ht="14.5" thickBot="1" x14ac:dyDescent="0.35">
      <x:c r="A6" s="231">
        <x:f t="shared" ref="A6:A65" si="0">1+A5</x:f>
        <x:v>2</x:v>
      </x:c>
      <x:c r="B6" s="145"/>
      <x:c r="C6" s="4"/>
      <x:c r="D6" s="4"/>
      <x:c r="E6" s="4"/>
      <x:c r="F6" s="4"/>
      <x:c r="G6" s="288" t="s">
        <x:v>81</x:v>
      </x:c>
      <x:c r="H6" s="288"/>
      <x:c r="I6" s="288"/>
      <x:c r="J6" s="288"/>
      <x:c r="K6" s="288"/>
      <x:c r="L6" s="134"/>
      <x:c r="M6" s="288" t="s">
        <x:v>88</x:v>
      </x:c>
      <x:c r="N6" s="288"/>
      <x:c r="O6" s="288"/>
      <x:c r="P6" s="144"/>
      <x:c r="Q6" s="281" t="s">
        <x:v>90</x:v>
      </x:c>
      <x:c r="R6" s="281"/>
      <x:c r="S6" s="135"/>
      <x:c r="T6" s="281" t="s">
        <x:v>91</x:v>
      </x:c>
      <x:c r="U6" s="281"/>
      <x:c r="V6" s="4"/>
      <x:c r="W6" s="287" t="s">
        <x:v>26</x:v>
      </x:c>
      <x:c r="X6" s="287"/>
      <x:c r="Y6" s="287"/>
      <x:c r="Z6" s="287" t="s">
        <x:v>25</x:v>
      </x:c>
      <x:c r="AA6" s="287"/>
      <x:c r="AB6" s="287"/>
      <x:c r="AC6" s="287"/>
      <x:c r="AD6" s="287"/>
      <x:c r="AE6" s="287"/>
      <x:c r="AF6" s="282" t="s">
        <x:v>27</x:v>
      </x:c>
      <x:c r="AG6" s="283"/>
      <x:c r="AH6" s="283"/>
      <x:c r="AI6" s="283"/>
      <x:c r="AJ6" s="283"/>
      <x:c r="AK6" s="283" t="s">
        <x:v>26</x:v>
      </x:c>
      <x:c r="AL6" s="283"/>
      <x:c r="AM6" s="283"/>
      <x:c r="AN6" s="283" t="s">
        <x:v>25</x:v>
      </x:c>
      <x:c r="AO6" s="283"/>
      <x:c r="AP6" s="283"/>
      <x:c r="AQ6" s="283"/>
      <x:c r="AR6" s="283"/>
      <x:c r="AS6" s="283"/>
      <x:c r="AT6" s="282" t="s">
        <x:v>27</x:v>
      </x:c>
      <x:c r="AU6" s="283"/>
      <x:c r="AV6" s="283"/>
      <x:c r="AW6" s="283"/>
      <x:c r="AX6" s="283"/>
      <x:c r="AY6" s="3"/>
      <x:c r="AZ6" s="42" t="s">
        <x:v>33</x:v>
      </x:c>
      <x:c r="BA6" s="43" t="s">
        <x:v>34</x:v>
      </x:c>
      <x:c r="BB6" s="43" t="s">
        <x:v>34</x:v>
      </x:c>
      <x:c r="BC6" s="44" t="s">
        <x:v>35</x:v>
      </x:c>
      <x:c r="BD6" s="45"/>
      <x:c r="BE6" s="42" t="s">
        <x:v>33</x:v>
      </x:c>
      <x:c r="BF6" s="43" t="s">
        <x:v>34</x:v>
      </x:c>
      <x:c r="BG6" s="43" t="s">
        <x:v>34</x:v>
      </x:c>
      <x:c r="BH6" s="43" t="s">
        <x:v>35</x:v>
      </x:c>
      <x:c r="BI6" s="44" t="s">
        <x:v>35</x:v>
      </x:c>
      <x:c r="BJ6" s="42" t="s">
        <x:v>33</x:v>
      </x:c>
      <x:c r="BK6" s="44" t="s">
        <x:v>34</x:v>
      </x:c>
      <x:c r="BL6" s="4"/>
      <x:c r="BM6" s="4"/>
    </x:row>
    <x:row r="7" spans="1:68" ht="4.5" customHeight="1" x14ac:dyDescent="0.3">
      <x:c r="A7" s="231"/>
      <x:c r="B7" s="145"/>
      <x:c r="C7" s="4"/>
      <x:c r="D7" s="4"/>
      <x:c r="E7" s="4"/>
      <x:c r="F7" s="4"/>
      <x:c r="G7" s="46"/>
      <x:c r="H7" s="47"/>
      <x:c r="I7" s="47"/>
      <x:c r="J7" s="47"/>
      <x:c r="K7" s="48"/>
      <x:c r="L7" s="2"/>
      <x:c r="M7" s="46"/>
      <x:c r="N7" s="47"/>
      <x:c r="O7" s="48"/>
      <x:c r="P7" s="2"/>
      <x:c r="Q7" s="46"/>
      <x:c r="R7" s="48"/>
      <x:c r="S7" s="2"/>
      <x:c r="T7" s="46"/>
      <x:c r="U7" s="48"/>
      <x:c r="V7" s="4"/>
      <x:c r="W7" s="46"/>
      <x:c r="X7" s="47"/>
      <x:c r="Y7" s="48"/>
      <x:c r="Z7" s="46"/>
      <x:c r="AA7" s="47"/>
      <x:c r="AB7" s="47"/>
      <x:c r="AC7" s="47"/>
      <x:c r="AD7" s="47"/>
      <x:c r="AE7" s="48"/>
      <x:c r="AF7" s="46"/>
      <x:c r="AG7" s="47"/>
      <x:c r="AH7" s="47"/>
      <x:c r="AI7" s="47"/>
      <x:c r="AJ7" s="48"/>
      <x:c r="AK7" s="46"/>
      <x:c r="AL7" s="47"/>
      <x:c r="AM7" s="48"/>
      <x:c r="AN7" s="46"/>
      <x:c r="AO7" s="47"/>
      <x:c r="AP7" s="47"/>
      <x:c r="AQ7" s="47"/>
      <x:c r="AR7" s="47"/>
      <x:c r="AS7" s="48"/>
      <x:c r="AT7" s="46"/>
      <x:c r="AU7" s="47"/>
      <x:c r="AV7" s="47"/>
      <x:c r="AW7" s="47"/>
      <x:c r="AX7" s="48"/>
      <x:c r="AZ7" s="23"/>
      <x:c r="BA7" s="2"/>
      <x:c r="BB7" s="2"/>
      <x:c r="BC7" s="24"/>
      <x:c r="BD7" s="49"/>
      <x:c r="BE7" s="23"/>
      <x:c r="BF7" s="2"/>
      <x:c r="BG7" s="2"/>
      <x:c r="BH7" s="2"/>
      <x:c r="BI7" s="24"/>
      <x:c r="BJ7" s="23"/>
      <x:c r="BK7" s="24"/>
      <x:c r="BL7" s="4"/>
      <x:c r="BM7" s="4"/>
    </x:row>
    <x:row r="8" spans="1:68" ht="14" x14ac:dyDescent="0.3">
      <x:c r="A8" s="231">
        <x:v>3</x:v>
      </x:c>
      <x:c r="B8" s="145"/>
      <x:c r="C8" s="50" t="s">
        <x:v>106</x:v>
      </x:c>
      <x:c r="D8" s="2"/>
      <x:c r="E8" s="35" t="s">
        <x:v>46</x:v>
      </x:c>
      <x:c r="F8" s="4"/>
      <x:c r="G8" s="136" t="s">
        <x:v>83</x:v>
      </x:c>
      <x:c r="H8" s="137" t="s">
        <x:v>82</x:v>
      </x:c>
      <x:c r="I8" s="137" t="s">
        <x:v>84</x:v>
      </x:c>
      <x:c r="J8" s="137" t="s">
        <x:v>85</x:v>
      </x:c>
      <x:c r="K8" s="138" t="s">
        <x:v>86</x:v>
      </x:c>
      <x:c r="L8" s="35"/>
      <x:c r="M8" s="136" t="s">
        <x:v>83</x:v>
      </x:c>
      <x:c r="N8" s="137" t="s">
        <x:v>82</x:v>
      </x:c>
      <x:c r="O8" s="138" t="s">
        <x:v>84</x:v>
      </x:c>
      <x:c r="P8" s="35"/>
      <x:c r="Q8" s="136" t="s">
        <x:v>83</x:v>
      </x:c>
      <x:c r="R8" s="138" t="s">
        <x:v>82</x:v>
      </x:c>
      <x:c r="S8" s="35"/>
      <x:c r="T8" s="136" t="s">
        <x:v>83</x:v>
      </x:c>
      <x:c r="U8" s="138" t="s">
        <x:v>82</x:v>
      </x:c>
      <x:c r="V8" s="4"/>
      <x:c r="W8" s="51" t="s">
        <x:v>43</x:v>
      </x:c>
      <x:c r="X8" s="52" t="s">
        <x:v>44</x:v>
      </x:c>
      <x:c r="Y8" s="230" t="s">
        <x:v>45</x:v>
      </x:c>
      <x:c r="Z8" s="21">
        <x:v>100</x:v>
      </x:c>
      <x:c r="AA8" s="53">
        <x:v>150</x:v>
      </x:c>
      <x:c r="AB8" s="53">
        <x:v>200</x:v>
      </x:c>
      <x:c r="AC8" s="53">
        <x:v>250</x:v>
      </x:c>
      <x:c r="AD8" s="53">
        <x:v>400</x:v>
      </x:c>
      <x:c r="AE8" s="54">
        <x:v>1000</x:v>
      </x:c>
      <x:c r="AF8" s="21">
        <x:v>150</x:v>
      </x:c>
      <x:c r="AG8" s="53">
        <x:v>175</x:v>
      </x:c>
      <x:c r="AH8" s="53">
        <x:v>250</x:v>
      </x:c>
      <x:c r="AI8" s="53">
        <x:v>400</x:v>
      </x:c>
      <x:c r="AJ8" s="54">
        <x:v>1000</x:v>
      </x:c>
      <x:c r="AK8" s="55">
        <x:v>175</x:v>
      </x:c>
      <x:c r="AL8" s="35">
        <x:v>400</x:v>
      </x:c>
      <x:c r="AM8" s="56">
        <x:v>1000</x:v>
      </x:c>
      <x:c r="AN8" s="55">
        <x:v>100</x:v>
      </x:c>
      <x:c r="AO8" s="35">
        <x:v>150</x:v>
      </x:c>
      <x:c r="AP8" s="35">
        <x:v>200</x:v>
      </x:c>
      <x:c r="AQ8" s="35">
        <x:v>250</x:v>
      </x:c>
      <x:c r="AR8" s="35">
        <x:v>400</x:v>
      </x:c>
      <x:c r="AS8" s="56">
        <x:v>1000</x:v>
      </x:c>
      <x:c r="AT8" s="55">
        <x:v>150</x:v>
      </x:c>
      <x:c r="AU8" s="35">
        <x:v>175</x:v>
      </x:c>
      <x:c r="AV8" s="35">
        <x:v>250</x:v>
      </x:c>
      <x:c r="AW8" s="35">
        <x:v>400</x:v>
      </x:c>
      <x:c r="AX8" s="56">
        <x:v>1000</x:v>
      </x:c>
      <x:c r="AY8" s="35"/>
      <x:c r="AZ8" s="55">
        <x:v>175</x:v>
      </x:c>
      <x:c r="BA8" s="35">
        <x:v>100</x:v>
      </x:c>
      <x:c r="BB8" s="35">
        <x:v>150</x:v>
      </x:c>
      <x:c r="BC8" s="56">
        <x:v>175</x:v>
      </x:c>
      <x:c r="BD8" s="57" t="s">
        <x:v>37</x:v>
      </x:c>
      <x:c r="BE8" s="55">
        <x:v>175</x:v>
      </x:c>
      <x:c r="BF8" s="35">
        <x:v>100</x:v>
      </x:c>
      <x:c r="BG8" s="35">
        <x:v>250</x:v>
      </x:c>
      <x:c r="BH8" s="35">
        <x:v>400</x:v>
      </x:c>
      <x:c r="BI8" s="56">
        <x:v>1000</x:v>
      </x:c>
      <x:c r="BJ8" s="55">
        <x:v>175</x:v>
      </x:c>
      <x:c r="BK8" s="56">
        <x:v>100</x:v>
      </x:c>
      <x:c r="BL8" s="4"/>
      <x:c r="BM8" s="58" t="s">
        <x:v>77</x:v>
      </x:c>
    </x:row>
    <x:row r="9" spans="1:68" ht="4.5" customHeight="1" x14ac:dyDescent="0.3">
      <x:c r="A9" s="231"/>
      <x:c r="B9" s="145"/>
      <x:c r="C9" s="59"/>
      <x:c r="D9" s="4"/>
      <x:c r="E9" s="4"/>
      <x:c r="F9" s="4"/>
      <x:c r="G9" s="22"/>
      <x:c r="H9" s="186"/>
      <x:c r="I9" s="186"/>
      <x:c r="J9" s="186"/>
      <x:c r="K9" s="61"/>
      <x:c r="L9" s="135"/>
      <x:c r="M9" s="22"/>
      <x:c r="N9" s="144"/>
      <x:c r="O9" s="61"/>
      <x:c r="P9" s="144"/>
      <x:c r="Q9" s="23"/>
      <x:c r="R9" s="24"/>
      <x:c r="S9" s="2"/>
      <x:c r="T9" s="23"/>
      <x:c r="U9" s="24"/>
      <x:c r="V9" s="4"/>
      <x:c r="W9" s="60"/>
      <x:c r="X9" s="222"/>
      <x:c r="Y9" s="61"/>
      <x:c r="Z9" s="22"/>
      <x:c r="AA9" s="165"/>
      <x:c r="AB9" s="165"/>
      <x:c r="AC9" s="165"/>
      <x:c r="AD9" s="165"/>
      <x:c r="AE9" s="61"/>
      <x:c r="AF9" s="22"/>
      <x:c r="AG9" s="165"/>
      <x:c r="AH9" s="165"/>
      <x:c r="AI9" s="165"/>
      <x:c r="AJ9" s="61"/>
      <x:c r="AK9" s="22"/>
      <x:c r="AL9" s="157"/>
      <x:c r="AM9" s="61"/>
      <x:c r="AN9" s="22"/>
      <x:c r="AO9" s="157"/>
      <x:c r="AP9" s="157"/>
      <x:c r="AQ9" s="157"/>
      <x:c r="AR9" s="157"/>
      <x:c r="AS9" s="61"/>
      <x:c r="AT9" s="22"/>
      <x:c r="AU9" s="272"/>
      <x:c r="AV9" s="272"/>
      <x:c r="AW9" s="272"/>
      <x:c r="AX9" s="61"/>
      <x:c r="AY9" s="3"/>
      <x:c r="AZ9" s="22"/>
      <x:c r="BA9" s="157"/>
      <x:c r="BB9" s="157"/>
      <x:c r="BC9" s="61"/>
      <x:c r="BD9" s="49"/>
      <x:c r="BE9" s="23"/>
      <x:c r="BF9" s="2"/>
      <x:c r="BG9" s="2"/>
      <x:c r="BH9" s="2"/>
      <x:c r="BI9" s="24"/>
      <x:c r="BJ9" s="23"/>
      <x:c r="BK9" s="24"/>
      <x:c r="BL9" s="4"/>
      <x:c r="BM9" s="4"/>
    </x:row>
    <x:row r="10" spans="1:68" s="4" customFormat="1" ht="15" customHeight="1" x14ac:dyDescent="0.3">
      <x:c r="A10" s="231">
        <x:v>4</x:v>
      </x:c>
      <x:c r="C10" s="140" t="s">
        <x:v>0</x:v>
      </x:c>
      <x:c r="D10" s="65"/>
      <x:c r="E10" s="31" t="s">
        <x:v>191</x:v>
      </x:c>
      <x:c r="G10" s="188">
        <x:v>67852</x:v>
      </x:c>
      <x:c r="H10" s="189">
        <x:v>2933</x:v>
      </x:c>
      <x:c r="I10" s="189">
        <x:v>18711</x:v>
      </x:c>
      <x:c r="J10" s="189">
        <x:v>9304</x:v>
      </x:c>
      <x:c r="K10" s="190">
        <x:v>3525</x:v>
      </x:c>
      <x:c r="L10" s="191"/>
      <x:c r="M10" s="188">
        <x:v>226</x:v>
      </x:c>
      <x:c r="N10" s="191">
        <x:v>297</x:v>
      </x:c>
      <x:c r="O10" s="190">
        <x:v>584</x:v>
      </x:c>
      <x:c r="P10" s="191"/>
      <x:c r="Q10" s="188">
        <x:v>8922</x:v>
      </x:c>
      <x:c r="R10" s="190">
        <x:v>401</x:v>
      </x:c>
      <x:c r="S10" s="191"/>
      <x:c r="T10" s="188">
        <x:v>4095</x:v>
      </x:c>
      <x:c r="U10" s="190">
        <x:v>2203</x:v>
      </x:c>
      <x:c r="V10" s="192"/>
      <x:c r="W10" s="188">
        <x:v>3763</x:v>
      </x:c>
      <x:c r="X10" s="191">
        <x:v>1049</x:v>
      </x:c>
      <x:c r="Y10" s="190">
        <x:v>0</x:v>
      </x:c>
      <x:c r="Z10" s="188">
        <x:v>124532</x:v>
      </x:c>
      <x:c r="AA10" s="191">
        <x:v>8073</x:v>
      </x:c>
      <x:c r="AB10" s="191">
        <x:v>25945</x:v>
      </x:c>
      <x:c r="AC10" s="191">
        <x:v>28379</x:v>
      </x:c>
      <x:c r="AD10" s="191">
        <x:v>1241</x:v>
      </x:c>
      <x:c r="AE10" s="199">
        <x:v>1</x:v>
      </x:c>
      <x:c r="AF10" s="188">
        <x:v>2689</x:v>
      </x:c>
      <x:c r="AG10" s="191">
        <x:v>177</x:v>
      </x:c>
      <x:c r="AH10" s="191">
        <x:v>943</x:v>
      </x:c>
      <x:c r="AI10" s="191">
        <x:v>480</x:v>
      </x:c>
      <x:c r="AJ10" s="190">
        <x:v>198</x:v>
      </x:c>
      <x:c r="AK10" s="188">
        <x:v>40</x:v>
      </x:c>
      <x:c r="AL10" s="191">
        <x:v>198</x:v>
      </x:c>
      <x:c r="AM10" s="190">
        <x:v>0</x:v>
      </x:c>
      <x:c r="AN10" s="188">
        <x:v>1908</x:v>
      </x:c>
      <x:c r="AO10" s="191">
        <x:v>1441</x:v>
      </x:c>
      <x:c r="AP10" s="191">
        <x:v>4475</x:v>
      </x:c>
      <x:c r="AQ10" s="191">
        <x:v>4242</x:v>
      </x:c>
      <x:c r="AR10" s="191">
        <x:v>246</x:v>
      </x:c>
      <x:c r="AS10" s="190">
        <x:v>0</x:v>
      </x:c>
      <x:c r="AT10" s="188">
        <x:v>0</x:v>
      </x:c>
      <x:c r="AU10" s="191">
        <x:v>7</x:v>
      </x:c>
      <x:c r="AV10" s="191">
        <x:v>0</x:v>
      </x:c>
      <x:c r="AW10" s="191">
        <x:v>87</x:v>
      </x:c>
      <x:c r="AX10" s="190">
        <x:v>8</x:v>
      </x:c>
      <x:c r="AY10" s="191"/>
      <x:c r="AZ10" s="188">
        <x:v>383</x:v>
      </x:c>
      <x:c r="BA10" s="191">
        <x:v>16160</x:v>
      </x:c>
      <x:c r="BB10" s="191">
        <x:v>564</x:v>
      </x:c>
      <x:c r="BC10" s="190">
        <x:v>1194</x:v>
      </x:c>
      <x:c r="BD10" s="194">
        <x:v>20</x:v>
      </x:c>
      <x:c r="BE10" s="188">
        <x:v>276</x:v>
      </x:c>
      <x:c r="BF10" s="191">
        <x:v>2262</x:v>
      </x:c>
      <x:c r="BG10" s="195">
        <x:v>4392</x:v>
      </x:c>
      <x:c r="BH10" s="191">
        <x:v>37</x:v>
      </x:c>
      <x:c r="BI10" s="190">
        <x:v>30</x:v>
      </x:c>
      <x:c r="BJ10" s="188">
        <x:v>277</x:v>
      </x:c>
      <x:c r="BK10" s="190">
        <x:v>9765</x:v>
      </x:c>
      <x:c r="BL10" s="192"/>
      <x:c r="BM10" s="196">
        <x:f>SUM(G10:BK10)</x:f>
        <x:v>364535</x:v>
      </x:c>
      <x:c r="BN10" s="166"/>
      <x:c r="BO10" s="166"/>
      <x:c r="BP10" s="166"/>
    </x:row>
    <x:row r="11" spans="1:68" s="4" customFormat="1" ht="15" customHeight="1" x14ac:dyDescent="0.3">
      <x:c r="A11" s="231">
        <x:f t="shared" si="0"/>
        <x:v>5</x:v>
      </x:c>
      <x:c r="C11" s="140" t="s">
        <x:v>1</x:v>
      </x:c>
      <x:c r="D11" s="65"/>
      <x:c r="E11" s="31" t="s">
        <x:v>29</x:v>
      </x:c>
      <x:c r="G11" s="200">
        <x:f>'[1]Cost by Light Type - IV-J-7|5'!$E$14</x:f>
        <x:v>3800.5807</x:v>
      </x:c>
      <x:c r="H11" s="201">
        <x:f>'[1]Cost by Light Type - IV-J-7|5'!$E$15</x:f>
        <x:v>3845.5288999999998</x:v>
      </x:c>
      <x:c r="I11" s="201">
        <x:f>'[1]Cost by Light Type - IV-J-7|5'!$E$16</x:f>
        <x:v>3973.9617000000003</x:v>
      </x:c>
      <x:c r="J11" s="201">
        <x:f>'[1]Cost by Light Type - IV-J-7|5'!$E$17</x:f>
        <x:v>4154.7961000000005</x:v>
      </x:c>
      <x:c r="K11" s="202">
        <x:f>'[1]Cost by Light Type - IV-J-7|5'!$E$18</x:f>
        <x:v>4359.6882000000005</x:v>
      </x:c>
      <x:c r="L11" s="201"/>
      <x:c r="M11" s="200">
        <x:f>'[1]Cost by Light Type - IV-J-7|5'!$E$49</x:f>
        <x:v>4786.0511999999999</x:v>
      </x:c>
      <x:c r="N11" s="201">
        <x:f>'[1]Cost by Light Type - IV-J-7|5'!$E$50</x:f>
        <x:v>4894.8181999999997</x:v>
      </x:c>
      <x:c r="O11" s="202">
        <x:f>'[1]Cost by Light Type - IV-J-7|5'!$E$51</x:f>
        <x:v>4950.1374999999998</x:v>
      </x:c>
      <x:c r="P11" s="201"/>
      <x:c r="Q11" s="200">
        <x:f>'[1]Cost by Light Type - IV-J-7|5'!$E$60</x:f>
        <x:v>3111.3243000000002</x:v>
      </x:c>
      <x:c r="R11" s="202">
        <x:f>'[1]Cost by Light Type - IV-J-7|5'!$E$61</x:f>
        <x:v>3150.8595</x:v>
      </x:c>
      <x:c r="S11" s="201"/>
      <x:c r="T11" s="200">
        <x:f>'[1]Cost by Light Type - IV-J-7|5'!$E$68</x:f>
        <x:v>3720.2069000000001</x:v>
      </x:c>
      <x:c r="U11" s="202">
        <x:f>'[1]Cost by Light Type - IV-J-7|5'!$E$69</x:f>
        <x:v>4867.5002000000004</x:v>
      </x:c>
      <x:c r="V11" s="31"/>
      <x:c r="W11" s="200">
        <x:f>G11</x:f>
        <x:v>3800.5807</x:v>
      </x:c>
      <x:c r="X11" s="201">
        <x:f>I11</x:f>
        <x:v>3973.9617000000003</x:v>
      </x:c>
      <x:c r="Y11" s="202">
        <x:f>K11</x:f>
        <x:v>4359.6882000000005</x:v>
      </x:c>
      <x:c r="Z11" s="200">
        <x:f>G11</x:f>
        <x:v>3800.5807</x:v>
      </x:c>
      <x:c r="AA11" s="201">
        <x:f>H11</x:f>
        <x:v>3845.5288999999998</x:v>
      </x:c>
      <x:c r="AB11" s="201">
        <x:f>I11</x:f>
        <x:v>3973.9617000000003</x:v>
      </x:c>
      <x:c r="AC11" s="201">
        <x:f>J11</x:f>
        <x:v>4154.7961000000005</x:v>
      </x:c>
      <x:c r="AD11" s="201">
        <x:f>K11</x:f>
        <x:v>4359.6882000000005</x:v>
      </x:c>
      <x:c r="AE11" s="202">
        <x:f>K11</x:f>
        <x:v>4359.6882000000005</x:v>
      </x:c>
      <x:c r="AF11" s="200">
        <x:f>H11</x:f>
        <x:v>3845.5288999999998</x:v>
      </x:c>
      <x:c r="AG11" s="201">
        <x:f>H11</x:f>
        <x:v>3845.5288999999998</x:v>
      </x:c>
      <x:c r="AH11" s="201">
        <x:f>J11</x:f>
        <x:v>4154.7961000000005</x:v>
      </x:c>
      <x:c r="AI11" s="201">
        <x:f>K11</x:f>
        <x:v>4359.6882000000005</x:v>
      </x:c>
      <x:c r="AJ11" s="202">
        <x:f>K11</x:f>
        <x:v>4359.6882000000005</x:v>
      </x:c>
      <x:c r="AK11" s="200">
        <x:f>AN11</x:f>
        <x:v>5375.0124000000005</x:v>
      </x:c>
      <x:c r="AL11" s="201">
        <x:f>AP11</x:f>
        <x:v>5548.3934000000008</x:v>
      </x:c>
      <x:c r="AM11" s="202">
        <x:f>AR11</x:f>
        <x:v>5934.1198999999997</x:v>
      </x:c>
      <x:c r="AN11" s="200">
        <x:f>'[1]Cost by Light Type - IV-J-7|5'!$E$85</x:f>
        <x:v>5375.0124000000005</x:v>
      </x:c>
      <x:c r="AO11" s="201">
        <x:f>'[1]Cost by Light Type - IV-J-7|5'!$E$86</x:f>
        <x:v>5419.9606000000003</x:v>
      </x:c>
      <x:c r="AP11" s="201">
        <x:f>'[1]Cost by Light Type - IV-J-7|5'!$E$87</x:f>
        <x:v>5548.3934000000008</x:v>
      </x:c>
      <x:c r="AQ11" s="201">
        <x:f>'[1]Cost by Light Type - IV-J-7|5'!$E$88</x:f>
        <x:v>5729.2278000000006</x:v>
      </x:c>
      <x:c r="AR11" s="201">
        <x:f>'[1]Cost by Light Type - IV-J-7|5'!$E$89</x:f>
        <x:v>5934.1198999999997</x:v>
      </x:c>
      <x:c r="AS11" s="202">
        <x:f>'[1]Cost by Light Type - IV-J-7|5'!$E$90</x:f>
        <x:v>5934.1198999999997</x:v>
      </x:c>
      <x:c r="AT11" s="200">
        <x:f>AO11</x:f>
        <x:v>5419.9606000000003</x:v>
      </x:c>
      <x:c r="AU11" s="201">
        <x:f>AO11</x:f>
        <x:v>5419.9606000000003</x:v>
      </x:c>
      <x:c r="AV11" s="201">
        <x:f>AQ11</x:f>
        <x:v>5729.2278000000006</x:v>
      </x:c>
      <x:c r="AW11" s="201">
        <x:f>AR11</x:f>
        <x:v>5934.1198999999997</x:v>
      </x:c>
      <x:c r="AX11" s="202">
        <x:f>AS11</x:f>
        <x:v>5934.1198999999997</x:v>
      </x:c>
      <x:c r="AY11" s="201"/>
      <x:c r="AZ11" s="203">
        <x:f>T11</x:f>
        <x:v>3720.2069000000001</x:v>
      </x:c>
      <x:c r="BA11" s="204">
        <x:f>T11</x:f>
        <x:v>3720.2069000000001</x:v>
      </x:c>
      <x:c r="BB11" s="204">
        <x:f>U11</x:f>
        <x:v>4867.5002000000004</x:v>
      </x:c>
      <x:c r="BC11" s="205">
        <x:f>U11</x:f>
        <x:v>4867.5002000000004</x:v>
      </x:c>
      <x:c r="BD11" s="206">
        <x:f>G11</x:f>
        <x:v>3800.5807</x:v>
      </x:c>
      <x:c r="BE11" s="200">
        <x:f>M11</x:f>
        <x:v>4786.0511999999999</x:v>
      </x:c>
      <x:c r="BF11" s="201">
        <x:f>M11</x:f>
        <x:v>4786.0511999999999</x:v>
      </x:c>
      <x:c r="BG11" s="201">
        <x:f>O11</x:f>
        <x:v>4950.1374999999998</x:v>
      </x:c>
      <x:c r="BH11" s="201">
        <x:f>O11</x:f>
        <x:v>4950.1374999999998</x:v>
      </x:c>
      <x:c r="BI11" s="202">
        <x:f>O11</x:f>
        <x:v>4950.1374999999998</x:v>
      </x:c>
      <x:c r="BJ11" s="200">
        <x:f>Q11</x:f>
        <x:v>3111.3243000000002</x:v>
      </x:c>
      <x:c r="BK11" s="202">
        <x:f>BJ11</x:f>
        <x:v>3111.3243000000002</x:v>
      </x:c>
      <x:c r="BL11" s="31"/>
      <x:c r="BM11" s="207">
        <x:v>346234</x:v>
      </x:c>
      <x:c r="BN11" s="166"/>
    </x:row>
    <x:row r="12" spans="1:68" s="4" customFormat="1" ht="15" customHeight="1" x14ac:dyDescent="0.3">
      <x:c r="A12" s="231">
        <x:f t="shared" si="0"/>
        <x:v>6</x:v>
      </x:c>
      <x:c r="C12" s="140" t="s">
        <x:v>2</x:v>
      </x:c>
      <x:c r="D12" s="65"/>
      <x:c r="E12" s="31" t="s">
        <x:v>30</x:v>
      </x:c>
      <x:c r="G12" s="167">
        <x:v>15</x:v>
      </x:c>
      <x:c r="H12" s="168">
        <x:v>30</x:v>
      </x:c>
      <x:c r="I12" s="168">
        <x:v>45</x:v>
      </x:c>
      <x:c r="J12" s="168">
        <x:v>55</x:v>
      </x:c>
      <x:c r="K12" s="169">
        <x:v>80</x:v>
      </x:c>
      <x:c r="L12" s="168"/>
      <x:c r="M12" s="167">
        <x:v>15</x:v>
      </x:c>
      <x:c r="N12" s="168">
        <x:v>30</x:v>
      </x:c>
      <x:c r="O12" s="169">
        <x:v>45</x:v>
      </x:c>
      <x:c r="P12" s="168"/>
      <x:c r="Q12" s="167">
        <x:v>15</x:v>
      </x:c>
      <x:c r="R12" s="169">
        <x:v>30</x:v>
      </x:c>
      <x:c r="S12" s="168"/>
      <x:c r="T12" s="167">
        <x:v>15</x:v>
      </x:c>
      <x:c r="U12" s="169">
        <x:v>30</x:v>
      </x:c>
      <x:c r="V12" s="31"/>
      <x:c r="W12" s="167">
        <x:v>70</x:v>
      </x:c>
      <x:c r="X12" s="168">
        <x:v>150</x:v>
      </x:c>
      <x:c r="Y12" s="169">
        <x:v>370</x:v>
      </x:c>
      <x:c r="Z12" s="167">
        <x:v>40</x:v>
      </x:c>
      <x:c r="AA12" s="168">
        <x:v>70</x:v>
      </x:c>
      <x:c r="AB12" s="168">
        <x:v>80</x:v>
      </x:c>
      <x:c r="AC12" s="168">
        <x:v>100</x:v>
      </x:c>
      <x:c r="AD12" s="168">
        <x:v>160</x:v>
      </x:c>
      <x:c r="AE12" s="169">
        <x:v>375</x:v>
      </x:c>
      <x:c r="AF12" s="167">
        <x:v>65</x:v>
      </x:c>
      <x:c r="AG12" s="168">
        <x:v>65</x:v>
      </x:c>
      <x:c r="AH12" s="168">
        <x:v>100</x:v>
      </x:c>
      <x:c r="AI12" s="168">
        <x:v>160</x:v>
      </x:c>
      <x:c r="AJ12" s="169">
        <x:v>370</x:v>
      </x:c>
      <x:c r="AK12" s="167">
        <x:v>70</x:v>
      </x:c>
      <x:c r="AL12" s="168">
        <x:v>150</x:v>
      </x:c>
      <x:c r="AM12" s="169">
        <x:v>370</x:v>
      </x:c>
      <x:c r="AN12" s="167">
        <x:v>40</x:v>
      </x:c>
      <x:c r="AO12" s="168">
        <x:v>70</x:v>
      </x:c>
      <x:c r="AP12" s="168">
        <x:v>80</x:v>
      </x:c>
      <x:c r="AQ12" s="168">
        <x:v>100</x:v>
      </x:c>
      <x:c r="AR12" s="168">
        <x:v>160</x:v>
      </x:c>
      <x:c r="AS12" s="169">
        <x:v>375</x:v>
      </x:c>
      <x:c r="AT12" s="167">
        <x:v>65</x:v>
      </x:c>
      <x:c r="AU12" s="168">
        <x:v>65</x:v>
      </x:c>
      <x:c r="AV12" s="168">
        <x:v>100</x:v>
      </x:c>
      <x:c r="AW12" s="168">
        <x:v>160</x:v>
      </x:c>
      <x:c r="AX12" s="169">
        <x:v>370</x:v>
      </x:c>
      <x:c r="AY12" s="168"/>
      <x:c r="AZ12" s="167">
        <x:f>+W12</x:f>
        <x:v>70</x:v>
      </x:c>
      <x:c r="BA12" s="168">
        <x:f>+Z12</x:f>
        <x:v>40</x:v>
      </x:c>
      <x:c r="BB12" s="168">
        <x:f>+AA12</x:f>
        <x:v>70</x:v>
      </x:c>
      <x:c r="BC12" s="169">
        <x:f>+AG12</x:f>
        <x:v>65</x:v>
      </x:c>
      <x:c r="BD12" s="170">
        <x:f>+BA12</x:f>
        <x:v>40</x:v>
      </x:c>
      <x:c r="BE12" s="167">
        <x:f>+AZ12</x:f>
        <x:v>70</x:v>
      </x:c>
      <x:c r="BF12" s="168">
        <x:f>+BA12</x:f>
        <x:v>40</x:v>
      </x:c>
      <x:c r="BG12" s="168">
        <x:f>+AC12</x:f>
        <x:v>100</x:v>
      </x:c>
      <x:c r="BH12" s="168">
        <x:f>+AI12</x:f>
        <x:v>160</x:v>
      </x:c>
      <x:c r="BI12" s="169">
        <x:f>+AJ12</x:f>
        <x:v>370</x:v>
      </x:c>
      <x:c r="BJ12" s="167">
        <x:f>+BE12</x:f>
        <x:v>70</x:v>
      </x:c>
      <x:c r="BK12" s="169">
        <x:f>+BF12</x:f>
        <x:v>40</x:v>
      </x:c>
      <x:c r="BL12" s="31"/>
      <x:c r="BM12" s="171"/>
      <x:c r="BP12" s="166"/>
    </x:row>
    <x:row r="13" spans="1:68" s="4" customFormat="1" ht="9" customHeight="1" x14ac:dyDescent="0.3">
      <x:c r="A13" s="231"/>
      <x:c r="C13" s="16"/>
      <x:c r="D13" s="16"/>
      <x:c r="G13" s="23"/>
      <x:c r="H13" s="2"/>
      <x:c r="I13" s="2"/>
      <x:c r="J13" s="2"/>
      <x:c r="K13" s="24"/>
      <x:c r="L13" s="2"/>
      <x:c r="M13" s="23"/>
      <x:c r="N13" s="2"/>
      <x:c r="O13" s="24"/>
      <x:c r="P13" s="2"/>
      <x:c r="Q13" s="23"/>
      <x:c r="R13" s="24"/>
      <x:c r="S13" s="2"/>
      <x:c r="T13" s="23"/>
      <x:c r="U13" s="24"/>
      <x:c r="W13" s="18"/>
      <x:c r="X13" s="9"/>
      <x:c r="Y13" s="19"/>
      <x:c r="Z13" s="18"/>
      <x:c r="AA13" s="9"/>
      <x:c r="AB13" s="9"/>
      <x:c r="AC13" s="9"/>
      <x:c r="AD13" s="9"/>
      <x:c r="AE13" s="19"/>
      <x:c r="AF13" s="18"/>
      <x:c r="AG13" s="9"/>
      <x:c r="AH13" s="9"/>
      <x:c r="AI13" s="9"/>
      <x:c r="AJ13" s="19"/>
      <x:c r="AK13" s="23"/>
      <x:c r="AL13" s="2"/>
      <x:c r="AM13" s="24"/>
      <x:c r="AN13" s="23"/>
      <x:c r="AO13" s="2"/>
      <x:c r="AP13" s="2"/>
      <x:c r="AQ13" s="2"/>
      <x:c r="AR13" s="2"/>
      <x:c r="AS13" s="24"/>
      <x:c r="AT13" s="23"/>
      <x:c r="AU13" s="2"/>
      <x:c r="AV13" s="2"/>
      <x:c r="AW13" s="2"/>
      <x:c r="AX13" s="24"/>
      <x:c r="AY13" s="2"/>
      <x:c r="AZ13" s="23"/>
      <x:c r="BA13" s="2"/>
      <x:c r="BB13" s="2"/>
      <x:c r="BC13" s="24"/>
      <x:c r="BD13" s="49"/>
      <x:c r="BE13" s="23"/>
      <x:c r="BF13" s="2"/>
      <x:c r="BG13" s="2"/>
      <x:c r="BH13" s="2"/>
      <x:c r="BI13" s="24"/>
      <x:c r="BJ13" s="23"/>
      <x:c r="BK13" s="24"/>
    </x:row>
    <x:row r="14" spans="1:68" s="4" customFormat="1" ht="24" customHeight="1" x14ac:dyDescent="0.3">
      <x:c r="A14" s="231">
        <x:v>7</x:v>
      </x:c>
      <x:c r="B14" s="285" t="s">
        <x:v>186</x:v>
      </x:c>
      <x:c r="C14" s="286"/>
      <x:c r="D14" s="286"/>
      <x:c r="E14" s="286"/>
      <x:c r="F14" s="286"/>
      <x:c r="G14" s="23"/>
      <x:c r="H14" s="2"/>
      <x:c r="I14" s="2"/>
      <x:c r="J14" s="2"/>
      <x:c r="K14" s="24"/>
      <x:c r="L14" s="2"/>
      <x:c r="M14" s="23"/>
      <x:c r="N14" s="2"/>
      <x:c r="O14" s="24"/>
      <x:c r="P14" s="2"/>
      <x:c r="Q14" s="23"/>
      <x:c r="R14" s="24"/>
      <x:c r="S14" s="2"/>
      <x:c r="T14" s="23"/>
      <x:c r="U14" s="24"/>
      <x:c r="V14" s="159"/>
      <x:c r="W14" s="63"/>
      <x:c r="X14" s="9"/>
      <x:c r="Y14" s="19"/>
      <x:c r="Z14" s="185"/>
      <x:c r="AA14" s="9"/>
      <x:c r="AB14" s="9"/>
      <x:c r="AC14" s="9"/>
      <x:c r="AD14" s="9"/>
      <x:c r="AE14" s="19"/>
      <x:c r="AF14" s="18"/>
      <x:c r="AG14" s="9"/>
      <x:c r="AH14" s="9"/>
      <x:c r="AI14" s="9"/>
      <x:c r="AJ14" s="19"/>
      <x:c r="AK14" s="23"/>
      <x:c r="AL14" s="2"/>
      <x:c r="AM14" s="24"/>
      <x:c r="AN14" s="23"/>
      <x:c r="AO14" s="2"/>
      <x:c r="AP14" s="2"/>
      <x:c r="AQ14" s="2"/>
      <x:c r="AR14" s="2"/>
      <x:c r="AS14" s="24"/>
      <x:c r="AT14" s="23"/>
      <x:c r="AU14" s="2"/>
      <x:c r="AV14" s="2"/>
      <x:c r="AW14" s="2"/>
      <x:c r="AX14" s="24"/>
      <x:c r="AY14" s="2"/>
      <x:c r="AZ14" s="23"/>
      <x:c r="BA14" s="2"/>
      <x:c r="BB14" s="64"/>
      <x:c r="BC14" s="24"/>
      <x:c r="BD14" s="49"/>
      <x:c r="BE14" s="23"/>
      <x:c r="BF14" s="2"/>
      <x:c r="BG14" s="2"/>
      <x:c r="BH14" s="2"/>
      <x:c r="BI14" s="24"/>
      <x:c r="BJ14" s="23"/>
      <x:c r="BK14" s="24"/>
    </x:row>
    <x:row r="15" spans="1:68" s="4" customFormat="1" ht="9" customHeight="1" x14ac:dyDescent="0.3">
      <x:c r="A15" s="231"/>
      <x:c r="C15" s="16"/>
      <x:c r="D15" s="16"/>
      <x:c r="G15" s="23"/>
      <x:c r="H15" s="2"/>
      <x:c r="I15" s="2"/>
      <x:c r="J15" s="2"/>
      <x:c r="K15" s="24"/>
      <x:c r="L15" s="2"/>
      <x:c r="M15" s="23"/>
      <x:c r="N15" s="2"/>
      <x:c r="O15" s="24"/>
      <x:c r="P15" s="2"/>
      <x:c r="Q15" s="23"/>
      <x:c r="R15" s="24"/>
      <x:c r="S15" s="2"/>
      <x:c r="T15" s="23"/>
      <x:c r="U15" s="24"/>
      <x:c r="W15" s="18"/>
      <x:c r="X15" s="9"/>
      <x:c r="Y15" s="19"/>
      <x:c r="Z15" s="18"/>
      <x:c r="AA15" s="9"/>
      <x:c r="AB15" s="9"/>
      <x:c r="AC15" s="9"/>
      <x:c r="AD15" s="9"/>
      <x:c r="AE15" s="19"/>
      <x:c r="AF15" s="18"/>
      <x:c r="AG15" s="9"/>
      <x:c r="AH15" s="9"/>
      <x:c r="AI15" s="9"/>
      <x:c r="AJ15" s="19"/>
      <x:c r="AK15" s="23"/>
      <x:c r="AL15" s="2"/>
      <x:c r="AM15" s="24"/>
      <x:c r="AN15" s="23"/>
      <x:c r="AO15" s="2"/>
      <x:c r="AP15" s="2"/>
      <x:c r="AQ15" s="2"/>
      <x:c r="AR15" s="2"/>
      <x:c r="AS15" s="24"/>
      <x:c r="AT15" s="23"/>
      <x:c r="AU15" s="2"/>
      <x:c r="AV15" s="2"/>
      <x:c r="AW15" s="2"/>
      <x:c r="AX15" s="24"/>
      <x:c r="AY15" s="2"/>
      <x:c r="AZ15" s="23"/>
      <x:c r="BA15" s="2"/>
      <x:c r="BB15" s="2"/>
      <x:c r="BC15" s="24"/>
      <x:c r="BD15" s="49"/>
      <x:c r="BE15" s="23"/>
      <x:c r="BF15" s="2"/>
      <x:c r="BG15" s="2"/>
      <x:c r="BH15" s="2"/>
      <x:c r="BI15" s="24"/>
      <x:c r="BJ15" s="23"/>
      <x:c r="BK15" s="24"/>
    </x:row>
    <x:row r="16" spans="1:68" s="4" customFormat="1" ht="15" customHeight="1" x14ac:dyDescent="0.3">
      <x:c r="A16" s="231">
        <x:v>8</x:v>
      </x:c>
      <x:c r="B16" s="65" t="s">
        <x:v>47</x:v>
      </x:c>
      <x:c r="D16" s="16"/>
      <x:c r="G16" s="23"/>
      <x:c r="H16" s="2"/>
      <x:c r="I16" s="2"/>
      <x:c r="J16" s="2"/>
      <x:c r="K16" s="24"/>
      <x:c r="L16" s="2"/>
      <x:c r="M16" s="23"/>
      <x:c r="N16" s="2"/>
      <x:c r="O16" s="24"/>
      <x:c r="P16" s="2"/>
      <x:c r="Q16" s="23"/>
      <x:c r="R16" s="24"/>
      <x:c r="S16" s="2"/>
      <x:c r="T16" s="23"/>
      <x:c r="U16" s="24"/>
      <x:c r="W16" s="18"/>
      <x:c r="X16" s="9"/>
      <x:c r="Y16" s="19"/>
      <x:c r="Z16" s="18"/>
      <x:c r="AA16" s="9"/>
      <x:c r="AB16" s="9"/>
      <x:c r="AC16" s="9"/>
      <x:c r="AD16" s="9"/>
      <x:c r="AE16" s="19"/>
      <x:c r="AF16" s="18"/>
      <x:c r="AG16" s="9"/>
      <x:c r="AH16" s="9"/>
      <x:c r="AI16" s="9"/>
      <x:c r="AJ16" s="19"/>
      <x:c r="AK16" s="23"/>
      <x:c r="AL16" s="2"/>
      <x:c r="AM16" s="24"/>
      <x:c r="AN16" s="23"/>
      <x:c r="AO16" s="2"/>
      <x:c r="AP16" s="2"/>
      <x:c r="AQ16" s="2"/>
      <x:c r="AR16" s="2"/>
      <x:c r="AS16" s="24"/>
      <x:c r="AT16" s="23"/>
      <x:c r="AU16" s="2"/>
      <x:c r="AV16" s="2"/>
      <x:c r="AW16" s="2"/>
      <x:c r="AX16" s="24"/>
      <x:c r="AY16" s="2"/>
      <x:c r="AZ16" s="23"/>
      <x:c r="BA16" s="2"/>
      <x:c r="BB16" s="2"/>
      <x:c r="BC16" s="24"/>
      <x:c r="BD16" s="49"/>
      <x:c r="BE16" s="23"/>
      <x:c r="BF16" s="2"/>
      <x:c r="BG16" s="2"/>
      <x:c r="BH16" s="2"/>
      <x:c r="BI16" s="24"/>
      <x:c r="BJ16" s="23"/>
      <x:c r="BK16" s="24"/>
    </x:row>
    <x:row r="17" spans="1:66" s="4" customFormat="1" ht="3" customHeight="1" x14ac:dyDescent="0.3">
      <x:c r="A17" s="231"/>
      <x:c r="C17" s="16"/>
      <x:c r="D17" s="16"/>
      <x:c r="G17" s="23"/>
      <x:c r="H17" s="2"/>
      <x:c r="I17" s="2"/>
      <x:c r="J17" s="2"/>
      <x:c r="K17" s="24"/>
      <x:c r="L17" s="2"/>
      <x:c r="M17" s="23"/>
      <x:c r="N17" s="2"/>
      <x:c r="O17" s="24"/>
      <x:c r="P17" s="2"/>
      <x:c r="Q17" s="23"/>
      <x:c r="R17" s="24"/>
      <x:c r="S17" s="2"/>
      <x:c r="T17" s="23"/>
      <x:c r="U17" s="24"/>
      <x:c r="W17" s="18"/>
      <x:c r="X17" s="9"/>
      <x:c r="Y17" s="19"/>
      <x:c r="Z17" s="18"/>
      <x:c r="AA17" s="9"/>
      <x:c r="AB17" s="9"/>
      <x:c r="AC17" s="9"/>
      <x:c r="AD17" s="9"/>
      <x:c r="AE17" s="19"/>
      <x:c r="AF17" s="18"/>
      <x:c r="AG17" s="9"/>
      <x:c r="AH17" s="9"/>
      <x:c r="AI17" s="9"/>
      <x:c r="AJ17" s="19"/>
      <x:c r="AK17" s="23"/>
      <x:c r="AL17" s="2"/>
      <x:c r="AM17" s="24"/>
      <x:c r="AN17" s="23"/>
      <x:c r="AO17" s="2"/>
      <x:c r="AP17" s="2"/>
      <x:c r="AQ17" s="2"/>
      <x:c r="AR17" s="2"/>
      <x:c r="AS17" s="24"/>
      <x:c r="AT17" s="23"/>
      <x:c r="AU17" s="2"/>
      <x:c r="AV17" s="2"/>
      <x:c r="AW17" s="2"/>
      <x:c r="AX17" s="24"/>
      <x:c r="AY17" s="2"/>
      <x:c r="AZ17" s="23"/>
      <x:c r="BA17" s="2"/>
      <x:c r="BB17" s="2"/>
      <x:c r="BC17" s="24"/>
      <x:c r="BD17" s="49"/>
      <x:c r="BE17" s="23"/>
      <x:c r="BF17" s="2"/>
      <x:c r="BG17" s="2"/>
      <x:c r="BH17" s="2"/>
      <x:c r="BI17" s="24"/>
      <x:c r="BJ17" s="23"/>
      <x:c r="BK17" s="24"/>
    </x:row>
    <x:row r="18" spans="1:66" s="66" customFormat="1" ht="28" customHeight="1" x14ac:dyDescent="0.3">
      <x:c r="A18" s="231">
        <x:v>9</x:v>
      </x:c>
      <x:c r="C18" s="143" t="s">
        <x:v>169</x:v>
      </x:c>
      <x:c r="D18" s="143"/>
      <x:c r="E18" s="257" t="s">
        <x:v>172</x:v>
      </x:c>
      <x:c r="G18" s="172">
        <x:v>1</x:v>
      </x:c>
      <x:c r="H18" s="36">
        <x:f>ROUND(H11/$G$11,6)</x:f>
        <x:v>1.011827</x:v>
      </x:c>
      <x:c r="I18" s="36">
        <x:f t="shared" ref="I18:J18" si="1">ROUND(I11/$G$11,6)</x:f>
        <x:v>1.04562</x:v>
      </x:c>
      <x:c r="J18" s="36">
        <x:f t="shared" si="1"/>
        <x:v>1.0931999999999999</x:v>
      </x:c>
      <x:c r="K18" s="173">
        <x:f>ROUND(K11/$G$11,6)</x:f>
        <x:v>1.147111</x:v>
      </x:c>
      <x:c r="L18" s="36"/>
      <x:c r="M18" s="172">
        <x:f>ROUND(M11/$G$11,6)</x:f>
        <x:v>1.2592950000000001</x:v>
      </x:c>
      <x:c r="N18" s="36">
        <x:f t="shared" ref="N18:O18" si="2">ROUND(N11/$G$11,6)</x:f>
        <x:v>1.2879130000000001</x:v>
      </x:c>
      <x:c r="O18" s="173">
        <x:f t="shared" si="2"/>
        <x:v>1.3024690000000001</x:v>
      </x:c>
      <x:c r="P18" s="36"/>
      <x:c r="Q18" s="172">
        <x:f>ROUND(Q11/$G$11,6)</x:f>
        <x:v>0.81864400000000004</x:v>
      </x:c>
      <x:c r="R18" s="173">
        <x:f t="shared" ref="R18" si="3">ROUND(R11/$G$11,6)</x:f>
        <x:v>0.82904699999999998</x:v>
      </x:c>
      <x:c r="S18" s="36"/>
      <x:c r="T18" s="172">
        <x:f>ROUND(T11/$G$11,6)</x:f>
        <x:v>0.97885200000000006</x:v>
      </x:c>
      <x:c r="U18" s="173">
        <x:f t="shared" ref="U18:BK18" si="4">ROUND(U11/$G$11,6)</x:f>
        <x:v>1.2807249999999999</x:v>
      </x:c>
      <x:c r="W18" s="172">
        <x:f t="shared" si="4"/>
        <x:v>1</x:v>
      </x:c>
      <x:c r="X18" s="36">
        <x:f t="shared" si="4"/>
        <x:v>1.04562</x:v>
      </x:c>
      <x:c r="Y18" s="173">
        <x:f t="shared" si="4"/>
        <x:v>1.147111</x:v>
      </x:c>
      <x:c r="Z18" s="172">
        <x:f t="shared" si="4"/>
        <x:v>1</x:v>
      </x:c>
      <x:c r="AA18" s="36">
        <x:f t="shared" si="4"/>
        <x:v>1.011827</x:v>
      </x:c>
      <x:c r="AB18" s="36">
        <x:f t="shared" si="4"/>
        <x:v>1.04562</x:v>
      </x:c>
      <x:c r="AC18" s="36">
        <x:f t="shared" si="4"/>
        <x:v>1.0931999999999999</x:v>
      </x:c>
      <x:c r="AD18" s="36">
        <x:f t="shared" si="4"/>
        <x:v>1.147111</x:v>
      </x:c>
      <x:c r="AE18" s="173">
        <x:f t="shared" si="4"/>
        <x:v>1.147111</x:v>
      </x:c>
      <x:c r="AF18" s="172">
        <x:f t="shared" si="4"/>
        <x:v>1.011827</x:v>
      </x:c>
      <x:c r="AG18" s="36">
        <x:f t="shared" si="4"/>
        <x:v>1.011827</x:v>
      </x:c>
      <x:c r="AH18" s="36">
        <x:f t="shared" si="4"/>
        <x:v>1.0931999999999999</x:v>
      </x:c>
      <x:c r="AI18" s="36">
        <x:f t="shared" si="4"/>
        <x:v>1.147111</x:v>
      </x:c>
      <x:c r="AJ18" s="173">
        <x:f t="shared" si="4"/>
        <x:v>1.147111</x:v>
      </x:c>
      <x:c r="AK18" s="172">
        <x:f t="shared" si="4"/>
        <x:v>1.414261</x:v>
      </x:c>
      <x:c r="AL18" s="36">
        <x:f t="shared" si="4"/>
        <x:v>1.4598800000000001</x:v>
      </x:c>
      <x:c r="AM18" s="173">
        <x:f t="shared" si="4"/>
        <x:v>1.561372</x:v>
      </x:c>
      <x:c r="AN18" s="172">
        <x:f t="shared" si="4"/>
        <x:v>1.414261</x:v>
      </x:c>
      <x:c r="AO18" s="36">
        <x:f t="shared" si="4"/>
        <x:v>1.4260870000000001</x:v>
      </x:c>
      <x:c r="AP18" s="36">
        <x:f t="shared" si="4"/>
        <x:v>1.4598800000000001</x:v>
      </x:c>
      <x:c r="AQ18" s="36">
        <x:f t="shared" si="4"/>
        <x:v>1.5074609999999999</x:v>
      </x:c>
      <x:c r="AR18" s="36">
        <x:f t="shared" si="4"/>
        <x:v>1.561372</x:v>
      </x:c>
      <x:c r="AS18" s="173">
        <x:f t="shared" si="4"/>
        <x:v>1.561372</x:v>
      </x:c>
      <x:c r="AT18" s="172">
        <x:f t="shared" si="4"/>
        <x:v>1.4260870000000001</x:v>
      </x:c>
      <x:c r="AU18" s="36">
        <x:f t="shared" si="4"/>
        <x:v>1.4260870000000001</x:v>
      </x:c>
      <x:c r="AV18" s="36">
        <x:f t="shared" si="4"/>
        <x:v>1.5074609999999999</x:v>
      </x:c>
      <x:c r="AW18" s="36">
        <x:f t="shared" si="4"/>
        <x:v>1.561372</x:v>
      </x:c>
      <x:c r="AX18" s="173">
        <x:f t="shared" si="4"/>
        <x:v>1.561372</x:v>
      </x:c>
      <x:c r="AY18" s="36"/>
      <x:c r="AZ18" s="172">
        <x:f t="shared" si="4"/>
        <x:v>0.97885200000000006</x:v>
      </x:c>
      <x:c r="BA18" s="36">
        <x:f t="shared" si="4"/>
        <x:v>0.97885200000000006</x:v>
      </x:c>
      <x:c r="BB18" s="36">
        <x:f t="shared" si="4"/>
        <x:v>1.2807249999999999</x:v>
      </x:c>
      <x:c r="BC18" s="173">
        <x:f t="shared" si="4"/>
        <x:v>1.2807249999999999</x:v>
      </x:c>
      <x:c r="BD18" s="174">
        <x:f t="shared" si="4"/>
        <x:v>1</x:v>
      </x:c>
      <x:c r="BE18" s="172">
        <x:f t="shared" si="4"/>
        <x:v>1.2592950000000001</x:v>
      </x:c>
      <x:c r="BF18" s="36">
        <x:f t="shared" si="4"/>
        <x:v>1.2592950000000001</x:v>
      </x:c>
      <x:c r="BG18" s="36">
        <x:f t="shared" si="4"/>
        <x:v>1.3024690000000001</x:v>
      </x:c>
      <x:c r="BH18" s="36">
        <x:f t="shared" si="4"/>
        <x:v>1.3024690000000001</x:v>
      </x:c>
      <x:c r="BI18" s="173">
        <x:f t="shared" si="4"/>
        <x:v>1.3024690000000001</x:v>
      </x:c>
      <x:c r="BJ18" s="172">
        <x:f t="shared" si="4"/>
        <x:v>0.81864400000000004</x:v>
      </x:c>
      <x:c r="BK18" s="173">
        <x:f t="shared" si="4"/>
        <x:v>0.81864400000000004</x:v>
      </x:c>
      <x:c r="BL18" s="68"/>
      <x:c r="BM18" s="68"/>
    </x:row>
    <x:row r="19" spans="1:66" s="31" customFormat="1" ht="15" customHeight="1" x14ac:dyDescent="0.25">
      <x:c r="A19" s="255">
        <x:f t="shared" si="0"/>
        <x:v>10</x:v>
      </x:c>
      <x:c r="C19" s="140" t="s">
        <x:v>170</x:v>
      </x:c>
      <x:c r="D19" s="140"/>
      <x:c r="E19" s="258" t="s">
        <x:v>41</x:v>
      </x:c>
      <x:c r="G19" s="259">
        <x:f t="shared" ref="G19:K19" si="5">ROUND(G10*G18,4)</x:f>
        <x:v>67852</x:v>
      </x:c>
      <x:c r="H19" s="260">
        <x:f t="shared" si="5"/>
        <x:v>2967.6886</x:v>
      </x:c>
      <x:c r="I19" s="260">
        <x:f t="shared" si="5"/>
        <x:v>19564.595799999999</x:v>
      </x:c>
      <x:c r="J19" s="260">
        <x:f t="shared" si="5"/>
        <x:v>10171.132799999999</x:v>
      </x:c>
      <x:c r="K19" s="261">
        <x:f t="shared" si="5"/>
        <x:v>4043.5663</x:v>
      </x:c>
      <x:c r="L19" s="260"/>
      <x:c r="M19" s="259">
        <x:f t="shared" ref="M19:R19" si="6">ROUND(M10*M18,4)</x:f>
        <x:v>284.60070000000002</x:v>
      </x:c>
      <x:c r="N19" s="260">
        <x:f t="shared" si="6"/>
        <x:v>382.5102</x:v>
      </x:c>
      <x:c r="O19" s="261">
        <x:f t="shared" si="6"/>
        <x:v>760.64189999999996</x:v>
      </x:c>
      <x:c r="P19" s="260"/>
      <x:c r="Q19" s="259">
        <x:f t="shared" si="6"/>
        <x:v>7303.9417999999996</x:v>
      </x:c>
      <x:c r="R19" s="261">
        <x:f t="shared" si="6"/>
        <x:v>332.44779999999997</x:v>
      </x:c>
      <x:c r="S19" s="260"/>
      <x:c r="T19" s="259">
        <x:f t="shared" ref="T19:U19" si="7">ROUND(T10*T18,4)</x:f>
        <x:v>4008.3989000000001</x:v>
      </x:c>
      <x:c r="U19" s="261">
        <x:f t="shared" si="7"/>
        <x:v>2821.4371999999998</x:v>
      </x:c>
      <x:c r="V19" s="262"/>
      <x:c r="W19" s="259">
        <x:f t="shared" ref="W19:AX19" si="8">ROUND(W10*W18,4)</x:f>
        <x:v>3763</x:v>
      </x:c>
      <x:c r="X19" s="260">
        <x:f t="shared" si="8"/>
        <x:v>1096.8553999999999</x:v>
      </x:c>
      <x:c r="Y19" s="261">
        <x:f t="shared" si="8"/>
        <x:v>0</x:v>
      </x:c>
      <x:c r="Z19" s="259">
        <x:f t="shared" si="8"/>
        <x:v>124532</x:v>
      </x:c>
      <x:c r="AA19" s="260">
        <x:f t="shared" si="8"/>
        <x:v>8168.4794000000002</x:v>
      </x:c>
      <x:c r="AB19" s="260">
        <x:f t="shared" si="8"/>
        <x:v>27128.6109</x:v>
      </x:c>
      <x:c r="AC19" s="260">
        <x:f t="shared" si="8"/>
        <x:v>31023.9228</x:v>
      </x:c>
      <x:c r="AD19" s="260">
        <x:f t="shared" si="8"/>
        <x:v>1423.5648000000001</x:v>
      </x:c>
      <x:c r="AE19" s="261">
        <x:f t="shared" si="8"/>
        <x:v>1.1471</x:v>
      </x:c>
      <x:c r="AF19" s="259">
        <x:f t="shared" si="8"/>
        <x:v>2720.8027999999999</x:v>
      </x:c>
      <x:c r="AG19" s="260">
        <x:f t="shared" si="8"/>
        <x:v>179.0934</x:v>
      </x:c>
      <x:c r="AH19" s="260">
        <x:f t="shared" si="8"/>
        <x:v>1030.8876</x:v>
      </x:c>
      <x:c r="AI19" s="260">
        <x:f t="shared" si="8"/>
        <x:v>550.61329999999998</x:v>
      </x:c>
      <x:c r="AJ19" s="261">
        <x:f t="shared" si="8"/>
        <x:v>227.12799999999999</x:v>
      </x:c>
      <x:c r="AK19" s="259">
        <x:f t="shared" si="8"/>
        <x:v>56.570399999999999</x:v>
      </x:c>
      <x:c r="AL19" s="260">
        <x:f t="shared" si="8"/>
        <x:v>289.05619999999999</x:v>
      </x:c>
      <x:c r="AM19" s="261">
        <x:f t="shared" si="8"/>
        <x:v>0</x:v>
      </x:c>
      <x:c r="AN19" s="259">
        <x:f t="shared" si="8"/>
        <x:v>2698.41</x:v>
      </x:c>
      <x:c r="AO19" s="260">
        <x:f t="shared" si="8"/>
        <x:v>2054.9913999999999</x:v>
      </x:c>
      <x:c r="AP19" s="260">
        <x:f t="shared" si="8"/>
        <x:v>6532.9629999999997</x:v>
      </x:c>
      <x:c r="AQ19" s="260">
        <x:f t="shared" si="8"/>
        <x:v>6394.6495999999997</x:v>
      </x:c>
      <x:c r="AR19" s="260">
        <x:f t="shared" si="8"/>
        <x:v>384.09750000000003</x:v>
      </x:c>
      <x:c r="AS19" s="261">
        <x:f t="shared" si="8"/>
        <x:v>0</x:v>
      </x:c>
      <x:c r="AT19" s="259">
        <x:f t="shared" si="8"/>
        <x:v>0</x:v>
      </x:c>
      <x:c r="AU19" s="260">
        <x:f t="shared" si="8"/>
        <x:v>9.9825999999999997</x:v>
      </x:c>
      <x:c r="AV19" s="260">
        <x:f t="shared" si="8"/>
        <x:v>0</x:v>
      </x:c>
      <x:c r="AW19" s="260">
        <x:f t="shared" si="8"/>
        <x:v>135.83940000000001</x:v>
      </x:c>
      <x:c r="AX19" s="261">
        <x:f t="shared" si="8"/>
        <x:v>12.491</x:v>
      </x:c>
      <x:c r="AY19" s="260"/>
      <x:c r="AZ19" s="259">
        <x:f t="shared" ref="AZ19:BK19" si="9">ROUND(AZ10*AZ18,4)</x:f>
        <x:v>374.90030000000002</x:v>
      </x:c>
      <x:c r="BA19" s="260">
        <x:f t="shared" si="9"/>
        <x:v>15818.248299999999</x:v>
      </x:c>
      <x:c r="BB19" s="260">
        <x:f t="shared" si="9"/>
        <x:v>722.32889999999998</x:v>
      </x:c>
      <x:c r="BC19" s="261">
        <x:f t="shared" si="9"/>
        <x:v>1529.1857</x:v>
      </x:c>
      <x:c r="BD19" s="263">
        <x:f t="shared" si="9"/>
        <x:v>20</x:v>
      </x:c>
      <x:c r="BE19" s="259">
        <x:f t="shared" si="9"/>
        <x:v>347.56540000000001</x:v>
      </x:c>
      <x:c r="BF19" s="260">
        <x:f t="shared" si="9"/>
        <x:v>2848.5252999999998</x:v>
      </x:c>
      <x:c r="BG19" s="260">
        <x:f t="shared" si="9"/>
        <x:v>5720.4438</x:v>
      </x:c>
      <x:c r="BH19" s="260">
        <x:f t="shared" si="9"/>
        <x:v>48.191400000000002</x:v>
      </x:c>
      <x:c r="BI19" s="261">
        <x:f t="shared" si="9"/>
        <x:v>39.074100000000001</x:v>
      </x:c>
      <x:c r="BJ19" s="259">
        <x:f t="shared" si="9"/>
        <x:v>226.76439999999999</x:v>
      </x:c>
      <x:c r="BK19" s="261">
        <x:f t="shared" si="9"/>
        <x:v>7994.0586999999996</x:v>
      </x:c>
      <x:c r="BL19" s="262"/>
      <x:c r="BM19" s="262">
        <x:f>SUM(G19:BK19)</x:f>
        <x:v>376597.40489999996</x:v>
      </x:c>
    </x:row>
    <x:row r="20" spans="1:66" s="31" customFormat="1" ht="15" customHeight="1" thickBot="1" x14ac:dyDescent="0.3">
      <x:c r="A20" s="255">
        <x:f t="shared" si="0"/>
        <x:v>11</x:v>
      </x:c>
      <x:c r="C20" s="264" t="s">
        <x:v>171</x:v>
      </x:c>
      <x:c r="D20" s="264"/>
      <x:c r="E20" s="257" t="s">
        <x:v>40</x:v>
      </x:c>
      <x:c r="G20" s="265">
        <x:f>ROUND(G19/$BM$19,6)</x:f>
        <x:v>0.180171</x:v>
      </x:c>
      <x:c r="H20" s="248">
        <x:f>ROUND(H19/$BM$19,6)</x:f>
        <x:v>7.8799999999999999E-3</x:v>
      </x:c>
      <x:c r="I20" s="248">
        <x:f>ROUND(I19/$BM$19,6)</x:f>
        <x:v>5.1950999999999997E-2</x:v>
      </x:c>
      <x:c r="J20" s="248">
        <x:f>ROUND(J19/$BM$19,6)</x:f>
        <x:v>2.7008000000000001E-2</x:v>
      </x:c>
      <x:c r="K20" s="266">
        <x:f>ROUND(K19/$BM$19,6)</x:f>
        <x:v>1.0737E-2</x:v>
      </x:c>
      <x:c r="L20" s="248"/>
      <x:c r="M20" s="265">
        <x:f>ROUND(M19/$BM$19,6)</x:f>
        <x:v>7.5600000000000005E-4</x:v>
      </x:c>
      <x:c r="N20" s="248">
        <x:f>ROUND(N19/$BM$19,6)</x:f>
        <x:v>1.016E-3</x:v>
      </x:c>
      <x:c r="O20" s="266">
        <x:f>ROUND(O19/$BM$19,6)</x:f>
        <x:v>2.0200000000000001E-3</x:v>
      </x:c>
      <x:c r="P20" s="248"/>
      <x:c r="Q20" s="265">
        <x:f>ROUND(Q19/$BM$19,6)</x:f>
        <x:v>1.9394999999999999E-2</x:v>
      </x:c>
      <x:c r="R20" s="266">
        <x:f>ROUND(R19/$BM$19,6)</x:f>
        <x:v>8.83E-4</x:v>
      </x:c>
      <x:c r="S20" s="248"/>
      <x:c r="T20" s="265">
        <x:f>ROUND(T19/$BM$19,6)</x:f>
        <x:v>1.0644000000000001E-2</x:v>
      </x:c>
      <x:c r="U20" s="266">
        <x:f>ROUND(U19/$BM$19,6)</x:f>
        <x:v>7.4920000000000004E-3</x:v>
      </x:c>
      <x:c r="W20" s="265">
        <x:f t="shared" ref="W20:AX20" si="10">ROUND(W19/$BM$19,6)</x:f>
        <x:v>9.9919999999999991E-3</x:v>
      </x:c>
      <x:c r="X20" s="248">
        <x:f t="shared" si="10"/>
        <x:v>2.9129999999999998E-3</x:v>
      </x:c>
      <x:c r="Y20" s="266">
        <x:f t="shared" si="10"/>
        <x:v>0</x:v>
      </x:c>
      <x:c r="Z20" s="265">
        <x:f t="shared" si="10"/>
        <x:v>0.330677</x:v>
      </x:c>
      <x:c r="AA20" s="248">
        <x:f t="shared" si="10"/>
        <x:v>2.1690000000000001E-2</x:v>
      </x:c>
      <x:c r="AB20" s="248">
        <x:f t="shared" si="10"/>
        <x:v>7.2036000000000003E-2</x:v>
      </x:c>
      <x:c r="AC20" s="248">
        <x:f t="shared" si="10"/>
        <x:v>8.2379999999999995E-2</x:v>
      </x:c>
      <x:c r="AD20" s="248">
        <x:f t="shared" si="10"/>
        <x:v>3.7799999999999999E-3</x:v>
      </x:c>
      <x:c r="AE20" s="266">
        <x:f t="shared" si="10"/>
        <x:v>3.0000000000000001E-6</x:v>
      </x:c>
      <x:c r="AF20" s="265">
        <x:f t="shared" si="10"/>
        <x:v>7.2249999999999997E-3</x:v>
      </x:c>
      <x:c r="AG20" s="248">
        <x:f t="shared" si="10"/>
        <x:v>4.7600000000000002E-4</x:v>
      </x:c>
      <x:c r="AH20" s="248">
        <x:f t="shared" si="10"/>
        <x:v>2.7369999999999998E-3</x:v>
      </x:c>
      <x:c r="AI20" s="248">
        <x:f t="shared" si="10"/>
        <x:v>1.462E-3</x:v>
      </x:c>
      <x:c r="AJ20" s="266">
        <x:f t="shared" si="10"/>
        <x:v>6.0300000000000002E-4</x:v>
      </x:c>
      <x:c r="AK20" s="265">
        <x:f t="shared" si="10"/>
        <x:v>1.4999999999999999E-4</x:v>
      </x:c>
      <x:c r="AL20" s="248">
        <x:f t="shared" si="10"/>
        <x:v>7.6800000000000002E-4</x:v>
      </x:c>
      <x:c r="AM20" s="266">
        <x:f t="shared" si="10"/>
        <x:v>0</x:v>
      </x:c>
      <x:c r="AN20" s="265">
        <x:f t="shared" si="10"/>
        <x:v>7.1650000000000004E-3</x:v>
      </x:c>
      <x:c r="AO20" s="248">
        <x:f t="shared" si="10"/>
        <x:v>5.457E-3</x:v>
      </x:c>
      <x:c r="AP20" s="248">
        <x:f t="shared" si="10"/>
        <x:v>1.7347000000000001E-2</x:v>
      </x:c>
      <x:c r="AQ20" s="248">
        <x:f t="shared" si="10"/>
        <x:v>1.6979999999999999E-2</x:v>
      </x:c>
      <x:c r="AR20" s="248">
        <x:f t="shared" si="10"/>
        <x:v>1.0200000000000001E-3</x:v>
      </x:c>
      <x:c r="AS20" s="266">
        <x:f t="shared" si="10"/>
        <x:v>0</x:v>
      </x:c>
      <x:c r="AT20" s="265">
        <x:f t="shared" si="10"/>
        <x:v>0</x:v>
      </x:c>
      <x:c r="AU20" s="248">
        <x:f t="shared" si="10"/>
        <x:v>2.6999999999999999E-5</x:v>
      </x:c>
      <x:c r="AV20" s="248">
        <x:f t="shared" si="10"/>
        <x:v>0</x:v>
      </x:c>
      <x:c r="AW20" s="248">
        <x:f t="shared" si="10"/>
        <x:v>3.6099999999999999E-4</x:v>
      </x:c>
      <x:c r="AX20" s="266">
        <x:f t="shared" si="10"/>
        <x:v>3.3000000000000003E-5</x:v>
      </x:c>
      <x:c r="AY20" s="248"/>
      <x:c r="AZ20" s="265">
        <x:f t="shared" ref="AZ20:BK20" si="11">ROUND(AZ19/$BM$19,6)</x:f>
        <x:v>9.9500000000000001E-4</x:v>
      </x:c>
      <x:c r="BA20" s="248">
        <x:f t="shared" si="11"/>
        <x:v>4.2002999999999999E-2</x:v>
      </x:c>
      <x:c r="BB20" s="248">
        <x:f t="shared" si="11"/>
        <x:v>1.918E-3</x:v>
      </x:c>
      <x:c r="BC20" s="266">
        <x:f t="shared" si="11"/>
        <x:v>4.0610000000000004E-3</x:v>
      </x:c>
      <x:c r="BD20" s="267">
        <x:f t="shared" si="11"/>
        <x:v>5.3000000000000001E-5</x:v>
      </x:c>
      <x:c r="BE20" s="265">
        <x:f t="shared" si="11"/>
        <x:v>9.2299999999999999E-4</x:v>
      </x:c>
      <x:c r="BF20" s="248">
        <x:f t="shared" si="11"/>
        <x:v>7.5640000000000004E-3</x:v>
      </x:c>
      <x:c r="BG20" s="248">
        <x:f t="shared" si="11"/>
        <x:v>1.519E-2</x:v>
      </x:c>
      <x:c r="BH20" s="248">
        <x:f t="shared" si="11"/>
        <x:v>1.2799999999999999E-4</x:v>
      </x:c>
      <x:c r="BI20" s="266">
        <x:f t="shared" si="11"/>
        <x:v>1.0399999999999999E-4</x:v>
      </x:c>
      <x:c r="BJ20" s="265">
        <x:f t="shared" si="11"/>
        <x:v>6.02E-4</x:v>
      </x:c>
      <x:c r="BK20" s="266">
        <x:f t="shared" si="11"/>
        <x:v>2.1226999999999999E-2</x:v>
      </x:c>
      <x:c r="BM20" s="207">
        <x:f>SUM(G20:BK20)</x:f>
        <x:v>1.000003</x:v>
      </x:c>
      <x:c r="BN20" s="268" t="s">
        <x:v>97</x:v>
      </x:c>
    </x:row>
    <x:row r="21" spans="1:66" s="4" customFormat="1" ht="30" customHeight="1" thickBot="1" x14ac:dyDescent="0.35">
      <x:c r="A21" s="231">
        <x:f t="shared" si="0"/>
        <x:v>12</x:v>
      </x:c>
      <x:c r="C21" s="141" t="s">
        <x:v>168</x:v>
      </x:c>
      <x:c r="D21" s="141"/>
      <x:c r="E21" s="269" t="s">
        <x:v>42</x:v>
      </x:c>
      <x:c r="G21" s="74">
        <x:f>ROUND(G20*'Revenue Req.'!$H$28,0)</x:f>
        <x:v>9208892</x:v>
      </x:c>
      <x:c r="H21" s="38">
        <x:f>ROUND(H20*'Revenue Req.'!$H$28,0)</x:f>
        <x:v>402762</x:v>
      </x:c>
      <x:c r="I21" s="38">
        <x:f>ROUND(I20*'Revenue Req.'!$H$28,0)</x:f>
        <x:v>2655317</x:v>
      </x:c>
      <x:c r="J21" s="38">
        <x:f>ROUND(J20*'Revenue Req.'!$H$28,0)</x:f>
        <x:v>1380432</x:v>
      </x:c>
      <x:c r="K21" s="75">
        <x:f>ROUND(K20*'Revenue Req.'!$H$28,0)</x:f>
        <x:v>548789</x:v>
      </x:c>
      <x:c r="L21" s="38"/>
      <x:c r="M21" s="74">
        <x:f>ROUND(M20*'Revenue Req.'!$H$28,0)</x:f>
        <x:v>38641</x:v>
      </x:c>
      <x:c r="N21" s="38">
        <x:f>ROUND(N20*'Revenue Req.'!$H$28,0)</x:f>
        <x:v>51930</x:v>
      </x:c>
      <x:c r="O21" s="75">
        <x:f>ROUND(O20*'Revenue Req.'!$H$28,0)</x:f>
        <x:v>103246</x:v>
      </x:c>
      <x:c r="P21" s="38"/>
      <x:c r="Q21" s="74">
        <x:f>ROUND(Q20*'Revenue Req.'!$H$28,0)</x:f>
        <x:v>991316</x:v>
      </x:c>
      <x:c r="R21" s="75">
        <x:f>ROUND(R20*'Revenue Req.'!$H$28,0)</x:f>
        <x:v>45132</x:v>
      </x:c>
      <x:c r="S21" s="38"/>
      <x:c r="T21" s="74">
        <x:f>ROUND(T20*'Revenue Req.'!$H$28,0)</x:f>
        <x:v>544036</x:v>
      </x:c>
      <x:c r="U21" s="75">
        <x:f>ROUND(U20*'Revenue Req.'!$H$28,0)</x:f>
        <x:v>382931</x:v>
      </x:c>
      <x:c r="W21" s="74">
        <x:f>ROUND(W20*'Revenue Req.'!$H$28,0)</x:f>
        <x:v>510711</x:v>
      </x:c>
      <x:c r="X21" s="38">
        <x:f>ROUND(X20*'Revenue Req.'!$H$28,0)</x:f>
        <x:v>148889</x:v>
      </x:c>
      <x:c r="Y21" s="75">
        <x:f>ROUND(Y20*'Revenue Req.'!$H$28,0)</x:f>
        <x:v>0</x:v>
      </x:c>
      <x:c r="Z21" s="74">
        <x:f>ROUND(Z20*'Revenue Req.'!$H$28,0)</x:f>
        <x:v>16901548</x:v>
      </x:c>
      <x:c r="AA21" s="38">
        <x:f>ROUND(AA20*'Revenue Req.'!$H$28,0)</x:f>
        <x:v>1108618</x:v>
      </x:c>
      <x:c r="AB21" s="38">
        <x:f>ROUND(AB20*'Revenue Req.'!$H$28,0)</x:f>
        <x:v>3681901</x:v>
      </x:c>
      <x:c r="AC21" s="38">
        <x:f>ROUND(AC20*'Revenue Req.'!$H$28,0)</x:f>
        <x:v>4210603</x:v>
      </x:c>
      <x:c r="AD21" s="38">
        <x:f>ROUND(AD20*'Revenue Req.'!$H$28,0)</x:f>
        <x:v>193203</x:v>
      </x:c>
      <x:c r="AE21" s="75">
        <x:f>ROUND(AE20*'Revenue Req.'!$H$28,0)</x:f>
        <x:v>153</x:v>
      </x:c>
      <x:c r="AF21" s="74">
        <x:f>ROUND(AF20*'Revenue Req.'!$H$28,0)</x:f>
        <x:v>369284</x:v>
      </x:c>
      <x:c r="AG21" s="38">
        <x:f>ROUND(AG20*'Revenue Req.'!$H$28,0)</x:f>
        <x:v>24329</x:v>
      </x:c>
      <x:c r="AH21" s="38">
        <x:f>ROUND(AH20*'Revenue Req.'!$H$28,0)</x:f>
        <x:v>139893</x:v>
      </x:c>
      <x:c r="AI21" s="38">
        <x:f>ROUND(AI20*'Revenue Req.'!$H$28,0)</x:f>
        <x:v>74726</x:v>
      </x:c>
      <x:c r="AJ21" s="75">
        <x:f>ROUND(AJ20*'Revenue Req.'!$H$28,0)</x:f>
        <x:v>30821</x:v>
      </x:c>
      <x:c r="AK21" s="74">
        <x:f>ROUND(AK20*'Revenue Req.'!$H$28,0)</x:f>
        <x:v>7667</x:v>
      </x:c>
      <x:c r="AL21" s="38">
        <x:f>ROUND(AL20*'Revenue Req.'!$H$28,0)</x:f>
        <x:v>39254</x:v>
      </x:c>
      <x:c r="AM21" s="75">
        <x:f>ROUND(AM20*'Revenue Req.'!$H$28,0)</x:f>
        <x:v>0</x:v>
      </x:c>
      <x:c r="AN21" s="74">
        <x:f>ROUND(AN20*'Revenue Req.'!$H$28,0)</x:f>
        <x:v>366217</x:v>
      </x:c>
      <x:c r="AO21" s="38">
        <x:f>ROUND(AO20*'Revenue Req.'!$H$28,0)</x:f>
        <x:v>278918</x:v>
      </x:c>
      <x:c r="AP21" s="38">
        <x:f>ROUND(AP20*'Revenue Req.'!$H$28,0)</x:f>
        <x:v>886639</x:v>
      </x:c>
      <x:c r="AQ21" s="38">
        <x:f>ROUND(AQ20*'Revenue Req.'!$H$28,0)</x:f>
        <x:v>867881</x:v>
      </x:c>
      <x:c r="AR21" s="38">
        <x:f>ROUND(AR20*'Revenue Req.'!$H$28,0)</x:f>
        <x:v>52134</x:v>
      </x:c>
      <x:c r="AS21" s="75">
        <x:f>ROUND(AS20*'Revenue Req.'!$H$28,0)</x:f>
        <x:v>0</x:v>
      </x:c>
      <x:c r="AT21" s="74">
        <x:f>ROUND(AT20*'Revenue Req.'!$H$28,0)</x:f>
        <x:v>0</x:v>
      </x:c>
      <x:c r="AU21" s="38">
        <x:f>ROUND(AU20*'Revenue Req.'!$H$28,0)</x:f>
        <x:v>1380</x:v>
      </x:c>
      <x:c r="AV21" s="38">
        <x:f>ROUND(AV20*'Revenue Req.'!$H$28,0)</x:f>
        <x:v>0</x:v>
      </x:c>
      <x:c r="AW21" s="38">
        <x:f>ROUND(AW20*'Revenue Req.'!$H$28,0)</x:f>
        <x:v>18451</x:v>
      </x:c>
      <x:c r="AX21" s="75">
        <x:f>ROUND(AX20*'Revenue Req.'!$H$28,0)</x:f>
        <x:v>1687</x:v>
      </x:c>
      <x:c r="AY21" s="38"/>
      <x:c r="AZ21" s="74">
        <x:f>ROUND(AZ20*'Revenue Req.'!$H$28,0)</x:f>
        <x:v>50856</x:v>
      </x:c>
      <x:c r="BA21" s="38">
        <x:f>ROUND(BA20*'Revenue Req.'!$H$28,0)</x:f>
        <x:v>2146855</x:v>
      </x:c>
      <x:c r="BB21" s="38">
        <x:f>ROUND(BB20*'Revenue Req.'!$H$28,0)</x:f>
        <x:v>98033</x:v>
      </x:c>
      <x:c r="BC21" s="75">
        <x:f>ROUND(BC20*'Revenue Req.'!$H$28,0)</x:f>
        <x:v>207566</x:v>
      </x:c>
      <x:c r="BD21" s="76">
        <x:f>ROUND(BD20*'Revenue Req.'!$H$28,0)</x:f>
        <x:v>2709</x:v>
      </x:c>
      <x:c r="BE21" s="74">
        <x:f>ROUND(BE20*'Revenue Req.'!$H$28,0)</x:f>
        <x:v>47176</x:v>
      </x:c>
      <x:c r="BF21" s="38">
        <x:f>ROUND(BF20*'Revenue Req.'!$H$28,0)</x:f>
        <x:v>386611</x:v>
      </x:c>
      <x:c r="BG21" s="38">
        <x:f>ROUND(BG20*'Revenue Req.'!$H$28,0)</x:f>
        <x:v>776391</x:v>
      </x:c>
      <x:c r="BH21" s="38">
        <x:f>ROUND(BH20*'Revenue Req.'!$H$28,0)</x:f>
        <x:v>6542</x:v>
      </x:c>
      <x:c r="BI21" s="75">
        <x:f>ROUND(BI20*'Revenue Req.'!$H$28,0)</x:f>
        <x:v>5316</x:v>
      </x:c>
      <x:c r="BJ21" s="74">
        <x:f>ROUND(BJ20*'Revenue Req.'!$H$28,0)</x:f>
        <x:v>30769</x:v>
      </x:c>
      <x:c r="BK21" s="75">
        <x:f>ROUND(BK20*'Revenue Req.'!$H$28,0)</x:f>
        <x:v>1084953</x:v>
      </x:c>
      <x:c r="BM21" s="29">
        <x:f>SUM(G21:BK21)</x:f>
        <x:v>51112108</x:v>
      </x:c>
      <x:c r="BN21" s="175">
        <x:f>+BM21-'Revenue Req.'!H28</x:f>
        <x:v>154</x:v>
      </x:c>
    </x:row>
    <x:row r="22" spans="1:66" s="4" customFormat="1" ht="9" customHeight="1" x14ac:dyDescent="0.3">
      <x:c r="A22" s="231"/>
      <x:c r="G22" s="23"/>
      <x:c r="H22" s="2"/>
      <x:c r="I22" s="2"/>
      <x:c r="J22" s="2"/>
      <x:c r="K22" s="24"/>
      <x:c r="L22" s="2"/>
      <x:c r="M22" s="23"/>
      <x:c r="N22" s="2"/>
      <x:c r="O22" s="24"/>
      <x:c r="P22" s="2"/>
      <x:c r="Q22" s="23"/>
      <x:c r="R22" s="24"/>
      <x:c r="S22" s="2"/>
      <x:c r="T22" s="23"/>
      <x:c r="U22" s="24"/>
      <x:c r="W22" s="23"/>
      <x:c r="X22" s="2"/>
      <x:c r="Y22" s="24"/>
      <x:c r="Z22" s="23"/>
      <x:c r="AA22" s="2"/>
      <x:c r="AB22" s="2"/>
      <x:c r="AC22" s="2"/>
      <x:c r="AD22" s="2"/>
      <x:c r="AE22" s="24"/>
      <x:c r="AF22" s="23"/>
      <x:c r="AG22" s="2"/>
      <x:c r="AH22" s="2"/>
      <x:c r="AI22" s="2"/>
      <x:c r="AJ22" s="24"/>
      <x:c r="AK22" s="23"/>
      <x:c r="AL22" s="2"/>
      <x:c r="AM22" s="24"/>
      <x:c r="AN22" s="23"/>
      <x:c r="AO22" s="2"/>
      <x:c r="AP22" s="2"/>
      <x:c r="AQ22" s="2"/>
      <x:c r="AR22" s="2"/>
      <x:c r="AS22" s="24"/>
      <x:c r="AT22" s="23"/>
      <x:c r="AU22" s="2"/>
      <x:c r="AV22" s="2"/>
      <x:c r="AW22" s="2"/>
      <x:c r="AX22" s="24"/>
      <x:c r="AY22" s="2"/>
      <x:c r="AZ22" s="23"/>
      <x:c r="BA22" s="2"/>
      <x:c r="BB22" s="2"/>
      <x:c r="BC22" s="24"/>
      <x:c r="BD22" s="49"/>
      <x:c r="BE22" s="23"/>
      <x:c r="BF22" s="2"/>
      <x:c r="BG22" s="2"/>
      <x:c r="BH22" s="2"/>
      <x:c r="BI22" s="24"/>
      <x:c r="BJ22" s="23"/>
      <x:c r="BK22" s="24"/>
    </x:row>
    <x:row r="23" spans="1:66" s="4" customFormat="1" ht="15" customHeight="1" x14ac:dyDescent="0.3">
      <x:c r="A23" s="231">
        <x:v>13</x:v>
      </x:c>
      <x:c r="B23" s="65" t="s">
        <x:v>48</x:v>
      </x:c>
      <x:c r="G23" s="23"/>
      <x:c r="H23" s="2"/>
      <x:c r="I23" s="2"/>
      <x:c r="J23" s="2"/>
      <x:c r="K23" s="24"/>
      <x:c r="L23" s="2"/>
      <x:c r="M23" s="23"/>
      <x:c r="N23" s="2"/>
      <x:c r="O23" s="24"/>
      <x:c r="P23" s="2"/>
      <x:c r="Q23" s="23"/>
      <x:c r="R23" s="24"/>
      <x:c r="S23" s="2"/>
      <x:c r="T23" s="23"/>
      <x:c r="U23" s="24"/>
      <x:c r="W23" s="23"/>
      <x:c r="X23" s="2"/>
      <x:c r="Y23" s="24"/>
      <x:c r="Z23" s="23"/>
      <x:c r="AA23" s="2"/>
      <x:c r="AB23" s="2"/>
      <x:c r="AC23" s="2"/>
      <x:c r="AD23" s="2"/>
      <x:c r="AE23" s="24"/>
      <x:c r="AF23" s="23"/>
      <x:c r="AG23" s="2"/>
      <x:c r="AH23" s="2"/>
      <x:c r="AI23" s="2"/>
      <x:c r="AJ23" s="24"/>
      <x:c r="AK23" s="23"/>
      <x:c r="AL23" s="2"/>
      <x:c r="AM23" s="24"/>
      <x:c r="AN23" s="23"/>
      <x:c r="AO23" s="2"/>
      <x:c r="AP23" s="2"/>
      <x:c r="AQ23" s="2"/>
      <x:c r="AR23" s="2"/>
      <x:c r="AS23" s="24"/>
      <x:c r="AT23" s="23"/>
      <x:c r="AU23" s="2"/>
      <x:c r="AV23" s="2"/>
      <x:c r="AW23" s="2"/>
      <x:c r="AX23" s="24"/>
      <x:c r="AY23" s="2"/>
      <x:c r="AZ23" s="23"/>
      <x:c r="BA23" s="2"/>
      <x:c r="BB23" s="2"/>
      <x:c r="BC23" s="24"/>
      <x:c r="BD23" s="49"/>
      <x:c r="BE23" s="23"/>
      <x:c r="BF23" s="2"/>
      <x:c r="BG23" s="2"/>
      <x:c r="BH23" s="2"/>
      <x:c r="BI23" s="24"/>
      <x:c r="BJ23" s="23"/>
      <x:c r="BK23" s="24"/>
    </x:row>
    <x:row r="24" spans="1:66" s="4" customFormat="1" ht="3" customHeight="1" x14ac:dyDescent="0.3">
      <x:c r="A24" s="231">
        <x:f t="shared" si="0"/>
        <x:v>14</x:v>
      </x:c>
      <x:c r="G24" s="23"/>
      <x:c r="H24" s="2"/>
      <x:c r="I24" s="2"/>
      <x:c r="J24" s="2"/>
      <x:c r="K24" s="24"/>
      <x:c r="L24" s="2"/>
      <x:c r="M24" s="23"/>
      <x:c r="N24" s="2"/>
      <x:c r="O24" s="24"/>
      <x:c r="P24" s="2"/>
      <x:c r="Q24" s="23"/>
      <x:c r="R24" s="24"/>
      <x:c r="S24" s="2"/>
      <x:c r="T24" s="23"/>
      <x:c r="U24" s="24"/>
      <x:c r="W24" s="23"/>
      <x:c r="X24" s="2"/>
      <x:c r="Y24" s="24"/>
      <x:c r="Z24" s="23"/>
      <x:c r="AA24" s="2"/>
      <x:c r="AB24" s="2"/>
      <x:c r="AC24" s="2"/>
      <x:c r="AD24" s="2"/>
      <x:c r="AE24" s="24"/>
      <x:c r="AF24" s="23"/>
      <x:c r="AG24" s="2"/>
      <x:c r="AH24" s="2"/>
      <x:c r="AI24" s="2"/>
      <x:c r="AJ24" s="24"/>
      <x:c r="AK24" s="23"/>
      <x:c r="AL24" s="2"/>
      <x:c r="AM24" s="24"/>
      <x:c r="AN24" s="23"/>
      <x:c r="AO24" s="2"/>
      <x:c r="AP24" s="2"/>
      <x:c r="AQ24" s="2"/>
      <x:c r="AR24" s="2"/>
      <x:c r="AS24" s="24"/>
      <x:c r="AT24" s="23"/>
      <x:c r="AU24" s="2"/>
      <x:c r="AV24" s="2"/>
      <x:c r="AW24" s="2"/>
      <x:c r="AX24" s="24"/>
      <x:c r="AY24" s="2"/>
      <x:c r="AZ24" s="23"/>
      <x:c r="BA24" s="2"/>
      <x:c r="BB24" s="2"/>
      <x:c r="BC24" s="24"/>
      <x:c r="BD24" s="49"/>
      <x:c r="BE24" s="23"/>
      <x:c r="BF24" s="2"/>
      <x:c r="BG24" s="2"/>
      <x:c r="BH24" s="2"/>
      <x:c r="BI24" s="24"/>
      <x:c r="BJ24" s="23"/>
      <x:c r="BK24" s="24"/>
    </x:row>
    <x:row r="25" spans="1:66" s="4" customFormat="1" ht="28" customHeight="1" x14ac:dyDescent="0.3">
      <x:c r="A25" s="231">
        <x:v>14</x:v>
      </x:c>
      <x:c r="C25" s="143" t="s">
        <x:v>173</x:v>
      </x:c>
      <x:c r="D25" s="143"/>
      <x:c r="E25" s="257" t="s">
        <x:v>177</x:v>
      </x:c>
      <x:c r="G25" s="172">
        <x:v>1</x:v>
      </x:c>
      <x:c r="H25" s="36">
        <x:f>ROUND(H12/$G$12,6)</x:f>
        <x:v>2</x:v>
      </x:c>
      <x:c r="I25" s="36">
        <x:f t="shared" ref="I25:BK25" si="12">ROUND(I12/$G$12,6)</x:f>
        <x:v>3</x:v>
      </x:c>
      <x:c r="J25" s="36">
        <x:f t="shared" si="12"/>
        <x:v>3.6666669999999999</x:v>
      </x:c>
      <x:c r="K25" s="173">
        <x:f t="shared" si="12"/>
        <x:v>5.3333329999999997</x:v>
      </x:c>
      <x:c r="L25" s="36"/>
      <x:c r="M25" s="172">
        <x:f t="shared" si="12"/>
        <x:v>1</x:v>
      </x:c>
      <x:c r="N25" s="36">
        <x:f t="shared" si="12"/>
        <x:v>2</x:v>
      </x:c>
      <x:c r="O25" s="173">
        <x:f t="shared" si="12"/>
        <x:v>3</x:v>
      </x:c>
      <x:c r="P25" s="36">
        <x:f t="shared" si="12"/>
        <x:v>0</x:v>
      </x:c>
      <x:c r="Q25" s="172">
        <x:f t="shared" si="12"/>
        <x:v>1</x:v>
      </x:c>
      <x:c r="R25" s="173">
        <x:f t="shared" si="12"/>
        <x:v>2</x:v>
      </x:c>
      <x:c r="S25" s="36"/>
      <x:c r="T25" s="172">
        <x:f t="shared" si="12"/>
        <x:v>1</x:v>
      </x:c>
      <x:c r="U25" s="173">
        <x:f t="shared" si="12"/>
        <x:v>2</x:v>
      </x:c>
      <x:c r="V25" s="36"/>
      <x:c r="W25" s="172">
        <x:f t="shared" si="12"/>
        <x:v>4.6666670000000003</x:v>
      </x:c>
      <x:c r="X25" s="36">
        <x:f t="shared" si="12"/>
        <x:v>10</x:v>
      </x:c>
      <x:c r="Y25" s="173">
        <x:f t="shared" si="12"/>
        <x:v>24.666667</x:v>
      </x:c>
      <x:c r="Z25" s="172">
        <x:f t="shared" si="12"/>
        <x:v>2.6666669999999999</x:v>
      </x:c>
      <x:c r="AA25" s="36">
        <x:f t="shared" si="12"/>
        <x:v>4.6666670000000003</x:v>
      </x:c>
      <x:c r="AB25" s="36">
        <x:f t="shared" si="12"/>
        <x:v>5.3333329999999997</x:v>
      </x:c>
      <x:c r="AC25" s="36">
        <x:f t="shared" si="12"/>
        <x:v>6.6666670000000003</x:v>
      </x:c>
      <x:c r="AD25" s="36">
        <x:f t="shared" si="12"/>
        <x:v>10.666667</x:v>
      </x:c>
      <x:c r="AE25" s="173">
        <x:f t="shared" si="12"/>
        <x:v>25</x:v>
      </x:c>
      <x:c r="AF25" s="172">
        <x:f t="shared" si="12"/>
        <x:v>4.3333329999999997</x:v>
      </x:c>
      <x:c r="AG25" s="36">
        <x:f t="shared" si="12"/>
        <x:v>4.3333329999999997</x:v>
      </x:c>
      <x:c r="AH25" s="36">
        <x:f t="shared" si="12"/>
        <x:v>6.6666670000000003</x:v>
      </x:c>
      <x:c r="AI25" s="36">
        <x:f t="shared" si="12"/>
        <x:v>10.666667</x:v>
      </x:c>
      <x:c r="AJ25" s="173">
        <x:f t="shared" si="12"/>
        <x:v>24.666667</x:v>
      </x:c>
      <x:c r="AK25" s="172">
        <x:f t="shared" si="12"/>
        <x:v>4.6666670000000003</x:v>
      </x:c>
      <x:c r="AL25" s="36">
        <x:f t="shared" si="12"/>
        <x:v>10</x:v>
      </x:c>
      <x:c r="AM25" s="173">
        <x:f t="shared" si="12"/>
        <x:v>24.666667</x:v>
      </x:c>
      <x:c r="AN25" s="172">
        <x:f t="shared" si="12"/>
        <x:v>2.6666669999999999</x:v>
      </x:c>
      <x:c r="AO25" s="36">
        <x:f t="shared" si="12"/>
        <x:v>4.6666670000000003</x:v>
      </x:c>
      <x:c r="AP25" s="36">
        <x:f t="shared" si="12"/>
        <x:v>5.3333329999999997</x:v>
      </x:c>
      <x:c r="AQ25" s="36">
        <x:f t="shared" si="12"/>
        <x:v>6.6666670000000003</x:v>
      </x:c>
      <x:c r="AR25" s="36">
        <x:f t="shared" si="12"/>
        <x:v>10.666667</x:v>
      </x:c>
      <x:c r="AS25" s="173">
        <x:f t="shared" si="12"/>
        <x:v>25</x:v>
      </x:c>
      <x:c r="AT25" s="172">
        <x:f t="shared" si="12"/>
        <x:v>4.3333329999999997</x:v>
      </x:c>
      <x:c r="AU25" s="36">
        <x:f t="shared" si="12"/>
        <x:v>4.3333329999999997</x:v>
      </x:c>
      <x:c r="AV25" s="36">
        <x:f t="shared" si="12"/>
        <x:v>6.6666670000000003</x:v>
      </x:c>
      <x:c r="AW25" s="36">
        <x:f t="shared" si="12"/>
        <x:v>10.666667</x:v>
      </x:c>
      <x:c r="AX25" s="173">
        <x:f t="shared" si="12"/>
        <x:v>24.666667</x:v>
      </x:c>
      <x:c r="AY25" s="36"/>
      <x:c r="AZ25" s="172">
        <x:f t="shared" si="12"/>
        <x:v>4.6666670000000003</x:v>
      </x:c>
      <x:c r="BA25" s="36">
        <x:f t="shared" si="12"/>
        <x:v>2.6666669999999999</x:v>
      </x:c>
      <x:c r="BB25" s="36">
        <x:f t="shared" si="12"/>
        <x:v>4.6666670000000003</x:v>
      </x:c>
      <x:c r="BC25" s="173">
        <x:f t="shared" si="12"/>
        <x:v>4.3333329999999997</x:v>
      </x:c>
      <x:c r="BD25" s="174">
        <x:f t="shared" si="12"/>
        <x:v>2.6666669999999999</x:v>
      </x:c>
      <x:c r="BE25" s="172">
        <x:f t="shared" si="12"/>
        <x:v>4.6666670000000003</x:v>
      </x:c>
      <x:c r="BF25" s="36">
        <x:f t="shared" si="12"/>
        <x:v>2.6666669999999999</x:v>
      </x:c>
      <x:c r="BG25" s="36">
        <x:f t="shared" si="12"/>
        <x:v>6.6666670000000003</x:v>
      </x:c>
      <x:c r="BH25" s="36">
        <x:f t="shared" si="12"/>
        <x:v>10.666667</x:v>
      </x:c>
      <x:c r="BI25" s="173">
        <x:f t="shared" si="12"/>
        <x:v>24.666667</x:v>
      </x:c>
      <x:c r="BJ25" s="172">
        <x:f t="shared" si="12"/>
        <x:v>4.6666670000000003</x:v>
      </x:c>
      <x:c r="BK25" s="173">
        <x:f t="shared" si="12"/>
        <x:v>2.6666669999999999</x:v>
      </x:c>
    </x:row>
    <x:row r="26" spans="1:66" s="4" customFormat="1" ht="15" customHeight="1" x14ac:dyDescent="0.3">
      <x:c r="A26" s="231">
        <x:f t="shared" si="0"/>
        <x:v>15</x:v>
      </x:c>
      <x:c r="C26" s="140" t="s">
        <x:v>174</x:v>
      </x:c>
      <x:c r="D26" s="140"/>
      <x:c r="E26" s="258" t="s">
        <x:v>41</x:v>
      </x:c>
      <x:c r="G26" s="223">
        <x:f>ROUND(G10*G25,4)</x:f>
        <x:v>67852</x:v>
      </x:c>
      <x:c r="H26" s="176">
        <x:f>ROUND(H10*H25,4)</x:f>
        <x:v>5866</x:v>
      </x:c>
      <x:c r="I26" s="176">
        <x:f>ROUND(I10*I25,4)</x:f>
        <x:v>56133</x:v>
      </x:c>
      <x:c r="J26" s="176">
        <x:f>ROUND(J10*J25,4)</x:f>
        <x:v>34114.669800000003</x:v>
      </x:c>
      <x:c r="K26" s="224">
        <x:f>ROUND(K10*K25,4)</x:f>
        <x:v>18799.998800000001</x:v>
      </x:c>
      <x:c r="L26" s="176"/>
      <x:c r="M26" s="223">
        <x:f>ROUND(M10*M25,4)</x:f>
        <x:v>226</x:v>
      </x:c>
      <x:c r="N26" s="176">
        <x:f>ROUND(N10*N25,4)</x:f>
        <x:v>594</x:v>
      </x:c>
      <x:c r="O26" s="224">
        <x:f>ROUND(O10*O25,4)</x:f>
        <x:v>1752</x:v>
      </x:c>
      <x:c r="P26" s="176"/>
      <x:c r="Q26" s="223">
        <x:f>ROUND(Q10*Q25,4)</x:f>
        <x:v>8922</x:v>
      </x:c>
      <x:c r="R26" s="224">
        <x:f>ROUND(R10*R25,4)</x:f>
        <x:v>802</x:v>
      </x:c>
      <x:c r="S26" s="176"/>
      <x:c r="T26" s="223">
        <x:f>ROUND(T10*T25,4)</x:f>
        <x:v>4095</x:v>
      </x:c>
      <x:c r="U26" s="224">
        <x:f>ROUND(U10*U25,4)</x:f>
        <x:v>4406</x:v>
      </x:c>
      <x:c r="V26" s="226"/>
      <x:c r="W26" s="223">
        <x:f t="shared" ref="W26:AX26" si="13">ROUND(W10*W25,4)</x:f>
        <x:v>17560.6679</x:v>
      </x:c>
      <x:c r="X26" s="176">
        <x:f t="shared" si="13"/>
        <x:v>10490</x:v>
      </x:c>
      <x:c r="Y26" s="224">
        <x:f t="shared" si="13"/>
        <x:v>0</x:v>
      </x:c>
      <x:c r="Z26" s="223">
        <x:f t="shared" si="13"/>
        <x:v>332085.37479999999</x:v>
      </x:c>
      <x:c r="AA26" s="176">
        <x:f t="shared" si="13"/>
        <x:v>37674.002699999997</x:v>
      </x:c>
      <x:c r="AB26" s="176">
        <x:f t="shared" si="13"/>
        <x:v>138373.3247</x:v>
      </x:c>
      <x:c r="AC26" s="176">
        <x:f t="shared" si="13"/>
        <x:v>189193.34280000001</x:v>
      </x:c>
      <x:c r="AD26" s="176">
        <x:f t="shared" si="13"/>
        <x:v>13237.333699999999</x:v>
      </x:c>
      <x:c r="AE26" s="224">
        <x:f t="shared" si="13"/>
        <x:v>25</x:v>
      </x:c>
      <x:c r="AF26" s="223">
        <x:f t="shared" si="13"/>
        <x:v>11652.332399999999</x:v>
      </x:c>
      <x:c r="AG26" s="176">
        <x:f t="shared" si="13"/>
        <x:v>766.99990000000003</x:v>
      </x:c>
      <x:c r="AH26" s="176">
        <x:f t="shared" si="13"/>
        <x:v>6286.6670000000004</x:v>
      </x:c>
      <x:c r="AI26" s="176">
        <x:f t="shared" si="13"/>
        <x:v>5120.0002000000004</x:v>
      </x:c>
      <x:c r="AJ26" s="224">
        <x:f t="shared" si="13"/>
        <x:v>4884.0001000000002</x:v>
      </x:c>
      <x:c r="AK26" s="223">
        <x:f t="shared" si="13"/>
        <x:v>186.66669999999999</x:v>
      </x:c>
      <x:c r="AL26" s="176">
        <x:f t="shared" si="13"/>
        <x:v>1980</x:v>
      </x:c>
      <x:c r="AM26" s="224">
        <x:f t="shared" si="13"/>
        <x:v>0</x:v>
      </x:c>
      <x:c r="AN26" s="223">
        <x:f t="shared" si="13"/>
        <x:v>5088.0006000000003</x:v>
      </x:c>
      <x:c r="AO26" s="176">
        <x:f t="shared" si="13"/>
        <x:v>6724.6670999999997</x:v>
      </x:c>
      <x:c r="AP26" s="176">
        <x:f t="shared" si="13"/>
        <x:v>23866.665199999999</x:v>
      </x:c>
      <x:c r="AQ26" s="176">
        <x:f t="shared" si="13"/>
        <x:v>28280.001400000001</x:v>
      </x:c>
      <x:c r="AR26" s="176">
        <x:f t="shared" si="13"/>
        <x:v>2624.0001000000002</x:v>
      </x:c>
      <x:c r="AS26" s="224">
        <x:f t="shared" si="13"/>
        <x:v>0</x:v>
      </x:c>
      <x:c r="AT26" s="223">
        <x:f t="shared" si="13"/>
        <x:v>0</x:v>
      </x:c>
      <x:c r="AU26" s="176">
        <x:f t="shared" si="13"/>
        <x:v>30.333300000000001</x:v>
      </x:c>
      <x:c r="AV26" s="176">
        <x:f t="shared" si="13"/>
        <x:v>0</x:v>
      </x:c>
      <x:c r="AW26" s="176">
        <x:f t="shared" si="13"/>
        <x:v>928</x:v>
      </x:c>
      <x:c r="AX26" s="224">
        <x:f t="shared" si="13"/>
        <x:v>197.33330000000001</x:v>
      </x:c>
      <x:c r="AY26" s="176"/>
      <x:c r="AZ26" s="223">
        <x:f t="shared" ref="AZ26:BK26" si="14">ROUND(AZ10*AZ25,4)</x:f>
        <x:v>1787.3335</x:v>
      </x:c>
      <x:c r="BA26" s="176">
        <x:f t="shared" si="14"/>
        <x:v>43093.3387</x:v>
      </x:c>
      <x:c r="BB26" s="176">
        <x:f t="shared" si="14"/>
        <x:v>2632.0001999999999</x:v>
      </x:c>
      <x:c r="BC26" s="224">
        <x:f t="shared" si="14"/>
        <x:v>5173.9996000000001</x:v>
      </x:c>
      <x:c r="BD26" s="227">
        <x:f t="shared" si="14"/>
        <x:v>53.333300000000001</x:v>
      </x:c>
      <x:c r="BE26" s="223">
        <x:f t="shared" si="14"/>
        <x:v>1288.0001</x:v>
      </x:c>
      <x:c r="BF26" s="176">
        <x:f t="shared" si="14"/>
        <x:v>6032.0007999999998</x:v>
      </x:c>
      <x:c r="BG26" s="176">
        <x:f t="shared" si="14"/>
        <x:v>29280.001499999998</x:v>
      </x:c>
      <x:c r="BH26" s="176">
        <x:f t="shared" si="14"/>
        <x:v>394.66669999999999</x:v>
      </x:c>
      <x:c r="BI26" s="224">
        <x:f t="shared" si="14"/>
        <x:v>740</x:v>
      </x:c>
      <x:c r="BJ26" s="223">
        <x:f t="shared" si="14"/>
        <x:v>1292.6668</x:v>
      </x:c>
      <x:c r="BK26" s="224">
        <x:f t="shared" si="14"/>
        <x:v>26040.0033</x:v>
      </x:c>
      <x:c r="BL26" s="226"/>
      <x:c r="BM26" s="228">
        <x:f>SUM(G26:BK26)</x:f>
        <x:v>1158624.7269999997</x:v>
      </x:c>
    </x:row>
    <x:row r="27" spans="1:66" s="4" customFormat="1" ht="15" customHeight="1" thickBot="1" x14ac:dyDescent="0.35">
      <x:c r="A27" s="231">
        <x:f t="shared" si="0"/>
        <x:v>16</x:v>
      </x:c>
      <x:c r="C27" s="264" t="s">
        <x:v>175</x:v>
      </x:c>
      <x:c r="D27" s="264"/>
      <x:c r="E27" s="257" t="s">
        <x:v>40</x:v>
      </x:c>
      <x:c r="G27" s="69">
        <x:f>ROUND(G26/$BM26,6)</x:f>
        <x:v>5.8562999999999997E-2</x:v>
      </x:c>
      <x:c r="H27" s="37">
        <x:f>ROUND(H26/$BM26,6)</x:f>
        <x:v>5.0629999999999998E-3</x:v>
      </x:c>
      <x:c r="I27" s="37">
        <x:f>ROUND(I26/$BM26,6)</x:f>
        <x:v>4.8447999999999998E-2</x:v>
      </x:c>
      <x:c r="J27" s="37">
        <x:f>ROUND(J26/$BM26,6)</x:f>
        <x:v>2.9444000000000001E-2</x:v>
      </x:c>
      <x:c r="K27" s="70">
        <x:f>ROUND(K26/$BM26,6)</x:f>
        <x:v>1.6226000000000001E-2</x:v>
      </x:c>
      <x:c r="L27" s="37"/>
      <x:c r="M27" s="69">
        <x:f>ROUND(M26/$BM26,6)</x:f>
        <x:v>1.95E-4</x:v>
      </x:c>
      <x:c r="N27" s="37">
        <x:f>ROUND(N26/$BM26,6)</x:f>
        <x:v>5.13E-4</x:v>
      </x:c>
      <x:c r="O27" s="70">
        <x:f>ROUND(O26/$BM26,6)</x:f>
        <x:v>1.5120000000000001E-3</x:v>
      </x:c>
      <x:c r="P27" s="37"/>
      <x:c r="Q27" s="69">
        <x:f>ROUND(Q26/$BM26,6)</x:f>
        <x:v>7.7010000000000004E-3</x:v>
      </x:c>
      <x:c r="R27" s="70">
        <x:f>ROUND(R26/$BM26,6)</x:f>
        <x:v>6.9200000000000002E-4</x:v>
      </x:c>
      <x:c r="S27" s="37"/>
      <x:c r="T27" s="69">
        <x:f>ROUND(T26/$BM26,6)</x:f>
        <x:v>3.5339999999999998E-3</x:v>
      </x:c>
      <x:c r="U27" s="70">
        <x:f>ROUND(U26/$BM26,6)</x:f>
        <x:v>3.803E-3</x:v>
      </x:c>
      <x:c r="W27" s="69">
        <x:f t="shared" ref="W27:AX27" si="15">ROUND(W26/$BM26,6)</x:f>
        <x:v>1.5155999999999999E-2</x:v>
      </x:c>
      <x:c r="X27" s="37">
        <x:f t="shared" si="15"/>
        <x:v>9.0539999999999995E-3</x:v>
      </x:c>
      <x:c r="Y27" s="70">
        <x:f t="shared" si="15"/>
        <x:v>0</x:v>
      </x:c>
      <x:c r="Z27" s="69">
        <x:f t="shared" si="15"/>
        <x:v>0.28661999999999999</x:v>
      </x:c>
      <x:c r="AA27" s="37">
        <x:f t="shared" si="15"/>
        <x:v>3.2516000000000003E-2</x:v>
      </x:c>
      <x:c r="AB27" s="37">
        <x:f t="shared" si="15"/>
        <x:v>0.11942899999999999</x:v>
      </x:c>
      <x:c r="AC27" s="37">
        <x:f t="shared" si="15"/>
        <x:v>0.16329099999999999</x:v>
      </x:c>
      <x:c r="AD27" s="37">
        <x:f t="shared" si="15"/>
        <x:v>1.1424999999999999E-2</x:v>
      </x:c>
      <x:c r="AE27" s="70">
        <x:f t="shared" si="15"/>
        <x:v>2.1999999999999999E-5</x:v>
      </x:c>
      <x:c r="AF27" s="69">
        <x:f t="shared" si="15"/>
        <x:v>1.0057E-2</x:v>
      </x:c>
      <x:c r="AG27" s="37">
        <x:f t="shared" si="15"/>
        <x:v>6.6200000000000005E-4</x:v>
      </x:c>
      <x:c r="AH27" s="37">
        <x:f t="shared" si="15"/>
        <x:v>5.4260000000000003E-3</x:v>
      </x:c>
      <x:c r="AI27" s="37">
        <x:f t="shared" si="15"/>
        <x:v>4.4190000000000002E-3</x:v>
      </x:c>
      <x:c r="AJ27" s="70">
        <x:f t="shared" si="15"/>
        <x:v>4.215E-3</x:v>
      </x:c>
      <x:c r="AK27" s="69">
        <x:f t="shared" si="15"/>
        <x:v>1.6100000000000001E-4</x:v>
      </x:c>
      <x:c r="AL27" s="37">
        <x:f t="shared" si="15"/>
        <x:v>1.709E-3</x:v>
      </x:c>
      <x:c r="AM27" s="70">
        <x:f t="shared" si="15"/>
        <x:v>0</x:v>
      </x:c>
      <x:c r="AN27" s="69">
        <x:f t="shared" si="15"/>
        <x:v>4.3909999999999999E-3</x:v>
      </x:c>
      <x:c r="AO27" s="37">
        <x:f t="shared" si="15"/>
        <x:v>5.8040000000000001E-3</x:v>
      </x:c>
      <x:c r="AP27" s="37">
        <x:f t="shared" si="15"/>
        <x:v>2.0598999999999999E-2</x:v>
      </x:c>
      <x:c r="AQ27" s="37">
        <x:f t="shared" si="15"/>
        <x:v>2.4407999999999999E-2</x:v>
      </x:c>
      <x:c r="AR27" s="37">
        <x:f t="shared" si="15"/>
        <x:v>2.2650000000000001E-3</x:v>
      </x:c>
      <x:c r="AS27" s="70">
        <x:f t="shared" si="15"/>
        <x:v>0</x:v>
      </x:c>
      <x:c r="AT27" s="69">
        <x:f t="shared" si="15"/>
        <x:v>0</x:v>
      </x:c>
      <x:c r="AU27" s="37">
        <x:f t="shared" si="15"/>
        <x:v>2.5999999999999998E-5</x:v>
      </x:c>
      <x:c r="AV27" s="37">
        <x:f t="shared" si="15"/>
        <x:v>0</x:v>
      </x:c>
      <x:c r="AW27" s="37">
        <x:f t="shared" si="15"/>
        <x:v>8.0099999999999995E-4</x:v>
      </x:c>
      <x:c r="AX27" s="70">
        <x:f t="shared" si="15"/>
        <x:v>1.7000000000000001E-4</x:v>
      </x:c>
      <x:c r="AY27" s="37"/>
      <x:c r="AZ27" s="69">
        <x:f t="shared" ref="AZ27:BK27" si="16">ROUND(AZ26/$BM26,6)</x:f>
        <x:v>1.5430000000000001E-3</x:v>
      </x:c>
      <x:c r="BA27" s="37">
        <x:f t="shared" si="16"/>
        <x:v>3.7193999999999998E-2</x:v>
      </x:c>
      <x:c r="BB27" s="37">
        <x:f t="shared" si="16"/>
        <x:v>2.2720000000000001E-3</x:v>
      </x:c>
      <x:c r="BC27" s="70">
        <x:f t="shared" si="16"/>
        <x:v>4.4660000000000004E-3</x:v>
      </x:c>
      <x:c r="BD27" s="71">
        <x:f t="shared" si="16"/>
        <x:v>4.6E-5</x:v>
      </x:c>
      <x:c r="BE27" s="69">
        <x:f t="shared" si="16"/>
        <x:v>1.1119999999999999E-3</x:v>
      </x:c>
      <x:c r="BF27" s="37">
        <x:f t="shared" si="16"/>
        <x:v>5.2059999999999997E-3</x:v>
      </x:c>
      <x:c r="BG27" s="37">
        <x:f t="shared" si="16"/>
        <x:v>2.5270999999999998E-2</x:v>
      </x:c>
      <x:c r="BH27" s="37">
        <x:f t="shared" si="16"/>
        <x:v>3.4099999999999999E-4</x:v>
      </x:c>
      <x:c r="BI27" s="70">
        <x:f t="shared" si="16"/>
        <x:v>6.3900000000000003E-4</x:v>
      </x:c>
      <x:c r="BJ27" s="69">
        <x:f t="shared" si="16"/>
        <x:v>1.116E-3</x:v>
      </x:c>
      <x:c r="BK27" s="70">
        <x:f t="shared" si="16"/>
        <x:v>2.2474999999999998E-2</x:v>
      </x:c>
      <x:c r="BM27" s="62">
        <x:f>SUM(G27:BK27)</x:f>
        <x:v>1.0000009999999999</x:v>
      </x:c>
    </x:row>
    <x:row r="28" spans="1:66" s="4" customFormat="1" ht="29.15" customHeight="1" thickBot="1" x14ac:dyDescent="0.35">
      <x:c r="A28" s="231">
        <x:f t="shared" si="0"/>
        <x:v>17</x:v>
      </x:c>
      <x:c r="C28" s="141" t="s">
        <x:v>176</x:v>
      </x:c>
      <x:c r="D28" s="141"/>
      <x:c r="E28" s="269" t="s">
        <x:v>42</x:v>
      </x:c>
      <x:c r="G28" s="74">
        <x:f>ROUND(G27*'Revenue Req.'!$J$28,0)</x:f>
        <x:v>238585</x:v>
      </x:c>
      <x:c r="H28" s="38">
        <x:f>ROUND(H27*'Revenue Req.'!$J$28,0)</x:f>
        <x:v>20627</x:v>
      </x:c>
      <x:c r="I28" s="38">
        <x:f>ROUND(I27*'Revenue Req.'!$J$28,0)</x:f>
        <x:v>197377</x:v>
      </x:c>
      <x:c r="J28" s="38">
        <x:f>ROUND(J27*'Revenue Req.'!$J$28,0)</x:f>
        <x:v>119955</x:v>
      </x:c>
      <x:c r="K28" s="75">
        <x:f>ROUND(K27*'Revenue Req.'!$J$28,0)</x:f>
        <x:v>66105</x:v>
      </x:c>
      <x:c r="L28" s="38"/>
      <x:c r="M28" s="74">
        <x:f>ROUND(M27*'Revenue Req.'!$J$28,0)</x:f>
        <x:v>794</x:v>
      </x:c>
      <x:c r="N28" s="38">
        <x:f>ROUND(N27*'Revenue Req.'!$J$28,0)</x:f>
        <x:v>2090</x:v>
      </x:c>
      <x:c r="O28" s="75">
        <x:f>ROUND(O27*'Revenue Req.'!$J$28,0)</x:f>
        <x:v>6160</x:v>
      </x:c>
      <x:c r="P28" s="38"/>
      <x:c r="Q28" s="74">
        <x:f>ROUND(Q27*'Revenue Req.'!$J$28,0)</x:f>
        <x:v>31374</x:v>
      </x:c>
      <x:c r="R28" s="75">
        <x:f>ROUND(R27*'Revenue Req.'!$J$28,0)</x:f>
        <x:v>2819</x:v>
      </x:c>
      <x:c r="S28" s="38"/>
      <x:c r="T28" s="74">
        <x:f>ROUND(T27*'Revenue Req.'!$J$28,0)</x:f>
        <x:v>14398</x:v>
      </x:c>
      <x:c r="U28" s="75">
        <x:f>ROUND(U27*'Revenue Req.'!$J$28,0)</x:f>
        <x:v>15493</x:v>
      </x:c>
      <x:c r="W28" s="74">
        <x:f>ROUND(W27*'Revenue Req.'!$J$28,0)</x:f>
        <x:v>61745</x:v>
      </x:c>
      <x:c r="X28" s="38">
        <x:f>ROUND(X27*'Revenue Req.'!$J$28,0)</x:f>
        <x:v>36886</x:v>
      </x:c>
      <x:c r="Y28" s="75">
        <x:f>ROUND(Y27*'Revenue Req.'!$J$28,0)</x:f>
        <x:v>0</x:v>
      </x:c>
      <x:c r="Z28" s="74">
        <x:f>ROUND(Z27*'Revenue Req.'!$J$28,0)</x:f>
        <x:v>1167689</x:v>
      </x:c>
      <x:c r="AA28" s="38">
        <x:f>ROUND(AA27*'Revenue Req.'!$J$28,0)</x:f>
        <x:v>132470</x:v>
      </x:c>
      <x:c r="AB28" s="38">
        <x:f>ROUND(AB27*'Revenue Req.'!$J$28,0)</x:f>
        <x:v>486553</x:v>
      </x:c>
      <x:c r="AC28" s="38">
        <x:f>ROUND(AC27*'Revenue Req.'!$J$28,0)</x:f>
        <x:v>665247</x:v>
      </x:c>
      <x:c r="AD28" s="38">
        <x:f>ROUND(AD27*'Revenue Req.'!$J$28,0)</x:f>
        <x:v>46545</x:v>
      </x:c>
      <x:c r="AE28" s="75">
        <x:f>ROUND(AE27*'Revenue Req.'!$J$28,0)</x:f>
        <x:v>90</x:v>
      </x:c>
      <x:c r="AF28" s="74">
        <x:f>ROUND(AF27*'Revenue Req.'!$J$28,0)</x:f>
        <x:v>40972</x:v>
      </x:c>
      <x:c r="AG28" s="38">
        <x:f>ROUND(AG27*'Revenue Req.'!$J$28,0)</x:f>
        <x:v>2697</x:v>
      </x:c>
      <x:c r="AH28" s="38">
        <x:f>ROUND(AH27*'Revenue Req.'!$J$28,0)</x:f>
        <x:v>22106</x:v>
      </x:c>
      <x:c r="AI28" s="38">
        <x:f>ROUND(AI27*'Revenue Req.'!$J$28,0)</x:f>
        <x:v>18003</x:v>
      </x:c>
      <x:c r="AJ28" s="75">
        <x:f>ROUND(AJ27*'Revenue Req.'!$J$28,0)</x:f>
        <x:v>17172</x:v>
      </x:c>
      <x:c r="AK28" s="74">
        <x:f>ROUND(AK27*'Revenue Req.'!$J$28,0)</x:f>
        <x:v>656</x:v>
      </x:c>
      <x:c r="AL28" s="38">
        <x:f>ROUND(AL27*'Revenue Req.'!$J$28,0)</x:f>
        <x:v>6962</x:v>
      </x:c>
      <x:c r="AM28" s="75">
        <x:f>ROUND(AM27*'Revenue Req.'!$J$28,0)</x:f>
        <x:v>0</x:v>
      </x:c>
      <x:c r="AN28" s="74">
        <x:f>ROUND(AN27*'Revenue Req.'!$J$28,0)</x:f>
        <x:v>17889</x:v>
      </x:c>
      <x:c r="AO28" s="38">
        <x:f>ROUND(AO27*'Revenue Req.'!$J$28,0)</x:f>
        <x:v>23645</x:v>
      </x:c>
      <x:c r="AP28" s="38">
        <x:f>ROUND(AP27*'Revenue Req.'!$J$28,0)</x:f>
        <x:v>83920</x:v>
      </x:c>
      <x:c r="AQ28" s="38">
        <x:f>ROUND(AQ27*'Revenue Req.'!$J$28,0)</x:f>
        <x:v>99438</x:v>
      </x:c>
      <x:c r="AR28" s="38">
        <x:f>ROUND(AR27*'Revenue Req.'!$J$28,0)</x:f>
        <x:v>9228</x:v>
      </x:c>
      <x:c r="AS28" s="75">
        <x:f>ROUND(AS27*'Revenue Req.'!$J$28,0)</x:f>
        <x:v>0</x:v>
      </x:c>
      <x:c r="AT28" s="74">
        <x:f>ROUND(AT27*'Revenue Req.'!$J$28,0)</x:f>
        <x:v>0</x:v>
      </x:c>
      <x:c r="AU28" s="38">
        <x:f>ROUND(AU27*'Revenue Req.'!$J$28,0)</x:f>
        <x:v>106</x:v>
      </x:c>
      <x:c r="AV28" s="38">
        <x:f>ROUND(AV27*'Revenue Req.'!$J$28,0)</x:f>
        <x:v>0</x:v>
      </x:c>
      <x:c r="AW28" s="38">
        <x:f>ROUND(AW27*'Revenue Req.'!$J$28,0)</x:f>
        <x:v>3263</x:v>
      </x:c>
      <x:c r="AX28" s="75">
        <x:f>ROUND(AX27*'Revenue Req.'!$J$28,0)</x:f>
        <x:v>693</x:v>
      </x:c>
      <x:c r="AY28" s="38"/>
      <x:c r="AZ28" s="74">
        <x:f>ROUND(AZ27*'Revenue Req.'!$J$28,0)</x:f>
        <x:v>6286</x:v>
      </x:c>
      <x:c r="BA28" s="38">
        <x:f>ROUND(BA27*'Revenue Req.'!$J$28,0)</x:f>
        <x:v>151528</x:v>
      </x:c>
      <x:c r="BB28" s="38">
        <x:f>ROUND(BB27*'Revenue Req.'!$J$28,0)</x:f>
        <x:v>9256</x:v>
      </x:c>
      <x:c r="BC28" s="75">
        <x:f>ROUND(BC27*'Revenue Req.'!$J$28,0)</x:f>
        <x:v>18194</x:v>
      </x:c>
      <x:c r="BD28" s="76">
        <x:f>ROUND(BD27*'Revenue Req.'!$J$28,0)</x:f>
        <x:v>187</x:v>
      </x:c>
      <x:c r="BE28" s="74">
        <x:f>ROUND(BE27*'Revenue Req.'!$J$28,0)</x:f>
        <x:v>4530</x:v>
      </x:c>
      <x:c r="BF28" s="38">
        <x:f>ROUND(BF27*'Revenue Req.'!$J$28,0)</x:f>
        <x:v>21209</x:v>
      </x:c>
      <x:c r="BG28" s="38">
        <x:f>ROUND(BG27*'Revenue Req.'!$J$28,0)</x:f>
        <x:v>102954</x:v>
      </x:c>
      <x:c r="BH28" s="38">
        <x:f>ROUND(BH27*'Revenue Req.'!$J$28,0)</x:f>
        <x:v>1389</x:v>
      </x:c>
      <x:c r="BI28" s="75">
        <x:f>ROUND(BI27*'Revenue Req.'!$J$28,0)</x:f>
        <x:v>2603</x:v>
      </x:c>
      <x:c r="BJ28" s="74">
        <x:f>ROUND(BJ27*'Revenue Req.'!$J$28,0)</x:f>
        <x:v>4547</x:v>
      </x:c>
      <x:c r="BK28" s="75">
        <x:f>ROUND(BK27*'Revenue Req.'!$J$28,0)</x:f>
        <x:v>91563</x:v>
      </x:c>
      <x:c r="BM28" s="29">
        <x:f>SUM(G28:BK28)</x:f>
        <x:v>4073998</x:v>
      </x:c>
      <x:c r="BN28" s="175">
        <x:f>+BM28-'Revenue Req.'!J28</x:f>
        <x:v>1</x:v>
      </x:c>
    </x:row>
    <x:row r="29" spans="1:66" s="4" customFormat="1" ht="9" customHeight="1" x14ac:dyDescent="0.3">
      <x:c r="A29" s="231"/>
      <x:c r="G29" s="23"/>
      <x:c r="H29" s="2"/>
      <x:c r="I29" s="2"/>
      <x:c r="J29" s="2"/>
      <x:c r="K29" s="24"/>
      <x:c r="L29" s="2"/>
      <x:c r="M29" s="23"/>
      <x:c r="N29" s="2"/>
      <x:c r="O29" s="24"/>
      <x:c r="P29" s="2"/>
      <x:c r="Q29" s="23"/>
      <x:c r="R29" s="24"/>
      <x:c r="S29" s="2"/>
      <x:c r="T29" s="23"/>
      <x:c r="U29" s="24"/>
      <x:c r="W29" s="20"/>
      <x:c r="X29" s="77"/>
      <x:c r="Y29" s="24"/>
      <x:c r="Z29" s="23"/>
      <x:c r="AA29" s="2"/>
      <x:c r="AB29" s="2"/>
      <x:c r="AC29" s="2"/>
      <x:c r="AD29" s="2"/>
      <x:c r="AE29" s="24"/>
      <x:c r="AF29" s="23"/>
      <x:c r="AG29" s="2"/>
      <x:c r="AH29" s="2"/>
      <x:c r="AI29" s="2"/>
      <x:c r="AJ29" s="24"/>
      <x:c r="AK29" s="23"/>
      <x:c r="AL29" s="2"/>
      <x:c r="AM29" s="24"/>
      <x:c r="AN29" s="23"/>
      <x:c r="AO29" s="2"/>
      <x:c r="AP29" s="2"/>
      <x:c r="AQ29" s="2"/>
      <x:c r="AR29" s="2"/>
      <x:c r="AS29" s="24"/>
      <x:c r="AT29" s="23"/>
      <x:c r="AU29" s="2"/>
      <x:c r="AV29" s="2"/>
      <x:c r="AW29" s="2"/>
      <x:c r="AX29" s="24"/>
      <x:c r="AY29" s="2"/>
      <x:c r="AZ29" s="23"/>
      <x:c r="BA29" s="2"/>
      <x:c r="BB29" s="2"/>
      <x:c r="BC29" s="24"/>
      <x:c r="BD29" s="49"/>
      <x:c r="BE29" s="23"/>
      <x:c r="BF29" s="2"/>
      <x:c r="BG29" s="2"/>
      <x:c r="BH29" s="2"/>
      <x:c r="BI29" s="24"/>
      <x:c r="BJ29" s="23"/>
      <x:c r="BK29" s="24"/>
    </x:row>
    <x:row r="30" spans="1:66" s="4" customFormat="1" x14ac:dyDescent="0.3">
      <x:c r="A30" s="231">
        <x:v>18</x:v>
      </x:c>
      <x:c r="B30" s="65" t="s">
        <x:v>49</x:v>
      </x:c>
      <x:c r="G30" s="23"/>
      <x:c r="H30" s="2"/>
      <x:c r="I30" s="2"/>
      <x:c r="J30" s="2"/>
      <x:c r="K30" s="24"/>
      <x:c r="L30" s="2"/>
      <x:c r="M30" s="23"/>
      <x:c r="N30" s="2"/>
      <x:c r="O30" s="24"/>
      <x:c r="P30" s="2"/>
      <x:c r="Q30" s="23"/>
      <x:c r="R30" s="24"/>
      <x:c r="S30" s="2"/>
      <x:c r="T30" s="23"/>
      <x:c r="U30" s="24"/>
      <x:c r="W30" s="23"/>
      <x:c r="X30" s="2"/>
      <x:c r="Y30" s="24"/>
      <x:c r="Z30" s="23"/>
      <x:c r="AA30" s="2"/>
      <x:c r="AB30" s="2"/>
      <x:c r="AC30" s="2"/>
      <x:c r="AD30" s="2"/>
      <x:c r="AE30" s="24"/>
      <x:c r="AF30" s="23"/>
      <x:c r="AG30" s="2"/>
      <x:c r="AH30" s="2"/>
      <x:c r="AI30" s="2"/>
      <x:c r="AJ30" s="24"/>
      <x:c r="AK30" s="23"/>
      <x:c r="AL30" s="2"/>
      <x:c r="AM30" s="24"/>
      <x:c r="AN30" s="23"/>
      <x:c r="AO30" s="2"/>
      <x:c r="AP30" s="2"/>
      <x:c r="AQ30" s="2"/>
      <x:c r="AR30" s="2"/>
      <x:c r="AS30" s="24"/>
      <x:c r="AT30" s="23"/>
      <x:c r="AU30" s="2"/>
      <x:c r="AV30" s="2"/>
      <x:c r="AW30" s="2"/>
      <x:c r="AX30" s="24"/>
      <x:c r="AY30" s="2"/>
      <x:c r="AZ30" s="23"/>
      <x:c r="BA30" s="2"/>
      <x:c r="BB30" s="2"/>
      <x:c r="BC30" s="24"/>
      <x:c r="BD30" s="49"/>
      <x:c r="BE30" s="23"/>
      <x:c r="BF30" s="2"/>
      <x:c r="BG30" s="2"/>
      <x:c r="BH30" s="2"/>
      <x:c r="BI30" s="24"/>
      <x:c r="BJ30" s="23"/>
      <x:c r="BK30" s="24"/>
    </x:row>
    <x:row r="31" spans="1:66" s="4" customFormat="1" ht="3" customHeight="1" x14ac:dyDescent="0.3">
      <x:c r="A31" s="231">
        <x:f t="shared" si="0"/>
        <x:v>19</x:v>
      </x:c>
      <x:c r="G31" s="23"/>
      <x:c r="H31" s="2"/>
      <x:c r="I31" s="2"/>
      <x:c r="J31" s="2"/>
      <x:c r="K31" s="24"/>
      <x:c r="L31" s="2"/>
      <x:c r="M31" s="23"/>
      <x:c r="N31" s="2"/>
      <x:c r="O31" s="24"/>
      <x:c r="P31" s="2"/>
      <x:c r="Q31" s="23"/>
      <x:c r="R31" s="24"/>
      <x:c r="S31" s="2"/>
      <x:c r="T31" s="23"/>
      <x:c r="U31" s="24"/>
      <x:c r="W31" s="23"/>
      <x:c r="X31" s="2"/>
      <x:c r="Y31" s="24"/>
      <x:c r="Z31" s="23"/>
      <x:c r="AA31" s="2"/>
      <x:c r="AB31" s="2"/>
      <x:c r="AC31" s="2"/>
      <x:c r="AD31" s="2"/>
      <x:c r="AE31" s="24"/>
      <x:c r="AF31" s="23"/>
      <x:c r="AG31" s="2"/>
      <x:c r="AH31" s="2"/>
      <x:c r="AI31" s="2"/>
      <x:c r="AJ31" s="24"/>
      <x:c r="AK31" s="23"/>
      <x:c r="AL31" s="2"/>
      <x:c r="AM31" s="24"/>
      <x:c r="AN31" s="23"/>
      <x:c r="AO31" s="2"/>
      <x:c r="AP31" s="2"/>
      <x:c r="AQ31" s="2"/>
      <x:c r="AR31" s="2"/>
      <x:c r="AS31" s="24"/>
      <x:c r="AT31" s="23"/>
      <x:c r="AU31" s="2"/>
      <x:c r="AV31" s="2"/>
      <x:c r="AW31" s="2"/>
      <x:c r="AX31" s="24"/>
      <x:c r="AY31" s="2"/>
      <x:c r="AZ31" s="23"/>
      <x:c r="BA31" s="2"/>
      <x:c r="BB31" s="2"/>
      <x:c r="BC31" s="24"/>
      <x:c r="BD31" s="49"/>
      <x:c r="BE31" s="23"/>
      <x:c r="BF31" s="2"/>
      <x:c r="BG31" s="2"/>
      <x:c r="BH31" s="2"/>
      <x:c r="BI31" s="24"/>
      <x:c r="BJ31" s="23"/>
      <x:c r="BK31" s="24"/>
    </x:row>
    <x:row r="32" spans="1:66" s="4" customFormat="1" ht="28" customHeight="1" x14ac:dyDescent="0.3">
      <x:c r="A32" s="231">
        <x:v>19</x:v>
      </x:c>
      <x:c r="C32" s="143" t="s">
        <x:v>23</x:v>
      </x:c>
      <x:c r="D32" s="143"/>
      <x:c r="E32" s="257" t="s">
        <x:v>167</x:v>
      </x:c>
      <x:c r="G32" s="124">
        <x:v>1</x:v>
      </x:c>
      <x:c r="H32" s="125">
        <x:f>ROUND(0.6*$G$32+0.4*H11/$G$11,6)</x:f>
        <x:v>1.004731</x:v>
      </x:c>
      <x:c r="I32" s="125">
        <x:f t="shared" ref="I32:BK32" si="17">ROUND(0.6*$G$32+0.4*I11/$G$11,6)</x:f>
        <x:v>1.018248</x:v>
      </x:c>
      <x:c r="J32" s="125">
        <x:f t="shared" si="17"/>
        <x:v>1.03728</x:v>
      </x:c>
      <x:c r="K32" s="147">
        <x:f t="shared" si="17"/>
        <x:v>1.0588439999999999</x:v>
      </x:c>
      <x:c r="L32" s="125"/>
      <x:c r="M32" s="124">
        <x:f t="shared" si="17"/>
        <x:v>1.103718</x:v>
      </x:c>
      <x:c r="N32" s="125">
        <x:f t="shared" si="17"/>
        <x:v>1.115165</x:v>
      </x:c>
      <x:c r="O32" s="147">
        <x:f t="shared" si="17"/>
        <x:v>1.120987</x:v>
      </x:c>
      <x:c r="P32" s="125">
        <x:f t="shared" si="17"/>
        <x:v>0.6</x:v>
      </x:c>
      <x:c r="Q32" s="124">
        <x:f t="shared" si="17"/>
        <x:v>0.927458</x:v>
      </x:c>
      <x:c r="R32" s="147">
        <x:f t="shared" si="17"/>
        <x:v>0.93161899999999997</x:v>
      </x:c>
      <x:c r="S32" s="125"/>
      <x:c r="T32" s="124">
        <x:f t="shared" si="17"/>
        <x:v>0.99154100000000001</x:v>
      </x:c>
      <x:c r="U32" s="147">
        <x:f t="shared" si="17"/>
        <x:v>1.11229</x:v>
      </x:c>
      <x:c r="V32" s="125"/>
      <x:c r="W32" s="124">
        <x:f t="shared" si="17"/>
        <x:v>1</x:v>
      </x:c>
      <x:c r="X32" s="125">
        <x:f t="shared" si="17"/>
        <x:v>1.018248</x:v>
      </x:c>
      <x:c r="Y32" s="147">
        <x:f t="shared" si="17"/>
        <x:v>1.0588439999999999</x:v>
      </x:c>
      <x:c r="Z32" s="124">
        <x:f t="shared" si="17"/>
        <x:v>1</x:v>
      </x:c>
      <x:c r="AA32" s="125">
        <x:f t="shared" si="17"/>
        <x:v>1.004731</x:v>
      </x:c>
      <x:c r="AB32" s="125">
        <x:f t="shared" si="17"/>
        <x:v>1.018248</x:v>
      </x:c>
      <x:c r="AC32" s="125">
        <x:f t="shared" si="17"/>
        <x:v>1.03728</x:v>
      </x:c>
      <x:c r="AD32" s="125">
        <x:f t="shared" si="17"/>
        <x:v>1.0588439999999999</x:v>
      </x:c>
      <x:c r="AE32" s="147">
        <x:f t="shared" si="17"/>
        <x:v>1.0588439999999999</x:v>
      </x:c>
      <x:c r="AF32" s="124">
        <x:f t="shared" si="17"/>
        <x:v>1.004731</x:v>
      </x:c>
      <x:c r="AG32" s="125">
        <x:f t="shared" si="17"/>
        <x:v>1.004731</x:v>
      </x:c>
      <x:c r="AH32" s="125">
        <x:f t="shared" si="17"/>
        <x:v>1.03728</x:v>
      </x:c>
      <x:c r="AI32" s="125">
        <x:f t="shared" si="17"/>
        <x:v>1.0588439999999999</x:v>
      </x:c>
      <x:c r="AJ32" s="147">
        <x:f t="shared" si="17"/>
        <x:v>1.0588439999999999</x:v>
      </x:c>
      <x:c r="AK32" s="124">
        <x:f t="shared" si="17"/>
        <x:v>1.1657040000000001</x:v>
      </x:c>
      <x:c r="AL32" s="125">
        <x:f t="shared" si="17"/>
        <x:v>1.1839519999999999</x:v>
      </x:c>
      <x:c r="AM32" s="147">
        <x:f t="shared" si="17"/>
        <x:v>1.2245490000000001</x:v>
      </x:c>
      <x:c r="AN32" s="124">
        <x:f t="shared" si="17"/>
        <x:v>1.1657040000000001</x:v>
      </x:c>
      <x:c r="AO32" s="125">
        <x:f t="shared" si="17"/>
        <x:v>1.1704349999999999</x:v>
      </x:c>
      <x:c r="AP32" s="125">
        <x:f t="shared" si="17"/>
        <x:v>1.1839519999999999</x:v>
      </x:c>
      <x:c r="AQ32" s="125">
        <x:f t="shared" si="17"/>
        <x:v>1.2029840000000001</x:v>
      </x:c>
      <x:c r="AR32" s="125">
        <x:f t="shared" si="17"/>
        <x:v>1.2245490000000001</x:v>
      </x:c>
      <x:c r="AS32" s="147">
        <x:f t="shared" si="17"/>
        <x:v>1.2245490000000001</x:v>
      </x:c>
      <x:c r="AT32" s="124">
        <x:f t="shared" si="17"/>
        <x:v>1.1704349999999999</x:v>
      </x:c>
      <x:c r="AU32" s="125">
        <x:f t="shared" si="17"/>
        <x:v>1.1704349999999999</x:v>
      </x:c>
      <x:c r="AV32" s="125">
        <x:f t="shared" si="17"/>
        <x:v>1.2029840000000001</x:v>
      </x:c>
      <x:c r="AW32" s="125">
        <x:f t="shared" si="17"/>
        <x:v>1.2245490000000001</x:v>
      </x:c>
      <x:c r="AX32" s="147">
        <x:f t="shared" si="17"/>
        <x:v>1.2245490000000001</x:v>
      </x:c>
      <x:c r="AY32" s="125"/>
      <x:c r="AZ32" s="124">
        <x:f t="shared" si="17"/>
        <x:v>0.99154100000000001</x:v>
      </x:c>
      <x:c r="BA32" s="125">
        <x:f t="shared" si="17"/>
        <x:v>0.99154100000000001</x:v>
      </x:c>
      <x:c r="BB32" s="125">
        <x:f t="shared" si="17"/>
        <x:v>1.11229</x:v>
      </x:c>
      <x:c r="BC32" s="147">
        <x:f t="shared" si="17"/>
        <x:v>1.11229</x:v>
      </x:c>
      <x:c r="BD32" s="158">
        <x:f t="shared" si="17"/>
        <x:v>1</x:v>
      </x:c>
      <x:c r="BE32" s="124">
        <x:f t="shared" si="17"/>
        <x:v>1.103718</x:v>
      </x:c>
      <x:c r="BF32" s="125">
        <x:f t="shared" si="17"/>
        <x:v>1.103718</x:v>
      </x:c>
      <x:c r="BG32" s="125">
        <x:f t="shared" si="17"/>
        <x:v>1.120987</x:v>
      </x:c>
      <x:c r="BH32" s="125">
        <x:f t="shared" si="17"/>
        <x:v>1.120987</x:v>
      </x:c>
      <x:c r="BI32" s="147">
        <x:f t="shared" si="17"/>
        <x:v>1.120987</x:v>
      </x:c>
      <x:c r="BJ32" s="124">
        <x:f t="shared" si="17"/>
        <x:v>0.927458</x:v>
      </x:c>
      <x:c r="BK32" s="147">
        <x:f t="shared" si="17"/>
        <x:v>0.927458</x:v>
      </x:c>
      <x:c r="BL32" s="10"/>
      <x:c r="BM32" s="62">
        <x:f>SUM(G32:BK32)</x:f>
        <x:v>56.813655000000004</x:v>
      </x:c>
    </x:row>
    <x:row r="33" spans="1:66" s="4" customFormat="1" ht="15" customHeight="1" x14ac:dyDescent="0.3">
      <x:c r="A33" s="231">
        <x:f t="shared" si="0"/>
        <x:v>20</x:v>
      </x:c>
      <x:c r="C33" s="140" t="s">
        <x:v>178</x:v>
      </x:c>
      <x:c r="D33" s="140"/>
      <x:c r="E33" s="258" t="s">
        <x:v>41</x:v>
      </x:c>
      <x:c r="G33" s="223">
        <x:f>ROUND(G$10*G32,4)</x:f>
        <x:v>67852</x:v>
      </x:c>
      <x:c r="H33" s="176">
        <x:f>ROUND(H$10*H32,4)</x:f>
        <x:v>2946.8760000000002</x:v>
      </x:c>
      <x:c r="I33" s="176">
        <x:f>ROUND(I$10*I32,4)</x:f>
        <x:v>19052.438300000002</x:v>
      </x:c>
      <x:c r="J33" s="176">
        <x:f>ROUND(J$10*J32,4)</x:f>
        <x:v>9650.8531000000003</x:v>
      </x:c>
      <x:c r="K33" s="224">
        <x:f>ROUND(K$10*K32,4)</x:f>
        <x:v>3732.4250999999999</x:v>
      </x:c>
      <x:c r="L33" s="176"/>
      <x:c r="M33" s="223">
        <x:f>ROUND(M$10*M32,4)</x:f>
        <x:v>249.44030000000001</x:v>
      </x:c>
      <x:c r="N33" s="176">
        <x:f>ROUND(N$10*N32,4)</x:f>
        <x:v>331.20400000000001</x:v>
      </x:c>
      <x:c r="O33" s="224">
        <x:f>ROUND(O$10*O32,4)</x:f>
        <x:v>654.65639999999996</x:v>
      </x:c>
      <x:c r="P33" s="176"/>
      <x:c r="Q33" s="223">
        <x:f>ROUND(Q$10*Q32,4)</x:f>
        <x:v>8274.7803000000004</x:v>
      </x:c>
      <x:c r="R33" s="224">
        <x:f>ROUND(R$10*R32,4)</x:f>
        <x:v>373.57920000000001</x:v>
      </x:c>
      <x:c r="S33" s="176"/>
      <x:c r="T33" s="223">
        <x:f>ROUND(T$10*T32,4)</x:f>
        <x:v>4060.3604</x:v>
      </x:c>
      <x:c r="U33" s="224">
        <x:f>ROUND(U$10*U32,4)</x:f>
        <x:v>2450.3748999999998</x:v>
      </x:c>
      <x:c r="V33" s="226"/>
      <x:c r="W33" s="223">
        <x:f t="shared" ref="W33:AX33" si="18">ROUND(W$10*W32,4)</x:f>
        <x:v>3763</x:v>
      </x:c>
      <x:c r="X33" s="176">
        <x:f t="shared" si="18"/>
        <x:v>1068.1422</x:v>
      </x:c>
      <x:c r="Y33" s="224">
        <x:f t="shared" si="18"/>
        <x:v>0</x:v>
      </x:c>
      <x:c r="Z33" s="223">
        <x:f t="shared" si="18"/>
        <x:v>124532</x:v>
      </x:c>
      <x:c r="AA33" s="176">
        <x:f t="shared" si="18"/>
        <x:v>8111.1934000000001</x:v>
      </x:c>
      <x:c r="AB33" s="176">
        <x:f t="shared" si="18"/>
        <x:v>26418.4444</x:v>
      </x:c>
      <x:c r="AC33" s="176">
        <x:f t="shared" si="18"/>
        <x:v>29436.969099999998</x:v>
      </x:c>
      <x:c r="AD33" s="176">
        <x:f t="shared" si="18"/>
        <x:v>1314.0254</x:v>
      </x:c>
      <x:c r="AE33" s="224">
        <x:f t="shared" si="18"/>
        <x:v>1.0588</x:v>
      </x:c>
      <x:c r="AF33" s="223">
        <x:f t="shared" si="18"/>
        <x:v>2701.7217000000001</x:v>
      </x:c>
      <x:c r="AG33" s="176">
        <x:f t="shared" si="18"/>
        <x:v>177.8374</x:v>
      </x:c>
      <x:c r="AH33" s="176">
        <x:f t="shared" si="18"/>
        <x:v>978.15499999999997</x:v>
      </x:c>
      <x:c r="AI33" s="176">
        <x:f t="shared" si="18"/>
        <x:v>508.24509999999998</x:v>
      </x:c>
      <x:c r="AJ33" s="224">
        <x:f t="shared" si="18"/>
        <x:v>209.65110000000001</x:v>
      </x:c>
      <x:c r="AK33" s="223">
        <x:f t="shared" si="18"/>
        <x:v>46.6282</x:v>
      </x:c>
      <x:c r="AL33" s="176">
        <x:f t="shared" si="18"/>
        <x:v>234.42250000000001</x:v>
      </x:c>
      <x:c r="AM33" s="224">
        <x:f t="shared" si="18"/>
        <x:v>0</x:v>
      </x:c>
      <x:c r="AN33" s="223">
        <x:f t="shared" si="18"/>
        <x:v>2224.1632</x:v>
      </x:c>
      <x:c r="AO33" s="176">
        <x:f t="shared" si="18"/>
        <x:v>1686.5968</x:v>
      </x:c>
      <x:c r="AP33" s="176">
        <x:f t="shared" si="18"/>
        <x:v>5298.1851999999999</x:v>
      </x:c>
      <x:c r="AQ33" s="176">
        <x:f t="shared" si="18"/>
        <x:v>5103.0581000000002</x:v>
      </x:c>
      <x:c r="AR33" s="176">
        <x:f t="shared" si="18"/>
        <x:v>301.23910000000001</x:v>
      </x:c>
      <x:c r="AS33" s="224">
        <x:f t="shared" si="18"/>
        <x:v>0</x:v>
      </x:c>
      <x:c r="AT33" s="223">
        <x:f t="shared" si="18"/>
        <x:v>0</x:v>
      </x:c>
      <x:c r="AU33" s="176">
        <x:f t="shared" si="18"/>
        <x:v>8.1929999999999996</x:v>
      </x:c>
      <x:c r="AV33" s="176">
        <x:f t="shared" si="18"/>
        <x:v>0</x:v>
      </x:c>
      <x:c r="AW33" s="176">
        <x:f t="shared" si="18"/>
        <x:v>106.53579999999999</x:v>
      </x:c>
      <x:c r="AX33" s="224">
        <x:f t="shared" si="18"/>
        <x:v>9.7964000000000002</x:v>
      </x:c>
      <x:c r="AY33" s="176"/>
      <x:c r="AZ33" s="223">
        <x:f t="shared" ref="AZ33:BK33" si="19">ROUND(AZ$10*AZ32,4)</x:f>
        <x:v>379.7602</x:v>
      </x:c>
      <x:c r="BA33" s="176">
        <x:f t="shared" si="19"/>
        <x:v>16023.302600000001</x:v>
      </x:c>
      <x:c r="BB33" s="176">
        <x:f t="shared" si="19"/>
        <x:v>627.33159999999998</x:v>
      </x:c>
      <x:c r="BC33" s="224">
        <x:f t="shared" si="19"/>
        <x:v>1328.0743</x:v>
      </x:c>
      <x:c r="BD33" s="227">
        <x:f t="shared" si="19"/>
        <x:v>20</x:v>
      </x:c>
      <x:c r="BE33" s="223">
        <x:f t="shared" si="19"/>
        <x:v>304.62619999999998</x:v>
      </x:c>
      <x:c r="BF33" s="176">
        <x:f t="shared" si="19"/>
        <x:v>2496.6100999999999</x:v>
      </x:c>
      <x:c r="BG33" s="176">
        <x:f t="shared" si="19"/>
        <x:v>4923.3748999999998</x:v>
      </x:c>
      <x:c r="BH33" s="176">
        <x:f t="shared" si="19"/>
        <x:v>41.476500000000001</x:v>
      </x:c>
      <x:c r="BI33" s="224">
        <x:f t="shared" si="19"/>
        <x:v>33.629600000000003</x:v>
      </x:c>
      <x:c r="BJ33" s="223">
        <x:f t="shared" si="19"/>
        <x:v>256.90589999999997</x:v>
      </x:c>
      <x:c r="BK33" s="224">
        <x:f t="shared" si="19"/>
        <x:v>9056.6273999999994</x:v>
      </x:c>
      <x:c r="BL33" s="226"/>
      <x:c r="BM33" s="228">
        <x:f>SUM(G33:BK33)</x:f>
        <x:v>369359.96919999999</x:v>
      </x:c>
    </x:row>
    <x:row r="34" spans="1:66" s="4" customFormat="1" ht="15" customHeight="1" thickBot="1" x14ac:dyDescent="0.35">
      <x:c r="A34" s="231">
        <x:f t="shared" si="0"/>
        <x:v>21</x:v>
      </x:c>
      <x:c r="C34" s="264" t="s">
        <x:v>179</x:v>
      </x:c>
      <x:c r="D34" s="264"/>
      <x:c r="E34" s="257" t="s">
        <x:v>40</x:v>
      </x:c>
      <x:c r="G34" s="69">
        <x:f>ROUND(G33/$BM33,6)</x:f>
        <x:v>0.183702</x:v>
      </x:c>
      <x:c r="H34" s="37">
        <x:f>ROUND(H33/$BM33,6)</x:f>
        <x:v>7.9780000000000007E-3</x:v>
      </x:c>
      <x:c r="I34" s="37">
        <x:f>ROUND(I33/$BM33,6)</x:f>
        <x:v>5.1582000000000003E-2</x:v>
      </x:c>
      <x:c r="J34" s="37">
        <x:f>ROUND(J33/$BM33,6)</x:f>
        <x:v>2.6128999999999999E-2</x:v>
      </x:c>
      <x:c r="K34" s="70">
        <x:f>ROUND(K33/$BM33,6)</x:f>
        <x:v>1.0104999999999999E-2</x:v>
      </x:c>
      <x:c r="L34" s="37"/>
      <x:c r="M34" s="69">
        <x:f>ROUND(M33/$BM33,6)</x:f>
        <x:v>6.7500000000000004E-4</x:v>
      </x:c>
      <x:c r="N34" s="37">
        <x:f>ROUND(N33/$BM33,6)</x:f>
        <x:v>8.9700000000000001E-4</x:v>
      </x:c>
      <x:c r="O34" s="70">
        <x:f>ROUND(O33/$BM33,6)</x:f>
        <x:v>1.7719999999999999E-3</x:v>
      </x:c>
      <x:c r="P34" s="37"/>
      <x:c r="Q34" s="69">
        <x:f>ROUND(Q33/$BM33,6)</x:f>
        <x:v>2.2402999999999999E-2</x:v>
      </x:c>
      <x:c r="R34" s="70">
        <x:f>ROUND(R33/$BM33,6)</x:f>
        <x:v>1.011E-3</x:v>
      </x:c>
      <x:c r="S34" s="37"/>
      <x:c r="T34" s="69">
        <x:f>ROUND(T33/$BM33,6)</x:f>
        <x:v>1.0992999999999999E-2</x:v>
      </x:c>
      <x:c r="U34" s="70">
        <x:f>ROUND(U33/$BM33,6)</x:f>
        <x:v>6.6340000000000001E-3</x:v>
      </x:c>
      <x:c r="W34" s="69">
        <x:f t="shared" ref="W34:AX34" si="20">ROUND(W33/$BM33,6)</x:f>
        <x:v>1.0187999999999999E-2</x:v>
      </x:c>
      <x:c r="X34" s="37">
        <x:f t="shared" si="20"/>
        <x:v>2.892E-3</x:v>
      </x:c>
      <x:c r="Y34" s="70">
        <x:f t="shared" si="20"/>
        <x:v>0</x:v>
      </x:c>
      <x:c r="Z34" s="69">
        <x:f t="shared" si="20"/>
        <x:v>0.33715600000000001</x:v>
      </x:c>
      <x:c r="AA34" s="37">
        <x:f t="shared" si="20"/>
        <x:v>2.196E-2</x:v>
      </x:c>
      <x:c r="AB34" s="37">
        <x:f t="shared" si="20"/>
        <x:v>7.1525000000000005E-2</x:v>
      </x:c>
      <x:c r="AC34" s="37">
        <x:f t="shared" si="20"/>
        <x:v>7.9697000000000004E-2</x:v>
      </x:c>
      <x:c r="AD34" s="37">
        <x:f t="shared" si="20"/>
        <x:v>3.558E-3</x:v>
      </x:c>
      <x:c r="AE34" s="70">
        <x:f t="shared" si="20"/>
        <x:v>3.0000000000000001E-6</x:v>
      </x:c>
      <x:c r="AF34" s="69">
        <x:f t="shared" si="20"/>
        <x:v>7.3150000000000003E-3</x:v>
      </x:c>
      <x:c r="AG34" s="37">
        <x:f t="shared" si="20"/>
        <x:v>4.8099999999999998E-4</x:v>
      </x:c>
      <x:c r="AH34" s="37">
        <x:f t="shared" si="20"/>
        <x:v>2.6480000000000002E-3</x:v>
      </x:c>
      <x:c r="AI34" s="37">
        <x:f t="shared" si="20"/>
        <x:v>1.3760000000000001E-3</x:v>
      </x:c>
      <x:c r="AJ34" s="70">
        <x:f t="shared" si="20"/>
        <x:v>5.6800000000000004E-4</x:v>
      </x:c>
      <x:c r="AK34" s="69">
        <x:f t="shared" si="20"/>
        <x:v>1.26E-4</x:v>
      </x:c>
      <x:c r="AL34" s="37">
        <x:f t="shared" si="20"/>
        <x:v>6.3500000000000004E-4</x:v>
      </x:c>
      <x:c r="AM34" s="70">
        <x:f t="shared" si="20"/>
        <x:v>0</x:v>
      </x:c>
      <x:c r="AN34" s="69">
        <x:f t="shared" si="20"/>
        <x:v>6.0219999999999996E-3</x:v>
      </x:c>
      <x:c r="AO34" s="37">
        <x:f t="shared" si="20"/>
        <x:v>4.5659999999999997E-3</x:v>
      </x:c>
      <x:c r="AP34" s="37">
        <x:f t="shared" si="20"/>
        <x:v>1.4344000000000001E-2</x:v>
      </x:c>
      <x:c r="AQ34" s="37">
        <x:f t="shared" si="20"/>
        <x:v>1.3816E-2</x:v>
      </x:c>
      <x:c r="AR34" s="37">
        <x:f t="shared" si="20"/>
        <x:v>8.1599999999999999E-4</x:v>
      </x:c>
      <x:c r="AS34" s="70">
        <x:f t="shared" si="20"/>
        <x:v>0</x:v>
      </x:c>
      <x:c r="AT34" s="69">
        <x:f t="shared" si="20"/>
        <x:v>0</x:v>
      </x:c>
      <x:c r="AU34" s="37">
        <x:f t="shared" si="20"/>
        <x:v>2.1999999999999999E-5</x:v>
      </x:c>
      <x:c r="AV34" s="37">
        <x:f t="shared" si="20"/>
        <x:v>0</x:v>
      </x:c>
      <x:c r="AW34" s="37">
        <x:f t="shared" si="20"/>
        <x:v>2.8800000000000001E-4</x:v>
      </x:c>
      <x:c r="AX34" s="70">
        <x:f t="shared" si="20"/>
        <x:v>2.6999999999999999E-5</x:v>
      </x:c>
      <x:c r="AY34" s="37"/>
      <x:c r="AZ34" s="69">
        <x:f t="shared" ref="AZ34:BK34" si="21">ROUND(AZ33/$BM33,6)</x:f>
        <x:v>1.0280000000000001E-3</x:v>
      </x:c>
      <x:c r="BA34" s="37">
        <x:f t="shared" si="21"/>
        <x:v>4.3381000000000003E-2</x:v>
      </x:c>
      <x:c r="BB34" s="37">
        <x:f t="shared" si="21"/>
        <x:v>1.6980000000000001E-3</x:v>
      </x:c>
      <x:c r="BC34" s="70">
        <x:f t="shared" si="21"/>
        <x:v>3.5959999999999998E-3</x:v>
      </x:c>
      <x:c r="BD34" s="71">
        <x:f t="shared" si="21"/>
        <x:v>5.3999999999999998E-5</x:v>
      </x:c>
      <x:c r="BE34" s="69">
        <x:f t="shared" si="21"/>
        <x:v>8.25E-4</x:v>
      </x:c>
      <x:c r="BF34" s="37">
        <x:f t="shared" si="21"/>
        <x:v>6.7590000000000003E-3</x:v>
      </x:c>
      <x:c r="BG34" s="37">
        <x:f t="shared" si="21"/>
        <x:v>1.3329000000000001E-2</x:v>
      </x:c>
      <x:c r="BH34" s="37">
        <x:f t="shared" si="21"/>
        <x:v>1.12E-4</x:v>
      </x:c>
      <x:c r="BI34" s="70">
        <x:f t="shared" si="21"/>
        <x:v>9.1000000000000003E-5</x:v>
      </x:c>
      <x:c r="BJ34" s="69">
        <x:f t="shared" si="21"/>
        <x:v>6.96E-4</x:v>
      </x:c>
      <x:c r="BK34" s="70">
        <x:f t="shared" si="21"/>
        <x:v>2.452E-2</x:v>
      </x:c>
      <x:c r="BM34" s="62">
        <x:f>SUM(G34:BK34)</x:f>
        <x:v>0.99999899999999975</x:v>
      </x:c>
    </x:row>
    <x:row r="35" spans="1:66" s="4" customFormat="1" ht="28" customHeight="1" thickBot="1" x14ac:dyDescent="0.35">
      <x:c r="A35" s="231">
        <x:f t="shared" si="0"/>
        <x:v>22</x:v>
      </x:c>
      <x:c r="C35" s="141" t="s">
        <x:v>180</x:v>
      </x:c>
      <x:c r="D35" s="141"/>
      <x:c r="E35" s="269" t="s">
        <x:v>42</x:v>
      </x:c>
      <x:c r="G35" s="74">
        <x:f>ROUND(G34*'Revenue Req.'!$P$28,0)</x:f>
        <x:v>1516279</x:v>
      </x:c>
      <x:c r="H35" s="38">
        <x:f>ROUND(H34*'Revenue Req.'!$P$28,0)</x:f>
        <x:v>65851</x:v>
      </x:c>
      <x:c r="I35" s="38">
        <x:f>ROUND(I34*'Revenue Req.'!$P$28,0)</x:f>
        <x:v>425759</x:v>
      </x:c>
      <x:c r="J35" s="38">
        <x:f>ROUND(J34*'Revenue Req.'!$P$28,0)</x:f>
        <x:v>215669</x:v>
      </x:c>
      <x:c r="K35" s="75">
        <x:f>ROUND(K34*'Revenue Req.'!$P$28,0)</x:f>
        <x:v>83407</x:v>
      </x:c>
      <x:c r="L35" s="38"/>
      <x:c r="M35" s="74">
        <x:f>ROUND(M34*'Revenue Req.'!$P$28,0)</x:f>
        <x:v>5571</x:v>
      </x:c>
      <x:c r="N35" s="38">
        <x:f>ROUND(N34*'Revenue Req.'!$P$28,0)</x:f>
        <x:v>7404</x:v>
      </x:c>
      <x:c r="O35" s="75">
        <x:f>ROUND(O34*'Revenue Req.'!$P$28,0)</x:f>
        <x:v>14626</x:v>
      </x:c>
      <x:c r="P35" s="38"/>
      <x:c r="Q35" s="74">
        <x:f>ROUND(Q34*'Revenue Req.'!$P$28,0)</x:f>
        <x:v>184915</x:v>
      </x:c>
      <x:c r="R35" s="75">
        <x:f>ROUND(R34*'Revenue Req.'!$P$28,0)</x:f>
        <x:v>8345</x:v>
      </x:c>
      <x:c r="S35" s="38"/>
      <x:c r="T35" s="74">
        <x:f>ROUND(T34*'Revenue Req.'!$P$28,0)</x:f>
        <x:v>90736</x:v>
      </x:c>
      <x:c r="U35" s="75">
        <x:f>ROUND(U34*'Revenue Req.'!$P$28,0)</x:f>
        <x:v>54757</x:v>
      </x:c>
      <x:c r="W35" s="74">
        <x:f>ROUND(W34*'Revenue Req.'!$P$28,0)</x:f>
        <x:v>84092</x:v>
      </x:c>
      <x:c r="X35" s="38">
        <x:f>ROUND(X34*'Revenue Req.'!$P$28,0)</x:f>
        <x:v>23871</x:v>
      </x:c>
      <x:c r="Y35" s="75">
        <x:f>ROUND(Y34*'Revenue Req.'!$P$28,0)</x:f>
        <x:v>0</x:v>
      </x:c>
      <x:c r="Z35" s="74">
        <x:f>ROUND(Z34*'Revenue Req.'!$P$28,0)</x:f>
        <x:v>2782890</x:v>
      </x:c>
      <x:c r="AA35" s="38">
        <x:f>ROUND(AA34*'Revenue Req.'!$P$28,0)</x:f>
        <x:v>181258</x:v>
      </x:c>
      <x:c r="AB35" s="38">
        <x:f>ROUND(AB34*'Revenue Req.'!$P$28,0)</x:f>
        <x:v>590368</x:v>
      </x:c>
      <x:c r="AC35" s="38">
        <x:f>ROUND(AC34*'Revenue Req.'!$P$28,0)</x:f>
        <x:v>657820</x:v>
      </x:c>
      <x:c r="AD35" s="38">
        <x:f>ROUND(AD34*'Revenue Req.'!$P$28,0)</x:f>
        <x:v>29368</x:v>
      </x:c>
      <x:c r="AE35" s="75">
        <x:f>ROUND(AE34*'Revenue Req.'!$P$28,0)</x:f>
        <x:v>25</x:v>
      </x:c>
      <x:c r="AF35" s="74">
        <x:f>ROUND(AF34*'Revenue Req.'!$P$28,0)</x:f>
        <x:v>60378</x:v>
      </x:c>
      <x:c r="AG35" s="38">
        <x:f>ROUND(AG34*'Revenue Req.'!$P$28,0)</x:f>
        <x:v>3970</x:v>
      </x:c>
      <x:c r="AH35" s="38">
        <x:f>ROUND(AH34*'Revenue Req.'!$P$28,0)</x:f>
        <x:v>21857</x:v>
      </x:c>
      <x:c r="AI35" s="38">
        <x:f>ROUND(AI34*'Revenue Req.'!$P$28,0)</x:f>
        <x:v>11358</x:v>
      </x:c>
      <x:c r="AJ35" s="75">
        <x:f>ROUND(AJ34*'Revenue Req.'!$P$28,0)</x:f>
        <x:v>4688</x:v>
      </x:c>
      <x:c r="AK35" s="74">
        <x:f>ROUND(AK34*'Revenue Req.'!$P$28,0)</x:f>
        <x:v>1040</x:v>
      </x:c>
      <x:c r="AL35" s="38">
        <x:f>ROUND(AL34*'Revenue Req.'!$P$28,0)</x:f>
        <x:v>5241</x:v>
      </x:c>
      <x:c r="AM35" s="75">
        <x:f>ROUND(AM34*'Revenue Req.'!$P$28,0)</x:f>
        <x:v>0</x:v>
      </x:c>
      <x:c r="AN35" s="74">
        <x:f>ROUND(AN34*'Revenue Req.'!$P$28,0)</x:f>
        <x:v>49706</x:v>
      </x:c>
      <x:c r="AO35" s="38">
        <x:f>ROUND(AO34*'Revenue Req.'!$P$28,0)</x:f>
        <x:v>37688</x:v>
      </x:c>
      <x:c r="AP35" s="38">
        <x:f>ROUND(AP34*'Revenue Req.'!$P$28,0)</x:f>
        <x:v>118396</x:v>
      </x:c>
      <x:c r="AQ35" s="38">
        <x:f>ROUND(AQ34*'Revenue Req.'!$P$28,0)</x:f>
        <x:v>114037</x:v>
      </x:c>
      <x:c r="AR35" s="38">
        <x:f>ROUND(AR34*'Revenue Req.'!$P$28,0)</x:f>
        <x:v>6735</x:v>
      </x:c>
      <x:c r="AS35" s="75">
        <x:f>ROUND(AS34*'Revenue Req.'!$P$28,0)</x:f>
        <x:v>0</x:v>
      </x:c>
      <x:c r="AT35" s="74">
        <x:f>ROUND(AT34*'Revenue Req.'!$P$28,0)</x:f>
        <x:v>0</x:v>
      </x:c>
      <x:c r="AU35" s="38">
        <x:f>ROUND(AU34*'Revenue Req.'!$P$28,0)</x:f>
        <x:v>182</x:v>
      </x:c>
      <x:c r="AV35" s="38">
        <x:f>ROUND(AV34*'Revenue Req.'!$P$28,0)</x:f>
        <x:v>0</x:v>
      </x:c>
      <x:c r="AW35" s="38">
        <x:f>ROUND(AW34*'Revenue Req.'!$P$28,0)</x:f>
        <x:v>2377</x:v>
      </x:c>
      <x:c r="AX35" s="75">
        <x:f>ROUND(AX34*'Revenue Req.'!$P$28,0)</x:f>
        <x:v>223</x:v>
      </x:c>
      <x:c r="AY35" s="38"/>
      <x:c r="AZ35" s="74">
        <x:f>ROUND(AZ34*'Revenue Req.'!$P$28,0)</x:f>
        <x:v>8485</x:v>
      </x:c>
      <x:c r="BA35" s="38">
        <x:f>ROUND(BA34*'Revenue Req.'!$P$28,0)</x:f>
        <x:v>358067</x:v>
      </x:c>
      <x:c r="BB35" s="38">
        <x:f>ROUND(BB34*'Revenue Req.'!$P$28,0)</x:f>
        <x:v>14015</x:v>
      </x:c>
      <x:c r="BC35" s="75">
        <x:f>ROUND(BC34*'Revenue Req.'!$P$28,0)</x:f>
        <x:v>29681</x:v>
      </x:c>
      <x:c r="BD35" s="76">
        <x:f>ROUND(BD34*'Revenue Req.'!$P$28,0)</x:f>
        <x:v>446</x:v>
      </x:c>
      <x:c r="BE35" s="74">
        <x:f>ROUND(BE34*'Revenue Req.'!$P$28,0)</x:f>
        <x:v>6810</x:v>
      </x:c>
      <x:c r="BF35" s="38">
        <x:f>ROUND(BF34*'Revenue Req.'!$P$28,0)</x:f>
        <x:v>55789</x:v>
      </x:c>
      <x:c r="BG35" s="38">
        <x:f>ROUND(BG34*'Revenue Req.'!$P$28,0)</x:f>
        <x:v>110018</x:v>
      </x:c>
      <x:c r="BH35" s="38">
        <x:f>ROUND(BH34*'Revenue Req.'!$P$28,0)</x:f>
        <x:v>924</x:v>
      </x:c>
      <x:c r="BI35" s="75">
        <x:f>ROUND(BI34*'Revenue Req.'!$P$28,0)</x:f>
        <x:v>751</x:v>
      </x:c>
      <x:c r="BJ35" s="74">
        <x:f>ROUND(BJ34*'Revenue Req.'!$P$28,0)</x:f>
        <x:v>5745</x:v>
      </x:c>
      <x:c r="BK35" s="75">
        <x:f>ROUND(BK34*'Revenue Req.'!$P$28,0)</x:f>
        <x:v>202388</x:v>
      </x:c>
      <x:c r="BM35" s="29">
        <x:f>SUM(G35:BK35)</x:f>
        <x:v>8254006</x:v>
      </x:c>
      <x:c r="BN35" s="175">
        <x:f>+BM35-'Revenue Req.'!P28</x:f>
        <x:v>-8</x:v>
      </x:c>
    </x:row>
    <x:row r="36" spans="1:66" s="4" customFormat="1" ht="9" customHeight="1" x14ac:dyDescent="0.3">
      <x:c r="A36" s="231"/>
      <x:c r="G36" s="23"/>
      <x:c r="H36" s="2"/>
      <x:c r="I36" s="2"/>
      <x:c r="J36" s="2"/>
      <x:c r="K36" s="24"/>
      <x:c r="L36" s="2"/>
      <x:c r="M36" s="23"/>
      <x:c r="N36" s="2"/>
      <x:c r="O36" s="24"/>
      <x:c r="P36" s="2"/>
      <x:c r="Q36" s="23"/>
      <x:c r="R36" s="24"/>
      <x:c r="S36" s="2"/>
      <x:c r="T36" s="23"/>
      <x:c r="U36" s="24"/>
      <x:c r="W36" s="23"/>
      <x:c r="X36" s="2"/>
      <x:c r="Y36" s="24"/>
      <x:c r="Z36" s="23"/>
      <x:c r="AA36" s="2"/>
      <x:c r="AB36" s="2"/>
      <x:c r="AC36" s="2"/>
      <x:c r="AD36" s="2"/>
      <x:c r="AE36" s="24"/>
      <x:c r="AF36" s="23"/>
      <x:c r="AG36" s="2"/>
      <x:c r="AH36" s="2"/>
      <x:c r="AI36" s="2"/>
      <x:c r="AJ36" s="24"/>
      <x:c r="AK36" s="23"/>
      <x:c r="AL36" s="2"/>
      <x:c r="AM36" s="24"/>
      <x:c r="AN36" s="23"/>
      <x:c r="AO36" s="2"/>
      <x:c r="AP36" s="2"/>
      <x:c r="AQ36" s="2"/>
      <x:c r="AR36" s="2"/>
      <x:c r="AS36" s="24"/>
      <x:c r="AT36" s="23"/>
      <x:c r="AU36" s="2"/>
      <x:c r="AV36" s="2"/>
      <x:c r="AW36" s="2"/>
      <x:c r="AX36" s="24"/>
      <x:c r="AY36" s="2"/>
      <x:c r="AZ36" s="23"/>
      <x:c r="BA36" s="2"/>
      <x:c r="BB36" s="2"/>
      <x:c r="BC36" s="24"/>
      <x:c r="BD36" s="49"/>
      <x:c r="BE36" s="23"/>
      <x:c r="BF36" s="2"/>
      <x:c r="BG36" s="2"/>
      <x:c r="BH36" s="2"/>
      <x:c r="BI36" s="24"/>
      <x:c r="BJ36" s="23"/>
      <x:c r="BK36" s="24"/>
    </x:row>
    <x:row r="37" spans="1:66" s="4" customFormat="1" x14ac:dyDescent="0.3">
      <x:c r="A37" s="231">
        <x:v>23</x:v>
      </x:c>
      <x:c r="B37" s="65" t="s">
        <x:v>50</x:v>
      </x:c>
      <x:c r="G37" s="23"/>
      <x:c r="H37" s="2"/>
      <x:c r="I37" s="2"/>
      <x:c r="J37" s="2"/>
      <x:c r="K37" s="24"/>
      <x:c r="L37" s="2"/>
      <x:c r="M37" s="23"/>
      <x:c r="N37" s="2"/>
      <x:c r="O37" s="24"/>
      <x:c r="P37" s="2"/>
      <x:c r="Q37" s="23"/>
      <x:c r="R37" s="24"/>
      <x:c r="S37" s="2"/>
      <x:c r="T37" s="23"/>
      <x:c r="U37" s="24"/>
      <x:c r="W37" s="23"/>
      <x:c r="X37" s="2"/>
      <x:c r="Y37" s="24"/>
      <x:c r="Z37" s="23"/>
      <x:c r="AA37" s="2"/>
      <x:c r="AB37" s="2"/>
      <x:c r="AC37" s="2"/>
      <x:c r="AD37" s="2"/>
      <x:c r="AE37" s="24"/>
      <x:c r="AF37" s="23"/>
      <x:c r="AG37" s="2"/>
      <x:c r="AH37" s="2"/>
      <x:c r="AI37" s="2"/>
      <x:c r="AJ37" s="24"/>
      <x:c r="AK37" s="23"/>
      <x:c r="AL37" s="2"/>
      <x:c r="AM37" s="24"/>
      <x:c r="AN37" s="23"/>
      <x:c r="AO37" s="2"/>
      <x:c r="AP37" s="2"/>
      <x:c r="AQ37" s="2"/>
      <x:c r="AR37" s="2"/>
      <x:c r="AS37" s="24"/>
      <x:c r="AT37" s="23"/>
      <x:c r="AU37" s="2"/>
      <x:c r="AV37" s="2"/>
      <x:c r="AW37" s="2"/>
      <x:c r="AX37" s="24"/>
      <x:c r="AY37" s="2"/>
      <x:c r="AZ37" s="23"/>
      <x:c r="BA37" s="2"/>
      <x:c r="BB37" s="2"/>
      <x:c r="BC37" s="24"/>
      <x:c r="BD37" s="49"/>
      <x:c r="BE37" s="23"/>
      <x:c r="BF37" s="2"/>
      <x:c r="BG37" s="2"/>
      <x:c r="BH37" s="2"/>
      <x:c r="BI37" s="24"/>
      <x:c r="BJ37" s="23"/>
      <x:c r="BK37" s="24"/>
    </x:row>
    <x:row r="38" spans="1:66" s="4" customFormat="1" ht="3" customHeight="1" x14ac:dyDescent="0.3">
      <x:c r="A38" s="231"/>
      <x:c r="G38" s="23"/>
      <x:c r="H38" s="2"/>
      <x:c r="I38" s="2"/>
      <x:c r="J38" s="2"/>
      <x:c r="K38" s="24"/>
      <x:c r="L38" s="2"/>
      <x:c r="M38" s="23"/>
      <x:c r="N38" s="2"/>
      <x:c r="O38" s="24"/>
      <x:c r="P38" s="2"/>
      <x:c r="Q38" s="23"/>
      <x:c r="R38" s="24"/>
      <x:c r="S38" s="2"/>
      <x:c r="T38" s="23"/>
      <x:c r="U38" s="24"/>
      <x:c r="W38" s="23"/>
      <x:c r="X38" s="2"/>
      <x:c r="Y38" s="24"/>
      <x:c r="Z38" s="23"/>
      <x:c r="AA38" s="2"/>
      <x:c r="AB38" s="2"/>
      <x:c r="AC38" s="2"/>
      <x:c r="AD38" s="2"/>
      <x:c r="AE38" s="24"/>
      <x:c r="AF38" s="23"/>
      <x:c r="AG38" s="2"/>
      <x:c r="AH38" s="2"/>
      <x:c r="AI38" s="2"/>
      <x:c r="AJ38" s="24"/>
      <x:c r="AK38" s="23"/>
      <x:c r="AL38" s="2"/>
      <x:c r="AM38" s="24"/>
      <x:c r="AN38" s="23"/>
      <x:c r="AO38" s="2"/>
      <x:c r="AP38" s="2"/>
      <x:c r="AQ38" s="2"/>
      <x:c r="AR38" s="2"/>
      <x:c r="AS38" s="24"/>
      <x:c r="AT38" s="23"/>
      <x:c r="AU38" s="2"/>
      <x:c r="AV38" s="2"/>
      <x:c r="AW38" s="2"/>
      <x:c r="AX38" s="24"/>
      <x:c r="AY38" s="2"/>
      <x:c r="AZ38" s="23"/>
      <x:c r="BA38" s="2"/>
      <x:c r="BB38" s="2"/>
      <x:c r="BC38" s="24"/>
      <x:c r="BD38" s="49"/>
      <x:c r="BE38" s="23"/>
      <x:c r="BF38" s="2"/>
      <x:c r="BG38" s="2"/>
      <x:c r="BH38" s="2"/>
      <x:c r="BI38" s="24"/>
      <x:c r="BJ38" s="23"/>
      <x:c r="BK38" s="24"/>
    </x:row>
    <x:row r="39" spans="1:66" s="4" customFormat="1" ht="13.5" customHeight="1" thickBot="1" x14ac:dyDescent="0.35">
      <x:c r="A39" s="231">
        <x:v>24</x:v>
      </x:c>
      <x:c r="C39" s="264" t="s">
        <x:v>181</x:v>
      </x:c>
      <x:c r="D39" s="264"/>
      <x:c r="E39" s="257" t="s">
        <x:v>51</x:v>
      </x:c>
      <x:c r="G39" s="69">
        <x:f>ROUND(G10/$BM10,6)</x:f>
        <x:v>0.18613299999999999</x:v>
      </x:c>
      <x:c r="H39" s="37">
        <x:f>ROUND(H10/$BM10,6)</x:f>
        <x:v>8.0459999999999993E-3</x:v>
      </x:c>
      <x:c r="I39" s="37">
        <x:f>ROUND(I10/$BM10,6)</x:f>
        <x:v>5.1327999999999999E-2</x:v>
      </x:c>
      <x:c r="J39" s="37">
        <x:f>ROUND(J10/$BM10,6)</x:f>
        <x:v>2.5523000000000001E-2</x:v>
      </x:c>
      <x:c r="K39" s="70">
        <x:f>ROUND(K10/$BM10,6)</x:f>
        <x:v>9.6699999999999998E-3</x:v>
      </x:c>
      <x:c r="L39" s="37"/>
      <x:c r="M39" s="69">
        <x:f>ROUND(M10/$BM10,6)</x:f>
        <x:v>6.2E-4</x:v>
      </x:c>
      <x:c r="N39" s="37">
        <x:f>ROUND(N10/$BM10,6)</x:f>
        <x:v>8.1499999999999997E-4</x:v>
      </x:c>
      <x:c r="O39" s="70">
        <x:f>ROUND(O10/$BM10,6)</x:f>
        <x:v>1.6019999999999999E-3</x:v>
      </x:c>
      <x:c r="P39" s="37"/>
      <x:c r="Q39" s="69">
        <x:f>ROUND(Q10/$BM10,6)</x:f>
        <x:v>2.4475E-2</x:v>
      </x:c>
      <x:c r="R39" s="70">
        <x:f>ROUND(R10/$BM10,6)</x:f>
        <x:v>1.1000000000000001E-3</x:v>
      </x:c>
      <x:c r="S39" s="37"/>
      <x:c r="T39" s="69">
        <x:f>ROUND(T10/$BM10,6)</x:f>
        <x:v>1.1233E-2</x:v>
      </x:c>
      <x:c r="U39" s="70">
        <x:f>ROUND(U10/$BM10,6)</x:f>
        <x:v>6.0429999999999998E-3</x:v>
      </x:c>
      <x:c r="W39" s="69">
        <x:f t="shared" ref="W39:AX39" si="22">ROUND(W10/$BM10,6)</x:f>
        <x:v>1.0323000000000001E-2</x:v>
      </x:c>
      <x:c r="X39" s="37">
        <x:f t="shared" si="22"/>
        <x:v>2.8779999999999999E-3</x:v>
      </x:c>
      <x:c r="Y39" s="70">
        <x:f t="shared" si="22"/>
        <x:v>0</x:v>
      </x:c>
      <x:c r="Z39" s="69">
        <x:f>ROUND(Z10/$BM10,6)</x:f>
        <x:v>0.34161900000000001</x:v>
      </x:c>
      <x:c r="AA39" s="37">
        <x:f>ROUND(AA10/$BM10,6)</x:f>
        <x:v>2.2145999999999999E-2</x:v>
      </x:c>
      <x:c r="AB39" s="37">
        <x:f>ROUND(AB10/$BM10,6)</x:f>
        <x:v>7.1173E-2</x:v>
      </x:c>
      <x:c r="AC39" s="37">
        <x:f>ROUND(AC10/$BM10,6)</x:f>
        <x:v>7.7850000000000003E-2</x:v>
      </x:c>
      <x:c r="AD39" s="37">
        <x:f t="shared" si="22"/>
        <x:v>3.4039999999999999E-3</x:v>
      </x:c>
      <x:c r="AE39" s="70">
        <x:f t="shared" si="22"/>
        <x:v>3.0000000000000001E-6</x:v>
      </x:c>
      <x:c r="AF39" s="69">
        <x:f t="shared" si="22"/>
        <x:v>7.3769999999999999E-3</x:v>
      </x:c>
      <x:c r="AG39" s="37">
        <x:f t="shared" si="22"/>
        <x:v>4.86E-4</x:v>
      </x:c>
      <x:c r="AH39" s="37">
        <x:f t="shared" si="22"/>
        <x:v>2.5869999999999999E-3</x:v>
      </x:c>
      <x:c r="AI39" s="37">
        <x:f t="shared" si="22"/>
        <x:v>1.317E-3</x:v>
      </x:c>
      <x:c r="AJ39" s="70">
        <x:f t="shared" si="22"/>
        <x:v>5.4299999999999997E-4</x:v>
      </x:c>
      <x:c r="AK39" s="69">
        <x:f t="shared" si="22"/>
        <x:v>1.1E-4</x:v>
      </x:c>
      <x:c r="AL39" s="37">
        <x:f t="shared" si="22"/>
        <x:v>5.4299999999999997E-4</x:v>
      </x:c>
      <x:c r="AM39" s="70">
        <x:f t="shared" si="22"/>
        <x:v>0</x:v>
      </x:c>
      <x:c r="AN39" s="69">
        <x:f t="shared" si="22"/>
        <x:v>5.2339999999999999E-3</x:v>
      </x:c>
      <x:c r="AO39" s="37">
        <x:f t="shared" si="22"/>
        <x:v>3.9529999999999999E-3</x:v>
      </x:c>
      <x:c r="AP39" s="37">
        <x:f t="shared" si="22"/>
        <x:v>1.2276E-2</x:v>
      </x:c>
      <x:c r="AQ39" s="37">
        <x:f t="shared" si="22"/>
        <x:v>1.1637E-2</x:v>
      </x:c>
      <x:c r="AR39" s="37">
        <x:f t="shared" si="22"/>
        <x:v>6.7500000000000004E-4</x:v>
      </x:c>
      <x:c r="AS39" s="70">
        <x:f t="shared" si="22"/>
        <x:v>0</x:v>
      </x:c>
      <x:c r="AT39" s="69">
        <x:f t="shared" si="22"/>
        <x:v>0</x:v>
      </x:c>
      <x:c r="AU39" s="37">
        <x:f t="shared" si="22"/>
        <x:v>1.9000000000000001E-5</x:v>
      </x:c>
      <x:c r="AV39" s="37">
        <x:f t="shared" si="22"/>
        <x:v>0</x:v>
      </x:c>
      <x:c r="AW39" s="37">
        <x:f t="shared" si="22"/>
        <x:v>2.3900000000000001E-4</x:v>
      </x:c>
      <x:c r="AX39" s="70">
        <x:f t="shared" si="22"/>
        <x:v>2.1999999999999999E-5</x:v>
      </x:c>
      <x:c r="AY39" s="37"/>
      <x:c r="AZ39" s="69">
        <x:f t="shared" ref="AZ39:BK39" si="23">ROUND(AZ10/$BM10,6)</x:f>
        <x:v>1.0510000000000001E-3</x:v>
      </x:c>
      <x:c r="BA39" s="37">
        <x:f t="shared" si="23"/>
        <x:v>4.4330000000000001E-2</x:v>
      </x:c>
      <x:c r="BB39" s="37">
        <x:f t="shared" si="23"/>
        <x:v>1.547E-3</x:v>
      </x:c>
      <x:c r="BC39" s="70">
        <x:f t="shared" si="23"/>
        <x:v>3.2750000000000001E-3</x:v>
      </x:c>
      <x:c r="BD39" s="71">
        <x:f t="shared" si="23"/>
        <x:v>5.5000000000000002E-5</x:v>
      </x:c>
      <x:c r="BE39" s="69">
        <x:f t="shared" si="23"/>
        <x:v>7.5699999999999997E-4</x:v>
      </x:c>
      <x:c r="BF39" s="37">
        <x:f t="shared" si="23"/>
        <x:v>6.2049999999999996E-3</x:v>
      </x:c>
      <x:c r="BG39" s="37">
        <x:f t="shared" si="23"/>
        <x:v>1.2048E-2</x:v>
      </x:c>
      <x:c r="BH39" s="37">
        <x:f t="shared" si="23"/>
        <x:v>1.01E-4</x:v>
      </x:c>
      <x:c r="BI39" s="70">
        <x:f t="shared" si="23"/>
        <x:v>8.2000000000000001E-5</x:v>
      </x:c>
      <x:c r="BJ39" s="69">
        <x:f t="shared" si="23"/>
        <x:v>7.6000000000000004E-4</x:v>
      </x:c>
      <x:c r="BK39" s="70">
        <x:f t="shared" si="23"/>
        <x:v>2.6787999999999999E-2</x:v>
      </x:c>
      <x:c r="BM39" s="62">
        <x:f>SUM(G39:BK39)</x:f>
        <x:v>1.0000009999999997</x:v>
      </x:c>
    </x:row>
    <x:row r="40" spans="1:66" s="4" customFormat="1" ht="30" customHeight="1" thickBot="1" x14ac:dyDescent="0.35">
      <x:c r="A40" s="231">
        <x:f t="shared" si="0"/>
        <x:v>25</x:v>
      </x:c>
      <x:c r="C40" s="141" t="s">
        <x:v>183</x:v>
      </x:c>
      <x:c r="D40" s="141"/>
      <x:c r="E40" s="269" t="s">
        <x:v>42</x:v>
      </x:c>
      <x:c r="G40" s="74">
        <x:f>ROUND(G39*'Revenue Req.'!$L$28,0)</x:f>
        <x:v>2521155</x:v>
      </x:c>
      <x:c r="H40" s="38">
        <x:f>ROUND(H39*'Revenue Req.'!$L$28,0)</x:f>
        <x:v>108982</x:v>
      </x:c>
      <x:c r="I40" s="38">
        <x:f>ROUND(I39*'Revenue Req.'!$L$28,0)</x:f>
        <x:v>695233</x:v>
      </x:c>
      <x:c r="J40" s="38">
        <x:f>ROUND(J39*'Revenue Req.'!$L$28,0)</x:f>
        <x:v>345707</x:v>
      </x:c>
      <x:c r="K40" s="75">
        <x:f>ROUND(K39*'Revenue Req.'!$L$28,0)</x:f>
        <x:v>130979</x:v>
      </x:c>
      <x:c r="L40" s="38"/>
      <x:c r="M40" s="74">
        <x:f>ROUND(M39*'Revenue Req.'!$L$28,0)</x:f>
        <x:v>8398</x:v>
      </x:c>
      <x:c r="N40" s="38">
        <x:f>ROUND(N39*'Revenue Req.'!$L$28,0)</x:f>
        <x:v>11039</x:v>
      </x:c>
      <x:c r="O40" s="75">
        <x:f>ROUND(O39*'Revenue Req.'!$L$28,0)</x:f>
        <x:v>21699</x:v>
      </x:c>
      <x:c r="P40" s="38"/>
      <x:c r="Q40" s="74">
        <x:f>ROUND(Q39*'Revenue Req.'!$L$28,0)</x:f>
        <x:v>331512</x:v>
      </x:c>
      <x:c r="R40" s="75">
        <x:f>ROUND(R39*'Revenue Req.'!$L$28,0)</x:f>
        <x:v>14899</x:v>
      </x:c>
      <x:c r="S40" s="38"/>
      <x:c r="T40" s="74">
        <x:f>ROUND(T39*'Revenue Req.'!$L$28,0)</x:f>
        <x:v>152150</x:v>
      </x:c>
      <x:c r="U40" s="75">
        <x:f>ROUND(U39*'Revenue Req.'!$L$28,0)</x:f>
        <x:v>81852</x:v>
      </x:c>
      <x:c r="W40" s="74">
        <x:f>ROUND(W39*'Revenue Req.'!$L$28,0)</x:f>
        <x:v>139824</x:v>
      </x:c>
      <x:c r="X40" s="38">
        <x:f>ROUND(X39*'Revenue Req.'!$L$28,0)</x:f>
        <x:v>38982</x:v>
      </x:c>
      <x:c r="Y40" s="75">
        <x:f>ROUND(Y39*'Revenue Req.'!$L$28,0)</x:f>
        <x:v>0</x:v>
      </x:c>
      <x:c r="Z40" s="74">
        <x:f>ROUND(Z39*'Revenue Req.'!$L$28,0)</x:f>
        <x:v>4627198</x:v>
      </x:c>
      <x:c r="AA40" s="38">
        <x:f>ROUND(AA39*'Revenue Req.'!$L$28,0)</x:f>
        <x:v>299966</x:v>
      </x:c>
      <x:c r="AB40" s="38">
        <x:f>ROUND(AB39*'Revenue Req.'!$L$28,0)</x:f>
        <x:v>964032</x:v>
      </x:c>
      <x:c r="AC40" s="38">
        <x:f>ROUND(AC39*'Revenue Req.'!$L$28,0)</x:f>
        <x:v>1054471</x:v>
      </x:c>
      <x:c r="AD40" s="38">
        <x:f>ROUND(AD39*'Revenue Req.'!$L$28,0)</x:f>
        <x:v>46107</x:v>
      </x:c>
      <x:c r="AE40" s="75">
        <x:f>ROUND(AE39*'Revenue Req.'!$L$28,0)</x:f>
        <x:v>41</x:v>
      </x:c>
      <x:c r="AF40" s="74">
        <x:f>ROUND(AF39*'Revenue Req.'!$L$28,0)</x:f>
        <x:v>99921</x:v>
      </x:c>
      <x:c r="AG40" s="38">
        <x:f>ROUND(AG39*'Revenue Req.'!$L$28,0)</x:f>
        <x:v>6583</x:v>
      </x:c>
      <x:c r="AH40" s="38">
        <x:f>ROUND(AH39*'Revenue Req.'!$L$28,0)</x:f>
        <x:v>35041</x:v>
      </x:c>
      <x:c r="AI40" s="38">
        <x:f>ROUND(AI39*'Revenue Req.'!$L$28,0)</x:f>
        <x:v>17839</x:v>
      </x:c>
      <x:c r="AJ40" s="75">
        <x:f>ROUND(AJ39*'Revenue Req.'!$L$28,0)</x:f>
        <x:v>7355</x:v>
      </x:c>
      <x:c r="AK40" s="74">
        <x:f>ROUND(AK39*'Revenue Req.'!$L$28,0)</x:f>
        <x:v>1490</x:v>
      </x:c>
      <x:c r="AL40" s="38">
        <x:f>ROUND(AL39*'Revenue Req.'!$L$28,0)</x:f>
        <x:v>7355</x:v>
      </x:c>
      <x:c r="AM40" s="75">
        <x:f>ROUND(AM39*'Revenue Req.'!$L$28,0)</x:f>
        <x:v>0</x:v>
      </x:c>
      <x:c r="AN40" s="74">
        <x:f>ROUND(AN39*'Revenue Req.'!$L$28,0)</x:f>
        <x:v>70894</x:v>
      </x:c>
      <x:c r="AO40" s="38">
        <x:f>ROUND(AO39*'Revenue Req.'!$L$28,0)</x:f>
        <x:v>53543</x:v>
      </x:c>
      <x:c r="AP40" s="38">
        <x:f>ROUND(AP39*'Revenue Req.'!$L$28,0)</x:f>
        <x:v>166277</x:v>
      </x:c>
      <x:c r="AQ40" s="38">
        <x:f>ROUND(AQ39*'Revenue Req.'!$L$28,0)</x:f>
        <x:v>157622</x:v>
      </x:c>
      <x:c r="AR40" s="38">
        <x:f>ROUND(AR39*'Revenue Req.'!$L$28,0)</x:f>
        <x:v>9143</x:v>
      </x:c>
      <x:c r="AS40" s="75">
        <x:f>ROUND(AS39*'Revenue Req.'!$L$28,0)</x:f>
        <x:v>0</x:v>
      </x:c>
      <x:c r="AT40" s="74">
        <x:f>ROUND(AT39*'Revenue Req.'!$L$28,0)</x:f>
        <x:v>0</x:v>
      </x:c>
      <x:c r="AU40" s="38">
        <x:f>ROUND(AU39*'Revenue Req.'!$L$28,0)</x:f>
        <x:v>257</x:v>
      </x:c>
      <x:c r="AV40" s="38">
        <x:f>ROUND(AV39*'Revenue Req.'!$L$28,0)</x:f>
        <x:v>0</x:v>
      </x:c>
      <x:c r="AW40" s="38">
        <x:f>ROUND(AW39*'Revenue Req.'!$L$28,0)</x:f>
        <x:v>3237</x:v>
      </x:c>
      <x:c r="AX40" s="75">
        <x:f>ROUND(AX39*'Revenue Req.'!$L$28,0)</x:f>
        <x:v>298</x:v>
      </x:c>
      <x:c r="AY40" s="38"/>
      <x:c r="AZ40" s="74">
        <x:f>ROUND(AZ39*'Revenue Req.'!$L$28,0)</x:f>
        <x:v>14236</x:v>
      </x:c>
      <x:c r="BA40" s="38">
        <x:f>ROUND(BA39*'Revenue Req.'!$L$28,0)</x:f>
        <x:v>600446</x:v>
      </x:c>
      <x:c r="BB40" s="38">
        <x:f>ROUND(BB39*'Revenue Req.'!$L$28,0)</x:f>
        <x:v>20954</x:v>
      </x:c>
      <x:c r="BC40" s="75">
        <x:f>ROUND(BC39*'Revenue Req.'!$L$28,0)</x:f>
        <x:v>44360</x:v>
      </x:c>
      <x:c r="BD40" s="76">
        <x:f>ROUND(BD39*'Revenue Req.'!$L$28,0)</x:f>
        <x:v>745</x:v>
      </x:c>
      <x:c r="BE40" s="74">
        <x:f>ROUND(BE39*'Revenue Req.'!$L$28,0)</x:f>
        <x:v>10253</x:v>
      </x:c>
      <x:c r="BF40" s="38">
        <x:f>ROUND(BF39*'Revenue Req.'!$L$28,0)</x:f>
        <x:v>84046</x:v>
      </x:c>
      <x:c r="BG40" s="38">
        <x:f>ROUND(BG39*'Revenue Req.'!$L$28,0)</x:f>
        <x:v>163189</x:v>
      </x:c>
      <x:c r="BH40" s="38">
        <x:f>ROUND(BH39*'Revenue Req.'!$L$28,0)</x:f>
        <x:v>1368</x:v>
      </x:c>
      <x:c r="BI40" s="75">
        <x:f>ROUND(BI39*'Revenue Req.'!$L$28,0)</x:f>
        <x:v>1111</x:v>
      </x:c>
      <x:c r="BJ40" s="74">
        <x:f>ROUND(BJ39*'Revenue Req.'!$L$28,0)</x:f>
        <x:v>10294</x:v>
      </x:c>
      <x:c r="BK40" s="75">
        <x:f>ROUND(BK39*'Revenue Req.'!$L$28,0)</x:f>
        <x:v>362841</x:v>
      </x:c>
      <x:c r="BM40" s="29">
        <x:f>SUM(G40:BK40)</x:f>
        <x:v>13544924</x:v>
      </x:c>
      <x:c r="BN40" s="175">
        <x:f>+BM40-'Revenue Req.'!L28</x:f>
        <x:v>15</x:v>
      </x:c>
    </x:row>
    <x:row r="41" spans="1:66" s="4" customFormat="1" ht="9" customHeight="1" thickBot="1" x14ac:dyDescent="0.35">
      <x:c r="A41" s="231"/>
      <x:c r="G41" s="23"/>
      <x:c r="H41" s="2"/>
      <x:c r="I41" s="2"/>
      <x:c r="J41" s="2"/>
      <x:c r="K41" s="24"/>
      <x:c r="L41" s="2"/>
      <x:c r="M41" s="23"/>
      <x:c r="N41" s="2"/>
      <x:c r="O41" s="24"/>
      <x:c r="P41" s="2"/>
      <x:c r="Q41" s="23"/>
      <x:c r="R41" s="24"/>
      <x:c r="S41" s="2"/>
      <x:c r="T41" s="23"/>
      <x:c r="U41" s="24"/>
      <x:c r="W41" s="23"/>
      <x:c r="X41" s="2"/>
      <x:c r="Y41" s="24"/>
      <x:c r="Z41" s="23"/>
      <x:c r="AA41" s="2"/>
      <x:c r="AB41" s="2"/>
      <x:c r="AC41" s="2"/>
      <x:c r="AD41" s="2"/>
      <x:c r="AE41" s="24"/>
      <x:c r="AF41" s="23"/>
      <x:c r="AG41" s="2"/>
      <x:c r="AH41" s="2"/>
      <x:c r="AI41" s="2"/>
      <x:c r="AJ41" s="24"/>
      <x:c r="AK41" s="23"/>
      <x:c r="AL41" s="2"/>
      <x:c r="AM41" s="24"/>
      <x:c r="AN41" s="23"/>
      <x:c r="AO41" s="2"/>
      <x:c r="AP41" s="2"/>
      <x:c r="AQ41" s="2"/>
      <x:c r="AR41" s="2"/>
      <x:c r="AS41" s="24"/>
      <x:c r="AT41" s="23"/>
      <x:c r="AU41" s="2"/>
      <x:c r="AV41" s="2"/>
      <x:c r="AW41" s="2"/>
      <x:c r="AX41" s="24"/>
      <x:c r="AY41" s="2"/>
      <x:c r="AZ41" s="23"/>
      <x:c r="BA41" s="2"/>
      <x:c r="BB41" s="2"/>
      <x:c r="BC41" s="24"/>
      <x:c r="BD41" s="49"/>
      <x:c r="BE41" s="23"/>
      <x:c r="BF41" s="2"/>
      <x:c r="BG41" s="2"/>
      <x:c r="BH41" s="2"/>
      <x:c r="BI41" s="24"/>
      <x:c r="BJ41" s="23"/>
      <x:c r="BK41" s="24"/>
    </x:row>
    <x:row r="42" spans="1:66" s="4" customFormat="1" ht="13.5" customHeight="1" thickBot="1" x14ac:dyDescent="0.35">
      <x:c r="A42" s="231">
        <x:v>26</x:v>
      </x:c>
      <x:c r="C42" s="65" t="s">
        <x:v>182</x:v>
      </x:c>
      <x:c r="E42" s="16" t="s">
        <x:v>55</x:v>
      </x:c>
      <x:c r="G42" s="78">
        <x:f t="shared" ref="G42:K42" si="24">+G40+G35+G28+G21</x:f>
        <x:v>13484911</x:v>
      </x:c>
      <x:c r="H42" s="79">
        <x:f t="shared" si="24"/>
        <x:v>598222</x:v>
      </x:c>
      <x:c r="I42" s="79">
        <x:f t="shared" si="24"/>
        <x:v>3973686</x:v>
      </x:c>
      <x:c r="J42" s="79">
        <x:f t="shared" si="24"/>
        <x:v>2061763</x:v>
      </x:c>
      <x:c r="K42" s="80">
        <x:f t="shared" si="24"/>
        <x:v>829280</x:v>
      </x:c>
      <x:c r="L42" s="38"/>
      <x:c r="M42" s="78">
        <x:f t="shared" ref="M42:R42" si="25">+M40+M35+M28+M21</x:f>
        <x:v>53404</x:v>
      </x:c>
      <x:c r="N42" s="79">
        <x:f t="shared" si="25"/>
        <x:v>72463</x:v>
      </x:c>
      <x:c r="O42" s="80">
        <x:f t="shared" si="25"/>
        <x:v>145731</x:v>
      </x:c>
      <x:c r="P42" s="38"/>
      <x:c r="Q42" s="78">
        <x:f t="shared" si="25"/>
        <x:v>1539117</x:v>
      </x:c>
      <x:c r="R42" s="80">
        <x:f t="shared" si="25"/>
        <x:v>71195</x:v>
      </x:c>
      <x:c r="S42" s="38"/>
      <x:c r="T42" s="78">
        <x:f t="shared" ref="T42:U42" si="26">+T40+T35+T28+T21</x:f>
        <x:v>801320</x:v>
      </x:c>
      <x:c r="U42" s="80">
        <x:f t="shared" si="26"/>
        <x:v>535033</x:v>
      </x:c>
      <x:c r="W42" s="78">
        <x:f>+W40+W35+W28+W21</x:f>
        <x:v>796372</x:v>
      </x:c>
      <x:c r="X42" s="79">
        <x:f t="shared" ref="X42:BK42" si="27">+X40+X35+X28+X21</x:f>
        <x:v>248628</x:v>
      </x:c>
      <x:c r="Y42" s="80">
        <x:f t="shared" si="27"/>
        <x:v>0</x:v>
      </x:c>
      <x:c r="Z42" s="78">
        <x:f t="shared" si="27"/>
        <x:v>25479325</x:v>
      </x:c>
      <x:c r="AA42" s="79">
        <x:f t="shared" si="27"/>
        <x:v>1722312</x:v>
      </x:c>
      <x:c r="AB42" s="79">
        <x:f t="shared" si="27"/>
        <x:v>5722854</x:v>
      </x:c>
      <x:c r="AC42" s="79">
        <x:f t="shared" si="27"/>
        <x:v>6588141</x:v>
      </x:c>
      <x:c r="AD42" s="79">
        <x:f t="shared" si="27"/>
        <x:v>315223</x:v>
      </x:c>
      <x:c r="AE42" s="80">
        <x:f t="shared" si="27"/>
        <x:v>309</x:v>
      </x:c>
      <x:c r="AF42" s="78">
        <x:f t="shared" si="27"/>
        <x:v>570555</x:v>
      </x:c>
      <x:c r="AG42" s="79">
        <x:f t="shared" si="27"/>
        <x:v>37579</x:v>
      </x:c>
      <x:c r="AH42" s="79">
        <x:f t="shared" si="27"/>
        <x:v>218897</x:v>
      </x:c>
      <x:c r="AI42" s="79">
        <x:f t="shared" si="27"/>
        <x:v>121926</x:v>
      </x:c>
      <x:c r="AJ42" s="80">
        <x:f t="shared" si="27"/>
        <x:v>60036</x:v>
      </x:c>
      <x:c r="AK42" s="78">
        <x:f t="shared" si="27"/>
        <x:v>10853</x:v>
      </x:c>
      <x:c r="AL42" s="79">
        <x:f t="shared" si="27"/>
        <x:v>58812</x:v>
      </x:c>
      <x:c r="AM42" s="80">
        <x:f t="shared" si="27"/>
        <x:v>0</x:v>
      </x:c>
      <x:c r="AN42" s="78">
        <x:f t="shared" si="27"/>
        <x:v>504706</x:v>
      </x:c>
      <x:c r="AO42" s="79">
        <x:f t="shared" si="27"/>
        <x:v>393794</x:v>
      </x:c>
      <x:c r="AP42" s="79">
        <x:f t="shared" si="27"/>
        <x:v>1255232</x:v>
      </x:c>
      <x:c r="AQ42" s="79">
        <x:f t="shared" si="27"/>
        <x:v>1238978</x:v>
      </x:c>
      <x:c r="AR42" s="79">
        <x:f t="shared" si="27"/>
        <x:v>77240</x:v>
      </x:c>
      <x:c r="AS42" s="80">
        <x:f t="shared" si="27"/>
        <x:v>0</x:v>
      </x:c>
      <x:c r="AT42" s="78">
        <x:f t="shared" si="27"/>
        <x:v>0</x:v>
      </x:c>
      <x:c r="AU42" s="79">
        <x:f t="shared" si="27"/>
        <x:v>1925</x:v>
      </x:c>
      <x:c r="AV42" s="79">
        <x:f t="shared" si="27"/>
        <x:v>0</x:v>
      </x:c>
      <x:c r="AW42" s="79">
        <x:f t="shared" si="27"/>
        <x:v>27328</x:v>
      </x:c>
      <x:c r="AX42" s="80">
        <x:f t="shared" si="27"/>
        <x:v>2901</x:v>
      </x:c>
      <x:c r="AY42" s="38"/>
      <x:c r="AZ42" s="78">
        <x:f t="shared" si="27"/>
        <x:v>79863</x:v>
      </x:c>
      <x:c r="BA42" s="79">
        <x:f t="shared" si="27"/>
        <x:v>3256896</x:v>
      </x:c>
      <x:c r="BB42" s="79">
        <x:f t="shared" si="27"/>
        <x:v>142258</x:v>
      </x:c>
      <x:c r="BC42" s="80">
        <x:f t="shared" si="27"/>
        <x:v>299801</x:v>
      </x:c>
      <x:c r="BD42" s="81">
        <x:f t="shared" si="27"/>
        <x:v>4087</x:v>
      </x:c>
      <x:c r="BE42" s="78">
        <x:f t="shared" si="27"/>
        <x:v>68769</x:v>
      </x:c>
      <x:c r="BF42" s="79">
        <x:f t="shared" si="27"/>
        <x:v>547655</x:v>
      </x:c>
      <x:c r="BG42" s="79">
        <x:f t="shared" si="27"/>
        <x:v>1152552</x:v>
      </x:c>
      <x:c r="BH42" s="79">
        <x:f t="shared" si="27"/>
        <x:v>10223</x:v>
      </x:c>
      <x:c r="BI42" s="80">
        <x:f t="shared" si="27"/>
        <x:v>9781</x:v>
      </x:c>
      <x:c r="BJ42" s="78">
        <x:f t="shared" si="27"/>
        <x:v>51355</x:v>
      </x:c>
      <x:c r="BK42" s="80">
        <x:f t="shared" si="27"/>
        <x:v>1741745</x:v>
      </x:c>
      <x:c r="BM42" s="29">
        <x:f>SUM(G42:BK42)</x:f>
        <x:v>76985036</x:v>
      </x:c>
    </x:row>
    <x:row r="43" spans="1:66" s="4" customFormat="1" ht="9" customHeight="1" thickTop="1" x14ac:dyDescent="0.3">
      <x:c r="A43" s="231"/>
      <x:c r="G43" s="23"/>
      <x:c r="H43" s="2"/>
      <x:c r="I43" s="2"/>
      <x:c r="J43" s="2"/>
      <x:c r="K43" s="24"/>
      <x:c r="L43" s="2"/>
      <x:c r="M43" s="23"/>
      <x:c r="N43" s="2"/>
      <x:c r="O43" s="24"/>
      <x:c r="P43" s="2"/>
      <x:c r="Q43" s="23"/>
      <x:c r="R43" s="24"/>
      <x:c r="S43" s="2"/>
      <x:c r="T43" s="23"/>
      <x:c r="U43" s="24"/>
      <x:c r="W43" s="23"/>
      <x:c r="X43" s="2"/>
      <x:c r="Y43" s="24"/>
      <x:c r="Z43" s="23"/>
      <x:c r="AA43" s="2"/>
      <x:c r="AB43" s="2"/>
      <x:c r="AC43" s="2"/>
      <x:c r="AD43" s="2"/>
      <x:c r="AE43" s="24"/>
      <x:c r="AF43" s="23"/>
      <x:c r="AG43" s="2"/>
      <x:c r="AH43" s="2"/>
      <x:c r="AI43" s="2"/>
      <x:c r="AJ43" s="24"/>
      <x:c r="AK43" s="23"/>
      <x:c r="AL43" s="2"/>
      <x:c r="AM43" s="24"/>
      <x:c r="AN43" s="23"/>
      <x:c r="AO43" s="2"/>
      <x:c r="AP43" s="2"/>
      <x:c r="AQ43" s="2"/>
      <x:c r="AR43" s="2"/>
      <x:c r="AS43" s="24"/>
      <x:c r="AT43" s="23"/>
      <x:c r="AU43" s="2"/>
      <x:c r="AV43" s="2"/>
      <x:c r="AW43" s="2"/>
      <x:c r="AX43" s="24"/>
      <x:c r="AY43" s="2"/>
      <x:c r="AZ43" s="23"/>
      <x:c r="BA43" s="2"/>
      <x:c r="BB43" s="2"/>
      <x:c r="BC43" s="24"/>
      <x:c r="BD43" s="49"/>
      <x:c r="BE43" s="23"/>
      <x:c r="BF43" s="2"/>
      <x:c r="BG43" s="2"/>
      <x:c r="BH43" s="2"/>
      <x:c r="BI43" s="24"/>
      <x:c r="BJ43" s="23"/>
      <x:c r="BK43" s="24"/>
    </x:row>
    <x:row r="44" spans="1:66" s="4" customFormat="1" x14ac:dyDescent="0.3">
      <x:c r="A44" s="231">
        <x:v>27</x:v>
      </x:c>
      <x:c r="B44" s="65" t="s">
        <x:v>52</x:v>
      </x:c>
      <x:c r="G44" s="23"/>
      <x:c r="H44" s="2"/>
      <x:c r="I44" s="2"/>
      <x:c r="J44" s="2"/>
      <x:c r="K44" s="24"/>
      <x:c r="L44" s="2"/>
      <x:c r="M44" s="23"/>
      <x:c r="N44" s="2"/>
      <x:c r="O44" s="24"/>
      <x:c r="P44" s="2"/>
      <x:c r="Q44" s="23"/>
      <x:c r="R44" s="24"/>
      <x:c r="S44" s="2"/>
      <x:c r="T44" s="23"/>
      <x:c r="U44" s="24"/>
      <x:c r="W44" s="23"/>
      <x:c r="X44" s="2"/>
      <x:c r="Y44" s="24"/>
      <x:c r="Z44" s="23"/>
      <x:c r="AA44" s="2"/>
      <x:c r="AB44" s="2"/>
      <x:c r="AC44" s="2"/>
      <x:c r="AD44" s="2"/>
      <x:c r="AE44" s="24"/>
      <x:c r="AF44" s="23"/>
      <x:c r="AG44" s="2"/>
      <x:c r="AH44" s="2"/>
      <x:c r="AI44" s="2"/>
      <x:c r="AJ44" s="24"/>
      <x:c r="AK44" s="23"/>
      <x:c r="AL44" s="2"/>
      <x:c r="AM44" s="24"/>
      <x:c r="AN44" s="23"/>
      <x:c r="AO44" s="2"/>
      <x:c r="AP44" s="2"/>
      <x:c r="AQ44" s="2"/>
      <x:c r="AR44" s="2"/>
      <x:c r="AS44" s="24"/>
      <x:c r="AT44" s="23"/>
      <x:c r="AU44" s="2"/>
      <x:c r="AV44" s="2"/>
      <x:c r="AW44" s="2"/>
      <x:c r="AX44" s="24"/>
      <x:c r="AY44" s="2"/>
      <x:c r="AZ44" s="23"/>
      <x:c r="BA44" s="2"/>
      <x:c r="BB44" s="2"/>
      <x:c r="BC44" s="24"/>
      <x:c r="BD44" s="49"/>
      <x:c r="BE44" s="23"/>
      <x:c r="BF44" s="2"/>
      <x:c r="BG44" s="2"/>
      <x:c r="BH44" s="2"/>
      <x:c r="BI44" s="24"/>
      <x:c r="BJ44" s="23"/>
      <x:c r="BK44" s="24"/>
    </x:row>
    <x:row r="45" spans="1:66" s="4" customFormat="1" ht="3" customHeight="1" x14ac:dyDescent="0.3">
      <x:c r="A45" s="231"/>
      <x:c r="G45" s="23"/>
      <x:c r="H45" s="2"/>
      <x:c r="I45" s="2"/>
      <x:c r="J45" s="2"/>
      <x:c r="K45" s="24"/>
      <x:c r="L45" s="2"/>
      <x:c r="M45" s="23"/>
      <x:c r="N45" s="2"/>
      <x:c r="O45" s="24"/>
      <x:c r="P45" s="2"/>
      <x:c r="Q45" s="23"/>
      <x:c r="R45" s="24"/>
      <x:c r="S45" s="2"/>
      <x:c r="T45" s="23"/>
      <x:c r="U45" s="24"/>
      <x:c r="W45" s="23"/>
      <x:c r="X45" s="2"/>
      <x:c r="Y45" s="24"/>
      <x:c r="Z45" s="23"/>
      <x:c r="AA45" s="2"/>
      <x:c r="AB45" s="2"/>
      <x:c r="AC45" s="2"/>
      <x:c r="AD45" s="2"/>
      <x:c r="AE45" s="24"/>
      <x:c r="AF45" s="23"/>
      <x:c r="AG45" s="2"/>
      <x:c r="AH45" s="2"/>
      <x:c r="AI45" s="2"/>
      <x:c r="AJ45" s="24"/>
      <x:c r="AK45" s="23"/>
      <x:c r="AL45" s="2"/>
      <x:c r="AM45" s="24"/>
      <x:c r="AN45" s="23"/>
      <x:c r="AO45" s="2"/>
      <x:c r="AP45" s="2"/>
      <x:c r="AQ45" s="2"/>
      <x:c r="AR45" s="2"/>
      <x:c r="AS45" s="24"/>
      <x:c r="AT45" s="23"/>
      <x:c r="AU45" s="2"/>
      <x:c r="AV45" s="2"/>
      <x:c r="AW45" s="2"/>
      <x:c r="AX45" s="24"/>
      <x:c r="AY45" s="2"/>
      <x:c r="AZ45" s="23"/>
      <x:c r="BA45" s="2"/>
      <x:c r="BB45" s="2"/>
      <x:c r="BC45" s="24"/>
      <x:c r="BD45" s="49"/>
      <x:c r="BE45" s="23"/>
      <x:c r="BF45" s="2"/>
      <x:c r="BG45" s="2"/>
      <x:c r="BH45" s="2"/>
      <x:c r="BI45" s="24"/>
      <x:c r="BJ45" s="23"/>
      <x:c r="BK45" s="24"/>
    </x:row>
    <x:row r="46" spans="1:66" s="4" customFormat="1" ht="28" customHeight="1" x14ac:dyDescent="0.3">
      <x:c r="A46" s="231">
        <x:v>28</x:v>
      </x:c>
      <x:c r="C46" s="264" t="s">
        <x:v>184</x:v>
      </x:c>
      <x:c r="D46" s="264"/>
      <x:c r="E46" s="257" t="s">
        <x:v>98</x:v>
      </x:c>
      <x:c r="G46" s="69">
        <x:f>ROUND(G42/$BM42,6)</x:f>
        <x:v>0.17516300000000001</x:v>
      </x:c>
      <x:c r="H46" s="37">
        <x:f>ROUND(H42/$BM42,6)</x:f>
        <x:v>7.7710000000000001E-3</x:v>
      </x:c>
      <x:c r="I46" s="37">
        <x:f>ROUND(I42/$BM42,6)</x:f>
        <x:v>5.1616000000000002E-2</x:v>
      </x:c>
      <x:c r="J46" s="37">
        <x:f>ROUND(J42/$BM42,6)</x:f>
        <x:v>2.6780999999999999E-2</x:v>
      </x:c>
      <x:c r="K46" s="70">
        <x:f>ROUND(K42/$BM42,6)</x:f>
        <x:v>1.0772E-2</x:v>
      </x:c>
      <x:c r="L46" s="37"/>
      <x:c r="M46" s="69">
        <x:f>ROUND(M42/$BM42,6)</x:f>
        <x:v>6.9399999999999996E-4</x:v>
      </x:c>
      <x:c r="N46" s="37">
        <x:f>ROUND(N42/$BM42,6)</x:f>
        <x:v>9.41E-4</x:v>
      </x:c>
      <x:c r="O46" s="70">
        <x:f>ROUND(O42/$BM42,6)</x:f>
        <x:v>1.8929999999999999E-3</x:v>
      </x:c>
      <x:c r="P46" s="37"/>
      <x:c r="Q46" s="69">
        <x:f>ROUND(Q42/$BM42,6)</x:f>
        <x:v>1.9991999999999999E-2</x:v>
      </x:c>
      <x:c r="R46" s="70">
        <x:f>ROUND(R42/$BM42,6)</x:f>
        <x:v>9.2500000000000004E-4</x:v>
      </x:c>
      <x:c r="S46" s="37"/>
      <x:c r="T46" s="69">
        <x:f>ROUND(T42/$BM42,6)</x:f>
        <x:v>1.0409E-2</x:v>
      </x:c>
      <x:c r="U46" s="70">
        <x:f>ROUND(U42/$BM42,6)</x:f>
        <x:v>6.9499999999999996E-3</x:v>
      </x:c>
      <x:c r="W46" s="69">
        <x:f t="shared" ref="W46:AX46" si="28">ROUND(W42/$BM42,6)</x:f>
        <x:v>1.0345E-2</x:v>
      </x:c>
      <x:c r="X46" s="37">
        <x:f t="shared" si="28"/>
        <x:v>3.2299999999999998E-3</x:v>
      </x:c>
      <x:c r="Y46" s="70">
        <x:f t="shared" si="28"/>
        <x:v>0</x:v>
      </x:c>
      <x:c r="Z46" s="69">
        <x:f t="shared" si="28"/>
        <x:v>0.33096500000000001</x:v>
      </x:c>
      <x:c r="AA46" s="37">
        <x:f t="shared" si="28"/>
        <x:v>2.2372E-2</x:v>
      </x:c>
      <x:c r="AB46" s="37">
        <x:f t="shared" si="28"/>
        <x:v>7.4337E-2</x:v>
      </x:c>
      <x:c r="AC46" s="37">
        <x:f t="shared" si="28"/>
        <x:v>8.5577E-2</x:v>
      </x:c>
      <x:c r="AD46" s="37">
        <x:f t="shared" si="28"/>
        <x:v>4.0949999999999997E-3</x:v>
      </x:c>
      <x:c r="AE46" s="70">
        <x:f t="shared" si="28"/>
        <x:v>3.9999999999999998E-6</x:v>
      </x:c>
      <x:c r="AF46" s="69">
        <x:f t="shared" si="28"/>
        <x:v>7.4110000000000001E-3</x:v>
      </x:c>
      <x:c r="AG46" s="37">
        <x:f t="shared" si="28"/>
        <x:v>4.8799999999999999E-4</x:v>
      </x:c>
      <x:c r="AH46" s="37">
        <x:f t="shared" si="28"/>
        <x:v>2.843E-3</x:v>
      </x:c>
      <x:c r="AI46" s="37">
        <x:f t="shared" si="28"/>
        <x:v>1.5839999999999999E-3</x:v>
      </x:c>
      <x:c r="AJ46" s="70">
        <x:f t="shared" si="28"/>
        <x:v>7.7999999999999999E-4</x:v>
      </x:c>
      <x:c r="AK46" s="69">
        <x:f t="shared" si="28"/>
        <x:v>1.4100000000000001E-4</x:v>
      </x:c>
      <x:c r="AL46" s="37">
        <x:f t="shared" si="28"/>
        <x:v>7.6400000000000003E-4</x:v>
      </x:c>
      <x:c r="AM46" s="70">
        <x:f t="shared" si="28"/>
        <x:v>0</x:v>
      </x:c>
      <x:c r="AN46" s="69">
        <x:f t="shared" si="28"/>
        <x:v>6.5560000000000002E-3</x:v>
      </x:c>
      <x:c r="AO46" s="37">
        <x:f t="shared" si="28"/>
        <x:v>5.1149999999999998E-3</x:v>
      </x:c>
      <x:c r="AP46" s="37">
        <x:f t="shared" si="28"/>
        <x:v>1.6305E-2</x:v>
      </x:c>
      <x:c r="AQ46" s="37">
        <x:f t="shared" si="28"/>
        <x:v>1.6094000000000001E-2</x:v>
      </x:c>
      <x:c r="AR46" s="37">
        <x:f t="shared" si="28"/>
        <x:v>1.003E-3</x:v>
      </x:c>
      <x:c r="AS46" s="70">
        <x:f t="shared" si="28"/>
        <x:v>0</x:v>
      </x:c>
      <x:c r="AT46" s="69">
        <x:f t="shared" si="28"/>
        <x:v>0</x:v>
      </x:c>
      <x:c r="AU46" s="37">
        <x:f t="shared" si="28"/>
        <x:v>2.5000000000000001E-5</x:v>
      </x:c>
      <x:c r="AV46" s="37">
        <x:f t="shared" si="28"/>
        <x:v>0</x:v>
      </x:c>
      <x:c r="AW46" s="37">
        <x:f t="shared" si="28"/>
        <x:v>3.5500000000000001E-4</x:v>
      </x:c>
      <x:c r="AX46" s="70">
        <x:f t="shared" si="28"/>
        <x:v>3.8000000000000002E-5</x:v>
      </x:c>
      <x:c r="AY46" s="37"/>
      <x:c r="AZ46" s="69">
        <x:f t="shared" ref="AZ46:BK46" si="29">ROUND(AZ42/$BM42,6)</x:f>
        <x:v>1.0369999999999999E-3</x:v>
      </x:c>
      <x:c r="BA46" s="37">
        <x:f t="shared" si="29"/>
        <x:v>4.2306000000000003E-2</x:v>
      </x:c>
      <x:c r="BB46" s="37">
        <x:f t="shared" si="29"/>
        <x:v>1.848E-3</x:v>
      </x:c>
      <x:c r="BC46" s="70">
        <x:f t="shared" si="29"/>
        <x:v>3.8939999999999999E-3</x:v>
      </x:c>
      <x:c r="BD46" s="71">
        <x:f t="shared" si="29"/>
        <x:v>5.3000000000000001E-5</x:v>
      </x:c>
      <x:c r="BE46" s="69">
        <x:f t="shared" si="29"/>
        <x:v>8.9300000000000002E-4</x:v>
      </x:c>
      <x:c r="BF46" s="37">
        <x:f t="shared" si="29"/>
        <x:v>7.1139999999999997E-3</x:v>
      </x:c>
      <x:c r="BG46" s="37">
        <x:f t="shared" si="29"/>
        <x:v>1.4971E-2</x:v>
      </x:c>
      <x:c r="BH46" s="37">
        <x:f t="shared" si="29"/>
        <x:v>1.3300000000000001E-4</x:v>
      </x:c>
      <x:c r="BI46" s="70">
        <x:f t="shared" si="29"/>
        <x:v>1.27E-4</x:v>
      </x:c>
      <x:c r="BJ46" s="69">
        <x:f t="shared" si="29"/>
        <x:v>6.6699999999999995E-4</x:v>
      </x:c>
      <x:c r="BK46" s="70">
        <x:f t="shared" si="29"/>
        <x:v>2.2623999999999998E-2</x:v>
      </x:c>
      <x:c r="BM46" s="62">
        <x:f>SUM(G46:BK46)</x:f>
        <x:v>1.0000009999999997</x:v>
      </x:c>
    </x:row>
    <x:row r="47" spans="1:66" s="4" customFormat="1" ht="28" customHeight="1" x14ac:dyDescent="0.3">
      <x:c r="A47" s="231">
        <x:f t="shared" si="0"/>
        <x:v>29</x:v>
      </x:c>
      <x:c r="C47" s="141" t="s">
        <x:v>185</x:v>
      </x:c>
      <x:c r="D47" s="141"/>
      <x:c r="E47" s="269" t="s">
        <x:v>42</x:v>
      </x:c>
      <x:c r="G47" s="82">
        <x:f>ROUND(G46*'Revenue Req.'!$N$28,0)</x:f>
        <x:v>-381221</x:v>
      </x:c>
      <x:c r="H47" s="39">
        <x:f>ROUND(H46*'Revenue Req.'!$N$28,0)</x:f>
        <x:v>-16913</x:v>
      </x:c>
      <x:c r="I47" s="39">
        <x:f>ROUND(I46*'Revenue Req.'!$N$28,0)</x:f>
        <x:v>-112336</x:v>
      </x:c>
      <x:c r="J47" s="39">
        <x:f>ROUND(J46*'Revenue Req.'!$N$28,0)</x:f>
        <x:v>-58286</x:v>
      </x:c>
      <x:c r="K47" s="83">
        <x:f>ROUND(K46*'Revenue Req.'!$N$28,0)</x:f>
        <x:v>-23444</x:v>
      </x:c>
      <x:c r="L47" s="39"/>
      <x:c r="M47" s="82">
        <x:f>ROUND(M46*'Revenue Req.'!$N$28,0)</x:f>
        <x:v>-1510</x:v>
      </x:c>
      <x:c r="N47" s="39">
        <x:f>ROUND(N46*'Revenue Req.'!$N$28,0)</x:f>
        <x:v>-2048</x:v>
      </x:c>
      <x:c r="O47" s="83">
        <x:f>ROUND(O46*'Revenue Req.'!$N$28,0)</x:f>
        <x:v>-4120</x:v>
      </x:c>
      <x:c r="P47" s="39"/>
      <x:c r="Q47" s="82">
        <x:f>ROUND(Q46*'Revenue Req.'!$N$28,0)</x:f>
        <x:v>-43510</x:v>
      </x:c>
      <x:c r="R47" s="83">
        <x:f>ROUND(R46*'Revenue Req.'!$N$28,0)</x:f>
        <x:v>-2013</x:v>
      </x:c>
      <x:c r="S47" s="39"/>
      <x:c r="T47" s="82">
        <x:f>ROUND(T46*'Revenue Req.'!$N$28,0)</x:f>
        <x:v>-22654</x:v>
      </x:c>
      <x:c r="U47" s="83">
        <x:f>ROUND(U46*'Revenue Req.'!$N$28,0)</x:f>
        <x:v>-15126</x:v>
      </x:c>
      <x:c r="W47" s="82">
        <x:f>ROUND(W46*'Revenue Req.'!$N$28,0)</x:f>
        <x:v>-22515</x:v>
      </x:c>
      <x:c r="X47" s="39">
        <x:f>ROUND(X46*'Revenue Req.'!$N$28,0)</x:f>
        <x:v>-7030</x:v>
      </x:c>
      <x:c r="Y47" s="83">
        <x:f>ROUND(Y46*'Revenue Req.'!$N$28,0)</x:f>
        <x:v>0</x:v>
      </x:c>
      <x:c r="Z47" s="82">
        <x:f>ROUND(Z46*'Revenue Req.'!$N$28,0)</x:f>
        <x:v>-720305</x:v>
      </x:c>
      <x:c r="AA47" s="39">
        <x:f>ROUND(AA46*'Revenue Req.'!$N$28,0)</x:f>
        <x:v>-48690</x:v>
      </x:c>
      <x:c r="AB47" s="39">
        <x:f>ROUND(AB46*'Revenue Req.'!$N$28,0)</x:f>
        <x:v>-161785</x:v>
      </x:c>
      <x:c r="AC47" s="39">
        <x:f>ROUND(AC46*'Revenue Req.'!$N$28,0)</x:f>
        <x:v>-186248</x:v>
      </x:c>
      <x:c r="AD47" s="39">
        <x:f>ROUND(AD46*'Revenue Req.'!$N$28,0)</x:f>
        <x:v>-8912</x:v>
      </x:c>
      <x:c r="AE47" s="83">
        <x:f>ROUND(AE46*'Revenue Req.'!$N$28,0)</x:f>
        <x:v>-9</x:v>
      </x:c>
      <x:c r="AF47" s="82">
        <x:f>ROUND(AF46*'Revenue Req.'!$N$28,0)</x:f>
        <x:v>-16129</x:v>
      </x:c>
      <x:c r="AG47" s="39">
        <x:f>ROUND(AG46*'Revenue Req.'!$N$28,0)</x:f>
        <x:v>-1062</x:v>
      </x:c>
      <x:c r="AH47" s="39">
        <x:f>ROUND(AH46*'Revenue Req.'!$N$28,0)</x:f>
        <x:v>-6187</x:v>
      </x:c>
      <x:c r="AI47" s="39">
        <x:f>ROUND(AI46*'Revenue Req.'!$N$28,0)</x:f>
        <x:v>-3447</x:v>
      </x:c>
      <x:c r="AJ47" s="83">
        <x:f>ROUND(AJ46*'Revenue Req.'!$N$28,0)</x:f>
        <x:v>-1698</x:v>
      </x:c>
      <x:c r="AK47" s="82">
        <x:f>ROUND(AK46*'Revenue Req.'!$N$28,0)</x:f>
        <x:v>-307</x:v>
      </x:c>
      <x:c r="AL47" s="39">
        <x:f>ROUND(AL46*'Revenue Req.'!$N$28,0)</x:f>
        <x:v>-1663</x:v>
      </x:c>
      <x:c r="AM47" s="83">
        <x:f>ROUND(AM46*'Revenue Req.'!$N$28,0)</x:f>
        <x:v>0</x:v>
      </x:c>
      <x:c r="AN47" s="82">
        <x:f>ROUND(AN46*'Revenue Req.'!$N$28,0)</x:f>
        <x:v>-14268</x:v>
      </x:c>
      <x:c r="AO47" s="39">
        <x:f>ROUND(AO46*'Revenue Req.'!$N$28,0)</x:f>
        <x:v>-11132</x:v>
      </x:c>
      <x:c r="AP47" s="39">
        <x:f>ROUND(AP46*'Revenue Req.'!$N$28,0)</x:f>
        <x:v>-35486</x:v>
      </x:c>
      <x:c r="AQ47" s="39">
        <x:f>ROUND(AQ46*'Revenue Req.'!$N$28,0)</x:f>
        <x:v>-35027</x:v>
      </x:c>
      <x:c r="AR47" s="39">
        <x:f>ROUND(AR46*'Revenue Req.'!$N$28,0)</x:f>
        <x:v>-2183</x:v>
      </x:c>
      <x:c r="AS47" s="83">
        <x:f>ROUND(AS46*'Revenue Req.'!$N$28,0)</x:f>
        <x:v>0</x:v>
      </x:c>
      <x:c r="AT47" s="82">
        <x:f>ROUND(AT46*'Revenue Req.'!$N$28,0)</x:f>
        <x:v>0</x:v>
      </x:c>
      <x:c r="AU47" s="39">
        <x:f>ROUND(AU46*'Revenue Req.'!$N$28,0)</x:f>
        <x:v>-54</x:v>
      </x:c>
      <x:c r="AV47" s="39">
        <x:f>ROUND(AV46*'Revenue Req.'!$N$28,0)</x:f>
        <x:v>0</x:v>
      </x:c>
      <x:c r="AW47" s="39">
        <x:f>ROUND(AW46*'Revenue Req.'!$N$28,0)</x:f>
        <x:v>-773</x:v>
      </x:c>
      <x:c r="AX47" s="83">
        <x:f>ROUND(AX46*'Revenue Req.'!$N$28,0)</x:f>
        <x:v>-83</x:v>
      </x:c>
      <x:c r="AY47" s="39"/>
      <x:c r="AZ47" s="82">
        <x:f>ROUND(AZ46*'Revenue Req.'!$N$28,0)</x:f>
        <x:v>-2257</x:v>
      </x:c>
      <x:c r="BA47" s="39">
        <x:f>ROUND(BA46*'Revenue Req.'!$N$28,0)</x:f>
        <x:v>-92074</x:v>
      </x:c>
      <x:c r="BB47" s="39">
        <x:f>ROUND(BB46*'Revenue Req.'!$N$28,0)</x:f>
        <x:v>-4022</x:v>
      </x:c>
      <x:c r="BC47" s="83">
        <x:f>ROUND(BC46*'Revenue Req.'!$N$28,0)</x:f>
        <x:v>-8475</x:v>
      </x:c>
      <x:c r="BD47" s="84">
        <x:f>ROUND(BD46*'Revenue Req.'!$N$28,0)</x:f>
        <x:v>-115</x:v>
      </x:c>
      <x:c r="BE47" s="82">
        <x:f>ROUND(BE46*'Revenue Req.'!$N$28,0)</x:f>
        <x:v>-1944</x:v>
      </x:c>
      <x:c r="BF47" s="39">
        <x:f>ROUND(BF46*'Revenue Req.'!$N$28,0)</x:f>
        <x:v>-15483</x:v>
      </x:c>
      <x:c r="BG47" s="39">
        <x:f>ROUND(BG46*'Revenue Req.'!$N$28,0)</x:f>
        <x:v>-32583</x:v>
      </x:c>
      <x:c r="BH47" s="39">
        <x:f>ROUND(BH46*'Revenue Req.'!$N$28,0)</x:f>
        <x:v>-289</x:v>
      </x:c>
      <x:c r="BI47" s="83">
        <x:f>ROUND(BI46*'Revenue Req.'!$N$28,0)</x:f>
        <x:v>-276</x:v>
      </x:c>
      <x:c r="BJ47" s="82">
        <x:f>ROUND(BJ46*'Revenue Req.'!$N$28,0)</x:f>
        <x:v>-1452</x:v>
      </x:c>
      <x:c r="BK47" s="83">
        <x:f>ROUND(BK46*'Revenue Req.'!$N$28,0)</x:f>
        <x:v>-49238</x:v>
      </x:c>
      <x:c r="BM47" s="85">
        <x:f>SUM(G47:BK47)</x:f>
        <x:v>-2176382</x:v>
      </x:c>
      <x:c r="BN47" s="148">
        <x:f>+BM47-'Revenue Req.'!N28</x:f>
        <x:v>-4</x:v>
      </x:c>
    </x:row>
    <x:row r="48" spans="1:66" s="4" customFormat="1" ht="9" customHeight="1" thickBot="1" x14ac:dyDescent="0.35">
      <x:c r="A48" s="231"/>
      <x:c r="C48" s="72"/>
      <x:c r="D48" s="72"/>
      <x:c r="E48" s="73"/>
      <x:c r="G48" s="82"/>
      <x:c r="H48" s="39"/>
      <x:c r="I48" s="39"/>
      <x:c r="J48" s="39"/>
      <x:c r="K48" s="83"/>
      <x:c r="L48" s="39"/>
      <x:c r="M48" s="82"/>
      <x:c r="N48" s="39"/>
      <x:c r="O48" s="83"/>
      <x:c r="P48" s="39"/>
      <x:c r="Q48" s="82"/>
      <x:c r="R48" s="83"/>
      <x:c r="S48" s="39"/>
      <x:c r="T48" s="82"/>
      <x:c r="U48" s="83"/>
      <x:c r="W48" s="82"/>
      <x:c r="X48" s="39"/>
      <x:c r="Y48" s="83"/>
      <x:c r="Z48" s="82"/>
      <x:c r="AA48" s="39"/>
      <x:c r="AB48" s="39"/>
      <x:c r="AC48" s="39"/>
      <x:c r="AD48" s="39"/>
      <x:c r="AE48" s="83"/>
      <x:c r="AF48" s="82"/>
      <x:c r="AG48" s="39"/>
      <x:c r="AH48" s="39"/>
      <x:c r="AI48" s="39"/>
      <x:c r="AJ48" s="83"/>
      <x:c r="AK48" s="82"/>
      <x:c r="AL48" s="39"/>
      <x:c r="AM48" s="83"/>
      <x:c r="AN48" s="82"/>
      <x:c r="AO48" s="39"/>
      <x:c r="AP48" s="39"/>
      <x:c r="AQ48" s="39"/>
      <x:c r="AR48" s="39"/>
      <x:c r="AS48" s="83"/>
      <x:c r="AT48" s="82"/>
      <x:c r="AU48" s="39"/>
      <x:c r="AV48" s="39"/>
      <x:c r="AW48" s="39"/>
      <x:c r="AX48" s="83"/>
      <x:c r="AY48" s="39"/>
      <x:c r="AZ48" s="82"/>
      <x:c r="BA48" s="39"/>
      <x:c r="BB48" s="39"/>
      <x:c r="BC48" s="83"/>
      <x:c r="BD48" s="84"/>
      <x:c r="BE48" s="82"/>
      <x:c r="BF48" s="39"/>
      <x:c r="BG48" s="39"/>
      <x:c r="BH48" s="39"/>
      <x:c r="BI48" s="83"/>
      <x:c r="BJ48" s="82"/>
      <x:c r="BK48" s="83"/>
      <x:c r="BM48" s="13"/>
    </x:row>
    <x:row r="49" spans="1:77" s="4" customFormat="1" ht="13.5" customHeight="1" thickBot="1" x14ac:dyDescent="0.35">
      <x:c r="A49" s="231">
        <x:v>30</x:v>
      </x:c>
      <x:c r="C49" s="143" t="s">
        <x:v>92</x:v>
      </x:c>
      <x:c r="D49" s="72"/>
      <x:c r="E49" s="16" t="s">
        <x:v>56</x:v>
      </x:c>
      <x:c r="G49" s="78">
        <x:f t="shared" ref="G49:K49" si="30">+G47+G42</x:f>
        <x:v>13103690</x:v>
      </x:c>
      <x:c r="H49" s="79">
        <x:f t="shared" si="30"/>
        <x:v>581309</x:v>
      </x:c>
      <x:c r="I49" s="79">
        <x:f t="shared" si="30"/>
        <x:v>3861350</x:v>
      </x:c>
      <x:c r="J49" s="79">
        <x:f t="shared" si="30"/>
        <x:v>2003477</x:v>
      </x:c>
      <x:c r="K49" s="80">
        <x:f t="shared" si="30"/>
        <x:v>805836</x:v>
      </x:c>
      <x:c r="L49" s="38"/>
      <x:c r="M49" s="78">
        <x:f t="shared" ref="M49:R49" si="31">+M47+M42</x:f>
        <x:v>51894</x:v>
      </x:c>
      <x:c r="N49" s="79">
        <x:f t="shared" si="31"/>
        <x:v>70415</x:v>
      </x:c>
      <x:c r="O49" s="80">
        <x:f t="shared" si="31"/>
        <x:v>141611</x:v>
      </x:c>
      <x:c r="P49" s="38"/>
      <x:c r="Q49" s="78">
        <x:f t="shared" si="31"/>
        <x:v>1495607</x:v>
      </x:c>
      <x:c r="R49" s="80">
        <x:f t="shared" si="31"/>
        <x:v>69182</x:v>
      </x:c>
      <x:c r="S49" s="38"/>
      <x:c r="T49" s="78">
        <x:f t="shared" ref="T49:U49" si="32">+T47+T42</x:f>
        <x:v>778666</x:v>
      </x:c>
      <x:c r="U49" s="80">
        <x:f t="shared" si="32"/>
        <x:v>519907</x:v>
      </x:c>
      <x:c r="W49" s="78">
        <x:f>+W47+W42</x:f>
        <x:v>773857</x:v>
      </x:c>
      <x:c r="X49" s="79">
        <x:f t="shared" ref="X49:BK49" si="33">+X47+X42</x:f>
        <x:v>241598</x:v>
      </x:c>
      <x:c r="Y49" s="80">
        <x:f t="shared" si="33"/>
        <x:v>0</x:v>
      </x:c>
      <x:c r="Z49" s="78">
        <x:f t="shared" si="33"/>
        <x:v>24759020</x:v>
      </x:c>
      <x:c r="AA49" s="79">
        <x:f t="shared" si="33"/>
        <x:v>1673622</x:v>
      </x:c>
      <x:c r="AB49" s="79">
        <x:f t="shared" si="33"/>
        <x:v>5561069</x:v>
      </x:c>
      <x:c r="AC49" s="79">
        <x:f t="shared" si="33"/>
        <x:v>6401893</x:v>
      </x:c>
      <x:c r="AD49" s="79">
        <x:f t="shared" si="33"/>
        <x:v>306311</x:v>
      </x:c>
      <x:c r="AE49" s="80">
        <x:f t="shared" si="33"/>
        <x:v>300</x:v>
      </x:c>
      <x:c r="AF49" s="78">
        <x:f t="shared" si="33"/>
        <x:v>554426</x:v>
      </x:c>
      <x:c r="AG49" s="79">
        <x:f t="shared" si="33"/>
        <x:v>36517</x:v>
      </x:c>
      <x:c r="AH49" s="79">
        <x:f t="shared" si="33"/>
        <x:v>212710</x:v>
      </x:c>
      <x:c r="AI49" s="79">
        <x:f t="shared" si="33"/>
        <x:v>118479</x:v>
      </x:c>
      <x:c r="AJ49" s="80">
        <x:f t="shared" si="33"/>
        <x:v>58338</x:v>
      </x:c>
      <x:c r="AK49" s="78">
        <x:f t="shared" si="33"/>
        <x:v>10546</x:v>
      </x:c>
      <x:c r="AL49" s="79">
        <x:f t="shared" si="33"/>
        <x:v>57149</x:v>
      </x:c>
      <x:c r="AM49" s="80">
        <x:f t="shared" si="33"/>
        <x:v>0</x:v>
      </x:c>
      <x:c r="AN49" s="78">
        <x:f t="shared" si="33"/>
        <x:v>490438</x:v>
      </x:c>
      <x:c r="AO49" s="79">
        <x:f t="shared" si="33"/>
        <x:v>382662</x:v>
      </x:c>
      <x:c r="AP49" s="79">
        <x:f t="shared" si="33"/>
        <x:v>1219746</x:v>
      </x:c>
      <x:c r="AQ49" s="79">
        <x:f t="shared" si="33"/>
        <x:v>1203951</x:v>
      </x:c>
      <x:c r="AR49" s="79">
        <x:f t="shared" si="33"/>
        <x:v>75057</x:v>
      </x:c>
      <x:c r="AS49" s="80">
        <x:f t="shared" si="33"/>
        <x:v>0</x:v>
      </x:c>
      <x:c r="AT49" s="78">
        <x:f t="shared" si="33"/>
        <x:v>0</x:v>
      </x:c>
      <x:c r="AU49" s="79">
        <x:f t="shared" si="33"/>
        <x:v>1871</x:v>
      </x:c>
      <x:c r="AV49" s="79">
        <x:f t="shared" si="33"/>
        <x:v>0</x:v>
      </x:c>
      <x:c r="AW49" s="79">
        <x:f t="shared" si="33"/>
        <x:v>26555</x:v>
      </x:c>
      <x:c r="AX49" s="80">
        <x:f t="shared" si="33"/>
        <x:v>2818</x:v>
      </x:c>
      <x:c r="AY49" s="38"/>
      <x:c r="AZ49" s="78">
        <x:f t="shared" si="33"/>
        <x:v>77606</x:v>
      </x:c>
      <x:c r="BA49" s="79">
        <x:f t="shared" si="33"/>
        <x:v>3164822</x:v>
      </x:c>
      <x:c r="BB49" s="79">
        <x:f t="shared" si="33"/>
        <x:v>138236</x:v>
      </x:c>
      <x:c r="BC49" s="80">
        <x:f t="shared" si="33"/>
        <x:v>291326</x:v>
      </x:c>
      <x:c r="BD49" s="81">
        <x:f t="shared" si="33"/>
        <x:v>3972</x:v>
      </x:c>
      <x:c r="BE49" s="78">
        <x:f t="shared" si="33"/>
        <x:v>66825</x:v>
      </x:c>
      <x:c r="BF49" s="79">
        <x:f t="shared" si="33"/>
        <x:v>532172</x:v>
      </x:c>
      <x:c r="BG49" s="79">
        <x:f t="shared" si="33"/>
        <x:v>1119969</x:v>
      </x:c>
      <x:c r="BH49" s="79">
        <x:f t="shared" si="33"/>
        <x:v>9934</x:v>
      </x:c>
      <x:c r="BI49" s="80">
        <x:f t="shared" si="33"/>
        <x:v>9505</x:v>
      </x:c>
      <x:c r="BJ49" s="78">
        <x:f t="shared" si="33"/>
        <x:v>49903</x:v>
      </x:c>
      <x:c r="BK49" s="80">
        <x:f t="shared" si="33"/>
        <x:v>1692507</x:v>
      </x:c>
      <x:c r="BM49" s="29">
        <x:f>SUM(G49:BK49)</x:f>
        <x:v>74808654</x:v>
      </x:c>
      <x:c r="BN49" s="175">
        <x:f>+BM49-'Revenue Req.'!J44</x:f>
        <x:v>159.74329634010792</x:v>
      </x:c>
    </x:row>
    <x:row r="50" spans="1:77" s="4" customFormat="1" ht="9" customHeight="1" thickTop="1" x14ac:dyDescent="0.3">
      <x:c r="A50" s="231"/>
      <x:c r="C50" s="141"/>
      <x:c r="D50" s="72"/>
      <x:c r="E50" s="73"/>
      <x:c r="G50" s="82"/>
      <x:c r="H50" s="39"/>
      <x:c r="I50" s="39"/>
      <x:c r="J50" s="39"/>
      <x:c r="K50" s="83"/>
      <x:c r="L50" s="39"/>
      <x:c r="M50" s="82"/>
      <x:c r="N50" s="39"/>
      <x:c r="O50" s="83"/>
      <x:c r="P50" s="39"/>
      <x:c r="Q50" s="82"/>
      <x:c r="R50" s="83"/>
      <x:c r="S50" s="39"/>
      <x:c r="T50" s="82"/>
      <x:c r="U50" s="83"/>
      <x:c r="W50" s="82"/>
      <x:c r="X50" s="39"/>
      <x:c r="Y50" s="83"/>
      <x:c r="Z50" s="82"/>
      <x:c r="AA50" s="39"/>
      <x:c r="AB50" s="39"/>
      <x:c r="AC50" s="39"/>
      <x:c r="AD50" s="39"/>
      <x:c r="AE50" s="83"/>
      <x:c r="AF50" s="82"/>
      <x:c r="AG50" s="39"/>
      <x:c r="AH50" s="39"/>
      <x:c r="AI50" s="39"/>
      <x:c r="AJ50" s="83"/>
      <x:c r="AK50" s="82"/>
      <x:c r="AL50" s="39"/>
      <x:c r="AM50" s="83"/>
      <x:c r="AN50" s="82"/>
      <x:c r="AO50" s="39"/>
      <x:c r="AP50" s="39"/>
      <x:c r="AQ50" s="39"/>
      <x:c r="AR50" s="39"/>
      <x:c r="AS50" s="83"/>
      <x:c r="AT50" s="82"/>
      <x:c r="AU50" s="39"/>
      <x:c r="AV50" s="39"/>
      <x:c r="AW50" s="39"/>
      <x:c r="AX50" s="83"/>
      <x:c r="AY50" s="39"/>
      <x:c r="AZ50" s="82"/>
      <x:c r="BA50" s="39"/>
      <x:c r="BB50" s="39"/>
      <x:c r="BC50" s="83"/>
      <x:c r="BD50" s="84"/>
      <x:c r="BE50" s="82"/>
      <x:c r="BF50" s="39"/>
      <x:c r="BG50" s="39"/>
      <x:c r="BH50" s="39"/>
      <x:c r="BI50" s="83"/>
      <x:c r="BJ50" s="82"/>
      <x:c r="BK50" s="83"/>
      <x:c r="BM50" s="13"/>
    </x:row>
    <x:row r="51" spans="1:77" s="4" customFormat="1" ht="13.5" customHeight="1" thickBot="1" x14ac:dyDescent="0.35">
      <x:c r="A51" s="231">
        <x:v>31</x:v>
      </x:c>
      <x:c r="C51" s="143" t="s">
        <x:v>93</x:v>
      </x:c>
      <x:c r="D51" s="72"/>
      <x:c r="E51" s="16" t="s">
        <x:v>53</x:v>
      </x:c>
      <x:c r="G51" s="214">
        <x:f t="shared" ref="G51:BD51" si="34">ROUND(G49/G10/12,2)</x:f>
        <x:v>16.09</x:v>
      </x:c>
      <x:c r="H51" s="215">
        <x:f t="shared" si="34"/>
        <x:v>16.52</x:v>
      </x:c>
      <x:c r="I51" s="215">
        <x:f t="shared" si="34"/>
        <x:v>17.2</x:v>
      </x:c>
      <x:c r="J51" s="215">
        <x:f t="shared" si="34"/>
        <x:v>17.940000000000001</x:v>
      </x:c>
      <x:c r="K51" s="216">
        <x:f t="shared" si="34"/>
        <x:v>19.05</x:v>
      </x:c>
      <x:c r="L51" s="86" t="e">
        <x:f t="shared" si="34"/>
        <x:v>#DIV/0!</x:v>
      </x:c>
      <x:c r="M51" s="214">
        <x:f>ROUND(M49/M10/12,2)</x:f>
        <x:v>19.13</x:v>
      </x:c>
      <x:c r="N51" s="215">
        <x:f>ROUND(N49/N10/12,2)</x:f>
        <x:v>19.760000000000002</x:v>
      </x:c>
      <x:c r="O51" s="216">
        <x:f>ROUND(O49/O10/12,2)</x:f>
        <x:v>20.21</x:v>
      </x:c>
      <x:c r="P51" s="217" t="e">
        <x:f t="shared" si="34"/>
        <x:v>#DIV/0!</x:v>
      </x:c>
      <x:c r="Q51" s="214">
        <x:f t="shared" si="34"/>
        <x:v>13.97</x:v>
      </x:c>
      <x:c r="R51" s="216">
        <x:f t="shared" si="34"/>
        <x:v>14.38</x:v>
      </x:c>
      <x:c r="S51" s="217"/>
      <x:c r="T51" s="214">
        <x:f t="shared" si="34"/>
        <x:v>15.85</x:v>
      </x:c>
      <x:c r="U51" s="216">
        <x:f t="shared" si="34"/>
        <x:v>19.670000000000002</x:v>
      </x:c>
      <x:c r="V51" s="217"/>
      <x:c r="W51" s="214">
        <x:f t="shared" si="34"/>
        <x:v>17.14</x:v>
      </x:c>
      <x:c r="X51" s="215">
        <x:f t="shared" si="34"/>
        <x:v>19.190000000000001</x:v>
      </x:c>
      <x:c r="Y51" s="216" t="e">
        <x:f t="shared" si="34"/>
        <x:v>#DIV/0!</x:v>
      </x:c>
      <x:c r="Z51" s="214">
        <x:f t="shared" si="34"/>
        <x:v>16.57</x:v>
      </x:c>
      <x:c r="AA51" s="215">
        <x:f t="shared" si="34"/>
        <x:v>17.28</x:v>
      </x:c>
      <x:c r="AB51" s="215">
        <x:f t="shared" si="34"/>
        <x:v>17.86</x:v>
      </x:c>
      <x:c r="AC51" s="215">
        <x:f t="shared" si="34"/>
        <x:v>18.8</x:v>
      </x:c>
      <x:c r="AD51" s="215">
        <x:f t="shared" si="34"/>
        <x:v>20.57</x:v>
      </x:c>
      <x:c r="AE51" s="216">
        <x:f t="shared" si="34"/>
        <x:v>25</x:v>
      </x:c>
      <x:c r="AF51" s="214">
        <x:f>ROUND(AF49/AF10/12,2)</x:f>
        <x:v>17.18</x:v>
      </x:c>
      <x:c r="AG51" s="215">
        <x:f>ROUND(AG49/AG10/12,2)</x:f>
        <x:v>17.190000000000001</x:v>
      </x:c>
      <x:c r="AH51" s="215">
        <x:f>ROUND(AH49/AH10/12,2)</x:f>
        <x:v>18.8</x:v>
      </x:c>
      <x:c r="AI51" s="215">
        <x:f t="shared" si="34"/>
        <x:v>20.57</x:v>
      </x:c>
      <x:c r="AJ51" s="216">
        <x:f t="shared" si="34"/>
        <x:v>24.55</x:v>
      </x:c>
      <x:c r="AK51" s="214">
        <x:f t="shared" si="34"/>
        <x:v>21.97</x:v>
      </x:c>
      <x:c r="AL51" s="215">
        <x:f t="shared" si="34"/>
        <x:v>24.05</x:v>
      </x:c>
      <x:c r="AM51" s="216" t="e">
        <x:f t="shared" si="34"/>
        <x:v>#DIV/0!</x:v>
      </x:c>
      <x:c r="AN51" s="214">
        <x:f t="shared" si="34"/>
        <x:v>21.42</x:v>
      </x:c>
      <x:c r="AO51" s="215">
        <x:f t="shared" si="34"/>
        <x:v>22.13</x:v>
      </x:c>
      <x:c r="AP51" s="215">
        <x:f t="shared" si="34"/>
        <x:v>22.71</x:v>
      </x:c>
      <x:c r="AQ51" s="215">
        <x:f t="shared" si="34"/>
        <x:v>23.65</x:v>
      </x:c>
      <x:c r="AR51" s="215">
        <x:f t="shared" si="34"/>
        <x:v>25.43</x:v>
      </x:c>
      <x:c r="AS51" s="216" t="e">
        <x:f t="shared" si="34"/>
        <x:v>#DIV/0!</x:v>
      </x:c>
      <x:c r="AT51" s="218" t="str">
        <x:f>IF(AT10=0,"N/A",ROUND(AT49/AT10/12,2))</x:f>
        <x:v>N/A</x:v>
      </x:c>
      <x:c r="AU51" s="215">
        <x:f t="shared" si="34"/>
        <x:v>22.27</x:v>
      </x:c>
      <x:c r="AV51" s="219" t="str">
        <x:f>IF(AV10=0,"N/A",ROUND(AV49/AV10/12,2))</x:f>
        <x:v>N/A</x:v>
      </x:c>
      <x:c r="AW51" s="215">
        <x:f t="shared" si="34"/>
        <x:v>25.44</x:v>
      </x:c>
      <x:c r="AX51" s="216">
        <x:f t="shared" si="34"/>
        <x:v>29.35</x:v>
      </x:c>
      <x:c r="AY51" s="215"/>
      <x:c r="AZ51" s="214">
        <x:f>ROUND(AZ49/AZ10/12,2)</x:f>
        <x:v>16.89</x:v>
      </x:c>
      <x:c r="BA51" s="215">
        <x:f>ROUND(BA49/BA10/12,2)</x:f>
        <x:v>16.32</x:v>
      </x:c>
      <x:c r="BB51" s="215">
        <x:f>ROUND(BB49/BB10/12,2)</x:f>
        <x:v>20.420000000000002</x:v>
      </x:c>
      <x:c r="BC51" s="216">
        <x:f>ROUND(BC49/BC10/12,2)</x:f>
        <x:v>20.329999999999998</x:v>
      </x:c>
      <x:c r="BD51" s="220">
        <x:f t="shared" si="34"/>
        <x:v>16.55</x:v>
      </x:c>
      <x:c r="BE51" s="214">
        <x:f t="shared" ref="BE51:BK51" si="35">ROUND(BE49/BE10/12,2)</x:f>
        <x:v>20.18</x:v>
      </x:c>
      <x:c r="BF51" s="215">
        <x:f t="shared" si="35"/>
        <x:v>19.61</x:v>
      </x:c>
      <x:c r="BG51" s="215">
        <x:f t="shared" si="35"/>
        <x:v>21.25</x:v>
      </x:c>
      <x:c r="BH51" s="215">
        <x:f t="shared" si="35"/>
        <x:v>22.37</x:v>
      </x:c>
      <x:c r="BI51" s="216">
        <x:f t="shared" si="35"/>
        <x:v>26.4</x:v>
      </x:c>
      <x:c r="BJ51" s="214">
        <x:f t="shared" si="35"/>
        <x:v>15.01</x:v>
      </x:c>
      <x:c r="BK51" s="216">
        <x:f t="shared" si="35"/>
        <x:v>14.44</x:v>
      </x:c>
      <x:c r="BM51" s="13"/>
    </x:row>
    <x:row r="52" spans="1:77" s="4" customFormat="1" ht="13.5" customHeight="1" thickTop="1" x14ac:dyDescent="0.3">
      <x:c r="A52" s="231"/>
      <x:c r="C52" s="143"/>
      <x:c r="D52" s="72"/>
      <x:c r="E52" s="16"/>
      <x:c r="G52" s="87"/>
      <x:c r="H52" s="40"/>
      <x:c r="I52" s="40"/>
      <x:c r="J52" s="40"/>
      <x:c r="K52" s="88"/>
      <x:c r="L52" s="40"/>
      <x:c r="M52" s="87"/>
      <x:c r="N52" s="40"/>
      <x:c r="O52" s="88"/>
      <x:c r="P52" s="40"/>
      <x:c r="Q52" s="87"/>
      <x:c r="R52" s="88"/>
      <x:c r="S52" s="40"/>
      <x:c r="T52" s="87"/>
      <x:c r="U52" s="88"/>
      <x:c r="W52" s="87"/>
      <x:c r="X52" s="40"/>
      <x:c r="Y52" s="88"/>
      <x:c r="Z52" s="87"/>
      <x:c r="AA52" s="40"/>
      <x:c r="AB52" s="40"/>
      <x:c r="AC52" s="40"/>
      <x:c r="AD52" s="40"/>
      <x:c r="AE52" s="88"/>
      <x:c r="AF52" s="87"/>
      <x:c r="AG52" s="40"/>
      <x:c r="AH52" s="40"/>
      <x:c r="AI52" s="40"/>
      <x:c r="AJ52" s="88"/>
      <x:c r="AK52" s="87"/>
      <x:c r="AL52" s="40"/>
      <x:c r="AM52" s="88"/>
      <x:c r="AN52" s="87"/>
      <x:c r="AO52" s="40"/>
      <x:c r="AP52" s="40"/>
      <x:c r="AQ52" s="40"/>
      <x:c r="AR52" s="40"/>
      <x:c r="AS52" s="88"/>
      <x:c r="AT52" s="87"/>
      <x:c r="AU52" s="40"/>
      <x:c r="AV52" s="40"/>
      <x:c r="AW52" s="40"/>
      <x:c r="AX52" s="88"/>
      <x:c r="AY52" s="40"/>
      <x:c r="AZ52" s="87"/>
      <x:c r="BA52" s="40"/>
      <x:c r="BB52" s="40"/>
      <x:c r="BC52" s="88"/>
      <x:c r="BD52" s="89"/>
      <x:c r="BE52" s="87"/>
      <x:c r="BF52" s="40"/>
      <x:c r="BG52" s="40"/>
      <x:c r="BH52" s="40"/>
      <x:c r="BI52" s="88"/>
      <x:c r="BJ52" s="87"/>
      <x:c r="BK52" s="88"/>
      <x:c r="BM52" s="13"/>
    </x:row>
    <x:row r="53" spans="1:77" s="31" customFormat="1" x14ac:dyDescent="0.3">
      <x:c r="A53" s="231">
        <x:v>32</x:v>
      </x:c>
      <x:c r="C53" s="140" t="s">
        <x:v>24</x:v>
      </x:c>
      <x:c r="D53" s="141"/>
      <x:c r="E53" s="16" t="s">
        <x:v>54</x:v>
      </x:c>
      <x:c r="G53" s="160">
        <x:v>10.37</x:v>
      </x:c>
      <x:c r="H53" s="161">
        <x:v>10.68</x:v>
      </x:c>
      <x:c r="I53" s="161">
        <x:v>11.53</x:v>
      </x:c>
      <x:c r="J53" s="161">
        <x:v>12.21</x:v>
      </x:c>
      <x:c r="K53" s="162">
        <x:v>13.07</x:v>
      </x:c>
      <x:c r="L53" s="161"/>
      <x:c r="M53" s="160">
        <x:v>19.86</x:v>
      </x:c>
      <x:c r="N53" s="161">
        <x:v>20.64</x:v>
      </x:c>
      <x:c r="O53" s="162">
        <x:v>21.23</x:v>
      </x:c>
      <x:c r="P53" s="161"/>
      <x:c r="Q53" s="160">
        <x:v>13.33</x:v>
      </x:c>
      <x:c r="R53" s="162">
        <x:v>13.61</x:v>
      </x:c>
      <x:c r="S53" s="161"/>
      <x:c r="T53" s="160">
        <x:v>25.34</x:v>
      </x:c>
      <x:c r="U53" s="162">
        <x:v>25.56</x:v>
      </x:c>
      <x:c r="W53" s="163">
        <x:v>11.14</x:v>
      </x:c>
      <x:c r="X53" s="161">
        <x:v>13.02</x:v>
      </x:c>
      <x:c r="Y53" s="162">
        <x:v>17.010000000000002</x:v>
      </x:c>
      <x:c r="Z53" s="160">
        <x:v>10.71</x:v>
      </x:c>
      <x:c r="AA53" s="161">
        <x:v>11.25</x:v>
      </x:c>
      <x:c r="AB53" s="161">
        <x:v>12.02</x:v>
      </x:c>
      <x:c r="AC53" s="161">
        <x:v>12.84</x:v>
      </x:c>
      <x:c r="AD53" s="161">
        <x:v>14.21</x:v>
      </x:c>
      <x:c r="AE53" s="162">
        <x:v>17.37</x:v>
      </x:c>
      <x:c r="AF53" s="160">
        <x:v>11.6</x:v>
      </x:c>
      <x:c r="AG53" s="161">
        <x:f>+AF53</x:f>
        <x:v>11.6</x:v>
      </x:c>
      <x:c r="AH53" s="161">
        <x:v>13.21</x:v>
      </x:c>
      <x:c r="AI53" s="161">
        <x:v>14.21</x:v>
      </x:c>
      <x:c r="AJ53" s="162">
        <x:v>17.190000000000001</x:v>
      </x:c>
      <x:c r="AK53" s="160">
        <x:v>16.739999999999998</x:v>
      </x:c>
      <x:c r="AL53" s="161">
        <x:v>20.99</x:v>
      </x:c>
      <x:c r="AM53" s="162">
        <x:v>24.83</x:v>
      </x:c>
      <x:c r="AN53" s="160">
        <x:v>16.329999999999998</x:v>
      </x:c>
      <x:c r="AO53" s="161">
        <x:v>19.23</x:v>
      </x:c>
      <x:c r="AP53" s="161">
        <x:v>20</x:v>
      </x:c>
      <x:c r="AQ53" s="161">
        <x:v>20.82</x:v>
      </x:c>
      <x:c r="AR53" s="161">
        <x:v>22.18</x:v>
      </x:c>
      <x:c r="AS53" s="162">
        <x:v>25.08</x:v>
      </x:c>
      <x:c r="AT53" s="163" t="s">
        <x:v>188</x:v>
      </x:c>
      <x:c r="AU53" s="161">
        <x:v>19.170000000000002</x:v>
      </x:c>
      <x:c r="AV53" s="161">
        <x:v>22.18</x:v>
      </x:c>
      <x:c r="AW53" s="161">
        <x:v>22.18</x:v>
      </x:c>
      <x:c r="AX53" s="162">
        <x:v>25.07</x:v>
      </x:c>
      <x:c r="AY53" s="161"/>
      <x:c r="AZ53" s="160">
        <x:v>14.25</x:v>
      </x:c>
      <x:c r="BA53" s="161">
        <x:v>13.81</x:v>
      </x:c>
      <x:c r="BB53" s="161">
        <x:v>14.23</x:v>
      </x:c>
      <x:c r="BC53" s="162">
        <x:v>17.07</x:v>
      </x:c>
      <x:c r="BD53" s="164">
        <x:v>10.73</x:v>
      </x:c>
      <x:c r="BE53" s="160">
        <x:v>24.33</x:v>
      </x:c>
      <x:c r="BF53" s="161">
        <x:v>23.88</x:v>
      </x:c>
      <x:c r="BG53" s="161">
        <x:v>23.53</x:v>
      </x:c>
      <x:c r="BH53" s="161">
        <x:v>33.25</x:v>
      </x:c>
      <x:c r="BI53" s="162">
        <x:v>36.22</x:v>
      </x:c>
      <x:c r="BJ53" s="160">
        <x:v>12.3</x:v>
      </x:c>
      <x:c r="BK53" s="162">
        <x:v>11.71</x:v>
      </x:c>
      <x:c r="BL53" s="142"/>
      <x:c r="BN53" s="142"/>
      <x:c r="BO53" s="142"/>
      <x:c r="BP53" s="142"/>
      <x:c r="BQ53" s="142"/>
      <x:c r="BR53" s="142"/>
      <x:c r="BS53" s="142"/>
      <x:c r="BT53" s="142"/>
      <x:c r="BU53" s="142"/>
      <x:c r="BV53" s="142"/>
      <x:c r="BW53" s="142"/>
      <x:c r="BX53" s="142"/>
      <x:c r="BY53" s="142"/>
    </x:row>
    <x:row r="54" spans="1:77" s="4" customFormat="1" ht="4.5" customHeight="1" x14ac:dyDescent="0.3">
      <x:c r="A54" s="231"/>
      <x:c r="C54" s="140"/>
      <x:c r="D54" s="72"/>
      <x:c r="E54" s="16"/>
      <x:c r="G54" s="87"/>
      <x:c r="H54" s="40"/>
      <x:c r="I54" s="40"/>
      <x:c r="J54" s="40"/>
      <x:c r="K54" s="88"/>
      <x:c r="L54" s="40"/>
      <x:c r="M54" s="87"/>
      <x:c r="N54" s="40"/>
      <x:c r="O54" s="88"/>
      <x:c r="P54" s="40"/>
      <x:c r="Q54" s="87"/>
      <x:c r="R54" s="88"/>
      <x:c r="S54" s="40"/>
      <x:c r="T54" s="87"/>
      <x:c r="U54" s="88"/>
      <x:c r="W54" s="87"/>
      <x:c r="X54" s="40"/>
      <x:c r="Y54" s="88"/>
      <x:c r="Z54" s="87"/>
      <x:c r="AA54" s="40"/>
      <x:c r="AB54" s="40"/>
      <x:c r="AC54" s="40"/>
      <x:c r="AD54" s="40"/>
      <x:c r="AE54" s="88"/>
      <x:c r="AF54" s="87"/>
      <x:c r="AG54" s="40"/>
      <x:c r="AH54" s="40"/>
      <x:c r="AI54" s="40"/>
      <x:c r="AJ54" s="88"/>
      <x:c r="AK54" s="87"/>
      <x:c r="AL54" s="40"/>
      <x:c r="AM54" s="88"/>
      <x:c r="AN54" s="87"/>
      <x:c r="AO54" s="40"/>
      <x:c r="AP54" s="40"/>
      <x:c r="AQ54" s="40"/>
      <x:c r="AR54" s="40"/>
      <x:c r="AS54" s="88"/>
      <x:c r="AT54" s="87"/>
      <x:c r="AU54" s="40"/>
      <x:c r="AV54" s="40"/>
      <x:c r="AW54" s="40"/>
      <x:c r="AX54" s="88"/>
      <x:c r="AY54" s="40"/>
      <x:c r="AZ54" s="87"/>
      <x:c r="BA54" s="40"/>
      <x:c r="BB54" s="40"/>
      <x:c r="BC54" s="88"/>
      <x:c r="BD54" s="89"/>
      <x:c r="BE54" s="87"/>
      <x:c r="BF54" s="40"/>
      <x:c r="BG54" s="40"/>
      <x:c r="BH54" s="40"/>
      <x:c r="BI54" s="88"/>
      <x:c r="BJ54" s="87"/>
      <x:c r="BK54" s="88"/>
      <x:c r="BM54" s="13"/>
    </x:row>
    <x:row r="55" spans="1:77" s="4" customFormat="1" ht="18" customHeight="1" x14ac:dyDescent="0.3">
      <x:c r="A55" s="231">
        <x:v>33</x:v>
      </x:c>
      <x:c r="C55" s="143" t="s">
        <x:v>94</x:v>
      </x:c>
      <x:c r="D55" s="72"/>
      <x:c r="E55" s="16" t="s">
        <x:v>166</x:v>
      </x:c>
      <x:c r="G55" s="90">
        <x:f t="shared" ref="G55:K55" si="36">ROUND(G51/G53-1,4)</x:f>
        <x:v>0.55159999999999998</x:v>
      </x:c>
      <x:c r="H55" s="41">
        <x:f t="shared" si="36"/>
        <x:v>0.54679999999999995</x:v>
      </x:c>
      <x:c r="I55" s="41">
        <x:f t="shared" si="36"/>
        <x:v>0.49180000000000001</x:v>
      </x:c>
      <x:c r="J55" s="41">
        <x:f t="shared" si="36"/>
        <x:v>0.46929999999999999</x:v>
      </x:c>
      <x:c r="K55" s="91">
        <x:f t="shared" si="36"/>
        <x:v>0.45750000000000002</x:v>
      </x:c>
      <x:c r="L55" s="41"/>
      <x:c r="M55" s="90">
        <x:f t="shared" ref="M55:R55" si="37">ROUND(M51/M53-1,4)</x:f>
        <x:v>-3.6799999999999999E-2</x:v>
      </x:c>
      <x:c r="N55" s="41">
        <x:f t="shared" si="37"/>
        <x:v>-4.2599999999999999E-2</x:v>
      </x:c>
      <x:c r="O55" s="91">
        <x:f t="shared" si="37"/>
        <x:v>-4.8000000000000001E-2</x:v>
      </x:c>
      <x:c r="P55" s="41"/>
      <x:c r="Q55" s="90">
        <x:f t="shared" si="37"/>
        <x:v>4.8000000000000001E-2</x:v>
      </x:c>
      <x:c r="R55" s="91">
        <x:f t="shared" si="37"/>
        <x:v>5.6599999999999998E-2</x:v>
      </x:c>
      <x:c r="S55" s="41"/>
      <x:c r="T55" s="90">
        <x:f t="shared" ref="T55:U55" si="38">ROUND(T51/T53-1,4)</x:f>
        <x:v>-0.3745</x:v>
      </x:c>
      <x:c r="U55" s="91">
        <x:f t="shared" si="38"/>
        <x:v>-0.23039999999999999</x:v>
      </x:c>
      <x:c r="W55" s="90">
        <x:f>ROUND(W51/W53-1,4)</x:f>
        <x:v>0.53859999999999997</x:v>
      </x:c>
      <x:c r="X55" s="41">
        <x:f t="shared" ref="X55:BK55" si="39">ROUND(X51/X53-1,4)</x:f>
        <x:v>0.47389999999999999</x:v>
      </x:c>
      <x:c r="Y55" s="91" t="e">
        <x:f t="shared" si="39"/>
        <x:v>#DIV/0!</x:v>
      </x:c>
      <x:c r="Z55" s="90">
        <x:f t="shared" si="39"/>
        <x:v>0.54720000000000002</x:v>
      </x:c>
      <x:c r="AA55" s="41">
        <x:f t="shared" si="39"/>
        <x:v>0.53600000000000003</x:v>
      </x:c>
      <x:c r="AB55" s="41">
        <x:f t="shared" si="39"/>
        <x:v>0.4859</x:v>
      </x:c>
      <x:c r="AC55" s="41">
        <x:f t="shared" si="39"/>
        <x:v>0.4642</x:v>
      </x:c>
      <x:c r="AD55" s="41">
        <x:f t="shared" si="39"/>
        <x:v>0.4476</x:v>
      </x:c>
      <x:c r="AE55" s="91">
        <x:f t="shared" si="39"/>
        <x:v>0.43930000000000002</x:v>
      </x:c>
      <x:c r="AF55" s="90">
        <x:f t="shared" si="39"/>
        <x:v>0.48099999999999998</x:v>
      </x:c>
      <x:c r="AG55" s="41">
        <x:f t="shared" si="39"/>
        <x:v>0.4819</x:v>
      </x:c>
      <x:c r="AH55" s="41">
        <x:f t="shared" si="39"/>
        <x:v>0.42320000000000002</x:v>
      </x:c>
      <x:c r="AI55" s="41">
        <x:f t="shared" si="39"/>
        <x:v>0.4476</x:v>
      </x:c>
      <x:c r="AJ55" s="91">
        <x:f t="shared" si="39"/>
        <x:v>0.42820000000000003</x:v>
      </x:c>
      <x:c r="AK55" s="90">
        <x:f t="shared" si="39"/>
        <x:v>0.31240000000000001</x:v>
      </x:c>
      <x:c r="AL55" s="41">
        <x:f t="shared" si="39"/>
        <x:v>0.14580000000000001</x:v>
      </x:c>
      <x:c r="AM55" s="91" t="e">
        <x:f t="shared" si="39"/>
        <x:v>#DIV/0!</x:v>
      </x:c>
      <x:c r="AN55" s="90">
        <x:f t="shared" si="39"/>
        <x:v>0.31169999999999998</x:v>
      </x:c>
      <x:c r="AO55" s="41">
        <x:f t="shared" si="39"/>
        <x:v>0.15079999999999999</x:v>
      </x:c>
      <x:c r="AP55" s="41">
        <x:f t="shared" si="39"/>
        <x:v>0.13550000000000001</x:v>
      </x:c>
      <x:c r="AQ55" s="41">
        <x:f t="shared" si="39"/>
        <x:v>0.13589999999999999</x:v>
      </x:c>
      <x:c r="AR55" s="41">
        <x:f t="shared" si="39"/>
        <x:v>0.14649999999999999</x:v>
      </x:c>
      <x:c r="AS55" s="91" t="e">
        <x:f t="shared" si="39"/>
        <x:v>#DIV/0!</x:v>
      </x:c>
      <x:c r="AT55" s="155" t="str">
        <x:f>IF(AT10=0,"N/A",ROUND(AT51/AT53-1,4))</x:f>
        <x:v>N/A</x:v>
      </x:c>
      <x:c r="AU55" s="41">
        <x:f t="shared" si="39"/>
        <x:v>0.16170000000000001</x:v>
      </x:c>
      <x:c r="AV55" s="156" t="str">
        <x:f>IF(AV10=0,"N/A",ROUND(AV51/AV53-1,4))</x:f>
        <x:v>N/A</x:v>
      </x:c>
      <x:c r="AW55" s="41">
        <x:f t="shared" si="39"/>
        <x:v>0.14699999999999999</x:v>
      </x:c>
      <x:c r="AX55" s="91">
        <x:f t="shared" si="39"/>
        <x:v>0.17069999999999999</x:v>
      </x:c>
      <x:c r="AY55" s="41"/>
      <x:c r="AZ55" s="90">
        <x:f t="shared" si="39"/>
        <x:v>0.18529999999999999</x:v>
      </x:c>
      <x:c r="BA55" s="41">
        <x:f t="shared" si="39"/>
        <x:v>0.18179999999999999</x:v>
      </x:c>
      <x:c r="BB55" s="41">
        <x:f t="shared" si="39"/>
        <x:v>0.435</x:v>
      </x:c>
      <x:c r="BC55" s="91">
        <x:f t="shared" si="39"/>
        <x:v>0.191</x:v>
      </x:c>
      <x:c r="BD55" s="92">
        <x:f t="shared" si="39"/>
        <x:v>0.54239999999999999</x:v>
      </x:c>
      <x:c r="BE55" s="90">
        <x:f t="shared" si="39"/>
        <x:v>-0.1706</x:v>
      </x:c>
      <x:c r="BF55" s="41">
        <x:f t="shared" si="39"/>
        <x:v>-0.17879999999999999</x:v>
      </x:c>
      <x:c r="BG55" s="41">
        <x:f t="shared" si="39"/>
        <x:v>-9.69E-2</x:v>
      </x:c>
      <x:c r="BH55" s="41">
        <x:f t="shared" si="39"/>
        <x:v>-0.32719999999999999</x:v>
      </x:c>
      <x:c r="BI55" s="91">
        <x:f t="shared" si="39"/>
        <x:v>-0.27110000000000001</x:v>
      </x:c>
      <x:c r="BJ55" s="90">
        <x:f t="shared" si="39"/>
        <x:v>0.2203</x:v>
      </x:c>
      <x:c r="BK55" s="91">
        <x:f t="shared" si="39"/>
        <x:v>0.2331</x:v>
      </x:c>
      <x:c r="BL55" s="2"/>
      <x:c r="BM55" s="5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</x:row>
    <x:row r="56" spans="1:77" s="4" customFormat="1" ht="13.5" customHeight="1" thickBot="1" x14ac:dyDescent="0.35">
      <x:c r="A56" s="231"/>
      <x:c r="C56" s="67"/>
      <x:c r="D56" s="72"/>
      <x:c r="E56" s="16"/>
      <x:c r="G56" s="93"/>
      <x:c r="H56" s="94"/>
      <x:c r="I56" s="94"/>
      <x:c r="J56" s="94"/>
      <x:c r="K56" s="95"/>
      <x:c r="L56" s="41"/>
      <x:c r="M56" s="93"/>
      <x:c r="N56" s="94"/>
      <x:c r="O56" s="95"/>
      <x:c r="P56" s="41"/>
      <x:c r="Q56" s="93"/>
      <x:c r="R56" s="95"/>
      <x:c r="S56" s="41"/>
      <x:c r="T56" s="93"/>
      <x:c r="U56" s="95"/>
      <x:c r="W56" s="93"/>
      <x:c r="X56" s="94"/>
      <x:c r="Y56" s="95"/>
      <x:c r="Z56" s="93"/>
      <x:c r="AA56" s="94"/>
      <x:c r="AB56" s="94"/>
      <x:c r="AC56" s="94"/>
      <x:c r="AD56" s="94"/>
      <x:c r="AE56" s="95"/>
      <x:c r="AF56" s="93"/>
      <x:c r="AG56" s="94"/>
      <x:c r="AH56" s="94"/>
      <x:c r="AI56" s="94"/>
      <x:c r="AJ56" s="95"/>
      <x:c r="AK56" s="93"/>
      <x:c r="AL56" s="94"/>
      <x:c r="AM56" s="95"/>
      <x:c r="AN56" s="93"/>
      <x:c r="AO56" s="94"/>
      <x:c r="AP56" s="94"/>
      <x:c r="AQ56" s="94"/>
      <x:c r="AR56" s="94"/>
      <x:c r="AS56" s="95"/>
      <x:c r="AT56" s="93"/>
      <x:c r="AU56" s="94"/>
      <x:c r="AV56" s="94"/>
      <x:c r="AW56" s="94"/>
      <x:c r="AX56" s="95"/>
      <x:c r="AY56" s="41"/>
      <x:c r="AZ56" s="93"/>
      <x:c r="BA56" s="94"/>
      <x:c r="BB56" s="94"/>
      <x:c r="BC56" s="95"/>
      <x:c r="BD56" s="96"/>
      <x:c r="BE56" s="93"/>
      <x:c r="BF56" s="94"/>
      <x:c r="BG56" s="94"/>
      <x:c r="BH56" s="94"/>
      <x:c r="BI56" s="95"/>
      <x:c r="BJ56" s="93"/>
      <x:c r="BK56" s="95"/>
      <x:c r="BL56" s="2"/>
      <x:c r="BM56" s="5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</x:row>
    <x:row r="57" spans="1:77" s="4" customFormat="1" ht="8.15" customHeight="1" x14ac:dyDescent="0.3">
      <x:c r="A57" s="231"/>
      <x:c r="C57" s="67"/>
      <x:c r="D57" s="72"/>
      <x:c r="E57" s="16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W57" s="40"/>
      <x:c r="X57" s="40"/>
      <x:c r="Y57" s="40"/>
      <x:c r="Z57" s="40"/>
      <x:c r="AA57" s="40"/>
      <x:c r="AB57" s="40"/>
      <x:c r="AC57" s="40"/>
      <x:c r="AD57" s="40"/>
      <x:c r="AE57" s="40"/>
      <x:c r="AF57" s="40"/>
      <x:c r="AG57" s="40"/>
      <x:c r="AH57" s="40"/>
      <x:c r="AI57" s="40"/>
      <x:c r="AJ57" s="40"/>
      <x:c r="AK57" s="40"/>
      <x:c r="AL57" s="40"/>
      <x:c r="AM57" s="40"/>
      <x:c r="AN57" s="40"/>
      <x:c r="AO57" s="40"/>
      <x:c r="AP57" s="40"/>
      <x:c r="AQ57" s="40"/>
      <x:c r="AR57" s="40"/>
      <x:c r="AS57" s="40"/>
      <x:c r="AT57" s="40"/>
      <x:c r="AU57" s="40"/>
      <x:c r="AV57" s="40"/>
      <x:c r="AW57" s="40"/>
      <x:c r="AX57" s="40"/>
      <x:c r="AY57" s="40"/>
      <x:c r="AZ57" s="40"/>
      <x:c r="BA57" s="40"/>
      <x:c r="BB57" s="40"/>
      <x:c r="BC57" s="40"/>
      <x:c r="BD57" s="40"/>
      <x:c r="BE57" s="40"/>
      <x:c r="BF57" s="40"/>
      <x:c r="BG57" s="40"/>
      <x:c r="BH57" s="40"/>
      <x:c r="BI57" s="40"/>
      <x:c r="BJ57" s="40"/>
      <x:c r="BK57" s="40"/>
      <x:c r="BM57" s="13"/>
    </x:row>
    <x:row r="58" spans="1:77" s="4" customFormat="1" ht="8.15" customHeight="1" x14ac:dyDescent="0.3">
      <x:c r="A58" s="231"/>
      <x:c r="C58" s="177"/>
      <x:c r="D58" s="177"/>
      <x:c r="E58" s="73"/>
    </x:row>
    <x:row r="59" spans="1:77" s="4" customFormat="1" ht="29.5" customHeight="1" x14ac:dyDescent="0.3">
      <x:c r="A59" s="231">
        <x:v>34</x:v>
      </x:c>
      <x:c r="C59" s="275" t="s">
        <x:v>164</x:v>
      </x:c>
      <x:c r="D59" s="276"/>
      <x:c r="E59" s="276"/>
      <x:c r="F59" s="256"/>
    </x:row>
    <x:row r="60" spans="1:77" s="4" customFormat="1" ht="13.5" customHeight="1" x14ac:dyDescent="0.3">
      <x:c r="A60" s="231">
        <x:f t="shared" si="0"/>
        <x:v>35</x:v>
      </x:c>
      <x:c r="C60" s="210" t="s">
        <x:v>165</x:v>
      </x:c>
      <x:c r="D60" s="10"/>
      <x:c r="E60" s="10"/>
    </x:row>
    <x:row r="61" spans="1:77" s="4" customFormat="1" ht="13.5" customHeight="1" x14ac:dyDescent="0.3">
      <x:c r="A61" s="231">
        <x:f t="shared" si="0"/>
        <x:v>36</x:v>
      </x:c>
      <x:c r="C61" s="210" t="s">
        <x:v>79</x:v>
      </x:c>
      <x:c r="D61" s="10"/>
      <x:c r="E61" s="10"/>
      <x:c r="P61" s="2"/>
      <x:c r="AY61" s="2"/>
      <x:c r="AZ61" s="33"/>
      <x:c r="BA61" s="184"/>
      <x:c r="BB61" s="41"/>
    </x:row>
    <x:row r="62" spans="1:77" s="4" customFormat="1" ht="13.5" customHeight="1" x14ac:dyDescent="0.3">
      <x:c r="A62" s="231">
        <x:f t="shared" si="0"/>
        <x:v>37</x:v>
      </x:c>
      <x:c r="C62" s="9" t="s">
        <x:v>96</x:v>
      </x:c>
      <x:c r="D62" s="10"/>
      <x:c r="E62" s="10"/>
      <x:c r="P62" s="2"/>
      <x:c r="AY62" s="2"/>
    </x:row>
    <x:row r="63" spans="1:77" s="4" customFormat="1" ht="13.5" customHeight="1" x14ac:dyDescent="0.3">
      <x:c r="A63" s="231">
        <x:f t="shared" si="0"/>
        <x:v>38</x:v>
      </x:c>
      <x:c r="C63" s="210" t="s">
        <x:v>95</x:v>
      </x:c>
      <x:c r="D63" s="10"/>
      <x:c r="E63" s="10"/>
      <x:c r="P63" s="2"/>
      <x:c r="AY63" s="2"/>
    </x:row>
    <x:row r="64" spans="1:77" s="4" customFormat="1" ht="49.5" customHeight="1" x14ac:dyDescent="0.3">
      <x:c r="A64" s="271">
        <x:f t="shared" si="0"/>
        <x:v>39</x:v>
      </x:c>
      <x:c r="C64" s="277" t="s">
        <x:v>99</x:v>
      </x:c>
      <x:c r="D64" s="278"/>
      <x:c r="E64" s="278"/>
      <x:c r="P64" s="2"/>
      <x:c r="AY64" s="2"/>
    </x:row>
    <x:row r="65" spans="1:51" s="4" customFormat="1" ht="13.5" customHeight="1" x14ac:dyDescent="0.3">
      <x:c r="A65" s="231">
        <x:f t="shared" si="0"/>
        <x:v>40</x:v>
      </x:c>
      <x:c r="C65" s="210" t="s">
        <x:v>101</x:v>
      </x:c>
      <x:c r="D65" s="10"/>
      <x:c r="E65" s="10"/>
      <x:c r="P65" s="2"/>
      <x:c r="AY65" s="2"/>
    </x:row>
    <x:row r="66" spans="1:51" ht="3" customHeight="1" x14ac:dyDescent="0.3"/>
    <x:row r="67" spans="1:51" ht="13.5" customHeight="1" x14ac:dyDescent="0.3"/>
    <x:row r="68" spans="1:51" ht="13.5" customHeight="1" x14ac:dyDescent="0.3"/>
    <x:row r="69" spans="1:51" ht="13.5" customHeight="1" x14ac:dyDescent="0.3"/>
    <x:row r="70" spans="1:51" ht="13.5" customHeight="1" x14ac:dyDescent="0.3"/>
    <x:row r="71" spans="1:51" ht="13.5" customHeight="1" x14ac:dyDescent="0.3"/>
    <x:row r="72" spans="1:51" ht="13.5" customHeight="1" x14ac:dyDescent="0.3"/>
    <x:row r="73" spans="1:51" ht="13.5" customHeight="1" x14ac:dyDescent="0.3"/>
    <x:row r="74" spans="1:51" ht="13.5" customHeight="1" x14ac:dyDescent="0.3"/>
    <x:row r="75" spans="1:51" ht="13.5" customHeight="1" x14ac:dyDescent="0.3"/>
    <x:row r="76" spans="1:51" ht="13.5" customHeight="1" x14ac:dyDescent="0.3"/>
    <x:row r="77" spans="1:51" ht="62.15" customHeight="1" x14ac:dyDescent="0.3"/>
    <x:row r="78" spans="1:51" ht="85.5" customHeight="1" x14ac:dyDescent="0.3"/>
    <x:row r="79" spans="1:51" ht="13.5" customHeight="1" x14ac:dyDescent="0.3"/>
    <x:row r="80" spans="1:51" ht="13.5" customHeight="1" x14ac:dyDescent="0.3"/>
    <x:row r="81" spans="1:70" ht="13.5" customHeight="1" x14ac:dyDescent="0.3">
      <x:c r="G81" s="39">
        <x:f>G51*12*G10</x:f>
        <x:v>13100864.159999998</x:v>
      </x:c>
      <x:c r="H81" s="39">
        <x:f>H51*12*H10</x:f>
        <x:v>581437.92000000004</x:v>
      </x:c>
      <x:c r="I81" s="39">
        <x:f>I51*12*I10</x:f>
        <x:v>3861950.3999999994</x:v>
      </x:c>
      <x:c r="J81" s="39">
        <x:f>J51*12*J10</x:f>
        <x:v>2002965.1200000003</x:v>
      </x:c>
      <x:c r="K81" s="39">
        <x:f>K51*12*K10</x:f>
        <x:v>805815.00000000012</x:v>
      </x:c>
      <x:c r="L81" s="39"/>
      <x:c r="M81" s="39">
        <x:f>M51*12*M10</x:f>
        <x:v>51880.56</x:v>
      </x:c>
      <x:c r="N81" s="39">
        <x:f>N51*12*N10</x:f>
        <x:v>70424.639999999999</x:v>
      </x:c>
      <x:c r="O81" s="39">
        <x:f>O51*12*O10</x:f>
        <x:v>141631.67999999999</x:v>
      </x:c>
      <x:c r="P81" s="39"/>
      <x:c r="Q81" s="39">
        <x:f>Q51*12*Q10</x:f>
        <x:v>1495684.08</x:v>
      </x:c>
      <x:c r="R81" s="39">
        <x:f>R51*12*R10</x:f>
        <x:v>69196.56</x:v>
      </x:c>
      <x:c r="S81" s="39"/>
      <x:c r="T81" s="39">
        <x:f>T51*12*T10</x:f>
        <x:v>778869</x:v>
      </x:c>
      <x:c r="U81" s="39">
        <x:f>U51*12*U10</x:f>
        <x:v>519996.12000000005</x:v>
      </x:c>
      <x:c r="V81" s="39"/>
      <x:c r="W81" s="39">
        <x:f t="shared" ref="W81:AS81" si="40">W51*12*W10</x:f>
        <x:v>773973.84000000008</x:v>
      </x:c>
      <x:c r="X81" s="39">
        <x:f t="shared" si="40"/>
        <x:v>241563.72000000003</x:v>
      </x:c>
      <x:c r="Y81" s="39" t="e">
        <x:f t="shared" si="40"/>
        <x:v>#DIV/0!</x:v>
      </x:c>
      <x:c r="Z81" s="39">
        <x:f t="shared" si="40"/>
        <x:v>24761942.879999999</x:v>
      </x:c>
      <x:c r="AA81" s="39">
        <x:f t="shared" si="40"/>
        <x:v>1674017.28</x:v>
      </x:c>
      <x:c r="AB81" s="39">
        <x:f t="shared" si="40"/>
        <x:v>5560532.3999999994</x:v>
      </x:c>
      <x:c r="AC81" s="39">
        <x:f t="shared" si="40"/>
        <x:v>6402302.4000000004</x:v>
      </x:c>
      <x:c r="AD81" s="39">
        <x:f t="shared" si="40"/>
        <x:v>306328.44</x:v>
      </x:c>
      <x:c r="AE81" s="39">
        <x:f t="shared" si="40"/>
        <x:v>300</x:v>
      </x:c>
      <x:c r="AF81" s="39">
        <x:f t="shared" si="40"/>
        <x:v>554364.24</x:v>
      </x:c>
      <x:c r="AG81" s="39">
        <x:f t="shared" si="40"/>
        <x:v>36511.560000000005</x:v>
      </x:c>
      <x:c r="AH81" s="39">
        <x:f t="shared" si="40"/>
        <x:v>212740.80000000002</x:v>
      </x:c>
      <x:c r="AI81" s="39">
        <x:f t="shared" si="40"/>
        <x:v>118483.2</x:v>
      </x:c>
      <x:c r="AJ81" s="39">
        <x:f t="shared" si="40"/>
        <x:v>58330.8</x:v>
      </x:c>
      <x:c r="AK81" s="39">
        <x:f t="shared" si="40"/>
        <x:v>10545.599999999999</x:v>
      </x:c>
      <x:c r="AL81" s="39">
        <x:f t="shared" si="40"/>
        <x:v>57142.8</x:v>
      </x:c>
      <x:c r="AM81" s="39" t="e">
        <x:f t="shared" si="40"/>
        <x:v>#DIV/0!</x:v>
      </x:c>
      <x:c r="AN81" s="39">
        <x:f t="shared" si="40"/>
        <x:v>490432.32000000007</x:v>
      </x:c>
      <x:c r="AO81" s="39">
        <x:f t="shared" si="40"/>
        <x:v>382671.96</x:v>
      </x:c>
      <x:c r="AP81" s="39">
        <x:f t="shared" si="40"/>
        <x:v>1219527</x:v>
      </x:c>
      <x:c r="AQ81" s="39">
        <x:f t="shared" si="40"/>
        <x:v>1203879.5999999999</x:v>
      </x:c>
      <x:c r="AR81" s="39">
        <x:f t="shared" si="40"/>
        <x:v>75069.359999999986</x:v>
      </x:c>
      <x:c r="AS81" s="39" t="e">
        <x:f t="shared" si="40"/>
        <x:v>#DIV/0!</x:v>
      </x:c>
      <x:c r="AT81" s="39"/>
      <x:c r="AU81" s="39">
        <x:f>AU51*12*AU10</x:f>
        <x:v>1870.68</x:v>
      </x:c>
      <x:c r="AV81" s="39"/>
      <x:c r="AW81" s="39">
        <x:f>AW51*12*AW10</x:f>
        <x:v>26559.360000000004</x:v>
      </x:c>
      <x:c r="AX81" s="39">
        <x:f>AX51*12*AX10</x:f>
        <x:v>2817.6000000000004</x:v>
      </x:c>
      <x:c r="AY81" s="39"/>
      <x:c r="AZ81" s="39">
        <x:f t="shared" ref="AZ81:BK81" si="41">AZ51*12*AZ10</x:f>
        <x:v>77626.44</x:v>
      </x:c>
      <x:c r="BA81" s="39">
        <x:f t="shared" si="41"/>
        <x:v>3164774.3999999999</x:v>
      </x:c>
      <x:c r="BB81" s="39">
        <x:f t="shared" si="41"/>
        <x:v>138202.56</x:v>
      </x:c>
      <x:c r="BC81" s="39">
        <x:f t="shared" si="41"/>
        <x:v>291288.24</x:v>
      </x:c>
      <x:c r="BD81" s="39">
        <x:f t="shared" si="41"/>
        <x:v>3972.0000000000005</x:v>
      </x:c>
      <x:c r="BE81" s="39">
        <x:f t="shared" si="41"/>
        <x:v>66836.160000000003</x:v>
      </x:c>
      <x:c r="BF81" s="39">
        <x:f t="shared" si="41"/>
        <x:v>532293.84</x:v>
      </x:c>
      <x:c r="BG81" s="39">
        <x:f t="shared" si="41"/>
        <x:v>1119960</x:v>
      </x:c>
      <x:c r="BH81" s="39">
        <x:f t="shared" si="41"/>
        <x:v>9932.2800000000007</x:v>
      </x:c>
      <x:c r="BI81" s="39">
        <x:f t="shared" si="41"/>
        <x:v>9503.9999999999982</x:v>
      </x:c>
      <x:c r="BJ81" s="39">
        <x:f t="shared" si="41"/>
        <x:v>49893.24</x:v>
      </x:c>
      <x:c r="BK81" s="39">
        <x:f t="shared" si="41"/>
        <x:v>1692079.2</x:v>
      </x:c>
      <x:c r="BL81" s="4"/>
      <x:c r="BM81" s="225"/>
      <x:c r="BN81" s="4"/>
      <x:c r="BO81" s="4"/>
      <x:c r="BP81" s="4"/>
      <x:c r="BQ81" s="4"/>
      <x:c r="BR81" s="4"/>
    </x:row>
    <x:row r="82" spans="1:70" ht="13.5" customHeight="1" x14ac:dyDescent="0.3">
      <x:c r="A82" s="232" t="s">
        <x:v>105</x:v>
      </x:c>
      <x:c r="G82" s="178">
        <x:f>G49-G81</x:f>
        <x:v>2825.8400000017136</x:v>
      </x:c>
      <x:c r="H82" s="178">
        <x:f>H49-H81</x:f>
        <x:v>-128.92000000004191</x:v>
      </x:c>
      <x:c r="I82" s="178">
        <x:f>I49-I81</x:f>
        <x:v>-600.39999999944121</x:v>
      </x:c>
      <x:c r="J82" s="178">
        <x:f>J49-J81</x:f>
        <x:v>511.87999999965541</x:v>
      </x:c>
      <x:c r="K82" s="178">
        <x:f>K49-K81</x:f>
        <x:v>20.999999999883585</x:v>
      </x:c>
      <x:c r="L82" s="178"/>
      <x:c r="M82" s="178">
        <x:f>M49-M81</x:f>
        <x:v>13.440000000002328</x:v>
      </x:c>
      <x:c r="N82" s="178">
        <x:f>N49-N81</x:f>
        <x:v>-9.6399999999994179</x:v>
      </x:c>
      <x:c r="O82" s="178">
        <x:f>O49-O81</x:f>
        <x:v>-20.679999999993015</x:v>
      </x:c>
      <x:c r="P82" s="178"/>
      <x:c r="Q82" s="178">
        <x:f>Q49-Q81</x:f>
        <x:v>-77.080000000074506</x:v>
      </x:c>
      <x:c r="R82" s="178">
        <x:f>R49-R81</x:f>
        <x:v>-14.559999999997672</x:v>
      </x:c>
      <x:c r="S82" s="178"/>
      <x:c r="T82" s="178">
        <x:f>T49-T81</x:f>
        <x:v>-203</x:v>
      </x:c>
      <x:c r="U82" s="178">
        <x:f>U49-U81</x:f>
        <x:v>-89.120000000053551</x:v>
      </x:c>
      <x:c r="V82" s="178"/>
      <x:c r="W82" s="178">
        <x:f t="shared" ref="W82:AS82" si="42">W49-W81</x:f>
        <x:v>-116.84000000008382</x:v>
      </x:c>
      <x:c r="X82" s="178">
        <x:f t="shared" si="42"/>
        <x:v>34.279999999969732</x:v>
      </x:c>
      <x:c r="Y82" s="178" t="e">
        <x:f t="shared" si="42"/>
        <x:v>#DIV/0!</x:v>
      </x:c>
      <x:c r="Z82" s="178">
        <x:f t="shared" si="42"/>
        <x:v>-2922.8799999989569</x:v>
      </x:c>
      <x:c r="AA82" s="178">
        <x:f t="shared" si="42"/>
        <x:v>-395.28000000002794</x:v>
      </x:c>
      <x:c r="AB82" s="178">
        <x:f t="shared" si="42"/>
        <x:v>536.60000000055879</x:v>
      </x:c>
      <x:c r="AC82" s="178">
        <x:f t="shared" si="42"/>
        <x:v>-409.40000000037253</x:v>
      </x:c>
      <x:c r="AD82" s="178">
        <x:f t="shared" si="42"/>
        <x:v>-17.440000000002328</x:v>
      </x:c>
      <x:c r="AE82" s="178">
        <x:f t="shared" si="42"/>
        <x:v>0</x:v>
      </x:c>
      <x:c r="AF82" s="178">
        <x:f t="shared" si="42"/>
        <x:v>61.760000000009313</x:v>
      </x:c>
      <x:c r="AG82" s="178">
        <x:f t="shared" si="42"/>
        <x:v>5.4399999999950523</x:v>
      </x:c>
      <x:c r="AH82" s="178">
        <x:f t="shared" si="42"/>
        <x:v>-30.800000000017462</x:v>
      </x:c>
      <x:c r="AI82" s="178">
        <x:f t="shared" si="42"/>
        <x:v>-4.1999999999970896</x:v>
      </x:c>
      <x:c r="AJ82" s="178">
        <x:f t="shared" si="42"/>
        <x:v>7.1999999999970896</x:v>
      </x:c>
      <x:c r="AK82" s="178">
        <x:f t="shared" si="42"/>
        <x:v>0.40000000000145519</x:v>
      </x:c>
      <x:c r="AL82" s="178">
        <x:f t="shared" si="42"/>
        <x:v>6.1999999999970896</x:v>
      </x:c>
      <x:c r="AM82" s="178" t="e">
        <x:f t="shared" si="42"/>
        <x:v>#DIV/0!</x:v>
      </x:c>
      <x:c r="AN82" s="178">
        <x:f t="shared" si="42"/>
        <x:v>5.6799999999348074</x:v>
      </x:c>
      <x:c r="AO82" s="178">
        <x:f t="shared" si="42"/>
        <x:v>-9.9600000000209548</x:v>
      </x:c>
      <x:c r="AP82" s="178">
        <x:f t="shared" si="42"/>
        <x:v>219</x:v>
      </x:c>
      <x:c r="AQ82" s="178">
        <x:f t="shared" si="42"/>
        <x:v>71.400000000139698</x:v>
      </x:c>
      <x:c r="AR82" s="178">
        <x:f t="shared" si="42"/>
        <x:v>-12.35999999998603</x:v>
      </x:c>
      <x:c r="AS82" s="178" t="e">
        <x:f t="shared" si="42"/>
        <x:v>#DIV/0!</x:v>
      </x:c>
      <x:c r="AT82" s="178"/>
      <x:c r="AU82" s="178">
        <x:f>AU49-AU81</x:f>
        <x:v>0.31999999999993634</x:v>
      </x:c>
      <x:c r="AV82" s="178"/>
      <x:c r="AW82" s="178">
        <x:f>AW49-AW81</x:f>
        <x:v>-4.3600000000042201</x:v>
      </x:c>
      <x:c r="AX82" s="178">
        <x:f>AX49-AX81</x:f>
        <x:v>0.3999999999996362</x:v>
      </x:c>
      <x:c r="AY82" s="178"/>
      <x:c r="AZ82" s="178">
        <x:f t="shared" ref="AZ82:BK82" si="43">AZ49-AZ81</x:f>
        <x:v>-20.440000000002328</x:v>
      </x:c>
      <x:c r="BA82" s="178">
        <x:f t="shared" si="43"/>
        <x:v>47.600000000093132</x:v>
      </x:c>
      <x:c r="BB82" s="178">
        <x:f t="shared" si="43"/>
        <x:v>33.440000000002328</x:v>
      </x:c>
      <x:c r="BC82" s="178">
        <x:f t="shared" si="43"/>
        <x:v>37.760000000009313</x:v>
      </x:c>
      <x:c r="BD82" s="178">
        <x:f t="shared" si="43"/>
        <x:v>0</x:v>
      </x:c>
      <x:c r="BE82" s="178">
        <x:f t="shared" si="43"/>
        <x:v>-11.160000000003492</x:v>
      </x:c>
      <x:c r="BF82" s="178">
        <x:f t="shared" si="43"/>
        <x:v>-121.8399999999674</x:v>
      </x:c>
      <x:c r="BG82" s="178">
        <x:f t="shared" si="43"/>
        <x:v>9</x:v>
      </x:c>
      <x:c r="BH82" s="178">
        <x:f t="shared" si="43"/>
        <x:v>1.7199999999993452</x:v>
      </x:c>
      <x:c r="BI82" s="178">
        <x:f t="shared" si="43"/>
        <x:v>1.000000000001819</x:v>
      </x:c>
      <x:c r="BJ82" s="178">
        <x:f t="shared" si="43"/>
        <x:v>9.7600000000020373</x:v>
      </x:c>
      <x:c r="BK82" s="178">
        <x:f t="shared" si="43"/>
        <x:v>427.80000000004657</x:v>
      </x:c>
      <x:c r="BL82" s="4"/>
      <x:c r="BM82" s="179" t="e">
        <x:f>SUM(G82:BL82)</x:f>
        <x:v>#DIV/0!</x:v>
      </x:c>
      <x:c r="BN82" s="208" t="s">
        <x:v>187</x:v>
      </x:c>
      <x:c r="BO82" s="209"/>
      <x:c r="BP82" s="4"/>
      <x:c r="BQ82" s="4"/>
      <x:c r="BR82" s="4"/>
    </x:row>
    <x:row r="83" spans="1:70" ht="13.5" customHeight="1" x14ac:dyDescent="0.3">
      <x:c r="G83" s="180"/>
      <x:c r="H83" s="4"/>
      <x:c r="I83" s="4"/>
      <x:c r="J83" s="4"/>
      <x:c r="K83" s="4"/>
      <x:c r="L83" s="4"/>
      <x:c r="M83" s="4"/>
      <x:c r="N83" s="4"/>
      <x:c r="O83" s="4"/>
      <x:c r="P83" s="2"/>
      <x:c r="Q83" s="4"/>
      <x:c r="R83" s="4"/>
      <x:c r="S83" s="4"/>
      <x:c r="T83" s="4"/>
      <x:c r="U83" s="4"/>
      <x:c r="V83" s="4"/>
      <x:c r="W83" s="4"/>
      <x:c r="X83" s="4"/>
      <x:c r="Y83" s="4"/>
      <x:c r="Z83" s="181"/>
      <x:c r="AA83" s="4"/>
      <x:c r="AB83" s="4"/>
      <x:c r="AC83" s="4"/>
      <x:c r="AD83" s="4"/>
      <x:c r="AE83" s="4"/>
      <x:c r="AF83" s="4"/>
      <x:c r="AG83" s="4"/>
      <x:c r="AH83" s="4"/>
      <x:c r="AI83" s="4"/>
      <x:c r="AJ83" s="4"/>
      <x:c r="AK83" s="4"/>
      <x:c r="AL83" s="4"/>
      <x:c r="AM83" s="4"/>
      <x:c r="AN83" s="182"/>
      <x:c r="AO83" s="182"/>
      <x:c r="AP83" s="182"/>
      <x:c r="AQ83" s="182"/>
      <x:c r="AR83" s="182"/>
      <x:c r="AS83" s="182"/>
      <x:c r="AT83" s="180"/>
      <x:c r="AU83" s="4"/>
      <x:c r="AV83" s="4"/>
      <x:c r="AW83" s="4"/>
      <x:c r="AX83" s="4"/>
      <x:c r="AZ83" s="40"/>
      <x:c r="BA83" s="2"/>
      <x:c r="BB83" s="183"/>
      <x:c r="BC83" s="4"/>
      <x:c r="BD83" s="4"/>
      <x:c r="BE83" s="4"/>
      <x:c r="BF83" s="4"/>
      <x:c r="BG83" s="4"/>
      <x:c r="BH83" s="4"/>
      <x:c r="BI83" s="4"/>
      <x:c r="BJ83" s="4"/>
      <x:c r="BK83" s="4"/>
      <x:c r="BL83" s="4"/>
      <x:c r="BM83" s="4"/>
      <x:c r="BN83" s="4"/>
      <x:c r="BO83" s="4"/>
      <x:c r="BP83" s="4"/>
      <x:c r="BQ83" s="4"/>
      <x:c r="BR83" s="4"/>
    </x:row>
    <x:row r="84" spans="1:70" ht="13.5" customHeight="1" x14ac:dyDescent="0.3">
      <x:c r="G84" s="4"/>
      <x:c r="H84" s="4"/>
      <x:c r="I84" s="4"/>
      <x:c r="J84" s="4"/>
      <x:c r="K84" s="4"/>
      <x:c r="L84" s="4"/>
      <x:c r="M84" s="4"/>
      <x:c r="N84" s="4"/>
      <x:c r="O84" s="4"/>
      <x:c r="P84" s="2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4"/>
      <x:c r="AS84" s="4"/>
      <x:c r="AT84" s="4"/>
      <x:c r="AU84" s="4"/>
      <x:c r="AV84" s="4"/>
      <x:c r="AW84" s="4"/>
      <x:c r="AX84" s="4"/>
      <x:c r="AZ84" s="40"/>
      <x:c r="BA84" s="2"/>
      <x:c r="BB84" s="183"/>
      <x:c r="BC84" s="4"/>
      <x:c r="BD84" s="4"/>
      <x:c r="BE84" s="4"/>
      <x:c r="BF84" s="4"/>
      <x:c r="BG84" s="4"/>
      <x:c r="BH84" s="4"/>
      <x:c r="BI84" s="4"/>
      <x:c r="BJ84" s="4"/>
      <x:c r="BK84" s="4"/>
      <x:c r="BL84" s="4"/>
      <x:c r="BM84" s="4"/>
      <x:c r="BN84" s="270"/>
      <x:c r="BO84" s="4"/>
      <x:c r="BP84" s="4"/>
      <x:c r="BQ84" s="4"/>
      <x:c r="BR84" s="4"/>
    </x:row>
    <x:row r="85" spans="1:70" ht="13.5" customHeight="1" x14ac:dyDescent="0.3"/>
    <x:row r="86" spans="1:70" ht="13.5" customHeight="1" x14ac:dyDescent="0.3"/>
    <x:row r="87" spans="1:70" ht="13.5" customHeight="1" x14ac:dyDescent="0.3"/>
    <x:row r="88" spans="1:70" ht="13.5" customHeight="1" x14ac:dyDescent="0.3"/>
    <x:row r="89" spans="1:70" ht="13.5" customHeight="1" x14ac:dyDescent="0.3"/>
    <x:row r="90" spans="1:70" ht="13.5" customHeight="1" x14ac:dyDescent="0.3"/>
  </x:sheetData>
  <x:mergeCells count="26">
    <x:mergeCell ref="Z6:AE6"/>
    <x:mergeCell ref="W5:Y5"/>
    <x:mergeCell ref="W6:Y6"/>
    <x:mergeCell ref="G5:K5"/>
    <x:mergeCell ref="G6:K6"/>
    <x:mergeCell ref="M5:O5"/>
    <x:mergeCell ref="M6:O6"/>
    <x:mergeCell ref="Q5:R5"/>
    <x:mergeCell ref="T5:U5"/>
    <x:mergeCell ref="Q6:R6"/>
    <x:mergeCell ref="C59:E59"/>
    <x:mergeCell ref="C64:E64"/>
    <x:mergeCell ref="BJ5:BK5"/>
    <x:mergeCell ref="AN5:AS5"/>
    <x:mergeCell ref="AT5:AX5"/>
    <x:mergeCell ref="T6:U6"/>
    <x:mergeCell ref="AT6:AX6"/>
    <x:mergeCell ref="AN6:AS6"/>
    <x:mergeCell ref="AZ5:BC5"/>
    <x:mergeCell ref="BE5:BI5"/>
    <x:mergeCell ref="AF5:AJ5"/>
    <x:mergeCell ref="AF6:AJ6"/>
    <x:mergeCell ref="AK5:AM5"/>
    <x:mergeCell ref="AK6:AM6"/>
    <x:mergeCell ref="B14:F14"/>
    <x:mergeCell ref="Z5:AE5"/>
  </x:mergeCells>
  <x:phoneticPr fontId="2" type="noConversion"/>
  <x:printOptions horizontalCentered="1"/>
  <x:pageMargins left="0.75" right="0.5" top="1.7" bottom="0.5" header="0.5" footer="0"/>
  <x:pageSetup scale="65" orientation="portrait" r:id="rId1"/>
  <x:headerFooter alignWithMargins="0">
    <x:oddHeader>&amp;C
2025  RATE  CASE
ONCOR  ELECTRIC DELIVERY  COMPANY  LLC
MONTHLY  RATES  FOR  UNMETERED  FACILITIES  -  SCHEDULES  A and B
FOR THE TEST YEAR ENDING DECEMBER 31, 2024
SPONSOR:  MATTHEW A. TROXLE
&amp;RWP/IV-J-7/2
Page &amp;P of &amp;N</x:oddHeader>
  </x:headerFooter>
  <x:colBreaks count="9" manualBreakCount="9">
    <x:brk id="11" min="1" max="66" man="1"/>
    <x:brk id="21" min="1" max="66" man="1"/>
    <x:brk id="25" min="1" max="66" man="1"/>
    <x:brk id="31" min="1" max="66" man="1"/>
    <x:brk id="36" min="1" max="66" man="1"/>
    <x:brk id="39" min="1" max="66" man="1"/>
    <x:brk id="45" min="1" max="66" man="1"/>
    <x:brk id="50" min="1" max="66" man="1"/>
    <x:brk id="56" min="1" max="66" man="1"/>
  </x:colBreaks>
  <x:legacy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pageSetUpPr fitToPage="1"/>
  </x:sheetPr>
  <x:dimension ref="B1:AN52"/>
  <x:sheetViews>
    <x:sheetView topLeftCell="D30" zoomScaleNormal="100" workbookViewId="0">
      <x:selection activeCell="J41" sqref="J41"/>
    </x:sheetView>
  </x:sheetViews>
  <x:sheetFormatPr defaultRowHeight="13.5" x14ac:dyDescent="0.3"/>
  <x:cols>
    <x:col min="2" max="2" width="6.765625" style="8" customWidth="1"/>
    <x:col min="4" max="4" width="5.61328125" customWidth="1"/>
    <x:col min="5" max="5" width="18.765625" customWidth="1"/>
    <x:col min="6" max="6" width="1.61328125" customWidth="1"/>
    <x:col min="7" max="7" width="2.61328125" customWidth="1"/>
    <x:col min="8" max="8" width="12.765625" customWidth="1"/>
    <x:col min="9" max="9" width="3.61328125" customWidth="1"/>
    <x:col min="10" max="10" width="12.765625" customWidth="1"/>
    <x:col min="11" max="11" width="3.61328125" customWidth="1"/>
    <x:col min="12" max="12" width="12.765625" customWidth="1"/>
    <x:col min="13" max="13" width="3.61328125" customWidth="1"/>
    <x:col min="14" max="14" width="12.765625" customWidth="1"/>
    <x:col min="15" max="15" width="3.61328125" customWidth="1"/>
    <x:col min="16" max="16" width="12.765625" customWidth="1"/>
    <x:col min="17" max="17" width="2.61328125" customWidth="1"/>
    <x:col min="18" max="18" width="10.61328125" customWidth="1"/>
    <x:col min="19" max="19" width="1.765625" customWidth="1"/>
    <x:col min="20" max="20" width="10.61328125" customWidth="1"/>
    <x:col min="21" max="21" width="10.4609375" customWidth="1"/>
    <x:col min="22" max="22" width="60.61328125" customWidth="1"/>
    <x:col min="23" max="27" width="10.4609375" customWidth="1"/>
    <x:col min="29" max="29" width="11.15234375" bestFit="1" customWidth="1"/>
  </x:cols>
  <x:sheetData>
    <x:row r="1" spans="2:31" x14ac:dyDescent="0.3">
      <x:c r="P1" s="17" t="s">
        <x:v>62</x:v>
      </x:c>
    </x:row>
    <x:row r="2" spans="2:31" x14ac:dyDescent="0.3">
      <x:c r="P2" s="17" t="s">
        <x:v>61</x:v>
      </x:c>
    </x:row>
    <x:row r="3" spans="2:31" ht="15.65" customHeight="1" x14ac:dyDescent="0.3">
      <x:c r="O3" s="17"/>
    </x:row>
    <x:row r="4" spans="2:31" s="4" customFormat="1" ht="14.15" customHeight="1" x14ac:dyDescent="0.3">
      <x:c r="B4" s="10"/>
      <x:c r="C4" s="291" t="s">
        <x:v>189</x:v>
      </x:c>
      <x:c r="D4" s="291"/>
      <x:c r="E4" s="291"/>
      <x:c r="F4" s="291"/>
      <x:c r="G4" s="291"/>
      <x:c r="H4" s="291"/>
      <x:c r="I4" s="291"/>
      <x:c r="J4" s="291"/>
      <x:c r="K4" s="291"/>
      <x:c r="L4" s="291"/>
      <x:c r="M4" s="291"/>
      <x:c r="N4" s="291"/>
      <x:c r="O4" s="291"/>
      <x:c r="P4" s="291"/>
      <x:c r="Q4" s="291"/>
    </x:row>
    <x:row r="5" spans="2:31" ht="14.15" customHeight="1" x14ac:dyDescent="0.3">
      <x:c r="C5" s="290" t="s">
        <x:v>60</x:v>
      </x:c>
      <x:c r="D5" s="290"/>
      <x:c r="E5" s="290"/>
      <x:c r="F5" s="290"/>
      <x:c r="G5" s="290"/>
      <x:c r="H5" s="290"/>
      <x:c r="I5" s="290"/>
      <x:c r="J5" s="290"/>
      <x:c r="K5" s="290"/>
      <x:c r="L5" s="290"/>
      <x:c r="M5" s="290"/>
      <x:c r="N5" s="290"/>
      <x:c r="O5" s="290"/>
      <x:c r="P5" s="290"/>
      <x:c r="Q5" s="290"/>
    </x:row>
    <x:row r="6" spans="2:31" ht="14.15" customHeight="1" x14ac:dyDescent="0.3">
      <x:c r="C6" s="290" t="s">
        <x:v>76</x:v>
      </x:c>
      <x:c r="D6" s="290"/>
      <x:c r="E6" s="290"/>
      <x:c r="F6" s="290"/>
      <x:c r="G6" s="290"/>
      <x:c r="H6" s="290"/>
      <x:c r="I6" s="290"/>
      <x:c r="J6" s="290"/>
      <x:c r="K6" s="290"/>
      <x:c r="L6" s="290"/>
      <x:c r="M6" s="290"/>
      <x:c r="N6" s="290"/>
      <x:c r="O6" s="290"/>
      <x:c r="P6" s="290"/>
      <x:c r="Q6" s="290"/>
    </x:row>
    <x:row r="7" spans="2:31" s="4" customFormat="1" ht="14.15" customHeight="1" x14ac:dyDescent="0.3">
      <x:c r="B7" s="10"/>
      <x:c r="C7" s="291" t="s">
        <x:v>190</x:v>
      </x:c>
      <x:c r="D7" s="291"/>
      <x:c r="E7" s="291"/>
      <x:c r="F7" s="291"/>
      <x:c r="G7" s="291"/>
      <x:c r="H7" s="291"/>
      <x:c r="I7" s="291"/>
      <x:c r="J7" s="291"/>
      <x:c r="K7" s="291"/>
      <x:c r="L7" s="291"/>
      <x:c r="M7" s="291"/>
      <x:c r="N7" s="291"/>
      <x:c r="O7" s="291"/>
      <x:c r="P7" s="291"/>
      <x:c r="Q7" s="291"/>
    </x:row>
    <x:row r="8" spans="2:31" ht="9" customHeight="1" x14ac:dyDescent="0.3">
      <x:c r="C8" s="123"/>
      <x:c r="D8" s="123"/>
      <x:c r="E8" s="123"/>
      <x:c r="F8" s="123"/>
      <x:c r="G8" s="123"/>
      <x:c r="H8" s="123"/>
      <x:c r="I8" s="123"/>
      <x:c r="J8" s="123"/>
      <x:c r="K8" s="123"/>
      <x:c r="L8" s="123"/>
      <x:c r="M8" s="123"/>
      <x:c r="N8" s="123"/>
      <x:c r="O8" s="123"/>
      <x:c r="P8" s="123"/>
      <x:c r="Q8" s="123"/>
    </x:row>
    <x:row r="9" spans="2:31" x14ac:dyDescent="0.3">
      <x:c r="C9" s="290" t="s">
        <x:v>100</x:v>
      </x:c>
      <x:c r="D9" s="290"/>
      <x:c r="E9" s="290"/>
      <x:c r="F9" s="290"/>
      <x:c r="G9" s="290"/>
      <x:c r="H9" s="290"/>
      <x:c r="I9" s="290"/>
      <x:c r="J9" s="290"/>
      <x:c r="K9" s="290"/>
      <x:c r="L9" s="290"/>
      <x:c r="M9" s="290"/>
      <x:c r="N9" s="290"/>
      <x:c r="O9" s="290"/>
      <x:c r="P9" s="290"/>
      <x:c r="Q9" s="290"/>
    </x:row>
    <x:row r="10" spans="2:31" s="8" customFormat="1" ht="44.15" customHeight="1" thickBot="1" x14ac:dyDescent="0.25">
      <x:c r="B10" s="233" t="s">
        <x:v>107</x:v>
      </x:c>
      <x:c r="C10" s="234" t="s">
        <x:v>108</x:v>
      </x:c>
      <x:c r="D10" s="292" t="s">
        <x:v>109</x:v>
      </x:c>
      <x:c r="E10" s="293"/>
      <x:c r="F10" s="234"/>
      <x:c r="G10" s="234"/>
      <x:c r="H10" s="234" t="s">
        <x:v>110</x:v>
      </x:c>
      <x:c r="I10" s="234"/>
      <x:c r="J10" s="234" t="s">
        <x:v>111</x:v>
      </x:c>
      <x:c r="K10" s="234"/>
      <x:c r="L10" s="234" t="s">
        <x:v>112</x:v>
      </x:c>
      <x:c r="M10" s="234"/>
      <x:c r="N10" s="234" t="s">
        <x:v>113</x:v>
      </x:c>
      <x:c r="O10" s="234"/>
      <x:c r="P10" s="234" t="s">
        <x:v>114</x:v>
      </x:c>
    </x:row>
    <x:row r="11" spans="2:31" ht="6" customHeight="1" x14ac:dyDescent="0.3">
      <x:c r="C11" s="97"/>
      <x:c r="D11" s="98"/>
      <x:c r="E11" s="47"/>
      <x:c r="F11" s="99"/>
      <x:c r="G11" s="98"/>
      <x:c r="H11" s="100"/>
      <x:c r="I11" s="98"/>
      <x:c r="J11" s="98"/>
      <x:c r="K11" s="98"/>
      <x:c r="L11" s="101"/>
      <x:c r="M11" s="101"/>
      <x:c r="N11" s="99"/>
      <x:c r="O11" s="99"/>
      <x:c r="P11" s="99"/>
      <x:c r="Q11" s="102"/>
      <x:c r="R11" s="8"/>
      <x:c r="S11" s="8"/>
      <x:c r="T11" s="10"/>
      <x:c r="U11" s="10"/>
      <x:c r="V11" s="10"/>
      <x:c r="W11" s="10"/>
      <x:c r="X11" s="10"/>
      <x:c r="Y11" s="10"/>
      <x:c r="Z11" s="10"/>
      <x:c r="AA11" s="10"/>
      <x:c r="AB11" s="10"/>
    </x:row>
    <x:row r="12" spans="2:31" ht="15" customHeight="1" x14ac:dyDescent="0.3">
      <x:c r="C12" s="103" t="s">
        <x:v>9</x:v>
      </x:c>
      <x:c r="D12" s="9"/>
      <x:c r="E12" s="2"/>
      <x:c r="F12" s="5"/>
      <x:c r="G12" s="9"/>
      <x:c r="H12" s="104"/>
      <x:c r="I12" s="9"/>
      <x:c r="J12" s="9"/>
      <x:c r="K12" s="9"/>
      <x:c r="L12" s="105"/>
      <x:c r="M12" s="105"/>
      <x:c r="N12" s="5"/>
      <x:c r="O12" s="5"/>
      <x:c r="P12" s="5"/>
      <x:c r="Q12" s="19"/>
      <x:c r="R12" s="8"/>
      <x:c r="S12" s="8"/>
      <x:c r="T12" s="10"/>
      <x:c r="U12" s="10"/>
      <x:c r="V12" s="10"/>
      <x:c r="W12" s="10"/>
      <x:c r="X12" s="10"/>
      <x:c r="Y12" s="10"/>
      <x:c r="Z12" s="10"/>
      <x:c r="AA12" s="10"/>
      <x:c r="AB12" s="10"/>
      <x:c r="AC12" s="4"/>
      <x:c r="AD12" s="4"/>
      <x:c r="AE12" s="4"/>
    </x:row>
    <x:row r="13" spans="2:31" ht="45" customHeight="1" x14ac:dyDescent="0.3">
      <x:c r="B13" s="231">
        <x:v>1</x:v>
      </x:c>
      <x:c r="C13" s="18"/>
      <x:c r="D13" s="237" t="s">
        <x:v>3</x:v>
      </x:c>
      <x:c r="E13" s="168"/>
      <x:c r="F13" s="238"/>
      <x:c r="G13" s="168"/>
      <x:c r="H13" s="238" t="s">
        <x:v>4</x:v>
      </x:c>
      <x:c r="I13" s="168"/>
      <x:c r="J13" s="238" t="s">
        <x:v>5</x:v>
      </x:c>
      <x:c r="K13" s="238"/>
      <x:c r="L13" s="238" t="s">
        <x:v>6</x:v>
      </x:c>
      <x:c r="M13" s="239"/>
      <x:c r="N13" s="238" t="s">
        <x:v>21</x:v>
      </x:c>
      <x:c r="O13" s="201"/>
      <x:c r="P13" s="238" t="s">
        <x:v>8</x:v>
      </x:c>
      <x:c r="Q13" s="19"/>
      <x:c r="R13" s="11" t="s">
        <x:v>66</x:v>
      </x:c>
      <x:c r="S13" s="11"/>
      <x:c r="T13" s="27" t="s">
        <x:v>58</x:v>
      </x:c>
      <x:c r="U13" s="28" t="s">
        <x:v>57</x:v>
      </x:c>
      <x:c r="V13" s="28"/>
      <x:c r="W13" s="28"/>
      <x:c r="X13" s="28"/>
      <x:c r="Y13" s="28"/>
      <x:c r="Z13" s="28"/>
      <x:c r="AA13" s="28"/>
      <x:c r="AB13" s="10"/>
      <x:c r="AC13" s="113"/>
      <x:c r="AD13" s="4"/>
      <x:c r="AE13" s="4"/>
    </x:row>
    <x:row r="14" spans="2:31" ht="4.5" customHeight="1" x14ac:dyDescent="0.3">
      <x:c r="B14" s="231"/>
      <x:c r="C14" s="18"/>
      <x:c r="D14" s="9"/>
      <x:c r="E14" s="2"/>
      <x:c r="F14" s="5"/>
      <x:c r="G14" s="9"/>
      <x:c r="H14" s="104"/>
      <x:c r="I14" s="9"/>
      <x:c r="J14" s="9"/>
      <x:c r="K14" s="9"/>
      <x:c r="L14" s="105"/>
      <x:c r="M14" s="105"/>
      <x:c r="N14" s="5"/>
      <x:c r="O14" s="5"/>
      <x:c r="P14" s="5"/>
      <x:c r="Q14" s="19"/>
      <x:c r="R14" s="8"/>
      <x:c r="S14" s="8"/>
      <x:c r="T14" s="10"/>
      <x:c r="U14" s="10"/>
      <x:c r="V14" s="10"/>
      <x:c r="W14" s="10"/>
      <x:c r="X14" s="10"/>
      <x:c r="Y14" s="10"/>
      <x:c r="Z14" s="10"/>
      <x:c r="AA14" s="10"/>
      <x:c r="AB14" s="10"/>
      <x:c r="AC14" s="4"/>
      <x:c r="AD14" s="4"/>
      <x:c r="AE14" s="4"/>
    </x:row>
    <x:row r="15" spans="2:31" s="30" customFormat="1" x14ac:dyDescent="0.3">
      <x:c r="B15" s="231">
        <x:v>2</x:v>
      </x:c>
      <x:c r="C15" s="149"/>
      <x:c r="D15" s="240" t="s">
        <x:v>65</x:v>
      </x:c>
      <x:c r="E15" s="240"/>
      <x:c r="F15" s="240"/>
      <x:c r="G15" s="240"/>
      <x:c r="H15" s="240">
        <x:f>'[2]Cost Assignments by Group'!H$62</x:f>
        <x:v>10911060</x:v>
      </x:c>
      <x:c r="I15" s="241"/>
      <x:c r="J15" s="240">
        <x:f>'[2]Cost Assignments by Group'!I$62</x:f>
        <x:v>3653551</x:v>
      </x:c>
      <x:c r="K15" s="241"/>
      <x:c r="L15" s="240">
        <x:f>'[2]Cost Assignments by Group'!J$62</x:f>
        <x:v>4047336</x:v>
      </x:c>
      <x:c r="M15" s="241"/>
      <x:c r="N15" s="240">
        <x:f>'[2]Cost Assignments by Group'!K$62</x:f>
        <x:v>-4760663</x:v>
      </x:c>
      <x:c r="O15" s="241"/>
      <x:c r="P15" s="240">
        <x:f>'[2]Cost Assignments by Group'!L$62</x:f>
        <x:v>0</x:v>
      </x:c>
      <x:c r="Q15" s="150"/>
      <x:c r="R15" s="151">
        <x:f>SUM(H15:P15)</x:f>
        <x:v>13851284</x:v>
      </x:c>
      <x:c r="S15" s="151"/>
      <x:c r="T15" s="85"/>
      <x:c r="U15" s="85"/>
      <x:c r="V15" s="85"/>
      <x:c r="W15" s="85"/>
      <x:c r="X15" s="85"/>
      <x:c r="Y15" s="85"/>
      <x:c r="Z15" s="85"/>
      <x:c r="AA15" s="85"/>
      <x:c r="AB15" s="85"/>
      <x:c r="AC15" s="152"/>
      <x:c r="AD15" s="148"/>
      <x:c r="AE15" s="148"/>
    </x:row>
    <x:row r="16" spans="2:31" s="30" customFormat="1" x14ac:dyDescent="0.3">
      <x:c r="B16" s="231">
        <x:f t="shared" ref="B16:B47" si="0">1+B15</x:f>
        <x:v>3</x:v>
      </x:c>
      <x:c r="C16" s="149"/>
      <x:c r="D16" s="240" t="s">
        <x:v>59</x:v>
      </x:c>
      <x:c r="E16" s="240"/>
      <x:c r="F16" s="240"/>
      <x:c r="G16" s="242"/>
      <x:c r="H16" s="242">
        <x:f>'[4]II-I-DIST'!$Q$22</x:f>
        <x:v>31826537.364641424</x:v>
      </x:c>
      <x:c r="I16" s="241"/>
      <x:c r="J16" s="242">
        <x:v>0</x:v>
      </x:c>
      <x:c r="K16" s="241"/>
      <x:c r="L16" s="242">
        <x:v>0</x:v>
      </x:c>
      <x:c r="M16" s="241"/>
      <x:c r="N16" s="242">
        <x:v>0</x:v>
      </x:c>
      <x:c r="O16" s="241"/>
      <x:c r="P16" s="242">
        <x:v>0</x:v>
      </x:c>
      <x:c r="Q16" s="150"/>
      <x:c r="R16" s="151">
        <x:f>SUM(H16:P16)</x:f>
        <x:v>31826537.364641424</x:v>
      </x:c>
      <x:c r="S16" s="151"/>
      <x:c r="T16" s="85"/>
      <x:c r="U16" s="85"/>
      <x:c r="V16" s="85"/>
      <x:c r="W16" s="85"/>
      <x:c r="X16" s="85"/>
      <x:c r="Y16" s="85"/>
      <x:c r="Z16" s="85"/>
      <x:c r="AA16" s="85"/>
      <x:c r="AB16" s="85"/>
      <x:c r="AC16" s="148"/>
      <x:c r="AD16" s="148"/>
      <x:c r="AE16" s="148"/>
    </x:row>
    <x:row r="17" spans="2:40" s="30" customFormat="1" x14ac:dyDescent="0.3">
      <x:c r="B17" s="231">
        <x:f t="shared" si="0"/>
        <x:v>4</x:v>
      </x:c>
      <x:c r="C17" s="149"/>
      <x:c r="D17" s="240" t="s">
        <x:v>63</x:v>
      </x:c>
      <x:c r="E17" s="240"/>
      <x:c r="F17" s="240"/>
      <x:c r="G17" s="240"/>
      <x:c r="H17" s="240">
        <x:f>'[2]Cost Assignments by Group'!$H$130</x:f>
        <x:v>0</x:v>
      </x:c>
      <x:c r="I17" s="241"/>
      <x:c r="J17" s="240">
        <x:f>'[2]Cost Assignments by Group'!$I$130</x:f>
        <x:v>684932.97085013683</x:v>
      </x:c>
      <x:c r="K17" s="241"/>
      <x:c r="L17" s="240">
        <x:f>'[2]Cost Assignments by Group'!$J$130</x:f>
        <x:v>525713.98102353769</x:v>
      </x:c>
      <x:c r="M17" s="241"/>
      <x:c r="N17" s="240">
        <x:f>'[2]Cost Assignments by Group'!$K$130</x:f>
        <x:v>0</x:v>
      </x:c>
      <x:c r="O17" s="241"/>
      <x:c r="P17" s="240">
        <x:f>'[2]Cost Assignments by Group'!$L$130</x:f>
        <x:v>10605133.359999968</x:v>
      </x:c>
      <x:c r="Q17" s="150"/>
      <x:c r="R17" s="151">
        <x:f>SUM(H17:P17)</x:f>
        <x:v>11815780.311873643</x:v>
      </x:c>
      <x:c r="S17" s="151"/>
      <x:c r="T17" s="85"/>
      <x:c r="U17" s="85"/>
      <x:c r="V17" s="85"/>
      <x:c r="W17" s="85"/>
      <x:c r="X17" s="85"/>
      <x:c r="Y17" s="85"/>
      <x:c r="Z17" s="85"/>
      <x:c r="AA17" s="85"/>
      <x:c r="AB17" s="85"/>
      <x:c r="AC17" s="152"/>
      <x:c r="AD17" s="148"/>
      <x:c r="AE17" s="148"/>
    </x:row>
    <x:row r="18" spans="2:40" s="30" customFormat="1" x14ac:dyDescent="0.3">
      <x:c r="B18" s="231">
        <x:f t="shared" si="0"/>
        <x:v>5</x:v>
      </x:c>
      <x:c r="C18" s="149"/>
      <x:c r="D18" s="240" t="s">
        <x:v>7</x:v>
      </x:c>
      <x:c r="E18" s="240"/>
      <x:c r="F18" s="240"/>
      <x:c r="G18" s="240"/>
      <x:c r="H18" s="240">
        <x:f>'[2]Cost Assignments by Group'!H$156</x:f>
        <x:v>19260638.998913523</x:v>
      </x:c>
      <x:c r="I18" s="241"/>
      <x:c r="J18" s="240">
        <x:f>'[2]Cost Assignments by Group'!I$156</x:f>
        <x:v>0</x:v>
      </x:c>
      <x:c r="K18" s="241"/>
      <x:c r="L18" s="240">
        <x:f>'[2]Cost Assignments by Group'!J$156</x:f>
        <x:v>8240159.3681044849</x:v>
      </x:c>
      <x:c r="M18" s="241"/>
      <x:c r="N18" s="240">
        <x:f>'[2]Cost Assignments by Group'!K$156</x:f>
        <x:v>0</x:v>
      </x:c>
      <x:c r="O18" s="241"/>
      <x:c r="P18" s="240">
        <x:f>'[2]Cost Assignments by Group'!L$156</x:f>
        <x:v>0</x:v>
      </x:c>
      <x:c r="Q18" s="150"/>
      <x:c r="R18" s="151">
        <x:f>SUM(H18:P18)</x:f>
        <x:v>27500798.367018007</x:v>
      </x:c>
      <x:c r="S18" s="151"/>
      <x:c r="T18" s="153" t="s">
        <x:v>75</x:v>
      </x:c>
      <x:c r="U18" s="85"/>
      <x:c r="V18" s="85"/>
      <x:c r="W18" s="85"/>
      <x:c r="X18" s="85"/>
      <x:c r="Y18" s="85"/>
      <x:c r="Z18" s="85"/>
      <x:c r="AA18" s="85"/>
      <x:c r="AB18" s="153"/>
      <x:c r="AC18" s="152"/>
      <x:c r="AD18" s="148"/>
      <x:c r="AE18" s="148"/>
    </x:row>
    <x:row r="19" spans="2:40" s="30" customFormat="1" x14ac:dyDescent="0.3">
      <x:c r="B19" s="231">
        <x:f t="shared" si="0"/>
        <x:v>6</x:v>
      </x:c>
      <x:c r="C19" s="149"/>
      <x:c r="D19" s="240" t="s">
        <x:v>15</x:v>
      </x:c>
      <x:c r="E19" s="240"/>
      <x:c r="F19" s="240"/>
      <x:c r="G19" s="240"/>
      <x:c r="H19" s="240">
        <x:f>'[2]Cost Assignments by Group'!H$180</x:f>
        <x:v>4634073.4582506437</x:v>
      </x:c>
      <x:c r="I19" s="241"/>
      <x:c r="J19" s="240">
        <x:f>'[2]Cost Assignments by Group'!I$180</x:f>
        <x:v>972598.6867293173</x:v>
      </x:c>
      <x:c r="K19" s="241"/>
      <x:c r="L19" s="240">
        <x:f>'[2]Cost Assignments by Group'!J$180</x:f>
        <x:v>7696</x:v>
      </x:c>
      <x:c r="M19" s="241"/>
      <x:c r="N19" s="240">
        <x:f>'[2]Cost Assignments by Group'!K$180</x:f>
        <x:v>2332960.8803827879</x:v>
      </x:c>
      <x:c r="O19" s="241"/>
      <x:c r="P19" s="240">
        <x:f>'[2]Cost Assignments by Group'!L$180</x:f>
        <x:v>155246.5518673296</x:v>
      </x:c>
      <x:c r="Q19" s="150"/>
      <x:c r="R19" s="151">
        <x:f>SUM(H19:P19)</x:f>
        <x:v>8102575.5772300782</x:v>
      </x:c>
      <x:c r="S19" s="151"/>
      <x:c r="T19" s="154"/>
      <x:c r="U19" s="85"/>
      <x:c r="V19" s="85"/>
      <x:c r="W19" s="85"/>
      <x:c r="X19" s="85"/>
      <x:c r="Y19" s="85"/>
      <x:c r="Z19" s="85"/>
      <x:c r="AA19" s="85"/>
      <x:c r="AB19" s="85"/>
      <x:c r="AC19" s="152"/>
      <x:c r="AD19" s="148"/>
      <x:c r="AE19" s="148"/>
    </x:row>
    <x:row r="20" spans="2:40" s="30" customFormat="1" ht="12.75" customHeight="1" x14ac:dyDescent="0.3">
      <x:c r="B20" s="231">
        <x:f t="shared" si="0"/>
        <x:v>7</x:v>
      </x:c>
      <x:c r="C20" s="149"/>
      <x:c r="D20" s="240" t="s">
        <x:v>103</x:v>
      </x:c>
      <x:c r="E20" s="240"/>
      <x:c r="F20" s="240"/>
      <x:c r="G20" s="240"/>
      <x:c r="H20" s="240"/>
      <x:c r="I20" s="240"/>
      <x:c r="J20" s="240"/>
      <x:c r="K20" s="240"/>
      <x:c r="L20" s="240">
        <x:f>[4]LinkSheet!$N$10+[4]LinkSheet!$N$12</x:f>
        <x:v>4836970.8540180372</x:v>
      </x:c>
      <x:c r="M20" s="240"/>
      <x:c r="O20" s="240"/>
      <x:c r="P20" s="240"/>
      <x:c r="Q20" s="150"/>
      <x:c r="R20" s="151">
        <x:f t="shared" ref="R20" si="1">SUM(H20:P20)</x:f>
        <x:v>4836970.8540180372</x:v>
      </x:c>
      <x:c r="S20" s="154"/>
      <x:c r="U20" s="119"/>
      <x:c r="V20" s="119"/>
      <x:c r="W20" s="119"/>
      <x:c r="X20" s="119"/>
      <x:c r="Y20" s="119"/>
      <x:c r="Z20" s="119"/>
      <x:c r="AA20" s="119"/>
      <x:c r="AB20" s="85"/>
      <x:c r="AC20" s="148"/>
      <x:c r="AD20" s="148"/>
      <x:c r="AE20" s="148"/>
    </x:row>
    <x:row r="21" spans="2:40" ht="12.75" customHeight="1" x14ac:dyDescent="0.3">
      <x:c r="B21" s="231">
        <x:f t="shared" si="0"/>
        <x:v>8</x:v>
      </x:c>
      <x:c r="C21" s="18"/>
      <x:c r="D21" s="168" t="s">
        <x:v>104</x:v>
      </x:c>
      <x:c r="E21" s="168"/>
      <x:c r="F21" s="201"/>
      <x:c r="G21" s="168"/>
      <x:c r="H21" s="201"/>
      <x:c r="I21" s="201"/>
      <x:c r="J21" s="201"/>
      <x:c r="K21" s="201"/>
      <x:c r="L21" s="201"/>
      <x:c r="M21" s="201"/>
      <x:c r="N21" s="201">
        <x:f>'[4]II-I-DIST'!$Q$31</x:f>
        <x:v>409541.83410346473</x:v>
      </x:c>
      <x:c r="O21" s="201"/>
      <x:c r="P21" s="201"/>
      <x:c r="Q21" s="19"/>
      <x:c r="R21" s="12">
        <x:f>N21</x:f>
        <x:v>409541.83410346473</x:v>
      </x:c>
      <x:c r="S21" s="7"/>
      <x:c r="U21" s="26"/>
      <x:c r="V21" s="26"/>
      <x:c r="W21" s="26"/>
      <x:c r="X21" s="26"/>
      <x:c r="Y21" s="26"/>
      <x:c r="Z21" s="26"/>
      <x:c r="AA21" s="26"/>
      <x:c r="AB21" s="10"/>
      <x:c r="AC21" s="4"/>
      <x:c r="AD21" s="4"/>
      <x:c r="AE21" s="4"/>
    </x:row>
    <x:row r="22" spans="2:40" ht="12.75" customHeight="1" x14ac:dyDescent="0.3">
      <x:c r="B22" s="231">
        <x:f t="shared" si="0"/>
        <x:v>9</x:v>
      </x:c>
      <x:c r="C22" s="18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  <x:c r="P22" s="123"/>
      <x:c r="Q22" s="19"/>
      <x:c r="R22" s="128">
        <x:f>SUM(AF22:AN22)</x:f>
        <x:v>0</x:v>
      </x:c>
      <x:c r="S22" s="7"/>
      <x:c r="U22" s="26"/>
      <x:c r="V22" s="26"/>
      <x:c r="W22" s="26"/>
      <x:c r="X22" s="26"/>
      <x:c r="Y22" s="26"/>
      <x:c r="Z22" s="26"/>
      <x:c r="AA22" s="26"/>
      <x:c r="AB22" s="211" t="s">
        <x:v>78</x:v>
      </x:c>
      <x:c r="AC22" s="212"/>
      <x:c r="AD22" s="213"/>
      <x:c r="AE22" s="211"/>
      <x:c r="AF22" s="213">
        <x:v>0</x:v>
      </x:c>
      <x:c r="AG22" s="213"/>
      <x:c r="AH22" s="213">
        <x:v>0</x:v>
      </x:c>
      <x:c r="AI22" s="213"/>
      <x:c r="AJ22" s="213">
        <x:v>0</x:v>
      </x:c>
      <x:c r="AK22" s="213"/>
      <x:c r="AL22" s="213">
        <x:v>0</x:v>
      </x:c>
      <x:c r="AM22" s="213"/>
      <x:c r="AN22" s="213">
        <x:v>0</x:v>
      </x:c>
    </x:row>
    <x:row r="23" spans="2:40" ht="14" thickBot="1" x14ac:dyDescent="0.35">
      <x:c r="B23" s="231">
        <x:f t="shared" si="0"/>
        <x:v>10</x:v>
      </x:c>
      <x:c r="C23" s="18"/>
      <x:c r="D23" s="168" t="s">
        <x:v>14</x:v>
      </x:c>
      <x:c r="E23" s="168"/>
      <x:c r="F23" s="201"/>
      <x:c r="G23" s="168"/>
      <x:c r="H23" s="243">
        <x:f>SUM(H15:H21)</x:f>
        <x:v>66632309.821805596</x:v>
      </x:c>
      <x:c r="I23" s="201"/>
      <x:c r="J23" s="243">
        <x:f>SUM(J15:J21)</x:f>
        <x:v>5311082.6575794546</x:v>
      </x:c>
      <x:c r="K23" s="201"/>
      <x:c r="L23" s="243">
        <x:f>SUM(L15:L21)</x:f>
        <x:v>17657876.203146059</x:v>
      </x:c>
      <x:c r="M23" s="201"/>
      <x:c r="N23" s="244">
        <x:f>SUM(N15:N20)-N21</x:f>
        <x:v>-2837243.9537206767</x:v>
      </x:c>
      <x:c r="O23" s="201"/>
      <x:c r="P23" s="244">
        <x:f>SUM(P15:P21)</x:f>
        <x:v>10760379.911867298</x:v>
      </x:c>
      <x:c r="Q23" s="19"/>
      <x:c r="R23" s="14">
        <x:f>SUM(H23:P23)</x:f>
        <x:v>97524404.64067772</x:v>
      </x:c>
      <x:c r="S23" s="12"/>
      <x:c r="U23" s="131">
        <x:f>SUM(R15:R22)-R23</x:f>
        <x:v>819083.66820694506</x:v>
      </x:c>
      <x:c r="V23" s="175"/>
      <x:c r="W23" s="175"/>
      <x:c r="X23" s="175"/>
      <x:c r="Y23" s="175"/>
      <x:c r="Z23" s="175"/>
      <x:c r="AA23" s="175"/>
      <x:c r="AB23" s="10"/>
    </x:row>
    <x:row r="24" spans="2:40" ht="14" thickTop="1" x14ac:dyDescent="0.3">
      <x:c r="B24" s="231">
        <x:f t="shared" si="0"/>
        <x:v>11</x:v>
      </x:c>
      <x:c r="C24" s="18"/>
      <x:c r="D24" s="168"/>
      <x:c r="E24" s="168"/>
      <x:c r="F24" s="201"/>
      <x:c r="G24" s="168"/>
      <x:c r="H24" s="201"/>
      <x:c r="I24" s="201"/>
      <x:c r="J24" s="201"/>
      <x:c r="K24" s="201"/>
      <x:c r="L24" s="201"/>
      <x:c r="M24" s="201"/>
      <x:c r="N24" s="201"/>
      <x:c r="O24" s="201"/>
      <x:c r="P24" s="201"/>
      <x:c r="Q24" s="19"/>
      <x:c r="R24" s="12"/>
      <x:c r="S24" s="12"/>
      <x:c r="T24" s="10"/>
      <x:c r="U24" s="10"/>
      <x:c r="V24" s="10"/>
      <x:c r="W24" s="10"/>
      <x:c r="X24" s="10"/>
      <x:c r="Y24" s="10"/>
      <x:c r="Z24" s="10"/>
      <x:c r="AA24" s="10"/>
      <x:c r="AB24" s="10"/>
    </x:row>
    <x:row r="25" spans="2:40" x14ac:dyDescent="0.3">
      <x:c r="B25" s="231">
        <x:f t="shared" si="0"/>
        <x:v>12</x:v>
      </x:c>
      <x:c r="C25" s="18"/>
      <x:c r="D25" s="245" t="s">
        <x:v>20</x:v>
      </x:c>
      <x:c r="E25" s="168"/>
      <x:c r="F25" s="201"/>
      <x:c r="G25" s="246"/>
      <x:c r="H25" s="247">
        <x:f>+$J$47</x:f>
        <x:v>0.76707462000000004</x:v>
      </x:c>
      <x:c r="I25" s="201"/>
      <x:c r="J25" s="247">
        <x:f>+$J$47</x:f>
        <x:v>0.76707462000000004</x:v>
      </x:c>
      <x:c r="K25" s="248"/>
      <x:c r="L25" s="247">
        <x:f>+$J$47</x:f>
        <x:v>0.76707462000000004</x:v>
      </x:c>
      <x:c r="M25" s="248"/>
      <x:c r="N25" s="247">
        <x:f>+$J$47</x:f>
        <x:v>0.76707462000000004</x:v>
      </x:c>
      <x:c r="O25" s="248"/>
      <x:c r="P25" s="247">
        <x:f>+$J$47</x:f>
        <x:v>0.76707462000000004</x:v>
      </x:c>
      <x:c r="Q25" s="19"/>
      <x:c r="R25" s="12"/>
      <x:c r="S25" s="12"/>
      <x:c r="T25" s="10"/>
      <x:c r="U25" s="10"/>
      <x:c r="V25" s="10"/>
      <x:c r="W25" s="10"/>
      <x:c r="X25" s="10"/>
      <x:c r="Y25" s="10"/>
      <x:c r="Z25" s="10"/>
      <x:c r="AA25" s="10"/>
      <x:c r="AB25" s="10"/>
    </x:row>
    <x:row r="26" spans="2:40" ht="10.5" customHeight="1" x14ac:dyDescent="0.3">
      <x:c r="B26" s="231">
        <x:f t="shared" si="0"/>
        <x:v>13</x:v>
      </x:c>
      <x:c r="C26" s="18"/>
      <x:c r="D26" s="9" t="s">
        <x:v>67</x:v>
      </x:c>
      <x:c r="E26" s="2"/>
      <x:c r="F26" s="5"/>
      <x:c r="G26" s="9"/>
      <x:c r="H26" s="106"/>
      <x:c r="I26" s="5"/>
      <x:c r="J26" s="5"/>
      <x:c r="K26" s="5"/>
      <x:c r="L26" s="5"/>
      <x:c r="M26" s="5"/>
      <x:c r="N26" s="5"/>
      <x:c r="O26" s="5"/>
      <x:c r="P26" s="5"/>
      <x:c r="Q26" s="19"/>
      <x:c r="R26" s="12"/>
      <x:c r="S26" s="12"/>
      <x:c r="T26" s="10"/>
      <x:c r="U26" s="10"/>
      <x:c r="V26" s="10"/>
      <x:c r="W26" s="10"/>
      <x:c r="X26" s="10"/>
      <x:c r="Y26" s="10"/>
      <x:c r="Z26" s="10"/>
      <x:c r="AA26" s="10"/>
      <x:c r="AB26" s="10"/>
    </x:row>
    <x:row r="27" spans="2:40" ht="6" customHeight="1" x14ac:dyDescent="0.3">
      <x:c r="B27" s="231"/>
      <x:c r="C27" s="18"/>
      <x:c r="D27" s="9"/>
      <x:c r="E27" s="2"/>
      <x:c r="F27" s="5"/>
      <x:c r="G27" s="9"/>
      <x:c r="H27" s="5"/>
      <x:c r="I27" s="5"/>
      <x:c r="J27" s="5"/>
      <x:c r="K27" s="5"/>
      <x:c r="L27" s="5"/>
      <x:c r="M27" s="5"/>
      <x:c r="N27" s="5"/>
      <x:c r="O27" s="5"/>
      <x:c r="P27" s="5"/>
      <x:c r="Q27" s="19"/>
      <x:c r="R27" s="12"/>
      <x:c r="S27" s="12"/>
      <x:c r="T27" s="10"/>
      <x:c r="U27" s="10"/>
      <x:c r="V27" s="10"/>
      <x:c r="W27" s="10"/>
      <x:c r="X27" s="10"/>
      <x:c r="Y27" s="10"/>
      <x:c r="Z27" s="10"/>
      <x:c r="AA27" s="10"/>
      <x:c r="AB27" s="10"/>
    </x:row>
    <x:row r="28" spans="2:40" ht="14" thickBot="1" x14ac:dyDescent="0.35">
      <x:c r="B28" s="231">
        <x:v>14</x:v>
      </x:c>
      <x:c r="C28" s="249" t="s">
        <x:v>19</x:v>
      </x:c>
      <x:c r="D28" s="250"/>
      <x:c r="E28" s="250"/>
      <x:c r="F28" s="251"/>
      <x:c r="G28" s="250"/>
      <x:c r="H28" s="252">
        <x:f>ROUND(H23*H25,0)</x:f>
        <x:v>51111954</x:v>
      </x:c>
      <x:c r="I28" s="251"/>
      <x:c r="J28" s="252">
        <x:f>ROUND(J23*J25,0)</x:f>
        <x:v>4073997</x:v>
      </x:c>
      <x:c r="K28" s="251"/>
      <x:c r="L28" s="252">
        <x:f>ROUND(L23*L25,0)</x:f>
        <x:v>13544909</x:v>
      </x:c>
      <x:c r="M28" s="251"/>
      <x:c r="N28" s="253">
        <x:f>ROUND(N23*N25,0)</x:f>
        <x:v>-2176378</x:v>
      </x:c>
      <x:c r="O28" s="251"/>
      <x:c r="P28" s="252">
        <x:f>ROUND(P23*P25,0)</x:f>
        <x:v>8254014</x:v>
      </x:c>
      <x:c r="Q28" s="169"/>
      <x:c r="R28" s="14">
        <x:f>SUM(H28:P28)</x:f>
        <x:v>74808496</x:v>
      </x:c>
      <x:c r="S28" s="12"/>
      <x:c r="T28" s="10"/>
      <x:c r="U28" s="10"/>
      <x:c r="V28" s="10"/>
      <x:c r="W28" s="10"/>
      <x:c r="X28" s="10"/>
      <x:c r="Y28" s="10"/>
      <x:c r="Z28" s="10"/>
      <x:c r="AA28" s="10"/>
      <x:c r="AB28" s="10"/>
    </x:row>
    <x:row r="29" spans="2:40" ht="12.65" customHeight="1" thickTop="1" x14ac:dyDescent="0.3">
      <x:c r="B29" s="231"/>
      <x:c r="C29" s="254" t="s">
        <x:v>22</x:v>
      </x:c>
      <x:c r="D29" s="168"/>
      <x:c r="E29" s="168"/>
      <x:c r="F29" s="201"/>
      <x:c r="G29" s="168"/>
      <x:c r="H29" s="201"/>
      <x:c r="I29" s="201"/>
      <x:c r="J29" s="201"/>
      <x:c r="K29" s="201"/>
      <x:c r="L29" s="201"/>
      <x:c r="M29" s="201"/>
      <x:c r="N29" s="201"/>
      <x:c r="O29" s="201"/>
      <x:c r="P29" s="201"/>
      <x:c r="Q29" s="169"/>
      <x:c r="R29" s="12"/>
      <x:c r="S29" s="12"/>
      <x:c r="T29" s="10"/>
      <x:c r="U29" s="10"/>
      <x:c r="V29" s="10"/>
      <x:c r="W29" s="10"/>
      <x:c r="X29" s="10"/>
      <x:c r="Y29" s="10"/>
      <x:c r="Z29" s="10"/>
      <x:c r="AA29" s="10"/>
      <x:c r="AB29" s="10"/>
    </x:row>
    <x:row r="30" spans="2:40" ht="10" customHeight="1" x14ac:dyDescent="0.3">
      <x:c r="B30" s="231"/>
      <x:c r="C30" s="18"/>
      <x:c r="D30" s="9"/>
      <x:c r="E30" s="2"/>
      <x:c r="F30" s="5"/>
      <x:c r="G30" s="9"/>
      <x:c r="H30" s="5"/>
      <x:c r="I30" s="5"/>
      <x:c r="J30" s="5"/>
      <x:c r="K30" s="5"/>
      <x:c r="L30" s="5"/>
      <x:c r="M30" s="5"/>
      <x:c r="N30" s="5"/>
      <x:c r="O30" s="5"/>
      <x:c r="P30" s="5"/>
      <x:c r="Q30" s="19"/>
      <x:c r="R30" s="12"/>
      <x:c r="S30" s="12"/>
      <x:c r="T30" s="10"/>
      <x:c r="U30" s="10"/>
      <x:c r="V30" s="10"/>
      <x:c r="W30" s="10"/>
      <x:c r="X30" s="10"/>
      <x:c r="Y30" s="10"/>
      <x:c r="Z30" s="10"/>
      <x:c r="AA30" s="10"/>
      <x:c r="AB30" s="10"/>
    </x:row>
    <x:row r="31" spans="2:40" x14ac:dyDescent="0.3">
      <x:c r="B31" s="231">
        <x:v>15</x:v>
      </x:c>
      <x:c r="C31" s="18"/>
      <x:c r="D31" s="9" t="s">
        <x:v>18</x:v>
      </x:c>
      <x:c r="E31" s="2"/>
      <x:c r="F31" s="5"/>
      <x:c r="G31" s="9"/>
      <x:c r="H31" s="5"/>
      <x:c r="I31" s="5"/>
      <x:c r="J31" s="5"/>
      <x:c r="K31" s="5"/>
      <x:c r="L31" s="5"/>
      <x:c r="M31" s="5"/>
      <x:c r="N31" s="5"/>
      <x:c r="O31" s="5"/>
      <x:c r="P31" s="5"/>
      <x:c r="Q31" s="19"/>
      <x:c r="R31" s="12"/>
      <x:c r="S31" s="12"/>
      <x:c r="T31" s="10"/>
      <x:c r="U31" s="10"/>
      <x:c r="V31" s="10"/>
      <x:c r="W31" s="10"/>
      <x:c r="X31" s="10"/>
      <x:c r="Y31" s="10"/>
      <x:c r="Z31" s="10"/>
      <x:c r="AA31" s="10"/>
      <x:c r="AB31" s="10"/>
    </x:row>
    <x:row r="32" spans="2:40" ht="6" customHeight="1" thickBot="1" x14ac:dyDescent="0.35">
      <x:c r="B32" s="231"/>
      <x:c r="C32" s="107"/>
      <x:c r="D32" s="108"/>
      <x:c r="E32" s="109"/>
      <x:c r="F32" s="110"/>
      <x:c r="G32" s="108"/>
      <x:c r="H32" s="110"/>
      <x:c r="I32" s="110"/>
      <x:c r="J32" s="110"/>
      <x:c r="K32" s="110"/>
      <x:c r="L32" s="110"/>
      <x:c r="M32" s="110"/>
      <x:c r="N32" s="110"/>
      <x:c r="O32" s="110"/>
      <x:c r="P32" s="110"/>
      <x:c r="Q32" s="111"/>
      <x:c r="R32" s="8"/>
      <x:c r="S32" s="8"/>
      <x:c r="T32" s="10"/>
      <x:c r="U32" s="10"/>
      <x:c r="V32" s="10"/>
      <x:c r="W32" s="10"/>
      <x:c r="X32" s="10"/>
      <x:c r="Y32" s="10"/>
      <x:c r="Z32" s="10"/>
      <x:c r="AA32" s="10"/>
      <x:c r="AB32" s="10"/>
    </x:row>
    <x:row r="33" spans="2:20" ht="9" customHeight="1" x14ac:dyDescent="0.3">
      <x:c r="B33" s="231"/>
      <x:c r="C33" s="4"/>
      <x:c r="D33" s="10"/>
      <x:c r="E33" s="10"/>
      <x:c r="F33" s="10"/>
      <x:c r="G33" s="10"/>
      <x:c r="H33" s="10"/>
      <x:c r="I33" s="10"/>
      <x:c r="J33" s="32"/>
      <x:c r="K33" s="4"/>
      <x:c r="L33" s="4"/>
      <x:c r="M33" s="4"/>
      <x:c r="N33" s="4"/>
      <x:c r="O33" s="4"/>
      <x:c r="P33" s="4"/>
      <x:c r="Q33" s="4"/>
    </x:row>
    <x:row r="34" spans="2:20" ht="27" customHeight="1" x14ac:dyDescent="0.3">
      <x:c r="B34" s="231">
        <x:v>16</x:v>
      </x:c>
      <x:c r="C34" s="289" t="s">
        <x:v>102</x:v>
      </x:c>
      <x:c r="D34" s="276"/>
      <x:c r="E34" s="276"/>
      <x:c r="F34" s="276"/>
      <x:c r="G34" s="276"/>
      <x:c r="H34" s="276"/>
      <x:c r="I34" s="10"/>
      <x:c r="J34" s="32">
        <x:f>[4]LinkSheet!$N$8+[4]LinkSheet!$N$10+[4]LinkSheet!$N$12-1</x:f>
        <x:v>97524403.25670366</x:v>
      </x:c>
      <x:c r="K34" s="120" t="s">
        <x:v>68</x:v>
      </x:c>
      <x:c r="L34" s="126"/>
      <x:c r="M34" s="4"/>
      <x:c r="N34" s="182"/>
      <x:c r="O34" s="4"/>
      <x:c r="P34" s="180"/>
      <x:c r="Q34" s="4"/>
    </x:row>
    <x:row r="35" spans="2:20" ht="4.5" customHeight="1" x14ac:dyDescent="0.3">
      <x:c r="B35" s="231"/>
      <x:c r="C35" s="4"/>
      <x:c r="D35" s="4"/>
      <x:c r="E35" s="4"/>
      <x:c r="F35" s="4"/>
      <x:c r="G35" s="4"/>
      <x:c r="H35" s="4"/>
      <x:c r="I35" s="4"/>
      <x:c r="J35" s="115"/>
      <x:c r="K35" s="121"/>
      <x:c r="L35" s="4"/>
      <x:c r="M35" s="4"/>
      <x:c r="N35" s="4"/>
      <x:c r="O35" s="4"/>
      <x:c r="P35" s="4"/>
      <x:c r="Q35" s="4"/>
    </x:row>
    <x:row r="36" spans="2:20" ht="10.5" customHeight="1" x14ac:dyDescent="0.3">
      <x:c r="B36" s="231">
        <x:v>17</x:v>
      </x:c>
      <x:c r="C36" s="4"/>
      <x:c r="D36" s="4"/>
      <x:c r="E36" s="10" t="s">
        <x:v>10</x:v>
      </x:c>
      <x:c r="F36" s="4"/>
      <x:c r="G36" s="4"/>
      <x:c r="H36" s="4"/>
      <x:c r="I36" s="4"/>
      <x:c r="J36" s="115"/>
      <x:c r="K36" s="121"/>
      <x:c r="L36" s="4"/>
      <x:c r="M36" s="4"/>
      <x:c r="N36" s="4"/>
      <x:c r="O36" s="4"/>
      <x:c r="P36" s="4"/>
      <x:c r="Q36" s="4"/>
    </x:row>
    <x:row r="37" spans="2:20" ht="5.25" customHeight="1" thickBot="1" x14ac:dyDescent="0.35">
      <x:c r="B37" s="231"/>
      <x:c r="C37" s="4"/>
      <x:c r="D37" s="4"/>
      <x:c r="E37" s="4"/>
      <x:c r="F37" s="4"/>
      <x:c r="G37" s="4"/>
      <x:c r="H37" s="4"/>
      <x:c r="I37" s="4"/>
      <x:c r="J37" s="115"/>
      <x:c r="K37" s="121"/>
      <x:c r="L37" s="4"/>
      <x:c r="M37" s="4"/>
      <x:c r="N37" s="4"/>
      <x:c r="O37" s="4"/>
      <x:c r="P37" s="4"/>
      <x:c r="Q37" s="4"/>
    </x:row>
    <x:row r="38" spans="2:20" ht="12" customHeight="1" thickBot="1" x14ac:dyDescent="0.35">
      <x:c r="B38" s="231">
        <x:v>18</x:v>
      </x:c>
      <x:c r="C38" s="4"/>
      <x:c r="D38" s="4"/>
      <x:c r="E38" s="10" t="s">
        <x:v>11</x:v>
      </x:c>
      <x:c r="F38" s="4"/>
      <x:c r="G38" s="4"/>
      <x:c r="H38" s="4"/>
      <x:c r="I38" s="4"/>
      <x:c r="J38" s="273">
        <x:f>[3]OL!$O$75</x:f>
        <x:v>20155391</x:v>
      </x:c>
      <x:c r="K38" s="119"/>
      <x:c r="L38" s="126"/>
      <x:c r="M38" s="4"/>
      <x:c r="N38" s="130"/>
      <x:c r="O38" s="4"/>
      <x:c r="P38" s="4"/>
      <x:c r="Q38" s="4"/>
      <x:c r="S38" s="118" t="s">
        <x:v>64</x:v>
      </x:c>
      <x:c r="T38" s="129">
        <x:f>+R28-J44</x:f>
        <x:v>1.7432963401079178</x:v>
      </x:c>
    </x:row>
    <x:row r="39" spans="2:20" ht="12" customHeight="1" x14ac:dyDescent="0.3">
      <x:c r="B39" s="231">
        <x:f t="shared" si="0"/>
        <x:v>19</x:v>
      </x:c>
      <x:c r="C39" s="4"/>
      <x:c r="D39" s="4"/>
      <x:c r="E39" s="10" t="s">
        <x:v>13</x:v>
      </x:c>
      <x:c r="F39" s="4"/>
      <x:c r="G39" s="4"/>
      <x:c r="H39" s="4"/>
      <x:c r="I39" s="4"/>
      <x:c r="J39" s="273">
        <x:f>[3]SL!$I$203</x:f>
        <x:v>33158</x:v>
      </x:c>
      <x:c r="K39" s="121"/>
      <x:c r="L39" s="4"/>
      <x:c r="M39" s="4"/>
      <x:c r="N39" s="4"/>
      <x:c r="O39" s="4"/>
      <x:c r="P39" s="4"/>
      <x:c r="Q39" s="4"/>
    </x:row>
    <x:row r="40" spans="2:20" ht="12" customHeight="1" x14ac:dyDescent="0.3">
      <x:c r="B40" s="231">
        <x:f t="shared" si="0"/>
        <x:v>20</x:v>
      </x:c>
      <x:c r="C40" s="4"/>
      <x:c r="D40" s="4"/>
      <x:c r="E40" s="10" t="s">
        <x:v>71</x:v>
      </x:c>
      <x:c r="F40" s="4"/>
      <x:c r="G40" s="4"/>
      <x:c r="H40" s="4"/>
      <x:c r="I40" s="4"/>
      <x:c r="J40" s="273">
        <x:f>[3]SL!$I$19</x:f>
        <x:v>364445</x:v>
      </x:c>
      <x:c r="K40" s="121"/>
      <x:c r="L40" s="274"/>
      <x:c r="M40" s="4"/>
      <x:c r="N40" s="4"/>
      <x:c r="O40" s="4"/>
      <x:c r="P40" s="4"/>
      <x:c r="Q40" s="4"/>
      <x:c r="T40" s="127"/>
    </x:row>
    <x:row r="41" spans="2:20" ht="12" customHeight="1" x14ac:dyDescent="0.3">
      <x:c r="B41" s="231">
        <x:f t="shared" si="0"/>
        <x:v>21</x:v>
      </x:c>
      <x:c r="E41" s="8" t="s">
        <x:v>72</x:v>
      </x:c>
      <x:c r="J41" s="273">
        <x:f>[3]SL!$I$197</x:f>
        <x:v>337817</x:v>
      </x:c>
      <x:c r="K41" s="122"/>
      <x:c r="N41" s="221"/>
      <x:c r="P41" s="221"/>
    </x:row>
    <x:row r="42" spans="2:20" ht="12" customHeight="1" x14ac:dyDescent="0.3">
      <x:c r="B42" s="231">
        <x:f t="shared" si="0"/>
        <x:v>22</x:v>
      </x:c>
      <x:c r="D42" s="31"/>
      <x:c r="E42" s="8" t="s">
        <x:v>12</x:v>
      </x:c>
      <x:c r="J42" s="273">
        <x:f>[3]SL!$I$181+[3]SL!$I$182</x:f>
        <x:v>1825098</x:v>
      </x:c>
      <x:c r="K42" s="122"/>
      <x:c r="L42" s="112"/>
      <x:c r="P42" s="25"/>
      <x:c r="Q42" s="8"/>
    </x:row>
    <x:row r="43" spans="2:20" ht="4.5" customHeight="1" x14ac:dyDescent="0.3">
      <x:c r="B43" s="231"/>
      <x:c r="J43" s="115"/>
      <x:c r="K43" s="122"/>
    </x:row>
    <x:row r="44" spans="2:20" ht="15.75" customHeight="1" thickBot="1" x14ac:dyDescent="0.35">
      <x:c r="B44" s="231">
        <x:v>23</x:v>
      </x:c>
      <x:c r="D44" s="123" t="s">
        <x:v>73</x:v>
      </x:c>
      <x:c r="J44" s="116">
        <x:f>$J$34-SUM(J38:J43)</x:f>
        <x:v>74808494.25670366</x:v>
      </x:c>
      <x:c r="K44" s="122" t="s">
        <x:v>69</x:v>
      </x:c>
      <x:c r="T44" s="15">
        <x:f>+J44/J34</x:f>
        <x:v>0.76707461679916977</x:v>
      </x:c>
    </x:row>
    <x:row r="45" spans="2:20" ht="12" customHeight="1" thickTop="1" x14ac:dyDescent="0.3">
      <x:c r="B45" s="231">
        <x:f t="shared" si="0"/>
        <x:v>24</x:v>
      </x:c>
      <x:c r="K45" s="8"/>
    </x:row>
    <x:row r="46" spans="2:20" ht="12" customHeight="1" x14ac:dyDescent="0.3">
      <x:c r="B46" s="231">
        <x:f t="shared" si="0"/>
        <x:v>25</x:v>
      </x:c>
      <x:c r="D46" s="123" t="s">
        <x:v>17</x:v>
      </x:c>
      <x:c r="K46" s="8"/>
    </x:row>
    <x:row r="47" spans="2:20" x14ac:dyDescent="0.3">
      <x:c r="B47" s="231">
        <x:f t="shared" si="0"/>
        <x:v>26</x:v>
      </x:c>
      <x:c r="D47" s="123" t="s">
        <x:v>16</x:v>
      </x:c>
      <x:c r="J47" s="8">
        <x:f>ROUND(J44/J34,8)</x:f>
        <x:v>0.76707462000000004</x:v>
      </x:c>
      <x:c r="K47" s="17" t="s">
        <x:v>70</x:v>
      </x:c>
      <x:c r="T47" s="30">
        <x:f>J34-'[3]LIGHTING SUMMARY'!$I$43</x:f>
        <x:v>37.256703659892082</x:v>
      </x:c>
    </x:row>
    <x:row r="48" spans="2:20" ht="8.25" customHeight="1" x14ac:dyDescent="0.3">
      <x:c r="B48" s="231"/>
      <x:c r="D48" s="1"/>
      <x:c r="E48" s="1"/>
    </x:row>
    <x:row r="49" spans="2:20" x14ac:dyDescent="0.3">
      <x:c r="B49" s="231">
        <x:v>27</x:v>
      </x:c>
      <x:c r="D49" s="10" t="s">
        <x:v>74</x:v>
      </x:c>
      <x:c r="E49" s="4"/>
      <x:c r="F49" s="4"/>
      <x:c r="G49" s="4"/>
      <x:c r="H49" s="4"/>
      <x:c r="R49" s="114"/>
      <x:c r="T49" s="6"/>
    </x:row>
    <x:row r="50" spans="2:20" x14ac:dyDescent="0.3">
      <x:c r="R50" s="6"/>
    </x:row>
    <x:row r="51" spans="2:20" x14ac:dyDescent="0.3">
      <x:c r="E51" s="117"/>
      <x:c r="R51" s="114"/>
    </x:row>
    <x:row r="52" spans="2:20" x14ac:dyDescent="0.3">
      <x:c r="D52" s="8"/>
      <x:c r="H52" s="6"/>
      <x:c r="J52" s="6"/>
      <x:c r="K52" s="6"/>
      <x:c r="L52" s="6"/>
      <x:c r="M52" s="6"/>
      <x:c r="N52" s="6"/>
      <x:c r="O52" s="6"/>
      <x:c r="P52" s="6"/>
    </x:row>
  </x:sheetData>
  <x:mergeCells count="7">
    <x:mergeCell ref="C34:H34"/>
    <x:mergeCell ref="C9:Q9"/>
    <x:mergeCell ref="C4:Q4"/>
    <x:mergeCell ref="C5:Q5"/>
    <x:mergeCell ref="C6:Q6"/>
    <x:mergeCell ref="C7:Q7"/>
    <x:mergeCell ref="D10:E10"/>
  </x:mergeCells>
  <x:phoneticPr fontId="2" type="noConversion"/>
  <x:printOptions horizontalCentered="1"/>
  <x:pageMargins left="0.75" right="0.75" top="1.1000000000000001" bottom="0.5" header="0" footer="0"/>
  <x:pageSetup scale="79" orientation="landscape" cellComments="asDisplayed" r:id="rId1"/>
  <x:headerFooter alignWithMargins="0"/>
  <x: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2025-04-24T16:02:01.0000000Z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