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V (Rate Design)\Section IV Workpapers\"/>
    </mc:Choice>
  </mc:AlternateContent>
  <xr:revisionPtr revIDLastSave="0" documentId="13_ncr:1_{C336F05E-F263-44AE-8328-30E414678ED1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Cost Assignments by Group" sheetId="2" r:id="rId1"/>
  </x:sheets>
  <x:externalReferences>
    <x:externalReference r:id="rId2"/>
  </x:externalReferences>
  <x:definedNames>
    <x:definedName name="FactorTable">'Cost Assignments by Group'!$G$1294:$S$1388</x:definedName>
    <x:definedName name="FFT_D">#REF!</x:definedName>
    <x:definedName name="_xlnm.Print_Area" localSheetId="0">'Cost Assignments by Group'!$B$2:$M$183</x:definedName>
    <x:definedName name="_xlnm.Print_Titles" localSheetId="0">'Cost Assignments by Group'!$2:$8</x:definedName>
    <x:definedName name="Z">'Cost Assignments by Group'!$B$1217:$P$1363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187" i="2" l="1"/>
  <x:c r="P139" i="2"/>
  <x:c r="F149" i="2" s="1"/>
  <x:c r="Q138" i="2"/>
  <x:c r="P138" i="2"/>
  <x:c r="F190" i="2"/>
  <x:c r="F186" i="2"/>
  <x:c r="F176" i="2"/>
  <x:c r="F173" i="2"/>
  <x:c r="F172" i="2"/>
  <x:c r="F169" i="2"/>
  <x:c r="F166" i="2"/>
  <x:c r="F154" i="2"/>
  <x:c r="F153" i="2"/>
  <x:c r="F152" i="2"/>
  <x:c r="F151" i="2"/>
  <x:c r="F150" i="2"/>
  <x:c r="F148" i="2"/>
  <x:c r="F147" i="2"/>
  <x:c r="F146" i="2"/>
  <x:c r="F145" i="2"/>
  <x:c r="F144" i="2"/>
  <x:c r="F143" i="2"/>
  <x:c r="F142" i="2"/>
  <x:c r="F127" i="2"/>
  <x:c r="F124" i="2"/>
  <x:c r="F123" i="2"/>
  <x:c r="F122" i="2"/>
  <x:c r="F121" i="2"/>
  <x:c r="F116" i="2"/>
  <x:c r="F115" i="2"/>
  <x:c r="F114" i="2"/>
  <x:c r="F113" i="2"/>
  <x:c r="F112" i="2"/>
  <x:c r="F108" i="2"/>
  <x:c r="F104" i="2"/>
  <x:c r="F103" i="2"/>
  <x:c r="F102" i="2"/>
  <x:c r="F101" i="2"/>
  <x:c r="F100" i="2"/>
  <x:c r="F99" i="2"/>
  <x:c r="F98" i="2"/>
  <x:c r="F97" i="2"/>
  <x:c r="F96" i="2"/>
  <x:c r="F89" i="2"/>
  <x:c r="F88" i="2"/>
  <x:c r="F87" i="2"/>
  <x:c r="F86" i="2"/>
  <x:c r="F85" i="2"/>
  <x:c r="F84" i="2"/>
  <x:c r="F83" i="2"/>
  <x:c r="F82" i="2"/>
  <x:c r="F81" i="2"/>
  <x:c r="F80" i="2"/>
  <x:c r="F63" i="2"/>
  <x:c r="F60" i="2"/>
  <x:c r="F54" i="2"/>
  <x:c r="F53" i="2"/>
  <x:c r="F52" i="2"/>
  <x:c r="P55" i="2"/>
  <x:c r="P54" i="2"/>
  <x:c r="P53" i="2"/>
  <x:c r="P52" i="2"/>
  <x:c r="P50" i="2"/>
  <x:c r="F46" i="2"/>
  <x:c r="F45" i="2"/>
  <x:c r="F44" i="2"/>
  <x:c r="F41" i="2"/>
  <x:c r="F40" i="2"/>
  <x:c r="F39" i="2"/>
  <x:c r="F38" i="2"/>
  <x:c r="F37" i="2"/>
  <x:c r="F36" i="2"/>
  <x:c r="F35" i="2"/>
  <x:c r="F34" i="2"/>
  <x:c r="F33" i="2"/>
  <x:c r="F31" i="2"/>
  <x:c r="F30" i="2"/>
  <x:c r="F28" i="2"/>
  <x:c r="F27" i="2"/>
  <x:c r="F25" i="2"/>
  <x:c r="F24" i="2"/>
  <x:c r="F22" i="2"/>
  <x:c r="F21" i="2"/>
  <x:c r="F19" i="2"/>
  <x:c r="F18" i="2"/>
  <x:c r="F17" i="2"/>
  <x:c r="F16" i="2"/>
  <x:c r="F15" i="2"/>
  <x:c r="F14" i="2"/>
  <x:c r="N20" i="2" l="1"/>
  <x:c r="B138" i="2" l="1"/>
  <x:c r="B139" i="2" s="1"/>
  <x:c r="B142" i="2" s="1"/>
  <x:c r="B143" i="2" s="1"/>
  <x:c r="B144" i="2" s="1"/>
  <x:c r="B145" i="2" s="1"/>
  <x:c r="B146" i="2" s="1"/>
  <x:c r="B147" i="2" s="1"/>
  <x:c r="B148" i="2" s="1"/>
  <x:c r="B149" i="2" s="1"/>
  <x:c r="B150" i="2" s="1"/>
  <x:c r="B151" i="2" s="1"/>
  <x:c r="B152" i="2" s="1"/>
  <x:c r="B153" i="2" s="1"/>
  <x:c r="B154" i="2" s="1"/>
  <x:c r="B163" i="2" s="1"/>
  <x:c r="B164" i="2" s="1"/>
  <x:c r="B165" i="2" s="1"/>
  <x:c r="B166" i="2" s="1"/>
  <x:c r="B167" i="2" s="1"/>
  <x:c r="B168" i="2" s="1"/>
  <x:c r="B169" i="2" s="1"/>
  <x:c r="B170" i="2" s="1"/>
  <x:c r="B171" i="2" s="1"/>
  <x:c r="B172" i="2" s="1"/>
  <x:c r="B173" i="2" s="1"/>
  <x:c r="B174" i="2" s="1"/>
  <x:c r="B175" i="2" s="1"/>
  <x:c r="B176" i="2" s="1"/>
  <x:c r="B177" i="2" s="1"/>
  <x:c r="B178" i="2" s="1"/>
  <x:c r="B179" i="2" s="1"/>
  <x:c r="B180" i="2" s="1"/>
  <x:c r="B79" i="2"/>
  <x:c r="B80" i="2" s="1"/>
  <x:c r="B81" i="2" s="1"/>
  <x:c r="B82" i="2" s="1"/>
  <x:c r="B83" i="2" s="1"/>
  <x:c r="B84" i="2" s="1"/>
  <x:c r="B85" i="2" s="1"/>
  <x:c r="B86" i="2" s="1"/>
  <x:c r="B87" i="2" s="1"/>
  <x:c r="B88" i="2" s="1"/>
  <x:c r="B89" i="2" s="1"/>
  <x:c r="B90" i="2" s="1"/>
  <x:c r="B91" i="2" s="1"/>
  <x:c r="B93" i="2" s="1"/>
  <x:c r="B94" i="2" s="1"/>
  <x:c r="B96" i="2" s="1"/>
  <x:c r="B97" i="2" s="1"/>
  <x:c r="B98" i="2" s="1"/>
  <x:c r="B99" i="2" s="1"/>
  <x:c r="B100" i="2" s="1"/>
  <x:c r="B101" i="2" s="1"/>
  <x:c r="B102" i="2" s="1"/>
  <x:c r="B103" i="2" s="1"/>
  <x:c r="B104" i="2" s="1"/>
  <x:c r="B105" i="2" s="1"/>
  <x:c r="B106" i="2" s="1"/>
  <x:c r="B107" i="2" s="1"/>
  <x:c r="B108" i="2" s="1"/>
  <x:c r="B109" i="2" s="1"/>
  <x:c r="B110" i="2" s="1"/>
  <x:c r="B111" i="2" s="1"/>
  <x:c r="B112" i="2" s="1"/>
  <x:c r="B113" i="2" s="1"/>
  <x:c r="B114" i="2" s="1"/>
  <x:c r="B115" i="2" s="1"/>
  <x:c r="B116" i="2" s="1"/>
  <x:c r="B117" i="2" s="1"/>
  <x:c r="B118" i="2" s="1"/>
  <x:c r="B119" i="2" s="1"/>
  <x:c r="B120" i="2" s="1"/>
  <x:c r="B121" i="2" s="1"/>
  <x:c r="B122" i="2" s="1"/>
  <x:c r="B123" i="2" s="1"/>
  <x:c r="B124" i="2" s="1"/>
  <x:c r="B125" i="2" s="1"/>
  <x:c r="B126" i="2" s="1"/>
  <x:c r="B127" i="2" s="1"/>
  <x:c r="B128" i="2" s="1"/>
  <x:c r="B129" i="2" s="1"/>
  <x:c r="B130" i="2" s="1"/>
  <x:c r="B75" i="2"/>
  <x:c r="B76" i="2" s="1"/>
  <x:c r="B12" i="2"/>
  <x:c r="B13" i="2" s="1"/>
  <x:c r="B14" i="2" s="1"/>
  <x:c r="B15" i="2" s="1"/>
  <x:c r="B16" i="2" s="1"/>
  <x:c r="B17" i="2" s="1"/>
  <x:c r="B20" i="2" s="1"/>
  <x:c r="B21" i="2" s="1"/>
  <x:c r="B22" i="2" s="1"/>
  <x:c r="B23" i="2" l="1"/>
  <x:c r="B24" i="2" s="1"/>
  <x:c r="B25" i="2" s="1"/>
  <x:c r="B26" i="2" s="1"/>
  <x:c r="B27" i="2" s="1"/>
  <x:c r="B28" i="2" s="1"/>
  <x:c r="B29" i="2" s="1"/>
  <x:c r="B30" i="2" s="1"/>
  <x:c r="B31" i="2" s="1"/>
  <x:c r="B32" i="2" s="1"/>
  <x:c r="B33" i="2" s="1"/>
  <x:c r="B34" i="2" s="1"/>
  <x:c r="B35" i="2" s="1"/>
  <x:c r="B36" i="2" s="1"/>
  <x:c r="B37" i="2" s="1"/>
  <x:c r="B38" i="2" s="1"/>
  <x:c r="B39" i="2" s="1"/>
  <x:c r="B40" i="2" s="1"/>
  <x:c r="B41" i="2" s="1"/>
  <x:c r="B42" i="2" s="1"/>
  <x:c r="B43" i="2" s="1"/>
  <x:c r="B44" i="2" s="1"/>
  <x:c r="B45" i="2" s="1"/>
  <x:c r="B46" i="2" s="1"/>
  <x:c r="B47" i="2" s="1"/>
  <x:c r="B48" i="2" s="1"/>
  <x:c r="B49" i="2" s="1"/>
  <x:c r="B50" i="2" s="1"/>
  <x:c r="B53" i="2" s="1"/>
  <x:c r="B54" i="2" s="1"/>
  <x:c r="B55" i="2" s="1"/>
  <x:c r="B56" i="2" s="1"/>
  <x:c r="B57" i="2" s="1"/>
  <x:c r="B58" i="2" s="1"/>
  <x:c r="B63" i="2" s="1"/>
  <x:c r="B64" i="2" s="1"/>
  <x:c r="B65" i="2" s="1"/>
  <x:c r="B66" i="2" s="1"/>
  <x:c r="B69" i="2" s="1"/>
  <x:c r="B70" i="2" s="1"/>
  <x:c r="B71" i="2" s="1"/>
  <x:c r="N115" i="2" l="1"/>
  <x:c r="N113" i="2"/>
  <x:c r="N112" i="2"/>
  <x:c r="N39" i="2"/>
  <x:c r="N37" i="2"/>
  <x:c r="N32" i="2"/>
  <x:c r="N29" i="2"/>
  <x:c r="N26" i="2"/>
  <x:c r="N23" i="2"/>
  <x:c r="I56" i="2"/>
  <x:c r="H56" i="2"/>
  <x:c r="K42" i="2"/>
  <x:c r="K48" i="2" s="1"/>
  <x:c r="L56" i="2"/>
  <x:c r="L42" i="2"/>
  <x:c r="L48" i="2" s="1"/>
  <x:c r="H125" i="2"/>
  <x:c r="H117" i="2"/>
  <x:c r="H109" i="2"/>
  <x:c r="H105" i="2"/>
  <x:c r="H90" i="2"/>
  <x:c r="H174" i="2"/>
  <x:c r="I125" i="2"/>
  <x:c r="I117" i="2"/>
  <x:c r="I109" i="2"/>
  <x:c r="I90" i="2"/>
  <x:c r="I156" i="2"/>
  <x:c r="J105" i="2"/>
  <x:c r="J174" i="2"/>
  <x:c r="K125" i="2"/>
  <x:c r="K117" i="2"/>
  <x:c r="K109" i="2"/>
  <x:c r="K105" i="2"/>
  <x:c r="K90" i="2"/>
  <x:c r="K156" i="2"/>
  <x:c r="L125" i="2"/>
  <x:c r="L117" i="2"/>
  <x:c r="L109" i="2"/>
  <x:c r="L90" i="2"/>
  <x:c r="L156" i="2"/>
  <x:c r="L174" i="2"/>
  <x:c r="K60" i="2"/>
  <x:c r="L60" i="2"/>
  <x:c r="J60" i="2"/>
  <x:c r="H60" i="2"/>
  <x:c r="K130" i="2" l="1"/>
  <x:c r="L58" i="2"/>
  <x:c r="H130" i="2"/>
  <x:c r="I60" i="2"/>
  <x:c r="L62" i="2"/>
  <x:c r="J81" i="2" l="1"/>
  <x:c r="N81" i="2" s="1"/>
  <x:c r="J124" i="2" l="1"/>
  <x:c r="N124" i="2" s="1"/>
  <x:c r="J85" i="2"/>
  <x:c r="N85" i="2" s="1"/>
  <x:c r="J122" i="2"/>
  <x:c r="J114" i="2"/>
  <x:c r="J123" i="2"/>
  <x:c r="N123" i="2" s="1"/>
  <x:c r="J150" i="2"/>
  <x:c r="N150" i="2" s="1"/>
  <x:c r="H38" i="2"/>
  <x:c r="J89" i="2"/>
  <x:c r="N89" i="2" s="1"/>
  <x:c r="L102" i="2"/>
  <x:c r="N102" i="2" s="1"/>
  <x:c r="I173" i="2"/>
  <x:c r="N38" i="2" l="1"/>
  <x:c r="J121" i="2"/>
  <x:c r="N121" i="2" s="1"/>
  <x:c r="F125" i="2"/>
  <x:c r="N114" i="2"/>
  <x:c r="N40" i="2"/>
  <x:c r="H40" i="2"/>
  <x:c r="H42" i="2" s="1"/>
  <x:c r="H48" i="2" s="1"/>
  <x:c r="H58" i="2" s="1"/>
  <x:c r="H62" i="2" s="1"/>
  <x:c r="N122" i="2"/>
  <x:c r="J125" i="2"/>
  <x:c r="I174" i="2"/>
  <x:c r="N173" i="2"/>
  <x:c r="I16" i="2" l="1"/>
  <x:c r="N16" i="2"/>
  <x:c r="N125" i="2"/>
  <x:c r="I127" i="2" l="1"/>
  <x:c r="N45" i="2" l="1"/>
  <x:c r="J45" i="2"/>
  <x:c r="J82" i="2" l="1"/>
  <x:c r="N82" i="2" s="1"/>
  <x:c r="I98" i="2"/>
  <x:c r="N98" i="2" s="1"/>
  <x:c r="J116" i="2" l="1"/>
  <x:c r="F117" i="2"/>
  <x:c r="N116" i="2" l="1"/>
  <x:c r="N117" i="2" s="1"/>
  <x:c r="J117" i="2"/>
  <x:c r="J149" i="2" l="1"/>
  <x:c r="N149" i="2" s="1"/>
  <x:c r="I25" i="2" l="1"/>
  <x:c r="N25" i="2"/>
  <x:c r="N33" i="2"/>
  <x:c r="I33" i="2"/>
  <x:c r="N34" i="2"/>
  <x:c r="I34" i="2"/>
  <x:c r="N35" i="2"/>
  <x:c r="I35" i="2"/>
  <x:c r="I21" i="2" l="1"/>
  <x:c r="N21" i="2"/>
  <x:c r="N22" i="2"/>
  <x:c r="I22" i="2"/>
  <x:c r="I24" i="2"/>
  <x:c r="N24" i="2"/>
  <x:c r="N30" i="2" l="1"/>
  <x:c r="I30" i="2"/>
  <x:c r="I101" i="2" l="1"/>
  <x:c r="N101" i="2" s="1"/>
  <x:c r="I99" i="2"/>
  <x:c r="N99" i="2" s="1"/>
  <x:c r="N27" i="2" l="1"/>
  <x:c r="I27" i="2"/>
  <x:c r="I31" i="2"/>
  <x:c r="N31" i="2"/>
  <x:c r="J83" i="2"/>
  <x:c r="N83" i="2" s="1"/>
  <x:c r="N28" i="2" l="1"/>
  <x:c r="I28" i="2"/>
  <x:c r="J84" i="2"/>
  <x:c r="N84" i="2" s="1"/>
  <x:c r="I100" i="2" l="1"/>
  <x:c r="N100" i="2" s="1"/>
  <x:c r="L103" i="2" l="1"/>
  <x:c r="N103" i="2" s="1"/>
  <x:c r="J87" i="2" l="1"/>
  <x:c r="N87" i="2" s="1"/>
  <x:c r="I36" i="2" l="1"/>
  <x:c r="N36" i="2"/>
  <x:c r="N15" i="2" l="1"/>
  <x:c r="I15" i="2"/>
  <x:c r="N41" i="2"/>
  <x:c r="J41" i="2"/>
  <x:c r="J42" i="2" s="1"/>
  <x:c r="I14" i="2" l="1"/>
  <x:c r="N14" i="2"/>
  <x:c r="F109" i="2" l="1"/>
  <x:c r="J108" i="2"/>
  <x:c r="J109" i="2" s="1"/>
  <x:c r="J86" i="2" l="1"/>
  <x:c r="N86" i="2" s="1"/>
  <x:c r="I97" i="2"/>
  <x:c r="N97" i="2" s="1"/>
  <x:c r="I104" i="2" l="1"/>
  <x:c r="N104" i="2" s="1"/>
  <x:c r="J80" i="2" l="1"/>
  <x:c r="F105" i="2"/>
  <x:c r="L96" i="2" s="1"/>
  <x:c r="L105" i="2" s="1"/>
  <x:c r="L130" i="2" s="1"/>
  <x:c r="J88" i="2"/>
  <x:c r="N88" i="2" s="1"/>
  <x:c r="I96" i="2" l="1"/>
  <x:c r="N96" i="2" s="1"/>
  <x:c r="N105" i="2" s="1"/>
  <x:c r="F90" i="2"/>
  <x:c r="F130" i="2" s="1"/>
  <x:c r="N80" i="2"/>
  <x:c r="N90" i="2" s="1"/>
  <x:c r="J90" i="2"/>
  <x:c r="J130" i="2" s="1"/>
  <x:c r="I105" i="2" l="1"/>
  <x:c r="I130" i="2" s="1"/>
  <x:c r="K132" i="2"/>
  <x:c r="H132" i="2"/>
  <x:c r="L132" i="2"/>
  <x:c r="J132" i="2"/>
  <x:c r="I132" i="2" l="1"/>
  <x:c r="N130" i="2"/>
  <x:c r="J143" i="2" l="1"/>
  <x:c r="N143" i="2" s="1"/>
  <x:c r="J144" i="2"/>
  <x:c r="N144" i="2" s="1"/>
  <x:c r="J151" i="2"/>
  <x:c r="N151" i="2" s="1"/>
  <x:c r="J152" i="2"/>
  <x:c r="N152" i="2" s="1"/>
  <x:c r="J145" i="2"/>
  <x:c r="N145" i="2" s="1"/>
  <x:c r="J142" i="2"/>
  <x:c r="J147" i="2"/>
  <x:c r="N147" i="2" s="1"/>
  <x:c r="N142" i="2" l="1"/>
  <x:c r="K176" i="2" l="1"/>
  <x:c r="N176" i="2" l="1"/>
  <x:c r="N53" i="2" l="1"/>
  <x:c r="N46" i="2"/>
  <x:c r="J44" i="2"/>
  <x:c r="H146" i="2"/>
  <x:c r="H156" i="2" s="1"/>
  <x:c r="I18" i="2"/>
  <x:c r="J154" i="2"/>
  <x:c r="N154" i="2" s="1"/>
  <x:c r="N54" i="2"/>
  <x:c r="I19" i="2"/>
  <x:c r="H169" i="2"/>
  <x:c r="J148" i="2"/>
  <x:c r="J153" i="2"/>
  <x:c r="N153" i="2" s="1"/>
  <x:c r="H166" i="2"/>
  <x:c r="J52" i="2"/>
  <x:c r="F174" i="2"/>
  <x:c r="K54" i="2" l="1"/>
  <x:c r="F42" i="2"/>
  <x:c r="F48" i="2" s="1"/>
  <x:c r="N44" i="2"/>
  <x:c r="N52" i="2"/>
  <x:c r="F156" i="2"/>
  <x:c r="N18" i="2"/>
  <x:c r="F180" i="2"/>
  <x:c r="H180" i="2"/>
  <x:c r="N169" i="2"/>
  <x:c r="N19" i="2"/>
  <x:c r="N146" i="2"/>
  <x:c r="K172" i="2"/>
  <x:c r="P56" i="2"/>
  <x:c r="F55" i="2" s="1"/>
  <x:c r="F56" i="2" s="1"/>
  <x:c r="J46" i="2"/>
  <x:c r="J48" i="2" s="1"/>
  <x:c r="J156" i="2"/>
  <x:c r="N148" i="2"/>
  <x:c r="K53" i="2"/>
  <x:c r="I17" i="2"/>
  <x:c r="I42" i="2" s="1"/>
  <x:c r="I48" i="2" s="1"/>
  <x:c r="I58" i="2" s="1"/>
  <x:c r="I62" i="2" s="1"/>
  <x:c r="N17" i="2"/>
  <x:c r="I166" i="2"/>
  <x:c r="I180" i="2" s="1"/>
  <x:c r="K166" i="2"/>
  <x:c r="J166" i="2"/>
  <x:c r="J180" i="2" s="1"/>
  <x:c r="K56" i="2" l="1"/>
  <x:c r="K58" i="2" s="1"/>
  <x:c r="K62" i="2" s="1"/>
  <x:c r="J55" i="2"/>
  <x:c r="J56" i="2" s="1"/>
  <x:c r="J58" i="2" s="1"/>
  <x:c r="J62" i="2" s="1"/>
  <x:c r="N55" i="2"/>
  <x:c r="N56" i="2" s="1"/>
  <x:c r="N42" i="2"/>
  <x:c r="N68" i="2" s="1"/>
  <x:c r="N69" i="2" s="1"/>
  <x:c r="N70" i="2" s="1"/>
  <x:c r="N156" i="2"/>
  <x:c r="F58" i="2"/>
  <x:c r="F62" i="2" s="1"/>
  <x:c r="K174" i="2"/>
  <x:c r="K180" i="2" s="1"/>
  <x:c r="N172" i="2"/>
  <x:c r="N174" i="2" s="1"/>
  <x:c r="L166" i="2"/>
  <x:c r="L180" i="2" s="1"/>
  <x:c r="N166" i="2" l="1"/>
  <x:c r="N180" i="2" s="1"/>
  <x:c r="N58" i="2"/>
  <x:c r="A58" i="2"/>
  <x:c r="N62" i="2"/>
  <x:c r="F64" i="2"/>
  <x:c r="H63" i="2"/>
  <x:c r="I63" i="2"/>
  <x:c r="K63" i="2"/>
  <x:c r="J63" i="2"/>
  <x:c r="F66" i="2" l="1"/>
  <x:c r="F184" i="2"/>
  <x:c r="F188" i="2" s="1"/>
  <x:c r="F192" i="2" s="1"/>
  <x:c r="L64" i="2" l="1"/>
  <x:c r="L184" i="2" s="1"/>
  <x:c r="H64" i="2"/>
  <x:c r="I64" i="2"/>
  <x:c r="I184" i="2" s="1"/>
  <x:c r="J64" i="2"/>
  <x:c r="J184" i="2" s="1"/>
  <x:c r="K64" i="2"/>
  <x:c r="K184" i="2" s="1"/>
  <x:c r="N64" i="2" l="1"/>
  <x:c r="H184" i="2"/>
  <x:c r="N184" i="2" s="1"/>
</x:calcChain>
</file>

<file path=xl/sharedStrings.xml><?xml version="1.0" encoding="utf-8"?>
<sst xmlns="http://schemas.openxmlformats.org/spreadsheetml/2006/main" count="338" uniqueCount="221">
  <si>
    <t>Subtotal</t>
  </si>
  <si>
    <t>Land Owned in Fee</t>
  </si>
  <si>
    <t>Land and Land Rights</t>
  </si>
  <si>
    <t>Structures and Improvements</t>
  </si>
  <si>
    <t>Station Equipment</t>
  </si>
  <si>
    <t>A360</t>
  </si>
  <si>
    <t>A361</t>
  </si>
  <si>
    <t>A362</t>
  </si>
  <si>
    <t>A364P</t>
  </si>
  <si>
    <t>A365P</t>
  </si>
  <si>
    <t>O.H. Conductors &amp; Devices-Total</t>
  </si>
  <si>
    <t>O.H. Conductors &amp; Devices-Primary</t>
  </si>
  <si>
    <t>O.H. Conductors &amp; Devices-Secondary</t>
  </si>
  <si>
    <t>A366P</t>
  </si>
  <si>
    <t>Underground Conduits-Total</t>
  </si>
  <si>
    <t>Underground Conduits-Primary</t>
  </si>
  <si>
    <t>Underground Conduits-Secondary</t>
  </si>
  <si>
    <t>A367P</t>
  </si>
  <si>
    <t>U.G. Conductors &amp; Devices-Total</t>
  </si>
  <si>
    <t>U.G. Conductors &amp; Devices-Primary</t>
  </si>
  <si>
    <t>U.G. Conductors &amp; Devices-Secondary</t>
  </si>
  <si>
    <t>A368P</t>
  </si>
  <si>
    <t>Line Transformers-Total</t>
  </si>
  <si>
    <t>Line Transformers-Primary</t>
  </si>
  <si>
    <t>Line Transformers-Secondary</t>
  </si>
  <si>
    <t>Capacitors</t>
  </si>
  <si>
    <t>A369</t>
  </si>
  <si>
    <t>Services</t>
  </si>
  <si>
    <t>A370</t>
  </si>
  <si>
    <t>Meters</t>
  </si>
  <si>
    <t>A371</t>
  </si>
  <si>
    <t>Install. on Customer Prem.</t>
  </si>
  <si>
    <t>A372</t>
  </si>
  <si>
    <t>Leased Prop. on Cust. Premises</t>
  </si>
  <si>
    <t>A373</t>
  </si>
  <si>
    <t>Street Lights</t>
  </si>
  <si>
    <t>A374</t>
  </si>
  <si>
    <t>TOTAL TRAN PLANT-NET</t>
  </si>
  <si>
    <t>OTHER  RATE  BASE:</t>
  </si>
  <si>
    <t>Rate of Return</t>
  </si>
  <si>
    <t>Total Other Rate Base</t>
  </si>
  <si>
    <r>
      <t xml:space="preserve">TOTAL GENERAL PLANT-NET </t>
    </r>
    <r>
      <rPr>
        <sz val="8"/>
        <rFont val="Verdana"/>
        <family val="2"/>
      </rPr>
      <t>(Incl. Comm Eq.)</t>
    </r>
  </si>
  <si>
    <t>Rate Base</t>
  </si>
  <si>
    <t>Allocated to</t>
  </si>
  <si>
    <t>Lighting Class</t>
  </si>
  <si>
    <t>Based on</t>
  </si>
  <si>
    <t xml:space="preserve">Load </t>
  </si>
  <si>
    <t xml:space="preserve">Installed Cost </t>
  </si>
  <si>
    <t>Per Light Basis</t>
  </si>
  <si>
    <t>Relative Revenue</t>
  </si>
  <si>
    <t>By Light Type</t>
  </si>
  <si>
    <r>
      <t xml:space="preserve">Other Items </t>
    </r>
    <r>
      <rPr>
        <b/>
        <vertAlign val="superscript"/>
        <sz val="8"/>
        <rFont val="Verdana"/>
        <family val="2"/>
      </rPr>
      <t>3</t>
    </r>
  </si>
  <si>
    <t>2 - ADIT is treated as a reduction in rate base - as such, it is shown as a negative cost.</t>
  </si>
  <si>
    <t>Assign</t>
  </si>
  <si>
    <t xml:space="preserve">Assign on a </t>
  </si>
  <si>
    <t>Operation</t>
  </si>
  <si>
    <t>Load Dispatching</t>
  </si>
  <si>
    <t>Rents</t>
  </si>
  <si>
    <t>Maintenance</t>
  </si>
  <si>
    <t>Maint. of Structures</t>
  </si>
  <si>
    <t>Maint. of Station Equipment</t>
  </si>
  <si>
    <t>Maint. of Overhead Lines</t>
  </si>
  <si>
    <t>Maint. of Underground Lines</t>
  </si>
  <si>
    <t>A580</t>
  </si>
  <si>
    <t>A581</t>
  </si>
  <si>
    <t>A582</t>
  </si>
  <si>
    <t>Station Expenses</t>
  </si>
  <si>
    <t>A583</t>
  </si>
  <si>
    <t>Overhead Line Expense</t>
  </si>
  <si>
    <t>A584</t>
  </si>
  <si>
    <t xml:space="preserve">Underground Line Expense </t>
  </si>
  <si>
    <t>A585</t>
  </si>
  <si>
    <t xml:space="preserve">Street Lights </t>
  </si>
  <si>
    <t>A586</t>
  </si>
  <si>
    <t xml:space="preserve">Meter Expenses </t>
  </si>
  <si>
    <t>A587</t>
  </si>
  <si>
    <t xml:space="preserve">Customer Installation Expense </t>
  </si>
  <si>
    <t>A 588</t>
  </si>
  <si>
    <t>A589</t>
  </si>
  <si>
    <t xml:space="preserve">Rents </t>
  </si>
  <si>
    <t>Distribution-Operation-Total</t>
  </si>
  <si>
    <t>A590</t>
  </si>
  <si>
    <t>A591</t>
  </si>
  <si>
    <t>A592</t>
  </si>
  <si>
    <t>A593</t>
  </si>
  <si>
    <t>A594</t>
  </si>
  <si>
    <t>A595</t>
  </si>
  <si>
    <t>Maint. of Line Transformers</t>
  </si>
  <si>
    <t>A596</t>
  </si>
  <si>
    <t>Maint. of Street Lights</t>
  </si>
  <si>
    <t>A597</t>
  </si>
  <si>
    <t>Maint. of Meters</t>
  </si>
  <si>
    <t>A598</t>
  </si>
  <si>
    <t>Maint. of Misc. Dist. Plant.</t>
  </si>
  <si>
    <t>Customer Accounting Expenses</t>
  </si>
  <si>
    <t>Supervision</t>
  </si>
  <si>
    <t>Subtotal Customer Accounting</t>
  </si>
  <si>
    <t>Cust. Service &amp; Information Expense</t>
  </si>
  <si>
    <t>A906</t>
  </si>
  <si>
    <t>Cust Svc &amp; Informational Expense</t>
  </si>
  <si>
    <t>A907</t>
  </si>
  <si>
    <t>A909</t>
  </si>
  <si>
    <t>Inform. &amp; Instruct. Adv. Exp.</t>
  </si>
  <si>
    <t>A910</t>
  </si>
  <si>
    <t>Misc. Cust. Service &amp; Inform.</t>
  </si>
  <si>
    <t>Sales Expense</t>
  </si>
  <si>
    <t>A912</t>
  </si>
  <si>
    <t>Demonstrating &amp; Selling Exp./Adv.</t>
  </si>
  <si>
    <t>A913</t>
  </si>
  <si>
    <t>Advertising Exp.</t>
  </si>
  <si>
    <t>A916</t>
  </si>
  <si>
    <t>Misc. Sales Exp.</t>
  </si>
  <si>
    <t>A920</t>
  </si>
  <si>
    <t>Admin. &amp; General Salaries</t>
  </si>
  <si>
    <t>A921</t>
  </si>
  <si>
    <t>Office Supplies</t>
  </si>
  <si>
    <t>A922</t>
  </si>
  <si>
    <t>Admin Expense Transferred</t>
  </si>
  <si>
    <t>A923</t>
  </si>
  <si>
    <t>Outside Services</t>
  </si>
  <si>
    <t>A924</t>
  </si>
  <si>
    <t>Property Insurance Exp.</t>
  </si>
  <si>
    <t>A925</t>
  </si>
  <si>
    <t>Injuries &amp; Damages</t>
  </si>
  <si>
    <t>A926</t>
  </si>
  <si>
    <t>Pensions &amp; Benefits</t>
  </si>
  <si>
    <t>A928</t>
  </si>
  <si>
    <t xml:space="preserve">Misc. General Expense </t>
  </si>
  <si>
    <t>A931</t>
  </si>
  <si>
    <t>A935</t>
  </si>
  <si>
    <t>Maint. of General Plant</t>
  </si>
  <si>
    <t>TOTAL A&amp;G EXPENSE</t>
  </si>
  <si>
    <t>O&amp;M Expenses :</t>
  </si>
  <si>
    <r>
      <t xml:space="preserve">Accumulated Deferred Fed Inc Taxes </t>
    </r>
    <r>
      <rPr>
        <b/>
        <vertAlign val="superscript"/>
        <sz val="8"/>
        <rFont val="Verdana"/>
        <family val="2"/>
      </rPr>
      <t>2</t>
    </r>
  </si>
  <si>
    <t>A&amp;G Expenses :</t>
  </si>
  <si>
    <r>
      <t>TOTAL INTANGIBLE PLANT-NET</t>
    </r>
    <r>
      <rPr>
        <b/>
        <vertAlign val="superscript"/>
        <sz val="8"/>
        <rFont val="Verdana"/>
        <family val="2"/>
      </rPr>
      <t xml:space="preserve"> </t>
    </r>
  </si>
  <si>
    <r>
      <t xml:space="preserve">TOTAL PLANT IN SERV-NET * </t>
    </r>
    <r>
      <rPr>
        <sz val="8"/>
        <rFont val="Verdana"/>
        <family val="2"/>
      </rPr>
      <t>(Incl. Intangibles)</t>
    </r>
  </si>
  <si>
    <t xml:space="preserve">Maintenance  </t>
  </si>
  <si>
    <t xml:space="preserve">Subtotal </t>
  </si>
  <si>
    <t>Taxes</t>
  </si>
  <si>
    <t>Ad Valorem Taxes</t>
  </si>
  <si>
    <t>Federal Income Taxes</t>
  </si>
  <si>
    <t>Texas Gross Margin Tax</t>
  </si>
  <si>
    <t>Municipal Franchise Fees</t>
  </si>
  <si>
    <t>Rate Base - Net Distribution Plant</t>
  </si>
  <si>
    <t>Distribution Expense:</t>
  </si>
  <si>
    <t>Payroll-Related Taxes</t>
  </si>
  <si>
    <t>Percentage of Total O&amp;M Expense</t>
  </si>
  <si>
    <t>(Assigned based on % of Total O&amp;M Exp.)</t>
  </si>
  <si>
    <t>TOTAL  TAXES</t>
  </si>
  <si>
    <t>Transmission-Related O&amp;M Expense</t>
  </si>
  <si>
    <t>A364S</t>
  </si>
  <si>
    <t>A365S</t>
  </si>
  <si>
    <t>A366S</t>
  </si>
  <si>
    <t>A367S</t>
  </si>
  <si>
    <t>A368S</t>
  </si>
  <si>
    <t>A368C</t>
  </si>
  <si>
    <t>data source:</t>
  </si>
  <si>
    <t>II-I.xls</t>
  </si>
  <si>
    <t>A908</t>
  </si>
  <si>
    <t>Customer Assistance Exp.</t>
  </si>
  <si>
    <t>A932</t>
  </si>
  <si>
    <t>A930.2</t>
  </si>
  <si>
    <t>Non-Revenue-Related Taxes:</t>
  </si>
  <si>
    <t>materials &amp; supplies</t>
  </si>
  <si>
    <t>Cash WC</t>
  </si>
  <si>
    <t>Pre payments</t>
  </si>
  <si>
    <t>A588</t>
  </si>
  <si>
    <t>ONCOR  ELECTRIC  DELIVERY  COMPANY  LLC</t>
  </si>
  <si>
    <t>ASSIGNMENT OF  DISTRIBUTION  FUNCTION  COSTS  ALLOCATED  TO  THE  LIGHTING  CLASS</t>
  </si>
  <si>
    <t xml:space="preserve">Adjusted Return on Rate Base as a </t>
  </si>
  <si>
    <t xml:space="preserve">Percentage of Return on Rate Base = </t>
  </si>
  <si>
    <t>TOTAL RATE BASE</t>
  </si>
  <si>
    <t>RETURN ON RATE BASE</t>
  </si>
  <si>
    <t>ADJUSTED RETURN ON RATE BASE</t>
  </si>
  <si>
    <t>&lt;---- Dist Plant Net =</t>
  </si>
  <si>
    <t>A911</t>
  </si>
  <si>
    <t>A930.1</t>
  </si>
  <si>
    <t xml:space="preserve">General Advertising Expense </t>
  </si>
  <si>
    <t>TOTAL O&amp;M and CUSTOMER EXPENSE</t>
  </si>
  <si>
    <t>Poles, Towers &amp; Fixtures-Total</t>
  </si>
  <si>
    <t>Poles, Towers &amp; Fixtures-Primary</t>
  </si>
  <si>
    <t>Poles, Towers &amp; Fixtures-Secondary</t>
  </si>
  <si>
    <t>Administrative &amp; General Expenses</t>
  </si>
  <si>
    <t>Operation Supervising &amp; Engineering</t>
  </si>
  <si>
    <t>Maintenance Supervising &amp; Engineering</t>
  </si>
  <si>
    <t>Misc Other Rate Base</t>
  </si>
  <si>
    <t>Adjustment to Lighting Class Return on Rate Base</t>
  </si>
  <si>
    <t>Misc. Distribution Expenses</t>
  </si>
  <si>
    <t>A901-</t>
  </si>
  <si>
    <t>905 Customer Records  &amp; Collection</t>
  </si>
  <si>
    <t>SPONSOR :  MATTHEW A. TROXLE</t>
  </si>
  <si>
    <t>1 - Deferred pension costs, deferred other post-employment costs, Covid-19 incremental expense, rate case expenses, and self insurance reserve.</t>
  </si>
  <si>
    <t xml:space="preserve"> Plant Held for Future Use</t>
  </si>
  <si>
    <t>Tax-Related Regulatory Assets</t>
  </si>
  <si>
    <r>
      <t xml:space="preserve">Non-Tax Regulatory Assets </t>
    </r>
    <r>
      <rPr>
        <b/>
        <vertAlign val="superscript"/>
        <sz val="8"/>
        <rFont val="Verdana"/>
        <family val="2"/>
      </rPr>
      <t>1</t>
    </r>
  </si>
  <si>
    <t>3 - Plant Held for Future Use, Miscellaneous Other Rate Base, Materials &amp; Supplies, Cash Working Capital, and Prepayments.</t>
  </si>
  <si>
    <t>Depr</t>
  </si>
  <si>
    <t>Other</t>
  </si>
  <si>
    <t>Less Other Rev.</t>
  </si>
  <si>
    <t>Sub Tot</t>
  </si>
  <si>
    <t>Total</t>
  </si>
  <si>
    <t>Line #</t>
  </si>
  <si>
    <t>[A]</t>
  </si>
  <si>
    <t>[B]</t>
  </si>
  <si>
    <t>[C]</t>
  </si>
  <si>
    <t>[D]</t>
  </si>
  <si>
    <t>[E]</t>
  </si>
  <si>
    <t>[F]</t>
  </si>
  <si>
    <t>[G]</t>
  </si>
  <si>
    <t>[H]</t>
  </si>
  <si>
    <t>= Percent of non-RCE in A928</t>
  </si>
  <si>
    <t>2025  RATE  CASE</t>
  </si>
  <si>
    <t>FOR  THE  TEST  YEAR  ENDING  DECEMBER  31, 2024</t>
  </si>
  <si>
    <t>A363.1</t>
  </si>
  <si>
    <t>A363.2</t>
  </si>
  <si>
    <t>A363.3</t>
  </si>
  <si>
    <t>Computer Hardware</t>
  </si>
  <si>
    <t>Computer Software</t>
  </si>
  <si>
    <t>Communication Equipment</t>
  </si>
  <si>
    <t>Regulatory Comm. Exp. (excluding 61.9666%)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</si>
</sst>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  <numFmt numFmtId="167" formatCode="0.000000"/>
    <numFmt numFmtId="168" formatCode="_(&quot;$&quot;* #,##0_);_(&quot;$&quot;* \(#,##0\);_(&quot;$&quot;* &quot;-&quot;??_);_(@_)"/>
    <numFmt numFmtId="169" formatCode="#,##0.000000_);\(#,##0.000000\)"/>
    <numFmt numFmtId="170" formatCode="0.0000%"/>
    <numFmt numFmtId="171" formatCode="_(* #,##0.000000_);_(* \(#,##0.000000\);_(* &quot;-&quot;??_);_(@_)"/>
  </numFmts>
  <fonts count="27" x14ac:knownFonts="1">
    <font>
      <sz val="10"/>
      <name val="Verdana"/>
    </font>
    <font>
      <sz val="10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name val="Verdana"/>
      <family val="2"/>
    </font>
    <font>
      <b/>
      <sz val="8"/>
      <name val="Verdana"/>
      <family val="2"/>
    </font>
    <font>
      <u/>
      <sz val="8"/>
      <name val="Verdana"/>
      <family val="2"/>
    </font>
    <font>
      <b/>
      <u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u/>
      <sz val="8"/>
      <name val="Verdana"/>
      <family val="2"/>
    </font>
    <font>
      <b/>
      <vertAlign val="superscript"/>
      <sz val="8"/>
      <name val="Verdana"/>
      <family val="2"/>
    </font>
    <font>
      <b/>
      <u/>
      <sz val="8"/>
      <name val="Times New Roman"/>
      <family val="1"/>
    </font>
    <font>
      <sz val="8"/>
      <name val="Arial"/>
      <family val="2"/>
    </font>
    <font>
      <b/>
      <sz val="10"/>
      <name val="Verdana"/>
      <family val="2"/>
    </font>
    <font>
      <sz val="11"/>
      <name val="Arial"/>
      <family val="2"/>
    </font>
    <font>
      <sz val="9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Verdana"/>
      <family val="2"/>
    </font>
    <font>
      <sz val="10"/>
      <name val="Verdana"/>
      <family val="2"/>
    </font>
    <font>
      <sz val="10"/>
      <name val="Verdana"/>
      <family val="2"/>
    </font>
    <font>
      <strike/>
      <sz val="8"/>
      <name val="Verdana"/>
      <family val="2"/>
    </font>
    <font>
      <u/>
      <sz val="8"/>
      <name val="Tahoma"/>
      <family val="2"/>
    </font>
    <font>
      <sz val="8"/>
      <name val="Tahoma"/>
      <family val="2"/>
    </font>
    <font>
      <b/>
      <u/>
      <sz val="9"/>
      <name val="Verdana"/>
      <family val="2"/>
    </font>
    <font>
      <b/>
      <sz val="9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3" fillId="0" borderId="0" xfId="0" applyFont="1" applyFill="1" applyBorder="1"/>
    <xf numFmtId="164" fontId="4" fillId="0" borderId="0" xfId="0" applyNumberFormat="1" applyFont="1" applyBorder="1"/>
    <xf numFmtId="164" fontId="4" fillId="0" borderId="0" xfId="0" applyNumberFormat="1" applyFont="1" applyFill="1" applyBorder="1"/>
    <xf numFmtId="164" fontId="5" fillId="0" borderId="1" xfId="0" applyNumberFormat="1" applyFont="1" applyBorder="1"/>
    <xf numFmtId="0" fontId="8" fillId="0" borderId="0" xfId="0" applyFont="1"/>
    <xf numFmtId="0" fontId="7" fillId="0" borderId="0" xfId="0" applyFont="1" applyFill="1" applyBorder="1"/>
    <xf numFmtId="0" fontId="8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166" fontId="7" fillId="0" borderId="0" xfId="0" applyNumberFormat="1" applyFont="1" applyFill="1" applyBorder="1"/>
    <xf numFmtId="166" fontId="8" fillId="0" borderId="0" xfId="0" applyNumberFormat="1" applyFont="1" applyFill="1" applyBorder="1"/>
    <xf numFmtId="166" fontId="8" fillId="0" borderId="0" xfId="0" quotePrefix="1" applyNumberFormat="1" applyFont="1" applyFill="1" applyBorder="1" applyAlignment="1">
      <alignment horizontal="left"/>
    </xf>
    <xf numFmtId="166" fontId="5" fillId="0" borderId="0" xfId="0" applyNumberFormat="1" applyFont="1" applyFill="1" applyBorder="1" applyAlignment="1">
      <alignment horizontal="right"/>
    </xf>
    <xf numFmtId="0" fontId="5" fillId="0" borderId="0" xfId="0" quotePrefix="1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166" fontId="0" fillId="0" borderId="0" xfId="0" applyNumberFormat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4" xfId="0" applyFont="1" applyFill="1" applyBorder="1"/>
    <xf numFmtId="0" fontId="8" fillId="0" borderId="4" xfId="0" applyFont="1" applyFill="1" applyBorder="1"/>
    <xf numFmtId="0" fontId="12" fillId="0" borderId="4" xfId="0" applyFont="1" applyFill="1" applyBorder="1"/>
    <xf numFmtId="166" fontId="5" fillId="0" borderId="4" xfId="0" applyNumberFormat="1" applyFont="1" applyFill="1" applyBorder="1"/>
    <xf numFmtId="166" fontId="8" fillId="0" borderId="4" xfId="0" applyNumberFormat="1" applyFont="1" applyFill="1" applyBorder="1"/>
    <xf numFmtId="0" fontId="8" fillId="0" borderId="4" xfId="0" applyFont="1" applyFill="1" applyBorder="1" applyAlignment="1">
      <alignment horizontal="left"/>
    </xf>
    <xf numFmtId="164" fontId="8" fillId="0" borderId="0" xfId="0" applyNumberFormat="1" applyFont="1" applyFill="1" applyBorder="1"/>
    <xf numFmtId="0" fontId="5" fillId="0" borderId="0" xfId="0" applyFont="1" applyBorder="1" applyAlignment="1">
      <alignment horizontal="right"/>
    </xf>
    <xf numFmtId="0" fontId="5" fillId="0" borderId="4" xfId="0" applyFont="1" applyFill="1" applyBorder="1" applyAlignment="1" applyProtection="1">
      <alignment horizontal="left"/>
      <protection locked="0"/>
    </xf>
    <xf numFmtId="0" fontId="5" fillId="0" borderId="4" xfId="0" applyFont="1" applyFill="1" applyBorder="1" applyProtection="1">
      <protection locked="0"/>
    </xf>
    <xf numFmtId="0" fontId="8" fillId="0" borderId="4" xfId="0" applyFont="1" applyFill="1" applyBorder="1" applyProtection="1">
      <protection locked="0"/>
    </xf>
    <xf numFmtId="0" fontId="9" fillId="0" borderId="4" xfId="0" applyFont="1" applyFill="1" applyBorder="1" applyAlignment="1"/>
    <xf numFmtId="0" fontId="8" fillId="0" borderId="0" xfId="0" quotePrefix="1" applyFont="1" applyFill="1" applyBorder="1"/>
    <xf numFmtId="166" fontId="5" fillId="0" borderId="1" xfId="0" applyNumberFormat="1" applyFont="1" applyFill="1" applyBorder="1"/>
    <xf numFmtId="166" fontId="8" fillId="0" borderId="9" xfId="0" applyNumberFormat="1" applyFont="1" applyFill="1" applyBorder="1"/>
    <xf numFmtId="0" fontId="8" fillId="0" borderId="0" xfId="0" quotePrefix="1" applyFont="1" applyFill="1" applyBorder="1" applyAlignment="1">
      <alignment horizontal="left"/>
    </xf>
    <xf numFmtId="43" fontId="0" fillId="0" borderId="0" xfId="1" applyFont="1"/>
    <xf numFmtId="44" fontId="0" fillId="0" borderId="1" xfId="2" applyFont="1" applyBorder="1"/>
    <xf numFmtId="5" fontId="0" fillId="0" borderId="0" xfId="0" applyNumberFormat="1"/>
    <xf numFmtId="164" fontId="0" fillId="0" borderId="0" xfId="0" applyNumberFormat="1"/>
    <xf numFmtId="0" fontId="0" fillId="2" borderId="0" xfId="0" applyFill="1"/>
    <xf numFmtId="0" fontId="14" fillId="2" borderId="0" xfId="0" applyFont="1" applyFill="1"/>
    <xf numFmtId="0" fontId="16" fillId="0" borderId="0" xfId="0" applyFont="1"/>
    <xf numFmtId="0" fontId="15" fillId="0" borderId="0" xfId="0" applyFont="1" applyFill="1" applyBorder="1"/>
    <xf numFmtId="164" fontId="0" fillId="3" borderId="0" xfId="0" applyNumberFormat="1" applyFill="1"/>
    <xf numFmtId="0" fontId="0" fillId="0" borderId="0" xfId="0" applyFill="1"/>
    <xf numFmtId="0" fontId="8" fillId="0" borderId="0" xfId="0" applyFont="1" applyFill="1"/>
    <xf numFmtId="0" fontId="8" fillId="0" borderId="3" xfId="0" applyFont="1" applyFill="1" applyBorder="1"/>
    <xf numFmtId="0" fontId="8" fillId="0" borderId="9" xfId="0" applyFont="1" applyFill="1" applyBorder="1"/>
    <xf numFmtId="0" fontId="8" fillId="0" borderId="10" xfId="0" applyFont="1" applyFill="1" applyBorder="1"/>
    <xf numFmtId="44" fontId="0" fillId="0" borderId="0" xfId="0" applyNumberFormat="1"/>
    <xf numFmtId="5" fontId="0" fillId="2" borderId="0" xfId="0" applyNumberFormat="1" applyFill="1"/>
    <xf numFmtId="0" fontId="15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17" fillId="0" borderId="0" xfId="1" applyNumberFormat="1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164" fontId="4" fillId="0" borderId="3" xfId="0" applyNumberFormat="1" applyFont="1" applyFill="1" applyBorder="1"/>
    <xf numFmtId="0" fontId="5" fillId="0" borderId="11" xfId="0" applyFont="1" applyFill="1" applyBorder="1"/>
    <xf numFmtId="0" fontId="5" fillId="0" borderId="9" xfId="0" applyFont="1" applyFill="1" applyBorder="1"/>
    <xf numFmtId="164" fontId="4" fillId="0" borderId="9" xfId="0" applyNumberFormat="1" applyFont="1" applyFill="1" applyBorder="1"/>
    <xf numFmtId="0" fontId="5" fillId="0" borderId="12" xfId="0" applyFont="1" applyFill="1" applyBorder="1"/>
    <xf numFmtId="164" fontId="5" fillId="0" borderId="10" xfId="0" applyNumberFormat="1" applyFont="1" applyFill="1" applyBorder="1"/>
    <xf numFmtId="0" fontId="7" fillId="0" borderId="4" xfId="0" applyFont="1" applyFill="1" applyBorder="1"/>
    <xf numFmtId="5" fontId="4" fillId="0" borderId="0" xfId="0" applyNumberFormat="1" applyFont="1" applyFill="1" applyBorder="1"/>
    <xf numFmtId="5" fontId="8" fillId="0" borderId="0" xfId="0" applyNumberFormat="1" applyFont="1" applyFill="1" applyBorder="1"/>
    <xf numFmtId="5" fontId="8" fillId="0" borderId="5" xfId="0" applyNumberFormat="1" applyFont="1" applyFill="1" applyBorder="1"/>
    <xf numFmtId="0" fontId="5" fillId="0" borderId="12" xfId="0" applyFont="1" applyFill="1" applyBorder="1" applyProtection="1">
      <protection locked="0"/>
    </xf>
    <xf numFmtId="5" fontId="5" fillId="0" borderId="10" xfId="0" applyNumberFormat="1" applyFont="1" applyFill="1" applyBorder="1"/>
    <xf numFmtId="5" fontId="5" fillId="0" borderId="13" xfId="0" applyNumberFormat="1" applyFont="1" applyFill="1" applyBorder="1"/>
    <xf numFmtId="0" fontId="5" fillId="0" borderId="12" xfId="0" applyFont="1" applyFill="1" applyBorder="1" applyAlignment="1" applyProtection="1">
      <alignment horizontal="left"/>
      <protection locked="0"/>
    </xf>
    <xf numFmtId="0" fontId="8" fillId="0" borderId="4" xfId="0" quotePrefix="1" applyFont="1" applyFill="1" applyBorder="1"/>
    <xf numFmtId="0" fontId="8" fillId="0" borderId="11" xfId="0" applyFont="1" applyFill="1" applyBorder="1"/>
    <xf numFmtId="0" fontId="8" fillId="0" borderId="2" xfId="0" applyFont="1" applyFill="1" applyBorder="1"/>
    <xf numFmtId="0" fontId="5" fillId="0" borderId="10" xfId="0" applyFont="1" applyFill="1" applyBorder="1"/>
    <xf numFmtId="166" fontId="8" fillId="0" borderId="0" xfId="0" applyNumberFormat="1" applyFont="1" applyFill="1"/>
    <xf numFmtId="0" fontId="5" fillId="0" borderId="0" xfId="0" quotePrefix="1" applyFont="1" applyFill="1" applyBorder="1" applyAlignment="1">
      <alignment horizontal="left"/>
    </xf>
    <xf numFmtId="166" fontId="5" fillId="0" borderId="0" xfId="0" applyNumberFormat="1" applyFont="1" applyFill="1" applyBorder="1"/>
    <xf numFmtId="0" fontId="5" fillId="0" borderId="10" xfId="0" quotePrefix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66" fontId="0" fillId="3" borderId="1" xfId="0" applyNumberFormat="1" applyFill="1" applyBorder="1"/>
    <xf numFmtId="43" fontId="0" fillId="0" borderId="0" xfId="0" applyNumberFormat="1"/>
    <xf numFmtId="5" fontId="0" fillId="0" borderId="0" xfId="1" applyNumberFormat="1" applyFont="1"/>
    <xf numFmtId="0" fontId="0" fillId="0" borderId="0" xfId="0" quotePrefix="1"/>
    <xf numFmtId="164" fontId="0" fillId="0" borderId="0" xfId="0" applyNumberFormat="1" applyFill="1"/>
    <xf numFmtId="0" fontId="19" fillId="0" borderId="0" xfId="0" quotePrefix="1" applyFont="1" applyFill="1"/>
    <xf numFmtId="168" fontId="0" fillId="0" borderId="1" xfId="2" applyNumberFormat="1" applyFont="1" applyBorder="1"/>
    <xf numFmtId="168" fontId="0" fillId="0" borderId="0" xfId="2" applyNumberFormat="1" applyFont="1"/>
    <xf numFmtId="167" fontId="8" fillId="0" borderId="0" xfId="3" applyNumberFormat="1" applyFont="1" applyFill="1" applyBorder="1" applyProtection="1">
      <protection locked="0"/>
    </xf>
    <xf numFmtId="5" fontId="8" fillId="0" borderId="0" xfId="0" applyNumberFormat="1" applyFont="1" applyFill="1" applyBorder="1" applyAlignment="1">
      <alignment horizontal="right"/>
    </xf>
    <xf numFmtId="5" fontId="5" fillId="0" borderId="1" xfId="0" applyNumberFormat="1" applyFont="1" applyFill="1" applyBorder="1"/>
    <xf numFmtId="5" fontId="5" fillId="0" borderId="7" xfId="0" applyNumberFormat="1" applyFont="1" applyFill="1" applyBorder="1"/>
    <xf numFmtId="5" fontId="8" fillId="0" borderId="0" xfId="1" quotePrefix="1" applyNumberFormat="1" applyFont="1" applyFill="1" applyBorder="1" applyAlignment="1">
      <alignment horizontal="right"/>
    </xf>
    <xf numFmtId="5" fontId="8" fillId="0" borderId="5" xfId="0" applyNumberFormat="1" applyFont="1" applyFill="1" applyBorder="1" applyAlignment="1">
      <alignment horizontal="right"/>
    </xf>
    <xf numFmtId="5" fontId="5" fillId="0" borderId="1" xfId="1" applyNumberFormat="1" applyFont="1" applyFill="1" applyBorder="1" applyAlignment="1">
      <alignment horizontal="right"/>
    </xf>
    <xf numFmtId="5" fontId="13" fillId="0" borderId="0" xfId="0" applyNumberFormat="1" applyFont="1" applyFill="1" applyBorder="1"/>
    <xf numFmtId="5" fontId="2" fillId="0" borderId="0" xfId="1" quotePrefix="1" applyNumberFormat="1" applyFont="1" applyFill="1" applyBorder="1" applyAlignment="1">
      <alignment horizontal="center"/>
    </xf>
    <xf numFmtId="5" fontId="2" fillId="0" borderId="0" xfId="1" applyNumberFormat="1" applyFont="1" applyFill="1" applyBorder="1" applyAlignment="1">
      <alignment horizontal="right"/>
    </xf>
    <xf numFmtId="5" fontId="13" fillId="0" borderId="0" xfId="0" applyNumberFormat="1" applyFont="1" applyFill="1" applyBorder="1" applyAlignment="1">
      <alignment horizontal="right"/>
    </xf>
    <xf numFmtId="5" fontId="3" fillId="0" borderId="0" xfId="1" applyNumberFormat="1" applyFont="1" applyFill="1" applyBorder="1" applyAlignment="1">
      <alignment horizontal="right"/>
    </xf>
    <xf numFmtId="5" fontId="5" fillId="0" borderId="1" xfId="1" quotePrefix="1" applyNumberFormat="1" applyFont="1" applyFill="1" applyBorder="1" applyAlignment="1">
      <alignment horizontal="right"/>
    </xf>
    <xf numFmtId="5" fontId="0" fillId="0" borderId="1" xfId="0" applyNumberFormat="1" applyBorder="1"/>
    <xf numFmtId="164" fontId="0" fillId="0" borderId="1" xfId="0" applyNumberFormat="1" applyBorder="1"/>
    <xf numFmtId="164" fontId="0" fillId="0" borderId="0" xfId="2" applyNumberFormat="1" applyFont="1"/>
    <xf numFmtId="0" fontId="20" fillId="0" borderId="0" xfId="0" applyFont="1" applyAlignment="1">
      <alignment horizontal="center"/>
    </xf>
    <xf numFmtId="5" fontId="5" fillId="0" borderId="7" xfId="1" applyNumberFormat="1" applyFont="1" applyFill="1" applyBorder="1" applyAlignment="1">
      <alignment horizontal="right"/>
    </xf>
    <xf numFmtId="5" fontId="5" fillId="0" borderId="0" xfId="0" applyNumberFormat="1" applyFont="1" applyFill="1" applyBorder="1"/>
    <xf numFmtId="5" fontId="14" fillId="4" borderId="14" xfId="0" applyNumberFormat="1" applyFont="1" applyFill="1" applyBorder="1"/>
    <xf numFmtId="5" fontId="0" fillId="4" borderId="15" xfId="0" applyNumberFormat="1" applyFill="1" applyBorder="1"/>
    <xf numFmtId="168" fontId="21" fillId="4" borderId="16" xfId="2" applyNumberFormat="1" applyFont="1" applyFill="1" applyBorder="1"/>
    <xf numFmtId="164" fontId="0" fillId="5" borderId="0" xfId="0" applyNumberFormat="1" applyFill="1"/>
    <xf numFmtId="166" fontId="0" fillId="0" borderId="0" xfId="0" applyNumberFormat="1" applyFill="1"/>
    <xf numFmtId="0" fontId="0" fillId="0" borderId="0" xfId="0" applyAlignment="1"/>
    <xf numFmtId="5" fontId="8" fillId="0" borderId="0" xfId="0" quotePrefix="1" applyNumberFormat="1" applyFont="1" applyFill="1" applyBorder="1"/>
    <xf numFmtId="0" fontId="4" fillId="0" borderId="11" xfId="0" applyFont="1" applyFill="1" applyBorder="1"/>
    <xf numFmtId="0" fontId="4" fillId="0" borderId="4" xfId="0" applyFont="1" applyFill="1" applyBorder="1"/>
    <xf numFmtId="0" fontId="22" fillId="0" borderId="4" xfId="0" applyFont="1" applyFill="1" applyBorder="1"/>
    <xf numFmtId="0" fontId="4" fillId="0" borderId="0" xfId="0" applyFont="1" applyBorder="1"/>
    <xf numFmtId="166" fontId="4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0" fontId="0" fillId="0" borderId="0" xfId="3" applyNumberFormat="1" applyFont="1"/>
    <xf numFmtId="0" fontId="18" fillId="0" borderId="0" xfId="0" applyFont="1"/>
    <xf numFmtId="0" fontId="4" fillId="0" borderId="4" xfId="0" applyFont="1" applyFill="1" applyBorder="1" applyAlignment="1">
      <alignment horizontal="right"/>
    </xf>
    <xf numFmtId="169" fontId="4" fillId="0" borderId="0" xfId="0" applyNumberFormat="1" applyFont="1" applyFill="1" applyBorder="1"/>
    <xf numFmtId="5" fontId="0" fillId="0" borderId="0" xfId="0" applyNumberFormat="1" applyAlignment="1"/>
    <xf numFmtId="5" fontId="8" fillId="0" borderId="0" xfId="0" applyNumberFormat="1" applyFont="1"/>
    <xf numFmtId="5" fontId="8" fillId="0" borderId="3" xfId="0" applyNumberFormat="1" applyFont="1" applyBorder="1"/>
    <xf numFmtId="5" fontId="8" fillId="0" borderId="0" xfId="0" applyNumberFormat="1" applyFont="1" applyBorder="1" applyAlignment="1">
      <alignment horizontal="center"/>
    </xf>
    <xf numFmtId="5" fontId="10" fillId="0" borderId="0" xfId="0" applyNumberFormat="1" applyFont="1" applyBorder="1" applyAlignment="1">
      <alignment horizontal="center"/>
    </xf>
    <xf numFmtId="5" fontId="5" fillId="0" borderId="1" xfId="0" applyNumberFormat="1" applyFont="1" applyBorder="1"/>
    <xf numFmtId="5" fontId="4" fillId="0" borderId="0" xfId="0" applyNumberFormat="1" applyFont="1" applyBorder="1"/>
    <xf numFmtId="5" fontId="8" fillId="0" borderId="9" xfId="0" applyNumberFormat="1" applyFont="1" applyFill="1" applyBorder="1"/>
    <xf numFmtId="5" fontId="8" fillId="0" borderId="0" xfId="0" applyNumberFormat="1" applyFont="1" applyFill="1"/>
    <xf numFmtId="5" fontId="8" fillId="0" borderId="3" xfId="0" applyNumberFormat="1" applyFont="1" applyFill="1" applyBorder="1"/>
    <xf numFmtId="5" fontId="8" fillId="0" borderId="0" xfId="0" applyNumberFormat="1" applyFont="1" applyFill="1" applyBorder="1" applyAlignment="1">
      <alignment horizontal="center"/>
    </xf>
    <xf numFmtId="5" fontId="10" fillId="0" borderId="0" xfId="0" applyNumberFormat="1" applyFont="1" applyFill="1" applyBorder="1" applyAlignment="1">
      <alignment horizontal="center"/>
    </xf>
    <xf numFmtId="5" fontId="5" fillId="0" borderId="0" xfId="1" applyNumberFormat="1" applyFont="1" applyFill="1" applyBorder="1" applyAlignment="1">
      <alignment horizontal="right"/>
    </xf>
    <xf numFmtId="5" fontId="4" fillId="0" borderId="3" xfId="0" applyNumberFormat="1" applyFont="1" applyFill="1" applyBorder="1"/>
    <xf numFmtId="5" fontId="4" fillId="0" borderId="9" xfId="0" applyNumberFormat="1" applyFont="1" applyFill="1" applyBorder="1"/>
    <xf numFmtId="5" fontId="4" fillId="0" borderId="3" xfId="0" applyNumberFormat="1" applyFont="1" applyBorder="1" applyAlignment="1">
      <alignment horizontal="center"/>
    </xf>
    <xf numFmtId="5" fontId="4" fillId="0" borderId="6" xfId="0" applyNumberFormat="1" applyFont="1" applyBorder="1" applyAlignment="1">
      <alignment horizontal="center"/>
    </xf>
    <xf numFmtId="5" fontId="4" fillId="0" borderId="0" xfId="0" applyNumberFormat="1" applyFont="1" applyBorder="1" applyAlignment="1">
      <alignment horizontal="center"/>
    </xf>
    <xf numFmtId="5" fontId="8" fillId="0" borderId="0" xfId="0" applyNumberFormat="1" applyFont="1" applyBorder="1"/>
    <xf numFmtId="5" fontId="4" fillId="0" borderId="5" xfId="0" applyNumberFormat="1" applyFont="1" applyBorder="1" applyAlignment="1">
      <alignment horizontal="center"/>
    </xf>
    <xf numFmtId="5" fontId="6" fillId="0" borderId="0" xfId="0" applyNumberFormat="1" applyFont="1" applyBorder="1" applyAlignment="1">
      <alignment horizontal="center"/>
    </xf>
    <xf numFmtId="5" fontId="6" fillId="0" borderId="5" xfId="0" applyNumberFormat="1" applyFont="1" applyBorder="1" applyAlignment="1">
      <alignment horizontal="center"/>
    </xf>
    <xf numFmtId="5" fontId="2" fillId="0" borderId="0" xfId="0" applyNumberFormat="1" applyFont="1" applyFill="1" applyBorder="1"/>
    <xf numFmtId="5" fontId="8" fillId="0" borderId="5" xfId="0" applyNumberFormat="1" applyFont="1" applyBorder="1"/>
    <xf numFmtId="5" fontId="2" fillId="0" borderId="0" xfId="0" quotePrefix="1" applyNumberFormat="1" applyFont="1" applyFill="1" applyBorder="1" applyAlignment="1">
      <alignment horizontal="left"/>
    </xf>
    <xf numFmtId="5" fontId="4" fillId="0" borderId="1" xfId="0" applyNumberFormat="1" applyFont="1" applyBorder="1"/>
    <xf numFmtId="5" fontId="4" fillId="0" borderId="7" xfId="0" applyNumberFormat="1" applyFont="1" applyBorder="1"/>
    <xf numFmtId="5" fontId="8" fillId="0" borderId="6" xfId="0" applyNumberFormat="1" applyFont="1" applyFill="1" applyBorder="1"/>
    <xf numFmtId="5" fontId="8" fillId="0" borderId="8" xfId="0" applyNumberFormat="1" applyFont="1" applyFill="1" applyBorder="1"/>
    <xf numFmtId="5" fontId="4" fillId="0" borderId="3" xfId="0" applyNumberFormat="1" applyFont="1" applyFill="1" applyBorder="1" applyAlignment="1">
      <alignment horizontal="center"/>
    </xf>
    <xf numFmtId="5" fontId="4" fillId="0" borderId="6" xfId="0" applyNumberFormat="1" applyFont="1" applyFill="1" applyBorder="1" applyAlignment="1">
      <alignment horizontal="center"/>
    </xf>
    <xf numFmtId="5" fontId="4" fillId="0" borderId="0" xfId="0" applyNumberFormat="1" applyFont="1" applyFill="1" applyBorder="1" applyAlignment="1">
      <alignment horizontal="center"/>
    </xf>
    <xf numFmtId="5" fontId="4" fillId="0" borderId="5" xfId="0" applyNumberFormat="1" applyFont="1" applyFill="1" applyBorder="1" applyAlignment="1">
      <alignment horizontal="center"/>
    </xf>
    <xf numFmtId="5" fontId="6" fillId="0" borderId="0" xfId="0" applyNumberFormat="1" applyFont="1" applyFill="1" applyBorder="1" applyAlignment="1">
      <alignment horizontal="center"/>
    </xf>
    <xf numFmtId="5" fontId="6" fillId="0" borderId="5" xfId="0" applyNumberFormat="1" applyFont="1" applyFill="1" applyBorder="1" applyAlignment="1">
      <alignment horizontal="center"/>
    </xf>
    <xf numFmtId="5" fontId="5" fillId="0" borderId="5" xfId="0" applyNumberFormat="1" applyFont="1" applyFill="1" applyBorder="1"/>
    <xf numFmtId="169" fontId="8" fillId="0" borderId="0" xfId="3" applyNumberFormat="1" applyFont="1" applyFill="1" applyBorder="1" applyProtection="1">
      <protection locked="0"/>
    </xf>
    <xf numFmtId="169" fontId="8" fillId="0" borderId="5" xfId="3" applyNumberFormat="1" applyFont="1" applyFill="1" applyBorder="1" applyProtection="1">
      <protection locked="0"/>
    </xf>
    <xf numFmtId="0" fontId="4" fillId="0" borderId="4" xfId="0" quotePrefix="1" applyFont="1" applyFill="1" applyBorder="1"/>
    <xf numFmtId="0" fontId="1" fillId="0" borderId="0" xfId="0" applyFont="1"/>
    <xf numFmtId="0" fontId="4" fillId="0" borderId="0" xfId="0" applyFont="1"/>
    <xf numFmtId="5" fontId="8" fillId="0" borderId="1" xfId="0" applyNumberFormat="1" applyFont="1" applyBorder="1"/>
    <xf numFmtId="0" fontId="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3" fontId="24" fillId="0" borderId="0" xfId="0" quotePrefix="1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5" fillId="0" borderId="0" xfId="0" applyFont="1" applyFill="1" applyBorder="1"/>
    <xf numFmtId="0" fontId="26" fillId="0" borderId="0" xfId="0" applyFont="1" applyFill="1"/>
    <xf numFmtId="170" fontId="5" fillId="0" borderId="0" xfId="0" applyNumberFormat="1" applyFont="1" applyFill="1" applyBorder="1"/>
    <xf numFmtId="0" fontId="14" fillId="0" borderId="0" xfId="0" applyFont="1" applyFill="1"/>
    <xf numFmtId="168" fontId="15" fillId="0" borderId="0" xfId="2" applyNumberFormat="1" applyFont="1" applyFill="1" applyBorder="1"/>
    <xf numFmtId="168" fontId="16" fillId="0" borderId="0" xfId="2" applyNumberFormat="1" applyFont="1"/>
    <xf numFmtId="168" fontId="16" fillId="0" borderId="0" xfId="2" applyNumberFormat="1" applyFont="1" applyFill="1"/>
    <xf numFmtId="168" fontId="4" fillId="6" borderId="0" xfId="2" applyNumberFormat="1" applyFont="1" applyFill="1" applyBorder="1"/>
    <xf numFmtId="168" fontId="16" fillId="6" borderId="0" xfId="2" applyNumberFormat="1" applyFont="1" applyFill="1"/>
    <xf numFmtId="5" fontId="24" fillId="0" borderId="0" xfId="0" quotePrefix="1" applyNumberFormat="1" applyFont="1" applyAlignment="1">
      <alignment horizontal="center" vertical="center"/>
    </xf>
    <xf numFmtId="5" fontId="24" fillId="0" borderId="0" xfId="0" quotePrefix="1" applyNumberFormat="1" applyFont="1" applyFill="1" applyAlignment="1">
      <alignment horizontal="center" vertical="center"/>
    </xf>
    <xf numFmtId="41" fontId="5" fillId="0" borderId="1" xfId="0" applyNumberFormat="1" applyFont="1" applyFill="1" applyBorder="1"/>
    <xf numFmtId="5" fontId="4" fillId="0" borderId="0" xfId="0" quotePrefix="1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71" fontId="16" fillId="7" borderId="0" xfId="1" applyNumberFormat="1" applyFont="1" applyFill="1"/>
    <xf numFmtId="44" fontId="4" fillId="0" borderId="0" xfId="0" quotePrefix="1" applyNumberFormat="1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0" fillId="0" borderId="0" xfId="0" applyFill="1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I%20(Class%20Allocation)/II-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heet"/>
      <sheetName val="WP II-I-1.1"/>
      <sheetName val=" WP II-I-1.4"/>
      <sheetName val="II-I-DIST"/>
      <sheetName val="II-I-MET"/>
      <sheetName val="II-I-TBILLTDCS"/>
      <sheetName val="II-I-Total"/>
      <sheetName val="II-I-2.1f"/>
      <sheetName val="WP II-I-2.1"/>
      <sheetName val="II-I Summary"/>
      <sheetName val="WP II-I-1.6"/>
      <sheetName val="WP II-I-1.9 "/>
      <sheetName val="WP II-I-1.2"/>
      <sheetName val="WP II-I-1.7"/>
      <sheetName val="II-I-1"/>
      <sheetName val="WP II-I-2.2"/>
      <sheetName val="II-I-3.1"/>
    </sheetNames>
    <sheetDataSet>
      <sheetData sheetId="0">
        <row r="10">
          <cell r="N10">
            <v>144408.8608343357</v>
          </cell>
        </row>
        <row r="12">
          <cell r="N12">
            <v>4692561.9931837013</v>
          </cell>
        </row>
      </sheetData>
      <sheetData sheetId="1"/>
      <sheetData sheetId="2"/>
      <sheetData sheetId="3">
        <row r="22">
          <cell r="Q22">
            <v>31826537.364641424</v>
          </cell>
        </row>
        <row r="31">
          <cell r="Q31">
            <v>409541.83410346473</v>
          </cell>
        </row>
        <row r="35">
          <cell r="Q35"/>
        </row>
        <row r="136">
          <cell r="Q136">
            <v>907303.86789784185</v>
          </cell>
        </row>
        <row r="137">
          <cell r="Q137">
            <v>9052740.467098657</v>
          </cell>
        </row>
        <row r="138">
          <cell r="Q138">
            <v>7249529.0592135871</v>
          </cell>
        </row>
        <row r="139">
          <cell r="Q139">
            <v>0</v>
          </cell>
        </row>
        <row r="140">
          <cell r="Q140">
            <v>4915513.2195768999</v>
          </cell>
        </row>
        <row r="141">
          <cell r="Q141">
            <v>0</v>
          </cell>
        </row>
        <row r="142">
          <cell r="Q142">
            <v>9113070.6991311852</v>
          </cell>
        </row>
        <row r="143">
          <cell r="Q143">
            <v>1886572.1195404814</v>
          </cell>
        </row>
        <row r="144">
          <cell r="Q144">
            <v>5842458.7379866848</v>
          </cell>
        </row>
        <row r="145">
          <cell r="Q145">
            <v>948147.89050613064</v>
          </cell>
        </row>
        <row r="146">
          <cell r="Q146">
            <v>3310452.6425851071</v>
          </cell>
        </row>
        <row r="147">
          <cell r="Q147">
            <v>1910017.292801782</v>
          </cell>
        </row>
        <row r="148">
          <cell r="Q148">
            <v>7773119.2828602605</v>
          </cell>
        </row>
        <row r="149">
          <cell r="Q149">
            <v>2197140.7744653351</v>
          </cell>
        </row>
        <row r="150">
          <cell r="Q150">
            <v>670031.31291349209</v>
          </cell>
        </row>
        <row r="151">
          <cell r="Q151">
            <v>9530228.9189240765</v>
          </cell>
        </row>
        <row r="152">
          <cell r="Q152">
            <v>426900.32311880781</v>
          </cell>
        </row>
        <row r="153">
          <cell r="Q153">
            <v>1186761.6842846575</v>
          </cell>
        </row>
        <row r="154">
          <cell r="Q154">
            <v>0</v>
          </cell>
        </row>
        <row r="155">
          <cell r="Q155">
            <v>56332960.560000002</v>
          </cell>
        </row>
        <row r="156">
          <cell r="Q156">
            <v>0</v>
          </cell>
        </row>
        <row r="157">
          <cell r="Q157">
            <v>543768085.23000002</v>
          </cell>
        </row>
        <row r="158">
          <cell r="Q158">
            <v>3039392.759477051</v>
          </cell>
        </row>
        <row r="290">
          <cell r="Q290">
            <v>327540.89846314571</v>
          </cell>
        </row>
        <row r="291">
          <cell r="Q291">
            <v>1723517.6064836406</v>
          </cell>
        </row>
        <row r="292">
          <cell r="Q292">
            <v>1482633.0538243349</v>
          </cell>
        </row>
        <row r="293">
          <cell r="Q293">
            <v>0</v>
          </cell>
        </row>
        <row r="294">
          <cell r="Q294">
            <v>1354120.639507385</v>
          </cell>
        </row>
        <row r="295">
          <cell r="Q295">
            <v>0</v>
          </cell>
        </row>
        <row r="296">
          <cell r="Q296">
            <v>3110333.4123807424</v>
          </cell>
        </row>
        <row r="297">
          <cell r="Q297">
            <v>643895.83840627316</v>
          </cell>
        </row>
        <row r="298">
          <cell r="Q298">
            <v>1844739.4794904608</v>
          </cell>
        </row>
        <row r="299">
          <cell r="Q299">
            <v>299374.95914861927</v>
          </cell>
        </row>
        <row r="300">
          <cell r="Q300">
            <v>1112515.5409484515</v>
          </cell>
        </row>
        <row r="301">
          <cell r="Q301">
            <v>641883.19578646333</v>
          </cell>
        </row>
        <row r="302">
          <cell r="Q302">
            <v>1691300.9405187448</v>
          </cell>
        </row>
        <row r="303">
          <cell r="Q303">
            <v>478061.13904609042</v>
          </cell>
        </row>
        <row r="304">
          <cell r="Q304">
            <v>161100.97408554587</v>
          </cell>
        </row>
        <row r="305">
          <cell r="Q305">
            <v>2291428.9713130682</v>
          </cell>
        </row>
        <row r="306">
          <cell r="Q306">
            <v>102643.05050584054</v>
          </cell>
        </row>
        <row r="307">
          <cell r="Q307">
            <v>745248.85771968239</v>
          </cell>
        </row>
        <row r="308">
          <cell r="Q308">
            <v>0</v>
          </cell>
        </row>
        <row r="309">
          <cell r="Q309">
            <v>74784255.819999993</v>
          </cell>
        </row>
        <row r="310">
          <cell r="Q310">
            <v>0</v>
          </cell>
        </row>
        <row r="311">
          <cell r="Q311">
            <v>379251735.44</v>
          </cell>
        </row>
        <row r="323">
          <cell r="Q323">
            <v>80025.030095270253</v>
          </cell>
        </row>
        <row r="324">
          <cell r="Q324">
            <v>979875.5022046864</v>
          </cell>
        </row>
        <row r="364">
          <cell r="Q364">
            <v>7574259.5251403842</v>
          </cell>
        </row>
        <row r="388">
          <cell r="Q388">
            <v>19639.929225548898</v>
          </cell>
        </row>
        <row r="411">
          <cell r="Q411">
            <v>-47510957.488365166</v>
          </cell>
        </row>
        <row r="435">
          <cell r="Q435">
            <v>5232255.6504572965</v>
          </cell>
        </row>
        <row r="455">
          <cell r="Q455">
            <v>-122717.09996872046</v>
          </cell>
        </row>
        <row r="476">
          <cell r="Q476">
            <v>409815.29132156703</v>
          </cell>
        </row>
        <row r="499">
          <cell r="Q499">
            <v>-5027.677052643463</v>
          </cell>
        </row>
        <row r="575">
          <cell r="Q575">
            <v>36973680.091471419</v>
          </cell>
        </row>
        <row r="612">
          <cell r="Q612">
            <v>-16219471.505928926</v>
          </cell>
        </row>
        <row r="620">
          <cell r="Q620">
            <v>7.4700000000000003E-2</v>
          </cell>
        </row>
        <row r="661">
          <cell r="Q661">
            <v>3335.4755506659326</v>
          </cell>
        </row>
        <row r="680">
          <cell r="Q680">
            <v>33954.674334086354</v>
          </cell>
        </row>
        <row r="681">
          <cell r="Q681">
            <v>37957.419914192047</v>
          </cell>
        </row>
        <row r="682">
          <cell r="Q682">
            <v>14939.043708096693</v>
          </cell>
        </row>
        <row r="683">
          <cell r="Q683">
            <v>68616.839214536099</v>
          </cell>
        </row>
        <row r="684">
          <cell r="Q684">
            <v>30445.292543655134</v>
          </cell>
        </row>
        <row r="685">
          <cell r="Q685">
            <v>157.6</v>
          </cell>
        </row>
        <row r="686">
          <cell r="Q686">
            <v>0</v>
          </cell>
        </row>
        <row r="687">
          <cell r="Q687">
            <v>1415.3755533209876</v>
          </cell>
        </row>
        <row r="688">
          <cell r="Q688">
            <v>334617.35508891975</v>
          </cell>
        </row>
        <row r="689">
          <cell r="Q689">
            <v>616.68775441123432</v>
          </cell>
        </row>
        <row r="696">
          <cell r="Q696">
            <v>161927.53644089116</v>
          </cell>
        </row>
        <row r="697">
          <cell r="Q697">
            <v>207.09089596307479</v>
          </cell>
        </row>
        <row r="698">
          <cell r="Q698">
            <v>27895.161336000325</v>
          </cell>
        </row>
        <row r="699">
          <cell r="Q699">
            <v>388409.39050696767</v>
          </cell>
        </row>
        <row r="700">
          <cell r="Q700">
            <v>100566.00741393073</v>
          </cell>
        </row>
        <row r="701">
          <cell r="Q701">
            <v>12859.057446080618</v>
          </cell>
        </row>
        <row r="702">
          <cell r="Q702">
            <v>10452984.359999968</v>
          </cell>
        </row>
        <row r="703">
          <cell r="Q703">
            <v>0</v>
          </cell>
        </row>
        <row r="704">
          <cell r="Q704">
            <v>141882.25125963727</v>
          </cell>
        </row>
        <row r="729">
          <cell r="Q729">
            <v>57.416615195700857</v>
          </cell>
        </row>
        <row r="734">
          <cell r="Q734">
            <v>0</v>
          </cell>
        </row>
        <row r="735">
          <cell r="Q735">
            <v>0</v>
          </cell>
        </row>
        <row r="736">
          <cell r="Q736">
            <v>2921.8058399588122</v>
          </cell>
        </row>
        <row r="737">
          <cell r="Q737">
            <v>0</v>
          </cell>
        </row>
        <row r="738">
          <cell r="Q738">
            <v>14.470457164847815</v>
          </cell>
        </row>
        <row r="744">
          <cell r="Q744">
            <v>0</v>
          </cell>
        </row>
        <row r="745">
          <cell r="Q745">
            <v>0</v>
          </cell>
        </row>
        <row r="746">
          <cell r="Q746">
            <v>0</v>
          </cell>
        </row>
        <row r="747">
          <cell r="Q747">
            <v>0</v>
          </cell>
        </row>
        <row r="769">
          <cell r="Q769">
            <v>2178723.9885759</v>
          </cell>
        </row>
        <row r="770">
          <cell r="Q770">
            <v>228922.69371349149</v>
          </cell>
        </row>
        <row r="771">
          <cell r="Q771">
            <v>0</v>
          </cell>
        </row>
        <row r="772">
          <cell r="Q772">
            <v>2853052.9417901612</v>
          </cell>
        </row>
        <row r="773">
          <cell r="Q773">
            <v>19260638.998913523</v>
          </cell>
        </row>
        <row r="774">
          <cell r="Q774">
            <v>1935706.7906699688</v>
          </cell>
        </row>
        <row r="775">
          <cell r="Q775">
            <v>564751.34278854483</v>
          </cell>
        </row>
        <row r="776">
          <cell r="Q776">
            <v>25704.188140982696</v>
          </cell>
        </row>
        <row r="777">
          <cell r="Q777">
            <v>2033.4616765258597</v>
          </cell>
        </row>
        <row r="778">
          <cell r="Q778">
            <v>389460.67086888826</v>
          </cell>
        </row>
        <row r="779">
          <cell r="Q779">
            <v>36445.157199006717</v>
          </cell>
        </row>
        <row r="780">
          <cell r="Q780">
            <v>1161.271628132406</v>
          </cell>
        </row>
        <row r="781">
          <cell r="Q781">
            <v>24197.049193865689</v>
          </cell>
        </row>
        <row r="1091">
          <cell r="Q1091">
            <v>172969.5518673296</v>
          </cell>
        </row>
        <row r="1094">
          <cell r="Q1094">
            <v>4634073.4582506437</v>
          </cell>
        </row>
        <row r="1098">
          <cell r="Q1098">
            <v>409595.37491653924</v>
          </cell>
        </row>
        <row r="1099">
          <cell r="Q1099">
            <v>962571.6867293173</v>
          </cell>
        </row>
        <row r="1162">
          <cell r="Q1162">
            <v>1923365.5054662486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4">
          <cell r="N44" t="str">
            <v>A928 RCE portion not in rate design</v>
          </cell>
        </row>
        <row r="45">
          <cell r="P45">
            <v>0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S192"/>
  <x:sheetViews>
    <x:sheetView tabSelected="1" zoomScaleNormal="100" workbookViewId="0"/>
  </x:sheetViews>
  <x:sheetFormatPr defaultRowHeight="13.5" x14ac:dyDescent="0.3"/>
  <x:cols>
    <x:col min="1" max="1" width="13.3828125" bestFit="1" customWidth="1"/>
    <x:col min="2" max="2" width="6.23046875" style="169" customWidth="1"/>
    <x:col min="3" max="3" width="5.61328125" style="5" customWidth="1"/>
    <x:col min="4" max="4" width="29.15234375" style="5" customWidth="1"/>
    <x:col min="5" max="5" width="2.15234375" style="50" customWidth="1"/>
    <x:col min="6" max="6" width="17.84375" style="130" bestFit="1" customWidth="1"/>
    <x:col min="7" max="7" width="1.61328125" style="5" customWidth="1"/>
    <x:col min="8" max="12" width="11.69140625" style="130" customWidth="1"/>
    <x:col min="13" max="13" width="0.84375" style="5" customWidth="1"/>
    <x:col min="14" max="14" width="17" bestFit="1" customWidth="1"/>
    <x:col min="16" max="16" width="15.61328125" style="46" bestFit="1" customWidth="1"/>
    <x:col min="17" max="17" width="27.4609375" customWidth="1"/>
    <x:col min="18" max="18" width="10" bestFit="1" customWidth="1"/>
    <x:col min="19" max="19" width="7.3828125" customWidth="1"/>
  </x:cols>
  <x:sheetData>
    <x:row r="2" spans="1:17" ht="13.5" customHeight="1" x14ac:dyDescent="0.3">
      <x:c r="C2" s="192" t="s">
        <x:v>212</x:v>
      </x:c>
      <x:c r="D2" s="192"/>
      <x:c r="E2" s="192"/>
      <x:c r="F2" s="192"/>
      <x:c r="G2" s="192"/>
      <x:c r="H2" s="192"/>
      <x:c r="I2" s="192"/>
      <x:c r="J2" s="192"/>
      <x:c r="K2" s="192"/>
      <x:c r="L2" s="192"/>
      <x:c r="M2" s="83"/>
      <x:c r="N2" s="83"/>
      <x:c r="O2" s="83"/>
      <x:c r="P2" s="83"/>
      <x:c r="Q2" s="83"/>
    </x:row>
    <x:row r="3" spans="1:17" ht="13.5" customHeight="1" x14ac:dyDescent="0.3">
      <x:c r="C3" s="193" t="s">
        <x:v>168</x:v>
      </x:c>
      <x:c r="D3" s="193"/>
      <x:c r="E3" s="193"/>
      <x:c r="F3" s="193"/>
      <x:c r="G3" s="193"/>
      <x:c r="H3" s="193"/>
      <x:c r="I3" s="193"/>
      <x:c r="J3" s="193"/>
      <x:c r="K3" s="193"/>
      <x:c r="L3" s="193"/>
      <x:c r="M3" s="83"/>
      <x:c r="N3" s="83"/>
      <x:c r="O3" s="83"/>
      <x:c r="P3" s="83"/>
      <x:c r="Q3" s="83"/>
    </x:row>
    <x:row r="4" spans="1:17" x14ac:dyDescent="0.3">
      <x:c r="A4" s="44" t="s">
        <x:v>157</x:v>
      </x:c>
      <x:c r="C4" s="193" t="s">
        <x:v>169</x:v>
      </x:c>
      <x:c r="D4" s="194"/>
      <x:c r="E4" s="194"/>
      <x:c r="F4" s="194"/>
      <x:c r="G4" s="194"/>
      <x:c r="H4" s="194"/>
      <x:c r="I4" s="194"/>
      <x:c r="J4" s="194"/>
      <x:c r="K4" s="194"/>
      <x:c r="L4" s="194"/>
    </x:row>
    <x:row r="5" spans="1:17" x14ac:dyDescent="0.3">
      <x:c r="A5" s="44"/>
      <x:c r="C5" s="192" t="s">
        <x:v>213</x:v>
      </x:c>
      <x:c r="D5" s="195"/>
      <x:c r="E5" s="195"/>
      <x:c r="F5" s="195"/>
      <x:c r="G5" s="195"/>
      <x:c r="H5" s="195"/>
      <x:c r="I5" s="195"/>
      <x:c r="J5" s="195"/>
      <x:c r="K5" s="195"/>
      <x:c r="L5" s="195"/>
    </x:row>
    <x:row r="6" spans="1:17" ht="9" customHeight="1" x14ac:dyDescent="0.3">
      <x:c r="A6" s="44"/>
      <x:c r="C6" s="83"/>
      <x:c r="D6" s="116"/>
      <x:c r="E6" s="116"/>
      <x:c r="F6" s="129"/>
      <x:c r="G6" s="116"/>
      <x:c r="H6" s="129"/>
      <x:c r="I6" s="129"/>
      <x:c r="J6" s="129"/>
      <x:c r="K6" s="129"/>
      <x:c r="L6" s="129"/>
    </x:row>
    <x:row r="7" spans="1:17" x14ac:dyDescent="0.3">
      <x:c r="A7" s="45" t="s">
        <x:v>158</x:v>
      </x:c>
      <x:c r="C7" s="193" t="s">
        <x:v>191</x:v>
      </x:c>
      <x:c r="D7" s="194"/>
      <x:c r="E7" s="194"/>
      <x:c r="F7" s="194"/>
      <x:c r="G7" s="194"/>
      <x:c r="H7" s="194"/>
      <x:c r="I7" s="194"/>
      <x:c r="J7" s="194"/>
      <x:c r="K7" s="194"/>
      <x:c r="L7" s="194"/>
    </x:row>
    <x:row r="8" spans="1:17" s="169" customFormat="1" ht="32.15" customHeight="1" x14ac:dyDescent="0.2">
      <x:c r="B8" s="172" t="s">
        <x:v>202</x:v>
      </x:c>
      <x:c r="C8" s="173" t="s">
        <x:v>203</x:v>
      </x:c>
      <x:c r="D8" s="173" t="s">
        <x:v>204</x:v>
      </x:c>
      <x:c r="E8" s="174"/>
      <x:c r="F8" s="186" t="s">
        <x:v>205</x:v>
      </x:c>
      <x:c r="G8" s="175"/>
      <x:c r="H8" s="173" t="s">
        <x:v>206</x:v>
      </x:c>
      <x:c r="I8" s="185" t="s">
        <x:v>207</x:v>
      </x:c>
      <x:c r="J8" s="173" t="s">
        <x:v>208</x:v>
      </x:c>
      <x:c r="K8" s="173" t="s">
        <x:v>209</x:v>
      </x:c>
      <x:c r="L8" s="173" t="s">
        <x:v>210</x:v>
      </x:c>
    </x:row>
    <x:row r="9" spans="1:17" ht="14" thickBot="1" x14ac:dyDescent="0.35">
      <x:c r="C9" s="176" t="s">
        <x:v>144</x:v>
      </x:c>
      <x:c r="D9" s="7"/>
    </x:row>
    <x:row r="10" spans="1:17" x14ac:dyDescent="0.3">
      <x:c r="C10" s="18"/>
      <x:c r="D10" s="19"/>
      <x:c r="E10" s="51"/>
      <x:c r="F10" s="131"/>
      <x:c r="G10" s="19"/>
      <x:c r="H10" s="131"/>
      <x:c r="I10" s="131"/>
      <x:c r="J10" s="131"/>
      <x:c r="K10" s="144" t="s">
        <x:v>53</x:v>
      </x:c>
      <x:c r="L10" s="145"/>
    </x:row>
    <x:row r="11" spans="1:17" x14ac:dyDescent="0.3">
      <x:c r="B11" s="171">
        <x:v>1</x:v>
      </x:c>
      <x:c r="C11" s="20"/>
      <x:c r="D11" s="21"/>
      <x:c r="E11" s="7"/>
      <x:c r="F11" s="132" t="s">
        <x:v>42</x:v>
      </x:c>
      <x:c r="G11" s="22"/>
      <x:c r="H11" s="146" t="s">
        <x:v>53</x:v>
      </x:c>
      <x:c r="I11" s="146" t="s">
        <x:v>53</x:v>
      </x:c>
      <x:c r="J11" s="147"/>
      <x:c r="K11" s="146" t="s">
        <x:v>45</x:v>
      </x:c>
      <x:c r="L11" s="148" t="s">
        <x:v>53</x:v>
      </x:c>
    </x:row>
    <x:row r="12" spans="1:17" x14ac:dyDescent="0.3">
      <x:c r="B12" s="171">
        <x:f t="shared" ref="B12:B14" si="0">1+B11</x:f>
        <x:v>2</x:v>
      </x:c>
      <x:c r="C12" s="20"/>
      <x:c r="D12" s="21"/>
      <x:c r="E12" s="7"/>
      <x:c r="F12" s="132" t="s">
        <x:v>43</x:v>
      </x:c>
      <x:c r="G12" s="22"/>
      <x:c r="H12" s="146" t="s">
        <x:v>45</x:v>
      </x:c>
      <x:c r="I12" s="146" t="s">
        <x:v>45</x:v>
      </x:c>
      <x:c r="J12" s="146" t="s">
        <x:v>54</x:v>
      </x:c>
      <x:c r="K12" s="146" t="s">
        <x:v>49</x:v>
      </x:c>
      <x:c r="L12" s="148" t="s">
        <x:v>45</x:v>
      </x:c>
    </x:row>
    <x:row r="13" spans="1:17" x14ac:dyDescent="0.3">
      <x:c r="B13" s="171">
        <x:f t="shared" si="0"/>
        <x:v>3</x:v>
      </x:c>
      <x:c r="C13" s="20"/>
      <x:c r="D13" s="21"/>
      <x:c r="E13" s="7"/>
      <x:c r="F13" s="133" t="s">
        <x:v>44</x:v>
      </x:c>
      <x:c r="G13" s="23"/>
      <x:c r="H13" s="149" t="s">
        <x:v>47</x:v>
      </x:c>
      <x:c r="I13" s="149" t="s">
        <x:v>46</x:v>
      </x:c>
      <x:c r="J13" s="133" t="s">
        <x:v>48</x:v>
      </x:c>
      <x:c r="K13" s="149" t="s">
        <x:v>50</x:v>
      </x:c>
      <x:c r="L13" s="150" t="s">
        <x:v>137</x:v>
      </x:c>
      <x:c r="P13"/>
    </x:row>
    <x:row r="14" spans="1:17" ht="16.5" customHeight="1" x14ac:dyDescent="0.3">
      <x:c r="B14" s="171">
        <x:f t="shared" si="0"/>
        <x:v>4</x:v>
      </x:c>
      <x:c r="C14" s="25" t="s">
        <x:v>5</x:v>
      </x:c>
      <x:c r="D14" s="21" t="s">
        <x:v>2</x:v>
      </x:c>
      <x:c r="E14" s="7"/>
      <x:c r="F14" s="135">
        <x:f>'[1]II-I-DIST'!$Q136-'[1]II-I-DIST'!$Q290</x:f>
        <x:v>579762.96943469613</x:v>
      </x:c>
      <x:c r="G14" s="2"/>
      <x:c r="H14" s="151"/>
      <x:c r="I14" s="135">
        <x:f>+F14</x:f>
        <x:v>579762.96943469613</x:v>
      </x:c>
      <x:c r="J14" s="147"/>
      <x:c r="L14" s="152"/>
      <x:c r="N14" s="43">
        <x:f>+F14</x:f>
        <x:v>579762.96943469613</x:v>
      </x:c>
      <x:c r="O14" t="s">
        <x:v>5</x:v>
      </x:c>
      <x:c r="P14" s="180"/>
      <x:c r="Q14" s="47"/>
    </x:row>
    <x:row r="15" spans="1:17" ht="14" x14ac:dyDescent="0.3">
      <x:c r="B15" s="171">
        <x:f t="shared" ref="B15:B71" si="1">1+B14</x:f>
        <x:v>5</x:v>
      </x:c>
      <x:c r="C15" s="25" t="s">
        <x:v>6</x:v>
      </x:c>
      <x:c r="D15" s="21" t="s">
        <x:v>3</x:v>
      </x:c>
      <x:c r="E15" s="7"/>
      <x:c r="F15" s="135">
        <x:f>'[1]II-I-DIST'!$Q137-'[1]II-I-DIST'!$Q291</x:f>
        <x:v>7329222.8606150169</x:v>
      </x:c>
      <x:c r="G15" s="2"/>
      <x:c r="H15" s="153"/>
      <x:c r="I15" s="135">
        <x:f t="shared" ref="I15:I36" si="2">+F15</x:f>
        <x:v>7329222.8606150169</x:v>
      </x:c>
      <x:c r="J15" s="147"/>
      <x:c r="L15" s="152"/>
      <x:c r="N15" s="43">
        <x:f t="shared" ref="N15:N41" si="3">+F15</x:f>
        <x:v>7329222.8606150169</x:v>
      </x:c>
      <x:c r="O15" t="s">
        <x:v>6</x:v>
      </x:c>
      <x:c r="P15" s="180"/>
      <x:c r="Q15" s="47"/>
    </x:row>
    <x:row r="16" spans="1:17" ht="14" x14ac:dyDescent="0.3">
      <x:c r="B16" s="171">
        <x:f t="shared" si="1"/>
        <x:v>6</x:v>
      </x:c>
      <x:c r="C16" s="25" t="s">
        <x:v>7</x:v>
      </x:c>
      <x:c r="D16" s="21" t="s">
        <x:v>4</x:v>
      </x:c>
      <x:c r="E16" s="7"/>
      <x:c r="F16" s="135">
        <x:f>'[1]II-I-DIST'!$Q138-'[1]II-I-DIST'!$Q292</x:f>
        <x:v>5766896.0053892527</x:v>
      </x:c>
      <x:c r="G16" s="2"/>
      <x:c r="H16" s="151"/>
      <x:c r="I16" s="135">
        <x:f t="shared" si="2"/>
        <x:v>5766896.0053892527</x:v>
      </x:c>
      <x:c r="J16" s="147"/>
      <x:c r="L16" s="152"/>
      <x:c r="N16" s="43">
        <x:f t="shared" si="3"/>
        <x:v>5766896.0053892527</x:v>
      </x:c>
      <x:c r="O16" t="s">
        <x:v>7</x:v>
      </x:c>
      <x:c r="P16" s="180"/>
      <x:c r="Q16" s="47"/>
    </x:row>
    <x:row r="17" spans="2:17" ht="14" x14ac:dyDescent="0.3">
      <x:c r="B17" s="171">
        <x:f t="shared" si="1"/>
        <x:v>7</x:v>
      </x:c>
      <x:c r="C17" s="119" t="s">
        <x:v>214</x:v>
      </x:c>
      <x:c r="D17" s="121" t="s">
        <x:v>217</x:v>
      </x:c>
      <x:c r="E17" s="7"/>
      <x:c r="F17" s="135">
        <x:f>'[1]II-I-DIST'!$Q139-'[1]II-I-DIST'!$Q293</x:f>
        <x:v>0</x:v>
      </x:c>
      <x:c r="G17" s="2"/>
      <x:c r="H17" s="151"/>
      <x:c r="I17" s="135">
        <x:f t="shared" si="2"/>
        <x:v>0</x:v>
      </x:c>
      <x:c r="J17" s="147"/>
      <x:c r="L17" s="152"/>
      <x:c r="N17" s="43">
        <x:f t="shared" si="3"/>
        <x:v>0</x:v>
      </x:c>
      <x:c r="O17" t="s">
        <x:v>214</x:v>
      </x:c>
      <x:c r="P17" s="180"/>
      <x:c r="Q17" s="47"/>
    </x:row>
    <x:row r="18" spans="2:17" ht="14" x14ac:dyDescent="0.3">
      <x:c r="B18" s="189"/>
      <x:c r="C18" s="119" t="s">
        <x:v>215</x:v>
      </x:c>
      <x:c r="D18" s="121" t="s">
        <x:v>218</x:v>
      </x:c>
      <x:c r="E18" s="7"/>
      <x:c r="F18" s="135">
        <x:f>'[1]II-I-DIST'!$Q140-'[1]II-I-DIST'!$Q294</x:f>
        <x:v>3561392.5800695149</x:v>
      </x:c>
      <x:c r="G18" s="2"/>
      <x:c r="H18" s="151"/>
      <x:c r="I18" s="135">
        <x:f t="shared" si="2"/>
        <x:v>3561392.5800695149</x:v>
      </x:c>
      <x:c r="J18" s="147"/>
      <x:c r="L18" s="152"/>
      <x:c r="N18" s="43">
        <x:f t="shared" si="3"/>
        <x:v>3561392.5800695149</x:v>
      </x:c>
      <x:c r="O18" t="s">
        <x:v>215</x:v>
      </x:c>
      <x:c r="P18" s="180"/>
      <x:c r="Q18" s="47"/>
    </x:row>
    <x:row r="19" spans="2:17" ht="14" x14ac:dyDescent="0.3">
      <x:c r="B19" s="189"/>
      <x:c r="C19" s="119" t="s">
        <x:v>216</x:v>
      </x:c>
      <x:c r="D19" s="121" t="s">
        <x:v>219</x:v>
      </x:c>
      <x:c r="E19" s="7"/>
      <x:c r="F19" s="135">
        <x:f>'[1]II-I-DIST'!$Q141-'[1]II-I-DIST'!$Q295</x:f>
        <x:v>0</x:v>
      </x:c>
      <x:c r="G19" s="2"/>
      <x:c r="H19" s="151"/>
      <x:c r="I19" s="135">
        <x:f t="shared" si="2"/>
        <x:v>0</x:v>
      </x:c>
      <x:c r="J19" s="147"/>
      <x:c r="L19" s="152"/>
      <x:c r="N19" s="43">
        <x:f t="shared" si="3"/>
        <x:v>0</x:v>
      </x:c>
      <x:c r="O19" t="s">
        <x:v>216</x:v>
      </x:c>
      <x:c r="P19" s="180"/>
      <x:c r="Q19" s="47"/>
    </x:row>
    <x:row r="20" spans="2:17" ht="14" x14ac:dyDescent="0.3">
      <x:c r="B20" s="171">
        <x:f>1+B17</x:f>
        <x:v>8</x:v>
      </x:c>
      <x:c r="C20" s="25"/>
      <x:c r="D20" s="121" t="s">
        <x:v>180</x:v>
      </x:c>
      <x:c r="E20" s="7"/>
      <x:c r="F20" s="135"/>
      <x:c r="G20" s="2"/>
      <x:c r="H20" s="153"/>
      <x:c r="I20" s="135"/>
      <x:c r="J20" s="147"/>
      <x:c r="K20" s="147"/>
      <x:c r="L20" s="152"/>
      <x:c r="N20" s="43">
        <x:f t="shared" si="3"/>
        <x:v>0</x:v>
      </x:c>
      <x:c r="P20" s="180"/>
      <x:c r="Q20" s="47"/>
    </x:row>
    <x:row r="21" spans="2:17" ht="14" x14ac:dyDescent="0.3">
      <x:c r="B21" s="171">
        <x:f t="shared" si="1"/>
        <x:v>9</x:v>
      </x:c>
      <x:c r="C21" s="25" t="s">
        <x:v>8</x:v>
      </x:c>
      <x:c r="D21" s="121" t="s">
        <x:v>181</x:v>
      </x:c>
      <x:c r="E21" s="7"/>
      <x:c r="F21" s="135">
        <x:f>'[1]II-I-DIST'!$Q142-'[1]II-I-DIST'!$Q296</x:f>
        <x:v>6002737.2867504433</x:v>
      </x:c>
      <x:c r="G21" s="2"/>
      <x:c r="H21" s="153"/>
      <x:c r="I21" s="135">
        <x:f>F21</x:f>
        <x:v>6002737.2867504433</x:v>
      </x:c>
      <x:c r="J21" s="147"/>
      <x:c r="K21" s="147"/>
      <x:c r="L21" s="152"/>
      <x:c r="N21" s="43">
        <x:f>+F21</x:f>
        <x:v>6002737.2867504433</x:v>
      </x:c>
      <x:c r="O21" t="s">
        <x:v>8</x:v>
      </x:c>
      <x:c r="P21" s="180"/>
      <x:c r="Q21" s="47"/>
    </x:row>
    <x:row r="22" spans="2:17" ht="14" x14ac:dyDescent="0.3">
      <x:c r="B22" s="171">
        <x:f t="shared" si="1"/>
        <x:v>10</x:v>
      </x:c>
      <x:c r="C22" s="25" t="s">
        <x:v>151</x:v>
      </x:c>
      <x:c r="D22" s="121" t="s">
        <x:v>182</x:v>
      </x:c>
      <x:c r="E22" s="7"/>
      <x:c r="F22" s="135">
        <x:f>'[1]II-I-DIST'!$Q143-'[1]II-I-DIST'!$Q297</x:f>
        <x:v>1242676.2811342082</x:v>
      </x:c>
      <x:c r="G22" s="2"/>
      <x:c r="H22" s="151"/>
      <x:c r="I22" s="135">
        <x:f t="shared" si="2"/>
        <x:v>1242676.2811342082</x:v>
      </x:c>
      <x:c r="J22" s="147"/>
      <x:c r="K22" s="147"/>
      <x:c r="L22" s="152"/>
      <x:c r="N22" s="43">
        <x:f>+F22</x:f>
        <x:v>1242676.2811342082</x:v>
      </x:c>
      <x:c r="O22" t="s">
        <x:v>151</x:v>
      </x:c>
      <x:c r="P22" s="180"/>
      <x:c r="Q22" s="47"/>
    </x:row>
    <x:row r="23" spans="2:17" ht="14" x14ac:dyDescent="0.3">
      <x:c r="B23" s="171">
        <x:f t="shared" si="1"/>
        <x:v>11</x:v>
      </x:c>
      <x:c r="C23" s="25"/>
      <x:c r="D23" s="21" t="s">
        <x:v>10</x:v>
      </x:c>
      <x:c r="E23" s="7"/>
      <x:c r="F23" s="135"/>
      <x:c r="G23" s="2"/>
      <x:c r="H23" s="151"/>
      <x:c r="I23" s="135"/>
      <x:c r="J23" s="147"/>
      <x:c r="K23" s="147"/>
      <x:c r="L23" s="152"/>
      <x:c r="N23" s="43">
        <x:f t="shared" si="3"/>
        <x:v>0</x:v>
      </x:c>
      <x:c r="P23" s="180"/>
      <x:c r="Q23" s="47"/>
    </x:row>
    <x:row r="24" spans="2:17" ht="14" x14ac:dyDescent="0.3">
      <x:c r="B24" s="171">
        <x:f t="shared" si="1"/>
        <x:v>12</x:v>
      </x:c>
      <x:c r="C24" s="25" t="s">
        <x:v>9</x:v>
      </x:c>
      <x:c r="D24" s="21" t="s">
        <x:v>11</x:v>
      </x:c>
      <x:c r="E24" s="7"/>
      <x:c r="F24" s="135">
        <x:f>'[1]II-I-DIST'!$Q144-'[1]II-I-DIST'!$Q298</x:f>
        <x:v>3997719.2584962239</x:v>
      </x:c>
      <x:c r="G24" s="2"/>
      <x:c r="H24" s="151"/>
      <x:c r="I24" s="135">
        <x:f t="shared" si="2"/>
        <x:v>3997719.2584962239</x:v>
      </x:c>
      <x:c r="J24" s="147"/>
      <x:c r="K24" s="147"/>
      <x:c r="L24" s="152"/>
      <x:c r="N24" s="43">
        <x:f t="shared" si="3"/>
        <x:v>3997719.2584962239</x:v>
      </x:c>
      <x:c r="O24" t="s">
        <x:v>9</x:v>
      </x:c>
      <x:c r="P24" s="180"/>
      <x:c r="Q24" s="47"/>
    </x:row>
    <x:row r="25" spans="2:17" ht="14" x14ac:dyDescent="0.3">
      <x:c r="B25" s="171">
        <x:f t="shared" si="1"/>
        <x:v>13</x:v>
      </x:c>
      <x:c r="C25" s="25" t="s">
        <x:v>152</x:v>
      </x:c>
      <x:c r="D25" s="21" t="s">
        <x:v>12</x:v>
      </x:c>
      <x:c r="E25" s="7"/>
      <x:c r="F25" s="135">
        <x:f>'[1]II-I-DIST'!$Q145-'[1]II-I-DIST'!$Q299</x:f>
        <x:v>648772.93135751132</x:v>
      </x:c>
      <x:c r="G25" s="2"/>
      <x:c r="H25" s="151"/>
      <x:c r="I25" s="135">
        <x:f t="shared" si="2"/>
        <x:v>648772.93135751132</x:v>
      </x:c>
      <x:c r="J25" s="147"/>
      <x:c r="K25" s="147"/>
      <x:c r="L25" s="152"/>
      <x:c r="N25" s="43">
        <x:f t="shared" si="3"/>
        <x:v>648772.93135751132</x:v>
      </x:c>
      <x:c r="O25" t="s">
        <x:v>152</x:v>
      </x:c>
      <x:c r="P25" s="180"/>
      <x:c r="Q25" s="47"/>
    </x:row>
    <x:row r="26" spans="2:17" ht="14" x14ac:dyDescent="0.3">
      <x:c r="B26" s="171">
        <x:f t="shared" si="1"/>
        <x:v>14</x:v>
      </x:c>
      <x:c r="C26" s="25"/>
      <x:c r="D26" s="21" t="s">
        <x:v>14</x:v>
      </x:c>
      <x:c r="E26" s="7"/>
      <x:c r="F26" s="135"/>
      <x:c r="G26" s="2"/>
      <x:c r="H26" s="151"/>
      <x:c r="I26" s="135"/>
      <x:c r="J26" s="147"/>
      <x:c r="K26" s="147"/>
      <x:c r="L26" s="152"/>
      <x:c r="N26" s="43">
        <x:f t="shared" si="3"/>
        <x:v>0</x:v>
      </x:c>
      <x:c r="P26" s="180"/>
      <x:c r="Q26" s="47"/>
    </x:row>
    <x:row r="27" spans="2:17" ht="14" x14ac:dyDescent="0.3">
      <x:c r="B27" s="171">
        <x:f t="shared" si="1"/>
        <x:v>15</x:v>
      </x:c>
      <x:c r="C27" s="25" t="s">
        <x:v>13</x:v>
      </x:c>
      <x:c r="D27" s="21" t="s">
        <x:v>15</x:v>
      </x:c>
      <x:c r="E27" s="7"/>
      <x:c r="F27" s="135">
        <x:f>'[1]II-I-DIST'!$Q146-'[1]II-I-DIST'!$Q300</x:f>
        <x:v>2197937.1016366556</x:v>
      </x:c>
      <x:c r="G27" s="2"/>
      <x:c r="H27" s="151"/>
      <x:c r="I27" s="135">
        <x:f t="shared" si="2"/>
        <x:v>2197937.1016366556</x:v>
      </x:c>
      <x:c r="J27" s="147"/>
      <x:c r="K27" s="147"/>
      <x:c r="L27" s="152"/>
      <x:c r="N27" s="43">
        <x:f t="shared" si="3"/>
        <x:v>2197937.1016366556</x:v>
      </x:c>
      <x:c r="O27" t="s">
        <x:v>13</x:v>
      </x:c>
      <x:c r="P27" s="180"/>
      <x:c r="Q27" s="47"/>
    </x:row>
    <x:row r="28" spans="2:17" ht="14" x14ac:dyDescent="0.3">
      <x:c r="B28" s="171">
        <x:f t="shared" si="1"/>
        <x:v>16</x:v>
      </x:c>
      <x:c r="C28" s="25" t="s">
        <x:v>153</x:v>
      </x:c>
      <x:c r="D28" s="21" t="s">
        <x:v>16</x:v>
      </x:c>
      <x:c r="E28" s="7"/>
      <x:c r="F28" s="135">
        <x:f>'[1]II-I-DIST'!$Q147-'[1]II-I-DIST'!$Q301</x:f>
        <x:v>1268134.0970153187</x:v>
      </x:c>
      <x:c r="G28" s="2"/>
      <x:c r="H28" s="151"/>
      <x:c r="I28" s="135">
        <x:f t="shared" si="2"/>
        <x:v>1268134.0970153187</x:v>
      </x:c>
      <x:c r="J28" s="147"/>
      <x:c r="K28" s="147"/>
      <x:c r="L28" s="152"/>
      <x:c r="N28" s="43">
        <x:f t="shared" si="3"/>
        <x:v>1268134.0970153187</x:v>
      </x:c>
      <x:c r="O28" t="s">
        <x:v>153</x:v>
      </x:c>
      <x:c r="P28" s="180"/>
      <x:c r="Q28" s="47"/>
    </x:row>
    <x:row r="29" spans="2:17" ht="14" x14ac:dyDescent="0.3">
      <x:c r="B29" s="171">
        <x:f t="shared" si="1"/>
        <x:v>17</x:v>
      </x:c>
      <x:c r="C29" s="25"/>
      <x:c r="D29" s="21" t="s">
        <x:v>18</x:v>
      </x:c>
      <x:c r="E29" s="7"/>
      <x:c r="F29" s="135"/>
      <x:c r="G29" s="2"/>
      <x:c r="H29" s="153"/>
      <x:c r="I29" s="135"/>
      <x:c r="J29" s="147"/>
      <x:c r="K29" s="147"/>
      <x:c r="L29" s="152"/>
      <x:c r="N29" s="43">
        <x:f t="shared" si="3"/>
        <x:v>0</x:v>
      </x:c>
      <x:c r="P29" s="180"/>
      <x:c r="Q29" s="47"/>
    </x:row>
    <x:row r="30" spans="2:17" ht="14" x14ac:dyDescent="0.3">
      <x:c r="B30" s="171">
        <x:f t="shared" si="1"/>
        <x:v>18</x:v>
      </x:c>
      <x:c r="C30" s="25" t="s">
        <x:v>17</x:v>
      </x:c>
      <x:c r="D30" s="21" t="s">
        <x:v>19</x:v>
      </x:c>
      <x:c r="E30" s="7"/>
      <x:c r="F30" s="135">
        <x:f>'[1]II-I-DIST'!$Q148-'[1]II-I-DIST'!$Q302</x:f>
        <x:v>6081818.3423415162</x:v>
      </x:c>
      <x:c r="G30" s="2"/>
      <x:c r="H30" s="153"/>
      <x:c r="I30" s="135">
        <x:f t="shared" si="2"/>
        <x:v>6081818.3423415162</x:v>
      </x:c>
      <x:c r="J30" s="147"/>
      <x:c r="K30" s="147"/>
      <x:c r="L30" s="152"/>
      <x:c r="N30" s="43">
        <x:f t="shared" si="3"/>
        <x:v>6081818.3423415162</x:v>
      </x:c>
      <x:c r="O30" t="s">
        <x:v>17</x:v>
      </x:c>
      <x:c r="P30" s="180"/>
      <x:c r="Q30" s="47"/>
    </x:row>
    <x:row r="31" spans="2:17" ht="14" x14ac:dyDescent="0.3">
      <x:c r="B31" s="171">
        <x:f t="shared" si="1"/>
        <x:v>19</x:v>
      </x:c>
      <x:c r="C31" s="25" t="s">
        <x:v>154</x:v>
      </x:c>
      <x:c r="D31" s="21" t="s">
        <x:v>20</x:v>
      </x:c>
      <x:c r="E31" s="7"/>
      <x:c r="F31" s="135">
        <x:f>'[1]II-I-DIST'!$Q149-'[1]II-I-DIST'!$Q303</x:f>
        <x:v>1719079.6354192446</x:v>
      </x:c>
      <x:c r="G31" s="2"/>
      <x:c r="H31" s="151"/>
      <x:c r="I31" s="135">
        <x:f t="shared" si="2"/>
        <x:v>1719079.6354192446</x:v>
      </x:c>
      <x:c r="J31" s="147"/>
      <x:c r="K31" s="147"/>
      <x:c r="L31" s="152"/>
      <x:c r="N31" s="43">
        <x:f t="shared" si="3"/>
        <x:v>1719079.6354192446</x:v>
      </x:c>
      <x:c r="O31" t="s">
        <x:v>154</x:v>
      </x:c>
      <x:c r="P31" s="180"/>
      <x:c r="Q31" s="47"/>
    </x:row>
    <x:row r="32" spans="2:17" ht="14" x14ac:dyDescent="0.3">
      <x:c r="B32" s="171">
        <x:f t="shared" si="1"/>
        <x:v>20</x:v>
      </x:c>
      <x:c r="C32" s="25"/>
      <x:c r="D32" s="21" t="s">
        <x:v>22</x:v>
      </x:c>
      <x:c r="E32" s="7"/>
      <x:c r="F32" s="135"/>
      <x:c r="G32" s="2"/>
      <x:c r="H32" s="151"/>
      <x:c r="I32" s="135"/>
      <x:c r="J32" s="147"/>
      <x:c r="K32" s="147"/>
      <x:c r="L32" s="152"/>
      <x:c r="N32" s="43">
        <x:f t="shared" si="3"/>
        <x:v>0</x:v>
      </x:c>
      <x:c r="P32" s="180"/>
      <x:c r="Q32" s="47"/>
    </x:row>
    <x:row r="33" spans="1:17" ht="14" x14ac:dyDescent="0.3">
      <x:c r="B33" s="171">
        <x:f t="shared" si="1"/>
        <x:v>21</x:v>
      </x:c>
      <x:c r="C33" s="25" t="s">
        <x:v>21</x:v>
      </x:c>
      <x:c r="D33" s="21" t="s">
        <x:v>23</x:v>
      </x:c>
      <x:c r="E33" s="7"/>
      <x:c r="F33" s="135">
        <x:f>'[1]II-I-DIST'!$Q150-'[1]II-I-DIST'!$Q304</x:f>
        <x:v>508930.33882794622</x:v>
      </x:c>
      <x:c r="G33" s="2"/>
      <x:c r="H33" s="151"/>
      <x:c r="I33" s="135">
        <x:f t="shared" si="2"/>
        <x:v>508930.33882794622</x:v>
      </x:c>
      <x:c r="J33" s="147"/>
      <x:c r="K33" s="147"/>
      <x:c r="L33" s="152"/>
      <x:c r="N33" s="43">
        <x:f t="shared" si="3"/>
        <x:v>508930.33882794622</x:v>
      </x:c>
      <x:c r="O33" t="s">
        <x:v>21</x:v>
      </x:c>
      <x:c r="P33" s="180"/>
      <x:c r="Q33" s="47"/>
    </x:row>
    <x:row r="34" spans="1:17" ht="14" x14ac:dyDescent="0.3">
      <x:c r="B34" s="171">
        <x:f t="shared" si="1"/>
        <x:v>22</x:v>
      </x:c>
      <x:c r="C34" s="25" t="s">
        <x:v>155</x:v>
      </x:c>
      <x:c r="D34" s="21" t="s">
        <x:v>24</x:v>
      </x:c>
      <x:c r="E34" s="7"/>
      <x:c r="F34" s="135">
        <x:f>'[1]II-I-DIST'!$Q151-'[1]II-I-DIST'!$Q305</x:f>
        <x:v>7238799.9476110078</x:v>
      </x:c>
      <x:c r="G34" s="2"/>
      <x:c r="H34" s="151"/>
      <x:c r="I34" s="135">
        <x:f t="shared" si="2"/>
        <x:v>7238799.9476110078</x:v>
      </x:c>
      <x:c r="J34" s="147"/>
      <x:c r="K34" s="147"/>
      <x:c r="L34" s="152"/>
      <x:c r="N34" s="43">
        <x:f t="shared" si="3"/>
        <x:v>7238799.9476110078</x:v>
      </x:c>
      <x:c r="O34" t="s">
        <x:v>155</x:v>
      </x:c>
      <x:c r="P34" s="180"/>
      <x:c r="Q34" s="47"/>
    </x:row>
    <x:row r="35" spans="1:17" ht="14" x14ac:dyDescent="0.3">
      <x:c r="B35" s="171">
        <x:f t="shared" si="1"/>
        <x:v>23</x:v>
      </x:c>
      <x:c r="C35" s="25" t="s">
        <x:v>156</x:v>
      </x:c>
      <x:c r="D35" s="21" t="s">
        <x:v>25</x:v>
      </x:c>
      <x:c r="E35" s="7"/>
      <x:c r="F35" s="135">
        <x:f>'[1]II-I-DIST'!$Q152-'[1]II-I-DIST'!$Q306</x:f>
        <x:v>324257.2726129673</x:v>
      </x:c>
      <x:c r="G35" s="2"/>
      <x:c r="H35" s="151"/>
      <x:c r="I35" s="135">
        <x:f t="shared" si="2"/>
        <x:v>324257.2726129673</x:v>
      </x:c>
      <x:c r="J35" s="147"/>
      <x:c r="K35" s="147"/>
      <x:c r="L35" s="152"/>
      <x:c r="N35" s="43">
        <x:f t="shared" si="3"/>
        <x:v>324257.2726129673</x:v>
      </x:c>
      <x:c r="O35" t="s">
        <x:v>156</x:v>
      </x:c>
      <x:c r="P35" s="180"/>
      <x:c r="Q35" s="47"/>
    </x:row>
    <x:row r="36" spans="1:17" x14ac:dyDescent="0.3">
      <x:c r="B36" s="171">
        <x:f t="shared" si="1"/>
        <x:v>24</x:v>
      </x:c>
      <x:c r="C36" s="25" t="s">
        <x:v>26</x:v>
      </x:c>
      <x:c r="D36" s="21" t="s">
        <x:v>27</x:v>
      </x:c>
      <x:c r="E36" s="7"/>
      <x:c r="F36" s="135">
        <x:f>'[1]II-I-DIST'!$Q153-'[1]II-I-DIST'!$Q307</x:f>
        <x:v>441512.82656497508</x:v>
      </x:c>
      <x:c r="G36" s="2"/>
      <x:c r="H36" s="153"/>
      <x:c r="I36" s="135">
        <x:f t="shared" si="2"/>
        <x:v>441512.82656497508</x:v>
      </x:c>
      <x:c r="J36" s="147"/>
      <x:c r="K36" s="147"/>
      <x:c r="L36" s="152"/>
      <x:c r="N36" s="43">
        <x:f t="shared" si="3"/>
        <x:v>441512.82656497508</x:v>
      </x:c>
      <x:c r="O36" t="s">
        <x:v>26</x:v>
      </x:c>
      <x:c r="P36" s="91"/>
    </x:row>
    <x:row r="37" spans="1:17" x14ac:dyDescent="0.3">
      <x:c r="B37" s="171">
        <x:f t="shared" si="1"/>
        <x:v>25</x:v>
      </x:c>
      <x:c r="C37" s="25" t="s">
        <x:v>28</x:v>
      </x:c>
      <x:c r="D37" s="21" t="s">
        <x:v>29</x:v>
      </x:c>
      <x:c r="E37" s="7"/>
      <x:c r="F37" s="135">
        <x:f>'[1]II-I-DIST'!$Q154-'[1]II-I-DIST'!$Q308</x:f>
        <x:v>0</x:v>
      </x:c>
      <x:c r="G37" s="2"/>
      <x:c r="H37" s="151"/>
      <x:c r="I37" s="147"/>
      <x:c r="J37" s="147"/>
      <x:c r="K37" s="147"/>
      <x:c r="L37" s="152"/>
      <x:c r="N37" s="43">
        <x:f t="shared" si="3"/>
        <x:v>0</x:v>
      </x:c>
      <x:c r="O37" t="s">
        <x:v>28</x:v>
      </x:c>
      <x:c r="P37" s="91"/>
    </x:row>
    <x:row r="38" spans="1:17" x14ac:dyDescent="0.3">
      <x:c r="B38" s="171">
        <x:f t="shared" si="1"/>
        <x:v>26</x:v>
      </x:c>
      <x:c r="C38" s="119" t="s">
        <x:v>30</x:v>
      </x:c>
      <x:c r="D38" s="7" t="s">
        <x:v>31</x:v>
      </x:c>
      <x:c r="E38" s="36"/>
      <x:c r="F38" s="135">
        <x:f>'[1]II-I-DIST'!$Q155-'[1]II-I-DIST'!$Q309</x:f>
        <x:v>-18451295.25999999</x:v>
      </x:c>
      <x:c r="G38" s="68"/>
      <x:c r="H38" s="117">
        <x:f>+F38</x:f>
        <x:v>-18451295.25999999</x:v>
      </x:c>
      <x:c r="I38" s="147"/>
      <x:c r="J38" s="147"/>
      <x:c r="K38" s="147"/>
      <x:c r="L38" s="152"/>
      <x:c r="N38" s="2">
        <x:f>H38</x:f>
        <x:v>-18451295.25999999</x:v>
      </x:c>
      <x:c r="O38" t="s">
        <x:v>30</x:v>
      </x:c>
      <x:c r="P38" s="91"/>
    </x:row>
    <x:row r="39" spans="1:17" x14ac:dyDescent="0.3">
      <x:c r="B39" s="171">
        <x:f t="shared" si="1"/>
        <x:v>27</x:v>
      </x:c>
      <x:c r="C39" s="25" t="s">
        <x:v>32</x:v>
      </x:c>
      <x:c r="D39" s="21" t="s">
        <x:v>33</x:v>
      </x:c>
      <x:c r="E39" s="7"/>
      <x:c r="F39" s="135">
        <x:f>'[1]II-I-DIST'!$Q156-'[1]II-I-DIST'!$Q310</x:f>
        <x:v>0</x:v>
      </x:c>
      <x:c r="G39" s="2"/>
      <x:c r="H39" s="151"/>
      <x:c r="I39" s="147"/>
      <x:c r="J39" s="147"/>
      <x:c r="K39" s="147"/>
      <x:c r="L39" s="152"/>
      <x:c r="N39" s="43">
        <x:f t="shared" si="3"/>
        <x:v>0</x:v>
      </x:c>
      <x:c r="O39" t="s">
        <x:v>32</x:v>
      </x:c>
      <x:c r="P39" s="91"/>
    </x:row>
    <x:row r="40" spans="1:17" x14ac:dyDescent="0.3">
      <x:c r="B40" s="171">
        <x:f t="shared" si="1"/>
        <x:v>28</x:v>
      </x:c>
      <x:c r="C40" s="25" t="s">
        <x:v>34</x:v>
      </x:c>
      <x:c r="D40" s="21" t="s">
        <x:v>35</x:v>
      </x:c>
      <x:c r="E40" s="7"/>
      <x:c r="F40" s="135">
        <x:f>'[1]II-I-DIST'!$Q157-'[1]II-I-DIST'!$Q311</x:f>
        <x:v>164516349.79000002</x:v>
      </x:c>
      <x:c r="G40" s="2"/>
      <x:c r="H40" s="69">
        <x:f>+F40</x:f>
        <x:v>164516349.79000002</x:v>
      </x:c>
      <x:c r="I40" s="147"/>
      <x:c r="J40" s="147"/>
      <x:c r="K40" s="147"/>
      <x:c r="L40" s="152"/>
      <x:c r="N40" s="43">
        <x:f t="shared" si="3"/>
        <x:v>164516349.79000002</x:v>
      </x:c>
      <x:c r="O40" t="s">
        <x:v>34</x:v>
      </x:c>
      <x:c r="P40" s="91"/>
    </x:row>
    <x:row r="41" spans="1:17" x14ac:dyDescent="0.3">
      <x:c r="B41" s="171">
        <x:f t="shared" si="1"/>
        <x:v>29</x:v>
      </x:c>
      <x:c r="C41" s="25" t="s">
        <x:v>36</x:v>
      </x:c>
      <x:c r="D41" s="21" t="s">
        <x:v>1</x:v>
      </x:c>
      <x:c r="E41" s="7"/>
      <x:c r="F41" s="135">
        <x:f>'[1]II-I-DIST'!$Q158</x:f>
        <x:v>3039392.759477051</x:v>
      </x:c>
      <x:c r="G41" s="2"/>
      <x:c r="H41" s="147"/>
      <x:c r="I41" s="147"/>
      <x:c r="J41" s="68">
        <x:f>+F41</x:f>
        <x:v>3039392.759477051</x:v>
      </x:c>
      <x:c r="K41" s="147"/>
      <x:c r="L41" s="152"/>
      <x:c r="N41" s="43">
        <x:f t="shared" si="3"/>
        <x:v>3039392.759477051</x:v>
      </x:c>
      <x:c r="O41" s="49" t="s">
        <x:v>36</x:v>
      </x:c>
      <x:c r="P41" s="91"/>
    </x:row>
    <x:row r="42" spans="1:17" ht="14" thickBot="1" x14ac:dyDescent="0.35">
      <x:c r="A42" s="43"/>
      <x:c r="B42" s="171">
        <x:f t="shared" si="1"/>
        <x:v>30</x:v>
      </x:c>
      <x:c r="C42" s="20"/>
      <x:c r="D42" s="31" t="s">
        <x:v>0</x:v>
      </x:c>
      <x:c r="E42" s="7"/>
      <x:c r="F42" s="134">
        <x:f>SUM(F14:F41)</x:f>
        <x:v>198014097.02475357</x:v>
      </x:c>
      <x:c r="G42" s="4"/>
      <x:c r="H42" s="154">
        <x:f>SUM(H14:H41)</x:f>
        <x:v>146065054.53000003</x:v>
      </x:c>
      <x:c r="I42" s="154">
        <x:f>SUM(I14:I41)</x:f>
        <x:v>48909649.73527649</x:v>
      </x:c>
      <x:c r="J42" s="154">
        <x:f>SUM(J14:J41)</x:f>
        <x:v>3039392.759477051</x:v>
      </x:c>
      <x:c r="K42" s="154">
        <x:f>SUM(K14:K41)</x:f>
        <x:v>0</x:v>
      </x:c>
      <x:c r="L42" s="155">
        <x:f>SUM(L14:L41)</x:f>
        <x:v>0</x:v>
      </x:c>
      <x:c r="N42" s="84">
        <x:f>SUM(N14:N41)</x:f>
        <x:v>198014097.02475357</x:v>
      </x:c>
      <x:c r="O42" s="87" t="s">
        <x:v>175</x:v>
      </x:c>
      <x:c r="P42" s="181"/>
      <x:c r="Q42" s="2">
        <x:v>92709573</x:v>
      </x:c>
    </x:row>
    <x:row r="43" spans="1:17" ht="16.5" customHeight="1" thickTop="1" thickBot="1" x14ac:dyDescent="0.35">
      <x:c r="B43" s="171">
        <x:f t="shared" si="1"/>
        <x:v>31</x:v>
      </x:c>
      <x:c r="C43" s="20"/>
      <x:c r="D43" s="21"/>
      <x:c r="E43" s="7"/>
      <x:c r="F43" s="135"/>
      <x:c r="G43" s="2"/>
      <x:c r="H43" s="147"/>
      <x:c r="I43" s="147"/>
      <x:c r="J43" s="147"/>
      <x:c r="K43" s="147"/>
      <x:c r="L43" s="152"/>
      <x:c r="P43" s="181"/>
    </x:row>
    <x:row r="44" spans="1:17" x14ac:dyDescent="0.3">
      <x:c r="B44" s="171">
        <x:f t="shared" si="1"/>
        <x:v>32</x:v>
      </x:c>
      <x:c r="C44" s="59" t="s">
        <x:v>135</x:v>
      </x:c>
      <x:c r="D44" s="60"/>
      <x:c r="E44" s="51"/>
      <x:c r="F44" s="142">
        <x:f>'[1]II-I-DIST'!$Q323</x:f>
        <x:v>80025.030095270253</x:v>
      </x:c>
      <x:c r="G44" s="61"/>
      <x:c r="H44" s="138"/>
      <x:c r="I44" s="138"/>
      <x:c r="J44" s="138">
        <x:f>F44</x:f>
        <x:v>80025.030095270253</x:v>
      </x:c>
      <x:c r="K44" s="138"/>
      <x:c r="L44" s="156"/>
      <x:c r="N44" s="88">
        <x:f>+F44</x:f>
        <x:v>80025.030095270253</x:v>
      </x:c>
      <x:c r="P44" s="181"/>
    </x:row>
    <x:row r="45" spans="1:17" x14ac:dyDescent="0.3">
      <x:c r="A45" s="43"/>
      <x:c r="B45" s="171">
        <x:f t="shared" si="1"/>
        <x:v>33</x:v>
      </x:c>
      <x:c r="C45" s="24" t="s">
        <x:v>37</x:v>
      </x:c>
      <x:c r="D45" s="8"/>
      <x:c r="E45" s="7"/>
      <x:c r="F45" s="68">
        <x:f>'[1]II-I-DIST'!$Q324</x:f>
        <x:v>979875.5022046864</x:v>
      </x:c>
      <x:c r="G45" s="3"/>
      <x:c r="H45" s="69"/>
      <x:c r="I45" s="69"/>
      <x:c r="J45" s="69">
        <x:f>F45</x:f>
        <x:v>979875.5022046864</x:v>
      </x:c>
      <x:c r="K45" s="69"/>
      <x:c r="L45" s="70"/>
      <x:c r="N45" s="43">
        <x:f>+F45</x:f>
        <x:v>979875.5022046864</x:v>
      </x:c>
      <x:c r="P45" s="181"/>
      <x:c r="Q45" s="43"/>
    </x:row>
    <x:row r="46" spans="1:17" ht="14" thickBot="1" x14ac:dyDescent="0.35">
      <x:c r="B46" s="171">
        <x:f t="shared" si="1"/>
        <x:v>34</x:v>
      </x:c>
      <x:c r="C46" s="62" t="s">
        <x:v>41</x:v>
      </x:c>
      <x:c r="D46" s="63"/>
      <x:c r="E46" s="52"/>
      <x:c r="F46" s="143">
        <x:f>'[1]II-I-DIST'!$Q364</x:f>
        <x:v>7574259.5251403842</x:v>
      </x:c>
      <x:c r="G46" s="64"/>
      <x:c r="H46" s="136"/>
      <x:c r="I46" s="136"/>
      <x:c r="J46" s="136">
        <x:f>F46</x:f>
        <x:v>7574259.5251403842</x:v>
      </x:c>
      <x:c r="K46" s="136"/>
      <x:c r="L46" s="157"/>
      <x:c r="N46" s="43">
        <x:f>+F46</x:f>
        <x:v>7574259.5251403842</x:v>
      </x:c>
      <x:c r="P46" s="181"/>
    </x:row>
    <x:row r="47" spans="1:17" ht="14" thickBot="1" x14ac:dyDescent="0.35">
      <x:c r="B47" s="171">
        <x:f t="shared" si="1"/>
        <x:v>35</x:v>
      </x:c>
      <x:c r="C47" s="25"/>
      <x:c r="D47" s="7"/>
      <x:c r="E47" s="7"/>
      <x:c r="F47" s="68"/>
      <x:c r="G47" s="3"/>
      <x:c r="H47" s="69"/>
      <x:c r="I47" s="69"/>
      <x:c r="J47" s="69"/>
      <x:c r="K47" s="69"/>
      <x:c r="L47" s="70"/>
      <x:c r="O47" s="49"/>
      <x:c r="P47" s="182"/>
      <x:c r="Q47" s="3"/>
    </x:row>
    <x:row r="48" spans="1:17" ht="14" thickBot="1" x14ac:dyDescent="0.35">
      <x:c r="A48" s="43"/>
      <x:c r="B48" s="171">
        <x:f t="shared" si="1"/>
        <x:v>36</x:v>
      </x:c>
      <x:c r="C48" s="65" t="s">
        <x:v>136</x:v>
      </x:c>
      <x:c r="D48" s="53"/>
      <x:c r="E48" s="53"/>
      <x:c r="F48" s="72">
        <x:f>+F46+F45+F44+F42</x:f>
        <x:v>206648257.08219391</x:v>
      </x:c>
      <x:c r="G48" s="66"/>
      <x:c r="H48" s="72">
        <x:f>SUM(H44:H46)+H42</x:f>
        <x:v>146065054.53000003</x:v>
      </x:c>
      <x:c r="I48" s="72">
        <x:f>SUM(I44:I46)+I42</x:f>
        <x:v>48909649.73527649</x:v>
      </x:c>
      <x:c r="J48" s="72">
        <x:f>SUM(J44:J46)+J42</x:f>
        <x:v>11673552.816917391</x:v>
      </x:c>
      <x:c r="K48" s="72">
        <x:f>SUM(K44:K46)+K42</x:f>
        <x:v>0</x:v>
      </x:c>
      <x:c r="L48" s="73">
        <x:f>SUM(L44:L46)+L42</x:f>
        <x:v>0</x:v>
      </x:c>
      <x:c r="O48" s="89"/>
      <x:c r="P48" s="91"/>
      <x:c r="Q48" s="3"/>
    </x:row>
    <x:row r="49" spans="1:19" x14ac:dyDescent="0.3">
      <x:c r="A49" s="48"/>
      <x:c r="B49" s="171">
        <x:f t="shared" si="1"/>
        <x:v>37</x:v>
      </x:c>
      <x:c r="C49" s="25"/>
      <x:c r="D49" s="7"/>
      <x:c r="E49" s="7"/>
      <x:c r="F49" s="68"/>
      <x:c r="G49" s="3"/>
      <x:c r="H49" s="69"/>
      <x:c r="I49" s="69"/>
      <x:c r="J49" s="69"/>
      <x:c r="K49" s="69"/>
      <x:c r="L49" s="70"/>
      <x:c r="P49" s="181"/>
    </x:row>
    <x:row r="50" spans="1:19" x14ac:dyDescent="0.3">
      <x:c r="B50" s="171">
        <x:f t="shared" si="1"/>
        <x:v>38</x:v>
      </x:c>
      <x:c r="C50" s="67" t="s">
        <x:v>38</x:v>
      </x:c>
      <x:c r="D50" s="7"/>
      <x:c r="E50" s="7"/>
      <x:c r="F50" s="68"/>
      <x:c r="G50" s="68"/>
      <x:c r="H50" s="69"/>
      <x:c r="I50" s="69"/>
      <x:c r="J50" s="69"/>
      <x:c r="K50" s="69"/>
      <x:c r="L50" s="70"/>
      <x:c r="P50" s="183">
        <x:f>'[1]II-I-DIST'!$Q$388</x:f>
        <x:v>19639.929225548898</x:v>
      </x:c>
      <x:c r="Q50" s="168" t="s">
        <x:v>193</x:v>
      </x:c>
    </x:row>
    <x:row r="51" spans="1:19" ht="6" customHeight="1" x14ac:dyDescent="0.3">
      <x:c r="B51" s="171"/>
      <x:c r="C51" s="25"/>
      <x:c r="D51" s="7"/>
      <x:c r="E51" s="7"/>
      <x:c r="F51" s="68"/>
      <x:c r="G51" s="68"/>
      <x:c r="H51" s="69"/>
      <x:c r="I51" s="69"/>
      <x:c r="J51" s="69"/>
      <x:c r="K51" s="69"/>
      <x:c r="L51" s="70"/>
      <x:c r="P51" s="184"/>
    </x:row>
    <x:row r="52" spans="1:19" x14ac:dyDescent="0.3">
      <x:c r="B52" s="171">
        <x:v>39</x:v>
      </x:c>
      <x:c r="C52" s="32" t="s">
        <x:v>195</x:v>
      </x:c>
      <x:c r="D52" s="7"/>
      <x:c r="E52" s="7"/>
      <x:c r="F52" s="68">
        <x:f>'[1]II-I-DIST'!$Q$575</x:f>
        <x:v>36973680.091471419</x:v>
      </x:c>
      <x:c r="G52" s="68"/>
      <x:c r="H52" s="69"/>
      <x:c r="I52" s="69"/>
      <x:c r="J52" s="69">
        <x:f>+F52</x:f>
        <x:v>36973680.091471419</x:v>
      </x:c>
      <x:c r="K52" s="69"/>
      <x:c r="L52" s="70"/>
      <x:c r="N52" s="86">
        <x:f>+F52</x:f>
        <x:v>36973680.091471419</x:v>
      </x:c>
      <x:c r="P52" s="183">
        <x:f>'[1]II-I-DIST'!$Q$499</x:f>
        <x:v>-5027.677052643463</x:v>
      </x:c>
      <x:c r="Q52" s="126" t="s">
        <x:v>186</x:v>
      </x:c>
    </x:row>
    <x:row r="53" spans="1:19" x14ac:dyDescent="0.3">
      <x:c r="B53" s="171">
        <x:f t="shared" si="1"/>
        <x:v>40</x:v>
      </x:c>
      <x:c r="C53" s="32" t="s">
        <x:v>194</x:v>
      </x:c>
      <x:c r="D53" s="7"/>
      <x:c r="E53" s="7"/>
      <x:c r="F53" s="68">
        <x:f>'[1]II-I-DIST'!$Q$612</x:f>
        <x:v>-16219471.505928926</x:v>
      </x:c>
      <x:c r="G53" s="68"/>
      <x:c r="H53" s="69"/>
      <x:c r="I53" s="69"/>
      <x:c r="J53" s="69"/>
      <x:c r="K53" s="69">
        <x:f>+F53</x:f>
        <x:v>-16219471.505928926</x:v>
      </x:c>
      <x:c r="L53" s="70"/>
      <x:c r="N53" s="86">
        <x:f>+F53</x:f>
        <x:v>-16219471.505928926</x:v>
      </x:c>
      <x:c r="P53" s="183">
        <x:f>'[1]II-I-DIST'!$Q$435</x:f>
        <x:v>5232255.6504572965</x:v>
      </x:c>
      <x:c r="Q53" t="s">
        <x:v>164</x:v>
      </x:c>
    </x:row>
    <x:row r="54" spans="1:19" x14ac:dyDescent="0.3">
      <x:c r="B54" s="171">
        <x:f t="shared" si="1"/>
        <x:v>41</x:v>
      </x:c>
      <x:c r="C54" s="33" t="s">
        <x:v>133</x:v>
      </x:c>
      <x:c r="D54" s="7"/>
      <x:c r="E54" s="7"/>
      <x:c r="F54" s="135">
        <x:f>'[1]II-I-DIST'!$Q$411</x:f>
        <x:v>-47510957.488365166</x:v>
      </x:c>
      <x:c r="G54" s="68"/>
      <x:c r="H54" s="69"/>
      <x:c r="I54" s="69"/>
      <x:c r="J54" s="69"/>
      <x:c r="K54" s="69">
        <x:f>+F54</x:f>
        <x:v>-47510957.488365166</x:v>
      </x:c>
      <x:c r="L54" s="70"/>
      <x:c r="N54" s="86">
        <x:f>+F54</x:f>
        <x:v>-47510957.488365166</x:v>
      </x:c>
      <x:c r="P54" s="183">
        <x:f>'[1]II-I-DIST'!$Q$455</x:f>
        <x:v>-122717.09996872046</x:v>
      </x:c>
      <x:c r="Q54" t="s">
        <x:v>165</x:v>
      </x:c>
    </x:row>
    <x:row r="55" spans="1:19" ht="16.5" customHeight="1" thickBot="1" x14ac:dyDescent="0.35">
      <x:c r="B55" s="171">
        <x:f t="shared" si="1"/>
        <x:v>42</x:v>
      </x:c>
      <x:c r="C55" s="32" t="s">
        <x:v>51</x:v>
      </x:c>
      <x:c r="D55" s="7"/>
      <x:c r="E55" s="7"/>
      <x:c r="F55" s="68">
        <x:f>+P56</x:f>
        <x:v>5533966.0939830486</x:v>
      </x:c>
      <x:c r="G55" s="68"/>
      <x:c r="H55" s="69"/>
      <x:c r="I55" s="69"/>
      <x:c r="J55" s="69">
        <x:f>+F55</x:f>
        <x:v>5533966.0939830486</x:v>
      </x:c>
      <x:c r="K55" s="69"/>
      <x:c r="L55" s="70"/>
      <x:c r="N55" s="86">
        <x:f>+F55</x:f>
        <x:v>5533966.0939830486</x:v>
      </x:c>
      <x:c r="P55" s="183">
        <x:f>'[1]II-I-DIST'!$Q$476</x:f>
        <x:v>409815.29132156703</x:v>
      </x:c>
      <x:c r="Q55" t="s">
        <x:v>166</x:v>
      </x:c>
    </x:row>
    <x:row r="56" spans="1:19" ht="14" thickBot="1" x14ac:dyDescent="0.35">
      <x:c r="B56" s="171">
        <x:f t="shared" si="1"/>
        <x:v>43</x:v>
      </x:c>
      <x:c r="C56" s="71" t="s">
        <x:v>40</x:v>
      </x:c>
      <x:c r="D56" s="53"/>
      <x:c r="E56" s="53"/>
      <x:c r="F56" s="72">
        <x:f>SUM(F52:F55)</x:f>
        <x:v>-21222782.808839627</x:v>
      </x:c>
      <x:c r="G56" s="72"/>
      <x:c r="H56" s="72">
        <x:f>SUM(H52:H55)</x:f>
        <x:v>0</x:v>
      </x:c>
      <x:c r="I56" s="72">
        <x:f>SUM(I52:I55)</x:f>
        <x:v>0</x:v>
      </x:c>
      <x:c r="J56" s="72">
        <x:f>SUM(J52:J55)</x:f>
        <x:v>42507646.185454465</x:v>
      </x:c>
      <x:c r="K56" s="72">
        <x:f>SUM(K52:K55)</x:f>
        <x:v>-63730428.994294092</x:v>
      </x:c>
      <x:c r="L56" s="73">
        <x:f>SUM(L52:L55)</x:f>
        <x:v>0</x:v>
      </x:c>
      <x:c r="N56" s="41">
        <x:f>SUM(N52:N55)</x:f>
        <x:v>-21222782.808839627</x:v>
      </x:c>
      <x:c r="P56" s="90">
        <x:f>SUM(P50:P55)</x:f>
        <x:v>5533966.0939830486</x:v>
      </x:c>
    </x:row>
    <x:row r="57" spans="1:19" ht="14" thickBot="1" x14ac:dyDescent="0.35">
      <x:c r="B57" s="171">
        <x:f t="shared" si="1"/>
        <x:v>44</x:v>
      </x:c>
      <x:c r="C57" s="33"/>
      <x:c r="D57" s="7"/>
      <x:c r="E57" s="7"/>
      <x:c r="F57" s="68"/>
      <x:c r="G57" s="68"/>
      <x:c r="H57" s="69"/>
      <x:c r="I57" s="69"/>
      <x:c r="J57" s="69"/>
      <x:c r="K57" s="69"/>
      <x:c r="L57" s="70"/>
      <x:c r="P57" s="181"/>
    </x:row>
    <x:row r="58" spans="1:19" ht="14" thickBot="1" x14ac:dyDescent="0.35">
      <x:c r="A58" s="55">
        <x:f>+F58+A38</x:f>
        <x:v>185425474.27335429</x:v>
      </x:c>
      <x:c r="B58" s="171">
        <x:f t="shared" si="1"/>
        <x:v>45</x:v>
      </x:c>
      <x:c r="C58" s="74" t="s">
        <x:v>172</x:v>
      </x:c>
      <x:c r="D58" s="53"/>
      <x:c r="E58" s="53"/>
      <x:c r="F58" s="72">
        <x:f>+F56+F48</x:f>
        <x:v>185425474.27335429</x:v>
      </x:c>
      <x:c r="G58" s="72"/>
      <x:c r="H58" s="72">
        <x:f>+H56+H48</x:f>
        <x:v>146065054.53000003</x:v>
      </x:c>
      <x:c r="I58" s="72">
        <x:f>+I56+I48</x:f>
        <x:v>48909649.73527649</x:v>
      </x:c>
      <x:c r="J58" s="72">
        <x:f>+J56+J48</x:f>
        <x:v>54181199.002371855</x:v>
      </x:c>
      <x:c r="K58" s="72">
        <x:f>+K56+K48</x:f>
        <x:v>-63730428.994294092</x:v>
      </x:c>
      <x:c r="L58" s="73">
        <x:f>+L56+L48</x:f>
        <x:v>0</x:v>
      </x:c>
      <x:c r="N58" s="115">
        <x:f>SUM(N42:N55)</x:f>
        <x:v>185425474.27335429</x:v>
      </x:c>
      <x:c r="P58" s="181">
        <x:v>54962047.96749679</x:v>
      </x:c>
      <x:c r="Q58" s="91"/>
      <x:c r="R58" s="54"/>
      <x:c r="S58" s="54"/>
    </x:row>
    <x:row r="59" spans="1:19" ht="9" customHeight="1" x14ac:dyDescent="0.3">
      <x:c r="B59" s="171"/>
      <x:c r="C59" s="34"/>
      <x:c r="D59" s="7"/>
      <x:c r="E59" s="7"/>
      <x:c r="F59" s="68"/>
      <x:c r="G59" s="68"/>
      <x:c r="H59" s="69"/>
      <x:c r="I59" s="69"/>
      <x:c r="J59" s="69"/>
      <x:c r="K59" s="69"/>
      <x:c r="L59" s="70"/>
      <x:c r="N59" s="85"/>
      <x:c r="P59" s="181"/>
    </x:row>
    <x:row r="60" spans="1:19" x14ac:dyDescent="0.3">
      <x:c r="A60" s="179"/>
      <x:c r="B60" s="171">
        <x:v>46</x:v>
      </x:c>
      <x:c r="C60" s="35" t="s">
        <x:v>39</x:v>
      </x:c>
      <x:c r="D60" s="7"/>
      <x:c r="E60" s="7"/>
      <x:c r="F60" s="128">
        <x:f>'[1]II-I-DIST'!$Q$620</x:f>
        <x:v>7.4700000000000003E-2</x:v>
      </x:c>
      <x:c r="G60" s="92"/>
      <x:c r="H60" s="165">
        <x:f>+F60</x:f>
        <x:v>7.4700000000000003E-2</x:v>
      </x:c>
      <x:c r="I60" s="165">
        <x:f>+F60</x:f>
        <x:v>7.4700000000000003E-2</x:v>
      </x:c>
      <x:c r="J60" s="165">
        <x:f>+F60</x:f>
        <x:v>7.4700000000000003E-2</x:v>
      </x:c>
      <x:c r="K60" s="165">
        <x:f>+F60</x:f>
        <x:v>7.4700000000000003E-2</x:v>
      </x:c>
      <x:c r="L60" s="166">
        <x:f>+F60</x:f>
        <x:v>7.4700000000000003E-2</x:v>
      </x:c>
      <x:c r="P60" s="181"/>
    </x:row>
    <x:row r="61" spans="1:19" ht="9" customHeight="1" thickBot="1" x14ac:dyDescent="0.35">
      <x:c r="B61" s="171"/>
      <x:c r="C61" s="25"/>
      <x:c r="D61" s="7"/>
      <x:c r="E61" s="7"/>
      <x:c r="F61" s="68"/>
      <x:c r="G61" s="68"/>
      <x:c r="H61" s="69"/>
      <x:c r="I61" s="69"/>
      <x:c r="J61" s="69"/>
      <x:c r="K61" s="69"/>
      <x:c r="L61" s="70"/>
      <x:c r="P61" s="181"/>
    </x:row>
    <x:row r="62" spans="1:19" ht="14" thickBot="1" x14ac:dyDescent="0.35">
      <x:c r="B62" s="171">
        <x:v>47</x:v>
      </x:c>
      <x:c r="C62" s="74" t="s">
        <x:v>173</x:v>
      </x:c>
      <x:c r="D62" s="53"/>
      <x:c r="E62" s="53"/>
      <x:c r="F62" s="72">
        <x:f>ROUND(F60*F58,0)</x:f>
        <x:v>13851283</x:v>
      </x:c>
      <x:c r="G62" s="72"/>
      <x:c r="H62" s="72">
        <x:f>ROUND(H60*H58,0)</x:f>
        <x:v>10911060</x:v>
      </x:c>
      <x:c r="I62" s="72">
        <x:f>ROUND(I60*I58,0)</x:f>
        <x:v>3653551</x:v>
      </x:c>
      <x:c r="J62" s="72">
        <x:f>ROUND(J60*J58,0)</x:f>
        <x:v>4047336</x:v>
      </x:c>
      <x:c r="K62" s="72">
        <x:f>ROUND(K60*K58,0)</x:f>
        <x:v>-4760663</x:v>
      </x:c>
      <x:c r="L62" s="73">
        <x:f>ROUND(L60*L58,0)</x:f>
        <x:v>0</x:v>
      </x:c>
      <x:c r="N62" s="114">
        <x:f>SUM(H62:M62)</x:f>
        <x:v>13851284</x:v>
      </x:c>
      <x:c r="P62" s="181">
        <x:v>3924289</x:v>
      </x:c>
    </x:row>
    <x:row r="63" spans="1:19" ht="14" thickBot="1" x14ac:dyDescent="0.35">
      <x:c r="B63" s="171">
        <x:f t="shared" si="1"/>
        <x:v>48</x:v>
      </x:c>
      <x:c r="C63" s="119" t="s">
        <x:v>187</x:v>
      </x:c>
      <x:c r="D63" s="7"/>
      <x:c r="E63" s="7"/>
      <x:c r="F63" s="68">
        <x:f>'[1]II-I-DIST'!$Q$35</x:f>
        <x:v>0</x:v>
      </x:c>
      <x:c r="G63" s="68"/>
      <x:c r="H63" s="69">
        <x:f>ROUND($F$63*H62/$F$62,0)</x:f>
        <x:v>0</x:v>
      </x:c>
      <x:c r="I63" s="69">
        <x:f>ROUND($F$63*I62/$F$62,0)</x:f>
        <x:v>0</x:v>
      </x:c>
      <x:c r="J63" s="69">
        <x:f>ROUND($F$63*J62/$F$62,0)</x:f>
        <x:v>0</x:v>
      </x:c>
      <x:c r="K63" s="69">
        <x:f>ROUND($F$63*K62/$F$62,0)</x:f>
        <x:v>0</x:v>
      </x:c>
      <x:c r="L63" s="70">
        <x:v>0</x:v>
      </x:c>
      <x:c r="P63" s="181"/>
    </x:row>
    <x:row r="64" spans="1:19" ht="14" thickBot="1" x14ac:dyDescent="0.35">
      <x:c r="B64" s="171">
        <x:f t="shared" si="1"/>
        <x:v>49</x:v>
      </x:c>
      <x:c r="C64" s="74" t="s">
        <x:v>174</x:v>
      </x:c>
      <x:c r="D64" s="53"/>
      <x:c r="E64" s="53"/>
      <x:c r="F64" s="72">
        <x:f>+F62+F63</x:f>
        <x:v>13851283</x:v>
      </x:c>
      <x:c r="G64" s="72"/>
      <x:c r="H64" s="72">
        <x:f>ROUND(H62*$F$66,0)</x:f>
        <x:v>10911060</x:v>
      </x:c>
      <x:c r="I64" s="72">
        <x:f>ROUND(I62*$F$66,0)</x:f>
        <x:v>3653551</x:v>
      </x:c>
      <x:c r="J64" s="72">
        <x:f>ROUND(J62*$F$66,0)</x:f>
        <x:v>4047336</x:v>
      </x:c>
      <x:c r="K64" s="72">
        <x:f>ROUND(K62*$F$66,0)</x:f>
        <x:v>-4760663</x:v>
      </x:c>
      <x:c r="L64" s="73">
        <x:f>ROUND(L62*$F$66,0)</x:f>
        <x:v>0</x:v>
      </x:c>
      <x:c r="N64" s="42">
        <x:f>SUM(H64:M64)</x:f>
        <x:v>13851284</x:v>
      </x:c>
      <x:c r="P64" s="181">
        <x:v>3924289</x:v>
      </x:c>
    </x:row>
    <x:row r="65" spans="1:16" x14ac:dyDescent="0.3">
      <x:c r="B65" s="171">
        <x:f t="shared" si="1"/>
        <x:v>50</x:v>
      </x:c>
      <x:c r="C65" s="25" t="s">
        <x:v>170</x:v>
      </x:c>
      <x:c r="D65" s="7"/>
      <x:c r="E65" s="7"/>
      <x:c r="F65" s="69"/>
      <x:c r="G65" s="7"/>
      <x:c r="H65" s="69"/>
      <x:c r="I65" s="69"/>
      <x:c r="J65" s="69"/>
      <x:c r="K65" s="69"/>
      <x:c r="L65" s="70"/>
      <x:c r="N65" s="43"/>
      <x:c r="P65" s="181"/>
    </x:row>
    <x:row r="66" spans="1:16" x14ac:dyDescent="0.3">
      <x:c r="A66" s="42"/>
      <x:c r="B66" s="171">
        <x:f t="shared" si="1"/>
        <x:v>51</x:v>
      </x:c>
      <x:c r="C66" s="25" t="s">
        <x:v>171</x:v>
      </x:c>
      <x:c r="D66" s="7"/>
      <x:c r="E66" s="7"/>
      <x:c r="F66" s="178">
        <x:f>ROUND(F64/F62,8)</x:f>
        <x:v>1</x:v>
      </x:c>
      <x:c r="G66" s="7"/>
      <x:c r="H66" s="110"/>
      <x:c r="I66" s="69"/>
      <x:c r="J66" s="69"/>
      <x:c r="K66" s="69"/>
      <x:c r="L66" s="70"/>
      <x:c r="P66" s="181"/>
    </x:row>
    <x:row r="67" spans="1:16" ht="6" customHeight="1" x14ac:dyDescent="0.3">
      <x:c r="B67" s="171"/>
      <x:c r="C67" s="25"/>
      <x:c r="D67" s="7"/>
      <x:c r="E67" s="7"/>
      <x:c r="F67" s="69"/>
      <x:c r="G67" s="7"/>
      <x:c r="H67" s="69"/>
      <x:c r="I67" s="69"/>
      <x:c r="J67" s="69"/>
      <x:c r="K67" s="69"/>
      <x:c r="L67" s="70"/>
      <x:c r="P67" s="181"/>
    </x:row>
    <x:row r="68" spans="1:16" x14ac:dyDescent="0.3">
      <x:c r="A68" s="42"/>
      <x:c r="B68" s="171">
        <x:v>52</x:v>
      </x:c>
      <x:c r="C68" s="120"/>
      <x:c r="D68" s="7"/>
      <x:c r="E68" s="7"/>
      <x:c r="F68" s="69"/>
      <x:c r="G68" s="7"/>
      <x:c r="H68" s="69"/>
      <x:c r="I68" s="69"/>
      <x:c r="J68" s="69"/>
      <x:c r="K68" s="69"/>
      <x:c r="L68" s="70"/>
      <x:c r="N68" s="111">
        <x:f>+N42+F44+F45+F46</x:f>
        <x:v>206648257.08219391</x:v>
      </x:c>
      <x:c r="P68" s="181">
        <x:v>87471716.175386563</x:v>
      </x:c>
    </x:row>
    <x:row r="69" spans="1:16" x14ac:dyDescent="0.3">
      <x:c r="B69" s="171">
        <x:f t="shared" si="1"/>
        <x:v>53</x:v>
      </x:c>
      <x:c r="C69" s="167" t="s">
        <x:v>192</x:v>
      </x:c>
      <x:c r="D69" s="7"/>
      <x:c r="E69" s="7"/>
      <x:c r="F69" s="69"/>
      <x:c r="G69" s="7"/>
      <x:c r="H69" s="69"/>
      <x:c r="I69" s="69"/>
      <x:c r="J69" s="69"/>
      <x:c r="K69" s="69"/>
      <x:c r="L69" s="70"/>
      <x:c r="N69" s="112">
        <x:f>+N68+F56</x:f>
        <x:v>185425474.27335429</x:v>
      </x:c>
      <x:c r="P69" s="181">
        <x:v>54962047.967496797</x:v>
      </x:c>
    </x:row>
    <x:row r="70" spans="1:16" x14ac:dyDescent="0.3">
      <x:c r="B70" s="171">
        <x:f t="shared" si="1"/>
        <x:v>54</x:v>
      </x:c>
      <x:c r="C70" s="75" t="s">
        <x:v>52</x:v>
      </x:c>
      <x:c r="D70" s="7"/>
      <x:c r="E70" s="7"/>
      <x:c r="F70" s="69"/>
      <x:c r="G70" s="7"/>
      <x:c r="H70" s="69"/>
      <x:c r="I70" s="69"/>
      <x:c r="J70" s="69"/>
      <x:c r="K70" s="69"/>
      <x:c r="L70" s="70"/>
      <x:c r="N70" s="113">
        <x:f>+N69*F60</x:f>
        <x:v>13851282.928219566</x:v>
      </x:c>
      <x:c r="P70" s="181">
        <x:v>3924290.2248792718</x:v>
      </x:c>
    </x:row>
    <x:row r="71" spans="1:16" ht="14" thickBot="1" x14ac:dyDescent="0.35">
      <x:c r="B71" s="171">
        <x:f t="shared" si="1"/>
        <x:v>55</x:v>
      </x:c>
      <x:c r="C71" s="118" t="s">
        <x:v>196</x:v>
      </x:c>
      <x:c r="D71" s="52"/>
      <x:c r="E71" s="52"/>
      <x:c r="F71" s="136"/>
      <x:c r="G71" s="52"/>
      <x:c r="H71" s="136"/>
      <x:c r="I71" s="136"/>
      <x:c r="J71" s="136"/>
      <x:c r="K71" s="136"/>
      <x:c r="L71" s="157"/>
      <x:c r="P71" s="181"/>
    </x:row>
    <x:row r="72" spans="1:16" ht="14" thickBot="1" x14ac:dyDescent="0.35">
      <x:c r="C72" s="177" t="s">
        <x:v>132</x:v>
      </x:c>
      <x:c r="D72" s="50"/>
      <x:c r="F72" s="137"/>
      <x:c r="G72" s="50"/>
      <x:c r="H72" s="137"/>
      <x:c r="I72" s="137"/>
      <x:c r="J72" s="137"/>
      <x:c r="K72" s="137"/>
      <x:c r="L72" s="137"/>
      <x:c r="P72" s="181"/>
    </x:row>
    <x:row r="73" spans="1:16" x14ac:dyDescent="0.3">
      <x:c r="C73" s="77"/>
      <x:c r="D73" s="51"/>
      <x:c r="E73" s="51"/>
      <x:c r="F73" s="138"/>
      <x:c r="G73" s="51"/>
      <x:c r="H73" s="138"/>
      <x:c r="I73" s="138"/>
      <x:c r="J73" s="138"/>
      <x:c r="K73" s="158" t="s">
        <x:v>53</x:v>
      </x:c>
      <x:c r="L73" s="159"/>
      <x:c r="P73" s="181"/>
    </x:row>
    <x:row r="74" spans="1:16" x14ac:dyDescent="0.3">
      <x:c r="B74" s="171">
        <x:v>56</x:v>
      </x:c>
      <x:c r="C74" s="25"/>
      <x:c r="D74" s="7"/>
      <x:c r="E74" s="7"/>
      <x:c r="F74" s="69"/>
      <x:c r="G74" s="7"/>
      <x:c r="H74" s="160" t="s">
        <x:v>53</x:v>
      </x:c>
      <x:c r="I74" s="160" t="s">
        <x:v>53</x:v>
      </x:c>
      <x:c r="J74" s="69"/>
      <x:c r="K74" s="160" t="s">
        <x:v>45</x:v>
      </x:c>
      <x:c r="L74" s="161" t="s">
        <x:v>53</x:v>
      </x:c>
      <x:c r="P74" s="181"/>
    </x:row>
    <x:row r="75" spans="1:16" x14ac:dyDescent="0.3">
      <x:c r="B75" s="171">
        <x:f t="shared" ref="B75:B80" si="4">1+B74</x:f>
        <x:v>57</x:v>
      </x:c>
      <x:c r="C75" s="25"/>
      <x:c r="D75" s="7"/>
      <x:c r="E75" s="7"/>
      <x:c r="F75" s="139" t="s">
        <x:v>43</x:v>
      </x:c>
      <x:c r="G75" s="7"/>
      <x:c r="H75" s="160" t="s">
        <x:v>45</x:v>
      </x:c>
      <x:c r="I75" s="160" t="s">
        <x:v>45</x:v>
      </x:c>
      <x:c r="J75" s="160" t="s">
        <x:v>54</x:v>
      </x:c>
      <x:c r="K75" s="160" t="s">
        <x:v>49</x:v>
      </x:c>
      <x:c r="L75" s="161" t="s">
        <x:v>45</x:v>
      </x:c>
      <x:c r="P75" s="181"/>
    </x:row>
    <x:row r="76" spans="1:16" x14ac:dyDescent="0.3">
      <x:c r="B76" s="171">
        <x:f t="shared" si="4"/>
        <x:v>58</x:v>
      </x:c>
      <x:c r="C76" s="25"/>
      <x:c r="D76" s="7"/>
      <x:c r="E76" s="7"/>
      <x:c r="F76" s="140" t="s">
        <x:v>44</x:v>
      </x:c>
      <x:c r="G76" s="7"/>
      <x:c r="H76" s="162" t="s">
        <x:v>47</x:v>
      </x:c>
      <x:c r="I76" s="162" t="s">
        <x:v>46</x:v>
      </x:c>
      <x:c r="J76" s="140" t="s">
        <x:v>48</x:v>
      </x:c>
      <x:c r="K76" s="162" t="s">
        <x:v>50</x:v>
      </x:c>
      <x:c r="L76" s="163" t="s">
        <x:v>137</x:v>
      </x:c>
      <x:c r="P76" s="181"/>
    </x:row>
    <x:row r="77" spans="1:16" ht="6" customHeight="1" x14ac:dyDescent="0.3">
      <x:c r="B77" s="171"/>
      <x:c r="C77" s="25"/>
      <x:c r="D77" s="7"/>
      <x:c r="E77" s="7"/>
      <x:c r="F77" s="69"/>
      <x:c r="G77" s="7"/>
      <x:c r="H77" s="69"/>
      <x:c r="I77" s="69"/>
      <x:c r="J77" s="69"/>
      <x:c r="K77" s="69"/>
      <x:c r="L77" s="70"/>
      <x:c r="P77" s="181"/>
    </x:row>
    <x:row r="78" spans="1:16" x14ac:dyDescent="0.3">
      <x:c r="B78" s="171">
        <x:v>59</x:v>
      </x:c>
      <x:c r="C78" s="24" t="s">
        <x:v>145</x:v>
      </x:c>
      <x:c r="D78" s="8"/>
      <x:c r="E78" s="7"/>
      <x:c r="F78" s="69"/>
      <x:c r="G78" s="7"/>
      <x:c r="H78" s="69"/>
      <x:c r="I78" s="69"/>
      <x:c r="J78" s="69"/>
      <x:c r="K78" s="69"/>
      <x:c r="L78" s="70"/>
      <x:c r="P78" s="181"/>
    </x:row>
    <x:row r="79" spans="1:16" x14ac:dyDescent="0.3">
      <x:c r="B79" s="171">
        <x:f t="shared" si="4"/>
        <x:v>60</x:v>
      </x:c>
      <x:c r="C79" s="24"/>
      <x:c r="D79" s="6" t="s">
        <x:v>55</x:v>
      </x:c>
      <x:c r="E79" s="7"/>
      <x:c r="F79" s="69"/>
      <x:c r="G79" s="69"/>
      <x:c r="H79" s="69"/>
      <x:c r="I79" s="69"/>
      <x:c r="J79" s="69"/>
      <x:c r="K79" s="69"/>
      <x:c r="L79" s="70"/>
      <x:c r="P79" s="181"/>
    </x:row>
    <x:row r="80" spans="1:16" ht="14" x14ac:dyDescent="0.3">
      <x:c r="B80" s="171">
        <x:f t="shared" si="4"/>
        <x:v>61</x:v>
      </x:c>
      <x:c r="C80" s="25" t="s">
        <x:v>63</x:v>
      </x:c>
      <x:c r="D80" s="123" t="s">
        <x:v>184</x:v>
      </x:c>
      <x:c r="E80" s="7"/>
      <x:c r="F80" s="135">
        <x:f>'[1]II-I-DIST'!$Q$680</x:f>
        <x:v>33954.674334086354</x:v>
      </x:c>
      <x:c r="G80" s="69"/>
      <x:c r="H80" s="69"/>
      <x:c r="I80" s="69"/>
      <x:c r="J80" s="69">
        <x:f t="shared" ref="J80:J89" si="5">+F80</x:f>
        <x:v>33954.674334086354</x:v>
      </x:c>
      <x:c r="K80" s="69"/>
      <x:c r="L80" s="70"/>
      <x:c r="N80" s="42">
        <x:f t="shared" ref="N80:N89" si="6">SUM(H80:L80)</x:f>
        <x:v>33954.674334086354</x:v>
      </x:c>
      <x:c r="O80" s="56" t="s">
        <x:v>63</x:v>
      </x:c>
      <x:c r="P80" s="181"/>
    </x:row>
    <x:row r="81" spans="2:19" ht="14" x14ac:dyDescent="0.3">
      <x:c r="B81" s="171">
        <x:f t="shared" ref="B81:B130" si="7">1+B80</x:f>
        <x:v>62</x:v>
      </x:c>
      <x:c r="C81" s="25" t="s">
        <x:v>64</x:v>
      </x:c>
      <x:c r="D81" s="7" t="s">
        <x:v>56</x:v>
      </x:c>
      <x:c r="E81" s="7"/>
      <x:c r="F81" s="135">
        <x:f>'[1]II-I-DIST'!$Q$681</x:f>
        <x:v>37957.419914192047</x:v>
      </x:c>
      <x:c r="G81" s="69"/>
      <x:c r="H81" s="69"/>
      <x:c r="I81" s="69"/>
      <x:c r="J81" s="69">
        <x:f t="shared" si="5"/>
        <x:v>37957.419914192047</x:v>
      </x:c>
      <x:c r="K81" s="69"/>
      <x:c r="L81" s="70"/>
      <x:c r="N81" s="42">
        <x:f t="shared" si="6"/>
        <x:v>37957.419914192047</x:v>
      </x:c>
      <x:c r="O81" s="56" t="s">
        <x:v>64</x:v>
      </x:c>
      <x:c r="P81" s="181"/>
    </x:row>
    <x:row r="82" spans="2:19" ht="14" x14ac:dyDescent="0.3">
      <x:c r="B82" s="171">
        <x:f t="shared" si="7"/>
        <x:v>63</x:v>
      </x:c>
      <x:c r="C82" s="25" t="s">
        <x:v>65</x:v>
      </x:c>
      <x:c r="D82" s="7" t="s">
        <x:v>66</x:v>
      </x:c>
      <x:c r="E82" s="7"/>
      <x:c r="F82" s="135">
        <x:f>'[1]II-I-DIST'!$Q682</x:f>
        <x:v>14939.043708096693</x:v>
      </x:c>
      <x:c r="G82" s="69"/>
      <x:c r="H82" s="69"/>
      <x:c r="I82" s="69"/>
      <x:c r="J82" s="69">
        <x:f t="shared" si="5"/>
        <x:v>14939.043708096693</x:v>
      </x:c>
      <x:c r="K82" s="69"/>
      <x:c r="L82" s="70"/>
      <x:c r="N82" s="42">
        <x:f t="shared" si="6"/>
        <x:v>14939.043708096693</x:v>
      </x:c>
      <x:c r="O82" s="56" t="s">
        <x:v>65</x:v>
      </x:c>
      <x:c r="P82" s="181"/>
    </x:row>
    <x:row r="83" spans="2:19" ht="14" x14ac:dyDescent="0.3">
      <x:c r="B83" s="171">
        <x:f t="shared" si="7"/>
        <x:v>64</x:v>
      </x:c>
      <x:c r="C83" s="25" t="s">
        <x:v>67</x:v>
      </x:c>
      <x:c r="D83" s="7" t="s">
        <x:v>68</x:v>
      </x:c>
      <x:c r="E83" s="7"/>
      <x:c r="F83" s="135">
        <x:f>'[1]II-I-DIST'!$Q683</x:f>
        <x:v>68616.839214536099</x:v>
      </x:c>
      <x:c r="G83" s="69"/>
      <x:c r="H83" s="69"/>
      <x:c r="I83" s="69"/>
      <x:c r="J83" s="69">
        <x:f t="shared" si="5"/>
        <x:v>68616.839214536099</x:v>
      </x:c>
      <x:c r="K83" s="69"/>
      <x:c r="L83" s="70"/>
      <x:c r="N83" s="42">
        <x:f t="shared" si="6"/>
        <x:v>68616.839214536099</x:v>
      </x:c>
      <x:c r="O83" s="56" t="s">
        <x:v>67</x:v>
      </x:c>
      <x:c r="P83" s="181"/>
    </x:row>
    <x:row r="84" spans="2:19" ht="14" x14ac:dyDescent="0.3">
      <x:c r="B84" s="171">
        <x:f t="shared" si="7"/>
        <x:v>65</x:v>
      </x:c>
      <x:c r="C84" s="25" t="s">
        <x:v>69</x:v>
      </x:c>
      <x:c r="D84" s="7" t="s">
        <x:v>70</x:v>
      </x:c>
      <x:c r="E84" s="7"/>
      <x:c r="F84" s="135">
        <x:f>'[1]II-I-DIST'!$Q684</x:f>
        <x:v>30445.292543655134</x:v>
      </x:c>
      <x:c r="G84" s="69"/>
      <x:c r="H84" s="69"/>
      <x:c r="I84" s="69"/>
      <x:c r="J84" s="69">
        <x:f t="shared" si="5"/>
        <x:v>30445.292543655134</x:v>
      </x:c>
      <x:c r="K84" s="69"/>
      <x:c r="L84" s="70"/>
      <x:c r="N84" s="42">
        <x:f t="shared" si="6"/>
        <x:v>30445.292543655134</x:v>
      </x:c>
      <x:c r="O84" s="56" t="s">
        <x:v>69</x:v>
      </x:c>
      <x:c r="P84" s="181"/>
    </x:row>
    <x:row r="85" spans="2:19" ht="14" x14ac:dyDescent="0.3">
      <x:c r="B85" s="171">
        <x:f t="shared" si="7"/>
        <x:v>66</x:v>
      </x:c>
      <x:c r="C85" s="25" t="s">
        <x:v>71</x:v>
      </x:c>
      <x:c r="D85" s="7" t="s">
        <x:v>72</x:v>
      </x:c>
      <x:c r="E85" s="7"/>
      <x:c r="F85" s="135">
        <x:f>'[1]II-I-DIST'!$Q685</x:f>
        <x:v>157.6</x:v>
      </x:c>
      <x:c r="G85" s="69"/>
      <x:c r="H85" s="69"/>
      <x:c r="I85" s="69"/>
      <x:c r="J85" s="69">
        <x:f t="shared" si="5"/>
        <x:v>157.6</x:v>
      </x:c>
      <x:c r="K85" s="69"/>
      <x:c r="L85" s="70"/>
      <x:c r="N85" s="42">
        <x:f t="shared" si="6"/>
        <x:v>157.6</x:v>
      </x:c>
      <x:c r="O85" s="56" t="s">
        <x:v>71</x:v>
      </x:c>
      <x:c r="P85" s="181"/>
    </x:row>
    <x:row r="86" spans="2:19" ht="14" x14ac:dyDescent="0.3">
      <x:c r="B86" s="171">
        <x:f t="shared" si="7"/>
        <x:v>67</x:v>
      </x:c>
      <x:c r="C86" s="25" t="s">
        <x:v>73</x:v>
      </x:c>
      <x:c r="D86" s="7" t="s">
        <x:v>74</x:v>
      </x:c>
      <x:c r="E86" s="7"/>
      <x:c r="F86" s="135">
        <x:f>'[1]II-I-DIST'!$Q686</x:f>
        <x:v>0</x:v>
      </x:c>
      <x:c r="G86" s="69"/>
      <x:c r="H86" s="69"/>
      <x:c r="I86" s="69"/>
      <x:c r="J86" s="69">
        <x:f t="shared" si="5"/>
        <x:v>0</x:v>
      </x:c>
      <x:c r="K86" s="69"/>
      <x:c r="L86" s="70"/>
      <x:c r="N86" s="42">
        <x:f t="shared" si="6"/>
        <x:v>0</x:v>
      </x:c>
      <x:c r="O86" s="56" t="s">
        <x:v>73</x:v>
      </x:c>
      <x:c r="P86" s="181"/>
    </x:row>
    <x:row r="87" spans="2:19" ht="14" x14ac:dyDescent="0.3">
      <x:c r="B87" s="171">
        <x:f t="shared" si="7"/>
        <x:v>68</x:v>
      </x:c>
      <x:c r="C87" s="25" t="s">
        <x:v>75</x:v>
      </x:c>
      <x:c r="D87" s="7" t="s">
        <x:v>76</x:v>
      </x:c>
      <x:c r="E87" s="7"/>
      <x:c r="F87" s="135">
        <x:f>'[1]II-I-DIST'!$Q687</x:f>
        <x:v>1415.3755533209876</x:v>
      </x:c>
      <x:c r="G87" s="69"/>
      <x:c r="H87" s="69"/>
      <x:c r="I87" s="69"/>
      <x:c r="J87" s="69">
        <x:f t="shared" si="5"/>
        <x:v>1415.3755533209876</x:v>
      </x:c>
      <x:c r="K87" s="69"/>
      <x:c r="L87" s="70"/>
      <x:c r="N87" s="42">
        <x:f t="shared" si="6"/>
        <x:v>1415.3755533209876</x:v>
      </x:c>
      <x:c r="O87" s="56" t="s">
        <x:v>75</x:v>
      </x:c>
      <x:c r="P87" s="181"/>
    </x:row>
    <x:row r="88" spans="2:19" ht="14" x14ac:dyDescent="0.3">
      <x:c r="B88" s="171">
        <x:f t="shared" si="7"/>
        <x:v>69</x:v>
      </x:c>
      <x:c r="C88" s="25" t="s">
        <x:v>77</x:v>
      </x:c>
      <x:c r="D88" s="124" t="s">
        <x:v>188</x:v>
      </x:c>
      <x:c r="E88" s="7"/>
      <x:c r="F88" s="135">
        <x:f>'[1]II-I-DIST'!$Q688</x:f>
        <x:v>334617.35508891975</x:v>
      </x:c>
      <x:c r="G88" s="69"/>
      <x:c r="H88" s="93"/>
      <x:c r="I88" s="93"/>
      <x:c r="J88" s="69">
        <x:f t="shared" si="5"/>
        <x:v>334617.35508891975</x:v>
      </x:c>
      <x:c r="K88" s="69"/>
      <x:c r="L88" s="70"/>
      <x:c r="N88" s="42">
        <x:f t="shared" si="6"/>
        <x:v>334617.35508891975</x:v>
      </x:c>
      <x:c r="O88" s="56" t="s">
        <x:v>167</x:v>
      </x:c>
      <x:c r="P88" s="181"/>
    </x:row>
    <x:row r="89" spans="2:19" ht="14" x14ac:dyDescent="0.3">
      <x:c r="B89" s="171">
        <x:f t="shared" si="7"/>
        <x:v>70</x:v>
      </x:c>
      <x:c r="C89" s="25" t="s">
        <x:v>78</x:v>
      </x:c>
      <x:c r="D89" s="7" t="s">
        <x:v>79</x:v>
      </x:c>
      <x:c r="E89" s="7"/>
      <x:c r="F89" s="135">
        <x:f>'[1]II-I-DIST'!$Q689</x:f>
        <x:v>616.68775441123432</x:v>
      </x:c>
      <x:c r="G89" s="69"/>
      <x:c r="H89" s="69"/>
      <x:c r="I89" s="69"/>
      <x:c r="J89" s="69">
        <x:f t="shared" si="5"/>
        <x:v>616.68775441123432</x:v>
      </x:c>
      <x:c r="K89" s="69"/>
      <x:c r="L89" s="70"/>
      <x:c r="N89" s="42">
        <x:f t="shared" si="6"/>
        <x:v>616.68775441123432</x:v>
      </x:c>
      <x:c r="O89" s="56" t="s">
        <x:v>78</x:v>
      </x:c>
      <x:c r="P89" s="181"/>
    </x:row>
    <x:row r="90" spans="2:19" ht="14" thickBot="1" x14ac:dyDescent="0.35">
      <x:c r="B90" s="171">
        <x:f t="shared" si="7"/>
        <x:v>71</x:v>
      </x:c>
      <x:c r="C90" s="24"/>
      <x:c r="D90" s="9" t="s">
        <x:v>0</x:v>
      </x:c>
      <x:c r="E90" s="7"/>
      <x:c r="F90" s="94">
        <x:f>SUM(F80:F89)</x:f>
        <x:v>522720.28811121837</x:v>
      </x:c>
      <x:c r="G90" s="69"/>
      <x:c r="H90" s="94">
        <x:f>SUM(H80:H89)</x:f>
        <x:v>0</x:v>
      </x:c>
      <x:c r="I90" s="94">
        <x:f>SUM(I80:I89)</x:f>
        <x:v>0</x:v>
      </x:c>
      <x:c r="J90" s="94">
        <x:f>SUM(J80:J89)</x:f>
        <x:v>522720.28811121837</x:v>
      </x:c>
      <x:c r="K90" s="94">
        <x:f>SUM(K80:K89)</x:f>
        <x:v>0</x:v>
      </x:c>
      <x:c r="L90" s="95">
        <x:f>SUM(L80:L89)</x:f>
        <x:v>0</x:v>
      </x:c>
      <x:c r="N90" s="106">
        <x:f>SUM(N80:N89)</x:f>
        <x:v>522720.28811121837</x:v>
      </x:c>
      <x:c r="P90" s="91"/>
      <x:c r="Q90" s="91"/>
      <x:c r="R90" s="42"/>
      <x:c r="S90" s="42"/>
    </x:row>
    <x:row r="91" spans="2:19" ht="14" thickTop="1" x14ac:dyDescent="0.3">
      <x:c r="B91" s="171">
        <x:f t="shared" si="7"/>
        <x:v>72</x:v>
      </x:c>
      <x:c r="C91" s="25"/>
      <x:c r="D91" s="7"/>
      <x:c r="E91" s="7"/>
      <x:c r="F91" s="69"/>
      <x:c r="G91" s="7"/>
      <x:c r="H91" s="69"/>
      <x:c r="I91" s="69"/>
      <x:c r="J91" s="69"/>
      <x:c r="K91" s="69"/>
      <x:c r="L91" s="70"/>
      <x:c r="P91" s="181"/>
    </x:row>
    <x:row r="92" spans="2:19" ht="6.75" customHeight="1" x14ac:dyDescent="0.3">
      <x:c r="B92" s="171"/>
      <x:c r="C92" s="25"/>
      <x:c r="D92" s="124"/>
      <x:c r="E92" s="7"/>
      <x:c r="F92" s="69"/>
      <x:c r="G92" s="7"/>
      <x:c r="H92" s="69"/>
      <x:c r="I92" s="69"/>
      <x:c r="J92" s="69"/>
      <x:c r="K92" s="69"/>
      <x:c r="L92" s="70"/>
      <x:c r="P92" s="181"/>
    </x:row>
    <x:row r="93" spans="2:19" ht="12.75" hidden="1" customHeight="1" x14ac:dyDescent="0.3">
      <x:c r="B93" s="171">
        <x:f t="shared" si="7"/>
        <x:v>1</x:v>
      </x:c>
      <x:c r="C93" s="26" t="s">
        <x:v>80</x:v>
      </x:c>
      <x:c r="D93" s="1"/>
      <x:c r="E93" s="7"/>
      <x:c r="F93" s="69"/>
      <x:c r="G93" s="7"/>
      <x:c r="H93" s="69"/>
      <x:c r="I93" s="69"/>
      <x:c r="J93" s="69"/>
      <x:c r="K93" s="69"/>
      <x:c r="L93" s="70"/>
      <x:c r="P93" s="181"/>
    </x:row>
    <x:row r="94" spans="2:19" ht="12.75" hidden="1" customHeight="1" x14ac:dyDescent="0.3">
      <x:c r="B94" s="171">
        <x:f t="shared" si="7"/>
        <x:v>2</x:v>
      </x:c>
      <x:c r="C94" s="26"/>
      <x:c r="D94" s="1"/>
      <x:c r="E94" s="7"/>
      <x:c r="F94" s="69"/>
      <x:c r="G94" s="7"/>
      <x:c r="H94" s="69"/>
      <x:c r="I94" s="69"/>
      <x:c r="J94" s="69"/>
      <x:c r="K94" s="69"/>
      <x:c r="L94" s="70"/>
      <x:c r="P94" s="181"/>
    </x:row>
    <x:row r="95" spans="2:19" x14ac:dyDescent="0.3">
      <x:c r="B95" s="171">
        <x:v>73</x:v>
      </x:c>
      <x:c r="C95" s="27"/>
      <x:c r="D95" s="10" t="s">
        <x:v>58</x:v>
      </x:c>
      <x:c r="E95" s="11"/>
      <x:c r="F95" s="69"/>
      <x:c r="G95" s="11"/>
      <x:c r="H95" s="69"/>
      <x:c r="I95" s="69"/>
      <x:c r="J95" s="69"/>
      <x:c r="K95" s="69"/>
      <x:c r="L95" s="70"/>
      <x:c r="P95" s="181"/>
    </x:row>
    <x:row r="96" spans="2:19" ht="14" x14ac:dyDescent="0.3">
      <x:c r="B96" s="171">
        <x:f t="shared" si="7"/>
        <x:v>74</x:v>
      </x:c>
      <x:c r="C96" s="28" t="s">
        <x:v>81</x:v>
      </x:c>
      <x:c r="D96" s="123" t="s">
        <x:v>185</x:v>
      </x:c>
      <x:c r="E96" s="11"/>
      <x:c r="F96" s="135">
        <x:f>'[1]II-I-DIST'!$Q696</x:f>
        <x:v>161927.53644089116</x:v>
      </x:c>
      <x:c r="G96" s="93"/>
      <x:c r="H96" s="69"/>
      <x:c r="I96" s="96">
        <x:f>F96-L96</x:f>
        <x:v>9778.5364408911555</x:v>
      </x:c>
      <x:c r="J96" s="93"/>
      <x:c r="K96" s="69"/>
      <x:c r="L96" s="97">
        <x:f>ROUND(F96*(L102/(F105-F96)),0)</x:f>
        <x:v>152149</x:v>
      </x:c>
      <x:c r="N96" s="42">
        <x:f t="shared" ref="N96:N104" si="8">SUM(H96:L96)</x:f>
        <x:v>161927.53644089116</x:v>
      </x:c>
      <x:c r="O96" s="56" t="s">
        <x:v>81</x:v>
      </x:c>
      <x:c r="P96" s="181"/>
    </x:row>
    <x:row r="97" spans="2:19" ht="14" x14ac:dyDescent="0.3">
      <x:c r="B97" s="171">
        <x:f t="shared" si="7"/>
        <x:v>75</x:v>
      </x:c>
      <x:c r="C97" s="28" t="s">
        <x:v>82</x:v>
      </x:c>
      <x:c r="D97" s="12" t="s">
        <x:v>59</x:v>
      </x:c>
      <x:c r="E97" s="11"/>
      <x:c r="F97" s="135">
        <x:f>'[1]II-I-DIST'!$Q697</x:f>
        <x:v>207.09089596307479</x:v>
      </x:c>
      <x:c r="G97" s="93"/>
      <x:c r="H97" s="69"/>
      <x:c r="I97" s="96">
        <x:f>+F97</x:f>
        <x:v>207.09089596307479</x:v>
      </x:c>
      <x:c r="J97" s="93"/>
      <x:c r="K97" s="69"/>
      <x:c r="L97" s="97"/>
      <x:c r="N97" s="42">
        <x:f t="shared" si="8"/>
        <x:v>207.09089596307479</x:v>
      </x:c>
      <x:c r="O97" s="56" t="s">
        <x:v>82</x:v>
      </x:c>
      <x:c r="P97" s="181"/>
    </x:row>
    <x:row r="98" spans="2:19" ht="14" x14ac:dyDescent="0.3">
      <x:c r="B98" s="171">
        <x:f t="shared" si="7"/>
        <x:v>76</x:v>
      </x:c>
      <x:c r="C98" s="28" t="s">
        <x:v>83</x:v>
      </x:c>
      <x:c r="D98" s="11" t="s">
        <x:v>60</x:v>
      </x:c>
      <x:c r="E98" s="11"/>
      <x:c r="F98" s="135">
        <x:f>'[1]II-I-DIST'!$Q698</x:f>
        <x:v>27895.161336000325</x:v>
      </x:c>
      <x:c r="G98" s="93"/>
      <x:c r="H98" s="69"/>
      <x:c r="I98" s="96">
        <x:f>+F98</x:f>
        <x:v>27895.161336000325</x:v>
      </x:c>
      <x:c r="J98" s="93"/>
      <x:c r="K98" s="69"/>
      <x:c r="L98" s="97"/>
      <x:c r="N98" s="42">
        <x:f t="shared" si="8"/>
        <x:v>27895.161336000325</x:v>
      </x:c>
      <x:c r="O98" s="56" t="s">
        <x:v>83</x:v>
      </x:c>
      <x:c r="P98" s="181"/>
    </x:row>
    <x:row r="99" spans="2:19" ht="14" x14ac:dyDescent="0.3">
      <x:c r="B99" s="171">
        <x:f t="shared" si="7"/>
        <x:v>77</x:v>
      </x:c>
      <x:c r="C99" s="28" t="s">
        <x:v>84</x:v>
      </x:c>
      <x:c r="D99" s="12" t="s">
        <x:v>61</x:v>
      </x:c>
      <x:c r="E99" s="11"/>
      <x:c r="F99" s="135">
        <x:f>'[1]II-I-DIST'!$Q699</x:f>
        <x:v>388409.39050696767</x:v>
      </x:c>
      <x:c r="G99" s="93"/>
      <x:c r="H99" s="69"/>
      <x:c r="I99" s="96">
        <x:f>+F99</x:f>
        <x:v>388409.39050696767</x:v>
      </x:c>
      <x:c r="J99" s="93"/>
      <x:c r="K99" s="69"/>
      <x:c r="L99" s="97"/>
      <x:c r="N99" s="42">
        <x:f t="shared" si="8"/>
        <x:v>388409.39050696767</x:v>
      </x:c>
      <x:c r="O99" s="56" t="s">
        <x:v>84</x:v>
      </x:c>
      <x:c r="P99" s="181"/>
    </x:row>
    <x:row r="100" spans="2:19" ht="14" x14ac:dyDescent="0.3">
      <x:c r="B100" s="171">
        <x:f t="shared" si="7"/>
        <x:v>78</x:v>
      </x:c>
      <x:c r="C100" s="28" t="s">
        <x:v>85</x:v>
      </x:c>
      <x:c r="D100" s="11" t="s">
        <x:v>62</x:v>
      </x:c>
      <x:c r="E100" s="11"/>
      <x:c r="F100" s="135">
        <x:f>'[1]II-I-DIST'!$Q700</x:f>
        <x:v>100566.00741393073</x:v>
      </x:c>
      <x:c r="G100" s="93"/>
      <x:c r="H100" s="69"/>
      <x:c r="I100" s="96">
        <x:f>+F100</x:f>
        <x:v>100566.00741393073</x:v>
      </x:c>
      <x:c r="J100" s="93"/>
      <x:c r="K100" s="69"/>
      <x:c r="L100" s="97"/>
      <x:c r="N100" s="42">
        <x:f t="shared" si="8"/>
        <x:v>100566.00741393073</x:v>
      </x:c>
      <x:c r="O100" s="56" t="s">
        <x:v>85</x:v>
      </x:c>
      <x:c r="P100" s="181"/>
    </x:row>
    <x:row r="101" spans="2:19" ht="14" x14ac:dyDescent="0.3">
      <x:c r="B101" s="171">
        <x:f t="shared" si="7"/>
        <x:v>79</x:v>
      </x:c>
      <x:c r="C101" s="28" t="s">
        <x:v>86</x:v>
      </x:c>
      <x:c r="D101" s="11" t="s">
        <x:v>87</x:v>
      </x:c>
      <x:c r="E101" s="11"/>
      <x:c r="F101" s="135">
        <x:f>'[1]II-I-DIST'!$Q701</x:f>
        <x:v>12859.057446080618</x:v>
      </x:c>
      <x:c r="G101" s="93"/>
      <x:c r="H101" s="69"/>
      <x:c r="I101" s="96">
        <x:f>+F101</x:f>
        <x:v>12859.057446080618</x:v>
      </x:c>
      <x:c r="J101" s="93"/>
      <x:c r="K101" s="69"/>
      <x:c r="L101" s="97"/>
      <x:c r="N101" s="42">
        <x:f t="shared" si="8"/>
        <x:v>12859.057446080618</x:v>
      </x:c>
      <x:c r="O101" s="56" t="s">
        <x:v>86</x:v>
      </x:c>
      <x:c r="P101" s="181"/>
    </x:row>
    <x:row r="102" spans="2:19" ht="14" x14ac:dyDescent="0.3">
      <x:c r="B102" s="171">
        <x:f t="shared" si="7"/>
        <x:v>80</x:v>
      </x:c>
      <x:c r="C102" s="28" t="s">
        <x:v>88</x:v>
      </x:c>
      <x:c r="D102" s="11" t="s">
        <x:v>89</x:v>
      </x:c>
      <x:c r="E102" s="11"/>
      <x:c r="F102" s="135">
        <x:f>'[1]II-I-DIST'!$Q702</x:f>
        <x:v>10452984.359999968</x:v>
      </x:c>
      <x:c r="G102" s="93"/>
      <x:c r="H102" s="69"/>
      <x:c r="I102" s="93"/>
      <x:c r="J102" s="93"/>
      <x:c r="K102" s="69"/>
      <x:c r="L102" s="70">
        <x:f>+F102</x:f>
        <x:v>10452984.359999968</x:v>
      </x:c>
      <x:c r="N102" s="42">
        <x:f t="shared" si="8"/>
        <x:v>10452984.359999968</x:v>
      </x:c>
      <x:c r="O102" s="56" t="s">
        <x:v>88</x:v>
      </x:c>
      <x:c r="P102" s="181"/>
    </x:row>
    <x:row r="103" spans="2:19" ht="14" x14ac:dyDescent="0.3">
      <x:c r="B103" s="171">
        <x:f t="shared" si="7"/>
        <x:v>81</x:v>
      </x:c>
      <x:c r="C103" s="28" t="s">
        <x:v>90</x:v>
      </x:c>
      <x:c r="D103" s="11" t="s">
        <x:v>91</x:v>
      </x:c>
      <x:c r="E103" s="11"/>
      <x:c r="F103" s="135">
        <x:f>'[1]II-I-DIST'!$Q703</x:f>
        <x:v>0</x:v>
      </x:c>
      <x:c r="G103" s="93"/>
      <x:c r="H103" s="69"/>
      <x:c r="I103" s="93"/>
      <x:c r="J103" s="93"/>
      <x:c r="K103" s="69"/>
      <x:c r="L103" s="97">
        <x:f>+F103</x:f>
        <x:v>0</x:v>
      </x:c>
      <x:c r="N103" s="42">
        <x:f t="shared" si="8"/>
        <x:v>0</x:v>
      </x:c>
      <x:c r="O103" s="56" t="s">
        <x:v>90</x:v>
      </x:c>
      <x:c r="P103" s="181"/>
    </x:row>
    <x:row r="104" spans="2:19" ht="14" x14ac:dyDescent="0.3">
      <x:c r="B104" s="171">
        <x:f t="shared" si="7"/>
        <x:v>82</x:v>
      </x:c>
      <x:c r="C104" s="28" t="s">
        <x:v>92</x:v>
      </x:c>
      <x:c r="D104" s="11" t="s">
        <x:v>93</x:v>
      </x:c>
      <x:c r="E104" s="11"/>
      <x:c r="F104" s="135">
        <x:f>'[1]II-I-DIST'!$Q704</x:f>
        <x:v>141882.25125963727</x:v>
      </x:c>
      <x:c r="G104" s="93"/>
      <x:c r="H104" s="69"/>
      <x:c r="I104" s="96">
        <x:f>+F104</x:f>
        <x:v>141882.25125963727</x:v>
      </x:c>
      <x:c r="J104" s="93"/>
      <x:c r="K104" s="69"/>
      <x:c r="L104" s="97"/>
      <x:c r="N104" s="42">
        <x:f t="shared" si="8"/>
        <x:v>141882.25125963727</x:v>
      </x:c>
      <x:c r="O104" s="56" t="s">
        <x:v>92</x:v>
      </x:c>
      <x:c r="P104" s="181"/>
    </x:row>
    <x:row r="105" spans="2:19" ht="14" thickBot="1" x14ac:dyDescent="0.35">
      <x:c r="B105" s="171">
        <x:f t="shared" si="7"/>
        <x:v>83</x:v>
      </x:c>
      <x:c r="C105" s="27"/>
      <x:c r="D105" s="13" t="s">
        <x:v>0</x:v>
      </x:c>
      <x:c r="E105" s="11"/>
      <x:c r="F105" s="98">
        <x:f>SUM(F96:F104)</x:f>
        <x:v>11286730.855299439</x:v>
      </x:c>
      <x:c r="G105" s="93"/>
      <x:c r="H105" s="94">
        <x:f>SUM(H96:H104)</x:f>
        <x:v>0</x:v>
      </x:c>
      <x:c r="I105" s="94">
        <x:f>SUM(I96:I104)</x:f>
        <x:v>681597.49529947084</x:v>
      </x:c>
      <x:c r="J105" s="94">
        <x:f>SUM(J96:J104)</x:f>
        <x:v>0</x:v>
      </x:c>
      <x:c r="K105" s="94">
        <x:f>SUM(K96:K104)</x:f>
        <x:v>0</x:v>
      </x:c>
      <x:c r="L105" s="95">
        <x:f>SUM(L96:L104)</x:f>
        <x:v>10605133.359999968</x:v>
      </x:c>
      <x:c r="N105" s="105">
        <x:f>SUM(N96:N104)</x:f>
        <x:v>11286730.855299439</x:v>
      </x:c>
      <x:c r="P105" s="181"/>
      <x:c r="Q105" s="91"/>
      <x:c r="R105" s="42"/>
      <x:c r="S105" s="42"/>
    </x:row>
    <x:row r="106" spans="2:19" ht="14" thickTop="1" x14ac:dyDescent="0.3">
      <x:c r="B106" s="171">
        <x:f t="shared" si="7"/>
        <x:v>84</x:v>
      </x:c>
      <x:c r="C106" s="28"/>
      <x:c r="D106" s="122"/>
      <x:c r="E106" s="11"/>
      <x:c r="F106" s="69"/>
      <x:c r="G106" s="11"/>
      <x:c r="H106" s="69"/>
      <x:c r="I106" s="69"/>
      <x:c r="J106" s="69"/>
      <x:c r="K106" s="69"/>
      <x:c r="L106" s="70"/>
      <x:c r="P106" s="181"/>
    </x:row>
    <x:row r="107" spans="2:19" x14ac:dyDescent="0.3">
      <x:c r="B107" s="171">
        <x:f t="shared" si="7"/>
        <x:v>85</x:v>
      </x:c>
      <x:c r="C107" s="24"/>
      <x:c r="D107" s="6" t="s">
        <x:v>94</x:v>
      </x:c>
      <x:c r="E107" s="7"/>
      <x:c r="F107" s="99"/>
      <x:c r="G107" s="69"/>
      <x:c r="H107" s="69"/>
      <x:c r="I107" s="69"/>
      <x:c r="J107" s="100"/>
      <x:c r="K107" s="69"/>
      <x:c r="L107" s="70"/>
      <x:c r="P107" s="181"/>
    </x:row>
    <x:row r="108" spans="2:19" x14ac:dyDescent="0.3">
      <x:c r="B108" s="171">
        <x:f t="shared" si="7"/>
        <x:v>86</x:v>
      </x:c>
      <x:c r="C108" s="127" t="s">
        <x:v>189</x:v>
      </x:c>
      <x:c r="D108" s="124" t="s">
        <x:v>190</x:v>
      </x:c>
      <x:c r="E108" s="7"/>
      <x:c r="F108" s="68">
        <x:f>'[1]II-I-DIST'!$Q$729</x:f>
        <x:v>57.416615195700857</x:v>
      </x:c>
      <x:c r="G108" s="69"/>
      <x:c r="H108" s="69"/>
      <x:c r="I108" s="69"/>
      <x:c r="J108" s="69">
        <x:f>+F108</x:f>
        <x:v>57.416615195700857</x:v>
      </x:c>
      <x:c r="K108" s="69"/>
      <x:c r="L108" s="70"/>
      <x:c r="P108" s="181"/>
    </x:row>
    <x:row r="109" spans="2:19" ht="14" thickBot="1" x14ac:dyDescent="0.35">
      <x:c r="B109" s="171">
        <x:f t="shared" si="7"/>
        <x:v>87</x:v>
      </x:c>
      <x:c r="C109" s="24"/>
      <x:c r="D109" s="9" t="s">
        <x:v>96</x:v>
      </x:c>
      <x:c r="E109" s="7"/>
      <x:c r="F109" s="98">
        <x:f>+F108</x:f>
        <x:v>57.416615195700857</x:v>
      </x:c>
      <x:c r="G109" s="69"/>
      <x:c r="H109" s="94">
        <x:f>+H108</x:f>
        <x:v>0</x:v>
      </x:c>
      <x:c r="I109" s="94">
        <x:f>+I108</x:f>
        <x:v>0</x:v>
      </x:c>
      <x:c r="J109" s="94">
        <x:f>+J108</x:f>
        <x:v>57.416615195700857</x:v>
      </x:c>
      <x:c r="K109" s="94">
        <x:f>+K108</x:f>
        <x:v>0</x:v>
      </x:c>
      <x:c r="L109" s="95">
        <x:f>+L108</x:f>
        <x:v>0</x:v>
      </x:c>
      <x:c r="P109" s="181"/>
    </x:row>
    <x:row r="110" spans="2:19" ht="14" thickTop="1" x14ac:dyDescent="0.3">
      <x:c r="B110" s="171">
        <x:f t="shared" si="7"/>
        <x:v>88</x:v>
      </x:c>
      <x:c r="C110" s="25"/>
      <x:c r="D110" s="7"/>
      <x:c r="E110" s="7"/>
      <x:c r="F110" s="93"/>
      <x:c r="G110" s="69"/>
      <x:c r="H110" s="69"/>
      <x:c r="I110" s="69"/>
      <x:c r="J110" s="69"/>
      <x:c r="K110" s="69"/>
      <x:c r="L110" s="70"/>
      <x:c r="P110" s="181"/>
    </x:row>
    <x:row r="111" spans="2:19" x14ac:dyDescent="0.3">
      <x:c r="B111" s="171">
        <x:f t="shared" si="7"/>
        <x:v>89</x:v>
      </x:c>
      <x:c r="C111" s="24"/>
      <x:c r="D111" s="6" t="s">
        <x:v>97</x:v>
      </x:c>
      <x:c r="E111" s="7"/>
      <x:c r="F111" s="93"/>
      <x:c r="G111" s="69"/>
      <x:c r="H111" s="69"/>
      <x:c r="I111" s="69"/>
      <x:c r="J111" s="69"/>
      <x:c r="K111" s="69"/>
      <x:c r="L111" s="70"/>
      <x:c r="P111" s="181"/>
    </x:row>
    <x:row r="112" spans="2:19" x14ac:dyDescent="0.3">
      <x:c r="B112" s="171">
        <x:f t="shared" si="7"/>
        <x:v>90</x:v>
      </x:c>
      <x:c r="C112" s="25" t="s">
        <x:v>98</x:v>
      </x:c>
      <x:c r="D112" s="7" t="s">
        <x:v>99</x:v>
      </x:c>
      <x:c r="E112" s="7"/>
      <x:c r="F112" s="68">
        <x:f>'[1]II-I-DIST'!$Q734</x:f>
        <x:v>0</x:v>
      </x:c>
      <x:c r="G112" s="69"/>
      <x:c r="H112" s="69"/>
      <x:c r="I112" s="69"/>
      <x:c r="J112" s="69"/>
      <x:c r="K112" s="69"/>
      <x:c r="L112" s="70"/>
      <x:c r="N112" s="42">
        <x:f>SUM(H112:L112)</x:f>
        <x:v>0</x:v>
      </x:c>
      <x:c r="P112" s="181"/>
    </x:row>
    <x:row r="113" spans="2:19" x14ac:dyDescent="0.3">
      <x:c r="B113" s="171">
        <x:f t="shared" si="7"/>
        <x:v>91</x:v>
      </x:c>
      <x:c r="C113" s="25" t="s">
        <x:v>100</x:v>
      </x:c>
      <x:c r="D113" s="7" t="s">
        <x:v>95</x:v>
      </x:c>
      <x:c r="E113" s="7"/>
      <x:c r="F113" s="68">
        <x:f>'[1]II-I-DIST'!$Q735</x:f>
        <x:v>0</x:v>
      </x:c>
      <x:c r="G113" s="69"/>
      <x:c r="H113" s="69"/>
      <x:c r="I113" s="69"/>
      <x:c r="J113" s="69"/>
      <x:c r="K113" s="69"/>
      <x:c r="L113" s="70"/>
      <x:c r="N113" s="42">
        <x:f>SUM(H113:L113)</x:f>
        <x:v>0</x:v>
      </x:c>
      <x:c r="P113" s="181"/>
    </x:row>
    <x:row r="114" spans="2:19" x14ac:dyDescent="0.3">
      <x:c r="B114" s="171">
        <x:f t="shared" si="7"/>
        <x:v>92</x:v>
      </x:c>
      <x:c r="C114" s="25" t="s">
        <x:v>159</x:v>
      </x:c>
      <x:c r="D114" s="7" t="s">
        <x:v>160</x:v>
      </x:c>
      <x:c r="E114" s="7"/>
      <x:c r="F114" s="68">
        <x:f>'[1]II-I-DIST'!$Q736</x:f>
        <x:v>2921.8058399588122</x:v>
      </x:c>
      <x:c r="G114" s="69"/>
      <x:c r="H114" s="69"/>
      <x:c r="I114" s="69"/>
      <x:c r="J114" s="69">
        <x:f>+F114</x:f>
        <x:v>2921.8058399588122</x:v>
      </x:c>
      <x:c r="K114" s="69"/>
      <x:c r="L114" s="70"/>
      <x:c r="N114" s="42">
        <x:f>SUM(H114:L114)</x:f>
        <x:v>2921.8058399588122</x:v>
      </x:c>
      <x:c r="P114" s="181"/>
    </x:row>
    <x:row r="115" spans="2:19" x14ac:dyDescent="0.3">
      <x:c r="B115" s="171">
        <x:f t="shared" si="7"/>
        <x:v>93</x:v>
      </x:c>
      <x:c r="C115" s="25" t="s">
        <x:v>101</x:v>
      </x:c>
      <x:c r="D115" s="7" t="s">
        <x:v>102</x:v>
      </x:c>
      <x:c r="E115" s="7"/>
      <x:c r="F115" s="68">
        <x:f>'[1]II-I-DIST'!$Q737</x:f>
        <x:v>0</x:v>
      </x:c>
      <x:c r="G115" s="69"/>
      <x:c r="H115" s="69"/>
      <x:c r="I115" s="69"/>
      <x:c r="J115" s="69"/>
      <x:c r="K115" s="69"/>
      <x:c r="L115" s="70"/>
      <x:c r="N115" s="42">
        <x:f>SUM(H115:L115)</x:f>
        <x:v>0</x:v>
      </x:c>
      <x:c r="P115" s="181"/>
    </x:row>
    <x:row r="116" spans="2:19" x14ac:dyDescent="0.3">
      <x:c r="B116" s="171">
        <x:f t="shared" si="7"/>
        <x:v>94</x:v>
      </x:c>
      <x:c r="C116" s="25" t="s">
        <x:v>103</x:v>
      </x:c>
      <x:c r="D116" s="7" t="s">
        <x:v>104</x:v>
      </x:c>
      <x:c r="E116" s="7"/>
      <x:c r="F116" s="68">
        <x:f>'[1]II-I-DIST'!$Q738</x:f>
        <x:v>14.470457164847815</x:v>
      </x:c>
      <x:c r="G116" s="69"/>
      <x:c r="H116" s="69"/>
      <x:c r="I116" s="69"/>
      <x:c r="J116" s="69">
        <x:f>+F116</x:f>
        <x:v>14.470457164847815</x:v>
      </x:c>
      <x:c r="K116" s="69"/>
      <x:c r="L116" s="70"/>
      <x:c r="N116" s="42">
        <x:f>SUM(H116:L116)</x:f>
        <x:v>14.470457164847815</x:v>
      </x:c>
      <x:c r="P116" s="181"/>
    </x:row>
    <x:row r="117" spans="2:19" ht="14" thickBot="1" x14ac:dyDescent="0.35">
      <x:c r="B117" s="171">
        <x:f t="shared" si="7"/>
        <x:v>95</x:v>
      </x:c>
      <x:c r="C117" s="24"/>
      <x:c r="D117" s="14" t="s">
        <x:v>0</x:v>
      </x:c>
      <x:c r="E117" s="7"/>
      <x:c r="F117" s="98">
        <x:f>SUM(F112:F116)</x:f>
        <x:v>2936.2762971236598</x:v>
      </x:c>
      <x:c r="G117" s="69"/>
      <x:c r="H117" s="94">
        <x:f>SUM(H112:H116)</x:f>
        <x:v>0</x:v>
      </x:c>
      <x:c r="I117" s="94">
        <x:f>SUM(I112:I116)</x:f>
        <x:v>0</x:v>
      </x:c>
      <x:c r="J117" s="94">
        <x:f>SUM(J112:J116)</x:f>
        <x:v>2936.2762971236598</x:v>
      </x:c>
      <x:c r="K117" s="94">
        <x:f>SUM(K112:K116)</x:f>
        <x:v>0</x:v>
      </x:c>
      <x:c r="L117" s="95">
        <x:f>SUM(L112:L116)</x:f>
        <x:v>0</x:v>
      </x:c>
      <x:c r="N117" s="105">
        <x:f>SUM(N108:N116)</x:f>
        <x:v>2936.2762971236598</x:v>
      </x:c>
      <x:c r="P117" s="181"/>
      <x:c r="Q117" s="91"/>
      <x:c r="R117" s="42"/>
      <x:c r="S117" s="42"/>
    </x:row>
    <x:row r="118" spans="2:19" ht="14" thickTop="1" x14ac:dyDescent="0.3">
      <x:c r="B118" s="171">
        <x:f t="shared" si="7"/>
        <x:v>96</x:v>
      </x:c>
      <x:c r="C118" s="25"/>
      <x:c r="D118" s="7"/>
      <x:c r="E118" s="7"/>
      <x:c r="F118" s="101"/>
      <x:c r="G118" s="69"/>
      <x:c r="H118" s="69"/>
      <x:c r="I118" s="69"/>
      <x:c r="J118" s="69"/>
      <x:c r="K118" s="69"/>
      <x:c r="L118" s="70"/>
      <x:c r="P118" s="181"/>
    </x:row>
    <x:row r="119" spans="2:19" x14ac:dyDescent="0.3">
      <x:c r="B119" s="171">
        <x:f t="shared" si="7"/>
        <x:v>97</x:v>
      </x:c>
      <x:c r="C119" s="25"/>
      <x:c r="D119" s="7"/>
      <x:c r="E119" s="7"/>
      <x:c r="F119" s="102"/>
      <x:c r="G119" s="69"/>
      <x:c r="H119" s="69"/>
      <x:c r="I119" s="69"/>
      <x:c r="J119" s="69"/>
      <x:c r="K119" s="69"/>
      <x:c r="L119" s="70"/>
      <x:c r="P119" s="181"/>
    </x:row>
    <x:row r="120" spans="2:19" x14ac:dyDescent="0.3">
      <x:c r="B120" s="171">
        <x:f t="shared" si="7"/>
        <x:v>98</x:v>
      </x:c>
      <x:c r="C120" s="24"/>
      <x:c r="D120" s="15" t="s">
        <x:v>105</x:v>
      </x:c>
      <x:c r="E120" s="7"/>
      <x:c r="F120" s="102"/>
      <x:c r="G120" s="69"/>
      <x:c r="H120" s="69"/>
      <x:c r="I120" s="69"/>
      <x:c r="J120" s="69"/>
      <x:c r="K120" s="69"/>
      <x:c r="L120" s="70"/>
      <x:c r="P120" s="181"/>
    </x:row>
    <x:row r="121" spans="2:19" x14ac:dyDescent="0.3">
      <x:c r="B121" s="171">
        <x:f t="shared" si="7"/>
        <x:v>99</x:v>
      </x:c>
      <x:c r="C121" s="25" t="s">
        <x:v>176</x:v>
      </x:c>
      <x:c r="D121" s="7" t="s">
        <x:v>95</x:v>
      </x:c>
      <x:c r="E121" s="7"/>
      <x:c r="F121" s="68">
        <x:f>'[1]II-I-DIST'!$Q744</x:f>
        <x:v>0</x:v>
      </x:c>
      <x:c r="G121" s="69"/>
      <x:c r="H121" s="69"/>
      <x:c r="I121" s="69"/>
      <x:c r="J121" s="69">
        <x:f>+F121</x:f>
        <x:v>0</x:v>
      </x:c>
      <x:c r="K121" s="69"/>
      <x:c r="L121" s="70"/>
      <x:c r="N121" s="42">
        <x:f>SUM(H121:L121)</x:f>
        <x:v>0</x:v>
      </x:c>
      <x:c r="P121" s="181"/>
    </x:row>
    <x:row r="122" spans="2:19" x14ac:dyDescent="0.3">
      <x:c r="B122" s="171">
        <x:f t="shared" si="7"/>
        <x:v>100</x:v>
      </x:c>
      <x:c r="C122" s="25" t="s">
        <x:v>106</x:v>
      </x:c>
      <x:c r="D122" s="16" t="s">
        <x:v>107</x:v>
      </x:c>
      <x:c r="E122" s="7"/>
      <x:c r="F122" s="68">
        <x:f>'[1]II-I-DIST'!$Q745</x:f>
        <x:v>0</x:v>
      </x:c>
      <x:c r="G122" s="69"/>
      <x:c r="H122" s="69"/>
      <x:c r="I122" s="69"/>
      <x:c r="J122" s="69">
        <x:f>+F122</x:f>
        <x:v>0</x:v>
      </x:c>
      <x:c r="K122" s="69"/>
      <x:c r="L122" s="70"/>
      <x:c r="N122" s="42">
        <x:f>SUM(H122:L122)</x:f>
        <x:v>0</x:v>
      </x:c>
      <x:c r="P122" s="181"/>
    </x:row>
    <x:row r="123" spans="2:19" x14ac:dyDescent="0.3">
      <x:c r="B123" s="171">
        <x:f t="shared" si="7"/>
        <x:v>101</x:v>
      </x:c>
      <x:c r="C123" s="25" t="s">
        <x:v>108</x:v>
      </x:c>
      <x:c r="D123" s="16" t="s">
        <x:v>109</x:v>
      </x:c>
      <x:c r="E123" s="7"/>
      <x:c r="F123" s="68">
        <x:f>'[1]II-I-DIST'!$Q746</x:f>
        <x:v>0</x:v>
      </x:c>
      <x:c r="G123" s="69"/>
      <x:c r="H123" s="69"/>
      <x:c r="I123" s="69"/>
      <x:c r="J123" s="69">
        <x:f>+F123</x:f>
        <x:v>0</x:v>
      </x:c>
      <x:c r="K123" s="69"/>
      <x:c r="L123" s="70"/>
      <x:c r="N123" s="42">
        <x:f>SUM(H123:L123)</x:f>
        <x:v>0</x:v>
      </x:c>
      <x:c r="P123" s="181"/>
    </x:row>
    <x:row r="124" spans="2:19" x14ac:dyDescent="0.3">
      <x:c r="B124" s="171">
        <x:f t="shared" si="7"/>
        <x:v>102</x:v>
      </x:c>
      <x:c r="C124" s="25" t="s">
        <x:v>110</x:v>
      </x:c>
      <x:c r="D124" s="16" t="s">
        <x:v>111</x:v>
      </x:c>
      <x:c r="E124" s="7"/>
      <x:c r="F124" s="68">
        <x:f>'[1]II-I-DIST'!$Q747</x:f>
        <x:v>0</x:v>
      </x:c>
      <x:c r="G124" s="69"/>
      <x:c r="H124" s="69"/>
      <x:c r="I124" s="69"/>
      <x:c r="J124" s="69">
        <x:f>+F124</x:f>
        <x:v>0</x:v>
      </x:c>
      <x:c r="K124" s="69"/>
      <x:c r="L124" s="70"/>
      <x:c r="N124" s="42">
        <x:f>SUM(H124:L124)</x:f>
        <x:v>0</x:v>
      </x:c>
      <x:c r="P124" s="181"/>
    </x:row>
    <x:row r="125" spans="2:19" ht="14" thickBot="1" x14ac:dyDescent="0.35">
      <x:c r="B125" s="171">
        <x:f t="shared" si="7"/>
        <x:v>103</x:v>
      </x:c>
      <x:c r="C125" s="24"/>
      <x:c r="D125" s="9" t="s">
        <x:v>138</x:v>
      </x:c>
      <x:c r="E125" s="7"/>
      <x:c r="F125" s="98">
        <x:f>SUM(F121:F124)</x:f>
        <x:v>0</x:v>
      </x:c>
      <x:c r="G125" s="69"/>
      <x:c r="H125" s="94">
        <x:f>SUM(H122:H124)</x:f>
        <x:v>0</x:v>
      </x:c>
      <x:c r="I125" s="94">
        <x:f>SUM(I122:I124)</x:f>
        <x:v>0</x:v>
      </x:c>
      <x:c r="J125" s="94">
        <x:f>SUM(J122:J124)</x:f>
        <x:v>0</x:v>
      </x:c>
      <x:c r="K125" s="94">
        <x:f>SUM(K122:K124)</x:f>
        <x:v>0</x:v>
      </x:c>
      <x:c r="L125" s="95">
        <x:f>SUM(L122:L124)</x:f>
        <x:v>0</x:v>
      </x:c>
      <x:c r="N125" s="105">
        <x:f>SUM(N121:N124)</x:f>
        <x:v>0</x:v>
      </x:c>
      <x:c r="P125" s="181"/>
      <x:c r="Q125" s="91"/>
      <x:c r="R125" s="42"/>
      <x:c r="S125" s="42"/>
    </x:row>
    <x:row r="126" spans="2:19" ht="14" thickTop="1" x14ac:dyDescent="0.3">
      <x:c r="B126" s="171">
        <x:f t="shared" si="7"/>
        <x:v>104</x:v>
      </x:c>
      <x:c r="C126" s="24"/>
      <x:c r="D126" s="9"/>
      <x:c r="E126" s="7"/>
      <x:c r="F126" s="103"/>
      <x:c r="G126" s="69"/>
      <x:c r="H126" s="69"/>
      <x:c r="I126" s="69"/>
      <x:c r="J126" s="69"/>
      <x:c r="K126" s="69"/>
      <x:c r="L126" s="70"/>
      <x:c r="P126" s="181"/>
    </x:row>
    <x:row r="127" spans="2:19" ht="14" thickBot="1" x14ac:dyDescent="0.35">
      <x:c r="B127" s="171">
        <x:f t="shared" si="7"/>
        <x:v>105</x:v>
      </x:c>
      <x:c r="C127" s="24" t="s">
        <x:v>150</x:v>
      </x:c>
      <x:c r="D127" s="8"/>
      <x:c r="E127" s="7"/>
      <x:c r="F127" s="94">
        <x:f>'[1]II-I-DIST'!$Q661</x:f>
        <x:v>3335.4755506659326</x:v>
      </x:c>
      <x:c r="G127" s="69"/>
      <x:c r="H127" s="104">
        <x:v>0</x:v>
      </x:c>
      <x:c r="I127" s="94">
        <x:f>+F127</x:f>
        <x:v>3335.4755506659326</x:v>
      </x:c>
      <x:c r="J127" s="94">
        <x:v>0</x:v>
      </x:c>
      <x:c r="K127" s="94">
        <x:v>0</x:v>
      </x:c>
      <x:c r="L127" s="95">
        <x:v>0</x:v>
      </x:c>
      <x:c r="P127" s="181"/>
    </x:row>
    <x:row r="128" spans="2:19" ht="14" thickTop="1" x14ac:dyDescent="0.3">
      <x:c r="B128" s="171">
        <x:f t="shared" si="7"/>
        <x:v>106</x:v>
      </x:c>
      <x:c r="C128" s="24"/>
      <x:c r="D128" s="9"/>
      <x:c r="E128" s="7"/>
      <x:c r="F128" s="103"/>
      <x:c r="G128" s="69"/>
      <x:c r="H128" s="69"/>
      <x:c r="I128" s="69"/>
      <x:c r="J128" s="69"/>
      <x:c r="K128" s="69"/>
      <x:c r="L128" s="70"/>
      <x:c r="P128" s="181"/>
    </x:row>
    <x:row r="129" spans="1:19" ht="14" thickBot="1" x14ac:dyDescent="0.35">
      <x:c r="B129" s="171">
        <x:f t="shared" si="7"/>
        <x:v>107</x:v>
      </x:c>
      <x:c r="C129" s="25"/>
      <x:c r="D129" s="7"/>
      <x:c r="E129" s="7"/>
      <x:c r="F129" s="69"/>
      <x:c r="G129" s="69"/>
      <x:c r="H129" s="69"/>
      <x:c r="I129" s="69"/>
      <x:c r="J129" s="69"/>
      <x:c r="K129" s="69"/>
      <x:c r="L129" s="70"/>
      <x:c r="P129" s="181"/>
    </x:row>
    <x:row r="130" spans="1:19" ht="14" thickBot="1" x14ac:dyDescent="0.35">
      <x:c r="A130" s="125"/>
      <x:c r="B130" s="171">
        <x:f t="shared" si="7"/>
        <x:v>108</x:v>
      </x:c>
      <x:c r="C130" s="65" t="s">
        <x:v>179</x:v>
      </x:c>
      <x:c r="D130" s="78"/>
      <x:c r="E130" s="7"/>
      <x:c r="F130" s="94">
        <x:f>F127+F125+F117+F109+F105+F90</x:f>
        <x:v>11815780.311873645</x:v>
      </x:c>
      <x:c r="G130" s="69"/>
      <x:c r="H130" s="94">
        <x:f>+H127+H125+H117+H109+H105+H90</x:f>
        <x:v>0</x:v>
      </x:c>
      <x:c r="I130" s="94">
        <x:f>+I127+I125+I117+I109+I105+I90</x:f>
        <x:v>684932.97085013683</x:v>
      </x:c>
      <x:c r="J130" s="94">
        <x:f>+J127+J125+J117+J109+J105+J90</x:f>
        <x:v>525713.98102353769</x:v>
      </x:c>
      <x:c r="K130" s="94">
        <x:f>+K127+K125+K117+K109+K105+K90</x:f>
        <x:v>0</x:v>
      </x:c>
      <x:c r="L130" s="95">
        <x:f>+L127+L125+L117+L109+L105+L90</x:f>
        <x:v>10605133.359999968</x:v>
      </x:c>
      <x:c r="N130" s="43">
        <x:f>SUM(H130:M130)</x:f>
        <x:v>11815780.311873643</x:v>
      </x:c>
      <x:c r="O130" s="43"/>
      <x:c r="P130" s="181"/>
      <x:c r="Q130" s="107"/>
      <x:c r="R130" s="43"/>
      <x:c r="S130" s="43"/>
    </x:row>
    <x:row r="131" spans="1:19" ht="6" customHeight="1" x14ac:dyDescent="0.3">
      <x:c r="B131" s="171"/>
      <x:c r="C131" s="25"/>
      <x:c r="D131" s="7"/>
      <x:c r="E131" s="7"/>
      <x:c r="F131" s="69"/>
      <x:c r="G131" s="7"/>
      <x:c r="H131" s="69"/>
      <x:c r="I131" s="69"/>
      <x:c r="J131" s="69"/>
      <x:c r="K131" s="69"/>
      <x:c r="L131" s="70"/>
      <x:c r="P131" s="181"/>
    </x:row>
    <x:row r="132" spans="1:19" x14ac:dyDescent="0.3">
      <x:c r="B132" s="171">
        <x:v>109</x:v>
      </x:c>
      <x:c r="C132" s="25"/>
      <x:c r="D132" s="7" t="s">
        <x:v>147</x:v>
      </x:c>
      <x:c r="E132" s="7"/>
      <x:c r="F132" s="69"/>
      <x:c r="G132" s="7"/>
      <x:c r="H132" s="69">
        <x:f>+H130/$F$130</x:f>
        <x:v>0</x:v>
      </x:c>
      <x:c r="I132" s="69">
        <x:f>+I130/$F$130</x:f>
        <x:v>5.7967646043812243E-2</x:v>
      </x:c>
      <x:c r="J132" s="69">
        <x:f>+J130/$F$130</x:f>
        <x:v>4.4492531779323045E-2</x:v>
      </x:c>
      <x:c r="K132" s="69">
        <x:f>+K130/$F$130</x:f>
        <x:v>0</x:v>
      </x:c>
      <x:c r="L132" s="70">
        <x:f>+L130/$F$130</x:f>
        <x:v>0.89753982217686457</x:v>
      </x:c>
      <x:c r="P132" s="181"/>
    </x:row>
    <x:row r="133" spans="1:19" ht="14" thickBot="1" x14ac:dyDescent="0.35">
      <x:c r="C133" s="76"/>
      <x:c r="D133" s="52"/>
      <x:c r="E133" s="52"/>
      <x:c r="F133" s="136"/>
      <x:c r="G133" s="52"/>
      <x:c r="H133" s="136"/>
      <x:c r="I133" s="136"/>
      <x:c r="J133" s="136"/>
      <x:c r="K133" s="136"/>
      <x:c r="L133" s="157"/>
      <x:c r="P133" s="181"/>
    </x:row>
    <x:row r="134" spans="1:19" x14ac:dyDescent="0.3">
      <x:c r="C134" s="50"/>
      <x:c r="D134" s="50"/>
      <x:c r="F134" s="137"/>
      <x:c r="G134" s="50"/>
      <x:c r="H134" s="137"/>
      <x:c r="I134" s="137"/>
      <x:c r="J134" s="137"/>
      <x:c r="K134" s="137"/>
      <x:c r="L134" s="137"/>
      <x:c r="P134" s="181"/>
    </x:row>
    <x:row r="135" spans="1:19" ht="14" thickBot="1" x14ac:dyDescent="0.35">
      <x:c r="C135" s="177" t="s">
        <x:v>134</x:v>
      </x:c>
      <x:c r="D135" s="50"/>
      <x:c r="F135" s="137"/>
      <x:c r="G135" s="50"/>
      <x:c r="H135" s="137"/>
      <x:c r="I135" s="137"/>
      <x:c r="J135" s="137"/>
      <x:c r="K135" s="137"/>
      <x:c r="L135" s="137"/>
      <x:c r="P135" s="181"/>
    </x:row>
    <x:row r="136" spans="1:19" x14ac:dyDescent="0.3">
      <x:c r="C136" s="77"/>
      <x:c r="D136" s="51"/>
      <x:c r="E136" s="51"/>
      <x:c r="F136" s="138"/>
      <x:c r="G136" s="51"/>
      <x:c r="H136" s="138"/>
      <x:c r="I136" s="138"/>
      <x:c r="J136" s="138"/>
      <x:c r="K136" s="158" t="s">
        <x:v>53</x:v>
      </x:c>
      <x:c r="L136" s="159"/>
      <x:c r="P136" s="181"/>
    </x:row>
    <x:row r="137" spans="1:19" x14ac:dyDescent="0.3">
      <x:c r="B137" s="171">
        <x:v>110</x:v>
      </x:c>
      <x:c r="C137" s="25"/>
      <x:c r="D137" s="7"/>
      <x:c r="E137" s="7"/>
      <x:c r="F137" s="69"/>
      <x:c r="G137" s="7"/>
      <x:c r="H137" s="160" t="s">
        <x:v>53</x:v>
      </x:c>
      <x:c r="I137" s="160" t="s">
        <x:v>53</x:v>
      </x:c>
      <x:c r="J137" s="69"/>
      <x:c r="K137" s="160" t="s">
        <x:v>45</x:v>
      </x:c>
      <x:c r="L137" s="161" t="s">
        <x:v>53</x:v>
      </x:c>
      <x:c r="P137" s="181"/>
    </x:row>
    <x:row r="138" spans="1:19" x14ac:dyDescent="0.3">
      <x:c r="B138" s="171">
        <x:f t="shared" ref="B138:B180" si="9">1+B137</x:f>
        <x:v>111</x:v>
      </x:c>
      <x:c r="C138" s="25"/>
      <x:c r="D138" s="7"/>
      <x:c r="E138" s="7"/>
      <x:c r="F138" s="139" t="s">
        <x:v>43</x:v>
      </x:c>
      <x:c r="G138" s="7"/>
      <x:c r="H138" s="160" t="s">
        <x:v>45</x:v>
      </x:c>
      <x:c r="I138" s="160" t="s">
        <x:v>45</x:v>
      </x:c>
      <x:c r="J138" s="160" t="s">
        <x:v>54</x:v>
      </x:c>
      <x:c r="K138" s="160" t="s">
        <x:v>49</x:v>
      </x:c>
      <x:c r="L138" s="161" t="s">
        <x:v>45</x:v>
      </x:c>
      <x:c r="P138" s="190">
        <x:f>'[1]WP II-I-2.2'!$P$45</x:f>
        <x:v>0</x:v>
      </x:c>
      <x:c r="Q138" s="191" t="str">
        <x:f>'[1]WP II-I-2.2'!$N$44</x:f>
        <x:v>A928 RCE portion not in rate design</x:v>
      </x:c>
    </x:row>
    <x:row r="139" spans="1:19" x14ac:dyDescent="0.3">
      <x:c r="B139" s="171">
        <x:f t="shared" si="9"/>
        <x:v>112</x:v>
      </x:c>
      <x:c r="C139" s="25"/>
      <x:c r="D139" s="7"/>
      <x:c r="E139" s="7"/>
      <x:c r="F139" s="140" t="s">
        <x:v>44</x:v>
      </x:c>
      <x:c r="G139" s="7"/>
      <x:c r="H139" s="162" t="s">
        <x:v>47</x:v>
      </x:c>
      <x:c r="I139" s="162" t="s">
        <x:v>46</x:v>
      </x:c>
      <x:c r="J139" s="140" t="s">
        <x:v>48</x:v>
      </x:c>
      <x:c r="K139" s="162" t="s">
        <x:v>50</x:v>
      </x:c>
      <x:c r="L139" s="163" t="s">
        <x:v>137</x:v>
      </x:c>
      <x:c r="P139" s="190">
        <x:f>1-'[1]WP II-I-2.2'!$P$45</x:f>
        <x:v>1</x:v>
      </x:c>
      <x:c r="Q139" s="188" t="s">
        <x:v>211</x:v>
      </x:c>
    </x:row>
    <x:row r="140" spans="1:19" ht="6" customHeight="1" x14ac:dyDescent="0.3">
      <x:c r="B140" s="171"/>
      <x:c r="C140" s="25"/>
      <x:c r="D140" s="7"/>
      <x:c r="E140" s="7"/>
      <x:c r="F140" s="69"/>
      <x:c r="G140" s="7"/>
      <x:c r="H140" s="69"/>
      <x:c r="I140" s="69"/>
      <x:c r="J140" s="69"/>
      <x:c r="K140" s="69"/>
      <x:c r="L140" s="70"/>
      <x:c r="P140" s="181"/>
    </x:row>
    <x:row r="141" spans="1:19" x14ac:dyDescent="0.3">
      <x:c r="B141" s="171">
        <x:v>113</x:v>
      </x:c>
      <x:c r="C141" s="24" t="s">
        <x:v>183</x:v>
      </x:c>
      <x:c r="D141" s="8"/>
      <x:c r="E141" s="7"/>
      <x:c r="F141" s="69"/>
      <x:c r="G141" s="7"/>
      <x:c r="H141" s="69"/>
      <x:c r="I141" s="69"/>
      <x:c r="J141" s="69"/>
      <x:c r="K141" s="69"/>
      <x:c r="L141" s="70"/>
      <x:c r="P141" s="181"/>
    </x:row>
    <x:row r="142" spans="1:19" x14ac:dyDescent="0.3">
      <x:c r="B142" s="171">
        <x:f t="shared" si="9"/>
        <x:v>114</x:v>
      </x:c>
      <x:c r="C142" s="25" t="s">
        <x:v>112</x:v>
      </x:c>
      <x:c r="D142" s="7" t="s">
        <x:v>113</x:v>
      </x:c>
      <x:c r="E142" s="7"/>
      <x:c r="F142" s="135">
        <x:f>'[1]II-I-DIST'!$Q769</x:f>
        <x:v>2178723.9885759</x:v>
      </x:c>
      <x:c r="G142" s="11"/>
      <x:c r="H142" s="69"/>
      <x:c r="I142" s="69"/>
      <x:c r="J142" s="69">
        <x:f>F142</x:f>
        <x:v>2178723.9885759</x:v>
      </x:c>
      <x:c r="K142" s="69"/>
      <x:c r="L142" s="70"/>
      <x:c r="N142" s="42">
        <x:f t="shared" ref="N142:N154" si="10">SUM(H142:L142)</x:f>
        <x:v>2178723.9885759</x:v>
      </x:c>
      <x:c r="O142" s="57" t="s">
        <x:v>112</x:v>
      </x:c>
      <x:c r="P142" s="181"/>
    </x:row>
    <x:row r="143" spans="1:19" x14ac:dyDescent="0.3">
      <x:c r="B143" s="171">
        <x:f t="shared" si="9"/>
        <x:v>115</x:v>
      </x:c>
      <x:c r="C143" s="25" t="s">
        <x:v>114</x:v>
      </x:c>
      <x:c r="D143" s="7" t="s">
        <x:v>115</x:v>
      </x:c>
      <x:c r="E143" s="7"/>
      <x:c r="F143" s="135">
        <x:f>'[1]II-I-DIST'!$Q770</x:f>
        <x:v>228922.69371349149</x:v>
      </x:c>
      <x:c r="G143" s="11"/>
      <x:c r="H143" s="69"/>
      <x:c r="I143" s="69"/>
      <x:c r="J143" s="69">
        <x:f t="shared" ref="J143:J154" si="11">F143</x:f>
        <x:v>228922.69371349149</x:v>
      </x:c>
      <x:c r="K143" s="69"/>
      <x:c r="L143" s="70"/>
      <x:c r="N143" s="42">
        <x:f t="shared" si="10"/>
        <x:v>228922.69371349149</x:v>
      </x:c>
      <x:c r="O143" s="57" t="s">
        <x:v>114</x:v>
      </x:c>
      <x:c r="P143" s="181"/>
    </x:row>
    <x:row r="144" spans="1:19" x14ac:dyDescent="0.3">
      <x:c r="B144" s="171">
        <x:f t="shared" si="9"/>
        <x:v>116</x:v>
      </x:c>
      <x:c r="C144" s="25" t="s">
        <x:v>116</x:v>
      </x:c>
      <x:c r="D144" s="7" t="s">
        <x:v>117</x:v>
      </x:c>
      <x:c r="E144" s="7"/>
      <x:c r="F144" s="135">
        <x:f>'[1]II-I-DIST'!$Q771</x:f>
        <x:v>0</x:v>
      </x:c>
      <x:c r="G144" s="11"/>
      <x:c r="H144" s="69"/>
      <x:c r="I144" s="69"/>
      <x:c r="J144" s="69">
        <x:f>F144</x:f>
        <x:v>0</x:v>
      </x:c>
      <x:c r="K144" s="69"/>
      <x:c r="L144" s="70"/>
      <x:c r="N144" s="42">
        <x:f t="shared" si="10"/>
        <x:v>0</x:v>
      </x:c>
      <x:c r="O144" s="57" t="s">
        <x:v>116</x:v>
      </x:c>
      <x:c r="P144" s="181"/>
    </x:row>
    <x:row r="145" spans="1:19" x14ac:dyDescent="0.3">
      <x:c r="B145" s="171">
        <x:f t="shared" si="9"/>
        <x:v>117</x:v>
      </x:c>
      <x:c r="C145" s="25" t="s">
        <x:v>118</x:v>
      </x:c>
      <x:c r="D145" s="39" t="s">
        <x:v>119</x:v>
      </x:c>
      <x:c r="E145" s="7"/>
      <x:c r="F145" s="135">
        <x:f>'[1]II-I-DIST'!$Q772</x:f>
        <x:v>2853052.9417901612</x:v>
      </x:c>
      <x:c r="G145" s="11"/>
      <x:c r="H145" s="69"/>
      <x:c r="I145" s="69"/>
      <x:c r="J145" s="69">
        <x:f>F145</x:f>
        <x:v>2853052.9417901612</x:v>
      </x:c>
      <x:c r="K145" s="69"/>
      <x:c r="L145" s="70"/>
      <x:c r="N145" s="42">
        <x:f t="shared" si="10"/>
        <x:v>2853052.9417901612</x:v>
      </x:c>
      <x:c r="O145" s="57" t="s">
        <x:v>118</x:v>
      </x:c>
      <x:c r="P145" s="181"/>
    </x:row>
    <x:row r="146" spans="1:19" x14ac:dyDescent="0.3">
      <x:c r="B146" s="171">
        <x:f t="shared" si="9"/>
        <x:v>118</x:v>
      </x:c>
      <x:c r="C146" s="25" t="s">
        <x:v>120</x:v>
      </x:c>
      <x:c r="D146" s="7" t="s">
        <x:v>121</x:v>
      </x:c>
      <x:c r="E146" s="7"/>
      <x:c r="F146" s="135">
        <x:f>'[1]II-I-DIST'!$Q773</x:f>
        <x:v>19260638.998913523</x:v>
      </x:c>
      <x:c r="G146" s="11"/>
      <x:c r="H146" s="69">
        <x:f>+F146</x:f>
        <x:v>19260638.998913523</x:v>
      </x:c>
      <x:c r="I146" s="69"/>
      <x:c r="J146" s="69"/>
      <x:c r="K146" s="69"/>
      <x:c r="L146" s="70"/>
      <x:c r="N146" s="42">
        <x:f t="shared" si="10"/>
        <x:v>19260638.998913523</x:v>
      </x:c>
      <x:c r="O146" s="57" t="s">
        <x:v>120</x:v>
      </x:c>
      <x:c r="P146" s="181"/>
    </x:row>
    <x:row r="147" spans="1:19" x14ac:dyDescent="0.3">
      <x:c r="B147" s="171">
        <x:f t="shared" si="9"/>
        <x:v>119</x:v>
      </x:c>
      <x:c r="C147" s="25" t="s">
        <x:v>122</x:v>
      </x:c>
      <x:c r="D147" s="7" t="s">
        <x:v>123</x:v>
      </x:c>
      <x:c r="E147" s="7"/>
      <x:c r="F147" s="135">
        <x:f>'[1]II-I-DIST'!$Q774</x:f>
        <x:v>1935706.7906699688</x:v>
      </x:c>
      <x:c r="G147" s="11"/>
      <x:c r="H147" s="69"/>
      <x:c r="I147" s="69"/>
      <x:c r="J147" s="69">
        <x:f t="shared" si="11"/>
        <x:v>1935706.7906699688</x:v>
      </x:c>
      <x:c r="K147" s="69"/>
      <x:c r="L147" s="70"/>
      <x:c r="N147" s="42">
        <x:f t="shared" si="10"/>
        <x:v>1935706.7906699688</x:v>
      </x:c>
      <x:c r="O147" s="57" t="s">
        <x:v>122</x:v>
      </x:c>
      <x:c r="P147" s="181"/>
    </x:row>
    <x:row r="148" spans="1:19" x14ac:dyDescent="0.3">
      <x:c r="B148" s="171">
        <x:f t="shared" si="9"/>
        <x:v>120</x:v>
      </x:c>
      <x:c r="C148" s="25" t="s">
        <x:v>124</x:v>
      </x:c>
      <x:c r="D148" s="7" t="s">
        <x:v>125</x:v>
      </x:c>
      <x:c r="E148" s="7"/>
      <x:c r="F148" s="135">
        <x:f>'[1]II-I-DIST'!$Q775</x:f>
        <x:v>564751.34278854483</x:v>
      </x:c>
      <x:c r="G148" s="11"/>
      <x:c r="H148" s="69"/>
      <x:c r="I148" s="69"/>
      <x:c r="J148" s="69">
        <x:f t="shared" si="11"/>
        <x:v>564751.34278854483</x:v>
      </x:c>
      <x:c r="K148" s="69"/>
      <x:c r="L148" s="70"/>
      <x:c r="N148" s="42">
        <x:f t="shared" si="10"/>
        <x:v>564751.34278854483</x:v>
      </x:c>
      <x:c r="O148" s="57" t="s">
        <x:v>124</x:v>
      </x:c>
      <x:c r="P148" s="181"/>
    </x:row>
    <x:row r="149" spans="1:19" x14ac:dyDescent="0.3">
      <x:c r="B149" s="171">
        <x:f t="shared" si="9"/>
        <x:v>121</x:v>
      </x:c>
      <x:c r="C149" s="25" t="s">
        <x:v>126</x:v>
      </x:c>
      <x:c r="D149" s="124" t="s">
        <x:v>220</x:v>
      </x:c>
      <x:c r="E149" s="7"/>
      <x:c r="F149" s="135">
        <x:f>ROUND('[1]II-I-DIST'!$Q776*P139,0)</x:f>
        <x:v>25704</x:v>
      </x:c>
      <x:c r="G149" s="11"/>
      <x:c r="H149" s="69"/>
      <x:c r="I149" s="69"/>
      <x:c r="J149" s="69">
        <x:f t="shared" si="11"/>
        <x:v>25704</x:v>
      </x:c>
      <x:c r="K149" s="69"/>
      <x:c r="L149" s="70"/>
      <x:c r="N149" s="42">
        <x:f t="shared" si="10"/>
        <x:v>25704</x:v>
      </x:c>
      <x:c r="O149" s="57" t="s">
        <x:v>126</x:v>
      </x:c>
      <x:c r="P149" s="181"/>
    </x:row>
    <x:row r="150" spans="1:19" x14ac:dyDescent="0.3">
      <x:c r="B150" s="171">
        <x:f t="shared" si="9"/>
        <x:v>122</x:v>
      </x:c>
      <x:c r="C150" s="29" t="s">
        <x:v>177</x:v>
      </x:c>
      <x:c r="D150" s="7" t="s">
        <x:v>178</x:v>
      </x:c>
      <x:c r="E150" s="7"/>
      <x:c r="F150" s="135">
        <x:f>'[1]II-I-DIST'!$Q777</x:f>
        <x:v>2033.4616765258597</x:v>
      </x:c>
      <x:c r="G150" s="11"/>
      <x:c r="H150" s="69"/>
      <x:c r="I150" s="69"/>
      <x:c r="J150" s="69">
        <x:f>F150</x:f>
        <x:v>2033.4616765258597</x:v>
      </x:c>
      <x:c r="K150" s="69"/>
      <x:c r="L150" s="70"/>
      <x:c r="N150" s="42">
        <x:f t="shared" si="10"/>
        <x:v>2033.4616765258597</x:v>
      </x:c>
      <x:c r="O150" s="108" t="s">
        <x:v>177</x:v>
      </x:c>
      <x:c r="P150" s="181"/>
    </x:row>
    <x:row r="151" spans="1:19" x14ac:dyDescent="0.3">
      <x:c r="B151" s="171">
        <x:f t="shared" si="9"/>
        <x:v>123</x:v>
      </x:c>
      <x:c r="C151" s="29" t="s">
        <x:v>162</x:v>
      </x:c>
      <x:c r="D151" s="7" t="s">
        <x:v>127</x:v>
      </x:c>
      <x:c r="E151" s="7"/>
      <x:c r="F151" s="135">
        <x:f>'[1]II-I-DIST'!$Q778</x:f>
        <x:v>389460.67086888826</x:v>
      </x:c>
      <x:c r="G151" s="11"/>
      <x:c r="H151" s="69"/>
      <x:c r="I151" s="69"/>
      <x:c r="J151" s="69">
        <x:f t="shared" si="11"/>
        <x:v>389460.67086888826</x:v>
      </x:c>
      <x:c r="K151" s="69"/>
      <x:c r="L151" s="70"/>
      <x:c r="N151" s="42">
        <x:f t="shared" si="10"/>
        <x:v>389460.67086888826</x:v>
      </x:c>
      <x:c r="O151" s="57" t="s">
        <x:v>162</x:v>
      </x:c>
      <x:c r="P151" s="181"/>
    </x:row>
    <x:row r="152" spans="1:19" x14ac:dyDescent="0.3">
      <x:c r="B152" s="171">
        <x:f t="shared" si="9"/>
        <x:v>124</x:v>
      </x:c>
      <x:c r="C152" s="25" t="s">
        <x:v>128</x:v>
      </x:c>
      <x:c r="D152" s="7" t="s">
        <x:v>57</x:v>
      </x:c>
      <x:c r="E152" s="7"/>
      <x:c r="F152" s="135">
        <x:f>'[1]II-I-DIST'!$Q779</x:f>
        <x:v>36445.157199006717</x:v>
      </x:c>
      <x:c r="G152" s="11"/>
      <x:c r="H152" s="69"/>
      <x:c r="I152" s="69"/>
      <x:c r="J152" s="69">
        <x:f t="shared" si="11"/>
        <x:v>36445.157199006717</x:v>
      </x:c>
      <x:c r="K152" s="69"/>
      <x:c r="L152" s="70"/>
      <x:c r="N152" s="42">
        <x:f t="shared" si="10"/>
        <x:v>36445.157199006717</x:v>
      </x:c>
      <x:c r="O152" s="57" t="s">
        <x:v>128</x:v>
      </x:c>
      <x:c r="P152" s="181"/>
    </x:row>
    <x:row r="153" spans="1:19" x14ac:dyDescent="0.3">
      <x:c r="B153" s="171">
        <x:f t="shared" si="9"/>
        <x:v>125</x:v>
      </x:c>
      <x:c r="C153" s="25" t="s">
        <x:v>161</x:v>
      </x:c>
      <x:c r="D153" s="7" t="s">
        <x:v>130</x:v>
      </x:c>
      <x:c r="E153" s="7"/>
      <x:c r="F153" s="135">
        <x:f>'[1]II-I-DIST'!$Q780</x:f>
        <x:v>1161.271628132406</x:v>
      </x:c>
      <x:c r="G153" s="11"/>
      <x:c r="H153" s="69"/>
      <x:c r="I153" s="69"/>
      <x:c r="J153" s="69">
        <x:f>F153</x:f>
        <x:v>1161.271628132406</x:v>
      </x:c>
      <x:c r="K153" s="69"/>
      <x:c r="L153" s="70"/>
      <x:c r="N153" s="42">
        <x:f t="shared" si="10"/>
        <x:v>1161.271628132406</x:v>
      </x:c>
      <x:c r="O153" s="57" t="s">
        <x:v>161</x:v>
      </x:c>
      <x:c r="P153" s="181"/>
    </x:row>
    <x:row r="154" spans="1:19" x14ac:dyDescent="0.3">
      <x:c r="B154" s="171">
        <x:f t="shared" si="9"/>
        <x:v>126</x:v>
      </x:c>
      <x:c r="C154" s="25" t="s">
        <x:v>129</x:v>
      </x:c>
      <x:c r="D154" s="7" t="s">
        <x:v>130</x:v>
      </x:c>
      <x:c r="E154" s="7"/>
      <x:c r="F154" s="135">
        <x:f>'[1]II-I-DIST'!$Q781</x:f>
        <x:v>24197.049193865689</x:v>
      </x:c>
      <x:c r="G154" s="11"/>
      <x:c r="H154" s="69"/>
      <x:c r="I154" s="69"/>
      <x:c r="J154" s="69">
        <x:f t="shared" si="11"/>
        <x:v>24197.049193865689</x:v>
      </x:c>
      <x:c r="K154" s="69"/>
      <x:c r="L154" s="70"/>
      <x:c r="N154" s="42">
        <x:f t="shared" si="10"/>
        <x:v>24197.049193865689</x:v>
      </x:c>
      <x:c r="O154" s="57" t="s">
        <x:v>129</x:v>
      </x:c>
      <x:c r="P154" s="181"/>
    </x:row>
    <x:row r="155" spans="1:19" ht="6" customHeight="1" x14ac:dyDescent="0.3">
      <x:c r="B155" s="171"/>
      <x:c r="C155" s="25"/>
      <x:c r="D155" s="7"/>
      <x:c r="E155" s="7"/>
      <x:c r="F155" s="69"/>
      <x:c r="G155" s="11"/>
      <x:c r="H155" s="69"/>
      <x:c r="I155" s="69"/>
      <x:c r="J155" s="69"/>
      <x:c r="K155" s="69"/>
      <x:c r="L155" s="70"/>
      <x:c r="P155" s="181"/>
    </x:row>
    <x:row r="156" spans="1:19" ht="14" thickBot="1" x14ac:dyDescent="0.35">
      <x:c r="A156" s="125"/>
      <x:c r="B156" s="171">
        <x:v>127</x:v>
      </x:c>
      <x:c r="C156" s="24" t="s">
        <x:v>131</x:v>
      </x:c>
      <x:c r="D156" s="80"/>
      <x:c r="E156" s="7"/>
      <x:c r="F156" s="94">
        <x:f>SUM(F142:F155)</x:f>
        <x:v>27500798.36701801</x:v>
      </x:c>
      <x:c r="G156" s="81"/>
      <x:c r="H156" s="94">
        <x:f>SUM(H142:H155)</x:f>
        <x:v>19260638.998913523</x:v>
      </x:c>
      <x:c r="I156" s="94">
        <x:f>SUM(I142:I155)</x:f>
        <x:v>0</x:v>
      </x:c>
      <x:c r="J156" s="94">
        <x:f>SUM(J142:J155)</x:f>
        <x:v>8240159.3681044849</x:v>
      </x:c>
      <x:c r="K156" s="94">
        <x:f>SUM(K142:K155)</x:f>
        <x:v>0</x:v>
      </x:c>
      <x:c r="L156" s="95">
        <x:f>SUM(L142:L155)</x:f>
        <x:v>0</x:v>
      </x:c>
      <x:c r="N156" s="106">
        <x:f>SUM(N142:N155)</x:f>
        <x:v>27500798.36701801</x:v>
      </x:c>
      <x:c r="P156" s="181"/>
      <x:c r="Q156" s="107"/>
      <x:c r="R156" s="43"/>
      <x:c r="S156" s="43"/>
    </x:row>
    <x:row r="157" spans="1:19" ht="14.5" thickTop="1" thickBot="1" x14ac:dyDescent="0.35">
      <x:c r="B157" s="171"/>
      <x:c r="C157" s="76"/>
      <x:c r="D157" s="52"/>
      <x:c r="E157" s="52"/>
      <x:c r="F157" s="136"/>
      <x:c r="G157" s="38"/>
      <x:c r="H157" s="136"/>
      <x:c r="I157" s="136"/>
      <x:c r="J157" s="136"/>
      <x:c r="K157" s="136"/>
      <x:c r="L157" s="157"/>
      <x:c r="P157" s="181"/>
    </x:row>
    <x:row r="158" spans="1:19" x14ac:dyDescent="0.3">
      <x:c r="B158" s="171"/>
      <x:c r="C158" s="50"/>
      <x:c r="D158" s="50"/>
      <x:c r="F158" s="137"/>
      <x:c r="G158" s="79"/>
      <x:c r="H158" s="137"/>
      <x:c r="I158" s="137"/>
      <x:c r="J158" s="137"/>
      <x:c r="K158" s="69"/>
      <x:c r="L158" s="69"/>
      <x:c r="P158" s="181"/>
    </x:row>
    <x:row r="159" spans="1:19" x14ac:dyDescent="0.3">
      <x:c r="B159" s="171"/>
      <x:c r="C159" s="50"/>
      <x:c r="D159" s="50"/>
      <x:c r="F159" s="137"/>
      <x:c r="G159" s="50"/>
      <x:c r="H159" s="137"/>
      <x:c r="I159" s="137"/>
      <x:c r="J159" s="137"/>
      <x:c r="K159" s="69"/>
      <x:c r="L159" s="69"/>
      <x:c r="P159" s="181"/>
    </x:row>
    <x:row r="160" spans="1:19" ht="14" thickBot="1" x14ac:dyDescent="0.35">
      <x:c r="B160" s="171"/>
      <x:c r="C160" s="177" t="s">
        <x:v>139</x:v>
      </x:c>
      <x:c r="D160" s="50"/>
      <x:c r="F160" s="137"/>
      <x:c r="G160" s="50"/>
      <x:c r="H160" s="137"/>
      <x:c r="I160" s="137"/>
      <x:c r="J160" s="137"/>
      <x:c r="K160" s="69"/>
      <x:c r="L160" s="69"/>
      <x:c r="P160" s="181"/>
    </x:row>
    <x:row r="161" spans="2:19" x14ac:dyDescent="0.3">
      <x:c r="B161" s="171"/>
      <x:c r="C161" s="77"/>
      <x:c r="D161" s="51"/>
      <x:c r="E161" s="51"/>
      <x:c r="F161" s="138"/>
      <x:c r="G161" s="51"/>
      <x:c r="H161" s="138"/>
      <x:c r="I161" s="138"/>
      <x:c r="J161" s="138"/>
      <x:c r="K161" s="158" t="s">
        <x:v>53</x:v>
      </x:c>
      <x:c r="L161" s="159"/>
      <x:c r="P161" s="181"/>
    </x:row>
    <x:row r="162" spans="2:19" x14ac:dyDescent="0.3">
      <x:c r="B162" s="171">
        <x:v>128</x:v>
      </x:c>
      <x:c r="C162" s="25"/>
      <x:c r="D162" s="7"/>
      <x:c r="E162" s="7"/>
      <x:c r="F162" s="69"/>
      <x:c r="G162" s="7"/>
      <x:c r="H162" s="160" t="s">
        <x:v>53</x:v>
      </x:c>
      <x:c r="I162" s="160" t="s">
        <x:v>53</x:v>
      </x:c>
      <x:c r="J162" s="69"/>
      <x:c r="K162" s="160" t="s">
        <x:v>45</x:v>
      </x:c>
      <x:c r="L162" s="161" t="s">
        <x:v>53</x:v>
      </x:c>
      <x:c r="P162" s="181"/>
    </x:row>
    <x:row r="163" spans="2:19" x14ac:dyDescent="0.3">
      <x:c r="B163" s="171">
        <x:f t="shared" si="9"/>
        <x:v>129</x:v>
      </x:c>
      <x:c r="C163" s="25"/>
      <x:c r="D163" s="7"/>
      <x:c r="E163" s="7"/>
      <x:c r="F163" s="139" t="s">
        <x:v>43</x:v>
      </x:c>
      <x:c r="G163" s="7"/>
      <x:c r="H163" s="160" t="s">
        <x:v>45</x:v>
      </x:c>
      <x:c r="I163" s="160" t="s">
        <x:v>45</x:v>
      </x:c>
      <x:c r="J163" s="160" t="s">
        <x:v>54</x:v>
      </x:c>
      <x:c r="K163" s="160" t="s">
        <x:v>49</x:v>
      </x:c>
      <x:c r="L163" s="161" t="s">
        <x:v>45</x:v>
      </x:c>
      <x:c r="P163" s="181"/>
    </x:row>
    <x:row r="164" spans="2:19" x14ac:dyDescent="0.3">
      <x:c r="B164" s="171">
        <x:f t="shared" si="9"/>
        <x:v>130</x:v>
      </x:c>
      <x:c r="C164" s="25"/>
      <x:c r="D164" s="7"/>
      <x:c r="E164" s="7"/>
      <x:c r="F164" s="140" t="s">
        <x:v>44</x:v>
      </x:c>
      <x:c r="G164" s="7"/>
      <x:c r="H164" s="162" t="s">
        <x:v>47</x:v>
      </x:c>
      <x:c r="I164" s="162" t="s">
        <x:v>46</x:v>
      </x:c>
      <x:c r="J164" s="140" t="s">
        <x:v>48</x:v>
      </x:c>
      <x:c r="K164" s="162" t="s">
        <x:v>50</x:v>
      </x:c>
      <x:c r="L164" s="163" t="s">
        <x:v>137</x:v>
      </x:c>
      <x:c r="P164" s="181"/>
    </x:row>
    <x:row r="165" spans="2:19" ht="18" customHeight="1" x14ac:dyDescent="0.3">
      <x:c r="B165" s="171">
        <x:f t="shared" si="9"/>
        <x:v>131</x:v>
      </x:c>
      <x:c r="C165" s="25"/>
      <x:c r="D165" s="7"/>
      <x:c r="E165" s="7"/>
      <x:c r="F165" s="69"/>
      <x:c r="G165" s="7"/>
      <x:c r="H165" s="69"/>
      <x:c r="I165" s="69"/>
      <x:c r="J165" s="69"/>
      <x:c r="K165" s="69"/>
      <x:c r="L165" s="70"/>
      <x:c r="P165" s="181"/>
    </x:row>
    <x:row r="166" spans="2:19" ht="14" thickBot="1" x14ac:dyDescent="0.35">
      <x:c r="B166" s="171">
        <x:f t="shared" si="9"/>
        <x:v>132</x:v>
      </x:c>
      <x:c r="C166" s="24" t="s">
        <x:v>146</x:v>
      </x:c>
      <x:c r="D166" s="8"/>
      <x:c r="E166" s="7"/>
      <x:c r="F166" s="94">
        <x:f>'[1]II-I-DIST'!$Q1091</x:f>
        <x:v>172969.5518673296</x:v>
      </x:c>
      <x:c r="G166" s="8"/>
      <x:c r="H166" s="94">
        <x:f>ROUND($F$166*H132,0)</x:f>
        <x:v>0</x:v>
      </x:c>
      <x:c r="I166" s="94">
        <x:f>ROUND($F$166*I132,0)</x:f>
        <x:v>10027</x:v>
      </x:c>
      <x:c r="J166" s="94">
        <x:f>ROUND($F$166*J132,0)</x:f>
        <x:v>7696</x:v>
      </x:c>
      <x:c r="K166" s="94">
        <x:f>ROUND($F$166*K132,0)</x:f>
        <x:v>0</x:v>
      </x:c>
      <x:c r="L166" s="95">
        <x:f>+F166-H166-I166-J166-K166</x:f>
        <x:v>155246.5518673296</x:v>
      </x:c>
      <x:c r="N166" s="42">
        <x:f>SUM(H166:L166)</x:f>
        <x:v>172969.5518673296</x:v>
      </x:c>
      <x:c r="P166" s="181"/>
    </x:row>
    <x:row r="167" spans="2:19" ht="14" thickTop="1" x14ac:dyDescent="0.3">
      <x:c r="B167" s="171">
        <x:f t="shared" si="9"/>
        <x:v>133</x:v>
      </x:c>
      <x:c r="C167" s="24"/>
      <x:c r="D167" s="36" t="s">
        <x:v>148</x:v>
      </x:c>
      <x:c r="E167" s="7"/>
      <x:c r="F167" s="69"/>
      <x:c r="G167" s="7"/>
      <x:c r="H167" s="69"/>
      <x:c r="I167" s="69"/>
      <x:c r="J167" s="69"/>
      <x:c r="K167" s="69"/>
      <x:c r="L167" s="70"/>
      <x:c r="P167" s="181"/>
    </x:row>
    <x:row r="168" spans="2:19" ht="18" customHeight="1" x14ac:dyDescent="0.3">
      <x:c r="B168" s="171">
        <x:f t="shared" si="9"/>
        <x:v>134</x:v>
      </x:c>
      <x:c r="C168" s="25"/>
      <x:c r="D168" s="7"/>
      <x:c r="E168" s="7"/>
      <x:c r="F168" s="69"/>
      <x:c r="G168" s="11"/>
      <x:c r="H168" s="69"/>
      <x:c r="I168" s="69"/>
      <x:c r="J168" s="69"/>
      <x:c r="K168" s="69"/>
      <x:c r="L168" s="70"/>
      <x:c r="P168" s="181"/>
    </x:row>
    <x:row r="169" spans="2:19" ht="14" thickBot="1" x14ac:dyDescent="0.35">
      <x:c r="B169" s="171">
        <x:f t="shared" si="9"/>
        <x:v>135</x:v>
      </x:c>
      <x:c r="C169" s="24" t="s">
        <x:v>140</x:v>
      </x:c>
      <x:c r="D169" s="7"/>
      <x:c r="E169" s="7"/>
      <x:c r="F169" s="187">
        <x:f>'[1]II-I-DIST'!$Q1094</x:f>
        <x:v>4634073.4582506437</x:v>
      </x:c>
      <x:c r="G169" s="37"/>
      <x:c r="H169" s="94">
        <x:f>F169</x:f>
        <x:v>4634073.4582506437</x:v>
      </x:c>
      <x:c r="I169" s="94">
        <x:v>0</x:v>
      </x:c>
      <x:c r="J169" s="94">
        <x:v>0</x:v>
      </x:c>
      <x:c r="K169" s="94">
        <x:v>0</x:v>
      </x:c>
      <x:c r="L169" s="95">
        <x:v>0</x:v>
      </x:c>
      <x:c r="N169" s="42">
        <x:f>SUM(H169:L169)</x:f>
        <x:v>4634073.4582506437</x:v>
      </x:c>
      <x:c r="P169" s="181"/>
    </x:row>
    <x:row r="170" spans="2:19" ht="18" customHeight="1" thickTop="1" x14ac:dyDescent="0.3">
      <x:c r="B170" s="171">
        <x:f t="shared" si="9"/>
        <x:v>136</x:v>
      </x:c>
      <x:c r="C170" s="25"/>
      <x:c r="D170" s="7"/>
      <x:c r="E170" s="7"/>
      <x:c r="F170" s="69"/>
      <x:c r="G170" s="11"/>
      <x:c r="H170" s="69"/>
      <x:c r="I170" s="69"/>
      <x:c r="J170" s="69"/>
      <x:c r="K170" s="69"/>
      <x:c r="L170" s="70"/>
      <x:c r="N170" s="58"/>
      <x:c r="P170" s="181"/>
    </x:row>
    <x:row r="171" spans="2:19" x14ac:dyDescent="0.3">
      <x:c r="B171" s="171">
        <x:f t="shared" si="9"/>
        <x:v>137</x:v>
      </x:c>
      <x:c r="C171" s="24" t="s">
        <x:v>163</x:v>
      </x:c>
      <x:c r="D171" s="8"/>
      <x:c r="E171" s="7"/>
      <x:c r="F171" s="69"/>
      <x:c r="G171" s="7"/>
      <x:c r="H171" s="69"/>
      <x:c r="I171" s="69"/>
      <x:c r="J171" s="69"/>
      <x:c r="K171" s="69"/>
      <x:c r="L171" s="70"/>
      <x:c r="N171" s="17"/>
      <x:c r="P171" s="181"/>
    </x:row>
    <x:row r="172" spans="2:19" x14ac:dyDescent="0.3">
      <x:c r="B172" s="171">
        <x:f t="shared" si="9"/>
        <x:v>138</x:v>
      </x:c>
      <x:c r="C172" s="24"/>
      <x:c r="D172" s="7" t="s">
        <x:v>142</x:v>
      </x:c>
      <x:c r="E172" s="7"/>
      <x:c r="F172" s="135">
        <x:f>'[1]II-I-DIST'!$Q1098</x:f>
        <x:v>409595.37491653924</x:v>
      </x:c>
      <x:c r="G172" s="69"/>
      <x:c r="H172" s="69"/>
      <x:c r="I172" s="69"/>
      <x:c r="J172" s="69"/>
      <x:c r="K172" s="69">
        <x:f>+F172</x:f>
        <x:v>409595.37491653924</x:v>
      </x:c>
      <x:c r="L172" s="70"/>
      <x:c r="N172" s="42">
        <x:f>SUM(H172:L172)</x:f>
        <x:v>409595.37491653924</x:v>
      </x:c>
      <x:c r="P172" s="181"/>
    </x:row>
    <x:row r="173" spans="2:19" x14ac:dyDescent="0.3">
      <x:c r="B173" s="171">
        <x:f t="shared" si="9"/>
        <x:v>139</x:v>
      </x:c>
      <x:c r="C173" s="24"/>
      <x:c r="D173" s="7" t="s">
        <x:v>143</x:v>
      </x:c>
      <x:c r="E173" s="7"/>
      <x:c r="F173" s="135">
        <x:f>'[1]II-I-DIST'!$Q1099</x:f>
        <x:v>962571.6867293173</x:v>
      </x:c>
      <x:c r="G173" s="69"/>
      <x:c r="H173" s="69"/>
      <x:c r="I173" s="69">
        <x:f>+F173</x:f>
        <x:v>962571.6867293173</x:v>
      </x:c>
      <x:c r="J173" s="69"/>
      <x:c r="K173" s="69"/>
      <x:c r="L173" s="70"/>
      <x:c r="N173" s="42">
        <x:f>SUM(H173:L173)</x:f>
        <x:v>962571.6867293173</x:v>
      </x:c>
      <x:c r="P173" s="181"/>
    </x:row>
    <x:row r="174" spans="2:19" ht="12" customHeight="1" thickBot="1" x14ac:dyDescent="0.35">
      <x:c r="B174" s="171">
        <x:f t="shared" si="9"/>
        <x:v>140</x:v>
      </x:c>
      <x:c r="C174" s="25"/>
      <x:c r="D174" s="9" t="s">
        <x:v>138</x:v>
      </x:c>
      <x:c r="E174" s="7"/>
      <x:c r="F174" s="98">
        <x:f>SUM(F172:F173)</x:f>
        <x:v>1372167.0616458566</x:v>
      </x:c>
      <x:c r="G174" s="69"/>
      <x:c r="H174" s="98">
        <x:f>SUM(H172:H173)</x:f>
        <x:v>0</x:v>
      </x:c>
      <x:c r="I174" s="98">
        <x:f>SUM(I172:I173)</x:f>
        <x:v>962571.6867293173</x:v>
      </x:c>
      <x:c r="J174" s="98">
        <x:f>SUM(J172:J173)</x:f>
        <x:v>0</x:v>
      </x:c>
      <x:c r="K174" s="98">
        <x:f>SUM(K172:K173)</x:f>
        <x:v>409595.37491653924</x:v>
      </x:c>
      <x:c r="L174" s="109">
        <x:f>SUM(L172:L173)</x:f>
        <x:v>0</x:v>
      </x:c>
      <x:c r="N174" s="106">
        <x:f>+N172+N173</x:f>
        <x:v>1372167.0616458566</x:v>
      </x:c>
      <x:c r="P174" s="181"/>
      <x:c r="Q174" s="107"/>
      <x:c r="R174" s="43"/>
      <x:c r="S174" s="43"/>
    </x:row>
    <x:row r="175" spans="2:19" ht="18" customHeight="1" thickTop="1" x14ac:dyDescent="0.3">
      <x:c r="B175" s="171">
        <x:f t="shared" si="9"/>
        <x:v>141</x:v>
      </x:c>
      <x:c r="C175" s="25"/>
      <x:c r="D175" s="9"/>
      <x:c r="E175" s="7"/>
      <x:c r="F175" s="141"/>
      <x:c r="G175" s="7"/>
      <x:c r="H175" s="110"/>
      <x:c r="I175" s="110"/>
      <x:c r="J175" s="110"/>
      <x:c r="K175" s="110"/>
      <x:c r="L175" s="164"/>
      <x:c r="P175" s="181"/>
    </x:row>
    <x:row r="176" spans="2:19" ht="14" thickBot="1" x14ac:dyDescent="0.35">
      <x:c r="B176" s="171">
        <x:f t="shared" si="9"/>
        <x:v>142</x:v>
      </x:c>
      <x:c r="C176" s="24" t="s">
        <x:v>141</x:v>
      </x:c>
      <x:c r="D176" s="8"/>
      <x:c r="E176" s="7"/>
      <x:c r="F176" s="187">
        <x:f>'[1]II-I-DIST'!$Q1162</x:f>
        <x:v>1923365.5054662486</x:v>
      </x:c>
      <x:c r="G176" s="110"/>
      <x:c r="H176" s="94">
        <x:v>0</x:v>
      </x:c>
      <x:c r="I176" s="94">
        <x:v>0</x:v>
      </x:c>
      <x:c r="J176" s="94">
        <x:v>0</x:v>
      </x:c>
      <x:c r="K176" s="94">
        <x:f>F176</x:f>
        <x:v>1923365.5054662486</x:v>
      </x:c>
      <x:c r="L176" s="95">
        <x:v>0</x:v>
      </x:c>
      <x:c r="N176" s="42">
        <x:f>SUM(H176:L176)</x:f>
        <x:v>1923365.5054662486</x:v>
      </x:c>
      <x:c r="P176" s="181"/>
    </x:row>
    <x:row r="177" spans="1:17" ht="14" thickTop="1" x14ac:dyDescent="0.3">
      <x:c r="A177" s="125"/>
      <x:c r="B177" s="171">
        <x:f t="shared" si="9"/>
        <x:v>143</x:v>
      </x:c>
      <x:c r="C177" s="25"/>
      <x:c r="D177" s="7"/>
      <x:c r="E177" s="7"/>
      <x:c r="F177" s="69"/>
      <x:c r="G177" s="11"/>
      <x:c r="H177" s="69"/>
      <x:c r="I177" s="69"/>
      <x:c r="J177" s="69"/>
      <x:c r="K177" s="69"/>
      <x:c r="L177" s="70"/>
      <x:c r="P177" s="181"/>
    </x:row>
    <x:row r="178" spans="1:17" x14ac:dyDescent="0.3">
      <x:c r="A178" s="40"/>
      <x:c r="B178" s="171">
        <x:f t="shared" si="9"/>
        <x:v>144</x:v>
      </x:c>
      <x:c r="C178" s="25"/>
      <x:c r="D178" s="7"/>
      <x:c r="E178" s="7"/>
      <x:c r="F178" s="69"/>
      <x:c r="G178" s="11"/>
      <x:c r="H178" s="69"/>
      <x:c r="I178" s="69"/>
      <x:c r="J178" s="69"/>
      <x:c r="K178" s="69"/>
      <x:c r="L178" s="70"/>
      <x:c r="P178" s="181"/>
    </x:row>
    <x:row r="179" spans="1:17" ht="14" thickBot="1" x14ac:dyDescent="0.35">
      <x:c r="A179" s="40"/>
      <x:c r="B179" s="171">
        <x:f t="shared" si="9"/>
        <x:v>145</x:v>
      </x:c>
      <x:c r="C179" s="25"/>
      <x:c r="D179" s="7"/>
      <x:c r="E179" s="7"/>
      <x:c r="F179" s="69"/>
      <x:c r="G179" s="11"/>
      <x:c r="H179" s="69"/>
      <x:c r="I179" s="69"/>
      <x:c r="J179" s="69"/>
      <x:c r="K179" s="69"/>
      <x:c r="L179" s="70"/>
      <x:c r="P179" s="181"/>
    </x:row>
    <x:row r="180" spans="1:17" ht="14" thickBot="1" x14ac:dyDescent="0.35">
      <x:c r="A180" s="125"/>
      <x:c r="B180" s="171">
        <x:f t="shared" si="9"/>
        <x:v>146</x:v>
      </x:c>
      <x:c r="C180" s="65" t="s">
        <x:v>149</x:v>
      </x:c>
      <x:c r="D180" s="82"/>
      <x:c r="E180" s="7"/>
      <x:c r="F180" s="94">
        <x:f>+F176+F174+F169+F166</x:f>
        <x:v>8102575.5772300782</x:v>
      </x:c>
      <x:c r="G180" s="30"/>
      <x:c r="H180" s="94">
        <x:f>+H176+H174+H169+H166</x:f>
        <x:v>4634073.4582506437</x:v>
      </x:c>
      <x:c r="I180" s="94">
        <x:f>+I176+I174+I169+I166</x:f>
        <x:v>972598.6867293173</x:v>
      </x:c>
      <x:c r="J180" s="94">
        <x:f>+J176+J174+J169+J166</x:f>
        <x:v>7696</x:v>
      </x:c>
      <x:c r="K180" s="94">
        <x:f>+K176+K174+K169+K166</x:f>
        <x:v>2332960.8803827879</x:v>
      </x:c>
      <x:c r="L180" s="95">
        <x:f>+L176+L174+L169+L166</x:f>
        <x:v>155246.5518673296</x:v>
      </x:c>
      <x:c r="N180" s="43">
        <x:f>+N166+N169+N174+N176</x:f>
        <x:v>8102575.5772300791</x:v>
      </x:c>
      <x:c r="P180" s="181"/>
      <x:c r="Q180" s="107"/>
    </x:row>
    <x:row r="181" spans="1:17" ht="14" thickBot="1" x14ac:dyDescent="0.35">
      <x:c r="C181" s="76"/>
      <x:c r="D181" s="52"/>
      <x:c r="E181" s="52"/>
      <x:c r="F181" s="136"/>
      <x:c r="G181" s="38"/>
      <x:c r="H181" s="136"/>
      <x:c r="I181" s="136"/>
      <x:c r="J181" s="136"/>
      <x:c r="K181" s="136"/>
      <x:c r="L181" s="157"/>
      <x:c r="P181" s="181"/>
    </x:row>
    <x:row r="182" spans="1:17" x14ac:dyDescent="0.3">
      <x:c r="P182" s="181"/>
    </x:row>
    <x:row r="183" spans="1:17" x14ac:dyDescent="0.3">
      <x:c r="P183" s="181"/>
    </x:row>
    <x:row r="184" spans="1:17" x14ac:dyDescent="0.3">
      <x:c r="F184" s="130">
        <x:f>+F180+F156+F130+F64</x:f>
        <x:v>61270437.256121732</x:v>
      </x:c>
      <x:c r="H184" s="130">
        <x:f>+H180+H156+H130+H64</x:f>
        <x:v>34805772.457164168</x:v>
      </x:c>
      <x:c r="I184" s="130">
        <x:f>+I180+I156+I130+I64</x:f>
        <x:v>5311082.6575794537</x:v>
      </x:c>
      <x:c r="J184" s="130">
        <x:f>+J180+J156+J130+J64</x:f>
        <x:v>12820905.349128023</x:v>
      </x:c>
      <x:c r="K184" s="130">
        <x:f>+K180+K156+K130+K64</x:f>
        <x:v>-2427702.1196172121</x:v>
      </x:c>
      <x:c r="L184" s="130">
        <x:f>+L180+L156+L130+L64</x:f>
        <x:v>10760379.911867298</x:v>
      </x:c>
      <x:c r="N184" s="43">
        <x:f>SUM(H184:L184)</x:f>
        <x:v>61270438.256121732</x:v>
      </x:c>
      <x:c r="P184" s="181"/>
    </x:row>
    <x:row r="186" spans="1:17" x14ac:dyDescent="0.3">
      <x:c r="D186" s="169" t="s">
        <x:v>197</x:v>
      </x:c>
      <x:c r="F186" s="130">
        <x:f>'[1]II-I-DIST'!$Q$22</x:f>
        <x:v>31826537.364641424</x:v>
      </x:c>
    </x:row>
    <x:row r="187" spans="1:17" x14ac:dyDescent="0.3">
      <x:c r="D187" s="169" t="s">
        <x:v>198</x:v>
      </x:c>
      <x:c r="F187" s="130">
        <x:f>[1]LinkSheet!$N$10+[1]LinkSheet!$N$12</x:f>
        <x:v>4836970.8540180372</x:v>
      </x:c>
    </x:row>
    <x:row r="188" spans="1:17" ht="14" thickBot="1" x14ac:dyDescent="0.35">
      <x:c r="D188" s="169" t="s">
        <x:v>200</x:v>
      </x:c>
      <x:c r="F188" s="170">
        <x:f>SUM(F184:F187)</x:f>
        <x:v>97933945.474781185</x:v>
      </x:c>
    </x:row>
    <x:row r="189" spans="1:17" ht="14" thickTop="1" x14ac:dyDescent="0.3"/>
    <x:row r="190" spans="1:17" x14ac:dyDescent="0.3">
      <x:c r="D190" s="169" t="s">
        <x:v>199</x:v>
      </x:c>
      <x:c r="F190" s="130">
        <x:f>'[1]II-I-DIST'!$Q$31</x:f>
        <x:v>409541.83410346473</x:v>
      </x:c>
    </x:row>
    <x:row r="192" spans="1:17" x14ac:dyDescent="0.3">
      <x:c r="D192" s="169" t="s">
        <x:v>201</x:v>
      </x:c>
      <x:c r="F192" s="130">
        <x:f>F188-F190</x:f>
        <x:v>97524403.64067772</x:v>
      </x:c>
    </x:row>
  </x:sheetData>
  <x:mergeCells count="5">
    <x:mergeCell ref="C2:L2"/>
    <x:mergeCell ref="C4:L4"/>
    <x:mergeCell ref="C7:L7"/>
    <x:mergeCell ref="C5:L5"/>
    <x:mergeCell ref="C3:L3"/>
  </x:mergeCells>
  <x:phoneticPr fontId="4" type="noConversion"/>
  <x:pageMargins left="0.75" right="0.5" top="1.25" bottom="0.75" header="0.5" footer="0"/>
  <x:pageSetup scale="67" orientation="portrait" cellComments="asDisplayed" r:id="rId1"/>
  <x:headerFooter alignWithMargins="0">
    <x:oddHeader>&amp;RWP/IV-J-7/4
Page &amp;P of &amp;N</x:oddHeader>
  </x:headerFooter>
  <x:rowBreaks count="2" manualBreakCount="2">
    <x:brk id="71" min="1" max="12" man="1"/>
    <x:brk id="134" min="1" max="12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2025-05-19T19:12:00.0000000Z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