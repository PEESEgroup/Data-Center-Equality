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chedules &amp; Schedule Workpapers\Section IV (Rate Design)\"/>
    </mc:Choice>
  </mc:AlternateContent>
  <xr:revisionPtr revIDLastSave="0" documentId="13_ncr:1_{9E90855A-0997-4631-8C41-1E1525ADC4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IDENTIAL" sheetId="13" r:id="rId1"/>
    <sheet name="SEC &lt; 10kW" sheetId="14" r:id="rId2"/>
    <sheet name="SEC &gt; 10kW" sheetId="15" r:id="rId3"/>
    <sheet name="PRIMARY &lt; 10kW" sheetId="16" r:id="rId4"/>
    <sheet name="PRIMARY &gt; 10kW DLS" sheetId="17" r:id="rId5"/>
    <sheet name="GS PRI LRGE_SUB" sheetId="12" r:id="rId6"/>
    <sheet name="TRANSMISSION" sheetId="8" r:id="rId7"/>
    <sheet name="WHOLESALE-SUBSTATION " sheetId="10" r:id="rId8"/>
    <sheet name="WHOLESALE-DISTRIBUTION" sheetId="9" r:id="rId9"/>
  </sheets>
  <externalReferences>
    <externalReference r:id="rId10"/>
  </externalReferences>
  <definedNames>
    <definedName name="_xlnm.Print_Area" localSheetId="8">'WHOLESALE-DISTRIBUTION'!$A$1:$T$33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0" i="9" l="1"/>
  <c r="N30" i="9"/>
  <c r="K30" i="9"/>
  <c r="H30" i="9"/>
  <c r="Q29" i="9"/>
  <c r="N29" i="9"/>
  <c r="K29" i="9"/>
  <c r="H29" i="9"/>
  <c r="Q28" i="9"/>
  <c r="N28" i="9"/>
  <c r="K28" i="9"/>
  <c r="H28" i="9"/>
  <c r="Q27" i="9"/>
  <c r="N27" i="9"/>
  <c r="K27" i="9"/>
  <c r="H27" i="9"/>
  <c r="Q26" i="9"/>
  <c r="N26" i="9"/>
  <c r="K26" i="9"/>
  <c r="H26" i="9"/>
  <c r="Q25" i="9"/>
  <c r="N25" i="9"/>
  <c r="K25" i="9"/>
  <c r="H25" i="9"/>
  <c r="Q24" i="9"/>
  <c r="N24" i="9"/>
  <c r="K24" i="9"/>
  <c r="H24" i="9"/>
  <c r="Q23" i="9"/>
  <c r="N23" i="9"/>
  <c r="K23" i="9"/>
  <c r="H23" i="9"/>
  <c r="Q22" i="9"/>
  <c r="N22" i="9"/>
  <c r="K22" i="9"/>
  <c r="H22" i="9"/>
  <c r="Q21" i="9"/>
  <c r="N21" i="9"/>
  <c r="K21" i="9"/>
  <c r="H21" i="9"/>
  <c r="Q20" i="9"/>
  <c r="N20" i="9"/>
  <c r="K20" i="9"/>
  <c r="H20" i="9"/>
  <c r="Q19" i="9"/>
  <c r="N19" i="9"/>
  <c r="K19" i="9"/>
  <c r="H19" i="9"/>
  <c r="Q30" i="10"/>
  <c r="N30" i="10"/>
  <c r="K30" i="10"/>
  <c r="H30" i="10"/>
  <c r="Q29" i="10"/>
  <c r="N29" i="10"/>
  <c r="K29" i="10"/>
  <c r="H29" i="10"/>
  <c r="Q28" i="10"/>
  <c r="N28" i="10"/>
  <c r="K28" i="10"/>
  <c r="H28" i="10"/>
  <c r="Q27" i="10"/>
  <c r="N27" i="10"/>
  <c r="K27" i="10"/>
  <c r="H27" i="10"/>
  <c r="Q26" i="10"/>
  <c r="N26" i="10"/>
  <c r="K26" i="10"/>
  <c r="H26" i="10"/>
  <c r="Q25" i="10"/>
  <c r="N25" i="10"/>
  <c r="K25" i="10"/>
  <c r="H25" i="10"/>
  <c r="Q24" i="10"/>
  <c r="N24" i="10"/>
  <c r="K24" i="10"/>
  <c r="H24" i="10"/>
  <c r="Q23" i="10"/>
  <c r="N23" i="10"/>
  <c r="K23" i="10"/>
  <c r="H23" i="10"/>
  <c r="Q22" i="10"/>
  <c r="N22" i="10"/>
  <c r="K22" i="10"/>
  <c r="H22" i="10"/>
  <c r="Q21" i="10"/>
  <c r="N21" i="10"/>
  <c r="K21" i="10"/>
  <c r="H21" i="10"/>
  <c r="Q20" i="10"/>
  <c r="N20" i="10"/>
  <c r="K20" i="10"/>
  <c r="H20" i="10"/>
  <c r="Q19" i="10"/>
  <c r="N19" i="10"/>
  <c r="K19" i="10"/>
  <c r="H19" i="10"/>
  <c r="Q30" i="8"/>
  <c r="N30" i="8"/>
  <c r="K30" i="8"/>
  <c r="H30" i="8"/>
  <c r="Q29" i="8"/>
  <c r="N29" i="8"/>
  <c r="K29" i="8"/>
  <c r="H29" i="8"/>
  <c r="Q28" i="8"/>
  <c r="N28" i="8"/>
  <c r="K28" i="8"/>
  <c r="H28" i="8"/>
  <c r="Q27" i="8"/>
  <c r="N27" i="8"/>
  <c r="K27" i="8"/>
  <c r="H27" i="8"/>
  <c r="Q26" i="8"/>
  <c r="N26" i="8"/>
  <c r="K26" i="8"/>
  <c r="H26" i="8"/>
  <c r="Q25" i="8"/>
  <c r="N25" i="8"/>
  <c r="K25" i="8"/>
  <c r="H25" i="8"/>
  <c r="Q24" i="8"/>
  <c r="N24" i="8"/>
  <c r="K24" i="8"/>
  <c r="H24" i="8"/>
  <c r="Q23" i="8"/>
  <c r="N23" i="8"/>
  <c r="K23" i="8"/>
  <c r="H23" i="8"/>
  <c r="Q22" i="8"/>
  <c r="N22" i="8"/>
  <c r="K22" i="8"/>
  <c r="H22" i="8"/>
  <c r="Q21" i="8"/>
  <c r="N21" i="8"/>
  <c r="K21" i="8"/>
  <c r="H21" i="8"/>
  <c r="Q20" i="8"/>
  <c r="N20" i="8"/>
  <c r="K20" i="8"/>
  <c r="H20" i="8"/>
  <c r="Q19" i="8"/>
  <c r="N19" i="8"/>
  <c r="K19" i="8"/>
  <c r="H19" i="8"/>
  <c r="Q30" i="12"/>
  <c r="N30" i="12"/>
  <c r="K30" i="12"/>
  <c r="H30" i="12"/>
  <c r="Q29" i="12"/>
  <c r="N29" i="12"/>
  <c r="K29" i="12"/>
  <c r="H29" i="12"/>
  <c r="Q28" i="12"/>
  <c r="N28" i="12"/>
  <c r="K28" i="12"/>
  <c r="H28" i="12"/>
  <c r="Q27" i="12"/>
  <c r="N27" i="12"/>
  <c r="K27" i="12"/>
  <c r="H27" i="12"/>
  <c r="Q26" i="12"/>
  <c r="N26" i="12"/>
  <c r="K26" i="12"/>
  <c r="H26" i="12"/>
  <c r="Q25" i="12"/>
  <c r="N25" i="12"/>
  <c r="K25" i="12"/>
  <c r="H25" i="12"/>
  <c r="Q24" i="12"/>
  <c r="N24" i="12"/>
  <c r="K24" i="12"/>
  <c r="H24" i="12"/>
  <c r="Q23" i="12"/>
  <c r="N23" i="12"/>
  <c r="K23" i="12"/>
  <c r="H23" i="12"/>
  <c r="Q22" i="12"/>
  <c r="N22" i="12"/>
  <c r="K22" i="12"/>
  <c r="H22" i="12"/>
  <c r="Q21" i="12"/>
  <c r="N21" i="12"/>
  <c r="K21" i="12"/>
  <c r="H21" i="12"/>
  <c r="Q20" i="12"/>
  <c r="N20" i="12"/>
  <c r="K20" i="12"/>
  <c r="H20" i="12"/>
  <c r="Q19" i="12"/>
  <c r="N19" i="12"/>
  <c r="K19" i="12"/>
  <c r="H19" i="12"/>
  <c r="Q30" i="17"/>
  <c r="N30" i="17"/>
  <c r="K30" i="17"/>
  <c r="H30" i="17"/>
  <c r="Q29" i="17"/>
  <c r="N29" i="17"/>
  <c r="K29" i="17"/>
  <c r="H29" i="17"/>
  <c r="Q28" i="17"/>
  <c r="N28" i="17"/>
  <c r="K28" i="17"/>
  <c r="H28" i="17"/>
  <c r="Q27" i="17"/>
  <c r="N27" i="17"/>
  <c r="K27" i="17"/>
  <c r="H27" i="17"/>
  <c r="Q26" i="17"/>
  <c r="N26" i="17"/>
  <c r="K26" i="17"/>
  <c r="H26" i="17"/>
  <c r="Q25" i="17"/>
  <c r="N25" i="17"/>
  <c r="K25" i="17"/>
  <c r="H25" i="17"/>
  <c r="Q24" i="17"/>
  <c r="N24" i="17"/>
  <c r="K24" i="17"/>
  <c r="H24" i="17"/>
  <c r="Q23" i="17"/>
  <c r="N23" i="17"/>
  <c r="K23" i="17"/>
  <c r="H23" i="17"/>
  <c r="Q22" i="17"/>
  <c r="N22" i="17"/>
  <c r="K22" i="17"/>
  <c r="H22" i="17"/>
  <c r="Q21" i="17"/>
  <c r="N21" i="17"/>
  <c r="K21" i="17"/>
  <c r="H21" i="17"/>
  <c r="Q20" i="17"/>
  <c r="N20" i="17"/>
  <c r="K20" i="17"/>
  <c r="H20" i="17"/>
  <c r="Q19" i="17"/>
  <c r="N19" i="17"/>
  <c r="K19" i="17"/>
  <c r="H19" i="17"/>
  <c r="Q30" i="16"/>
  <c r="N30" i="16"/>
  <c r="K30" i="16"/>
  <c r="H30" i="16"/>
  <c r="Q29" i="16"/>
  <c r="N29" i="16"/>
  <c r="K29" i="16"/>
  <c r="H29" i="16"/>
  <c r="Q28" i="16"/>
  <c r="N28" i="16"/>
  <c r="K28" i="16"/>
  <c r="H28" i="16"/>
  <c r="Q27" i="16"/>
  <c r="N27" i="16"/>
  <c r="K27" i="16"/>
  <c r="H27" i="16"/>
  <c r="Q26" i="16"/>
  <c r="N26" i="16"/>
  <c r="K26" i="16"/>
  <c r="H26" i="16"/>
  <c r="Q25" i="16"/>
  <c r="N25" i="16"/>
  <c r="K25" i="16"/>
  <c r="H25" i="16"/>
  <c r="Q24" i="16"/>
  <c r="N24" i="16"/>
  <c r="K24" i="16"/>
  <c r="H24" i="16"/>
  <c r="Q23" i="16"/>
  <c r="N23" i="16"/>
  <c r="K23" i="16"/>
  <c r="H23" i="16"/>
  <c r="Q22" i="16"/>
  <c r="N22" i="16"/>
  <c r="K22" i="16"/>
  <c r="H22" i="16"/>
  <c r="Q21" i="16"/>
  <c r="N21" i="16"/>
  <c r="K21" i="16"/>
  <c r="H21" i="16"/>
  <c r="Q20" i="16"/>
  <c r="N20" i="16"/>
  <c r="K20" i="16"/>
  <c r="H20" i="16"/>
  <c r="Q19" i="16"/>
  <c r="N19" i="16"/>
  <c r="K19" i="16"/>
  <c r="H19" i="16"/>
  <c r="Q30" i="15"/>
  <c r="N30" i="15"/>
  <c r="K30" i="15"/>
  <c r="H30" i="15"/>
  <c r="Q29" i="15"/>
  <c r="N29" i="15"/>
  <c r="K29" i="15"/>
  <c r="H29" i="15"/>
  <c r="Q28" i="15"/>
  <c r="N28" i="15"/>
  <c r="K28" i="15"/>
  <c r="H28" i="15"/>
  <c r="Q27" i="15"/>
  <c r="N27" i="15"/>
  <c r="K27" i="15"/>
  <c r="H27" i="15"/>
  <c r="Q26" i="15"/>
  <c r="N26" i="15"/>
  <c r="K26" i="15"/>
  <c r="H26" i="15"/>
  <c r="Q25" i="15"/>
  <c r="N25" i="15"/>
  <c r="K25" i="15"/>
  <c r="H25" i="15"/>
  <c r="Q24" i="15"/>
  <c r="N24" i="15"/>
  <c r="K24" i="15"/>
  <c r="H24" i="15"/>
  <c r="Q23" i="15"/>
  <c r="N23" i="15"/>
  <c r="K23" i="15"/>
  <c r="H23" i="15"/>
  <c r="Q22" i="15"/>
  <c r="N22" i="15"/>
  <c r="K22" i="15"/>
  <c r="H22" i="15"/>
  <c r="Q21" i="15"/>
  <c r="N21" i="15"/>
  <c r="K21" i="15"/>
  <c r="H21" i="15"/>
  <c r="Q20" i="15"/>
  <c r="N20" i="15"/>
  <c r="K20" i="15"/>
  <c r="H20" i="15"/>
  <c r="Q19" i="15"/>
  <c r="N19" i="15"/>
  <c r="K19" i="15"/>
  <c r="H19" i="15"/>
  <c r="Q30" i="14"/>
  <c r="N30" i="14"/>
  <c r="K30" i="14"/>
  <c r="H30" i="14"/>
  <c r="Q29" i="14"/>
  <c r="N29" i="14"/>
  <c r="K29" i="14"/>
  <c r="H29" i="14"/>
  <c r="Q28" i="14"/>
  <c r="N28" i="14"/>
  <c r="K28" i="14"/>
  <c r="H28" i="14"/>
  <c r="Q27" i="14"/>
  <c r="N27" i="14"/>
  <c r="K27" i="14"/>
  <c r="H27" i="14"/>
  <c r="Q26" i="14"/>
  <c r="N26" i="14"/>
  <c r="K26" i="14"/>
  <c r="H26" i="14"/>
  <c r="Q25" i="14"/>
  <c r="N25" i="14"/>
  <c r="K25" i="14"/>
  <c r="H25" i="14"/>
  <c r="Q24" i="14"/>
  <c r="N24" i="14"/>
  <c r="K24" i="14"/>
  <c r="H24" i="14"/>
  <c r="Q23" i="14"/>
  <c r="N23" i="14"/>
  <c r="K23" i="14"/>
  <c r="H23" i="14"/>
  <c r="Q22" i="14"/>
  <c r="N22" i="14"/>
  <c r="K22" i="14"/>
  <c r="H22" i="14"/>
  <c r="Q21" i="14"/>
  <c r="N21" i="14"/>
  <c r="K21" i="14"/>
  <c r="H21" i="14"/>
  <c r="Q20" i="14"/>
  <c r="N20" i="14"/>
  <c r="K20" i="14"/>
  <c r="H20" i="14"/>
  <c r="Q19" i="14"/>
  <c r="N19" i="14"/>
  <c r="K19" i="14"/>
  <c r="H19" i="14"/>
  <c r="Q30" i="13"/>
  <c r="N30" i="13"/>
  <c r="K30" i="13"/>
  <c r="H30" i="13"/>
  <c r="Q29" i="13"/>
  <c r="N29" i="13"/>
  <c r="K29" i="13"/>
  <c r="H29" i="13"/>
  <c r="Q28" i="13"/>
  <c r="N28" i="13"/>
  <c r="K28" i="13"/>
  <c r="H28" i="13"/>
  <c r="Q27" i="13"/>
  <c r="N27" i="13"/>
  <c r="K27" i="13"/>
  <c r="H27" i="13"/>
  <c r="Q26" i="13"/>
  <c r="N26" i="13"/>
  <c r="K26" i="13"/>
  <c r="H26" i="13"/>
  <c r="Q25" i="13"/>
  <c r="N25" i="13"/>
  <c r="K25" i="13"/>
  <c r="H25" i="13"/>
  <c r="Q24" i="13"/>
  <c r="N24" i="13"/>
  <c r="K24" i="13"/>
  <c r="H24" i="13"/>
  <c r="Q23" i="13"/>
  <c r="N23" i="13"/>
  <c r="K23" i="13"/>
  <c r="H23" i="13"/>
  <c r="Q22" i="13"/>
  <c r="N22" i="13"/>
  <c r="K22" i="13"/>
  <c r="H22" i="13"/>
  <c r="Q21" i="13"/>
  <c r="N21" i="13"/>
  <c r="K21" i="13"/>
  <c r="H21" i="13"/>
  <c r="Q20" i="13"/>
  <c r="N20" i="13"/>
  <c r="K20" i="13"/>
  <c r="H20" i="13"/>
  <c r="Q19" i="13"/>
  <c r="N19" i="13"/>
  <c r="K19" i="13"/>
  <c r="H19" i="13"/>
</calcChain>
</file>

<file path=xl/sharedStrings.xml><?xml version="1.0" encoding="utf-8"?>
<sst xmlns="http://schemas.openxmlformats.org/spreadsheetml/2006/main" count="351" uniqueCount="57">
  <si>
    <t>Voltage Level = Transmission</t>
  </si>
  <si>
    <t>Line</t>
  </si>
  <si>
    <t>No.</t>
  </si>
  <si>
    <t xml:space="preserve"> Month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</si>
  <si>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</si>
  <si>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</si>
  <si>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</si>
  <si>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</si>
  <si>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</si>
  <si>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</si>
  <si>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</si>
  <si>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</si>
  <si>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</si>
  <si>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</si>
  <si>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</si>
  <si>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PEAK KW#</t>
  </si>
  <si>
    <t xml:space="preserve">   ERCOT</t>
  </si>
  <si>
    <t>#    AT METER</t>
  </si>
  <si>
    <t>CUSTOMER</t>
  </si>
  <si>
    <t>NCP MAX#</t>
  </si>
  <si>
    <t xml:space="preserve">  CLASS</t>
  </si>
  <si>
    <t>Voltage Level = Primary</t>
  </si>
  <si>
    <t>Rate Class     =  Transmission Service</t>
  </si>
  <si>
    <t xml:space="preserve">        ( a )</t>
  </si>
  <si>
    <t xml:space="preserve">       ( b )</t>
  </si>
  <si>
    <t xml:space="preserve">       ( c )</t>
  </si>
  <si>
    <t xml:space="preserve">       ( d )</t>
  </si>
  <si>
    <t xml:space="preserve">   CLASS</t>
  </si>
  <si>
    <t>LOAD RESEARCH DATA</t>
  </si>
  <si>
    <t>DEMAND DATA</t>
  </si>
  <si>
    <t>ONCOR ELECTRIC DELIVERY COMPANY LLC</t>
  </si>
  <si>
    <t>Rate Class     =  Greater Than 10 kW - Substation Service</t>
  </si>
  <si>
    <t xml:space="preserve">Rate Class     = Wholesale Service - Substation Service </t>
  </si>
  <si>
    <t>Rate Class     = Wholesale Service - Distribution Line Service</t>
  </si>
  <si>
    <t>SPONSOR:  D. E. NELSON</t>
  </si>
  <si>
    <t xml:space="preserve">  SYSTEM</t>
  </si>
  <si>
    <t xml:space="preserve"> </t>
  </si>
  <si>
    <t xml:space="preserve">May </t>
  </si>
  <si>
    <t>SCHEDULE  IV-J-4A</t>
  </si>
  <si>
    <t>Rate Class     =  Residential Service</t>
  </si>
  <si>
    <t>Rate Class     =  Secondary Service Less Than or Equal to 10kW</t>
  </si>
  <si>
    <t>Rate Class     =  Secondary Service Less Greater Than 10kW</t>
  </si>
  <si>
    <t>Voltage Level =  Secondary</t>
  </si>
  <si>
    <t>Rate Class     =  Primary Service Less Than or Equal to 10kW</t>
  </si>
  <si>
    <t>Voltage Level =  Primary</t>
  </si>
  <si>
    <t>Rate Class     =  Primary Service Greater Than 10kW - Distribution Line</t>
  </si>
  <si>
    <t>PAGE   9   OF  9</t>
  </si>
  <si>
    <t>PAGE   8   OF   9</t>
  </si>
  <si>
    <t>PAGE   1   OF   9</t>
  </si>
  <si>
    <t>PAGE  2   OF   9</t>
  </si>
  <si>
    <t>PAGE  3   OF   9</t>
  </si>
  <si>
    <t>PAGE  4   OF   9</t>
  </si>
  <si>
    <t>PAGE  5   OF   9</t>
  </si>
  <si>
    <t>PAGE   6   OF   9</t>
  </si>
  <si>
    <t>PAGE   7   OF   9</t>
  </si>
  <si>
    <t>FOR THE TEST YEAR ENDING DECEMBER 31, 2024</t>
  </si>
  <si>
    <t>2025 RATE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</si>
</sst>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u/>
      <sz val="12"/>
      <name val="Arial"/>
      <family val="2"/>
    </font>
    <font>
      <sz val="14"/>
      <name val="Arial"/>
      <family val="2"/>
    </font>
    <font>
      <sz val="8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1" xfId="0" applyFont="1" applyBorder="1"/>
    <xf numFmtId="3" fontId="2" fillId="0" borderId="0" xfId="0" applyNumberFormat="1" applyFont="1"/>
    <xf numFmtId="0" fontId="2" fillId="0" borderId="0" xfId="0" applyFont="1" applyAlignment="1">
      <alignment horizontal="center"/>
    </xf>
    <xf numFmtId="0" fontId="5" fillId="0" borderId="0" xfId="0" applyFont="1"/>
    <xf numFmtId="3" fontId="2" fillId="0" borderId="1" xfId="0" applyNumberFormat="1" applyFont="1" applyBorder="1"/>
    <xf numFmtId="3" fontId="2" fillId="0" borderId="0" xfId="0" applyNumberFormat="1" applyFont="1" applyBorder="1"/>
    <xf numFmtId="3" fontId="3" fillId="0" borderId="0" xfId="0" applyNumberFormat="1" applyFont="1"/>
    <xf numFmtId="0" fontId="3" fillId="0" borderId="0" xfId="0" applyFont="1" applyAlignment="1">
      <alignment horizontal="centerContinuous"/>
    </xf>
    <xf numFmtId="3" fontId="3" fillId="0" borderId="0" xfId="0" applyNumberFormat="1" applyFont="1" applyAlignment="1">
      <alignment horizontal="centerContinuous"/>
    </xf>
    <xf numFmtId="3" fontId="7" fillId="0" borderId="0" xfId="1" applyNumberFormat="1" applyFont="1" applyFill="1" applyBorder="1" applyAlignment="1" applyProtection="1">
      <alignment horizontal="right" vertical="center" wrapText="1"/>
    </xf>
    <xf numFmtId="3" fontId="7" fillId="0" borderId="0" xfId="3" applyNumberFormat="1" applyFont="1" applyFill="1" applyBorder="1" applyAlignment="1" applyProtection="1">
      <alignment horizontal="right" vertical="center" wrapText="1"/>
    </xf>
    <xf numFmtId="3" fontId="7" fillId="0" borderId="0" xfId="2" applyNumberFormat="1" applyFont="1" applyFill="1" applyBorder="1" applyAlignment="1" applyProtection="1">
      <alignment horizontal="right" vertical="center" wrapText="1"/>
    </xf>
    <xf numFmtId="0" fontId="2" fillId="0" borderId="0" xfId="0" applyFont="1" applyBorder="1"/>
    <xf numFmtId="3" fontId="7" fillId="0" borderId="0" xfId="5" applyNumberFormat="1" applyFont="1" applyFill="1" applyBorder="1" applyAlignment="1" applyProtection="1">
      <alignment horizontal="right" vertical="center" wrapText="1"/>
    </xf>
  </cellXfs>
  <cellStyles count="6">
    <cellStyle name="Normal" xfId="0" builtinId="0"/>
    <cellStyle name="Normal 2" xfId="4" xr:uid="{00000000-0005-0000-0000-000001000000}"/>
    <cellStyle name="Normal_GS PRI LRGE_SUB" xfId="1" xr:uid="{00000000-0005-0000-0000-000002000000}"/>
    <cellStyle name="Normal_TRANSMISSION" xfId="2" xr:uid="{00000000-0005-0000-0000-000003000000}"/>
    <cellStyle name="Normal_WHOLESALE-DISTRIBUTION" xfId="5" xr:uid="{00000000-0005-0000-0000-000004000000}"/>
    <cellStyle name="Normal_WHOLESALE-SUBSTATION" xfId="3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chedules%20&amp;%20Schedule%20Workpapers/Section%20II%20(Test%20Year%20Data)/Schedule%20H%20(Historic%20Billing%20Determinants)/II-H-1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IDENTIAL"/>
      <sheetName val="SEC &lt; 10kW"/>
      <sheetName val="SEC &gt; 10kW "/>
      <sheetName val="PRIMARY  &lt; 10kW"/>
      <sheetName val="PRIMARY  &gt; 10kW DLS"/>
      <sheetName val="PRIMARY  SUBSTATIONS"/>
      <sheetName val="TRANSMISSION"/>
      <sheetName val="STREET LIGHTING"/>
      <sheetName val="WHOLESALE SUB "/>
      <sheetName val="WHOLESALE DLS"/>
      <sheetName val="36-MO LF-RES"/>
      <sheetName val="36 MO LF-SGS"/>
      <sheetName val="36 MO LF - LGS"/>
      <sheetName val="36 MO LF - SGP "/>
      <sheetName val="36 MO LF - LGP_DLS"/>
      <sheetName val="36 MO LF - LGP_SUBST"/>
      <sheetName val="36 MO LF -  HV"/>
      <sheetName val="36 MO LF -  WHLS SUB"/>
      <sheetName val="36 MO LF -  WHLS DLS"/>
    </sheetNames>
    <sheetDataSet>
      <sheetData sheetId="0">
        <row r="22">
          <cell r="F22">
            <v>37191877.663999997</v>
          </cell>
          <cell r="J22">
            <v>14436086.52</v>
          </cell>
          <cell r="N22">
            <v>14219617.08</v>
          </cell>
          <cell r="R22">
            <v>14405772.9</v>
          </cell>
        </row>
        <row r="23">
          <cell r="F23">
            <v>32673075.927999999</v>
          </cell>
          <cell r="J23">
            <v>8381154.6239999998</v>
          </cell>
          <cell r="N23">
            <v>7657413.5</v>
          </cell>
          <cell r="R23">
            <v>7657413.5</v>
          </cell>
        </row>
        <row r="24">
          <cell r="F24">
            <v>30660284.423999999</v>
          </cell>
          <cell r="J24">
            <v>5802019.9400000004</v>
          </cell>
          <cell r="N24">
            <v>5802020</v>
          </cell>
          <cell r="R24">
            <v>4798746</v>
          </cell>
        </row>
        <row r="25">
          <cell r="F25">
            <v>29147963.300000001</v>
          </cell>
          <cell r="J25">
            <v>7261337.392</v>
          </cell>
          <cell r="N25">
            <v>6736661.2800000003</v>
          </cell>
          <cell r="R25">
            <v>6736661.2800000003</v>
          </cell>
        </row>
        <row r="26">
          <cell r="F26">
            <v>29344132.888</v>
          </cell>
          <cell r="J26">
            <v>10931432.550000001</v>
          </cell>
          <cell r="N26">
            <v>10865623.800000001</v>
          </cell>
          <cell r="R26">
            <v>10931432.550000001</v>
          </cell>
        </row>
        <row r="27">
          <cell r="F27">
            <v>30493385.855999999</v>
          </cell>
          <cell r="J27">
            <v>12420182.51</v>
          </cell>
          <cell r="N27">
            <v>10769935.439999999</v>
          </cell>
          <cell r="R27">
            <v>12420182.51</v>
          </cell>
        </row>
        <row r="28">
          <cell r="F28">
            <v>30291236.236000001</v>
          </cell>
          <cell r="J28">
            <v>12357731.380000001</v>
          </cell>
          <cell r="N28">
            <v>11798021.300000001</v>
          </cell>
          <cell r="R28">
            <v>11996278.810000001</v>
          </cell>
        </row>
        <row r="29">
          <cell r="F29">
            <v>31003052.743999999</v>
          </cell>
          <cell r="J29">
            <v>13757530.08</v>
          </cell>
          <cell r="N29">
            <v>11935960.390000001</v>
          </cell>
          <cell r="R29">
            <v>12771638.83</v>
          </cell>
        </row>
        <row r="30">
          <cell r="F30">
            <v>29153073.923999999</v>
          </cell>
          <cell r="J30">
            <v>11379289.1</v>
          </cell>
          <cell r="N30">
            <v>9981537.8900000006</v>
          </cell>
          <cell r="R30">
            <v>10901480.354</v>
          </cell>
        </row>
        <row r="31">
          <cell r="F31">
            <v>28786837.460000001</v>
          </cell>
          <cell r="J31">
            <v>9607569.3599999994</v>
          </cell>
          <cell r="N31">
            <v>9030462.4600000009</v>
          </cell>
          <cell r="R31">
            <v>9030462.4600000009</v>
          </cell>
        </row>
        <row r="32">
          <cell r="F32">
            <v>30883563.267999999</v>
          </cell>
          <cell r="J32">
            <v>6066187.3300000001</v>
          </cell>
          <cell r="N32">
            <v>4692378.87</v>
          </cell>
          <cell r="R32">
            <v>4630173.6399999997</v>
          </cell>
        </row>
        <row r="33">
          <cell r="F33">
            <v>32807365.008000001</v>
          </cell>
          <cell r="J33">
            <v>7824307.5899999999</v>
          </cell>
          <cell r="N33">
            <v>7796522.7599999998</v>
          </cell>
          <cell r="R33">
            <v>7796522.7599999998</v>
          </cell>
        </row>
      </sheetData>
      <sheetData sheetId="1">
        <row r="22">
          <cell r="F22">
            <v>615580.31599999999</v>
          </cell>
          <cell r="J22">
            <v>278426.84399999998</v>
          </cell>
          <cell r="N22">
            <v>271980.82</v>
          </cell>
          <cell r="R22">
            <v>261073.7</v>
          </cell>
        </row>
        <row r="23">
          <cell r="F23">
            <v>551592.99199999997</v>
          </cell>
          <cell r="J23">
            <v>204489.04399999999</v>
          </cell>
          <cell r="N23">
            <v>191151.87599999999</v>
          </cell>
          <cell r="R23">
            <v>191151.87599999999</v>
          </cell>
        </row>
        <row r="24">
          <cell r="F24">
            <v>534936.076</v>
          </cell>
          <cell r="J24">
            <v>188511.552</v>
          </cell>
          <cell r="N24">
            <v>167679.03599999999</v>
          </cell>
          <cell r="R24">
            <v>161420.26800000001</v>
          </cell>
        </row>
        <row r="25">
          <cell r="F25">
            <v>534662.728</v>
          </cell>
          <cell r="J25">
            <v>195796.88800000001</v>
          </cell>
          <cell r="N25">
            <v>184903.65599999999</v>
          </cell>
          <cell r="R25">
            <v>184903.65599999999</v>
          </cell>
        </row>
        <row r="26">
          <cell r="F26">
            <v>562110.66</v>
          </cell>
          <cell r="J26">
            <v>215534.9</v>
          </cell>
          <cell r="N26">
            <v>200509.8</v>
          </cell>
          <cell r="R26">
            <v>198228.22</v>
          </cell>
        </row>
        <row r="27">
          <cell r="F27">
            <v>577284.31599999999</v>
          </cell>
          <cell r="J27">
            <v>256433.28</v>
          </cell>
          <cell r="N27">
            <v>253920.46</v>
          </cell>
          <cell r="R27">
            <v>214356.85</v>
          </cell>
        </row>
        <row r="28">
          <cell r="F28">
            <v>575413.52800000005</v>
          </cell>
          <cell r="J28">
            <v>259945.8</v>
          </cell>
          <cell r="N28">
            <v>243272.02</v>
          </cell>
          <cell r="R28">
            <v>247088.44</v>
          </cell>
        </row>
        <row r="29">
          <cell r="F29">
            <v>589003.28</v>
          </cell>
          <cell r="J29">
            <v>268132.03999999998</v>
          </cell>
          <cell r="N29">
            <v>262659.67</v>
          </cell>
          <cell r="R29">
            <v>260347.3</v>
          </cell>
        </row>
        <row r="30">
          <cell r="F30">
            <v>568242.82400000002</v>
          </cell>
          <cell r="J30">
            <v>250149.52</v>
          </cell>
          <cell r="N30">
            <v>247086.28</v>
          </cell>
          <cell r="R30">
            <v>247585.71</v>
          </cell>
        </row>
        <row r="31">
          <cell r="F31">
            <v>565476.696</v>
          </cell>
          <cell r="J31">
            <v>228950.86</v>
          </cell>
          <cell r="N31">
            <v>223848.33</v>
          </cell>
          <cell r="R31">
            <v>223848.33</v>
          </cell>
        </row>
        <row r="32">
          <cell r="F32">
            <v>548245.37600000005</v>
          </cell>
          <cell r="J32">
            <v>191044.62</v>
          </cell>
          <cell r="N32">
            <v>173817.18</v>
          </cell>
          <cell r="R32">
            <v>175253.95</v>
          </cell>
        </row>
        <row r="33">
          <cell r="F33">
            <v>548042.84400000004</v>
          </cell>
          <cell r="J33">
            <v>210769.65</v>
          </cell>
          <cell r="N33">
            <v>189398.2</v>
          </cell>
          <cell r="R33">
            <v>189398.2</v>
          </cell>
        </row>
      </sheetData>
      <sheetData sheetId="2">
        <row r="22">
          <cell r="F22">
            <v>12080021.035999998</v>
          </cell>
          <cell r="J22">
            <v>7444470.1299999999</v>
          </cell>
          <cell r="N22">
            <v>6325413.8700000001</v>
          </cell>
          <cell r="R22">
            <v>7268841.3600000003</v>
          </cell>
        </row>
        <row r="23">
          <cell r="F23">
            <v>11427980.18</v>
          </cell>
          <cell r="J23">
            <v>6760960</v>
          </cell>
          <cell r="N23">
            <v>5966198.3600000003</v>
          </cell>
          <cell r="R23">
            <v>5966198.3600000003</v>
          </cell>
        </row>
        <row r="24">
          <cell r="F24">
            <v>11008092.104</v>
          </cell>
          <cell r="J24">
            <v>6618780.0599999996</v>
          </cell>
          <cell r="N24">
            <v>5414010.7300000004</v>
          </cell>
          <cell r="R24">
            <v>6157080.5599999996</v>
          </cell>
        </row>
        <row r="25">
          <cell r="F25">
            <v>11239548.284</v>
          </cell>
          <cell r="J25">
            <v>7499837.176</v>
          </cell>
          <cell r="N25">
            <v>6926576.4199999999</v>
          </cell>
          <cell r="R25">
            <v>6926576.4199999999</v>
          </cell>
        </row>
        <row r="26">
          <cell r="F26">
            <v>12082178.468</v>
          </cell>
          <cell r="J26">
            <v>8349015.0839999998</v>
          </cell>
          <cell r="N26">
            <v>7012892.7800000003</v>
          </cell>
          <cell r="R26">
            <v>6877380.3119999999</v>
          </cell>
        </row>
        <row r="27">
          <cell r="F27">
            <v>12605255.344000001</v>
          </cell>
          <cell r="J27">
            <v>9106278.5500000007</v>
          </cell>
          <cell r="N27">
            <v>8916947.6999999993</v>
          </cell>
          <cell r="R27">
            <v>7297223.3899999997</v>
          </cell>
        </row>
        <row r="28">
          <cell r="F28">
            <v>12678487.24</v>
          </cell>
          <cell r="J28">
            <v>9043351.8499999996</v>
          </cell>
          <cell r="N28">
            <v>8570590.8800000008</v>
          </cell>
          <cell r="R28">
            <v>8490162.4700000007</v>
          </cell>
        </row>
        <row r="29">
          <cell r="F29">
            <v>13277282.243999999</v>
          </cell>
          <cell r="J29">
            <v>9661214.9800000004</v>
          </cell>
          <cell r="N29">
            <v>9400039.2599999998</v>
          </cell>
          <cell r="R29">
            <v>9077339.0700000003</v>
          </cell>
        </row>
        <row r="30">
          <cell r="F30">
            <v>12366900.719999999</v>
          </cell>
          <cell r="J30">
            <v>9023595.8699999992</v>
          </cell>
          <cell r="N30">
            <v>8852855.3399999999</v>
          </cell>
          <cell r="R30">
            <v>8611705.1999999993</v>
          </cell>
        </row>
        <row r="31">
          <cell r="F31">
            <v>11722182.396</v>
          </cell>
          <cell r="J31">
            <v>8243555.71</v>
          </cell>
          <cell r="N31">
            <v>7796947.5899999999</v>
          </cell>
          <cell r="R31">
            <v>7796947.5899999999</v>
          </cell>
        </row>
        <row r="32">
          <cell r="F32">
            <v>11110656.220000001</v>
          </cell>
          <cell r="J32">
            <v>6939642.8099999996</v>
          </cell>
          <cell r="N32">
            <v>6936480.8600000003</v>
          </cell>
          <cell r="R32">
            <v>6746212.5</v>
          </cell>
        </row>
        <row r="33">
          <cell r="F33">
            <v>10999137.116</v>
          </cell>
          <cell r="J33">
            <v>6207033.3099999996</v>
          </cell>
          <cell r="N33">
            <v>6050610.0099999998</v>
          </cell>
          <cell r="R33">
            <v>6050610.0099999998</v>
          </cell>
        </row>
      </sheetData>
      <sheetData sheetId="3">
        <row r="22">
          <cell r="F22">
            <v>7091.9520000000002</v>
          </cell>
          <cell r="J22">
            <v>4730.2560000000003</v>
          </cell>
          <cell r="N22">
            <v>1826.94</v>
          </cell>
          <cell r="R22">
            <v>1721.0440000000001</v>
          </cell>
        </row>
        <row r="23">
          <cell r="F23">
            <v>6742.424</v>
          </cell>
          <cell r="J23">
            <v>3333.0920000000001</v>
          </cell>
          <cell r="N23">
            <v>2981.268</v>
          </cell>
          <cell r="R23">
            <v>2981.268</v>
          </cell>
        </row>
        <row r="24">
          <cell r="F24">
            <v>6812.0720000000001</v>
          </cell>
          <cell r="J24">
            <v>3000.848</v>
          </cell>
          <cell r="N24">
            <v>2744.0239999999999</v>
          </cell>
          <cell r="R24">
            <v>2667.3879999999999</v>
          </cell>
        </row>
        <row r="25">
          <cell r="F25">
            <v>6519.5839999999998</v>
          </cell>
          <cell r="J25">
            <v>3135.22</v>
          </cell>
          <cell r="N25">
            <v>2733.49</v>
          </cell>
          <cell r="R25">
            <v>2733.49</v>
          </cell>
        </row>
        <row r="26">
          <cell r="F26">
            <v>6595.3559999999998</v>
          </cell>
          <cell r="J26">
            <v>3869.9560000000001</v>
          </cell>
          <cell r="N26">
            <v>2652.6320000000001</v>
          </cell>
          <cell r="R26">
            <v>2634.7840000000001</v>
          </cell>
        </row>
        <row r="27">
          <cell r="F27">
            <v>6303.4359999999997</v>
          </cell>
          <cell r="J27">
            <v>2847.7759999999998</v>
          </cell>
          <cell r="N27">
            <v>2696.1840000000002</v>
          </cell>
          <cell r="R27">
            <v>2675.7719999999999</v>
          </cell>
        </row>
        <row r="28">
          <cell r="F28">
            <v>6792.1760000000004</v>
          </cell>
          <cell r="J28">
            <v>3077.34</v>
          </cell>
          <cell r="N28">
            <v>2695.2</v>
          </cell>
          <cell r="R28">
            <v>2736.88</v>
          </cell>
        </row>
        <row r="29">
          <cell r="F29">
            <v>6399.8680000000004</v>
          </cell>
          <cell r="J29">
            <v>3047.5279999999998</v>
          </cell>
          <cell r="N29">
            <v>2726.8560000000002</v>
          </cell>
          <cell r="R29">
            <v>2612.0360000000001</v>
          </cell>
        </row>
        <row r="30">
          <cell r="F30">
            <v>6551.116</v>
          </cell>
          <cell r="J30">
            <v>2929.84</v>
          </cell>
          <cell r="N30">
            <v>2734.3</v>
          </cell>
          <cell r="R30">
            <v>2778.15</v>
          </cell>
        </row>
        <row r="31">
          <cell r="F31">
            <v>7082.8440000000001</v>
          </cell>
          <cell r="J31">
            <v>2947.78</v>
          </cell>
          <cell r="N31">
            <v>2651.56</v>
          </cell>
          <cell r="R31">
            <v>2651.56</v>
          </cell>
        </row>
        <row r="32">
          <cell r="F32">
            <v>9399.3040000000001</v>
          </cell>
          <cell r="J32">
            <v>4053.44</v>
          </cell>
          <cell r="N32">
            <v>2644.52</v>
          </cell>
          <cell r="R32">
            <v>2696.69</v>
          </cell>
        </row>
        <row r="33">
          <cell r="F33">
            <v>6083.08</v>
          </cell>
          <cell r="J33">
            <v>4158.63</v>
          </cell>
          <cell r="N33">
            <v>3110.34</v>
          </cell>
          <cell r="R33">
            <v>3110.34</v>
          </cell>
        </row>
      </sheetData>
      <sheetData sheetId="4">
        <row r="22">
          <cell r="F22">
            <v>3374287.372</v>
          </cell>
          <cell r="J22">
            <v>2508329.13</v>
          </cell>
          <cell r="N22">
            <v>2109446.39</v>
          </cell>
          <cell r="R22">
            <v>1972956.77</v>
          </cell>
        </row>
        <row r="23">
          <cell r="F23">
            <v>3370244.6599999997</v>
          </cell>
          <cell r="J23">
            <v>2602309.54</v>
          </cell>
          <cell r="N23">
            <v>2480156.54</v>
          </cell>
          <cell r="R23">
            <v>2480156.54</v>
          </cell>
        </row>
        <row r="24">
          <cell r="F24">
            <v>3411737.304</v>
          </cell>
          <cell r="J24">
            <v>2537486</v>
          </cell>
          <cell r="N24">
            <v>2386188.1800000002</v>
          </cell>
          <cell r="R24">
            <v>2512593.29</v>
          </cell>
        </row>
        <row r="25">
          <cell r="F25">
            <v>3506401.06</v>
          </cell>
          <cell r="J25">
            <v>2591353.15</v>
          </cell>
          <cell r="N25">
            <v>2576426.31</v>
          </cell>
          <cell r="R25">
            <v>2576426.31</v>
          </cell>
        </row>
        <row r="26">
          <cell r="F26">
            <v>3620542.56</v>
          </cell>
          <cell r="J26">
            <v>2701902.17</v>
          </cell>
          <cell r="N26">
            <v>2500277.91</v>
          </cell>
          <cell r="R26">
            <v>2502196.38</v>
          </cell>
        </row>
        <row r="27">
          <cell r="F27">
            <v>3662512.2479999997</v>
          </cell>
          <cell r="J27">
            <v>2788473.97</v>
          </cell>
          <cell r="N27">
            <v>2736451.4</v>
          </cell>
          <cell r="R27">
            <v>2583540.56</v>
          </cell>
        </row>
        <row r="28">
          <cell r="F28">
            <v>3658425.9440000001</v>
          </cell>
          <cell r="J28">
            <v>2838244.99</v>
          </cell>
          <cell r="N28">
            <v>2732682.14</v>
          </cell>
          <cell r="R28">
            <v>2652878.62</v>
          </cell>
        </row>
        <row r="29">
          <cell r="F29">
            <v>3680544.3759999997</v>
          </cell>
          <cell r="J29">
            <v>2850078.61</v>
          </cell>
          <cell r="N29">
            <v>2782769.75</v>
          </cell>
          <cell r="R29">
            <v>2708901.08</v>
          </cell>
        </row>
        <row r="30">
          <cell r="F30">
            <v>3625886.3360000001</v>
          </cell>
          <cell r="J30">
            <v>2781509.51</v>
          </cell>
          <cell r="N30">
            <v>2744613.44</v>
          </cell>
          <cell r="R30">
            <v>2672622.3199999998</v>
          </cell>
        </row>
        <row r="31">
          <cell r="F31">
            <v>3643323.4959999998</v>
          </cell>
          <cell r="J31">
            <v>2798275.02</v>
          </cell>
          <cell r="N31">
            <v>2715626.07</v>
          </cell>
          <cell r="R31">
            <v>2715626.07</v>
          </cell>
        </row>
        <row r="32">
          <cell r="F32">
            <v>3599271.6039999998</v>
          </cell>
          <cell r="J32">
            <v>2669719.62</v>
          </cell>
          <cell r="N32">
            <v>2657297.3199999998</v>
          </cell>
          <cell r="R32">
            <v>2655567.21</v>
          </cell>
        </row>
        <row r="33">
          <cell r="F33">
            <v>3572307.9079999998</v>
          </cell>
          <cell r="J33">
            <v>2691599.98</v>
          </cell>
          <cell r="N33">
            <v>2566350.58</v>
          </cell>
          <cell r="R33">
            <v>2566350.58</v>
          </cell>
        </row>
      </sheetData>
      <sheetData sheetId="5">
        <row r="22">
          <cell r="F22">
            <v>1350390</v>
          </cell>
          <cell r="J22">
            <v>1145811</v>
          </cell>
          <cell r="N22">
            <v>940551</v>
          </cell>
          <cell r="R22">
            <v>673141</v>
          </cell>
        </row>
        <row r="23">
          <cell r="F23">
            <v>1373769</v>
          </cell>
          <cell r="J23">
            <v>1200972</v>
          </cell>
          <cell r="N23">
            <v>1114463</v>
          </cell>
          <cell r="R23">
            <v>1114463</v>
          </cell>
        </row>
        <row r="24">
          <cell r="F24">
            <v>1404349</v>
          </cell>
          <cell r="J24">
            <v>1172649</v>
          </cell>
          <cell r="N24">
            <v>1126401</v>
          </cell>
          <cell r="R24">
            <v>1108988</v>
          </cell>
        </row>
        <row r="25">
          <cell r="F25">
            <v>1397197</v>
          </cell>
          <cell r="J25">
            <v>1169720</v>
          </cell>
          <cell r="N25">
            <v>1115960</v>
          </cell>
          <cell r="R25">
            <v>1115960</v>
          </cell>
        </row>
        <row r="26">
          <cell r="F26">
            <v>1373375</v>
          </cell>
          <cell r="J26">
            <v>1149907</v>
          </cell>
          <cell r="N26">
            <v>1082810</v>
          </cell>
          <cell r="R26">
            <v>1034876</v>
          </cell>
        </row>
        <row r="27">
          <cell r="F27">
            <v>1417438</v>
          </cell>
          <cell r="J27">
            <v>1215714</v>
          </cell>
          <cell r="N27">
            <v>1003369</v>
          </cell>
          <cell r="R27">
            <v>1162457</v>
          </cell>
        </row>
        <row r="28">
          <cell r="F28">
            <v>1420663</v>
          </cell>
          <cell r="J28">
            <v>1223403</v>
          </cell>
          <cell r="N28">
            <v>1164262</v>
          </cell>
          <cell r="R28">
            <v>884301</v>
          </cell>
        </row>
        <row r="29">
          <cell r="F29">
            <v>1414715</v>
          </cell>
          <cell r="J29">
            <v>1215748</v>
          </cell>
          <cell r="N29">
            <v>1004577</v>
          </cell>
          <cell r="R29">
            <v>925967</v>
          </cell>
        </row>
        <row r="30">
          <cell r="F30">
            <v>1395053</v>
          </cell>
          <cell r="J30">
            <v>1191830</v>
          </cell>
          <cell r="N30">
            <v>1024219</v>
          </cell>
          <cell r="R30">
            <v>938797</v>
          </cell>
        </row>
        <row r="31">
          <cell r="F31">
            <v>1435058</v>
          </cell>
          <cell r="J31">
            <v>1224906</v>
          </cell>
          <cell r="N31">
            <v>1128314</v>
          </cell>
          <cell r="R31">
            <v>1128314</v>
          </cell>
        </row>
        <row r="32">
          <cell r="F32">
            <v>1433012</v>
          </cell>
          <cell r="J32">
            <v>1209545</v>
          </cell>
          <cell r="N32">
            <v>1167319</v>
          </cell>
          <cell r="R32">
            <v>1154547</v>
          </cell>
        </row>
        <row r="33">
          <cell r="F33">
            <v>1371395</v>
          </cell>
          <cell r="J33">
            <v>1196120</v>
          </cell>
          <cell r="N33">
            <v>1137952</v>
          </cell>
          <cell r="R33">
            <v>1137952</v>
          </cell>
        </row>
      </sheetData>
      <sheetData sheetId="6">
        <row r="22">
          <cell r="F22">
            <v>5132823</v>
          </cell>
          <cell r="J22">
            <v>3949748</v>
          </cell>
          <cell r="N22">
            <v>3055758</v>
          </cell>
          <cell r="R22">
            <v>2359228</v>
          </cell>
        </row>
        <row r="23">
          <cell r="F23">
            <v>5032565</v>
          </cell>
          <cell r="J23">
            <v>3962751</v>
          </cell>
          <cell r="N23">
            <v>3644057</v>
          </cell>
          <cell r="R23">
            <v>3644057</v>
          </cell>
        </row>
        <row r="24">
          <cell r="F24">
            <v>5291020</v>
          </cell>
          <cell r="J24">
            <v>4182122</v>
          </cell>
          <cell r="N24">
            <v>3674073</v>
          </cell>
          <cell r="R24">
            <v>3555109</v>
          </cell>
        </row>
        <row r="25">
          <cell r="F25">
            <v>5517073</v>
          </cell>
          <cell r="J25">
            <v>4220544</v>
          </cell>
          <cell r="N25">
            <v>4046684</v>
          </cell>
          <cell r="R25">
            <v>4046684</v>
          </cell>
        </row>
        <row r="26">
          <cell r="F26">
            <v>5608028</v>
          </cell>
          <cell r="J26">
            <v>4172263</v>
          </cell>
          <cell r="N26">
            <v>3781628</v>
          </cell>
          <cell r="R26">
            <v>3773334</v>
          </cell>
        </row>
        <row r="27">
          <cell r="F27">
            <v>5430190</v>
          </cell>
          <cell r="J27">
            <v>4288240</v>
          </cell>
          <cell r="N27">
            <v>4151050</v>
          </cell>
          <cell r="R27">
            <v>3912552</v>
          </cell>
        </row>
        <row r="28">
          <cell r="F28">
            <v>5405262</v>
          </cell>
          <cell r="J28">
            <v>4416581</v>
          </cell>
          <cell r="N28">
            <v>4105310</v>
          </cell>
          <cell r="R28">
            <v>3133176</v>
          </cell>
        </row>
        <row r="29">
          <cell r="F29">
            <v>5562195</v>
          </cell>
          <cell r="J29">
            <v>4403615</v>
          </cell>
          <cell r="N29">
            <v>4076159</v>
          </cell>
          <cell r="R29">
            <v>3109502</v>
          </cell>
        </row>
        <row r="30">
          <cell r="F30">
            <v>5492593</v>
          </cell>
          <cell r="J30">
            <v>4440866</v>
          </cell>
          <cell r="N30">
            <v>4032956</v>
          </cell>
          <cell r="R30">
            <v>3233646</v>
          </cell>
        </row>
        <row r="31">
          <cell r="F31">
            <v>5686146</v>
          </cell>
          <cell r="J31">
            <v>4515358</v>
          </cell>
          <cell r="N31">
            <v>3990864</v>
          </cell>
          <cell r="R31">
            <v>3990864</v>
          </cell>
        </row>
        <row r="32">
          <cell r="F32">
            <v>5925698</v>
          </cell>
          <cell r="J32">
            <v>4644735</v>
          </cell>
          <cell r="N32">
            <v>4385401</v>
          </cell>
          <cell r="R32">
            <v>4491710</v>
          </cell>
        </row>
        <row r="33">
          <cell r="F33">
            <v>5915090</v>
          </cell>
          <cell r="J33">
            <v>4667054</v>
          </cell>
          <cell r="N33">
            <v>4262765</v>
          </cell>
          <cell r="R33">
            <v>4262765</v>
          </cell>
        </row>
      </sheetData>
      <sheetData sheetId="7"/>
      <sheetData sheetId="8">
        <row r="22">
          <cell r="F22">
            <v>116790.3</v>
          </cell>
          <cell r="J22">
            <v>98742.9</v>
          </cell>
          <cell r="N22">
            <v>93283</v>
          </cell>
          <cell r="R22">
            <v>96951</v>
          </cell>
        </row>
        <row r="23">
          <cell r="F23">
            <v>93435.9</v>
          </cell>
          <cell r="J23">
            <v>70298.899999999994</v>
          </cell>
          <cell r="N23">
            <v>56464</v>
          </cell>
          <cell r="R23">
            <v>56464</v>
          </cell>
        </row>
        <row r="24">
          <cell r="F24">
            <v>77284.100000000006</v>
          </cell>
          <cell r="J24">
            <v>50416.7</v>
          </cell>
          <cell r="N24">
            <v>40921</v>
          </cell>
          <cell r="R24">
            <v>33734</v>
          </cell>
        </row>
        <row r="25">
          <cell r="F25">
            <v>75789.7</v>
          </cell>
          <cell r="J25">
            <v>47079.4</v>
          </cell>
          <cell r="N25">
            <v>44862</v>
          </cell>
          <cell r="R25">
            <v>44862</v>
          </cell>
        </row>
        <row r="26">
          <cell r="F26">
            <v>95371.9</v>
          </cell>
          <cell r="J26">
            <v>66073.7</v>
          </cell>
          <cell r="N26">
            <v>64880</v>
          </cell>
          <cell r="R26">
            <v>65748</v>
          </cell>
        </row>
        <row r="27">
          <cell r="F27">
            <v>109619.2</v>
          </cell>
          <cell r="J27">
            <v>75357.7</v>
          </cell>
          <cell r="N27">
            <v>69381</v>
          </cell>
          <cell r="R27">
            <v>75292</v>
          </cell>
        </row>
        <row r="28">
          <cell r="F28">
            <v>106999.1</v>
          </cell>
          <cell r="J28">
            <v>77689.100000000006</v>
          </cell>
          <cell r="N28">
            <v>73644</v>
          </cell>
          <cell r="R28">
            <v>76797</v>
          </cell>
        </row>
        <row r="29">
          <cell r="F29">
            <v>112718.9</v>
          </cell>
          <cell r="J29">
            <v>83091.3</v>
          </cell>
          <cell r="N29">
            <v>74139</v>
          </cell>
          <cell r="R29">
            <v>78156</v>
          </cell>
        </row>
        <row r="30">
          <cell r="F30">
            <v>91651.7</v>
          </cell>
          <cell r="J30">
            <v>70630.600000000006</v>
          </cell>
          <cell r="N30">
            <v>65195</v>
          </cell>
          <cell r="R30">
            <v>69799</v>
          </cell>
        </row>
        <row r="31">
          <cell r="F31">
            <v>78174.8</v>
          </cell>
          <cell r="J31">
            <v>61185.9</v>
          </cell>
          <cell r="N31">
            <v>61186</v>
          </cell>
          <cell r="R31">
            <v>61186</v>
          </cell>
        </row>
        <row r="32">
          <cell r="F32">
            <v>68509.5</v>
          </cell>
          <cell r="J32">
            <v>45016</v>
          </cell>
          <cell r="N32">
            <v>39503</v>
          </cell>
          <cell r="R32">
            <v>38833</v>
          </cell>
        </row>
        <row r="33">
          <cell r="F33">
            <v>72885.899999999994</v>
          </cell>
          <cell r="J33">
            <v>53870.6</v>
          </cell>
          <cell r="N33">
            <v>52542</v>
          </cell>
          <cell r="R33">
            <v>52542</v>
          </cell>
        </row>
      </sheetData>
      <sheetData sheetId="9">
        <row r="22">
          <cell r="F22">
            <v>165996.4</v>
          </cell>
          <cell r="J22">
            <v>125767.8</v>
          </cell>
          <cell r="N22">
            <v>113111</v>
          </cell>
          <cell r="R22">
            <v>125363</v>
          </cell>
        </row>
        <row r="23">
          <cell r="F23">
            <v>131357.29999999999</v>
          </cell>
          <cell r="J23">
            <v>85216.1</v>
          </cell>
          <cell r="N23">
            <v>73851</v>
          </cell>
          <cell r="R23">
            <v>73851</v>
          </cell>
        </row>
        <row r="24">
          <cell r="F24">
            <v>104651.6</v>
          </cell>
          <cell r="J24">
            <v>65179.5</v>
          </cell>
          <cell r="N24">
            <v>54250</v>
          </cell>
          <cell r="R24">
            <v>40588</v>
          </cell>
        </row>
        <row r="25">
          <cell r="F25">
            <v>96526.6</v>
          </cell>
          <cell r="J25">
            <v>59416.2</v>
          </cell>
          <cell r="N25">
            <v>54998</v>
          </cell>
          <cell r="R25">
            <v>54998</v>
          </cell>
        </row>
        <row r="26">
          <cell r="F26">
            <v>116163.2</v>
          </cell>
          <cell r="J26">
            <v>78649.5</v>
          </cell>
          <cell r="N26">
            <v>76505</v>
          </cell>
          <cell r="R26">
            <v>77124</v>
          </cell>
        </row>
        <row r="27">
          <cell r="F27">
            <v>126921.8</v>
          </cell>
          <cell r="J27">
            <v>90572.2</v>
          </cell>
          <cell r="N27">
            <v>77686</v>
          </cell>
          <cell r="R27">
            <v>88223</v>
          </cell>
        </row>
        <row r="28">
          <cell r="F28">
            <v>126291.5</v>
          </cell>
          <cell r="J28">
            <v>92767.5</v>
          </cell>
          <cell r="N28">
            <v>87653</v>
          </cell>
          <cell r="R28">
            <v>87089</v>
          </cell>
        </row>
        <row r="29">
          <cell r="F29">
            <v>135375.29999999999</v>
          </cell>
          <cell r="J29">
            <v>97721.4</v>
          </cell>
          <cell r="N29">
            <v>85150</v>
          </cell>
          <cell r="R29">
            <v>91725</v>
          </cell>
        </row>
        <row r="30">
          <cell r="F30">
            <v>124380.8</v>
          </cell>
          <cell r="J30">
            <v>86965.2</v>
          </cell>
          <cell r="N30">
            <v>86965</v>
          </cell>
          <cell r="R30">
            <v>80333</v>
          </cell>
        </row>
        <row r="31">
          <cell r="F31">
            <v>117240.6</v>
          </cell>
          <cell r="J31">
            <v>73443.600000000006</v>
          </cell>
          <cell r="N31">
            <v>70273</v>
          </cell>
          <cell r="R31">
            <v>70273</v>
          </cell>
        </row>
        <row r="32">
          <cell r="F32">
            <v>120981.9</v>
          </cell>
          <cell r="J32">
            <v>62354.6</v>
          </cell>
          <cell r="N32">
            <v>46809</v>
          </cell>
          <cell r="R32">
            <v>51267</v>
          </cell>
        </row>
        <row r="33">
          <cell r="F33">
            <v>127987.5</v>
          </cell>
          <cell r="J33">
            <v>72549.7</v>
          </cell>
          <cell r="N33">
            <v>65033</v>
          </cell>
          <cell r="R33">
            <v>65033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"/>
  <sheetViews>
    <sheetView tabSelected="1" zoomScale="75" workbookViewId="0">
      <selection activeCell="A5" sqref="A5"/>
    </sheetView>
  </sheetViews>
  <sheetFormatPr defaultRowHeight="12.75" x14ac:dyDescent="0.2"/>
  <cols>
    <col min="3" max="3" width="4.7109375" customWidth="1"/>
    <col min="4" max="4" width="7.7109375" customWidth="1"/>
    <col min="6" max="6" width="10.7109375" customWidth="1"/>
    <col min="7" max="7" width="2.7109375" customWidth="1"/>
    <col min="8" max="8" width="13.7109375" customWidth="1"/>
    <col min="9" max="9" width="10.7109375" customWidth="1"/>
    <col min="10" max="10" width="2.7109375" customWidth="1"/>
    <col min="11" max="11" width="12.7109375" customWidth="1"/>
    <col min="12" max="12" width="10.7109375" customWidth="1"/>
    <col min="13" max="13" width="2.7109375" customWidth="1"/>
    <col min="14" max="14" width="12.7109375" customWidth="1"/>
    <col min="15" max="15" width="10.7109375" customWidth="1"/>
    <col min="16" max="16" width="2.7109375" customWidth="1"/>
    <col min="17" max="17" width="12.7109375" customWidth="1"/>
  </cols>
  <sheetData>
    <row r="1" spans="1:20" ht="18.75" customHeight="1" x14ac:dyDescent="0.25">
      <c r="C1" s="2"/>
      <c r="D1" s="1"/>
      <c r="F1" s="1"/>
      <c r="G1" s="1"/>
      <c r="H1" s="5"/>
      <c r="I1" s="1"/>
      <c r="J1" s="1"/>
      <c r="K1" s="1"/>
      <c r="L1" s="1"/>
      <c r="M1" s="1"/>
      <c r="N1" s="5"/>
      <c r="Q1" s="5"/>
      <c r="R1" s="1" t="s">
        <v>38</v>
      </c>
    </row>
    <row r="2" spans="1:20" ht="18.75" customHeight="1" x14ac:dyDescent="0.2">
      <c r="C2" s="1"/>
      <c r="D2" s="1"/>
      <c r="F2" s="1"/>
      <c r="G2" s="1"/>
      <c r="H2" s="5"/>
      <c r="I2" s="1"/>
      <c r="J2" s="1"/>
      <c r="K2" s="1"/>
      <c r="L2" s="1"/>
      <c r="M2" s="1"/>
      <c r="N2" s="5"/>
      <c r="Q2" s="5"/>
      <c r="R2" s="1" t="s">
        <v>48</v>
      </c>
    </row>
    <row r="3" spans="1:20" ht="18.75" customHeight="1" x14ac:dyDescent="0.2">
      <c r="C3" s="1"/>
      <c r="D3" s="1"/>
      <c r="F3" s="1"/>
      <c r="G3" s="1"/>
      <c r="H3" s="5"/>
      <c r="I3" s="1"/>
      <c r="J3" s="1"/>
      <c r="K3" s="1"/>
      <c r="L3" s="1"/>
      <c r="M3" s="1"/>
      <c r="N3" s="5"/>
      <c r="Q3" s="5"/>
      <c r="R3" s="1"/>
    </row>
    <row r="4" spans="1:20" s="2" customFormat="1" ht="18.75" customHeight="1" x14ac:dyDescent="0.25">
      <c r="A4" s="11" t="s">
        <v>56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11"/>
      <c r="P4" s="11"/>
      <c r="Q4" s="12"/>
      <c r="R4" s="11"/>
      <c r="S4" s="11"/>
      <c r="T4" s="11"/>
    </row>
    <row r="5" spans="1:20" s="2" customFormat="1" ht="18.75" customHeight="1" x14ac:dyDescent="0.25">
      <c r="A5" s="11" t="s">
        <v>30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/>
      <c r="O5" s="11"/>
      <c r="P5" s="11"/>
      <c r="Q5" s="12"/>
      <c r="R5" s="11"/>
      <c r="S5" s="11"/>
      <c r="T5" s="11"/>
    </row>
    <row r="6" spans="1:20" s="2" customFormat="1" ht="18.75" customHeight="1" x14ac:dyDescent="0.25">
      <c r="A6" s="11" t="s">
        <v>28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  <c r="O6" s="11"/>
      <c r="P6" s="11"/>
      <c r="Q6" s="12"/>
      <c r="R6" s="11"/>
      <c r="S6" s="11"/>
      <c r="T6" s="11"/>
    </row>
    <row r="7" spans="1:20" s="2" customFormat="1" ht="18.75" customHeight="1" x14ac:dyDescent="0.25">
      <c r="A7" s="11" t="s">
        <v>55</v>
      </c>
      <c r="B7" s="11"/>
      <c r="C7" s="11"/>
      <c r="D7" s="11"/>
      <c r="E7" s="11"/>
      <c r="F7" s="11"/>
      <c r="G7" s="12"/>
      <c r="H7" s="12"/>
      <c r="I7" s="11"/>
      <c r="J7" s="11"/>
      <c r="K7" s="11"/>
      <c r="L7" s="11"/>
      <c r="M7" s="11"/>
      <c r="N7" s="12"/>
      <c r="O7" s="11"/>
      <c r="P7" s="11"/>
      <c r="Q7" s="12"/>
      <c r="R7" s="11"/>
      <c r="S7" s="11"/>
      <c r="T7" s="11"/>
    </row>
    <row r="8" spans="1:20" s="2" customFormat="1" ht="18.75" customHeight="1" x14ac:dyDescent="0.25">
      <c r="A8" s="11"/>
      <c r="B8" s="11"/>
      <c r="C8" s="11"/>
      <c r="D8" s="11"/>
      <c r="E8" s="11"/>
      <c r="F8" s="11"/>
      <c r="G8" s="12"/>
      <c r="H8" s="11"/>
      <c r="I8" s="11"/>
      <c r="J8" s="11"/>
      <c r="K8" s="11"/>
      <c r="L8" s="11"/>
      <c r="M8" s="11"/>
      <c r="N8" s="12"/>
      <c r="O8" s="11"/>
      <c r="P8" s="11"/>
      <c r="Q8" s="12"/>
      <c r="R8" s="11"/>
      <c r="S8" s="11"/>
      <c r="T8" s="11"/>
    </row>
    <row r="9" spans="1:20" s="2" customFormat="1" ht="18.75" customHeight="1" x14ac:dyDescent="0.25">
      <c r="A9" s="11" t="s">
        <v>34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  <c r="O9" s="11"/>
      <c r="P9" s="11"/>
      <c r="Q9" s="12"/>
      <c r="R9" s="11"/>
      <c r="S9" s="11"/>
      <c r="T9" s="11"/>
    </row>
    <row r="10" spans="1:20" s="2" customFormat="1" ht="18.75" customHeight="1" x14ac:dyDescent="0.25">
      <c r="H10" s="10"/>
      <c r="N10" s="10"/>
      <c r="Q10" s="10"/>
    </row>
    <row r="11" spans="1:20" ht="18.75" customHeight="1" x14ac:dyDescent="0.2">
      <c r="C11" s="1" t="s">
        <v>29</v>
      </c>
      <c r="D11" s="1"/>
      <c r="F11" s="1"/>
      <c r="G11" s="1"/>
      <c r="H11" s="5"/>
      <c r="I11" s="1"/>
      <c r="J11" s="1"/>
      <c r="K11" s="1"/>
      <c r="L11" s="1"/>
      <c r="M11" s="1"/>
      <c r="N11" s="5"/>
      <c r="O11" s="1"/>
      <c r="P11" s="1"/>
      <c r="Q11" s="5"/>
    </row>
    <row r="12" spans="1:20" ht="18.75" customHeight="1" x14ac:dyDescent="0.2">
      <c r="C12" s="1" t="s">
        <v>39</v>
      </c>
      <c r="D12" s="1"/>
      <c r="F12" s="1"/>
      <c r="G12" s="1"/>
      <c r="H12" s="5"/>
      <c r="I12" s="1"/>
      <c r="J12" s="1"/>
      <c r="K12" s="1"/>
      <c r="L12" s="1"/>
      <c r="M12" s="1"/>
      <c r="N12" s="5"/>
      <c r="O12" s="1"/>
      <c r="P12" s="1"/>
      <c r="Q12" s="5"/>
    </row>
    <row r="13" spans="1:20" ht="18.75" customHeight="1" x14ac:dyDescent="0.2">
      <c r="C13" s="1" t="s">
        <v>42</v>
      </c>
      <c r="D13" s="1"/>
      <c r="F13" s="1"/>
      <c r="G13" s="1"/>
      <c r="H13" s="5"/>
      <c r="I13" s="1"/>
      <c r="J13" s="1"/>
      <c r="K13" s="1"/>
      <c r="L13" s="1"/>
      <c r="M13" s="1"/>
      <c r="N13" s="5"/>
      <c r="O13" s="1"/>
      <c r="P13" s="1"/>
      <c r="Q13" s="5"/>
    </row>
    <row r="14" spans="1:20" ht="10.5" customHeight="1" x14ac:dyDescent="0.25">
      <c r="C14" s="7"/>
      <c r="D14" s="7"/>
      <c r="F14" s="7"/>
      <c r="G14" s="1"/>
      <c r="H14" s="5"/>
      <c r="I14" s="1"/>
      <c r="J14" s="1"/>
      <c r="K14" s="1"/>
      <c r="L14" s="1"/>
      <c r="M14" s="1"/>
      <c r="N14" s="5"/>
      <c r="O14" s="1"/>
      <c r="P14" s="1"/>
      <c r="Q14" s="5"/>
    </row>
    <row r="15" spans="1:20" ht="18.75" customHeight="1" x14ac:dyDescent="0.2">
      <c r="C15" s="1"/>
      <c r="D15" s="1"/>
      <c r="F15" s="1"/>
      <c r="G15" s="1"/>
      <c r="H15" s="5" t="s">
        <v>23</v>
      </c>
      <c r="I15" s="1"/>
      <c r="J15" s="1"/>
      <c r="K15" s="1" t="s">
        <v>24</v>
      </c>
      <c r="L15" s="1"/>
      <c r="M15" s="1"/>
      <c r="N15" s="5" t="s">
        <v>25</v>
      </c>
      <c r="O15" s="1"/>
      <c r="P15" s="1"/>
      <c r="Q15" s="5" t="s">
        <v>26</v>
      </c>
    </row>
    <row r="16" spans="1:20" ht="18.75" customHeight="1" x14ac:dyDescent="0.2">
      <c r="C16" s="1" t="s">
        <v>1</v>
      </c>
      <c r="D16" s="1"/>
      <c r="F16" s="1"/>
      <c r="G16" s="1"/>
      <c r="H16" s="5" t="s">
        <v>18</v>
      </c>
      <c r="I16" s="1"/>
      <c r="J16" s="1"/>
      <c r="K16" s="1" t="s">
        <v>27</v>
      </c>
      <c r="L16" s="1"/>
      <c r="M16" s="1"/>
      <c r="N16" s="5" t="s">
        <v>35</v>
      </c>
      <c r="O16" s="1" t="s">
        <v>36</v>
      </c>
      <c r="P16" s="1"/>
      <c r="Q16" s="5" t="s">
        <v>16</v>
      </c>
    </row>
    <row r="17" spans="3:17" ht="18.75" customHeight="1" x14ac:dyDescent="0.2">
      <c r="C17" s="3" t="s">
        <v>2</v>
      </c>
      <c r="E17" s="3" t="s">
        <v>3</v>
      </c>
      <c r="F17" s="1"/>
      <c r="G17" s="1"/>
      <c r="H17" s="8" t="s">
        <v>19</v>
      </c>
      <c r="I17" s="1"/>
      <c r="J17" s="1"/>
      <c r="K17" s="4" t="s">
        <v>15</v>
      </c>
      <c r="L17" s="1"/>
      <c r="M17" s="1"/>
      <c r="N17" s="8" t="s">
        <v>15</v>
      </c>
      <c r="O17" s="1"/>
      <c r="P17" s="1"/>
      <c r="Q17" s="8" t="s">
        <v>15</v>
      </c>
    </row>
    <row r="18" spans="3:17" ht="18.75" customHeight="1" x14ac:dyDescent="0.2">
      <c r="C18" s="1"/>
      <c r="E18" s="1"/>
      <c r="F18" s="1"/>
      <c r="G18" s="1"/>
      <c r="H18" s="5"/>
      <c r="I18" s="1"/>
      <c r="J18" s="1"/>
      <c r="K18" s="1"/>
      <c r="L18" s="1"/>
      <c r="M18" s="1"/>
      <c r="N18" s="5"/>
      <c r="O18" s="1"/>
      <c r="P18" s="1"/>
      <c r="Q18" s="5"/>
    </row>
    <row r="19" spans="3:17" ht="24.95" customHeight="1" x14ac:dyDescent="0.2">
      <c r="C19" s="6">
        <v>1</v>
      </c>
      <c r="E19" s="6" t="s">
        <v>4</v>
      </c>
      <c r="F19" s="1"/>
      <c r="G19" s="5"/>
      <c r="H19" s="13">
        <f>[1]RESIDENTIAL!F22</f>
        <v>37191877.663999997</v>
      </c>
      <c r="I19" s="9"/>
      <c r="J19" s="9"/>
      <c r="K19" s="13">
        <f>[1]RESIDENTIAL!J22</f>
        <v>14436086.52</v>
      </c>
      <c r="L19" s="9"/>
      <c r="M19" s="9"/>
      <c r="N19" s="13">
        <f>[1]RESIDENTIAL!N22</f>
        <v>14219617.08</v>
      </c>
      <c r="O19" s="9"/>
      <c r="P19" s="9"/>
      <c r="Q19" s="13">
        <f>[1]RESIDENTIAL!R22</f>
        <v>14405772.9</v>
      </c>
    </row>
    <row r="20" spans="3:17" ht="24.95" customHeight="1" x14ac:dyDescent="0.2">
      <c r="C20" s="6">
        <v>2</v>
      </c>
      <c r="E20" s="6" t="s">
        <v>5</v>
      </c>
      <c r="F20" s="1"/>
      <c r="G20" s="5"/>
      <c r="H20" s="13">
        <f>[1]RESIDENTIAL!F23</f>
        <v>32673075.927999999</v>
      </c>
      <c r="I20" s="9"/>
      <c r="J20" s="9"/>
      <c r="K20" s="13">
        <f>[1]RESIDENTIAL!J23</f>
        <v>8381154.6239999998</v>
      </c>
      <c r="L20" s="9"/>
      <c r="M20" s="9"/>
      <c r="N20" s="13">
        <f>[1]RESIDENTIAL!N23</f>
        <v>7657413.5</v>
      </c>
      <c r="O20" s="9"/>
      <c r="P20" s="9"/>
      <c r="Q20" s="13">
        <f>[1]RESIDENTIAL!R23</f>
        <v>7657413.5</v>
      </c>
    </row>
    <row r="21" spans="3:17" ht="24.95" customHeight="1" x14ac:dyDescent="0.2">
      <c r="C21" s="6">
        <v>3</v>
      </c>
      <c r="E21" s="6" t="s">
        <v>6</v>
      </c>
      <c r="F21" s="1"/>
      <c r="G21" s="5"/>
      <c r="H21" s="13">
        <f>[1]RESIDENTIAL!F24</f>
        <v>30660284.423999999</v>
      </c>
      <c r="I21" s="9"/>
      <c r="J21" s="9"/>
      <c r="K21" s="13">
        <f>[1]RESIDENTIAL!J24</f>
        <v>5802019.9400000004</v>
      </c>
      <c r="L21" s="9"/>
      <c r="M21" s="9"/>
      <c r="N21" s="13">
        <f>[1]RESIDENTIAL!N24</f>
        <v>5802020</v>
      </c>
      <c r="O21" s="9"/>
      <c r="P21" s="9"/>
      <c r="Q21" s="13">
        <f>[1]RESIDENTIAL!R24</f>
        <v>4798746</v>
      </c>
    </row>
    <row r="22" spans="3:17" ht="24.95" customHeight="1" x14ac:dyDescent="0.2">
      <c r="C22" s="6">
        <v>4</v>
      </c>
      <c r="E22" s="6" t="s">
        <v>7</v>
      </c>
      <c r="F22" s="1"/>
      <c r="G22" s="5"/>
      <c r="H22" s="13">
        <f>[1]RESIDENTIAL!F25</f>
        <v>29147963.300000001</v>
      </c>
      <c r="I22" s="9"/>
      <c r="J22" s="9"/>
      <c r="K22" s="13">
        <f>[1]RESIDENTIAL!J25</f>
        <v>7261337.392</v>
      </c>
      <c r="L22" s="9"/>
      <c r="M22" s="9"/>
      <c r="N22" s="13">
        <f>[1]RESIDENTIAL!N25</f>
        <v>6736661.2800000003</v>
      </c>
      <c r="O22" s="9"/>
      <c r="P22" s="9"/>
      <c r="Q22" s="13">
        <f>[1]RESIDENTIAL!R25</f>
        <v>6736661.2800000003</v>
      </c>
    </row>
    <row r="23" spans="3:17" ht="24.95" customHeight="1" x14ac:dyDescent="0.2">
      <c r="C23" s="6">
        <v>5</v>
      </c>
      <c r="E23" s="6" t="s">
        <v>37</v>
      </c>
      <c r="F23" s="1"/>
      <c r="G23" s="5"/>
      <c r="H23" s="13">
        <f>[1]RESIDENTIAL!F26</f>
        <v>29344132.888</v>
      </c>
      <c r="I23" s="9"/>
      <c r="J23" s="9"/>
      <c r="K23" s="13">
        <f>[1]RESIDENTIAL!J26</f>
        <v>10931432.550000001</v>
      </c>
      <c r="L23" s="9"/>
      <c r="M23" s="9"/>
      <c r="N23" s="13">
        <f>[1]RESIDENTIAL!N26</f>
        <v>10865623.800000001</v>
      </c>
      <c r="O23" s="9"/>
      <c r="P23" s="9"/>
      <c r="Q23" s="13">
        <f>[1]RESIDENTIAL!R26</f>
        <v>10931432.550000001</v>
      </c>
    </row>
    <row r="24" spans="3:17" ht="24.95" customHeight="1" x14ac:dyDescent="0.2">
      <c r="C24" s="6">
        <v>6</v>
      </c>
      <c r="E24" s="6" t="s">
        <v>8</v>
      </c>
      <c r="F24" s="1"/>
      <c r="G24" s="5"/>
      <c r="H24" s="13">
        <f>[1]RESIDENTIAL!F27</f>
        <v>30493385.855999999</v>
      </c>
      <c r="I24" s="9"/>
      <c r="J24" s="9"/>
      <c r="K24" s="13">
        <f>[1]RESIDENTIAL!J27</f>
        <v>12420182.51</v>
      </c>
      <c r="L24" s="9"/>
      <c r="M24" s="9"/>
      <c r="N24" s="13">
        <f>[1]RESIDENTIAL!N27</f>
        <v>10769935.439999999</v>
      </c>
      <c r="O24" s="9"/>
      <c r="P24" s="9"/>
      <c r="Q24" s="13">
        <f>[1]RESIDENTIAL!R27</f>
        <v>12420182.51</v>
      </c>
    </row>
    <row r="25" spans="3:17" ht="24.95" customHeight="1" x14ac:dyDescent="0.2">
      <c r="C25" s="6">
        <v>7</v>
      </c>
      <c r="E25" s="6" t="s">
        <v>9</v>
      </c>
      <c r="F25" s="1"/>
      <c r="G25" s="5"/>
      <c r="H25" s="13">
        <f>[1]RESIDENTIAL!F28</f>
        <v>30291236.236000001</v>
      </c>
      <c r="I25" s="9"/>
      <c r="J25" s="9"/>
      <c r="K25" s="13">
        <f>[1]RESIDENTIAL!J28</f>
        <v>12357731.380000001</v>
      </c>
      <c r="L25" s="9"/>
      <c r="M25" s="9"/>
      <c r="N25" s="13">
        <f>[1]RESIDENTIAL!N28</f>
        <v>11798021.300000001</v>
      </c>
      <c r="O25" s="9"/>
      <c r="P25" s="9"/>
      <c r="Q25" s="13">
        <f>[1]RESIDENTIAL!R28</f>
        <v>11996278.810000001</v>
      </c>
    </row>
    <row r="26" spans="3:17" ht="24.95" customHeight="1" x14ac:dyDescent="0.2">
      <c r="C26" s="6">
        <v>8</v>
      </c>
      <c r="E26" s="6" t="s">
        <v>10</v>
      </c>
      <c r="F26" s="1"/>
      <c r="G26" s="5"/>
      <c r="H26" s="13">
        <f>[1]RESIDENTIAL!F29</f>
        <v>31003052.743999999</v>
      </c>
      <c r="I26" s="9"/>
      <c r="J26" s="9"/>
      <c r="K26" s="13">
        <f>[1]RESIDENTIAL!J29</f>
        <v>13757530.08</v>
      </c>
      <c r="L26" s="9"/>
      <c r="M26" s="9"/>
      <c r="N26" s="13">
        <f>[1]RESIDENTIAL!N29</f>
        <v>11935960.390000001</v>
      </c>
      <c r="O26" s="9"/>
      <c r="P26" s="9"/>
      <c r="Q26" s="13">
        <f>[1]RESIDENTIAL!R29</f>
        <v>12771638.83</v>
      </c>
    </row>
    <row r="27" spans="3:17" ht="24.95" customHeight="1" x14ac:dyDescent="0.2">
      <c r="C27" s="6">
        <v>9</v>
      </c>
      <c r="E27" s="6" t="s">
        <v>11</v>
      </c>
      <c r="F27" s="1"/>
      <c r="G27" s="5"/>
      <c r="H27" s="13">
        <f>[1]RESIDENTIAL!F30</f>
        <v>29153073.923999999</v>
      </c>
      <c r="I27" s="9"/>
      <c r="J27" s="9"/>
      <c r="K27" s="13">
        <f>[1]RESIDENTIAL!J30</f>
        <v>11379289.1</v>
      </c>
      <c r="L27" s="9"/>
      <c r="M27" s="9"/>
      <c r="N27" s="13">
        <f>[1]RESIDENTIAL!N30</f>
        <v>9981537.8900000006</v>
      </c>
      <c r="O27" s="9"/>
      <c r="P27" s="9"/>
      <c r="Q27" s="13">
        <f>[1]RESIDENTIAL!R30</f>
        <v>10901480.354</v>
      </c>
    </row>
    <row r="28" spans="3:17" ht="24.95" customHeight="1" x14ac:dyDescent="0.2">
      <c r="C28" s="6">
        <v>10</v>
      </c>
      <c r="E28" s="6" t="s">
        <v>12</v>
      </c>
      <c r="F28" s="1"/>
      <c r="G28" s="5"/>
      <c r="H28" s="13">
        <f>[1]RESIDENTIAL!F31</f>
        <v>28786837.460000001</v>
      </c>
      <c r="I28" s="9"/>
      <c r="J28" s="9"/>
      <c r="K28" s="13">
        <f>[1]RESIDENTIAL!J31</f>
        <v>9607569.3599999994</v>
      </c>
      <c r="L28" s="9"/>
      <c r="M28" s="9"/>
      <c r="N28" s="13">
        <f>[1]RESIDENTIAL!N31</f>
        <v>9030462.4600000009</v>
      </c>
      <c r="O28" s="9"/>
      <c r="P28" s="9"/>
      <c r="Q28" s="13">
        <f>[1]RESIDENTIAL!R31</f>
        <v>9030462.4600000009</v>
      </c>
    </row>
    <row r="29" spans="3:17" ht="24.95" customHeight="1" x14ac:dyDescent="0.2">
      <c r="C29" s="6">
        <v>11</v>
      </c>
      <c r="E29" s="6" t="s">
        <v>13</v>
      </c>
      <c r="F29" s="1"/>
      <c r="G29" s="5"/>
      <c r="H29" s="13">
        <f>[1]RESIDENTIAL!F32</f>
        <v>30883563.267999999</v>
      </c>
      <c r="I29" s="9"/>
      <c r="J29" s="9"/>
      <c r="K29" s="13">
        <f>[1]RESIDENTIAL!J32</f>
        <v>6066187.3300000001</v>
      </c>
      <c r="L29" s="9"/>
      <c r="M29" s="9"/>
      <c r="N29" s="13">
        <f>[1]RESIDENTIAL!N32</f>
        <v>4692378.87</v>
      </c>
      <c r="O29" s="9"/>
      <c r="P29" s="9"/>
      <c r="Q29" s="13">
        <f>[1]RESIDENTIAL!R32</f>
        <v>4630173.6399999997</v>
      </c>
    </row>
    <row r="30" spans="3:17" ht="24.95" customHeight="1" x14ac:dyDescent="0.2">
      <c r="C30" s="6">
        <v>12</v>
      </c>
      <c r="E30" s="6" t="s">
        <v>14</v>
      </c>
      <c r="F30" s="1"/>
      <c r="G30" s="5"/>
      <c r="H30" s="13">
        <f>[1]RESIDENTIAL!F33</f>
        <v>32807365.008000001</v>
      </c>
      <c r="I30" s="9"/>
      <c r="J30" s="9"/>
      <c r="K30" s="13">
        <f>[1]RESIDENTIAL!J33</f>
        <v>7824307.5899999999</v>
      </c>
      <c r="L30" s="9"/>
      <c r="M30" s="9"/>
      <c r="N30" s="13">
        <f>[1]RESIDENTIAL!N33</f>
        <v>7796522.7599999998</v>
      </c>
      <c r="O30" s="9"/>
      <c r="P30" s="9"/>
      <c r="Q30" s="13">
        <f>[1]RESIDENTIAL!R33</f>
        <v>7796522.7599999998</v>
      </c>
    </row>
    <row r="31" spans="3:17" ht="15" customHeight="1" x14ac:dyDescent="0.2">
      <c r="C31" s="1"/>
      <c r="D31" s="1"/>
      <c r="F31" s="1"/>
      <c r="G31" s="5"/>
      <c r="H31" s="5"/>
      <c r="I31" s="5"/>
      <c r="J31" s="5"/>
      <c r="K31" s="1"/>
      <c r="L31" s="5"/>
      <c r="M31" s="5"/>
      <c r="N31" s="5"/>
      <c r="O31" s="5"/>
      <c r="P31" s="5"/>
      <c r="Q31" s="5"/>
    </row>
    <row r="32" spans="3:17" ht="15" customHeight="1" x14ac:dyDescent="0.2">
      <c r="C32" s="1"/>
      <c r="D32" s="1"/>
      <c r="F32" s="1"/>
      <c r="G32" s="5"/>
      <c r="H32" s="5"/>
      <c r="I32" s="5"/>
      <c r="J32" s="5"/>
      <c r="K32" s="1"/>
      <c r="L32" s="5"/>
      <c r="M32" s="5"/>
      <c r="N32" s="5"/>
      <c r="O32" s="5"/>
      <c r="P32" s="5"/>
      <c r="Q32" s="5"/>
    </row>
    <row r="33" spans="3:17" ht="15" customHeight="1" x14ac:dyDescent="0.2">
      <c r="C33" s="1" t="s">
        <v>17</v>
      </c>
      <c r="D33" s="1"/>
      <c r="F33" s="1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3:17" ht="24.95" customHeight="1" x14ac:dyDescent="0.2"/>
  </sheetData>
  <pageMargins left="0.5" right="1" top="1.5" bottom="0.5" header="0.5" footer="0.5"/>
  <pageSetup scale="7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4"/>
  <sheetViews>
    <sheetView zoomScale="75" workbookViewId="0">
      <selection activeCell="A5" sqref="A5"/>
    </sheetView>
  </sheetViews>
  <sheetFormatPr defaultRowHeight="12.75" x14ac:dyDescent="0.2"/>
  <cols>
    <col min="3" max="3" width="4.7109375" customWidth="1"/>
    <col min="4" max="4" width="7.7109375" customWidth="1"/>
    <col min="6" max="6" width="10.7109375" customWidth="1"/>
    <col min="7" max="7" width="2.7109375" customWidth="1"/>
    <col min="8" max="8" width="13.7109375" customWidth="1"/>
    <col min="9" max="9" width="10.7109375" customWidth="1"/>
    <col min="10" max="10" width="2.7109375" customWidth="1"/>
    <col min="11" max="11" width="12.7109375" customWidth="1"/>
    <col min="12" max="12" width="10.7109375" customWidth="1"/>
    <col min="13" max="13" width="2.7109375" customWidth="1"/>
    <col min="14" max="14" width="12.7109375" customWidth="1"/>
    <col min="15" max="15" width="10.7109375" customWidth="1"/>
    <col min="16" max="16" width="2.7109375" customWidth="1"/>
    <col min="17" max="17" width="12.7109375" customWidth="1"/>
  </cols>
  <sheetData>
    <row r="1" spans="1:20" ht="18.75" customHeight="1" x14ac:dyDescent="0.25">
      <c r="C1" s="2"/>
      <c r="D1" s="1"/>
      <c r="F1" s="1"/>
      <c r="G1" s="1"/>
      <c r="H1" s="5"/>
      <c r="I1" s="1"/>
      <c r="J1" s="1"/>
      <c r="K1" s="1"/>
      <c r="L1" s="1"/>
      <c r="M1" s="1"/>
      <c r="N1" s="5"/>
      <c r="Q1" s="5"/>
      <c r="R1" s="1" t="s">
        <v>38</v>
      </c>
    </row>
    <row r="2" spans="1:20" ht="18.75" customHeight="1" x14ac:dyDescent="0.2">
      <c r="C2" s="1"/>
      <c r="D2" s="1"/>
      <c r="F2" s="1"/>
      <c r="G2" s="1"/>
      <c r="H2" s="5"/>
      <c r="I2" s="1"/>
      <c r="J2" s="1"/>
      <c r="K2" s="1"/>
      <c r="L2" s="1"/>
      <c r="M2" s="1"/>
      <c r="N2" s="5"/>
      <c r="Q2" s="5"/>
      <c r="R2" s="1" t="s">
        <v>49</v>
      </c>
    </row>
    <row r="3" spans="1:20" ht="18.75" customHeight="1" x14ac:dyDescent="0.2">
      <c r="C3" s="1"/>
      <c r="D3" s="1"/>
      <c r="F3" s="1"/>
      <c r="G3" s="1"/>
      <c r="H3" s="5"/>
      <c r="I3" s="1"/>
      <c r="J3" s="1"/>
      <c r="K3" s="1"/>
      <c r="L3" s="1"/>
      <c r="M3" s="1"/>
      <c r="N3" s="5"/>
      <c r="Q3" s="5"/>
      <c r="R3" s="1"/>
    </row>
    <row r="4" spans="1:20" s="2" customFormat="1" ht="18.75" customHeight="1" x14ac:dyDescent="0.25">
      <c r="A4" s="11" t="s">
        <v>56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11"/>
      <c r="P4" s="11"/>
      <c r="Q4" s="12"/>
      <c r="R4" s="11"/>
      <c r="S4" s="11"/>
      <c r="T4" s="11"/>
    </row>
    <row r="5" spans="1:20" s="2" customFormat="1" ht="18.75" customHeight="1" x14ac:dyDescent="0.25">
      <c r="A5" s="11" t="s">
        <v>30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/>
      <c r="O5" s="11"/>
      <c r="P5" s="11"/>
      <c r="Q5" s="12"/>
      <c r="R5" s="11"/>
      <c r="S5" s="11"/>
      <c r="T5" s="11"/>
    </row>
    <row r="6" spans="1:20" s="2" customFormat="1" ht="18.75" customHeight="1" x14ac:dyDescent="0.25">
      <c r="A6" s="11" t="s">
        <v>28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  <c r="O6" s="11"/>
      <c r="P6" s="11"/>
      <c r="Q6" s="12"/>
      <c r="R6" s="11"/>
      <c r="S6" s="11"/>
      <c r="T6" s="11"/>
    </row>
    <row r="7" spans="1:20" s="2" customFormat="1" ht="18.75" customHeight="1" x14ac:dyDescent="0.25">
      <c r="A7" s="11" t="s">
        <v>55</v>
      </c>
      <c r="B7" s="11"/>
      <c r="C7" s="11"/>
      <c r="D7" s="11"/>
      <c r="E7" s="11"/>
      <c r="F7" s="11"/>
      <c r="G7" s="12"/>
      <c r="H7" s="12"/>
      <c r="I7" s="11"/>
      <c r="J7" s="11"/>
      <c r="K7" s="11"/>
      <c r="L7" s="11"/>
      <c r="M7" s="11"/>
      <c r="N7" s="12"/>
      <c r="O7" s="11"/>
      <c r="P7" s="11"/>
      <c r="Q7" s="12"/>
      <c r="R7" s="11"/>
      <c r="S7" s="11"/>
      <c r="T7" s="11"/>
    </row>
    <row r="8" spans="1:20" s="2" customFormat="1" ht="18.75" customHeight="1" x14ac:dyDescent="0.25">
      <c r="A8" s="11"/>
      <c r="B8" s="11"/>
      <c r="C8" s="11"/>
      <c r="D8" s="11"/>
      <c r="E8" s="11"/>
      <c r="F8" s="11"/>
      <c r="G8" s="12"/>
      <c r="H8" s="11"/>
      <c r="I8" s="11"/>
      <c r="J8" s="11"/>
      <c r="K8" s="11"/>
      <c r="L8" s="11"/>
      <c r="M8" s="11"/>
      <c r="N8" s="12"/>
      <c r="O8" s="11"/>
      <c r="P8" s="11"/>
      <c r="Q8" s="12"/>
      <c r="R8" s="11"/>
      <c r="S8" s="11"/>
      <c r="T8" s="11"/>
    </row>
    <row r="9" spans="1:20" s="2" customFormat="1" ht="18.75" customHeight="1" x14ac:dyDescent="0.25">
      <c r="A9" s="11" t="s">
        <v>34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  <c r="O9" s="11"/>
      <c r="P9" s="11"/>
      <c r="Q9" s="12"/>
      <c r="R9" s="11"/>
      <c r="S9" s="11"/>
      <c r="T9" s="11"/>
    </row>
    <row r="10" spans="1:20" s="2" customFormat="1" ht="18.75" customHeight="1" x14ac:dyDescent="0.25">
      <c r="H10" s="10"/>
      <c r="N10" s="10"/>
      <c r="Q10" s="10"/>
    </row>
    <row r="11" spans="1:20" ht="18.75" customHeight="1" x14ac:dyDescent="0.2">
      <c r="C11" s="1" t="s">
        <v>29</v>
      </c>
      <c r="D11" s="1"/>
      <c r="F11" s="1"/>
      <c r="G11" s="1"/>
      <c r="H11" s="5"/>
      <c r="I11" s="1"/>
      <c r="J11" s="1"/>
      <c r="K11" s="1"/>
      <c r="L11" s="1"/>
      <c r="M11" s="1"/>
      <c r="N11" s="5"/>
      <c r="O11" s="1"/>
      <c r="P11" s="1"/>
      <c r="Q11" s="5"/>
    </row>
    <row r="12" spans="1:20" ht="18.75" customHeight="1" x14ac:dyDescent="0.2">
      <c r="C12" s="1" t="s">
        <v>40</v>
      </c>
      <c r="D12" s="1"/>
      <c r="F12" s="1"/>
      <c r="G12" s="1"/>
      <c r="H12" s="5"/>
      <c r="I12" s="1"/>
      <c r="J12" s="1"/>
      <c r="K12" s="1"/>
      <c r="L12" s="1"/>
      <c r="M12" s="1"/>
      <c r="N12" s="5"/>
      <c r="O12" s="1"/>
      <c r="P12" s="1"/>
      <c r="Q12" s="5"/>
    </row>
    <row r="13" spans="1:20" ht="18.75" customHeight="1" x14ac:dyDescent="0.2">
      <c r="C13" s="1" t="s">
        <v>42</v>
      </c>
      <c r="D13" s="1"/>
      <c r="F13" s="1"/>
      <c r="G13" s="1"/>
      <c r="H13" s="5"/>
      <c r="I13" s="1"/>
      <c r="J13" s="1"/>
      <c r="K13" s="1"/>
      <c r="L13" s="1"/>
      <c r="M13" s="1"/>
      <c r="N13" s="5"/>
      <c r="O13" s="1"/>
      <c r="P13" s="1"/>
      <c r="Q13" s="5"/>
    </row>
    <row r="14" spans="1:20" ht="10.5" customHeight="1" x14ac:dyDescent="0.25">
      <c r="C14" s="7"/>
      <c r="D14" s="7"/>
      <c r="F14" s="7"/>
      <c r="G14" s="1"/>
      <c r="H14" s="5"/>
      <c r="I14" s="1"/>
      <c r="J14" s="1"/>
      <c r="K14" s="1"/>
      <c r="L14" s="1"/>
      <c r="M14" s="1"/>
      <c r="N14" s="5"/>
      <c r="O14" s="1"/>
      <c r="P14" s="1"/>
      <c r="Q14" s="5"/>
    </row>
    <row r="15" spans="1:20" ht="18.75" customHeight="1" x14ac:dyDescent="0.2">
      <c r="C15" s="1"/>
      <c r="D15" s="1"/>
      <c r="F15" s="1"/>
      <c r="G15" s="1"/>
      <c r="H15" s="5" t="s">
        <v>23</v>
      </c>
      <c r="I15" s="1"/>
      <c r="J15" s="1"/>
      <c r="K15" s="1" t="s">
        <v>24</v>
      </c>
      <c r="L15" s="1"/>
      <c r="M15" s="1"/>
      <c r="N15" s="5" t="s">
        <v>25</v>
      </c>
      <c r="O15" s="1"/>
      <c r="P15" s="1"/>
      <c r="Q15" s="5" t="s">
        <v>26</v>
      </c>
    </row>
    <row r="16" spans="1:20" ht="18.75" customHeight="1" x14ac:dyDescent="0.2">
      <c r="C16" s="1" t="s">
        <v>1</v>
      </c>
      <c r="D16" s="1"/>
      <c r="F16" s="1"/>
      <c r="G16" s="1"/>
      <c r="H16" s="5" t="s">
        <v>18</v>
      </c>
      <c r="I16" s="1"/>
      <c r="J16" s="1"/>
      <c r="K16" s="1" t="s">
        <v>27</v>
      </c>
      <c r="L16" s="1"/>
      <c r="M16" s="1"/>
      <c r="N16" s="5" t="s">
        <v>35</v>
      </c>
      <c r="O16" s="1" t="s">
        <v>36</v>
      </c>
      <c r="P16" s="1"/>
      <c r="Q16" s="5" t="s">
        <v>16</v>
      </c>
    </row>
    <row r="17" spans="3:17" ht="18.75" customHeight="1" x14ac:dyDescent="0.2">
      <c r="C17" s="3" t="s">
        <v>2</v>
      </c>
      <c r="E17" s="3" t="s">
        <v>3</v>
      </c>
      <c r="F17" s="1"/>
      <c r="G17" s="1"/>
      <c r="H17" s="8" t="s">
        <v>19</v>
      </c>
      <c r="I17" s="1"/>
      <c r="J17" s="1"/>
      <c r="K17" s="4" t="s">
        <v>15</v>
      </c>
      <c r="L17" s="1"/>
      <c r="M17" s="1"/>
      <c r="N17" s="8" t="s">
        <v>15</v>
      </c>
      <c r="O17" s="1"/>
      <c r="P17" s="1"/>
      <c r="Q17" s="8" t="s">
        <v>15</v>
      </c>
    </row>
    <row r="18" spans="3:17" ht="18.75" customHeight="1" x14ac:dyDescent="0.2">
      <c r="C18" s="1"/>
      <c r="E18" s="1"/>
      <c r="F18" s="1"/>
      <c r="G18" s="1"/>
      <c r="H18" s="5"/>
      <c r="I18" s="1"/>
      <c r="J18" s="1"/>
      <c r="K18" s="1"/>
      <c r="L18" s="1"/>
      <c r="M18" s="1"/>
      <c r="N18" s="5"/>
      <c r="O18" s="1"/>
      <c r="P18" s="1"/>
      <c r="Q18" s="5"/>
    </row>
    <row r="19" spans="3:17" ht="24.95" customHeight="1" x14ac:dyDescent="0.2">
      <c r="C19" s="6">
        <v>1</v>
      </c>
      <c r="E19" s="6" t="s">
        <v>4</v>
      </c>
      <c r="F19" s="1"/>
      <c r="G19" s="5"/>
      <c r="H19" s="13">
        <f>'[1]SEC &lt; 10kW'!F22</f>
        <v>615580.31599999999</v>
      </c>
      <c r="I19" s="9"/>
      <c r="J19" s="9"/>
      <c r="K19" s="13">
        <f>'[1]SEC &lt; 10kW'!J22</f>
        <v>278426.84399999998</v>
      </c>
      <c r="L19" s="9"/>
      <c r="M19" s="9"/>
      <c r="N19" s="13">
        <f>'[1]SEC &lt; 10kW'!N22</f>
        <v>271980.82</v>
      </c>
      <c r="O19" s="9"/>
      <c r="P19" s="9"/>
      <c r="Q19" s="13">
        <f>'[1]SEC &lt; 10kW'!R22</f>
        <v>261073.7</v>
      </c>
    </row>
    <row r="20" spans="3:17" ht="24.95" customHeight="1" x14ac:dyDescent="0.2">
      <c r="C20" s="6">
        <v>2</v>
      </c>
      <c r="E20" s="6" t="s">
        <v>5</v>
      </c>
      <c r="F20" s="1"/>
      <c r="G20" s="5"/>
      <c r="H20" s="13">
        <f>'[1]SEC &lt; 10kW'!F23</f>
        <v>551592.99199999997</v>
      </c>
      <c r="I20" s="9"/>
      <c r="J20" s="9"/>
      <c r="K20" s="13">
        <f>'[1]SEC &lt; 10kW'!J23</f>
        <v>204489.04399999999</v>
      </c>
      <c r="L20" s="9"/>
      <c r="M20" s="9"/>
      <c r="N20" s="13">
        <f>'[1]SEC &lt; 10kW'!N23</f>
        <v>191151.87599999999</v>
      </c>
      <c r="O20" s="9"/>
      <c r="P20" s="9"/>
      <c r="Q20" s="13">
        <f>'[1]SEC &lt; 10kW'!R23</f>
        <v>191151.87599999999</v>
      </c>
    </row>
    <row r="21" spans="3:17" ht="24.95" customHeight="1" x14ac:dyDescent="0.2">
      <c r="C21" s="6">
        <v>3</v>
      </c>
      <c r="E21" s="6" t="s">
        <v>6</v>
      </c>
      <c r="F21" s="1"/>
      <c r="G21" s="5"/>
      <c r="H21" s="13">
        <f>'[1]SEC &lt; 10kW'!F24</f>
        <v>534936.076</v>
      </c>
      <c r="I21" s="9"/>
      <c r="J21" s="9"/>
      <c r="K21" s="13">
        <f>'[1]SEC &lt; 10kW'!J24</f>
        <v>188511.552</v>
      </c>
      <c r="L21" s="9"/>
      <c r="M21" s="9"/>
      <c r="N21" s="13">
        <f>'[1]SEC &lt; 10kW'!N24</f>
        <v>167679.03599999999</v>
      </c>
      <c r="O21" s="9"/>
      <c r="P21" s="9"/>
      <c r="Q21" s="13">
        <f>'[1]SEC &lt; 10kW'!R24</f>
        <v>161420.26800000001</v>
      </c>
    </row>
    <row r="22" spans="3:17" ht="24.95" customHeight="1" x14ac:dyDescent="0.2">
      <c r="C22" s="6">
        <v>4</v>
      </c>
      <c r="E22" s="6" t="s">
        <v>7</v>
      </c>
      <c r="F22" s="1"/>
      <c r="G22" s="5"/>
      <c r="H22" s="13">
        <f>'[1]SEC &lt; 10kW'!F25</f>
        <v>534662.728</v>
      </c>
      <c r="I22" s="9"/>
      <c r="J22" s="9"/>
      <c r="K22" s="13">
        <f>'[1]SEC &lt; 10kW'!J25</f>
        <v>195796.88800000001</v>
      </c>
      <c r="L22" s="9"/>
      <c r="M22" s="9"/>
      <c r="N22" s="13">
        <f>'[1]SEC &lt; 10kW'!N25</f>
        <v>184903.65599999999</v>
      </c>
      <c r="O22" s="9"/>
      <c r="P22" s="9"/>
      <c r="Q22" s="13">
        <f>'[1]SEC &lt; 10kW'!R25</f>
        <v>184903.65599999999</v>
      </c>
    </row>
    <row r="23" spans="3:17" ht="24.95" customHeight="1" x14ac:dyDescent="0.2">
      <c r="C23" s="6">
        <v>5</v>
      </c>
      <c r="E23" s="6" t="s">
        <v>37</v>
      </c>
      <c r="F23" s="1"/>
      <c r="G23" s="5"/>
      <c r="H23" s="13">
        <f>'[1]SEC &lt; 10kW'!F26</f>
        <v>562110.66</v>
      </c>
      <c r="I23" s="9"/>
      <c r="J23" s="9"/>
      <c r="K23" s="13">
        <f>'[1]SEC &lt; 10kW'!J26</f>
        <v>215534.9</v>
      </c>
      <c r="L23" s="9"/>
      <c r="M23" s="9"/>
      <c r="N23" s="13">
        <f>'[1]SEC &lt; 10kW'!N26</f>
        <v>200509.8</v>
      </c>
      <c r="O23" s="9"/>
      <c r="P23" s="9"/>
      <c r="Q23" s="13">
        <f>'[1]SEC &lt; 10kW'!R26</f>
        <v>198228.22</v>
      </c>
    </row>
    <row r="24" spans="3:17" ht="24.95" customHeight="1" x14ac:dyDescent="0.2">
      <c r="C24" s="6">
        <v>6</v>
      </c>
      <c r="E24" s="6" t="s">
        <v>8</v>
      </c>
      <c r="F24" s="1"/>
      <c r="G24" s="5"/>
      <c r="H24" s="13">
        <f>'[1]SEC &lt; 10kW'!F27</f>
        <v>577284.31599999999</v>
      </c>
      <c r="I24" s="9"/>
      <c r="J24" s="9"/>
      <c r="K24" s="13">
        <f>'[1]SEC &lt; 10kW'!J27</f>
        <v>256433.28</v>
      </c>
      <c r="L24" s="9"/>
      <c r="M24" s="9"/>
      <c r="N24" s="13">
        <f>'[1]SEC &lt; 10kW'!N27</f>
        <v>253920.46</v>
      </c>
      <c r="O24" s="9"/>
      <c r="P24" s="9"/>
      <c r="Q24" s="13">
        <f>'[1]SEC &lt; 10kW'!R27</f>
        <v>214356.85</v>
      </c>
    </row>
    <row r="25" spans="3:17" ht="24.95" customHeight="1" x14ac:dyDescent="0.2">
      <c r="C25" s="6">
        <v>7</v>
      </c>
      <c r="E25" s="6" t="s">
        <v>9</v>
      </c>
      <c r="F25" s="1"/>
      <c r="G25" s="5"/>
      <c r="H25" s="13">
        <f>'[1]SEC &lt; 10kW'!F28</f>
        <v>575413.52800000005</v>
      </c>
      <c r="I25" s="9"/>
      <c r="J25" s="9"/>
      <c r="K25" s="13">
        <f>'[1]SEC &lt; 10kW'!J28</f>
        <v>259945.8</v>
      </c>
      <c r="L25" s="9"/>
      <c r="M25" s="9"/>
      <c r="N25" s="13">
        <f>'[1]SEC &lt; 10kW'!N28</f>
        <v>243272.02</v>
      </c>
      <c r="O25" s="9"/>
      <c r="P25" s="9"/>
      <c r="Q25" s="13">
        <f>'[1]SEC &lt; 10kW'!R28</f>
        <v>247088.44</v>
      </c>
    </row>
    <row r="26" spans="3:17" ht="24.95" customHeight="1" x14ac:dyDescent="0.2">
      <c r="C26" s="6">
        <v>8</v>
      </c>
      <c r="E26" s="6" t="s">
        <v>10</v>
      </c>
      <c r="F26" s="1"/>
      <c r="G26" s="5"/>
      <c r="H26" s="13">
        <f>'[1]SEC &lt; 10kW'!F29</f>
        <v>589003.28</v>
      </c>
      <c r="I26" s="9"/>
      <c r="J26" s="9"/>
      <c r="K26" s="13">
        <f>'[1]SEC &lt; 10kW'!J29</f>
        <v>268132.03999999998</v>
      </c>
      <c r="L26" s="9"/>
      <c r="M26" s="9"/>
      <c r="N26" s="13">
        <f>'[1]SEC &lt; 10kW'!N29</f>
        <v>262659.67</v>
      </c>
      <c r="O26" s="9"/>
      <c r="P26" s="9"/>
      <c r="Q26" s="13">
        <f>'[1]SEC &lt; 10kW'!R29</f>
        <v>260347.3</v>
      </c>
    </row>
    <row r="27" spans="3:17" ht="24.95" customHeight="1" x14ac:dyDescent="0.2">
      <c r="C27" s="6">
        <v>9</v>
      </c>
      <c r="E27" s="6" t="s">
        <v>11</v>
      </c>
      <c r="F27" s="1"/>
      <c r="G27" s="5"/>
      <c r="H27" s="13">
        <f>'[1]SEC &lt; 10kW'!F30</f>
        <v>568242.82400000002</v>
      </c>
      <c r="I27" s="9"/>
      <c r="J27" s="9"/>
      <c r="K27" s="13">
        <f>'[1]SEC &lt; 10kW'!J30</f>
        <v>250149.52</v>
      </c>
      <c r="L27" s="9"/>
      <c r="M27" s="9"/>
      <c r="N27" s="13">
        <f>'[1]SEC &lt; 10kW'!N30</f>
        <v>247086.28</v>
      </c>
      <c r="O27" s="9"/>
      <c r="P27" s="9"/>
      <c r="Q27" s="13">
        <f>'[1]SEC &lt; 10kW'!R30</f>
        <v>247585.71</v>
      </c>
    </row>
    <row r="28" spans="3:17" ht="24.95" customHeight="1" x14ac:dyDescent="0.2">
      <c r="C28" s="6">
        <v>10</v>
      </c>
      <c r="E28" s="6" t="s">
        <v>12</v>
      </c>
      <c r="F28" s="1"/>
      <c r="G28" s="5"/>
      <c r="H28" s="13">
        <f>'[1]SEC &lt; 10kW'!F31</f>
        <v>565476.696</v>
      </c>
      <c r="I28" s="9"/>
      <c r="J28" s="9"/>
      <c r="K28" s="13">
        <f>'[1]SEC &lt; 10kW'!J31</f>
        <v>228950.86</v>
      </c>
      <c r="L28" s="9"/>
      <c r="M28" s="9"/>
      <c r="N28" s="13">
        <f>'[1]SEC &lt; 10kW'!N31</f>
        <v>223848.33</v>
      </c>
      <c r="O28" s="9"/>
      <c r="P28" s="9"/>
      <c r="Q28" s="13">
        <f>'[1]SEC &lt; 10kW'!R31</f>
        <v>223848.33</v>
      </c>
    </row>
    <row r="29" spans="3:17" ht="24.95" customHeight="1" x14ac:dyDescent="0.2">
      <c r="C29" s="6">
        <v>11</v>
      </c>
      <c r="E29" s="6" t="s">
        <v>13</v>
      </c>
      <c r="F29" s="1"/>
      <c r="G29" s="5"/>
      <c r="H29" s="13">
        <f>'[1]SEC &lt; 10kW'!F32</f>
        <v>548245.37600000005</v>
      </c>
      <c r="I29" s="9"/>
      <c r="J29" s="9"/>
      <c r="K29" s="13">
        <f>'[1]SEC &lt; 10kW'!J32</f>
        <v>191044.62</v>
      </c>
      <c r="L29" s="9"/>
      <c r="M29" s="9"/>
      <c r="N29" s="13">
        <f>'[1]SEC &lt; 10kW'!N32</f>
        <v>173817.18</v>
      </c>
      <c r="O29" s="9"/>
      <c r="P29" s="9"/>
      <c r="Q29" s="13">
        <f>'[1]SEC &lt; 10kW'!R32</f>
        <v>175253.95</v>
      </c>
    </row>
    <row r="30" spans="3:17" ht="24.95" customHeight="1" x14ac:dyDescent="0.2">
      <c r="C30" s="6">
        <v>12</v>
      </c>
      <c r="E30" s="6" t="s">
        <v>14</v>
      </c>
      <c r="F30" s="1"/>
      <c r="G30" s="5"/>
      <c r="H30" s="13">
        <f>'[1]SEC &lt; 10kW'!F33</f>
        <v>548042.84400000004</v>
      </c>
      <c r="I30" s="9"/>
      <c r="J30" s="9"/>
      <c r="K30" s="13">
        <f>'[1]SEC &lt; 10kW'!J33</f>
        <v>210769.65</v>
      </c>
      <c r="L30" s="9"/>
      <c r="M30" s="9"/>
      <c r="N30" s="13">
        <f>'[1]SEC &lt; 10kW'!N33</f>
        <v>189398.2</v>
      </c>
      <c r="O30" s="9"/>
      <c r="P30" s="9"/>
      <c r="Q30" s="13">
        <f>'[1]SEC &lt; 10kW'!R33</f>
        <v>189398.2</v>
      </c>
    </row>
    <row r="31" spans="3:17" ht="15" customHeight="1" x14ac:dyDescent="0.2">
      <c r="C31" s="1"/>
      <c r="D31" s="1"/>
      <c r="F31" s="1"/>
      <c r="G31" s="5"/>
      <c r="H31" s="5"/>
      <c r="I31" s="5"/>
      <c r="J31" s="5"/>
      <c r="K31" s="1"/>
      <c r="L31" s="5"/>
      <c r="M31" s="5"/>
      <c r="N31" s="5"/>
      <c r="O31" s="5"/>
      <c r="P31" s="5"/>
      <c r="Q31" s="5"/>
    </row>
    <row r="32" spans="3:17" ht="15" customHeight="1" x14ac:dyDescent="0.2">
      <c r="C32" s="1"/>
      <c r="D32" s="1"/>
      <c r="F32" s="1"/>
      <c r="G32" s="5"/>
      <c r="H32" s="5"/>
      <c r="I32" s="5"/>
      <c r="J32" s="5"/>
      <c r="K32" s="1"/>
      <c r="L32" s="5"/>
      <c r="M32" s="5"/>
      <c r="N32" s="5"/>
      <c r="O32" s="5"/>
      <c r="P32" s="5"/>
      <c r="Q32" s="5"/>
    </row>
    <row r="33" spans="3:17" ht="15" customHeight="1" x14ac:dyDescent="0.2">
      <c r="C33" s="1" t="s">
        <v>17</v>
      </c>
      <c r="D33" s="1"/>
      <c r="F33" s="1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3:17" ht="24.95" customHeight="1" x14ac:dyDescent="0.2"/>
  </sheetData>
  <pageMargins left="0.5" right="1" top="1.5" bottom="0.5" header="0.5" footer="0.5"/>
  <pageSetup scale="70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4"/>
  <sheetViews>
    <sheetView zoomScale="75" workbookViewId="0">
      <selection activeCell="A5" sqref="A5"/>
    </sheetView>
  </sheetViews>
  <sheetFormatPr defaultRowHeight="12.75" x14ac:dyDescent="0.2"/>
  <cols>
    <col min="3" max="3" width="4.7109375" customWidth="1"/>
    <col min="4" max="4" width="7.7109375" customWidth="1"/>
    <col min="6" max="6" width="10.7109375" customWidth="1"/>
    <col min="7" max="7" width="2.7109375" customWidth="1"/>
    <col min="8" max="8" width="13.7109375" customWidth="1"/>
    <col min="9" max="9" width="10.7109375" customWidth="1"/>
    <col min="10" max="10" width="2.7109375" customWidth="1"/>
    <col min="11" max="11" width="12.7109375" customWidth="1"/>
    <col min="12" max="12" width="10.7109375" customWidth="1"/>
    <col min="13" max="13" width="2.7109375" customWidth="1"/>
    <col min="14" max="14" width="12.7109375" customWidth="1"/>
    <col min="15" max="15" width="10.7109375" customWidth="1"/>
    <col min="16" max="16" width="2.7109375" customWidth="1"/>
    <col min="17" max="17" width="12.7109375" customWidth="1"/>
  </cols>
  <sheetData>
    <row r="1" spans="1:20" ht="18.75" customHeight="1" x14ac:dyDescent="0.25">
      <c r="C1" s="2"/>
      <c r="D1" s="1"/>
      <c r="F1" s="1"/>
      <c r="G1" s="1"/>
      <c r="H1" s="5"/>
      <c r="I1" s="1"/>
      <c r="J1" s="1"/>
      <c r="K1" s="1"/>
      <c r="L1" s="1"/>
      <c r="M1" s="1"/>
      <c r="N1" s="5"/>
      <c r="Q1" s="5"/>
      <c r="R1" s="1" t="s">
        <v>38</v>
      </c>
    </row>
    <row r="2" spans="1:20" ht="18.75" customHeight="1" x14ac:dyDescent="0.2">
      <c r="C2" s="1"/>
      <c r="D2" s="1"/>
      <c r="F2" s="1"/>
      <c r="G2" s="1"/>
      <c r="H2" s="5"/>
      <c r="I2" s="1"/>
      <c r="J2" s="1"/>
      <c r="K2" s="1"/>
      <c r="L2" s="1"/>
      <c r="M2" s="1"/>
      <c r="N2" s="5"/>
      <c r="Q2" s="5"/>
      <c r="R2" s="1" t="s">
        <v>50</v>
      </c>
    </row>
    <row r="3" spans="1:20" ht="18.75" customHeight="1" x14ac:dyDescent="0.2">
      <c r="C3" s="1"/>
      <c r="D3" s="1"/>
      <c r="F3" s="1"/>
      <c r="G3" s="1"/>
      <c r="H3" s="5"/>
      <c r="I3" s="1"/>
      <c r="J3" s="1"/>
      <c r="K3" s="1"/>
      <c r="L3" s="1"/>
      <c r="M3" s="1"/>
      <c r="N3" s="5"/>
      <c r="Q3" s="5"/>
      <c r="R3" s="1"/>
    </row>
    <row r="4" spans="1:20" s="2" customFormat="1" ht="18.75" customHeight="1" x14ac:dyDescent="0.25">
      <c r="A4" s="11" t="s">
        <v>56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11"/>
      <c r="P4" s="11"/>
      <c r="Q4" s="12"/>
      <c r="R4" s="11"/>
      <c r="S4" s="11"/>
      <c r="T4" s="11"/>
    </row>
    <row r="5" spans="1:20" s="2" customFormat="1" ht="18.75" customHeight="1" x14ac:dyDescent="0.25">
      <c r="A5" s="11" t="s">
        <v>30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/>
      <c r="O5" s="11"/>
      <c r="P5" s="11"/>
      <c r="Q5" s="12"/>
      <c r="R5" s="11"/>
      <c r="S5" s="11"/>
      <c r="T5" s="11"/>
    </row>
    <row r="6" spans="1:20" s="2" customFormat="1" ht="18.75" customHeight="1" x14ac:dyDescent="0.25">
      <c r="A6" s="11" t="s">
        <v>28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  <c r="O6" s="11"/>
      <c r="P6" s="11"/>
      <c r="Q6" s="12"/>
      <c r="R6" s="11"/>
      <c r="S6" s="11"/>
      <c r="T6" s="11"/>
    </row>
    <row r="7" spans="1:20" s="2" customFormat="1" ht="18.75" customHeight="1" x14ac:dyDescent="0.25">
      <c r="A7" s="11" t="s">
        <v>55</v>
      </c>
      <c r="B7" s="11"/>
      <c r="C7" s="11"/>
      <c r="D7" s="11"/>
      <c r="E7" s="11"/>
      <c r="F7" s="11"/>
      <c r="G7" s="12"/>
      <c r="H7" s="12"/>
      <c r="I7" s="11"/>
      <c r="J7" s="11"/>
      <c r="K7" s="11"/>
      <c r="L7" s="11"/>
      <c r="M7" s="11"/>
      <c r="N7" s="12"/>
      <c r="O7" s="11"/>
      <c r="P7" s="11"/>
      <c r="Q7" s="12"/>
      <c r="R7" s="11"/>
      <c r="S7" s="11"/>
      <c r="T7" s="11"/>
    </row>
    <row r="8" spans="1:20" s="2" customFormat="1" ht="18.75" customHeight="1" x14ac:dyDescent="0.25">
      <c r="A8" s="11"/>
      <c r="B8" s="11"/>
      <c r="C8" s="11"/>
      <c r="D8" s="11"/>
      <c r="E8" s="11"/>
      <c r="F8" s="11"/>
      <c r="G8" s="12"/>
      <c r="H8" s="11"/>
      <c r="I8" s="11"/>
      <c r="J8" s="11"/>
      <c r="K8" s="11"/>
      <c r="L8" s="11"/>
      <c r="M8" s="11"/>
      <c r="N8" s="12"/>
      <c r="O8" s="11"/>
      <c r="P8" s="11"/>
      <c r="Q8" s="12"/>
      <c r="R8" s="11"/>
      <c r="S8" s="11"/>
      <c r="T8" s="11"/>
    </row>
    <row r="9" spans="1:20" s="2" customFormat="1" ht="18.75" customHeight="1" x14ac:dyDescent="0.25">
      <c r="A9" s="11" t="s">
        <v>34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  <c r="O9" s="11"/>
      <c r="P9" s="11"/>
      <c r="Q9" s="12"/>
      <c r="R9" s="11"/>
      <c r="S9" s="11"/>
      <c r="T9" s="11"/>
    </row>
    <row r="10" spans="1:20" s="2" customFormat="1" ht="18.75" customHeight="1" x14ac:dyDescent="0.25">
      <c r="H10" s="10"/>
      <c r="N10" s="10"/>
      <c r="Q10" s="10"/>
    </row>
    <row r="11" spans="1:20" ht="18.75" customHeight="1" x14ac:dyDescent="0.2">
      <c r="C11" s="1" t="s">
        <v>29</v>
      </c>
      <c r="D11" s="1"/>
      <c r="F11" s="1"/>
      <c r="G11" s="1"/>
      <c r="H11" s="5"/>
      <c r="I11" s="1"/>
      <c r="J11" s="1"/>
      <c r="K11" s="1"/>
      <c r="L11" s="1"/>
      <c r="M11" s="1"/>
      <c r="N11" s="5"/>
      <c r="O11" s="1"/>
      <c r="P11" s="1"/>
      <c r="Q11" s="5"/>
    </row>
    <row r="12" spans="1:20" ht="18.75" customHeight="1" x14ac:dyDescent="0.2">
      <c r="C12" s="1" t="s">
        <v>41</v>
      </c>
      <c r="D12" s="1"/>
      <c r="F12" s="1"/>
      <c r="G12" s="1"/>
      <c r="H12" s="5"/>
      <c r="I12" s="1"/>
      <c r="J12" s="1"/>
      <c r="K12" s="1"/>
      <c r="L12" s="1"/>
      <c r="M12" s="1"/>
      <c r="N12" s="5"/>
      <c r="O12" s="1"/>
      <c r="P12" s="1"/>
      <c r="Q12" s="5"/>
    </row>
    <row r="13" spans="1:20" ht="18.75" customHeight="1" x14ac:dyDescent="0.2">
      <c r="C13" s="1" t="s">
        <v>42</v>
      </c>
      <c r="D13" s="1"/>
      <c r="F13" s="1"/>
      <c r="G13" s="1"/>
      <c r="H13" s="5"/>
      <c r="I13" s="1"/>
      <c r="J13" s="1"/>
      <c r="K13" s="1"/>
      <c r="L13" s="1"/>
      <c r="M13" s="1"/>
      <c r="N13" s="5"/>
      <c r="O13" s="1"/>
      <c r="P13" s="1"/>
      <c r="Q13" s="5"/>
    </row>
    <row r="14" spans="1:20" ht="10.5" customHeight="1" x14ac:dyDescent="0.25">
      <c r="C14" s="7"/>
      <c r="D14" s="7"/>
      <c r="F14" s="7"/>
      <c r="G14" s="1"/>
      <c r="H14" s="5"/>
      <c r="I14" s="1"/>
      <c r="J14" s="1"/>
      <c r="K14" s="1"/>
      <c r="L14" s="1"/>
      <c r="M14" s="1"/>
      <c r="N14" s="5"/>
      <c r="O14" s="1"/>
      <c r="P14" s="1"/>
      <c r="Q14" s="5"/>
    </row>
    <row r="15" spans="1:20" ht="18.75" customHeight="1" x14ac:dyDescent="0.2">
      <c r="C15" s="1"/>
      <c r="D15" s="1"/>
      <c r="F15" s="1"/>
      <c r="G15" s="1"/>
      <c r="H15" s="5" t="s">
        <v>23</v>
      </c>
      <c r="I15" s="1"/>
      <c r="J15" s="1"/>
      <c r="K15" s="1" t="s">
        <v>24</v>
      </c>
      <c r="L15" s="1"/>
      <c r="M15" s="1"/>
      <c r="N15" s="5" t="s">
        <v>25</v>
      </c>
      <c r="O15" s="1"/>
      <c r="P15" s="1"/>
      <c r="Q15" s="5" t="s">
        <v>26</v>
      </c>
    </row>
    <row r="16" spans="1:20" ht="18.75" customHeight="1" x14ac:dyDescent="0.2">
      <c r="C16" s="1" t="s">
        <v>1</v>
      </c>
      <c r="D16" s="1"/>
      <c r="F16" s="1"/>
      <c r="G16" s="1"/>
      <c r="H16" s="5" t="s">
        <v>18</v>
      </c>
      <c r="I16" s="1"/>
      <c r="J16" s="1"/>
      <c r="K16" s="1" t="s">
        <v>27</v>
      </c>
      <c r="L16" s="1"/>
      <c r="M16" s="1"/>
      <c r="N16" s="5" t="s">
        <v>35</v>
      </c>
      <c r="O16" s="1" t="s">
        <v>36</v>
      </c>
      <c r="P16" s="1"/>
      <c r="Q16" s="5" t="s">
        <v>16</v>
      </c>
    </row>
    <row r="17" spans="3:17" ht="18.75" customHeight="1" x14ac:dyDescent="0.2">
      <c r="C17" s="3" t="s">
        <v>2</v>
      </c>
      <c r="E17" s="3" t="s">
        <v>3</v>
      </c>
      <c r="F17" s="1"/>
      <c r="G17" s="1"/>
      <c r="H17" s="8" t="s">
        <v>19</v>
      </c>
      <c r="I17" s="1"/>
      <c r="J17" s="1"/>
      <c r="K17" s="4" t="s">
        <v>15</v>
      </c>
      <c r="L17" s="1"/>
      <c r="M17" s="1"/>
      <c r="N17" s="8" t="s">
        <v>15</v>
      </c>
      <c r="O17" s="1"/>
      <c r="P17" s="1"/>
      <c r="Q17" s="8" t="s">
        <v>15</v>
      </c>
    </row>
    <row r="18" spans="3:17" ht="18.75" customHeight="1" x14ac:dyDescent="0.2">
      <c r="C18" s="1"/>
      <c r="E18" s="1"/>
      <c r="F18" s="1"/>
      <c r="G18" s="1"/>
      <c r="H18" s="5"/>
      <c r="I18" s="1"/>
      <c r="J18" s="1"/>
      <c r="K18" s="1"/>
      <c r="L18" s="1"/>
      <c r="M18" s="1"/>
      <c r="N18" s="5"/>
      <c r="O18" s="1"/>
      <c r="P18" s="1"/>
      <c r="Q18" s="5"/>
    </row>
    <row r="19" spans="3:17" ht="24.95" customHeight="1" x14ac:dyDescent="0.2">
      <c r="C19" s="6">
        <v>1</v>
      </c>
      <c r="E19" s="6" t="s">
        <v>4</v>
      </c>
      <c r="F19" s="1"/>
      <c r="G19" s="5"/>
      <c r="H19" s="13">
        <f>'[1]SEC &gt; 10kW '!F22</f>
        <v>12080021.035999998</v>
      </c>
      <c r="I19" s="9"/>
      <c r="J19" s="9"/>
      <c r="K19" s="13">
        <f>'[1]SEC &gt; 10kW '!J22</f>
        <v>7444470.1299999999</v>
      </c>
      <c r="L19" s="9"/>
      <c r="M19" s="9"/>
      <c r="N19" s="13">
        <f>'[1]SEC &gt; 10kW '!N22</f>
        <v>6325413.8700000001</v>
      </c>
      <c r="O19" s="9"/>
      <c r="P19" s="9"/>
      <c r="Q19" s="13">
        <f>'[1]SEC &gt; 10kW '!R22</f>
        <v>7268841.3600000003</v>
      </c>
    </row>
    <row r="20" spans="3:17" ht="24.95" customHeight="1" x14ac:dyDescent="0.2">
      <c r="C20" s="6">
        <v>2</v>
      </c>
      <c r="E20" s="6" t="s">
        <v>5</v>
      </c>
      <c r="F20" s="1"/>
      <c r="G20" s="5"/>
      <c r="H20" s="13">
        <f>'[1]SEC &gt; 10kW '!F23</f>
        <v>11427980.18</v>
      </c>
      <c r="I20" s="9"/>
      <c r="J20" s="9"/>
      <c r="K20" s="13">
        <f>'[1]SEC &gt; 10kW '!J23</f>
        <v>6760960</v>
      </c>
      <c r="L20" s="9"/>
      <c r="M20" s="9"/>
      <c r="N20" s="13">
        <f>'[1]SEC &gt; 10kW '!N23</f>
        <v>5966198.3600000003</v>
      </c>
      <c r="O20" s="9"/>
      <c r="P20" s="9"/>
      <c r="Q20" s="13">
        <f>'[1]SEC &gt; 10kW '!R23</f>
        <v>5966198.3600000003</v>
      </c>
    </row>
    <row r="21" spans="3:17" ht="24.95" customHeight="1" x14ac:dyDescent="0.2">
      <c r="C21" s="6">
        <v>3</v>
      </c>
      <c r="E21" s="6" t="s">
        <v>6</v>
      </c>
      <c r="F21" s="1"/>
      <c r="G21" s="5"/>
      <c r="H21" s="13">
        <f>'[1]SEC &gt; 10kW '!F24</f>
        <v>11008092.104</v>
      </c>
      <c r="I21" s="9"/>
      <c r="J21" s="9"/>
      <c r="K21" s="13">
        <f>'[1]SEC &gt; 10kW '!J24</f>
        <v>6618780.0599999996</v>
      </c>
      <c r="L21" s="9"/>
      <c r="M21" s="9"/>
      <c r="N21" s="13">
        <f>'[1]SEC &gt; 10kW '!N24</f>
        <v>5414010.7300000004</v>
      </c>
      <c r="O21" s="9"/>
      <c r="P21" s="9"/>
      <c r="Q21" s="13">
        <f>'[1]SEC &gt; 10kW '!R24</f>
        <v>6157080.5599999996</v>
      </c>
    </row>
    <row r="22" spans="3:17" ht="24.95" customHeight="1" x14ac:dyDescent="0.2">
      <c r="C22" s="6">
        <v>4</v>
      </c>
      <c r="E22" s="6" t="s">
        <v>7</v>
      </c>
      <c r="F22" s="1"/>
      <c r="G22" s="5"/>
      <c r="H22" s="13">
        <f>'[1]SEC &gt; 10kW '!F25</f>
        <v>11239548.284</v>
      </c>
      <c r="I22" s="9"/>
      <c r="J22" s="9"/>
      <c r="K22" s="13">
        <f>'[1]SEC &gt; 10kW '!J25</f>
        <v>7499837.176</v>
      </c>
      <c r="L22" s="9"/>
      <c r="M22" s="9"/>
      <c r="N22" s="13">
        <f>'[1]SEC &gt; 10kW '!N25</f>
        <v>6926576.4199999999</v>
      </c>
      <c r="O22" s="9"/>
      <c r="P22" s="9"/>
      <c r="Q22" s="13">
        <f>'[1]SEC &gt; 10kW '!R25</f>
        <v>6926576.4199999999</v>
      </c>
    </row>
    <row r="23" spans="3:17" ht="24.95" customHeight="1" x14ac:dyDescent="0.2">
      <c r="C23" s="6">
        <v>5</v>
      </c>
      <c r="E23" s="6" t="s">
        <v>37</v>
      </c>
      <c r="F23" s="1"/>
      <c r="G23" s="5"/>
      <c r="H23" s="13">
        <f>'[1]SEC &gt; 10kW '!F26</f>
        <v>12082178.468</v>
      </c>
      <c r="I23" s="9"/>
      <c r="J23" s="9"/>
      <c r="K23" s="13">
        <f>'[1]SEC &gt; 10kW '!J26</f>
        <v>8349015.0839999998</v>
      </c>
      <c r="L23" s="9"/>
      <c r="M23" s="9"/>
      <c r="N23" s="13">
        <f>'[1]SEC &gt; 10kW '!N26</f>
        <v>7012892.7800000003</v>
      </c>
      <c r="O23" s="9"/>
      <c r="P23" s="9"/>
      <c r="Q23" s="13">
        <f>'[1]SEC &gt; 10kW '!R26</f>
        <v>6877380.3119999999</v>
      </c>
    </row>
    <row r="24" spans="3:17" ht="24.95" customHeight="1" x14ac:dyDescent="0.2">
      <c r="C24" s="6">
        <v>6</v>
      </c>
      <c r="E24" s="6" t="s">
        <v>8</v>
      </c>
      <c r="F24" s="1"/>
      <c r="G24" s="5"/>
      <c r="H24" s="13">
        <f>'[1]SEC &gt; 10kW '!F27</f>
        <v>12605255.344000001</v>
      </c>
      <c r="I24" s="9"/>
      <c r="J24" s="9"/>
      <c r="K24" s="13">
        <f>'[1]SEC &gt; 10kW '!J27</f>
        <v>9106278.5500000007</v>
      </c>
      <c r="L24" s="9"/>
      <c r="M24" s="9"/>
      <c r="N24" s="13">
        <f>'[1]SEC &gt; 10kW '!N27</f>
        <v>8916947.6999999993</v>
      </c>
      <c r="O24" s="9"/>
      <c r="P24" s="9"/>
      <c r="Q24" s="13">
        <f>'[1]SEC &gt; 10kW '!R27</f>
        <v>7297223.3899999997</v>
      </c>
    </row>
    <row r="25" spans="3:17" ht="24.95" customHeight="1" x14ac:dyDescent="0.2">
      <c r="C25" s="6">
        <v>7</v>
      </c>
      <c r="E25" s="6" t="s">
        <v>9</v>
      </c>
      <c r="F25" s="1"/>
      <c r="G25" s="5"/>
      <c r="H25" s="13">
        <f>'[1]SEC &gt; 10kW '!F28</f>
        <v>12678487.24</v>
      </c>
      <c r="I25" s="9"/>
      <c r="J25" s="9"/>
      <c r="K25" s="13">
        <f>'[1]SEC &gt; 10kW '!J28</f>
        <v>9043351.8499999996</v>
      </c>
      <c r="L25" s="9"/>
      <c r="M25" s="9"/>
      <c r="N25" s="13">
        <f>'[1]SEC &gt; 10kW '!N28</f>
        <v>8570590.8800000008</v>
      </c>
      <c r="O25" s="9"/>
      <c r="P25" s="9"/>
      <c r="Q25" s="13">
        <f>'[1]SEC &gt; 10kW '!R28</f>
        <v>8490162.4700000007</v>
      </c>
    </row>
    <row r="26" spans="3:17" ht="24.95" customHeight="1" x14ac:dyDescent="0.2">
      <c r="C26" s="6">
        <v>8</v>
      </c>
      <c r="E26" s="6" t="s">
        <v>10</v>
      </c>
      <c r="F26" s="1"/>
      <c r="G26" s="5"/>
      <c r="H26" s="13">
        <f>'[1]SEC &gt; 10kW '!F29</f>
        <v>13277282.243999999</v>
      </c>
      <c r="I26" s="9"/>
      <c r="J26" s="9"/>
      <c r="K26" s="13">
        <f>'[1]SEC &gt; 10kW '!J29</f>
        <v>9661214.9800000004</v>
      </c>
      <c r="L26" s="9"/>
      <c r="M26" s="9"/>
      <c r="N26" s="13">
        <f>'[1]SEC &gt; 10kW '!N29</f>
        <v>9400039.2599999998</v>
      </c>
      <c r="O26" s="9"/>
      <c r="P26" s="9"/>
      <c r="Q26" s="13">
        <f>'[1]SEC &gt; 10kW '!R29</f>
        <v>9077339.0700000003</v>
      </c>
    </row>
    <row r="27" spans="3:17" ht="24.95" customHeight="1" x14ac:dyDescent="0.2">
      <c r="C27" s="6">
        <v>9</v>
      </c>
      <c r="E27" s="6" t="s">
        <v>11</v>
      </c>
      <c r="F27" s="1"/>
      <c r="G27" s="5"/>
      <c r="H27" s="13">
        <f>'[1]SEC &gt; 10kW '!F30</f>
        <v>12366900.719999999</v>
      </c>
      <c r="I27" s="9"/>
      <c r="J27" s="9"/>
      <c r="K27" s="13">
        <f>'[1]SEC &gt; 10kW '!J30</f>
        <v>9023595.8699999992</v>
      </c>
      <c r="L27" s="9"/>
      <c r="M27" s="9"/>
      <c r="N27" s="13">
        <f>'[1]SEC &gt; 10kW '!N30</f>
        <v>8852855.3399999999</v>
      </c>
      <c r="O27" s="9"/>
      <c r="P27" s="9"/>
      <c r="Q27" s="13">
        <f>'[1]SEC &gt; 10kW '!R30</f>
        <v>8611705.1999999993</v>
      </c>
    </row>
    <row r="28" spans="3:17" ht="24.95" customHeight="1" x14ac:dyDescent="0.2">
      <c r="C28" s="6">
        <v>10</v>
      </c>
      <c r="E28" s="6" t="s">
        <v>12</v>
      </c>
      <c r="F28" s="1"/>
      <c r="G28" s="5"/>
      <c r="H28" s="13">
        <f>'[1]SEC &gt; 10kW '!F31</f>
        <v>11722182.396</v>
      </c>
      <c r="I28" s="9"/>
      <c r="J28" s="9"/>
      <c r="K28" s="13">
        <f>'[1]SEC &gt; 10kW '!J31</f>
        <v>8243555.71</v>
      </c>
      <c r="L28" s="9"/>
      <c r="M28" s="9"/>
      <c r="N28" s="13">
        <f>'[1]SEC &gt; 10kW '!N31</f>
        <v>7796947.5899999999</v>
      </c>
      <c r="O28" s="9"/>
      <c r="P28" s="9"/>
      <c r="Q28" s="13">
        <f>'[1]SEC &gt; 10kW '!R31</f>
        <v>7796947.5899999999</v>
      </c>
    </row>
    <row r="29" spans="3:17" ht="24.95" customHeight="1" x14ac:dyDescent="0.2">
      <c r="C29" s="6">
        <v>11</v>
      </c>
      <c r="E29" s="6" t="s">
        <v>13</v>
      </c>
      <c r="F29" s="1"/>
      <c r="G29" s="5"/>
      <c r="H29" s="13">
        <f>'[1]SEC &gt; 10kW '!F32</f>
        <v>11110656.220000001</v>
      </c>
      <c r="I29" s="9"/>
      <c r="J29" s="9"/>
      <c r="K29" s="13">
        <f>'[1]SEC &gt; 10kW '!J32</f>
        <v>6939642.8099999996</v>
      </c>
      <c r="L29" s="9"/>
      <c r="M29" s="9"/>
      <c r="N29" s="13">
        <f>'[1]SEC &gt; 10kW '!N32</f>
        <v>6936480.8600000003</v>
      </c>
      <c r="O29" s="9"/>
      <c r="P29" s="9"/>
      <c r="Q29" s="13">
        <f>'[1]SEC &gt; 10kW '!R32</f>
        <v>6746212.5</v>
      </c>
    </row>
    <row r="30" spans="3:17" ht="24.95" customHeight="1" x14ac:dyDescent="0.2">
      <c r="C30" s="6">
        <v>12</v>
      </c>
      <c r="E30" s="6" t="s">
        <v>14</v>
      </c>
      <c r="F30" s="1"/>
      <c r="G30" s="5"/>
      <c r="H30" s="13">
        <f>'[1]SEC &gt; 10kW '!F33</f>
        <v>10999137.116</v>
      </c>
      <c r="I30" s="9"/>
      <c r="J30" s="9"/>
      <c r="K30" s="13">
        <f>'[1]SEC &gt; 10kW '!J33</f>
        <v>6207033.3099999996</v>
      </c>
      <c r="L30" s="9"/>
      <c r="M30" s="9"/>
      <c r="N30" s="13">
        <f>'[1]SEC &gt; 10kW '!N33</f>
        <v>6050610.0099999998</v>
      </c>
      <c r="O30" s="9"/>
      <c r="P30" s="9"/>
      <c r="Q30" s="13">
        <f>'[1]SEC &gt; 10kW '!R33</f>
        <v>6050610.0099999998</v>
      </c>
    </row>
    <row r="31" spans="3:17" ht="15" customHeight="1" x14ac:dyDescent="0.2">
      <c r="C31" s="1"/>
      <c r="D31" s="1"/>
      <c r="F31" s="1"/>
      <c r="G31" s="5"/>
      <c r="H31" s="5"/>
      <c r="I31" s="5"/>
      <c r="J31" s="5"/>
      <c r="K31" s="1"/>
      <c r="L31" s="5"/>
      <c r="M31" s="5"/>
      <c r="N31" s="5"/>
      <c r="O31" s="5"/>
      <c r="P31" s="5"/>
      <c r="Q31" s="5"/>
    </row>
    <row r="32" spans="3:17" ht="15" customHeight="1" x14ac:dyDescent="0.2">
      <c r="C32" s="1"/>
      <c r="D32" s="1"/>
      <c r="F32" s="1"/>
      <c r="G32" s="5"/>
      <c r="H32" s="5"/>
      <c r="I32" s="5"/>
      <c r="J32" s="5"/>
      <c r="K32" s="1"/>
      <c r="L32" s="5"/>
      <c r="M32" s="5"/>
      <c r="N32" s="5"/>
      <c r="O32" s="5"/>
      <c r="P32" s="5"/>
      <c r="Q32" s="5"/>
    </row>
    <row r="33" spans="3:17" ht="15" customHeight="1" x14ac:dyDescent="0.2">
      <c r="C33" s="1" t="s">
        <v>17</v>
      </c>
      <c r="D33" s="1"/>
      <c r="F33" s="1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3:17" ht="24.95" customHeight="1" x14ac:dyDescent="0.2"/>
  </sheetData>
  <pageMargins left="0.5" right="1" top="1.5" bottom="0.5" header="0.5" footer="0.5"/>
  <pageSetup scale="70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4"/>
  <sheetViews>
    <sheetView topLeftCell="A2" zoomScale="75" workbookViewId="0">
      <selection activeCell="A5" sqref="A5"/>
    </sheetView>
  </sheetViews>
  <sheetFormatPr defaultRowHeight="12.75" x14ac:dyDescent="0.2"/>
  <cols>
    <col min="3" max="3" width="4.7109375" customWidth="1"/>
    <col min="4" max="4" width="7.7109375" customWidth="1"/>
    <col min="6" max="6" width="10.7109375" customWidth="1"/>
    <col min="7" max="7" width="2.7109375" customWidth="1"/>
    <col min="8" max="8" width="13.7109375" customWidth="1"/>
    <col min="9" max="9" width="10.7109375" customWidth="1"/>
    <col min="10" max="10" width="2.7109375" customWidth="1"/>
    <col min="11" max="11" width="12.7109375" customWidth="1"/>
    <col min="12" max="12" width="10.7109375" customWidth="1"/>
    <col min="13" max="13" width="2.7109375" customWidth="1"/>
    <col min="14" max="14" width="12.7109375" customWidth="1"/>
    <col min="15" max="15" width="10.7109375" customWidth="1"/>
    <col min="16" max="16" width="2.7109375" customWidth="1"/>
    <col min="17" max="17" width="12.7109375" customWidth="1"/>
  </cols>
  <sheetData>
    <row r="1" spans="1:20" ht="18.75" customHeight="1" x14ac:dyDescent="0.25">
      <c r="C1" s="2"/>
      <c r="D1" s="1"/>
      <c r="F1" s="1"/>
      <c r="G1" s="1"/>
      <c r="H1" s="5"/>
      <c r="I1" s="1"/>
      <c r="J1" s="1"/>
      <c r="K1" s="1"/>
      <c r="L1" s="1"/>
      <c r="M1" s="1"/>
      <c r="N1" s="5"/>
      <c r="Q1" s="5"/>
      <c r="R1" s="1" t="s">
        <v>38</v>
      </c>
    </row>
    <row r="2" spans="1:20" ht="18.75" customHeight="1" x14ac:dyDescent="0.2">
      <c r="C2" s="1"/>
      <c r="D2" s="1"/>
      <c r="F2" s="1"/>
      <c r="G2" s="1"/>
      <c r="H2" s="5"/>
      <c r="I2" s="1"/>
      <c r="J2" s="1"/>
      <c r="K2" s="1"/>
      <c r="L2" s="1"/>
      <c r="M2" s="1"/>
      <c r="N2" s="5"/>
      <c r="Q2" s="5"/>
      <c r="R2" s="1" t="s">
        <v>51</v>
      </c>
    </row>
    <row r="3" spans="1:20" ht="18.75" customHeight="1" x14ac:dyDescent="0.2">
      <c r="C3" s="1"/>
      <c r="D3" s="1"/>
      <c r="F3" s="1"/>
      <c r="G3" s="1"/>
      <c r="H3" s="5"/>
      <c r="I3" s="1"/>
      <c r="J3" s="1"/>
      <c r="K3" s="1"/>
      <c r="L3" s="1"/>
      <c r="M3" s="1"/>
      <c r="N3" s="5"/>
      <c r="Q3" s="5"/>
      <c r="R3" s="1"/>
    </row>
    <row r="4" spans="1:20" s="2" customFormat="1" ht="18.75" customHeight="1" x14ac:dyDescent="0.25">
      <c r="A4" s="11" t="s">
        <v>56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11"/>
      <c r="P4" s="11"/>
      <c r="Q4" s="12"/>
      <c r="R4" s="11"/>
      <c r="S4" s="11"/>
      <c r="T4" s="11"/>
    </row>
    <row r="5" spans="1:20" s="2" customFormat="1" ht="18.75" customHeight="1" x14ac:dyDescent="0.25">
      <c r="A5" s="11" t="s">
        <v>30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/>
      <c r="O5" s="11"/>
      <c r="P5" s="11"/>
      <c r="Q5" s="12"/>
      <c r="R5" s="11"/>
      <c r="S5" s="11"/>
      <c r="T5" s="11"/>
    </row>
    <row r="6" spans="1:20" s="2" customFormat="1" ht="18.75" customHeight="1" x14ac:dyDescent="0.25">
      <c r="A6" s="11" t="s">
        <v>28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  <c r="O6" s="11"/>
      <c r="P6" s="11"/>
      <c r="Q6" s="12"/>
      <c r="R6" s="11"/>
      <c r="S6" s="11"/>
      <c r="T6" s="11"/>
    </row>
    <row r="7" spans="1:20" s="2" customFormat="1" ht="18.75" customHeight="1" x14ac:dyDescent="0.25">
      <c r="A7" s="11" t="s">
        <v>55</v>
      </c>
      <c r="B7" s="11"/>
      <c r="C7" s="11"/>
      <c r="D7" s="11"/>
      <c r="E7" s="11"/>
      <c r="F7" s="11"/>
      <c r="G7" s="12"/>
      <c r="H7" s="12"/>
      <c r="I7" s="11"/>
      <c r="J7" s="11"/>
      <c r="K7" s="11"/>
      <c r="L7" s="11"/>
      <c r="M7" s="11"/>
      <c r="N7" s="12"/>
      <c r="O7" s="11"/>
      <c r="P7" s="11"/>
      <c r="Q7" s="12"/>
      <c r="R7" s="11"/>
      <c r="S7" s="11"/>
      <c r="T7" s="11"/>
    </row>
    <row r="8" spans="1:20" s="2" customFormat="1" ht="18.75" customHeight="1" x14ac:dyDescent="0.25">
      <c r="A8" s="11"/>
      <c r="B8" s="11"/>
      <c r="C8" s="11"/>
      <c r="D8" s="11"/>
      <c r="E8" s="11"/>
      <c r="F8" s="11"/>
      <c r="G8" s="12"/>
      <c r="H8" s="11"/>
      <c r="I8" s="11"/>
      <c r="J8" s="11"/>
      <c r="K8" s="11"/>
      <c r="L8" s="11"/>
      <c r="M8" s="11"/>
      <c r="N8" s="12"/>
      <c r="O8" s="11"/>
      <c r="P8" s="11"/>
      <c r="Q8" s="12"/>
      <c r="R8" s="11"/>
      <c r="S8" s="11"/>
      <c r="T8" s="11"/>
    </row>
    <row r="9" spans="1:20" s="2" customFormat="1" ht="18.75" customHeight="1" x14ac:dyDescent="0.25">
      <c r="A9" s="11" t="s">
        <v>34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  <c r="O9" s="11"/>
      <c r="P9" s="11"/>
      <c r="Q9" s="12"/>
      <c r="R9" s="11"/>
      <c r="S9" s="11"/>
      <c r="T9" s="11"/>
    </row>
    <row r="10" spans="1:20" s="2" customFormat="1" ht="18.75" customHeight="1" x14ac:dyDescent="0.25">
      <c r="H10" s="10"/>
      <c r="N10" s="10"/>
      <c r="Q10" s="10"/>
    </row>
    <row r="11" spans="1:20" ht="18.75" customHeight="1" x14ac:dyDescent="0.2">
      <c r="C11" s="1" t="s">
        <v>29</v>
      </c>
      <c r="D11" s="1"/>
      <c r="F11" s="1"/>
      <c r="G11" s="1"/>
      <c r="H11" s="5"/>
      <c r="I11" s="1"/>
      <c r="J11" s="1"/>
      <c r="K11" s="1"/>
      <c r="L11" s="1"/>
      <c r="M11" s="1"/>
      <c r="N11" s="5"/>
      <c r="O11" s="1"/>
      <c r="P11" s="1"/>
      <c r="Q11" s="5"/>
    </row>
    <row r="12" spans="1:20" ht="18.75" customHeight="1" x14ac:dyDescent="0.2">
      <c r="C12" s="1" t="s">
        <v>43</v>
      </c>
      <c r="D12" s="1"/>
      <c r="F12" s="1"/>
      <c r="G12" s="1"/>
      <c r="H12" s="5"/>
      <c r="I12" s="1"/>
      <c r="J12" s="1"/>
      <c r="K12" s="1"/>
      <c r="L12" s="1"/>
      <c r="M12" s="1"/>
      <c r="N12" s="5"/>
      <c r="O12" s="1"/>
      <c r="P12" s="1"/>
      <c r="Q12" s="5"/>
    </row>
    <row r="13" spans="1:20" ht="18.75" customHeight="1" x14ac:dyDescent="0.2">
      <c r="C13" s="1" t="s">
        <v>44</v>
      </c>
      <c r="D13" s="1"/>
      <c r="F13" s="1"/>
      <c r="G13" s="1"/>
      <c r="H13" s="5"/>
      <c r="I13" s="1"/>
      <c r="J13" s="1"/>
      <c r="K13" s="1"/>
      <c r="L13" s="1"/>
      <c r="M13" s="1"/>
      <c r="N13" s="5"/>
      <c r="O13" s="1"/>
      <c r="P13" s="1"/>
      <c r="Q13" s="5"/>
    </row>
    <row r="14" spans="1:20" ht="10.5" customHeight="1" x14ac:dyDescent="0.25">
      <c r="C14" s="7"/>
      <c r="D14" s="7"/>
      <c r="F14" s="7"/>
      <c r="G14" s="1"/>
      <c r="H14" s="5"/>
      <c r="I14" s="1"/>
      <c r="J14" s="1"/>
      <c r="K14" s="1"/>
      <c r="L14" s="1"/>
      <c r="M14" s="1"/>
      <c r="N14" s="5"/>
      <c r="O14" s="1"/>
      <c r="P14" s="1"/>
      <c r="Q14" s="5"/>
    </row>
    <row r="15" spans="1:20" ht="18.75" customHeight="1" x14ac:dyDescent="0.2">
      <c r="C15" s="1"/>
      <c r="D15" s="1"/>
      <c r="F15" s="1"/>
      <c r="G15" s="1"/>
      <c r="H15" s="5" t="s">
        <v>23</v>
      </c>
      <c r="I15" s="1"/>
      <c r="J15" s="1"/>
      <c r="K15" s="1" t="s">
        <v>24</v>
      </c>
      <c r="L15" s="1"/>
      <c r="M15" s="1"/>
      <c r="N15" s="5" t="s">
        <v>25</v>
      </c>
      <c r="O15" s="1"/>
      <c r="P15" s="1"/>
      <c r="Q15" s="5" t="s">
        <v>26</v>
      </c>
    </row>
    <row r="16" spans="1:20" ht="18.75" customHeight="1" x14ac:dyDescent="0.2">
      <c r="C16" s="1" t="s">
        <v>1</v>
      </c>
      <c r="D16" s="1"/>
      <c r="F16" s="1"/>
      <c r="G16" s="1"/>
      <c r="H16" s="5" t="s">
        <v>18</v>
      </c>
      <c r="I16" s="1"/>
      <c r="J16" s="1"/>
      <c r="K16" s="1" t="s">
        <v>27</v>
      </c>
      <c r="L16" s="1"/>
      <c r="M16" s="1"/>
      <c r="N16" s="5" t="s">
        <v>35</v>
      </c>
      <c r="O16" s="1" t="s">
        <v>36</v>
      </c>
      <c r="P16" s="1"/>
      <c r="Q16" s="5" t="s">
        <v>16</v>
      </c>
    </row>
    <row r="17" spans="3:17" ht="18.75" customHeight="1" x14ac:dyDescent="0.2">
      <c r="C17" s="3" t="s">
        <v>2</v>
      </c>
      <c r="E17" s="3" t="s">
        <v>3</v>
      </c>
      <c r="F17" s="1"/>
      <c r="G17" s="1"/>
      <c r="H17" s="8" t="s">
        <v>19</v>
      </c>
      <c r="I17" s="1"/>
      <c r="J17" s="1"/>
      <c r="K17" s="4" t="s">
        <v>15</v>
      </c>
      <c r="L17" s="1"/>
      <c r="M17" s="1"/>
      <c r="N17" s="8" t="s">
        <v>15</v>
      </c>
      <c r="O17" s="1"/>
      <c r="P17" s="1"/>
      <c r="Q17" s="8" t="s">
        <v>15</v>
      </c>
    </row>
    <row r="18" spans="3:17" ht="18.75" customHeight="1" x14ac:dyDescent="0.2">
      <c r="C18" s="1"/>
      <c r="E18" s="1"/>
      <c r="F18" s="1"/>
      <c r="G18" s="1"/>
      <c r="H18" s="5"/>
      <c r="I18" s="1"/>
      <c r="J18" s="1"/>
      <c r="K18" s="1"/>
      <c r="L18" s="1"/>
      <c r="M18" s="1"/>
      <c r="N18" s="5"/>
      <c r="O18" s="1"/>
      <c r="P18" s="1"/>
      <c r="Q18" s="5"/>
    </row>
    <row r="19" spans="3:17" ht="24.95" customHeight="1" x14ac:dyDescent="0.2">
      <c r="C19" s="6">
        <v>1</v>
      </c>
      <c r="E19" s="6" t="s">
        <v>4</v>
      </c>
      <c r="F19" s="1"/>
      <c r="G19" s="5"/>
      <c r="H19" s="9">
        <f>'[1]PRIMARY  &lt; 10kW'!F22</f>
        <v>7091.9520000000002</v>
      </c>
      <c r="I19" s="9"/>
      <c r="J19" s="9"/>
      <c r="K19" s="13">
        <f>'[1]PRIMARY  &lt; 10kW'!J22</f>
        <v>4730.2560000000003</v>
      </c>
      <c r="L19" s="9"/>
      <c r="M19" s="9"/>
      <c r="N19" s="13">
        <f>'[1]PRIMARY  &lt; 10kW'!N22</f>
        <v>1826.94</v>
      </c>
      <c r="O19" s="9"/>
      <c r="P19" s="9"/>
      <c r="Q19" s="13">
        <f>'[1]PRIMARY  &lt; 10kW'!$R22</f>
        <v>1721.0440000000001</v>
      </c>
    </row>
    <row r="20" spans="3:17" ht="24.95" customHeight="1" x14ac:dyDescent="0.2">
      <c r="C20" s="6">
        <v>2</v>
      </c>
      <c r="E20" s="6" t="s">
        <v>5</v>
      </c>
      <c r="F20" s="1"/>
      <c r="G20" s="5"/>
      <c r="H20" s="9">
        <f>'[1]PRIMARY  &lt; 10kW'!F23</f>
        <v>6742.424</v>
      </c>
      <c r="I20" s="9"/>
      <c r="J20" s="9"/>
      <c r="K20" s="13">
        <f>'[1]PRIMARY  &lt; 10kW'!J23</f>
        <v>3333.0920000000001</v>
      </c>
      <c r="L20" s="9"/>
      <c r="M20" s="9"/>
      <c r="N20" s="13">
        <f>'[1]PRIMARY  &lt; 10kW'!N23</f>
        <v>2981.268</v>
      </c>
      <c r="O20" s="9"/>
      <c r="P20" s="9"/>
      <c r="Q20" s="13">
        <f>'[1]PRIMARY  &lt; 10kW'!$R23</f>
        <v>2981.268</v>
      </c>
    </row>
    <row r="21" spans="3:17" ht="24.95" customHeight="1" x14ac:dyDescent="0.2">
      <c r="C21" s="6">
        <v>3</v>
      </c>
      <c r="E21" s="6" t="s">
        <v>6</v>
      </c>
      <c r="F21" s="1"/>
      <c r="G21" s="5"/>
      <c r="H21" s="9">
        <f>'[1]PRIMARY  &lt; 10kW'!F24</f>
        <v>6812.0720000000001</v>
      </c>
      <c r="I21" s="9"/>
      <c r="J21" s="9"/>
      <c r="K21" s="13">
        <f>'[1]PRIMARY  &lt; 10kW'!J24</f>
        <v>3000.848</v>
      </c>
      <c r="L21" s="9"/>
      <c r="M21" s="9"/>
      <c r="N21" s="13">
        <f>'[1]PRIMARY  &lt; 10kW'!N24</f>
        <v>2744.0239999999999</v>
      </c>
      <c r="O21" s="9"/>
      <c r="P21" s="9"/>
      <c r="Q21" s="13">
        <f>'[1]PRIMARY  &lt; 10kW'!$R24</f>
        <v>2667.3879999999999</v>
      </c>
    </row>
    <row r="22" spans="3:17" ht="24.95" customHeight="1" x14ac:dyDescent="0.2">
      <c r="C22" s="6">
        <v>4</v>
      </c>
      <c r="E22" s="6" t="s">
        <v>7</v>
      </c>
      <c r="F22" s="1"/>
      <c r="G22" s="5"/>
      <c r="H22" s="9">
        <f>'[1]PRIMARY  &lt; 10kW'!F25</f>
        <v>6519.5839999999998</v>
      </c>
      <c r="I22" s="9"/>
      <c r="J22" s="9"/>
      <c r="K22" s="13">
        <f>'[1]PRIMARY  &lt; 10kW'!J25</f>
        <v>3135.22</v>
      </c>
      <c r="L22" s="9"/>
      <c r="M22" s="9"/>
      <c r="N22" s="13">
        <f>'[1]PRIMARY  &lt; 10kW'!N25</f>
        <v>2733.49</v>
      </c>
      <c r="O22" s="9"/>
      <c r="P22" s="9"/>
      <c r="Q22" s="13">
        <f>'[1]PRIMARY  &lt; 10kW'!$R25</f>
        <v>2733.49</v>
      </c>
    </row>
    <row r="23" spans="3:17" ht="24.95" customHeight="1" x14ac:dyDescent="0.2">
      <c r="C23" s="6">
        <v>5</v>
      </c>
      <c r="E23" s="6" t="s">
        <v>37</v>
      </c>
      <c r="F23" s="1"/>
      <c r="G23" s="5"/>
      <c r="H23" s="9">
        <f>'[1]PRIMARY  &lt; 10kW'!F26</f>
        <v>6595.3559999999998</v>
      </c>
      <c r="I23" s="9"/>
      <c r="J23" s="9"/>
      <c r="K23" s="13">
        <f>'[1]PRIMARY  &lt; 10kW'!J26</f>
        <v>3869.9560000000001</v>
      </c>
      <c r="L23" s="9"/>
      <c r="M23" s="9"/>
      <c r="N23" s="13">
        <f>'[1]PRIMARY  &lt; 10kW'!N26</f>
        <v>2652.6320000000001</v>
      </c>
      <c r="O23" s="9"/>
      <c r="P23" s="9"/>
      <c r="Q23" s="13">
        <f>'[1]PRIMARY  &lt; 10kW'!$R26</f>
        <v>2634.7840000000001</v>
      </c>
    </row>
    <row r="24" spans="3:17" ht="24.95" customHeight="1" x14ac:dyDescent="0.2">
      <c r="C24" s="6">
        <v>6</v>
      </c>
      <c r="E24" s="6" t="s">
        <v>8</v>
      </c>
      <c r="F24" s="1"/>
      <c r="G24" s="5"/>
      <c r="H24" s="9">
        <f>'[1]PRIMARY  &lt; 10kW'!F27</f>
        <v>6303.4359999999997</v>
      </c>
      <c r="I24" s="9"/>
      <c r="J24" s="9"/>
      <c r="K24" s="13">
        <f>'[1]PRIMARY  &lt; 10kW'!J27</f>
        <v>2847.7759999999998</v>
      </c>
      <c r="L24" s="9"/>
      <c r="M24" s="9"/>
      <c r="N24" s="13">
        <f>'[1]PRIMARY  &lt; 10kW'!N27</f>
        <v>2696.1840000000002</v>
      </c>
      <c r="O24" s="9"/>
      <c r="P24" s="9"/>
      <c r="Q24" s="13">
        <f>'[1]PRIMARY  &lt; 10kW'!$R27</f>
        <v>2675.7719999999999</v>
      </c>
    </row>
    <row r="25" spans="3:17" ht="24.95" customHeight="1" x14ac:dyDescent="0.2">
      <c r="C25" s="6">
        <v>7</v>
      </c>
      <c r="E25" s="6" t="s">
        <v>9</v>
      </c>
      <c r="F25" s="1"/>
      <c r="G25" s="5"/>
      <c r="H25" s="9">
        <f>'[1]PRIMARY  &lt; 10kW'!F28</f>
        <v>6792.1760000000004</v>
      </c>
      <c r="I25" s="9"/>
      <c r="J25" s="9"/>
      <c r="K25" s="13">
        <f>'[1]PRIMARY  &lt; 10kW'!J28</f>
        <v>3077.34</v>
      </c>
      <c r="L25" s="9"/>
      <c r="M25" s="9"/>
      <c r="N25" s="13">
        <f>'[1]PRIMARY  &lt; 10kW'!N28</f>
        <v>2695.2</v>
      </c>
      <c r="O25" s="9"/>
      <c r="P25" s="9"/>
      <c r="Q25" s="13">
        <f>'[1]PRIMARY  &lt; 10kW'!$R28</f>
        <v>2736.88</v>
      </c>
    </row>
    <row r="26" spans="3:17" ht="24.95" customHeight="1" x14ac:dyDescent="0.2">
      <c r="C26" s="6">
        <v>8</v>
      </c>
      <c r="E26" s="6" t="s">
        <v>10</v>
      </c>
      <c r="F26" s="1"/>
      <c r="G26" s="5"/>
      <c r="H26" s="9">
        <f>'[1]PRIMARY  &lt; 10kW'!F29</f>
        <v>6399.8680000000004</v>
      </c>
      <c r="I26" s="9"/>
      <c r="J26" s="9"/>
      <c r="K26" s="13">
        <f>'[1]PRIMARY  &lt; 10kW'!J29</f>
        <v>3047.5279999999998</v>
      </c>
      <c r="L26" s="9"/>
      <c r="M26" s="9"/>
      <c r="N26" s="13">
        <f>'[1]PRIMARY  &lt; 10kW'!N29</f>
        <v>2726.8560000000002</v>
      </c>
      <c r="O26" s="9"/>
      <c r="P26" s="9"/>
      <c r="Q26" s="13">
        <f>'[1]PRIMARY  &lt; 10kW'!$R29</f>
        <v>2612.0360000000001</v>
      </c>
    </row>
    <row r="27" spans="3:17" ht="24.95" customHeight="1" x14ac:dyDescent="0.2">
      <c r="C27" s="6">
        <v>9</v>
      </c>
      <c r="E27" s="6" t="s">
        <v>11</v>
      </c>
      <c r="F27" s="1"/>
      <c r="G27" s="5"/>
      <c r="H27" s="9">
        <f>'[1]PRIMARY  &lt; 10kW'!F30</f>
        <v>6551.116</v>
      </c>
      <c r="I27" s="9"/>
      <c r="J27" s="9"/>
      <c r="K27" s="13">
        <f>'[1]PRIMARY  &lt; 10kW'!J30</f>
        <v>2929.84</v>
      </c>
      <c r="L27" s="9"/>
      <c r="M27" s="9"/>
      <c r="N27" s="13">
        <f>'[1]PRIMARY  &lt; 10kW'!N30</f>
        <v>2734.3</v>
      </c>
      <c r="O27" s="9"/>
      <c r="P27" s="9"/>
      <c r="Q27" s="13">
        <f>'[1]PRIMARY  &lt; 10kW'!$R30</f>
        <v>2778.15</v>
      </c>
    </row>
    <row r="28" spans="3:17" ht="24.95" customHeight="1" x14ac:dyDescent="0.2">
      <c r="C28" s="6">
        <v>10</v>
      </c>
      <c r="E28" s="6" t="s">
        <v>12</v>
      </c>
      <c r="F28" s="1"/>
      <c r="G28" s="5"/>
      <c r="H28" s="9">
        <f>'[1]PRIMARY  &lt; 10kW'!F31</f>
        <v>7082.8440000000001</v>
      </c>
      <c r="I28" s="9"/>
      <c r="J28" s="9"/>
      <c r="K28" s="13">
        <f>'[1]PRIMARY  &lt; 10kW'!J31</f>
        <v>2947.78</v>
      </c>
      <c r="L28" s="9"/>
      <c r="M28" s="9"/>
      <c r="N28" s="13">
        <f>'[1]PRIMARY  &lt; 10kW'!N31</f>
        <v>2651.56</v>
      </c>
      <c r="O28" s="9"/>
      <c r="P28" s="9"/>
      <c r="Q28" s="13">
        <f>'[1]PRIMARY  &lt; 10kW'!$R31</f>
        <v>2651.56</v>
      </c>
    </row>
    <row r="29" spans="3:17" ht="24.95" customHeight="1" x14ac:dyDescent="0.2">
      <c r="C29" s="6">
        <v>11</v>
      </c>
      <c r="E29" s="6" t="s">
        <v>13</v>
      </c>
      <c r="F29" s="1"/>
      <c r="G29" s="5"/>
      <c r="H29" s="9">
        <f>'[1]PRIMARY  &lt; 10kW'!F32</f>
        <v>9399.3040000000001</v>
      </c>
      <c r="I29" s="9"/>
      <c r="J29" s="9"/>
      <c r="K29" s="13">
        <f>'[1]PRIMARY  &lt; 10kW'!J32</f>
        <v>4053.44</v>
      </c>
      <c r="L29" s="9"/>
      <c r="M29" s="9"/>
      <c r="N29" s="13">
        <f>'[1]PRIMARY  &lt; 10kW'!N32</f>
        <v>2644.52</v>
      </c>
      <c r="O29" s="9"/>
      <c r="P29" s="9"/>
      <c r="Q29" s="13">
        <f>'[1]PRIMARY  &lt; 10kW'!$R32</f>
        <v>2696.69</v>
      </c>
    </row>
    <row r="30" spans="3:17" ht="24.95" customHeight="1" x14ac:dyDescent="0.2">
      <c r="C30" s="6">
        <v>12</v>
      </c>
      <c r="E30" s="6" t="s">
        <v>14</v>
      </c>
      <c r="F30" s="1"/>
      <c r="G30" s="5"/>
      <c r="H30" s="9">
        <f>'[1]PRIMARY  &lt; 10kW'!F33</f>
        <v>6083.08</v>
      </c>
      <c r="I30" s="9"/>
      <c r="J30" s="9"/>
      <c r="K30" s="13">
        <f>'[1]PRIMARY  &lt; 10kW'!J33</f>
        <v>4158.63</v>
      </c>
      <c r="L30" s="9"/>
      <c r="M30" s="9"/>
      <c r="N30" s="13">
        <f>'[1]PRIMARY  &lt; 10kW'!N33</f>
        <v>3110.34</v>
      </c>
      <c r="O30" s="9"/>
      <c r="P30" s="9"/>
      <c r="Q30" s="13">
        <f>'[1]PRIMARY  &lt; 10kW'!$R33</f>
        <v>3110.34</v>
      </c>
    </row>
    <row r="31" spans="3:17" ht="15" customHeight="1" x14ac:dyDescent="0.2">
      <c r="C31" s="1"/>
      <c r="D31" s="1"/>
      <c r="F31" s="1"/>
      <c r="G31" s="5"/>
      <c r="H31" s="5"/>
      <c r="I31" s="5"/>
      <c r="J31" s="5"/>
      <c r="K31" s="1"/>
      <c r="L31" s="5"/>
      <c r="M31" s="5"/>
      <c r="N31" s="5"/>
      <c r="O31" s="5"/>
      <c r="P31" s="5"/>
      <c r="Q31" s="5"/>
    </row>
    <row r="32" spans="3:17" ht="15" customHeight="1" x14ac:dyDescent="0.2">
      <c r="C32" s="1"/>
      <c r="D32" s="1"/>
      <c r="F32" s="1"/>
      <c r="G32" s="5"/>
      <c r="H32" s="5"/>
      <c r="I32" s="5"/>
      <c r="J32" s="5"/>
      <c r="K32" s="1"/>
      <c r="L32" s="5"/>
      <c r="M32" s="5"/>
      <c r="N32" s="5"/>
      <c r="O32" s="5"/>
      <c r="P32" s="5"/>
      <c r="Q32" s="5"/>
    </row>
    <row r="33" spans="3:17" ht="15" customHeight="1" x14ac:dyDescent="0.2">
      <c r="C33" s="1" t="s">
        <v>17</v>
      </c>
      <c r="D33" s="1"/>
      <c r="F33" s="1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3:17" ht="24.95" customHeight="1" x14ac:dyDescent="0.2"/>
  </sheetData>
  <pageMargins left="0.5" right="1" top="1.5" bottom="0.5" header="0.5" footer="0.5"/>
  <pageSetup scale="70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4"/>
  <sheetViews>
    <sheetView zoomScale="75" workbookViewId="0">
      <selection activeCell="A5" sqref="A5"/>
    </sheetView>
  </sheetViews>
  <sheetFormatPr defaultRowHeight="12.75" x14ac:dyDescent="0.2"/>
  <cols>
    <col min="3" max="3" width="4.7109375" customWidth="1"/>
    <col min="4" max="4" width="7.7109375" customWidth="1"/>
    <col min="6" max="6" width="10.7109375" customWidth="1"/>
    <col min="7" max="7" width="2.7109375" customWidth="1"/>
    <col min="8" max="8" width="13.7109375" customWidth="1"/>
    <col min="9" max="9" width="10.7109375" customWidth="1"/>
    <col min="10" max="10" width="2.7109375" customWidth="1"/>
    <col min="11" max="11" width="12.7109375" customWidth="1"/>
    <col min="12" max="12" width="10.7109375" customWidth="1"/>
    <col min="13" max="13" width="2.7109375" customWidth="1"/>
    <col min="14" max="14" width="12.7109375" customWidth="1"/>
    <col min="15" max="15" width="10.7109375" customWidth="1"/>
    <col min="16" max="16" width="2.7109375" customWidth="1"/>
    <col min="17" max="17" width="12.7109375" customWidth="1"/>
  </cols>
  <sheetData>
    <row r="1" spans="1:20" ht="18.75" customHeight="1" x14ac:dyDescent="0.25">
      <c r="C1" s="2"/>
      <c r="D1" s="1"/>
      <c r="F1" s="1"/>
      <c r="G1" s="1"/>
      <c r="H1" s="5"/>
      <c r="I1" s="1"/>
      <c r="J1" s="1"/>
      <c r="K1" s="1"/>
      <c r="L1" s="1"/>
      <c r="M1" s="1"/>
      <c r="N1" s="5"/>
      <c r="Q1" s="5"/>
      <c r="R1" s="1" t="s">
        <v>38</v>
      </c>
    </row>
    <row r="2" spans="1:20" ht="18.75" customHeight="1" x14ac:dyDescent="0.2">
      <c r="C2" s="1"/>
      <c r="D2" s="1"/>
      <c r="F2" s="1"/>
      <c r="G2" s="1"/>
      <c r="H2" s="5"/>
      <c r="I2" s="1"/>
      <c r="J2" s="1"/>
      <c r="K2" s="1"/>
      <c r="L2" s="1"/>
      <c r="M2" s="1"/>
      <c r="N2" s="5"/>
      <c r="Q2" s="5"/>
      <c r="R2" s="1" t="s">
        <v>52</v>
      </c>
    </row>
    <row r="3" spans="1:20" ht="18.75" customHeight="1" x14ac:dyDescent="0.2">
      <c r="C3" s="1"/>
      <c r="D3" s="1"/>
      <c r="F3" s="1"/>
      <c r="G3" s="1"/>
      <c r="H3" s="5"/>
      <c r="I3" s="1"/>
      <c r="J3" s="1"/>
      <c r="K3" s="1"/>
      <c r="L3" s="1"/>
      <c r="M3" s="1"/>
      <c r="N3" s="5"/>
      <c r="Q3" s="5"/>
      <c r="R3" s="1"/>
    </row>
    <row r="4" spans="1:20" s="2" customFormat="1" ht="18.75" customHeight="1" x14ac:dyDescent="0.25">
      <c r="A4" s="11" t="s">
        <v>56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11"/>
      <c r="P4" s="11"/>
      <c r="Q4" s="12"/>
      <c r="R4" s="11"/>
      <c r="S4" s="11"/>
      <c r="T4" s="11"/>
    </row>
    <row r="5" spans="1:20" s="2" customFormat="1" ht="18.75" customHeight="1" x14ac:dyDescent="0.25">
      <c r="A5" s="11" t="s">
        <v>30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/>
      <c r="O5" s="11"/>
      <c r="P5" s="11"/>
      <c r="Q5" s="12"/>
      <c r="R5" s="11"/>
      <c r="S5" s="11"/>
      <c r="T5" s="11"/>
    </row>
    <row r="6" spans="1:20" s="2" customFormat="1" ht="18.75" customHeight="1" x14ac:dyDescent="0.25">
      <c r="A6" s="11" t="s">
        <v>28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  <c r="O6" s="11"/>
      <c r="P6" s="11"/>
      <c r="Q6" s="12"/>
      <c r="R6" s="11"/>
      <c r="S6" s="11"/>
      <c r="T6" s="11"/>
    </row>
    <row r="7" spans="1:20" s="2" customFormat="1" ht="18.75" customHeight="1" x14ac:dyDescent="0.25">
      <c r="A7" s="11" t="s">
        <v>55</v>
      </c>
      <c r="B7" s="11"/>
      <c r="C7" s="11"/>
      <c r="D7" s="11"/>
      <c r="E7" s="11"/>
      <c r="F7" s="11"/>
      <c r="G7" s="12"/>
      <c r="H7" s="12"/>
      <c r="I7" s="11"/>
      <c r="J7" s="11"/>
      <c r="K7" s="11"/>
      <c r="L7" s="11"/>
      <c r="M7" s="11"/>
      <c r="N7" s="12"/>
      <c r="O7" s="11"/>
      <c r="P7" s="11"/>
      <c r="Q7" s="12"/>
      <c r="R7" s="11"/>
      <c r="S7" s="11"/>
      <c r="T7" s="11"/>
    </row>
    <row r="8" spans="1:20" s="2" customFormat="1" ht="18.75" customHeight="1" x14ac:dyDescent="0.25">
      <c r="A8" s="11"/>
      <c r="B8" s="11"/>
      <c r="C8" s="11"/>
      <c r="D8" s="11"/>
      <c r="E8" s="11"/>
      <c r="F8" s="11"/>
      <c r="G8" s="12"/>
      <c r="H8" s="11"/>
      <c r="I8" s="11"/>
      <c r="J8" s="11"/>
      <c r="K8" s="11"/>
      <c r="L8" s="11"/>
      <c r="M8" s="11"/>
      <c r="N8" s="12"/>
      <c r="O8" s="11"/>
      <c r="P8" s="11"/>
      <c r="Q8" s="12"/>
      <c r="R8" s="11"/>
      <c r="S8" s="11"/>
      <c r="T8" s="11"/>
    </row>
    <row r="9" spans="1:20" s="2" customFormat="1" ht="18.75" customHeight="1" x14ac:dyDescent="0.25">
      <c r="A9" s="11" t="s">
        <v>34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  <c r="O9" s="11"/>
      <c r="P9" s="11"/>
      <c r="Q9" s="12"/>
      <c r="R9" s="11"/>
      <c r="S9" s="11"/>
      <c r="T9" s="11"/>
    </row>
    <row r="10" spans="1:20" s="2" customFormat="1" ht="18.75" customHeight="1" x14ac:dyDescent="0.25">
      <c r="H10" s="10"/>
      <c r="N10" s="10"/>
      <c r="Q10" s="10"/>
    </row>
    <row r="11" spans="1:20" ht="18.75" customHeight="1" x14ac:dyDescent="0.2">
      <c r="C11" s="1" t="s">
        <v>29</v>
      </c>
      <c r="D11" s="1"/>
      <c r="F11" s="1"/>
      <c r="G11" s="1"/>
      <c r="H11" s="5"/>
      <c r="I11" s="1"/>
      <c r="J11" s="1"/>
      <c r="K11" s="1"/>
      <c r="L11" s="1"/>
      <c r="M11" s="1"/>
      <c r="N11" s="5"/>
      <c r="O11" s="1"/>
      <c r="P11" s="1"/>
      <c r="Q11" s="5"/>
    </row>
    <row r="12" spans="1:20" ht="18.75" customHeight="1" x14ac:dyDescent="0.2">
      <c r="C12" s="1" t="s">
        <v>45</v>
      </c>
      <c r="D12" s="1"/>
      <c r="F12" s="1"/>
      <c r="G12" s="1"/>
      <c r="H12" s="5"/>
      <c r="I12" s="1"/>
      <c r="J12" s="1"/>
      <c r="K12" s="1"/>
      <c r="L12" s="1"/>
      <c r="M12" s="1"/>
      <c r="N12" s="5"/>
      <c r="O12" s="1"/>
      <c r="P12" s="1"/>
      <c r="Q12" s="5"/>
    </row>
    <row r="13" spans="1:20" ht="18.75" customHeight="1" x14ac:dyDescent="0.2">
      <c r="C13" s="1" t="s">
        <v>44</v>
      </c>
      <c r="D13" s="1"/>
      <c r="F13" s="1"/>
      <c r="G13" s="1"/>
      <c r="H13" s="5"/>
      <c r="I13" s="1"/>
      <c r="J13" s="1"/>
      <c r="K13" s="1"/>
      <c r="L13" s="1"/>
      <c r="M13" s="1"/>
      <c r="N13" s="5"/>
      <c r="O13" s="1"/>
      <c r="P13" s="1"/>
      <c r="Q13" s="5"/>
    </row>
    <row r="14" spans="1:20" ht="10.5" customHeight="1" x14ac:dyDescent="0.25">
      <c r="C14" s="7"/>
      <c r="D14" s="7"/>
      <c r="F14" s="7"/>
      <c r="G14" s="1"/>
      <c r="H14" s="5"/>
      <c r="I14" s="1"/>
      <c r="J14" s="1"/>
      <c r="K14" s="1"/>
      <c r="L14" s="1"/>
      <c r="M14" s="1"/>
      <c r="N14" s="5"/>
      <c r="O14" s="1"/>
      <c r="P14" s="1"/>
      <c r="Q14" s="5"/>
    </row>
    <row r="15" spans="1:20" ht="18.75" customHeight="1" x14ac:dyDescent="0.2">
      <c r="C15" s="1"/>
      <c r="D15" s="1"/>
      <c r="F15" s="1"/>
      <c r="G15" s="1"/>
      <c r="H15" s="5" t="s">
        <v>23</v>
      </c>
      <c r="I15" s="1"/>
      <c r="J15" s="1"/>
      <c r="K15" s="1" t="s">
        <v>24</v>
      </c>
      <c r="L15" s="1"/>
      <c r="M15" s="1"/>
      <c r="N15" s="5" t="s">
        <v>25</v>
      </c>
      <c r="O15" s="1"/>
      <c r="P15" s="1"/>
      <c r="Q15" s="5" t="s">
        <v>26</v>
      </c>
    </row>
    <row r="16" spans="1:20" ht="18.75" customHeight="1" x14ac:dyDescent="0.2">
      <c r="C16" s="1" t="s">
        <v>1</v>
      </c>
      <c r="D16" s="1"/>
      <c r="F16" s="1"/>
      <c r="G16" s="1"/>
      <c r="H16" s="5" t="s">
        <v>18</v>
      </c>
      <c r="I16" s="1"/>
      <c r="J16" s="1"/>
      <c r="K16" s="1" t="s">
        <v>27</v>
      </c>
      <c r="L16" s="1"/>
      <c r="M16" s="1"/>
      <c r="N16" s="5" t="s">
        <v>35</v>
      </c>
      <c r="O16" s="1" t="s">
        <v>36</v>
      </c>
      <c r="P16" s="1"/>
      <c r="Q16" s="5" t="s">
        <v>16</v>
      </c>
    </row>
    <row r="17" spans="3:17" ht="18.75" customHeight="1" x14ac:dyDescent="0.2">
      <c r="C17" s="3" t="s">
        <v>2</v>
      </c>
      <c r="E17" s="3" t="s">
        <v>3</v>
      </c>
      <c r="F17" s="1"/>
      <c r="G17" s="1"/>
      <c r="H17" s="8" t="s">
        <v>19</v>
      </c>
      <c r="I17" s="1"/>
      <c r="J17" s="1"/>
      <c r="K17" s="4" t="s">
        <v>15</v>
      </c>
      <c r="L17" s="1"/>
      <c r="M17" s="1"/>
      <c r="N17" s="8" t="s">
        <v>15</v>
      </c>
      <c r="O17" s="1"/>
      <c r="P17" s="1"/>
      <c r="Q17" s="8" t="s">
        <v>15</v>
      </c>
    </row>
    <row r="18" spans="3:17" ht="18.75" customHeight="1" x14ac:dyDescent="0.2">
      <c r="C18" s="1"/>
      <c r="E18" s="1"/>
      <c r="F18" s="1"/>
      <c r="G18" s="1"/>
      <c r="H18" s="5"/>
      <c r="I18" s="1"/>
      <c r="J18" s="1"/>
      <c r="K18" s="1"/>
      <c r="L18" s="1"/>
      <c r="M18" s="1"/>
      <c r="N18" s="5"/>
      <c r="O18" s="1"/>
      <c r="P18" s="1"/>
      <c r="Q18" s="5"/>
    </row>
    <row r="19" spans="3:17" ht="24.95" customHeight="1" x14ac:dyDescent="0.2">
      <c r="C19" s="6">
        <v>1</v>
      </c>
      <c r="E19" s="6" t="s">
        <v>4</v>
      </c>
      <c r="F19" s="1"/>
      <c r="G19" s="5"/>
      <c r="H19" s="13">
        <f>'[1]PRIMARY  &gt; 10kW DLS'!F22</f>
        <v>3374287.372</v>
      </c>
      <c r="I19" s="9"/>
      <c r="J19" s="9"/>
      <c r="K19" s="13">
        <f>'[1]PRIMARY  &gt; 10kW DLS'!J22</f>
        <v>2508329.13</v>
      </c>
      <c r="L19" s="9"/>
      <c r="M19" s="9"/>
      <c r="N19" s="13">
        <f>'[1]PRIMARY  &gt; 10kW DLS'!N22</f>
        <v>2109446.39</v>
      </c>
      <c r="O19" s="9"/>
      <c r="P19" s="9"/>
      <c r="Q19" s="13">
        <f>'[1]PRIMARY  &gt; 10kW DLS'!R22</f>
        <v>1972956.77</v>
      </c>
    </row>
    <row r="20" spans="3:17" ht="24.95" customHeight="1" x14ac:dyDescent="0.2">
      <c r="C20" s="6">
        <v>2</v>
      </c>
      <c r="E20" s="6" t="s">
        <v>5</v>
      </c>
      <c r="F20" s="1"/>
      <c r="G20" s="5"/>
      <c r="H20" s="13">
        <f>'[1]PRIMARY  &gt; 10kW DLS'!F23</f>
        <v>3370244.6599999997</v>
      </c>
      <c r="I20" s="9"/>
      <c r="J20" s="9"/>
      <c r="K20" s="13">
        <f>'[1]PRIMARY  &gt; 10kW DLS'!J23</f>
        <v>2602309.54</v>
      </c>
      <c r="L20" s="9"/>
      <c r="M20" s="9"/>
      <c r="N20" s="13">
        <f>'[1]PRIMARY  &gt; 10kW DLS'!N23</f>
        <v>2480156.54</v>
      </c>
      <c r="O20" s="9"/>
      <c r="P20" s="9"/>
      <c r="Q20" s="13">
        <f>'[1]PRIMARY  &gt; 10kW DLS'!R23</f>
        <v>2480156.54</v>
      </c>
    </row>
    <row r="21" spans="3:17" ht="24.95" customHeight="1" x14ac:dyDescent="0.2">
      <c r="C21" s="6">
        <v>3</v>
      </c>
      <c r="E21" s="6" t="s">
        <v>6</v>
      </c>
      <c r="F21" s="1"/>
      <c r="G21" s="5"/>
      <c r="H21" s="13">
        <f>'[1]PRIMARY  &gt; 10kW DLS'!F24</f>
        <v>3411737.304</v>
      </c>
      <c r="I21" s="9"/>
      <c r="J21" s="9"/>
      <c r="K21" s="13">
        <f>'[1]PRIMARY  &gt; 10kW DLS'!J24</f>
        <v>2537486</v>
      </c>
      <c r="L21" s="9"/>
      <c r="M21" s="9"/>
      <c r="N21" s="13">
        <f>'[1]PRIMARY  &gt; 10kW DLS'!N24</f>
        <v>2386188.1800000002</v>
      </c>
      <c r="O21" s="9"/>
      <c r="P21" s="9"/>
      <c r="Q21" s="13">
        <f>'[1]PRIMARY  &gt; 10kW DLS'!R24</f>
        <v>2512593.29</v>
      </c>
    </row>
    <row r="22" spans="3:17" ht="24.95" customHeight="1" x14ac:dyDescent="0.2">
      <c r="C22" s="6">
        <v>4</v>
      </c>
      <c r="E22" s="6" t="s">
        <v>7</v>
      </c>
      <c r="F22" s="1"/>
      <c r="G22" s="5"/>
      <c r="H22" s="13">
        <f>'[1]PRIMARY  &gt; 10kW DLS'!F25</f>
        <v>3506401.06</v>
      </c>
      <c r="I22" s="9"/>
      <c r="J22" s="9"/>
      <c r="K22" s="13">
        <f>'[1]PRIMARY  &gt; 10kW DLS'!J25</f>
        <v>2591353.15</v>
      </c>
      <c r="L22" s="9"/>
      <c r="M22" s="9"/>
      <c r="N22" s="13">
        <f>'[1]PRIMARY  &gt; 10kW DLS'!N25</f>
        <v>2576426.31</v>
      </c>
      <c r="O22" s="9"/>
      <c r="P22" s="9"/>
      <c r="Q22" s="13">
        <f>'[1]PRIMARY  &gt; 10kW DLS'!R25</f>
        <v>2576426.31</v>
      </c>
    </row>
    <row r="23" spans="3:17" ht="24.95" customHeight="1" x14ac:dyDescent="0.2">
      <c r="C23" s="6">
        <v>5</v>
      </c>
      <c r="E23" s="6" t="s">
        <v>37</v>
      </c>
      <c r="F23" s="1"/>
      <c r="G23" s="5"/>
      <c r="H23" s="13">
        <f>'[1]PRIMARY  &gt; 10kW DLS'!F26</f>
        <v>3620542.56</v>
      </c>
      <c r="I23" s="9"/>
      <c r="J23" s="9"/>
      <c r="K23" s="13">
        <f>'[1]PRIMARY  &gt; 10kW DLS'!J26</f>
        <v>2701902.17</v>
      </c>
      <c r="L23" s="9"/>
      <c r="M23" s="9"/>
      <c r="N23" s="13">
        <f>'[1]PRIMARY  &gt; 10kW DLS'!N26</f>
        <v>2500277.91</v>
      </c>
      <c r="O23" s="9"/>
      <c r="P23" s="9"/>
      <c r="Q23" s="13">
        <f>'[1]PRIMARY  &gt; 10kW DLS'!R26</f>
        <v>2502196.38</v>
      </c>
    </row>
    <row r="24" spans="3:17" ht="24.95" customHeight="1" x14ac:dyDescent="0.2">
      <c r="C24" s="6">
        <v>6</v>
      </c>
      <c r="E24" s="6" t="s">
        <v>8</v>
      </c>
      <c r="F24" s="1"/>
      <c r="G24" s="5"/>
      <c r="H24" s="13">
        <f>'[1]PRIMARY  &gt; 10kW DLS'!F27</f>
        <v>3662512.2479999997</v>
      </c>
      <c r="I24" s="9"/>
      <c r="J24" s="9"/>
      <c r="K24" s="13">
        <f>'[1]PRIMARY  &gt; 10kW DLS'!J27</f>
        <v>2788473.97</v>
      </c>
      <c r="L24" s="9"/>
      <c r="M24" s="9"/>
      <c r="N24" s="13">
        <f>'[1]PRIMARY  &gt; 10kW DLS'!N27</f>
        <v>2736451.4</v>
      </c>
      <c r="O24" s="9"/>
      <c r="P24" s="9"/>
      <c r="Q24" s="13">
        <f>'[1]PRIMARY  &gt; 10kW DLS'!R27</f>
        <v>2583540.56</v>
      </c>
    </row>
    <row r="25" spans="3:17" ht="24.95" customHeight="1" x14ac:dyDescent="0.2">
      <c r="C25" s="6">
        <v>7</v>
      </c>
      <c r="E25" s="6" t="s">
        <v>9</v>
      </c>
      <c r="F25" s="1"/>
      <c r="G25" s="5"/>
      <c r="H25" s="13">
        <f>'[1]PRIMARY  &gt; 10kW DLS'!F28</f>
        <v>3658425.9440000001</v>
      </c>
      <c r="I25" s="9"/>
      <c r="J25" s="9"/>
      <c r="K25" s="13">
        <f>'[1]PRIMARY  &gt; 10kW DLS'!J28</f>
        <v>2838244.99</v>
      </c>
      <c r="L25" s="9"/>
      <c r="M25" s="9"/>
      <c r="N25" s="13">
        <f>'[1]PRIMARY  &gt; 10kW DLS'!N28</f>
        <v>2732682.14</v>
      </c>
      <c r="O25" s="9"/>
      <c r="P25" s="9"/>
      <c r="Q25" s="13">
        <f>'[1]PRIMARY  &gt; 10kW DLS'!R28</f>
        <v>2652878.62</v>
      </c>
    </row>
    <row r="26" spans="3:17" ht="24.95" customHeight="1" x14ac:dyDescent="0.2">
      <c r="C26" s="6">
        <v>8</v>
      </c>
      <c r="E26" s="6" t="s">
        <v>10</v>
      </c>
      <c r="F26" s="1"/>
      <c r="G26" s="5"/>
      <c r="H26" s="13">
        <f>'[1]PRIMARY  &gt; 10kW DLS'!F29</f>
        <v>3680544.3759999997</v>
      </c>
      <c r="I26" s="9"/>
      <c r="J26" s="9"/>
      <c r="K26" s="13">
        <f>'[1]PRIMARY  &gt; 10kW DLS'!J29</f>
        <v>2850078.61</v>
      </c>
      <c r="L26" s="9"/>
      <c r="M26" s="9"/>
      <c r="N26" s="13">
        <f>'[1]PRIMARY  &gt; 10kW DLS'!N29</f>
        <v>2782769.75</v>
      </c>
      <c r="O26" s="9"/>
      <c r="P26" s="9"/>
      <c r="Q26" s="13">
        <f>'[1]PRIMARY  &gt; 10kW DLS'!R29</f>
        <v>2708901.08</v>
      </c>
    </row>
    <row r="27" spans="3:17" ht="24.95" customHeight="1" x14ac:dyDescent="0.2">
      <c r="C27" s="6">
        <v>9</v>
      </c>
      <c r="E27" s="6" t="s">
        <v>11</v>
      </c>
      <c r="F27" s="1"/>
      <c r="G27" s="5"/>
      <c r="H27" s="13">
        <f>'[1]PRIMARY  &gt; 10kW DLS'!F30</f>
        <v>3625886.3360000001</v>
      </c>
      <c r="I27" s="9"/>
      <c r="J27" s="9"/>
      <c r="K27" s="13">
        <f>'[1]PRIMARY  &gt; 10kW DLS'!J30</f>
        <v>2781509.51</v>
      </c>
      <c r="L27" s="9"/>
      <c r="M27" s="9"/>
      <c r="N27" s="13">
        <f>'[1]PRIMARY  &gt; 10kW DLS'!N30</f>
        <v>2744613.44</v>
      </c>
      <c r="O27" s="9"/>
      <c r="P27" s="9"/>
      <c r="Q27" s="13">
        <f>'[1]PRIMARY  &gt; 10kW DLS'!R30</f>
        <v>2672622.3199999998</v>
      </c>
    </row>
    <row r="28" spans="3:17" ht="24.95" customHeight="1" x14ac:dyDescent="0.2">
      <c r="C28" s="6">
        <v>10</v>
      </c>
      <c r="E28" s="6" t="s">
        <v>12</v>
      </c>
      <c r="F28" s="1"/>
      <c r="G28" s="5"/>
      <c r="H28" s="13">
        <f>'[1]PRIMARY  &gt; 10kW DLS'!F31</f>
        <v>3643323.4959999998</v>
      </c>
      <c r="I28" s="9"/>
      <c r="J28" s="9"/>
      <c r="K28" s="13">
        <f>'[1]PRIMARY  &gt; 10kW DLS'!J31</f>
        <v>2798275.02</v>
      </c>
      <c r="L28" s="9"/>
      <c r="M28" s="9"/>
      <c r="N28" s="13">
        <f>'[1]PRIMARY  &gt; 10kW DLS'!N31</f>
        <v>2715626.07</v>
      </c>
      <c r="O28" s="9"/>
      <c r="P28" s="9"/>
      <c r="Q28" s="13">
        <f>'[1]PRIMARY  &gt; 10kW DLS'!R31</f>
        <v>2715626.07</v>
      </c>
    </row>
    <row r="29" spans="3:17" ht="24.95" customHeight="1" x14ac:dyDescent="0.2">
      <c r="C29" s="6">
        <v>11</v>
      </c>
      <c r="E29" s="6" t="s">
        <v>13</v>
      </c>
      <c r="F29" s="1"/>
      <c r="G29" s="5"/>
      <c r="H29" s="13">
        <f>'[1]PRIMARY  &gt; 10kW DLS'!F32</f>
        <v>3599271.6039999998</v>
      </c>
      <c r="I29" s="9"/>
      <c r="J29" s="9"/>
      <c r="K29" s="13">
        <f>'[1]PRIMARY  &gt; 10kW DLS'!J32</f>
        <v>2669719.62</v>
      </c>
      <c r="L29" s="9"/>
      <c r="M29" s="9"/>
      <c r="N29" s="13">
        <f>'[1]PRIMARY  &gt; 10kW DLS'!N32</f>
        <v>2657297.3199999998</v>
      </c>
      <c r="O29" s="9"/>
      <c r="P29" s="9"/>
      <c r="Q29" s="13">
        <f>'[1]PRIMARY  &gt; 10kW DLS'!R32</f>
        <v>2655567.21</v>
      </c>
    </row>
    <row r="30" spans="3:17" ht="24.95" customHeight="1" x14ac:dyDescent="0.2">
      <c r="C30" s="6">
        <v>12</v>
      </c>
      <c r="E30" s="6" t="s">
        <v>14</v>
      </c>
      <c r="F30" s="1"/>
      <c r="G30" s="5"/>
      <c r="H30" s="13">
        <f>'[1]PRIMARY  &gt; 10kW DLS'!F33</f>
        <v>3572307.9079999998</v>
      </c>
      <c r="I30" s="9"/>
      <c r="J30" s="9"/>
      <c r="K30" s="13">
        <f>'[1]PRIMARY  &gt; 10kW DLS'!J33</f>
        <v>2691599.98</v>
      </c>
      <c r="L30" s="9"/>
      <c r="M30" s="9"/>
      <c r="N30" s="13">
        <f>'[1]PRIMARY  &gt; 10kW DLS'!N33</f>
        <v>2566350.58</v>
      </c>
      <c r="O30" s="9"/>
      <c r="P30" s="9"/>
      <c r="Q30" s="13">
        <f>'[1]PRIMARY  &gt; 10kW DLS'!R33</f>
        <v>2566350.58</v>
      </c>
    </row>
    <row r="31" spans="3:17" ht="15" customHeight="1" x14ac:dyDescent="0.2">
      <c r="C31" s="1"/>
      <c r="D31" s="1"/>
      <c r="F31" s="1"/>
      <c r="G31" s="5"/>
      <c r="H31" s="5"/>
      <c r="I31" s="5"/>
      <c r="J31" s="5"/>
      <c r="K31" s="1"/>
      <c r="L31" s="5"/>
      <c r="M31" s="5"/>
      <c r="N31" s="5"/>
      <c r="O31" s="5"/>
      <c r="P31" s="5"/>
      <c r="Q31" s="5"/>
    </row>
    <row r="32" spans="3:17" ht="15" customHeight="1" x14ac:dyDescent="0.2">
      <c r="C32" s="1"/>
      <c r="D32" s="1"/>
      <c r="F32" s="1"/>
      <c r="G32" s="5"/>
      <c r="H32" s="5"/>
      <c r="I32" s="5"/>
      <c r="J32" s="5"/>
      <c r="K32" s="1"/>
      <c r="L32" s="5"/>
      <c r="M32" s="5"/>
      <c r="N32" s="5"/>
      <c r="O32" s="5"/>
      <c r="P32" s="5"/>
      <c r="Q32" s="5"/>
    </row>
    <row r="33" spans="3:17" ht="15" customHeight="1" x14ac:dyDescent="0.2">
      <c r="C33" s="1" t="s">
        <v>17</v>
      </c>
      <c r="D33" s="1"/>
      <c r="F33" s="1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3:17" ht="24.95" customHeight="1" x14ac:dyDescent="0.2"/>
  </sheetData>
  <pageMargins left="0.5" right="1" top="1.5" bottom="0.5" header="0.5" footer="0.5"/>
  <pageSetup scale="70" orientation="landscape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4"/>
  <sheetViews>
    <sheetView zoomScale="75" workbookViewId="0">
      <selection activeCell="A5" sqref="A5"/>
    </sheetView>
  </sheetViews>
  <sheetFormatPr defaultRowHeight="12.75" x14ac:dyDescent="0.2"/>
  <cols>
    <col min="3" max="3" width="4.7109375" customWidth="1"/>
    <col min="4" max="4" width="7.7109375" customWidth="1"/>
    <col min="6" max="6" width="10.7109375" customWidth="1"/>
    <col min="7" max="7" width="2.7109375" customWidth="1"/>
    <col min="8" max="8" width="13.7109375" customWidth="1"/>
    <col min="9" max="9" width="10.7109375" customWidth="1"/>
    <col min="10" max="10" width="2.7109375" customWidth="1"/>
    <col min="11" max="11" width="12.7109375" customWidth="1"/>
    <col min="12" max="12" width="10.7109375" customWidth="1"/>
    <col min="13" max="13" width="2.7109375" customWidth="1"/>
    <col min="14" max="14" width="12.7109375" customWidth="1"/>
    <col min="15" max="15" width="10.7109375" customWidth="1"/>
    <col min="16" max="16" width="2.7109375" customWidth="1"/>
    <col min="17" max="17" width="12.7109375" customWidth="1"/>
  </cols>
  <sheetData>
    <row r="1" spans="1:20" ht="18.75" customHeight="1" x14ac:dyDescent="0.25">
      <c r="C1" s="2"/>
      <c r="D1" s="1"/>
      <c r="F1" s="1"/>
      <c r="G1" s="1"/>
      <c r="H1" s="5"/>
      <c r="I1" s="1"/>
      <c r="J1" s="1"/>
      <c r="K1" s="1"/>
      <c r="L1" s="1"/>
      <c r="M1" s="1"/>
      <c r="N1" s="5"/>
      <c r="Q1" s="5"/>
      <c r="R1" s="1" t="s">
        <v>38</v>
      </c>
    </row>
    <row r="2" spans="1:20" ht="18.75" customHeight="1" x14ac:dyDescent="0.2">
      <c r="C2" s="1"/>
      <c r="D2" s="1"/>
      <c r="F2" s="1"/>
      <c r="G2" s="1"/>
      <c r="H2" s="5"/>
      <c r="I2" s="1"/>
      <c r="J2" s="1"/>
      <c r="K2" s="1"/>
      <c r="L2" s="1"/>
      <c r="M2" s="1"/>
      <c r="N2" s="5"/>
      <c r="Q2" s="5"/>
      <c r="R2" s="1" t="s">
        <v>53</v>
      </c>
    </row>
    <row r="3" spans="1:20" ht="18.75" customHeight="1" x14ac:dyDescent="0.2">
      <c r="C3" s="1"/>
      <c r="D3" s="1"/>
      <c r="F3" s="1"/>
      <c r="G3" s="1"/>
      <c r="H3" s="5"/>
      <c r="I3" s="1"/>
      <c r="J3" s="1"/>
      <c r="K3" s="1"/>
      <c r="L3" s="1"/>
      <c r="M3" s="1"/>
      <c r="N3" s="5"/>
      <c r="Q3" s="5"/>
      <c r="R3" s="1"/>
    </row>
    <row r="4" spans="1:20" s="2" customFormat="1" ht="18.75" customHeight="1" x14ac:dyDescent="0.25">
      <c r="A4" s="11" t="s">
        <v>56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11"/>
      <c r="P4" s="11"/>
      <c r="Q4" s="12"/>
      <c r="R4" s="11"/>
      <c r="S4" s="11"/>
      <c r="T4" s="11"/>
    </row>
    <row r="5" spans="1:20" s="2" customFormat="1" ht="18.75" customHeight="1" x14ac:dyDescent="0.25">
      <c r="A5" s="11" t="s">
        <v>30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/>
      <c r="O5" s="11"/>
      <c r="P5" s="11"/>
      <c r="Q5" s="12"/>
      <c r="R5" s="11"/>
      <c r="S5" s="11"/>
      <c r="T5" s="11"/>
    </row>
    <row r="6" spans="1:20" s="2" customFormat="1" ht="18.75" customHeight="1" x14ac:dyDescent="0.25">
      <c r="A6" s="11" t="s">
        <v>28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  <c r="O6" s="11"/>
      <c r="P6" s="11"/>
      <c r="Q6" s="12"/>
      <c r="R6" s="11"/>
      <c r="S6" s="11"/>
      <c r="T6" s="11"/>
    </row>
    <row r="7" spans="1:20" s="2" customFormat="1" ht="18.75" customHeight="1" x14ac:dyDescent="0.25">
      <c r="A7" s="11" t="s">
        <v>55</v>
      </c>
      <c r="B7" s="11"/>
      <c r="C7" s="11"/>
      <c r="D7" s="11"/>
      <c r="E7" s="11"/>
      <c r="F7" s="11"/>
      <c r="G7" s="12"/>
      <c r="H7" s="12"/>
      <c r="I7" s="11"/>
      <c r="J7" s="11"/>
      <c r="K7" s="11"/>
      <c r="L7" s="11"/>
      <c r="M7" s="11"/>
      <c r="N7" s="12"/>
      <c r="O7" s="11"/>
      <c r="P7" s="11"/>
      <c r="Q7" s="12"/>
      <c r="R7" s="11"/>
      <c r="S7" s="11"/>
      <c r="T7" s="11"/>
    </row>
    <row r="8" spans="1:20" s="2" customFormat="1" ht="18.75" customHeight="1" x14ac:dyDescent="0.25">
      <c r="A8" s="11"/>
      <c r="B8" s="11"/>
      <c r="C8" s="11"/>
      <c r="D8" s="11"/>
      <c r="E8" s="11"/>
      <c r="F8" s="11"/>
      <c r="G8" s="12"/>
      <c r="H8" s="11"/>
      <c r="I8" s="11"/>
      <c r="J8" s="11"/>
      <c r="K8" s="11"/>
      <c r="L8" s="11"/>
      <c r="M8" s="11"/>
      <c r="N8" s="12"/>
      <c r="O8" s="11"/>
      <c r="P8" s="11"/>
      <c r="Q8" s="12"/>
      <c r="R8" s="11"/>
      <c r="S8" s="11"/>
      <c r="T8" s="11"/>
    </row>
    <row r="9" spans="1:20" s="2" customFormat="1" ht="18.75" customHeight="1" x14ac:dyDescent="0.25">
      <c r="A9" s="11" t="s">
        <v>34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  <c r="O9" s="11"/>
      <c r="P9" s="11"/>
      <c r="Q9" s="12"/>
      <c r="R9" s="11"/>
      <c r="S9" s="11"/>
      <c r="T9" s="11"/>
    </row>
    <row r="10" spans="1:20" s="2" customFormat="1" ht="18.75" customHeight="1" x14ac:dyDescent="0.25">
      <c r="H10" s="10"/>
      <c r="N10" s="10"/>
      <c r="Q10" s="10"/>
    </row>
    <row r="11" spans="1:20" ht="18.75" customHeight="1" x14ac:dyDescent="0.2">
      <c r="C11" s="1" t="s">
        <v>29</v>
      </c>
      <c r="D11" s="1"/>
      <c r="F11" s="1"/>
      <c r="G11" s="1"/>
      <c r="H11" s="5"/>
      <c r="I11" s="1"/>
      <c r="J11" s="1"/>
      <c r="K11" s="1"/>
      <c r="L11" s="1"/>
      <c r="M11" s="1"/>
      <c r="N11" s="5"/>
      <c r="O11" s="1"/>
      <c r="P11" s="1"/>
      <c r="Q11" s="5"/>
    </row>
    <row r="12" spans="1:20" ht="18.75" customHeight="1" x14ac:dyDescent="0.2">
      <c r="C12" s="1" t="s">
        <v>31</v>
      </c>
      <c r="D12" s="1"/>
      <c r="F12" s="1"/>
      <c r="G12" s="1"/>
      <c r="H12" s="5"/>
      <c r="I12" s="1"/>
      <c r="J12" s="1"/>
      <c r="K12" s="1"/>
      <c r="L12" s="1"/>
      <c r="M12" s="1"/>
      <c r="N12" s="5"/>
      <c r="O12" s="1"/>
      <c r="P12" s="1"/>
      <c r="Q12" s="5"/>
    </row>
    <row r="13" spans="1:20" ht="18.75" customHeight="1" x14ac:dyDescent="0.2">
      <c r="C13" s="1" t="s">
        <v>21</v>
      </c>
      <c r="D13" s="1"/>
      <c r="F13" s="1"/>
      <c r="G13" s="1"/>
      <c r="H13" s="5"/>
      <c r="I13" s="1"/>
      <c r="J13" s="1"/>
      <c r="K13" s="1"/>
      <c r="L13" s="1"/>
      <c r="M13" s="1"/>
      <c r="N13" s="5"/>
      <c r="O13" s="1"/>
      <c r="P13" s="1"/>
      <c r="Q13" s="5"/>
    </row>
    <row r="14" spans="1:20" ht="10.5" customHeight="1" x14ac:dyDescent="0.25">
      <c r="C14" s="7"/>
      <c r="D14" s="7"/>
      <c r="F14" s="7"/>
      <c r="G14" s="1"/>
      <c r="H14" s="5"/>
      <c r="I14" s="1"/>
      <c r="J14" s="1"/>
      <c r="K14" s="1"/>
      <c r="L14" s="1"/>
      <c r="M14" s="1"/>
      <c r="N14" s="5"/>
      <c r="O14" s="1"/>
      <c r="P14" s="1"/>
      <c r="Q14" s="5"/>
    </row>
    <row r="15" spans="1:20" ht="18.75" customHeight="1" x14ac:dyDescent="0.2">
      <c r="C15" s="1"/>
      <c r="D15" s="1"/>
      <c r="F15" s="1"/>
      <c r="G15" s="1"/>
      <c r="H15" s="5" t="s">
        <v>23</v>
      </c>
      <c r="I15" s="1"/>
      <c r="J15" s="1"/>
      <c r="K15" s="1" t="s">
        <v>24</v>
      </c>
      <c r="L15" s="1"/>
      <c r="M15" s="1"/>
      <c r="N15" s="5" t="s">
        <v>25</v>
      </c>
      <c r="O15" s="1"/>
      <c r="P15" s="1"/>
      <c r="Q15" s="5" t="s">
        <v>26</v>
      </c>
    </row>
    <row r="16" spans="1:20" ht="18.75" customHeight="1" x14ac:dyDescent="0.2">
      <c r="C16" s="1" t="s">
        <v>1</v>
      </c>
      <c r="D16" s="1"/>
      <c r="F16" s="1"/>
      <c r="G16" s="1"/>
      <c r="H16" s="5" t="s">
        <v>18</v>
      </c>
      <c r="I16" s="1"/>
      <c r="J16" s="1"/>
      <c r="K16" s="1" t="s">
        <v>27</v>
      </c>
      <c r="L16" s="1"/>
      <c r="M16" s="1"/>
      <c r="N16" s="5" t="s">
        <v>35</v>
      </c>
      <c r="O16" s="1" t="s">
        <v>36</v>
      </c>
      <c r="P16" s="1"/>
      <c r="Q16" s="5" t="s">
        <v>16</v>
      </c>
    </row>
    <row r="17" spans="3:17" ht="18.75" customHeight="1" x14ac:dyDescent="0.2">
      <c r="C17" s="3" t="s">
        <v>2</v>
      </c>
      <c r="E17" s="3" t="s">
        <v>3</v>
      </c>
      <c r="F17" s="1"/>
      <c r="G17" s="1"/>
      <c r="H17" s="8" t="s">
        <v>19</v>
      </c>
      <c r="I17" s="1"/>
      <c r="J17" s="1"/>
      <c r="K17" s="4" t="s">
        <v>15</v>
      </c>
      <c r="L17" s="1"/>
      <c r="M17" s="1"/>
      <c r="N17" s="8" t="s">
        <v>15</v>
      </c>
      <c r="O17" s="1"/>
      <c r="P17" s="1"/>
      <c r="Q17" s="8" t="s">
        <v>15</v>
      </c>
    </row>
    <row r="18" spans="3:17" ht="18.75" customHeight="1" x14ac:dyDescent="0.2">
      <c r="C18" s="1"/>
      <c r="E18" s="1"/>
      <c r="F18" s="1"/>
      <c r="G18" s="1"/>
      <c r="H18" s="5"/>
      <c r="I18" s="1"/>
      <c r="J18" s="1"/>
      <c r="K18" s="1"/>
      <c r="L18" s="1"/>
      <c r="M18" s="1"/>
      <c r="N18" s="5"/>
      <c r="O18" s="1"/>
      <c r="P18" s="1"/>
      <c r="Q18" s="5"/>
    </row>
    <row r="19" spans="3:17" ht="24.95" customHeight="1" x14ac:dyDescent="0.2">
      <c r="C19" s="6">
        <v>1</v>
      </c>
      <c r="E19" s="6" t="s">
        <v>4</v>
      </c>
      <c r="F19" s="1"/>
      <c r="G19" s="5"/>
      <c r="H19" s="13">
        <f>'[1]PRIMARY  SUBSTATIONS'!F22</f>
        <v>1350390</v>
      </c>
      <c r="I19" s="9"/>
      <c r="J19" s="9"/>
      <c r="K19" s="13">
        <f>'[1]PRIMARY  SUBSTATIONS'!J22</f>
        <v>1145811</v>
      </c>
      <c r="L19" s="9"/>
      <c r="M19" s="9"/>
      <c r="N19" s="13">
        <f>'[1]PRIMARY  SUBSTATIONS'!N22</f>
        <v>940551</v>
      </c>
      <c r="O19" s="9"/>
      <c r="P19" s="9"/>
      <c r="Q19" s="13">
        <f>'[1]PRIMARY  SUBSTATIONS'!R22</f>
        <v>673141</v>
      </c>
    </row>
    <row r="20" spans="3:17" ht="24.95" customHeight="1" x14ac:dyDescent="0.2">
      <c r="C20" s="6">
        <v>2</v>
      </c>
      <c r="E20" s="6" t="s">
        <v>5</v>
      </c>
      <c r="F20" s="1"/>
      <c r="G20" s="5"/>
      <c r="H20" s="13">
        <f>'[1]PRIMARY  SUBSTATIONS'!F23</f>
        <v>1373769</v>
      </c>
      <c r="I20" s="9"/>
      <c r="J20" s="9"/>
      <c r="K20" s="13">
        <f>'[1]PRIMARY  SUBSTATIONS'!J23</f>
        <v>1200972</v>
      </c>
      <c r="L20" s="9"/>
      <c r="M20" s="9"/>
      <c r="N20" s="13">
        <f>'[1]PRIMARY  SUBSTATIONS'!N23</f>
        <v>1114463</v>
      </c>
      <c r="O20" s="9"/>
      <c r="P20" s="9"/>
      <c r="Q20" s="13">
        <f>'[1]PRIMARY  SUBSTATIONS'!R23</f>
        <v>1114463</v>
      </c>
    </row>
    <row r="21" spans="3:17" ht="24.95" customHeight="1" x14ac:dyDescent="0.2">
      <c r="C21" s="6">
        <v>3</v>
      </c>
      <c r="E21" s="6" t="s">
        <v>6</v>
      </c>
      <c r="F21" s="1"/>
      <c r="G21" s="5"/>
      <c r="H21" s="13">
        <f>'[1]PRIMARY  SUBSTATIONS'!F24</f>
        <v>1404349</v>
      </c>
      <c r="I21" s="9"/>
      <c r="J21" s="9"/>
      <c r="K21" s="13">
        <f>'[1]PRIMARY  SUBSTATIONS'!J24</f>
        <v>1172649</v>
      </c>
      <c r="L21" s="9"/>
      <c r="M21" s="9"/>
      <c r="N21" s="13">
        <f>'[1]PRIMARY  SUBSTATIONS'!N24</f>
        <v>1126401</v>
      </c>
      <c r="O21" s="9"/>
      <c r="P21" s="9"/>
      <c r="Q21" s="13">
        <f>'[1]PRIMARY  SUBSTATIONS'!R24</f>
        <v>1108988</v>
      </c>
    </row>
    <row r="22" spans="3:17" ht="24.95" customHeight="1" x14ac:dyDescent="0.2">
      <c r="C22" s="6">
        <v>4</v>
      </c>
      <c r="E22" s="6" t="s">
        <v>7</v>
      </c>
      <c r="F22" s="1"/>
      <c r="G22" s="5"/>
      <c r="H22" s="13">
        <f>'[1]PRIMARY  SUBSTATIONS'!F25</f>
        <v>1397197</v>
      </c>
      <c r="I22" s="9"/>
      <c r="J22" s="9"/>
      <c r="K22" s="13">
        <f>'[1]PRIMARY  SUBSTATIONS'!J25</f>
        <v>1169720</v>
      </c>
      <c r="L22" s="9"/>
      <c r="M22" s="9"/>
      <c r="N22" s="13">
        <f>'[1]PRIMARY  SUBSTATIONS'!N25</f>
        <v>1115960</v>
      </c>
      <c r="O22" s="9"/>
      <c r="P22" s="9"/>
      <c r="Q22" s="13">
        <f>'[1]PRIMARY  SUBSTATIONS'!R25</f>
        <v>1115960</v>
      </c>
    </row>
    <row r="23" spans="3:17" ht="24.95" customHeight="1" x14ac:dyDescent="0.2">
      <c r="C23" s="6">
        <v>5</v>
      </c>
      <c r="E23" s="6" t="s">
        <v>37</v>
      </c>
      <c r="F23" s="1"/>
      <c r="G23" s="5"/>
      <c r="H23" s="13">
        <f>'[1]PRIMARY  SUBSTATIONS'!F26</f>
        <v>1373375</v>
      </c>
      <c r="I23" s="9"/>
      <c r="J23" s="9"/>
      <c r="K23" s="13">
        <f>'[1]PRIMARY  SUBSTATIONS'!J26</f>
        <v>1149907</v>
      </c>
      <c r="L23" s="9"/>
      <c r="M23" s="9"/>
      <c r="N23" s="13">
        <f>'[1]PRIMARY  SUBSTATIONS'!N26</f>
        <v>1082810</v>
      </c>
      <c r="O23" s="9"/>
      <c r="P23" s="9"/>
      <c r="Q23" s="13">
        <f>'[1]PRIMARY  SUBSTATIONS'!R26</f>
        <v>1034876</v>
      </c>
    </row>
    <row r="24" spans="3:17" ht="24.95" customHeight="1" x14ac:dyDescent="0.2">
      <c r="C24" s="6">
        <v>6</v>
      </c>
      <c r="E24" s="6" t="s">
        <v>8</v>
      </c>
      <c r="F24" s="1"/>
      <c r="G24" s="5"/>
      <c r="H24" s="13">
        <f>'[1]PRIMARY  SUBSTATIONS'!F27</f>
        <v>1417438</v>
      </c>
      <c r="I24" s="9"/>
      <c r="J24" s="9"/>
      <c r="K24" s="13">
        <f>'[1]PRIMARY  SUBSTATIONS'!J27</f>
        <v>1215714</v>
      </c>
      <c r="L24" s="9"/>
      <c r="M24" s="9"/>
      <c r="N24" s="13">
        <f>'[1]PRIMARY  SUBSTATIONS'!N27</f>
        <v>1003369</v>
      </c>
      <c r="O24" s="9"/>
      <c r="P24" s="9"/>
      <c r="Q24" s="13">
        <f>'[1]PRIMARY  SUBSTATIONS'!R27</f>
        <v>1162457</v>
      </c>
    </row>
    <row r="25" spans="3:17" ht="24.95" customHeight="1" x14ac:dyDescent="0.2">
      <c r="C25" s="6">
        <v>7</v>
      </c>
      <c r="E25" s="6" t="s">
        <v>9</v>
      </c>
      <c r="F25" s="1"/>
      <c r="G25" s="5"/>
      <c r="H25" s="13">
        <f>'[1]PRIMARY  SUBSTATIONS'!F28</f>
        <v>1420663</v>
      </c>
      <c r="I25" s="9"/>
      <c r="J25" s="9"/>
      <c r="K25" s="13">
        <f>'[1]PRIMARY  SUBSTATIONS'!J28</f>
        <v>1223403</v>
      </c>
      <c r="L25" s="9"/>
      <c r="M25" s="9"/>
      <c r="N25" s="13">
        <f>'[1]PRIMARY  SUBSTATIONS'!N28</f>
        <v>1164262</v>
      </c>
      <c r="O25" s="9"/>
      <c r="P25" s="9"/>
      <c r="Q25" s="13">
        <f>'[1]PRIMARY  SUBSTATIONS'!R28</f>
        <v>884301</v>
      </c>
    </row>
    <row r="26" spans="3:17" ht="24.95" customHeight="1" x14ac:dyDescent="0.2">
      <c r="C26" s="6">
        <v>8</v>
      </c>
      <c r="E26" s="6" t="s">
        <v>10</v>
      </c>
      <c r="F26" s="1"/>
      <c r="G26" s="5"/>
      <c r="H26" s="13">
        <f>'[1]PRIMARY  SUBSTATIONS'!F29</f>
        <v>1414715</v>
      </c>
      <c r="I26" s="9"/>
      <c r="J26" s="9"/>
      <c r="K26" s="13">
        <f>'[1]PRIMARY  SUBSTATIONS'!J29</f>
        <v>1215748</v>
      </c>
      <c r="L26" s="9"/>
      <c r="M26" s="9"/>
      <c r="N26" s="13">
        <f>'[1]PRIMARY  SUBSTATIONS'!N29</f>
        <v>1004577</v>
      </c>
      <c r="O26" s="9"/>
      <c r="P26" s="9"/>
      <c r="Q26" s="13">
        <f>'[1]PRIMARY  SUBSTATIONS'!R29</f>
        <v>925967</v>
      </c>
    </row>
    <row r="27" spans="3:17" ht="24.95" customHeight="1" x14ac:dyDescent="0.2">
      <c r="C27" s="6">
        <v>9</v>
      </c>
      <c r="E27" s="6" t="s">
        <v>11</v>
      </c>
      <c r="F27" s="1"/>
      <c r="G27" s="5"/>
      <c r="H27" s="13">
        <f>'[1]PRIMARY  SUBSTATIONS'!F30</f>
        <v>1395053</v>
      </c>
      <c r="I27" s="9"/>
      <c r="J27" s="9"/>
      <c r="K27" s="13">
        <f>'[1]PRIMARY  SUBSTATIONS'!J30</f>
        <v>1191830</v>
      </c>
      <c r="L27" s="9"/>
      <c r="M27" s="9"/>
      <c r="N27" s="13">
        <f>'[1]PRIMARY  SUBSTATIONS'!N30</f>
        <v>1024219</v>
      </c>
      <c r="O27" s="9"/>
      <c r="P27" s="9"/>
      <c r="Q27" s="13">
        <f>'[1]PRIMARY  SUBSTATIONS'!R30</f>
        <v>938797</v>
      </c>
    </row>
    <row r="28" spans="3:17" ht="24.95" customHeight="1" x14ac:dyDescent="0.2">
      <c r="C28" s="6">
        <v>10</v>
      </c>
      <c r="E28" s="6" t="s">
        <v>12</v>
      </c>
      <c r="F28" s="1"/>
      <c r="G28" s="5"/>
      <c r="H28" s="13">
        <f>'[1]PRIMARY  SUBSTATIONS'!F31</f>
        <v>1435058</v>
      </c>
      <c r="I28" s="9"/>
      <c r="J28" s="9"/>
      <c r="K28" s="13">
        <f>'[1]PRIMARY  SUBSTATIONS'!J31</f>
        <v>1224906</v>
      </c>
      <c r="L28" s="9"/>
      <c r="M28" s="9"/>
      <c r="N28" s="13">
        <f>'[1]PRIMARY  SUBSTATIONS'!N31</f>
        <v>1128314</v>
      </c>
      <c r="O28" s="9"/>
      <c r="P28" s="9"/>
      <c r="Q28" s="13">
        <f>'[1]PRIMARY  SUBSTATIONS'!R31</f>
        <v>1128314</v>
      </c>
    </row>
    <row r="29" spans="3:17" ht="24.95" customHeight="1" x14ac:dyDescent="0.2">
      <c r="C29" s="6">
        <v>11</v>
      </c>
      <c r="E29" s="6" t="s">
        <v>13</v>
      </c>
      <c r="F29" s="1"/>
      <c r="G29" s="5"/>
      <c r="H29" s="13">
        <f>'[1]PRIMARY  SUBSTATIONS'!F32</f>
        <v>1433012</v>
      </c>
      <c r="I29" s="9"/>
      <c r="J29" s="9"/>
      <c r="K29" s="13">
        <f>'[1]PRIMARY  SUBSTATIONS'!J32</f>
        <v>1209545</v>
      </c>
      <c r="L29" s="9"/>
      <c r="M29" s="9"/>
      <c r="N29" s="13">
        <f>'[1]PRIMARY  SUBSTATIONS'!N32</f>
        <v>1167319</v>
      </c>
      <c r="O29" s="9"/>
      <c r="P29" s="9"/>
      <c r="Q29" s="13">
        <f>'[1]PRIMARY  SUBSTATIONS'!R32</f>
        <v>1154547</v>
      </c>
    </row>
    <row r="30" spans="3:17" ht="24.95" customHeight="1" x14ac:dyDescent="0.2">
      <c r="C30" s="6">
        <v>12</v>
      </c>
      <c r="E30" s="6" t="s">
        <v>14</v>
      </c>
      <c r="F30" s="1"/>
      <c r="G30" s="5"/>
      <c r="H30" s="13">
        <f>'[1]PRIMARY  SUBSTATIONS'!F33</f>
        <v>1371395</v>
      </c>
      <c r="I30" s="9"/>
      <c r="J30" s="9"/>
      <c r="K30" s="13">
        <f>'[1]PRIMARY  SUBSTATIONS'!J33</f>
        <v>1196120</v>
      </c>
      <c r="L30" s="9"/>
      <c r="M30" s="9"/>
      <c r="N30" s="13">
        <f>'[1]PRIMARY  SUBSTATIONS'!N33</f>
        <v>1137952</v>
      </c>
      <c r="O30" s="9"/>
      <c r="P30" s="9"/>
      <c r="Q30" s="13">
        <f>'[1]PRIMARY  SUBSTATIONS'!R33</f>
        <v>1137952</v>
      </c>
    </row>
    <row r="31" spans="3:17" ht="15" customHeight="1" x14ac:dyDescent="0.2">
      <c r="C31" s="1"/>
      <c r="D31" s="1"/>
      <c r="F31" s="1"/>
      <c r="G31" s="5"/>
      <c r="H31" s="5"/>
      <c r="I31" s="5"/>
      <c r="J31" s="5"/>
      <c r="K31" s="1"/>
      <c r="L31" s="5"/>
      <c r="M31" s="5"/>
      <c r="N31" s="5"/>
      <c r="O31" s="5"/>
      <c r="P31" s="5"/>
      <c r="Q31" s="5"/>
    </row>
    <row r="32" spans="3:17" ht="15" customHeight="1" x14ac:dyDescent="0.2">
      <c r="C32" s="1"/>
      <c r="D32" s="1"/>
      <c r="F32" s="1"/>
      <c r="G32" s="5"/>
      <c r="H32" s="5"/>
      <c r="I32" s="5"/>
      <c r="J32" s="5"/>
      <c r="K32" s="1"/>
      <c r="L32" s="5"/>
      <c r="M32" s="5"/>
      <c r="N32" s="5"/>
      <c r="O32" s="5"/>
      <c r="P32" s="5"/>
      <c r="Q32" s="5"/>
    </row>
    <row r="33" spans="3:17" ht="15" customHeight="1" x14ac:dyDescent="0.2">
      <c r="C33" s="1" t="s">
        <v>17</v>
      </c>
      <c r="D33" s="1"/>
      <c r="F33" s="1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3:17" ht="24.95" customHeight="1" x14ac:dyDescent="0.2"/>
  </sheetData>
  <phoneticPr fontId="6" type="noConversion"/>
  <pageMargins left="0.5" right="1" top="1.5" bottom="0.5" header="0.5" footer="0.5"/>
  <pageSetup scale="70" orientation="landscape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4"/>
  <sheetViews>
    <sheetView zoomScale="75" workbookViewId="0">
      <selection activeCell="A5" sqref="A5"/>
    </sheetView>
  </sheetViews>
  <sheetFormatPr defaultRowHeight="12.75" x14ac:dyDescent="0.2"/>
  <cols>
    <col min="3" max="3" width="4.7109375" customWidth="1"/>
    <col min="4" max="4" width="7.7109375" customWidth="1"/>
    <col min="6" max="6" width="10.7109375" customWidth="1"/>
    <col min="7" max="7" width="2.7109375" customWidth="1"/>
    <col min="8" max="8" width="13.7109375" customWidth="1"/>
    <col min="9" max="9" width="10.7109375" customWidth="1"/>
    <col min="10" max="10" width="2.7109375" customWidth="1"/>
    <col min="11" max="11" width="12.7109375" customWidth="1"/>
    <col min="12" max="12" width="10.7109375" customWidth="1"/>
    <col min="13" max="13" width="2.7109375" customWidth="1"/>
    <col min="14" max="14" width="12.7109375" customWidth="1"/>
    <col min="15" max="15" width="10.7109375" customWidth="1"/>
    <col min="16" max="16" width="2.7109375" customWidth="1"/>
    <col min="17" max="17" width="12.7109375" customWidth="1"/>
  </cols>
  <sheetData>
    <row r="1" spans="1:20" ht="18.75" customHeight="1" x14ac:dyDescent="0.25">
      <c r="C1" s="2"/>
      <c r="D1" s="1"/>
      <c r="F1" s="1"/>
      <c r="G1" s="1"/>
      <c r="H1" s="5"/>
      <c r="I1" s="1"/>
      <c r="J1" s="1"/>
      <c r="K1" s="1"/>
      <c r="L1" s="1"/>
      <c r="M1" s="1"/>
      <c r="N1" s="5"/>
      <c r="Q1" s="5"/>
      <c r="R1" s="1" t="s">
        <v>38</v>
      </c>
    </row>
    <row r="2" spans="1:20" ht="18.75" customHeight="1" x14ac:dyDescent="0.2">
      <c r="C2" s="1"/>
      <c r="D2" s="1"/>
      <c r="F2" s="1"/>
      <c r="G2" s="1"/>
      <c r="H2" s="5"/>
      <c r="I2" s="1"/>
      <c r="J2" s="1"/>
      <c r="K2" s="1"/>
      <c r="L2" s="1"/>
      <c r="M2" s="1"/>
      <c r="N2" s="5"/>
      <c r="Q2" s="5"/>
      <c r="R2" s="1" t="s">
        <v>54</v>
      </c>
    </row>
    <row r="3" spans="1:20" ht="18.75" customHeight="1" x14ac:dyDescent="0.2">
      <c r="C3" s="1"/>
      <c r="D3" s="1"/>
      <c r="F3" s="1"/>
      <c r="G3" s="1"/>
      <c r="H3" s="5"/>
      <c r="I3" s="1"/>
      <c r="J3" s="1"/>
      <c r="K3" s="1"/>
      <c r="L3" s="1"/>
      <c r="M3" s="1"/>
      <c r="N3" s="5"/>
      <c r="Q3" s="5"/>
      <c r="R3" s="1"/>
    </row>
    <row r="4" spans="1:20" s="2" customFormat="1" ht="18.75" customHeight="1" x14ac:dyDescent="0.25">
      <c r="A4" s="11" t="s">
        <v>56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11"/>
      <c r="P4" s="11"/>
      <c r="Q4" s="12"/>
      <c r="R4" s="11"/>
      <c r="S4" s="11"/>
      <c r="T4" s="11"/>
    </row>
    <row r="5" spans="1:20" s="2" customFormat="1" ht="18.75" customHeight="1" x14ac:dyDescent="0.25">
      <c r="A5" s="11" t="s">
        <v>30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/>
      <c r="O5" s="11"/>
      <c r="P5" s="11"/>
      <c r="Q5" s="12"/>
      <c r="R5" s="11"/>
      <c r="S5" s="11"/>
      <c r="T5" s="11"/>
    </row>
    <row r="6" spans="1:20" s="2" customFormat="1" ht="18.75" customHeight="1" x14ac:dyDescent="0.25">
      <c r="A6" s="11" t="s">
        <v>28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  <c r="O6" s="11"/>
      <c r="P6" s="11"/>
      <c r="Q6" s="12"/>
      <c r="R6" s="11"/>
      <c r="S6" s="11"/>
      <c r="T6" s="11"/>
    </row>
    <row r="7" spans="1:20" s="2" customFormat="1" ht="18.75" customHeight="1" x14ac:dyDescent="0.25">
      <c r="A7" s="11" t="s">
        <v>55</v>
      </c>
      <c r="B7" s="11"/>
      <c r="C7" s="11"/>
      <c r="D7" s="11"/>
      <c r="E7" s="11"/>
      <c r="F7" s="11"/>
      <c r="G7" s="12"/>
      <c r="H7" s="12"/>
      <c r="I7" s="11"/>
      <c r="J7" s="11"/>
      <c r="K7" s="11"/>
      <c r="L7" s="11"/>
      <c r="M7" s="11"/>
      <c r="N7" s="12"/>
      <c r="O7" s="11"/>
      <c r="P7" s="11"/>
      <c r="Q7" s="12"/>
      <c r="R7" s="11"/>
      <c r="S7" s="11"/>
      <c r="T7" s="11"/>
    </row>
    <row r="8" spans="1:20" s="2" customFormat="1" ht="18.75" customHeight="1" x14ac:dyDescent="0.25">
      <c r="A8" s="11"/>
      <c r="B8" s="11"/>
      <c r="C8" s="11"/>
      <c r="D8" s="11"/>
      <c r="E8" s="11"/>
      <c r="F8" s="11"/>
      <c r="G8" s="12"/>
      <c r="H8" s="11"/>
      <c r="I8" s="11"/>
      <c r="J8" s="11"/>
      <c r="K8" s="11"/>
      <c r="L8" s="11"/>
      <c r="M8" s="11"/>
      <c r="N8" s="12"/>
      <c r="O8" s="11"/>
      <c r="P8" s="11"/>
      <c r="Q8" s="12"/>
      <c r="R8" s="11"/>
      <c r="S8" s="11"/>
      <c r="T8" s="11"/>
    </row>
    <row r="9" spans="1:20" s="2" customFormat="1" ht="18.75" customHeight="1" x14ac:dyDescent="0.25">
      <c r="A9" s="11" t="s">
        <v>34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  <c r="O9" s="11"/>
      <c r="P9" s="11"/>
      <c r="Q9" s="12"/>
      <c r="R9" s="11"/>
      <c r="S9" s="11"/>
      <c r="T9" s="11"/>
    </row>
    <row r="10" spans="1:20" s="2" customFormat="1" ht="18.75" customHeight="1" x14ac:dyDescent="0.25">
      <c r="H10" s="10"/>
      <c r="N10" s="10"/>
      <c r="Q10" s="10"/>
    </row>
    <row r="11" spans="1:20" ht="18.75" customHeight="1" x14ac:dyDescent="0.2">
      <c r="C11" s="1" t="s">
        <v>29</v>
      </c>
      <c r="D11" s="1"/>
      <c r="F11" s="1"/>
      <c r="G11" s="1"/>
      <c r="H11" s="5"/>
      <c r="I11" s="1"/>
      <c r="J11" s="1"/>
      <c r="K11" s="1"/>
      <c r="L11" s="1"/>
      <c r="M11" s="1"/>
      <c r="N11" s="5"/>
      <c r="O11" s="1"/>
      <c r="P11" s="1"/>
      <c r="Q11" s="5"/>
    </row>
    <row r="12" spans="1:20" ht="18.75" customHeight="1" x14ac:dyDescent="0.2">
      <c r="C12" s="1" t="s">
        <v>22</v>
      </c>
      <c r="D12" s="1"/>
      <c r="F12" s="1"/>
      <c r="G12" s="1"/>
      <c r="H12" s="5"/>
      <c r="I12" s="1"/>
      <c r="J12" s="1"/>
      <c r="K12" s="1"/>
      <c r="L12" s="1"/>
      <c r="M12" s="1"/>
      <c r="N12" s="5"/>
      <c r="O12" s="1"/>
      <c r="P12" s="1"/>
      <c r="Q12" s="5"/>
    </row>
    <row r="13" spans="1:20" ht="18.75" customHeight="1" x14ac:dyDescent="0.2">
      <c r="C13" s="1" t="s">
        <v>0</v>
      </c>
      <c r="D13" s="1"/>
      <c r="F13" s="1"/>
      <c r="G13" s="1"/>
      <c r="H13" s="5"/>
      <c r="I13" s="1"/>
      <c r="J13" s="1"/>
      <c r="K13" s="1"/>
      <c r="L13" s="1"/>
      <c r="M13" s="1"/>
      <c r="N13" s="5"/>
      <c r="O13" s="1"/>
      <c r="P13" s="1"/>
      <c r="Q13" s="5"/>
    </row>
    <row r="14" spans="1:20" ht="10.5" customHeight="1" x14ac:dyDescent="0.25">
      <c r="C14" s="7"/>
      <c r="D14" s="7"/>
      <c r="F14" s="7"/>
      <c r="G14" s="1"/>
      <c r="H14" s="5"/>
      <c r="I14" s="1"/>
      <c r="J14" s="1"/>
      <c r="K14" s="1"/>
      <c r="L14" s="1"/>
      <c r="M14" s="1"/>
      <c r="N14" s="5"/>
      <c r="O14" s="1"/>
      <c r="P14" s="1"/>
      <c r="Q14" s="5"/>
    </row>
    <row r="15" spans="1:20" ht="18.75" customHeight="1" x14ac:dyDescent="0.2">
      <c r="C15" s="1"/>
      <c r="D15" s="1"/>
      <c r="F15" s="1"/>
      <c r="G15" s="1"/>
      <c r="H15" s="5" t="s">
        <v>23</v>
      </c>
      <c r="I15" s="1"/>
      <c r="J15" s="1"/>
      <c r="K15" s="1" t="s">
        <v>24</v>
      </c>
      <c r="L15" s="1"/>
      <c r="M15" s="1"/>
      <c r="N15" s="5" t="s">
        <v>25</v>
      </c>
      <c r="O15" s="1"/>
      <c r="P15" s="1"/>
      <c r="Q15" s="5" t="s">
        <v>26</v>
      </c>
    </row>
    <row r="16" spans="1:20" ht="18.75" customHeight="1" x14ac:dyDescent="0.2">
      <c r="C16" s="1" t="s">
        <v>1</v>
      </c>
      <c r="D16" s="1"/>
      <c r="F16" s="1"/>
      <c r="G16" s="1"/>
      <c r="H16" s="5" t="s">
        <v>18</v>
      </c>
      <c r="I16" s="1"/>
      <c r="J16" s="1"/>
      <c r="K16" s="1" t="s">
        <v>27</v>
      </c>
      <c r="L16" s="1"/>
      <c r="M16" s="1"/>
      <c r="N16" s="5" t="s">
        <v>35</v>
      </c>
      <c r="O16" s="1" t="s">
        <v>36</v>
      </c>
      <c r="P16" s="1"/>
      <c r="Q16" s="5" t="s">
        <v>16</v>
      </c>
    </row>
    <row r="17" spans="3:17" ht="18.75" customHeight="1" x14ac:dyDescent="0.2">
      <c r="C17" s="3" t="s">
        <v>2</v>
      </c>
      <c r="E17" s="3" t="s">
        <v>3</v>
      </c>
      <c r="F17" s="1"/>
      <c r="G17" s="1"/>
      <c r="H17" s="8" t="s">
        <v>19</v>
      </c>
      <c r="I17" s="1"/>
      <c r="J17" s="1"/>
      <c r="K17" s="4" t="s">
        <v>15</v>
      </c>
      <c r="L17" s="1"/>
      <c r="M17" s="1"/>
      <c r="N17" s="8" t="s">
        <v>15</v>
      </c>
      <c r="O17" s="1"/>
      <c r="P17" s="1"/>
      <c r="Q17" s="8" t="s">
        <v>15</v>
      </c>
    </row>
    <row r="18" spans="3:17" ht="18.75" customHeight="1" x14ac:dyDescent="0.2">
      <c r="C18" s="1"/>
      <c r="E18" s="1"/>
      <c r="F18" s="1"/>
      <c r="G18" s="1"/>
      <c r="H18" s="5"/>
      <c r="I18" s="1"/>
      <c r="J18" s="1"/>
      <c r="K18" s="1"/>
      <c r="L18" s="1"/>
      <c r="M18" s="1"/>
      <c r="N18" s="5"/>
      <c r="O18" s="1"/>
      <c r="P18" s="1"/>
      <c r="Q18" s="5"/>
    </row>
    <row r="19" spans="3:17" ht="24.95" customHeight="1" x14ac:dyDescent="0.2">
      <c r="C19" s="6">
        <v>1</v>
      </c>
      <c r="E19" s="6" t="s">
        <v>4</v>
      </c>
      <c r="F19" s="1"/>
      <c r="G19" s="5"/>
      <c r="H19" s="15">
        <f>[1]TRANSMISSION!F22</f>
        <v>5132823</v>
      </c>
      <c r="I19" s="9"/>
      <c r="J19" s="9"/>
      <c r="K19" s="15">
        <f>[1]TRANSMISSION!J22</f>
        <v>3949748</v>
      </c>
      <c r="L19" s="9"/>
      <c r="M19" s="9"/>
      <c r="N19" s="15">
        <f>[1]TRANSMISSION!N22</f>
        <v>3055758</v>
      </c>
      <c r="O19" s="9"/>
      <c r="P19" s="9"/>
      <c r="Q19" s="15">
        <f>[1]TRANSMISSION!R22</f>
        <v>2359228</v>
      </c>
    </row>
    <row r="20" spans="3:17" ht="24.95" customHeight="1" x14ac:dyDescent="0.2">
      <c r="C20" s="6">
        <v>2</v>
      </c>
      <c r="E20" s="6" t="s">
        <v>5</v>
      </c>
      <c r="F20" s="1"/>
      <c r="G20" s="5"/>
      <c r="H20" s="15">
        <f>[1]TRANSMISSION!F23</f>
        <v>5032565</v>
      </c>
      <c r="I20" s="9"/>
      <c r="J20" s="9"/>
      <c r="K20" s="15">
        <f>[1]TRANSMISSION!J23</f>
        <v>3962751</v>
      </c>
      <c r="L20" s="9"/>
      <c r="M20" s="9"/>
      <c r="N20" s="15">
        <f>[1]TRANSMISSION!N23</f>
        <v>3644057</v>
      </c>
      <c r="O20" s="9"/>
      <c r="P20" s="9"/>
      <c r="Q20" s="15">
        <f>[1]TRANSMISSION!R23</f>
        <v>3644057</v>
      </c>
    </row>
    <row r="21" spans="3:17" ht="24.95" customHeight="1" x14ac:dyDescent="0.2">
      <c r="C21" s="6">
        <v>3</v>
      </c>
      <c r="E21" s="6" t="s">
        <v>6</v>
      </c>
      <c r="F21" s="1"/>
      <c r="G21" s="5"/>
      <c r="H21" s="15">
        <f>[1]TRANSMISSION!F24</f>
        <v>5291020</v>
      </c>
      <c r="I21" s="9"/>
      <c r="J21" s="9"/>
      <c r="K21" s="15">
        <f>[1]TRANSMISSION!J24</f>
        <v>4182122</v>
      </c>
      <c r="L21" s="9"/>
      <c r="M21" s="9"/>
      <c r="N21" s="15">
        <f>[1]TRANSMISSION!N24</f>
        <v>3674073</v>
      </c>
      <c r="O21" s="9"/>
      <c r="P21" s="9"/>
      <c r="Q21" s="15">
        <f>[1]TRANSMISSION!R24</f>
        <v>3555109</v>
      </c>
    </row>
    <row r="22" spans="3:17" ht="24.95" customHeight="1" x14ac:dyDescent="0.2">
      <c r="C22" s="6">
        <v>4</v>
      </c>
      <c r="E22" s="6" t="s">
        <v>7</v>
      </c>
      <c r="F22" s="1"/>
      <c r="G22" s="5"/>
      <c r="H22" s="15">
        <f>[1]TRANSMISSION!F25</f>
        <v>5517073</v>
      </c>
      <c r="I22" s="9"/>
      <c r="J22" s="9"/>
      <c r="K22" s="15">
        <f>[1]TRANSMISSION!J25</f>
        <v>4220544</v>
      </c>
      <c r="L22" s="9"/>
      <c r="M22" s="9"/>
      <c r="N22" s="15">
        <f>[1]TRANSMISSION!N25</f>
        <v>4046684</v>
      </c>
      <c r="O22" s="9"/>
      <c r="P22" s="9"/>
      <c r="Q22" s="15">
        <f>[1]TRANSMISSION!R25</f>
        <v>4046684</v>
      </c>
    </row>
    <row r="23" spans="3:17" ht="24.95" customHeight="1" x14ac:dyDescent="0.2">
      <c r="C23" s="6">
        <v>5</v>
      </c>
      <c r="E23" s="6" t="s">
        <v>37</v>
      </c>
      <c r="F23" s="1"/>
      <c r="G23" s="5"/>
      <c r="H23" s="15">
        <f>[1]TRANSMISSION!F26</f>
        <v>5608028</v>
      </c>
      <c r="I23" s="9"/>
      <c r="J23" s="9"/>
      <c r="K23" s="15">
        <f>[1]TRANSMISSION!J26</f>
        <v>4172263</v>
      </c>
      <c r="L23" s="9"/>
      <c r="M23" s="9"/>
      <c r="N23" s="15">
        <f>[1]TRANSMISSION!N26</f>
        <v>3781628</v>
      </c>
      <c r="O23" s="9"/>
      <c r="P23" s="9"/>
      <c r="Q23" s="15">
        <f>[1]TRANSMISSION!R26</f>
        <v>3773334</v>
      </c>
    </row>
    <row r="24" spans="3:17" ht="24.95" customHeight="1" x14ac:dyDescent="0.2">
      <c r="C24" s="6">
        <v>6</v>
      </c>
      <c r="E24" s="6" t="s">
        <v>8</v>
      </c>
      <c r="F24" s="1"/>
      <c r="G24" s="5"/>
      <c r="H24" s="15">
        <f>[1]TRANSMISSION!F27</f>
        <v>5430190</v>
      </c>
      <c r="I24" s="9"/>
      <c r="J24" s="9"/>
      <c r="K24" s="15">
        <f>[1]TRANSMISSION!J27</f>
        <v>4288240</v>
      </c>
      <c r="L24" s="9"/>
      <c r="M24" s="9"/>
      <c r="N24" s="15">
        <f>[1]TRANSMISSION!N27</f>
        <v>4151050</v>
      </c>
      <c r="O24" s="9"/>
      <c r="P24" s="9"/>
      <c r="Q24" s="15">
        <f>[1]TRANSMISSION!R27</f>
        <v>3912552</v>
      </c>
    </row>
    <row r="25" spans="3:17" ht="24.95" customHeight="1" x14ac:dyDescent="0.2">
      <c r="C25" s="6">
        <v>7</v>
      </c>
      <c r="E25" s="6" t="s">
        <v>9</v>
      </c>
      <c r="F25" s="1"/>
      <c r="G25" s="5"/>
      <c r="H25" s="15">
        <f>[1]TRANSMISSION!F28</f>
        <v>5405262</v>
      </c>
      <c r="I25" s="9"/>
      <c r="J25" s="9"/>
      <c r="K25" s="15">
        <f>[1]TRANSMISSION!J28</f>
        <v>4416581</v>
      </c>
      <c r="L25" s="9"/>
      <c r="M25" s="9"/>
      <c r="N25" s="15">
        <f>[1]TRANSMISSION!N28</f>
        <v>4105310</v>
      </c>
      <c r="O25" s="9"/>
      <c r="P25" s="9"/>
      <c r="Q25" s="15">
        <f>[1]TRANSMISSION!R28</f>
        <v>3133176</v>
      </c>
    </row>
    <row r="26" spans="3:17" ht="24.95" customHeight="1" x14ac:dyDescent="0.2">
      <c r="C26" s="6">
        <v>8</v>
      </c>
      <c r="E26" s="6" t="s">
        <v>10</v>
      </c>
      <c r="F26" s="1"/>
      <c r="G26" s="5"/>
      <c r="H26" s="15">
        <f>[1]TRANSMISSION!F29</f>
        <v>5562195</v>
      </c>
      <c r="I26" s="9"/>
      <c r="J26" s="9"/>
      <c r="K26" s="15">
        <f>[1]TRANSMISSION!J29</f>
        <v>4403615</v>
      </c>
      <c r="L26" s="9"/>
      <c r="M26" s="9"/>
      <c r="N26" s="15">
        <f>[1]TRANSMISSION!N29</f>
        <v>4076159</v>
      </c>
      <c r="O26" s="9"/>
      <c r="P26" s="9"/>
      <c r="Q26" s="15">
        <f>[1]TRANSMISSION!R29</f>
        <v>3109502</v>
      </c>
    </row>
    <row r="27" spans="3:17" ht="24.95" customHeight="1" x14ac:dyDescent="0.2">
      <c r="C27" s="6">
        <v>9</v>
      </c>
      <c r="E27" s="6" t="s">
        <v>11</v>
      </c>
      <c r="F27" s="1"/>
      <c r="G27" s="5"/>
      <c r="H27" s="15">
        <f>[1]TRANSMISSION!F30</f>
        <v>5492593</v>
      </c>
      <c r="I27" s="9"/>
      <c r="J27" s="9"/>
      <c r="K27" s="15">
        <f>[1]TRANSMISSION!J30</f>
        <v>4440866</v>
      </c>
      <c r="L27" s="9"/>
      <c r="M27" s="9"/>
      <c r="N27" s="15">
        <f>[1]TRANSMISSION!N30</f>
        <v>4032956</v>
      </c>
      <c r="O27" s="9"/>
      <c r="P27" s="9"/>
      <c r="Q27" s="15">
        <f>[1]TRANSMISSION!R30</f>
        <v>3233646</v>
      </c>
    </row>
    <row r="28" spans="3:17" ht="24.95" customHeight="1" x14ac:dyDescent="0.2">
      <c r="C28" s="6">
        <v>10</v>
      </c>
      <c r="E28" s="6" t="s">
        <v>12</v>
      </c>
      <c r="F28" s="1"/>
      <c r="G28" s="5"/>
      <c r="H28" s="15">
        <f>[1]TRANSMISSION!F31</f>
        <v>5686146</v>
      </c>
      <c r="I28" s="9"/>
      <c r="J28" s="9"/>
      <c r="K28" s="15">
        <f>[1]TRANSMISSION!J31</f>
        <v>4515358</v>
      </c>
      <c r="L28" s="9"/>
      <c r="M28" s="9"/>
      <c r="N28" s="15">
        <f>[1]TRANSMISSION!N31</f>
        <v>3990864</v>
      </c>
      <c r="O28" s="9"/>
      <c r="P28" s="9"/>
      <c r="Q28" s="15">
        <f>[1]TRANSMISSION!R31</f>
        <v>3990864</v>
      </c>
    </row>
    <row r="29" spans="3:17" ht="24.95" customHeight="1" x14ac:dyDescent="0.2">
      <c r="C29" s="6">
        <v>11</v>
      </c>
      <c r="E29" s="6" t="s">
        <v>13</v>
      </c>
      <c r="F29" s="1"/>
      <c r="G29" s="5"/>
      <c r="H29" s="15">
        <f>[1]TRANSMISSION!F32</f>
        <v>5925698</v>
      </c>
      <c r="I29" s="9"/>
      <c r="J29" s="9"/>
      <c r="K29" s="15">
        <f>[1]TRANSMISSION!J32</f>
        <v>4644735</v>
      </c>
      <c r="L29" s="9"/>
      <c r="M29" s="9"/>
      <c r="N29" s="15">
        <f>[1]TRANSMISSION!N32</f>
        <v>4385401</v>
      </c>
      <c r="O29" s="9"/>
      <c r="P29" s="9"/>
      <c r="Q29" s="15">
        <f>[1]TRANSMISSION!R32</f>
        <v>4491710</v>
      </c>
    </row>
    <row r="30" spans="3:17" ht="24.95" customHeight="1" x14ac:dyDescent="0.2">
      <c r="C30" s="6">
        <v>12</v>
      </c>
      <c r="E30" s="6" t="s">
        <v>14</v>
      </c>
      <c r="F30" s="1"/>
      <c r="G30" s="5"/>
      <c r="H30" s="15">
        <f>[1]TRANSMISSION!F33</f>
        <v>5915090</v>
      </c>
      <c r="I30" s="9"/>
      <c r="J30" s="9"/>
      <c r="K30" s="15">
        <f>[1]TRANSMISSION!J33</f>
        <v>4667054</v>
      </c>
      <c r="L30" s="9"/>
      <c r="M30" s="9"/>
      <c r="N30" s="15">
        <f>[1]TRANSMISSION!N33</f>
        <v>4262765</v>
      </c>
      <c r="O30" s="9"/>
      <c r="P30" s="9"/>
      <c r="Q30" s="15">
        <f>[1]TRANSMISSION!R33</f>
        <v>4262765</v>
      </c>
    </row>
    <row r="31" spans="3:17" ht="15" customHeight="1" x14ac:dyDescent="0.2">
      <c r="C31" s="1"/>
      <c r="D31" s="1"/>
      <c r="F31" s="1"/>
      <c r="G31" s="5"/>
      <c r="H31" s="9"/>
      <c r="I31" s="9"/>
      <c r="J31" s="9"/>
      <c r="K31" s="16"/>
      <c r="L31" s="9"/>
      <c r="M31" s="9"/>
      <c r="N31" s="9"/>
      <c r="O31" s="9"/>
      <c r="P31" s="9"/>
      <c r="Q31" s="9"/>
    </row>
    <row r="32" spans="3:17" ht="15" customHeight="1" x14ac:dyDescent="0.2">
      <c r="C32" s="1"/>
      <c r="D32" s="1"/>
      <c r="F32" s="1"/>
      <c r="G32" s="5"/>
      <c r="H32" s="5"/>
      <c r="I32" s="5"/>
      <c r="J32" s="5"/>
      <c r="K32" s="1"/>
      <c r="L32" s="5"/>
      <c r="M32" s="5"/>
      <c r="N32" s="5"/>
      <c r="O32" s="5"/>
      <c r="P32" s="5"/>
      <c r="Q32" s="5"/>
    </row>
    <row r="33" spans="3:17" ht="15" customHeight="1" x14ac:dyDescent="0.2">
      <c r="C33" s="1" t="s">
        <v>17</v>
      </c>
      <c r="D33" s="1"/>
      <c r="F33" s="1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3:17" ht="24.95" customHeight="1" x14ac:dyDescent="0.2"/>
  </sheetData>
  <phoneticPr fontId="6" type="noConversion"/>
  <pageMargins left="0.5" right="1" top="1.5" bottom="0.5" header="0.5" footer="0.5"/>
  <pageSetup scale="70" orientation="landscape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34"/>
  <sheetViews>
    <sheetView zoomScale="75" workbookViewId="0">
      <selection activeCell="A5" sqref="A5"/>
    </sheetView>
  </sheetViews>
  <sheetFormatPr defaultRowHeight="12.75" x14ac:dyDescent="0.2"/>
  <cols>
    <col min="3" max="3" width="4.7109375" customWidth="1"/>
    <col min="4" max="4" width="7.7109375" customWidth="1"/>
    <col min="6" max="6" width="10.7109375" customWidth="1"/>
    <col min="7" max="7" width="2.7109375" customWidth="1"/>
    <col min="8" max="8" width="13.7109375" customWidth="1"/>
    <col min="9" max="9" width="10.7109375" customWidth="1"/>
    <col min="10" max="10" width="2.7109375" customWidth="1"/>
    <col min="11" max="11" width="12.7109375" customWidth="1"/>
    <col min="12" max="12" width="10.7109375" customWidth="1"/>
    <col min="13" max="13" width="2.7109375" customWidth="1"/>
    <col min="14" max="14" width="12.7109375" customWidth="1"/>
    <col min="15" max="15" width="10.7109375" customWidth="1"/>
    <col min="16" max="16" width="2.7109375" customWidth="1"/>
    <col min="17" max="17" width="12.7109375" customWidth="1"/>
  </cols>
  <sheetData>
    <row r="1" spans="1:20" ht="18.75" customHeight="1" x14ac:dyDescent="0.25">
      <c r="C1" s="2"/>
      <c r="D1" s="1"/>
      <c r="F1" s="1"/>
      <c r="G1" s="1"/>
      <c r="H1" s="5"/>
      <c r="I1" s="1"/>
      <c r="J1" s="1"/>
      <c r="K1" s="1"/>
      <c r="L1" s="1"/>
      <c r="M1" s="1"/>
      <c r="N1" s="5"/>
      <c r="Q1" s="5"/>
      <c r="R1" s="1" t="s">
        <v>38</v>
      </c>
    </row>
    <row r="2" spans="1:20" ht="18.75" customHeight="1" x14ac:dyDescent="0.2">
      <c r="C2" s="1"/>
      <c r="D2" s="1"/>
      <c r="F2" s="1"/>
      <c r="G2" s="1"/>
      <c r="H2" s="5"/>
      <c r="I2" s="1"/>
      <c r="J2" s="1"/>
      <c r="K2" s="1"/>
      <c r="L2" s="1"/>
      <c r="M2" s="1"/>
      <c r="N2" s="5"/>
      <c r="Q2" s="5"/>
      <c r="R2" s="1" t="s">
        <v>47</v>
      </c>
    </row>
    <row r="3" spans="1:20" ht="18.75" customHeight="1" x14ac:dyDescent="0.2">
      <c r="C3" s="1"/>
      <c r="D3" s="1"/>
      <c r="F3" s="1"/>
      <c r="G3" s="1"/>
      <c r="H3" s="5"/>
      <c r="I3" s="1"/>
      <c r="J3" s="1"/>
      <c r="K3" s="1"/>
      <c r="L3" s="1"/>
      <c r="M3" s="1"/>
      <c r="N3" s="5"/>
      <c r="O3" s="1"/>
      <c r="P3" s="1"/>
      <c r="Q3" s="5"/>
    </row>
    <row r="4" spans="1:20" s="2" customFormat="1" ht="18.75" customHeight="1" x14ac:dyDescent="0.25">
      <c r="A4" s="11" t="s">
        <v>56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11"/>
      <c r="P4" s="11"/>
      <c r="Q4" s="12"/>
      <c r="R4" s="11"/>
      <c r="S4" s="11"/>
      <c r="T4" s="11"/>
    </row>
    <row r="5" spans="1:20" s="2" customFormat="1" ht="18.75" customHeight="1" x14ac:dyDescent="0.25">
      <c r="A5" s="11" t="s">
        <v>30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/>
      <c r="O5" s="11"/>
      <c r="P5" s="11"/>
      <c r="Q5" s="12"/>
      <c r="R5" s="11"/>
      <c r="S5" s="11"/>
      <c r="T5" s="11"/>
    </row>
    <row r="6" spans="1:20" s="2" customFormat="1" ht="18.75" customHeight="1" x14ac:dyDescent="0.25">
      <c r="A6" s="11" t="s">
        <v>28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  <c r="O6" s="11"/>
      <c r="P6" s="11"/>
      <c r="Q6" s="12"/>
      <c r="R6" s="11"/>
      <c r="S6" s="11"/>
      <c r="T6" s="11"/>
    </row>
    <row r="7" spans="1:20" s="2" customFormat="1" ht="18.75" customHeight="1" x14ac:dyDescent="0.25">
      <c r="A7" s="11" t="s">
        <v>55</v>
      </c>
      <c r="B7" s="11"/>
      <c r="C7" s="11"/>
      <c r="D7" s="11"/>
      <c r="E7" s="11"/>
      <c r="F7" s="11"/>
      <c r="G7" s="12"/>
      <c r="H7" s="12"/>
      <c r="I7" s="11"/>
      <c r="J7" s="11"/>
      <c r="K7" s="11"/>
      <c r="L7" s="11"/>
      <c r="M7" s="11"/>
      <c r="N7" s="12"/>
      <c r="O7" s="11"/>
      <c r="P7" s="11"/>
      <c r="Q7" s="12"/>
      <c r="R7" s="11"/>
      <c r="S7" s="11"/>
      <c r="T7" s="11"/>
    </row>
    <row r="8" spans="1:20" s="2" customFormat="1" ht="18.75" customHeight="1" x14ac:dyDescent="0.25">
      <c r="A8" s="11"/>
      <c r="B8" s="11"/>
      <c r="C8" s="11"/>
      <c r="D8" s="11"/>
      <c r="E8" s="11"/>
      <c r="F8" s="11"/>
      <c r="G8" s="12"/>
      <c r="H8" s="11"/>
      <c r="I8" s="11"/>
      <c r="J8" s="11"/>
      <c r="K8" s="11"/>
      <c r="L8" s="11"/>
      <c r="M8" s="11"/>
      <c r="N8" s="12"/>
      <c r="O8" s="11"/>
      <c r="P8" s="11"/>
      <c r="Q8" s="12"/>
      <c r="R8" s="11"/>
      <c r="S8" s="11"/>
      <c r="T8" s="11"/>
    </row>
    <row r="9" spans="1:20" s="2" customFormat="1" ht="18.75" customHeight="1" x14ac:dyDescent="0.25">
      <c r="A9" s="11" t="s">
        <v>34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  <c r="O9" s="11"/>
      <c r="P9" s="11"/>
      <c r="Q9" s="12"/>
      <c r="R9" s="11"/>
      <c r="S9" s="11"/>
      <c r="T9" s="11"/>
    </row>
    <row r="10" spans="1:20" ht="18.75" customHeight="1" x14ac:dyDescent="0.2">
      <c r="C10" s="1"/>
      <c r="D10" s="1"/>
      <c r="F10" s="1"/>
      <c r="G10" s="1"/>
      <c r="H10" s="5"/>
      <c r="I10" s="1"/>
      <c r="J10" s="1"/>
      <c r="K10" s="1"/>
      <c r="L10" s="1"/>
      <c r="M10" s="1"/>
      <c r="N10" s="5"/>
      <c r="O10" s="1"/>
      <c r="P10" s="1"/>
      <c r="Q10" s="5"/>
    </row>
    <row r="11" spans="1:20" ht="18.75" customHeight="1" x14ac:dyDescent="0.2">
      <c r="C11" s="1" t="s">
        <v>29</v>
      </c>
      <c r="D11" s="1"/>
      <c r="F11" s="1"/>
      <c r="G11" s="1"/>
      <c r="H11" s="5"/>
      <c r="I11" s="1"/>
      <c r="J11" s="1"/>
      <c r="K11" s="1"/>
      <c r="L11" s="1"/>
      <c r="M11" s="1"/>
      <c r="N11" s="5"/>
      <c r="O11" s="1"/>
      <c r="P11" s="1"/>
      <c r="Q11" s="5"/>
    </row>
    <row r="12" spans="1:20" ht="18.75" customHeight="1" x14ac:dyDescent="0.2">
      <c r="C12" s="1" t="s">
        <v>32</v>
      </c>
      <c r="D12" s="1"/>
      <c r="F12" s="1"/>
      <c r="G12" s="1"/>
      <c r="H12" s="5"/>
      <c r="I12" s="1"/>
      <c r="J12" s="1"/>
      <c r="K12" s="1"/>
      <c r="L12" s="1"/>
      <c r="M12" s="1"/>
      <c r="N12" s="5"/>
      <c r="O12" s="1"/>
      <c r="P12" s="1"/>
      <c r="Q12" s="5"/>
    </row>
    <row r="13" spans="1:20" ht="18.75" customHeight="1" x14ac:dyDescent="0.2">
      <c r="C13" s="1" t="s">
        <v>21</v>
      </c>
      <c r="D13" s="1"/>
      <c r="F13" s="1"/>
      <c r="G13" s="1"/>
      <c r="H13" s="5"/>
      <c r="I13" s="1"/>
      <c r="J13" s="1"/>
      <c r="K13" s="1"/>
      <c r="L13" s="1"/>
      <c r="M13" s="1"/>
      <c r="N13" s="5"/>
      <c r="O13" s="1"/>
      <c r="P13" s="1"/>
      <c r="Q13" s="5"/>
    </row>
    <row r="14" spans="1:20" ht="10.5" customHeight="1" x14ac:dyDescent="0.25">
      <c r="C14" s="7"/>
      <c r="D14" s="7"/>
      <c r="F14" s="7"/>
      <c r="G14" s="1"/>
      <c r="H14" s="5"/>
      <c r="I14" s="1"/>
      <c r="J14" s="1"/>
      <c r="K14" s="1"/>
      <c r="L14" s="1"/>
      <c r="M14" s="1"/>
      <c r="N14" s="5"/>
      <c r="O14" s="1"/>
      <c r="P14" s="1"/>
      <c r="Q14" s="5"/>
    </row>
    <row r="15" spans="1:20" ht="18.75" customHeight="1" x14ac:dyDescent="0.2">
      <c r="C15" s="1"/>
      <c r="D15" s="1"/>
      <c r="F15" s="1"/>
      <c r="G15" s="1"/>
      <c r="H15" s="5" t="s">
        <v>23</v>
      </c>
      <c r="I15" s="1"/>
      <c r="J15" s="1"/>
      <c r="K15" s="1" t="s">
        <v>24</v>
      </c>
      <c r="L15" s="1"/>
      <c r="M15" s="1"/>
      <c r="N15" s="5" t="s">
        <v>25</v>
      </c>
      <c r="O15" s="1"/>
      <c r="P15" s="1"/>
      <c r="Q15" s="5" t="s">
        <v>26</v>
      </c>
    </row>
    <row r="16" spans="1:20" ht="18.75" customHeight="1" x14ac:dyDescent="0.2">
      <c r="C16" s="1" t="s">
        <v>1</v>
      </c>
      <c r="D16" s="1"/>
      <c r="F16" s="1"/>
      <c r="G16" s="1"/>
      <c r="H16" s="5" t="s">
        <v>18</v>
      </c>
      <c r="I16" s="1"/>
      <c r="J16" s="1"/>
      <c r="K16" s="1" t="s">
        <v>20</v>
      </c>
      <c r="L16" s="1"/>
      <c r="M16" s="1"/>
      <c r="N16" s="5" t="s">
        <v>35</v>
      </c>
      <c r="O16" s="1" t="s">
        <v>36</v>
      </c>
      <c r="P16" s="1"/>
      <c r="Q16" s="5" t="s">
        <v>16</v>
      </c>
    </row>
    <row r="17" spans="3:17" ht="18.75" customHeight="1" x14ac:dyDescent="0.2">
      <c r="C17" s="3" t="s">
        <v>2</v>
      </c>
      <c r="E17" s="3" t="s">
        <v>3</v>
      </c>
      <c r="F17" s="1"/>
      <c r="G17" s="1"/>
      <c r="H17" s="8" t="s">
        <v>19</v>
      </c>
      <c r="I17" s="1"/>
      <c r="J17" s="1"/>
      <c r="K17" s="4" t="s">
        <v>15</v>
      </c>
      <c r="L17" s="1"/>
      <c r="M17" s="1"/>
      <c r="N17" s="8" t="s">
        <v>15</v>
      </c>
      <c r="O17" s="1"/>
      <c r="P17" s="1"/>
      <c r="Q17" s="8" t="s">
        <v>15</v>
      </c>
    </row>
    <row r="18" spans="3:17" ht="18.75" customHeight="1" x14ac:dyDescent="0.2">
      <c r="C18" s="1"/>
      <c r="E18" s="1"/>
      <c r="F18" s="1"/>
      <c r="G18" s="1"/>
      <c r="H18" s="5"/>
      <c r="I18" s="1"/>
      <c r="J18" s="1"/>
      <c r="K18" s="1"/>
      <c r="L18" s="1"/>
      <c r="M18" s="1"/>
      <c r="N18" s="5"/>
      <c r="O18" s="1"/>
      <c r="P18" s="1"/>
      <c r="Q18" s="5"/>
    </row>
    <row r="19" spans="3:17" ht="24.95" customHeight="1" x14ac:dyDescent="0.2">
      <c r="C19" s="6">
        <v>1</v>
      </c>
      <c r="E19" s="6" t="s">
        <v>4</v>
      </c>
      <c r="F19" s="1"/>
      <c r="G19" s="5"/>
      <c r="H19" s="14">
        <f>'[1]WHOLESALE SUB '!F22</f>
        <v>116790.3</v>
      </c>
      <c r="I19" s="9"/>
      <c r="J19" s="9"/>
      <c r="K19" s="14">
        <f>'[1]WHOLESALE SUB '!J22</f>
        <v>98742.9</v>
      </c>
      <c r="L19" s="9"/>
      <c r="M19" s="9"/>
      <c r="N19" s="14">
        <f>'[1]WHOLESALE SUB '!N22</f>
        <v>93283</v>
      </c>
      <c r="O19" s="9"/>
      <c r="P19" s="9"/>
      <c r="Q19" s="14">
        <f>'[1]WHOLESALE SUB '!$R22</f>
        <v>96951</v>
      </c>
    </row>
    <row r="20" spans="3:17" ht="24.95" customHeight="1" x14ac:dyDescent="0.2">
      <c r="C20" s="6">
        <v>2</v>
      </c>
      <c r="E20" s="6" t="s">
        <v>5</v>
      </c>
      <c r="F20" s="1"/>
      <c r="G20" s="5"/>
      <c r="H20" s="14">
        <f>'[1]WHOLESALE SUB '!F23</f>
        <v>93435.9</v>
      </c>
      <c r="I20" s="9"/>
      <c r="J20" s="9"/>
      <c r="K20" s="14">
        <f>'[1]WHOLESALE SUB '!J23</f>
        <v>70298.899999999994</v>
      </c>
      <c r="L20" s="9"/>
      <c r="M20" s="9"/>
      <c r="N20" s="14">
        <f>'[1]WHOLESALE SUB '!N23</f>
        <v>56464</v>
      </c>
      <c r="O20" s="9"/>
      <c r="P20" s="9"/>
      <c r="Q20" s="14">
        <f>'[1]WHOLESALE SUB '!$R23</f>
        <v>56464</v>
      </c>
    </row>
    <row r="21" spans="3:17" ht="24.95" customHeight="1" x14ac:dyDescent="0.2">
      <c r="C21" s="6">
        <v>3</v>
      </c>
      <c r="E21" s="6" t="s">
        <v>6</v>
      </c>
      <c r="F21" s="1"/>
      <c r="G21" s="5"/>
      <c r="H21" s="14">
        <f>'[1]WHOLESALE SUB '!F24</f>
        <v>77284.100000000006</v>
      </c>
      <c r="I21" s="9"/>
      <c r="J21" s="9"/>
      <c r="K21" s="14">
        <f>'[1]WHOLESALE SUB '!J24</f>
        <v>50416.7</v>
      </c>
      <c r="L21" s="9"/>
      <c r="M21" s="9"/>
      <c r="N21" s="14">
        <f>'[1]WHOLESALE SUB '!N24</f>
        <v>40921</v>
      </c>
      <c r="O21" s="9"/>
      <c r="P21" s="9"/>
      <c r="Q21" s="14">
        <f>'[1]WHOLESALE SUB '!$R24</f>
        <v>33734</v>
      </c>
    </row>
    <row r="22" spans="3:17" ht="24.95" customHeight="1" x14ac:dyDescent="0.2">
      <c r="C22" s="6">
        <v>4</v>
      </c>
      <c r="E22" s="6" t="s">
        <v>7</v>
      </c>
      <c r="F22" s="1"/>
      <c r="G22" s="5"/>
      <c r="H22" s="14">
        <f>'[1]WHOLESALE SUB '!F25</f>
        <v>75789.7</v>
      </c>
      <c r="I22" s="9"/>
      <c r="J22" s="9"/>
      <c r="K22" s="14">
        <f>'[1]WHOLESALE SUB '!J25</f>
        <v>47079.4</v>
      </c>
      <c r="L22" s="9"/>
      <c r="M22" s="9"/>
      <c r="N22" s="14">
        <f>'[1]WHOLESALE SUB '!N25</f>
        <v>44862</v>
      </c>
      <c r="O22" s="9"/>
      <c r="P22" s="9"/>
      <c r="Q22" s="14">
        <f>'[1]WHOLESALE SUB '!$R25</f>
        <v>44862</v>
      </c>
    </row>
    <row r="23" spans="3:17" ht="24.95" customHeight="1" x14ac:dyDescent="0.2">
      <c r="C23" s="6">
        <v>5</v>
      </c>
      <c r="E23" s="6" t="s">
        <v>37</v>
      </c>
      <c r="F23" s="1"/>
      <c r="G23" s="5"/>
      <c r="H23" s="14">
        <f>'[1]WHOLESALE SUB '!F26</f>
        <v>95371.9</v>
      </c>
      <c r="I23" s="9"/>
      <c r="J23" s="9"/>
      <c r="K23" s="14">
        <f>'[1]WHOLESALE SUB '!J26</f>
        <v>66073.7</v>
      </c>
      <c r="L23" s="9"/>
      <c r="M23" s="9"/>
      <c r="N23" s="14">
        <f>'[1]WHOLESALE SUB '!N26</f>
        <v>64880</v>
      </c>
      <c r="O23" s="9"/>
      <c r="P23" s="9"/>
      <c r="Q23" s="14">
        <f>'[1]WHOLESALE SUB '!$R26</f>
        <v>65748</v>
      </c>
    </row>
    <row r="24" spans="3:17" ht="24.95" customHeight="1" x14ac:dyDescent="0.2">
      <c r="C24" s="6">
        <v>6</v>
      </c>
      <c r="E24" s="6" t="s">
        <v>8</v>
      </c>
      <c r="F24" s="1"/>
      <c r="G24" s="5"/>
      <c r="H24" s="14">
        <f>'[1]WHOLESALE SUB '!F27</f>
        <v>109619.2</v>
      </c>
      <c r="I24" s="9"/>
      <c r="J24" s="9"/>
      <c r="K24" s="14">
        <f>'[1]WHOLESALE SUB '!J27</f>
        <v>75357.7</v>
      </c>
      <c r="L24" s="9"/>
      <c r="M24" s="9"/>
      <c r="N24" s="14">
        <f>'[1]WHOLESALE SUB '!N27</f>
        <v>69381</v>
      </c>
      <c r="O24" s="9"/>
      <c r="P24" s="9"/>
      <c r="Q24" s="14">
        <f>'[1]WHOLESALE SUB '!$R27</f>
        <v>75292</v>
      </c>
    </row>
    <row r="25" spans="3:17" ht="24.95" customHeight="1" x14ac:dyDescent="0.2">
      <c r="C25" s="6">
        <v>7</v>
      </c>
      <c r="E25" s="6" t="s">
        <v>9</v>
      </c>
      <c r="F25" s="1"/>
      <c r="G25" s="5"/>
      <c r="H25" s="14">
        <f>'[1]WHOLESALE SUB '!F28</f>
        <v>106999.1</v>
      </c>
      <c r="I25" s="9"/>
      <c r="J25" s="9"/>
      <c r="K25" s="14">
        <f>'[1]WHOLESALE SUB '!J28</f>
        <v>77689.100000000006</v>
      </c>
      <c r="L25" s="9"/>
      <c r="M25" s="9"/>
      <c r="N25" s="14">
        <f>'[1]WHOLESALE SUB '!N28</f>
        <v>73644</v>
      </c>
      <c r="O25" s="9"/>
      <c r="P25" s="9"/>
      <c r="Q25" s="14">
        <f>'[1]WHOLESALE SUB '!$R28</f>
        <v>76797</v>
      </c>
    </row>
    <row r="26" spans="3:17" ht="24.95" customHeight="1" x14ac:dyDescent="0.2">
      <c r="C26" s="6">
        <v>8</v>
      </c>
      <c r="E26" s="6" t="s">
        <v>10</v>
      </c>
      <c r="F26" s="1"/>
      <c r="G26" s="5"/>
      <c r="H26" s="14">
        <f>'[1]WHOLESALE SUB '!F29</f>
        <v>112718.9</v>
      </c>
      <c r="I26" s="9"/>
      <c r="J26" s="9"/>
      <c r="K26" s="14">
        <f>'[1]WHOLESALE SUB '!J29</f>
        <v>83091.3</v>
      </c>
      <c r="L26" s="9"/>
      <c r="M26" s="9"/>
      <c r="N26" s="14">
        <f>'[1]WHOLESALE SUB '!N29</f>
        <v>74139</v>
      </c>
      <c r="O26" s="9"/>
      <c r="P26" s="9"/>
      <c r="Q26" s="14">
        <f>'[1]WHOLESALE SUB '!$R29</f>
        <v>78156</v>
      </c>
    </row>
    <row r="27" spans="3:17" ht="24.95" customHeight="1" x14ac:dyDescent="0.2">
      <c r="C27" s="6">
        <v>9</v>
      </c>
      <c r="E27" s="6" t="s">
        <v>11</v>
      </c>
      <c r="F27" s="1"/>
      <c r="G27" s="5"/>
      <c r="H27" s="14">
        <f>'[1]WHOLESALE SUB '!F30</f>
        <v>91651.7</v>
      </c>
      <c r="I27" s="9"/>
      <c r="J27" s="9"/>
      <c r="K27" s="14">
        <f>'[1]WHOLESALE SUB '!J30</f>
        <v>70630.600000000006</v>
      </c>
      <c r="L27" s="9"/>
      <c r="M27" s="9"/>
      <c r="N27" s="14">
        <f>'[1]WHOLESALE SUB '!N30</f>
        <v>65195</v>
      </c>
      <c r="O27" s="9"/>
      <c r="P27" s="9"/>
      <c r="Q27" s="14">
        <f>'[1]WHOLESALE SUB '!$R30</f>
        <v>69799</v>
      </c>
    </row>
    <row r="28" spans="3:17" ht="24.95" customHeight="1" x14ac:dyDescent="0.2">
      <c r="C28" s="6">
        <v>10</v>
      </c>
      <c r="E28" s="6" t="s">
        <v>12</v>
      </c>
      <c r="F28" s="1"/>
      <c r="G28" s="5"/>
      <c r="H28" s="14">
        <f>'[1]WHOLESALE SUB '!F31</f>
        <v>78174.8</v>
      </c>
      <c r="I28" s="9"/>
      <c r="J28" s="9"/>
      <c r="K28" s="14">
        <f>'[1]WHOLESALE SUB '!J31</f>
        <v>61185.9</v>
      </c>
      <c r="L28" s="9"/>
      <c r="M28" s="9"/>
      <c r="N28" s="14">
        <f>'[1]WHOLESALE SUB '!N31</f>
        <v>61186</v>
      </c>
      <c r="O28" s="9"/>
      <c r="P28" s="9"/>
      <c r="Q28" s="14">
        <f>'[1]WHOLESALE SUB '!$R31</f>
        <v>61186</v>
      </c>
    </row>
    <row r="29" spans="3:17" ht="24.95" customHeight="1" x14ac:dyDescent="0.2">
      <c r="C29" s="6">
        <v>11</v>
      </c>
      <c r="E29" s="6" t="s">
        <v>13</v>
      </c>
      <c r="F29" s="1"/>
      <c r="G29" s="5"/>
      <c r="H29" s="14">
        <f>'[1]WHOLESALE SUB '!F32</f>
        <v>68509.5</v>
      </c>
      <c r="I29" s="9"/>
      <c r="J29" s="9"/>
      <c r="K29" s="14">
        <f>'[1]WHOLESALE SUB '!J32</f>
        <v>45016</v>
      </c>
      <c r="L29" s="9"/>
      <c r="M29" s="9"/>
      <c r="N29" s="14">
        <f>'[1]WHOLESALE SUB '!N32</f>
        <v>39503</v>
      </c>
      <c r="O29" s="9"/>
      <c r="P29" s="9"/>
      <c r="Q29" s="14">
        <f>'[1]WHOLESALE SUB '!$R32</f>
        <v>38833</v>
      </c>
    </row>
    <row r="30" spans="3:17" ht="24.95" customHeight="1" x14ac:dyDescent="0.2">
      <c r="C30" s="6">
        <v>12</v>
      </c>
      <c r="E30" s="6" t="s">
        <v>14</v>
      </c>
      <c r="F30" s="1"/>
      <c r="G30" s="5"/>
      <c r="H30" s="14">
        <f>'[1]WHOLESALE SUB '!F33</f>
        <v>72885.899999999994</v>
      </c>
      <c r="I30" s="9"/>
      <c r="J30" s="9"/>
      <c r="K30" s="14">
        <f>'[1]WHOLESALE SUB '!J33</f>
        <v>53870.6</v>
      </c>
      <c r="L30" s="9"/>
      <c r="M30" s="9"/>
      <c r="N30" s="14">
        <f>'[1]WHOLESALE SUB '!N33</f>
        <v>52542</v>
      </c>
      <c r="O30" s="9"/>
      <c r="P30" s="9"/>
      <c r="Q30" s="14">
        <f>'[1]WHOLESALE SUB '!$R33</f>
        <v>52542</v>
      </c>
    </row>
    <row r="31" spans="3:17" ht="15" customHeight="1" x14ac:dyDescent="0.2">
      <c r="C31" s="1"/>
      <c r="D31" s="1"/>
      <c r="F31" s="1"/>
      <c r="G31" s="5"/>
      <c r="H31" s="5"/>
      <c r="I31" s="5"/>
      <c r="J31" s="5"/>
      <c r="K31" s="1"/>
      <c r="L31" s="5"/>
      <c r="M31" s="5"/>
      <c r="N31" s="5"/>
      <c r="O31" s="5"/>
      <c r="P31" s="5"/>
      <c r="Q31" s="5"/>
    </row>
    <row r="32" spans="3:17" ht="15" customHeight="1" x14ac:dyDescent="0.2">
      <c r="C32" s="1"/>
      <c r="D32" s="1"/>
      <c r="F32" s="1"/>
      <c r="G32" s="5"/>
      <c r="H32" s="5"/>
      <c r="I32" s="5"/>
      <c r="J32" s="5"/>
      <c r="K32" s="1"/>
      <c r="L32" s="5"/>
      <c r="M32" s="5"/>
      <c r="N32" s="5"/>
      <c r="O32" s="5"/>
      <c r="P32" s="5"/>
      <c r="Q32" s="5"/>
    </row>
    <row r="33" spans="3:17" ht="15" customHeight="1" x14ac:dyDescent="0.2">
      <c r="C33" s="1" t="s">
        <v>17</v>
      </c>
      <c r="D33" s="1"/>
      <c r="F33" s="1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3:17" ht="24.95" customHeight="1" x14ac:dyDescent="0.2"/>
  </sheetData>
  <phoneticPr fontId="6" type="noConversion"/>
  <pageMargins left="0.5" right="1" top="1.5" bottom="0.5" header="0.5" footer="0.5"/>
  <pageSetup scale="70" orientation="landscape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33"/>
  <sheetViews>
    <sheetView zoomScale="75" workbookViewId="0">
      <selection activeCell="A4" sqref="A4"/>
    </sheetView>
  </sheetViews>
  <sheetFormatPr defaultRowHeight="12.75" x14ac:dyDescent="0.2"/>
  <cols>
    <col min="3" max="3" width="4.7109375" customWidth="1"/>
    <col min="4" max="4" width="7.7109375" customWidth="1"/>
    <col min="6" max="6" width="10.7109375" customWidth="1"/>
    <col min="7" max="7" width="2.7109375" customWidth="1"/>
    <col min="8" max="8" width="13.7109375" customWidth="1"/>
    <col min="9" max="9" width="10.7109375" customWidth="1"/>
    <col min="10" max="10" width="2.7109375" customWidth="1"/>
    <col min="11" max="11" width="12.7109375" customWidth="1"/>
    <col min="12" max="12" width="10.7109375" customWidth="1"/>
    <col min="13" max="13" width="2.7109375" customWidth="1"/>
    <col min="14" max="14" width="12.7109375" customWidth="1"/>
    <col min="15" max="15" width="10.7109375" customWidth="1"/>
    <col min="16" max="16" width="2.7109375" customWidth="1"/>
    <col min="17" max="17" width="12.7109375" customWidth="1"/>
  </cols>
  <sheetData>
    <row r="1" spans="1:20" ht="18.75" customHeight="1" x14ac:dyDescent="0.25">
      <c r="C1" s="2"/>
      <c r="D1" s="1"/>
      <c r="F1" s="1"/>
      <c r="G1" s="1"/>
      <c r="H1" s="5"/>
      <c r="I1" s="1"/>
      <c r="J1" s="1"/>
      <c r="K1" s="1"/>
      <c r="L1" s="1"/>
      <c r="M1" s="1"/>
      <c r="N1" s="5"/>
      <c r="Q1" s="5"/>
      <c r="R1" s="1" t="s">
        <v>38</v>
      </c>
    </row>
    <row r="2" spans="1:20" ht="18.75" customHeight="1" x14ac:dyDescent="0.2">
      <c r="C2" s="1"/>
      <c r="D2" s="1"/>
      <c r="F2" s="1"/>
      <c r="G2" s="1"/>
      <c r="H2" s="5"/>
      <c r="I2" s="1"/>
      <c r="J2" s="1"/>
      <c r="K2" s="1"/>
      <c r="L2" s="1"/>
      <c r="M2" s="1"/>
      <c r="N2" s="5"/>
      <c r="Q2" s="5"/>
      <c r="R2" s="1" t="s">
        <v>46</v>
      </c>
    </row>
    <row r="3" spans="1:20" ht="18.75" customHeight="1" x14ac:dyDescent="0.2">
      <c r="C3" s="1"/>
      <c r="D3" s="1"/>
      <c r="F3" s="1"/>
      <c r="G3" s="1"/>
      <c r="H3" s="5"/>
      <c r="I3" s="1"/>
      <c r="J3" s="1"/>
      <c r="K3" s="1"/>
      <c r="L3" s="1"/>
      <c r="M3" s="1"/>
      <c r="N3" s="5"/>
      <c r="O3" s="1"/>
      <c r="P3" s="1"/>
      <c r="Q3" s="5"/>
    </row>
    <row r="4" spans="1:20" s="2" customFormat="1" ht="18.75" customHeight="1" x14ac:dyDescent="0.25">
      <c r="A4" s="11" t="s">
        <v>56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11"/>
      <c r="P4" s="11"/>
      <c r="Q4" s="12"/>
      <c r="R4" s="11"/>
      <c r="S4" s="11"/>
      <c r="T4" s="11"/>
    </row>
    <row r="5" spans="1:20" s="2" customFormat="1" ht="18.75" customHeight="1" x14ac:dyDescent="0.25">
      <c r="A5" s="11" t="s">
        <v>30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/>
      <c r="O5" s="11"/>
      <c r="P5" s="11"/>
      <c r="Q5" s="12"/>
      <c r="R5" s="11"/>
      <c r="S5" s="11"/>
      <c r="T5" s="11"/>
    </row>
    <row r="6" spans="1:20" s="2" customFormat="1" ht="18.75" customHeight="1" x14ac:dyDescent="0.25">
      <c r="A6" s="11" t="s">
        <v>28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  <c r="O6" s="11"/>
      <c r="P6" s="11"/>
      <c r="Q6" s="12"/>
      <c r="R6" s="11"/>
      <c r="S6" s="11"/>
      <c r="T6" s="11"/>
    </row>
    <row r="7" spans="1:20" s="2" customFormat="1" ht="18.75" customHeight="1" x14ac:dyDescent="0.25">
      <c r="A7" s="11" t="s">
        <v>55</v>
      </c>
      <c r="B7" s="11"/>
      <c r="C7" s="11"/>
      <c r="D7" s="11"/>
      <c r="E7" s="11"/>
      <c r="F7" s="11"/>
      <c r="G7" s="12"/>
      <c r="H7" s="12"/>
      <c r="I7" s="11"/>
      <c r="J7" s="11"/>
      <c r="K7" s="11"/>
      <c r="L7" s="11"/>
      <c r="M7" s="11"/>
      <c r="N7" s="12"/>
      <c r="O7" s="11"/>
      <c r="P7" s="11"/>
      <c r="Q7" s="12"/>
      <c r="R7" s="11"/>
      <c r="S7" s="11"/>
      <c r="T7" s="11"/>
    </row>
    <row r="8" spans="1:20" s="2" customFormat="1" ht="18.75" customHeight="1" x14ac:dyDescent="0.25">
      <c r="A8" s="11"/>
      <c r="B8" s="11"/>
      <c r="C8" s="11"/>
      <c r="D8" s="11"/>
      <c r="E8" s="11"/>
      <c r="F8" s="11"/>
      <c r="G8" s="12"/>
      <c r="H8" s="11"/>
      <c r="I8" s="11"/>
      <c r="J8" s="11"/>
      <c r="K8" s="11"/>
      <c r="L8" s="11"/>
      <c r="M8" s="11"/>
      <c r="N8" s="12"/>
      <c r="O8" s="11"/>
      <c r="P8" s="11"/>
      <c r="Q8" s="12"/>
      <c r="R8" s="11"/>
      <c r="S8" s="11"/>
      <c r="T8" s="11"/>
    </row>
    <row r="9" spans="1:20" s="2" customFormat="1" ht="18.75" customHeight="1" x14ac:dyDescent="0.25">
      <c r="A9" s="11" t="s">
        <v>34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  <c r="O9" s="11"/>
      <c r="P9" s="11"/>
      <c r="Q9" s="12"/>
      <c r="R9" s="11"/>
      <c r="S9" s="11"/>
      <c r="T9" s="11"/>
    </row>
    <row r="10" spans="1:20" ht="18.75" customHeight="1" x14ac:dyDescent="0.2">
      <c r="C10" s="1"/>
      <c r="D10" s="1"/>
      <c r="F10" s="1"/>
      <c r="G10" s="1"/>
      <c r="H10" s="5"/>
      <c r="I10" s="1"/>
      <c r="J10" s="1"/>
      <c r="K10" s="1"/>
      <c r="L10" s="1"/>
      <c r="M10" s="1"/>
      <c r="N10" s="5"/>
      <c r="O10" s="1"/>
      <c r="P10" s="1"/>
      <c r="Q10" s="5"/>
    </row>
    <row r="11" spans="1:20" ht="18.75" customHeight="1" x14ac:dyDescent="0.2">
      <c r="C11" s="1" t="s">
        <v>29</v>
      </c>
      <c r="D11" s="1"/>
      <c r="F11" s="1"/>
      <c r="G11" s="1"/>
      <c r="H11" s="5"/>
      <c r="I11" s="1"/>
      <c r="J11" s="1"/>
      <c r="K11" s="1"/>
      <c r="L11" s="1"/>
      <c r="M11" s="1"/>
      <c r="N11" s="5"/>
      <c r="O11" s="1"/>
      <c r="P11" s="1"/>
      <c r="Q11" s="5"/>
    </row>
    <row r="12" spans="1:20" ht="18.75" customHeight="1" x14ac:dyDescent="0.2">
      <c r="C12" s="1" t="s">
        <v>33</v>
      </c>
      <c r="D12" s="1"/>
      <c r="F12" s="1"/>
      <c r="G12" s="1"/>
      <c r="H12" s="5"/>
      <c r="I12" s="1"/>
      <c r="J12" s="1"/>
      <c r="K12" s="1"/>
      <c r="L12" s="1"/>
      <c r="M12" s="1"/>
      <c r="N12" s="5"/>
      <c r="O12" s="1"/>
      <c r="P12" s="1"/>
      <c r="Q12" s="5"/>
    </row>
    <row r="13" spans="1:20" ht="18.75" customHeight="1" x14ac:dyDescent="0.2">
      <c r="C13" s="1" t="s">
        <v>21</v>
      </c>
      <c r="D13" s="1"/>
      <c r="F13" s="1"/>
      <c r="G13" s="1"/>
      <c r="H13" s="5"/>
      <c r="I13" s="1"/>
      <c r="J13" s="1"/>
      <c r="K13" s="1"/>
      <c r="L13" s="1"/>
      <c r="M13" s="1"/>
      <c r="N13" s="5"/>
      <c r="O13" s="1"/>
      <c r="P13" s="1"/>
      <c r="Q13" s="5"/>
    </row>
    <row r="14" spans="1:20" ht="10.5" customHeight="1" x14ac:dyDescent="0.25">
      <c r="C14" s="7"/>
      <c r="D14" s="7"/>
      <c r="F14" s="7"/>
      <c r="G14" s="1"/>
      <c r="H14" s="5"/>
      <c r="I14" s="1"/>
      <c r="J14" s="1"/>
      <c r="K14" s="1"/>
      <c r="L14" s="1"/>
      <c r="M14" s="1"/>
      <c r="N14" s="5"/>
      <c r="O14" s="1"/>
      <c r="P14" s="1"/>
      <c r="Q14" s="5"/>
    </row>
    <row r="15" spans="1:20" ht="18.75" customHeight="1" x14ac:dyDescent="0.2">
      <c r="C15" s="1"/>
      <c r="D15" s="1"/>
      <c r="F15" s="1"/>
      <c r="G15" s="1"/>
      <c r="H15" s="5" t="s">
        <v>23</v>
      </c>
      <c r="I15" s="1"/>
      <c r="J15" s="1"/>
      <c r="K15" s="1" t="s">
        <v>24</v>
      </c>
      <c r="L15" s="1"/>
      <c r="M15" s="1"/>
      <c r="N15" s="5" t="s">
        <v>25</v>
      </c>
      <c r="O15" s="1"/>
      <c r="P15" s="1"/>
      <c r="Q15" s="5" t="s">
        <v>26</v>
      </c>
    </row>
    <row r="16" spans="1:20" ht="18.75" customHeight="1" x14ac:dyDescent="0.2">
      <c r="C16" s="1" t="s">
        <v>1</v>
      </c>
      <c r="D16" s="1"/>
      <c r="F16" s="1"/>
      <c r="G16" s="1"/>
      <c r="H16" s="5" t="s">
        <v>18</v>
      </c>
      <c r="I16" s="1"/>
      <c r="J16" s="1"/>
      <c r="K16" s="1" t="s">
        <v>20</v>
      </c>
      <c r="L16" s="1"/>
      <c r="M16" s="1"/>
      <c r="N16" s="5" t="s">
        <v>35</v>
      </c>
      <c r="O16" s="1" t="s">
        <v>36</v>
      </c>
      <c r="P16" s="1"/>
      <c r="Q16" s="5" t="s">
        <v>16</v>
      </c>
    </row>
    <row r="17" spans="3:17" ht="18.75" customHeight="1" x14ac:dyDescent="0.2">
      <c r="C17" s="3" t="s">
        <v>2</v>
      </c>
      <c r="E17" s="3" t="s">
        <v>3</v>
      </c>
      <c r="F17" s="1"/>
      <c r="G17" s="1"/>
      <c r="H17" s="8" t="s">
        <v>19</v>
      </c>
      <c r="I17" s="1"/>
      <c r="J17" s="1"/>
      <c r="K17" s="4" t="s">
        <v>15</v>
      </c>
      <c r="L17" s="1"/>
      <c r="M17" s="1"/>
      <c r="N17" s="8" t="s">
        <v>15</v>
      </c>
      <c r="O17" s="1"/>
      <c r="P17" s="1"/>
      <c r="Q17" s="8" t="s">
        <v>15</v>
      </c>
    </row>
    <row r="18" spans="3:17" ht="18.75" customHeight="1" x14ac:dyDescent="0.2">
      <c r="C18" s="1"/>
      <c r="E18" s="1"/>
      <c r="F18" s="1"/>
      <c r="G18" s="1"/>
      <c r="H18" s="5"/>
      <c r="I18" s="1"/>
      <c r="J18" s="1"/>
      <c r="K18" s="1"/>
      <c r="L18" s="1"/>
      <c r="M18" s="1"/>
      <c r="N18" s="5"/>
      <c r="O18" s="1"/>
      <c r="P18" s="1"/>
      <c r="Q18" s="5"/>
    </row>
    <row r="19" spans="3:17" ht="24.95" customHeight="1" x14ac:dyDescent="0.2">
      <c r="C19" s="6">
        <v>1</v>
      </c>
      <c r="E19" s="6" t="s">
        <v>4</v>
      </c>
      <c r="F19" s="1"/>
      <c r="G19" s="5"/>
      <c r="H19" s="17">
        <f>'[1]WHOLESALE DLS'!F22</f>
        <v>165996.4</v>
      </c>
      <c r="I19" s="9"/>
      <c r="J19" s="9"/>
      <c r="K19" s="17">
        <f>'[1]WHOLESALE DLS'!J22</f>
        <v>125767.8</v>
      </c>
      <c r="L19" s="9"/>
      <c r="M19" s="9"/>
      <c r="N19" s="17">
        <f>'[1]WHOLESALE DLS'!N22</f>
        <v>113111</v>
      </c>
      <c r="O19" s="9"/>
      <c r="P19" s="9"/>
      <c r="Q19" s="17">
        <f>'[1]WHOLESALE DLS'!R22</f>
        <v>125363</v>
      </c>
    </row>
    <row r="20" spans="3:17" ht="24.95" customHeight="1" x14ac:dyDescent="0.2">
      <c r="C20" s="6">
        <v>2</v>
      </c>
      <c r="E20" s="6" t="s">
        <v>5</v>
      </c>
      <c r="F20" s="1"/>
      <c r="G20" s="5"/>
      <c r="H20" s="17">
        <f>'[1]WHOLESALE DLS'!F23</f>
        <v>131357.29999999999</v>
      </c>
      <c r="I20" s="9"/>
      <c r="J20" s="9"/>
      <c r="K20" s="17">
        <f>'[1]WHOLESALE DLS'!J23</f>
        <v>85216.1</v>
      </c>
      <c r="L20" s="9"/>
      <c r="M20" s="9"/>
      <c r="N20" s="17">
        <f>'[1]WHOLESALE DLS'!N23</f>
        <v>73851</v>
      </c>
      <c r="O20" s="9"/>
      <c r="P20" s="9"/>
      <c r="Q20" s="17">
        <f>'[1]WHOLESALE DLS'!R23</f>
        <v>73851</v>
      </c>
    </row>
    <row r="21" spans="3:17" ht="24.95" customHeight="1" x14ac:dyDescent="0.2">
      <c r="C21" s="6">
        <v>3</v>
      </c>
      <c r="E21" s="6" t="s">
        <v>6</v>
      </c>
      <c r="F21" s="1"/>
      <c r="G21" s="5"/>
      <c r="H21" s="17">
        <f>'[1]WHOLESALE DLS'!F24</f>
        <v>104651.6</v>
      </c>
      <c r="I21" s="9"/>
      <c r="J21" s="9"/>
      <c r="K21" s="17">
        <f>'[1]WHOLESALE DLS'!J24</f>
        <v>65179.5</v>
      </c>
      <c r="L21" s="9"/>
      <c r="M21" s="9"/>
      <c r="N21" s="17">
        <f>'[1]WHOLESALE DLS'!N24</f>
        <v>54250</v>
      </c>
      <c r="O21" s="9"/>
      <c r="P21" s="9"/>
      <c r="Q21" s="17">
        <f>'[1]WHOLESALE DLS'!R24</f>
        <v>40588</v>
      </c>
    </row>
    <row r="22" spans="3:17" ht="24.95" customHeight="1" x14ac:dyDescent="0.2">
      <c r="C22" s="6">
        <v>4</v>
      </c>
      <c r="E22" s="6" t="s">
        <v>7</v>
      </c>
      <c r="F22" s="1"/>
      <c r="G22" s="5"/>
      <c r="H22" s="17">
        <f>'[1]WHOLESALE DLS'!F25</f>
        <v>96526.6</v>
      </c>
      <c r="I22" s="9"/>
      <c r="J22" s="9"/>
      <c r="K22" s="17">
        <f>'[1]WHOLESALE DLS'!J25</f>
        <v>59416.2</v>
      </c>
      <c r="L22" s="9"/>
      <c r="M22" s="9"/>
      <c r="N22" s="17">
        <f>'[1]WHOLESALE DLS'!N25</f>
        <v>54998</v>
      </c>
      <c r="O22" s="9"/>
      <c r="P22" s="9"/>
      <c r="Q22" s="17">
        <f>'[1]WHOLESALE DLS'!R25</f>
        <v>54998</v>
      </c>
    </row>
    <row r="23" spans="3:17" ht="24.95" customHeight="1" x14ac:dyDescent="0.2">
      <c r="C23" s="6">
        <v>5</v>
      </c>
      <c r="E23" s="6" t="s">
        <v>37</v>
      </c>
      <c r="F23" s="1"/>
      <c r="G23" s="5"/>
      <c r="H23" s="17">
        <f>'[1]WHOLESALE DLS'!F26</f>
        <v>116163.2</v>
      </c>
      <c r="I23" s="9"/>
      <c r="J23" s="9"/>
      <c r="K23" s="17">
        <f>'[1]WHOLESALE DLS'!J26</f>
        <v>78649.5</v>
      </c>
      <c r="L23" s="9"/>
      <c r="M23" s="9"/>
      <c r="N23" s="17">
        <f>'[1]WHOLESALE DLS'!N26</f>
        <v>76505</v>
      </c>
      <c r="O23" s="9"/>
      <c r="P23" s="9"/>
      <c r="Q23" s="17">
        <f>'[1]WHOLESALE DLS'!R26</f>
        <v>77124</v>
      </c>
    </row>
    <row r="24" spans="3:17" ht="24.95" customHeight="1" x14ac:dyDescent="0.2">
      <c r="C24" s="6">
        <v>6</v>
      </c>
      <c r="E24" s="6" t="s">
        <v>8</v>
      </c>
      <c r="F24" s="1"/>
      <c r="G24" s="5"/>
      <c r="H24" s="17">
        <f>'[1]WHOLESALE DLS'!F27</f>
        <v>126921.8</v>
      </c>
      <c r="I24" s="9"/>
      <c r="J24" s="9"/>
      <c r="K24" s="17">
        <f>'[1]WHOLESALE DLS'!J27</f>
        <v>90572.2</v>
      </c>
      <c r="L24" s="9"/>
      <c r="M24" s="9"/>
      <c r="N24" s="17">
        <f>'[1]WHOLESALE DLS'!N27</f>
        <v>77686</v>
      </c>
      <c r="O24" s="9"/>
      <c r="P24" s="9"/>
      <c r="Q24" s="17">
        <f>'[1]WHOLESALE DLS'!R27</f>
        <v>88223</v>
      </c>
    </row>
    <row r="25" spans="3:17" ht="24.95" customHeight="1" x14ac:dyDescent="0.2">
      <c r="C25" s="6">
        <v>7</v>
      </c>
      <c r="E25" s="6" t="s">
        <v>9</v>
      </c>
      <c r="F25" s="1"/>
      <c r="G25" s="5"/>
      <c r="H25" s="17">
        <f>'[1]WHOLESALE DLS'!F28</f>
        <v>126291.5</v>
      </c>
      <c r="I25" s="9"/>
      <c r="J25" s="9"/>
      <c r="K25" s="17">
        <f>'[1]WHOLESALE DLS'!J28</f>
        <v>92767.5</v>
      </c>
      <c r="L25" s="9"/>
      <c r="M25" s="9"/>
      <c r="N25" s="17">
        <f>'[1]WHOLESALE DLS'!N28</f>
        <v>87653</v>
      </c>
      <c r="O25" s="9"/>
      <c r="P25" s="9"/>
      <c r="Q25" s="17">
        <f>'[1]WHOLESALE DLS'!R28</f>
        <v>87089</v>
      </c>
    </row>
    <row r="26" spans="3:17" ht="24.95" customHeight="1" x14ac:dyDescent="0.2">
      <c r="C26" s="6">
        <v>8</v>
      </c>
      <c r="E26" s="6" t="s">
        <v>10</v>
      </c>
      <c r="F26" s="1"/>
      <c r="G26" s="5"/>
      <c r="H26" s="17">
        <f>'[1]WHOLESALE DLS'!F29</f>
        <v>135375.29999999999</v>
      </c>
      <c r="I26" s="9"/>
      <c r="J26" s="9"/>
      <c r="K26" s="17">
        <f>'[1]WHOLESALE DLS'!J29</f>
        <v>97721.4</v>
      </c>
      <c r="L26" s="9"/>
      <c r="M26" s="9"/>
      <c r="N26" s="17">
        <f>'[1]WHOLESALE DLS'!N29</f>
        <v>85150</v>
      </c>
      <c r="O26" s="9"/>
      <c r="P26" s="9"/>
      <c r="Q26" s="17">
        <f>'[1]WHOLESALE DLS'!R29</f>
        <v>91725</v>
      </c>
    </row>
    <row r="27" spans="3:17" ht="24.95" customHeight="1" x14ac:dyDescent="0.2">
      <c r="C27" s="6">
        <v>9</v>
      </c>
      <c r="E27" s="6" t="s">
        <v>11</v>
      </c>
      <c r="F27" s="1"/>
      <c r="G27" s="5"/>
      <c r="H27" s="17">
        <f>'[1]WHOLESALE DLS'!F30</f>
        <v>124380.8</v>
      </c>
      <c r="I27" s="9"/>
      <c r="J27" s="9"/>
      <c r="K27" s="17">
        <f>'[1]WHOLESALE DLS'!J30</f>
        <v>86965.2</v>
      </c>
      <c r="L27" s="9"/>
      <c r="M27" s="9"/>
      <c r="N27" s="17">
        <f>'[1]WHOLESALE DLS'!N30</f>
        <v>86965</v>
      </c>
      <c r="O27" s="9"/>
      <c r="P27" s="9"/>
      <c r="Q27" s="17">
        <f>'[1]WHOLESALE DLS'!R30</f>
        <v>80333</v>
      </c>
    </row>
    <row r="28" spans="3:17" ht="24.95" customHeight="1" x14ac:dyDescent="0.2">
      <c r="C28" s="6">
        <v>10</v>
      </c>
      <c r="E28" s="6" t="s">
        <v>12</v>
      </c>
      <c r="F28" s="1"/>
      <c r="G28" s="5"/>
      <c r="H28" s="17">
        <f>'[1]WHOLESALE DLS'!F31</f>
        <v>117240.6</v>
      </c>
      <c r="I28" s="9"/>
      <c r="J28" s="9"/>
      <c r="K28" s="17">
        <f>'[1]WHOLESALE DLS'!J31</f>
        <v>73443.600000000006</v>
      </c>
      <c r="L28" s="9"/>
      <c r="M28" s="9"/>
      <c r="N28" s="17">
        <f>'[1]WHOLESALE DLS'!N31</f>
        <v>70273</v>
      </c>
      <c r="O28" s="9"/>
      <c r="P28" s="9"/>
      <c r="Q28" s="17">
        <f>'[1]WHOLESALE DLS'!R31</f>
        <v>70273</v>
      </c>
    </row>
    <row r="29" spans="3:17" ht="24.95" customHeight="1" x14ac:dyDescent="0.2">
      <c r="C29" s="6">
        <v>11</v>
      </c>
      <c r="E29" s="6" t="s">
        <v>13</v>
      </c>
      <c r="F29" s="1"/>
      <c r="G29" s="5"/>
      <c r="H29" s="17">
        <f>'[1]WHOLESALE DLS'!F32</f>
        <v>120981.9</v>
      </c>
      <c r="I29" s="9"/>
      <c r="J29" s="9"/>
      <c r="K29" s="17">
        <f>'[1]WHOLESALE DLS'!J32</f>
        <v>62354.6</v>
      </c>
      <c r="L29" s="9"/>
      <c r="M29" s="9"/>
      <c r="N29" s="17">
        <f>'[1]WHOLESALE DLS'!N32</f>
        <v>46809</v>
      </c>
      <c r="O29" s="9"/>
      <c r="P29" s="9"/>
      <c r="Q29" s="17">
        <f>'[1]WHOLESALE DLS'!R32</f>
        <v>51267</v>
      </c>
    </row>
    <row r="30" spans="3:17" ht="24.95" customHeight="1" x14ac:dyDescent="0.2">
      <c r="C30" s="6">
        <v>12</v>
      </c>
      <c r="E30" s="6" t="s">
        <v>14</v>
      </c>
      <c r="F30" s="1"/>
      <c r="G30" s="5"/>
      <c r="H30" s="17">
        <f>'[1]WHOLESALE DLS'!F33</f>
        <v>127987.5</v>
      </c>
      <c r="I30" s="9"/>
      <c r="J30" s="9"/>
      <c r="K30" s="17">
        <f>'[1]WHOLESALE DLS'!J33</f>
        <v>72549.7</v>
      </c>
      <c r="L30" s="9"/>
      <c r="M30" s="9"/>
      <c r="N30" s="17">
        <f>'[1]WHOLESALE DLS'!N33</f>
        <v>65033</v>
      </c>
      <c r="O30" s="9"/>
      <c r="P30" s="9"/>
      <c r="Q30" s="17">
        <f>'[1]WHOLESALE DLS'!R33</f>
        <v>65033</v>
      </c>
    </row>
    <row r="31" spans="3:17" ht="15" customHeight="1" x14ac:dyDescent="0.2">
      <c r="C31" s="1"/>
      <c r="D31" s="1"/>
      <c r="F31" s="1"/>
      <c r="G31" s="5"/>
      <c r="H31" s="5"/>
      <c r="I31" s="5"/>
      <c r="J31" s="5"/>
      <c r="K31" s="1"/>
      <c r="L31" s="5"/>
      <c r="M31" s="5"/>
      <c r="N31" s="5"/>
      <c r="O31" s="5"/>
      <c r="P31" s="5"/>
      <c r="Q31" s="5"/>
    </row>
    <row r="32" spans="3:17" ht="15" customHeight="1" x14ac:dyDescent="0.2">
      <c r="C32" s="1"/>
      <c r="D32" s="1"/>
      <c r="F32" s="1"/>
      <c r="G32" s="5"/>
      <c r="H32" s="5"/>
      <c r="I32" s="5"/>
      <c r="J32" s="5"/>
      <c r="K32" s="1"/>
      <c r="L32" s="5"/>
      <c r="M32" s="5"/>
      <c r="N32" s="5"/>
      <c r="O32" s="5"/>
      <c r="P32" s="5"/>
      <c r="Q32" s="5"/>
    </row>
    <row r="33" spans="3:17" ht="15" customHeight="1" x14ac:dyDescent="0.2">
      <c r="C33" s="1" t="s">
        <v>17</v>
      </c>
      <c r="D33" s="1"/>
      <c r="F33" s="1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</sheetData>
  <phoneticPr fontId="6" type="noConversion"/>
  <pageMargins left="0.5" right="1" top="1.5" bottom="0.5" header="0.5" footer="0.5"/>
  <pageSetup scale="7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RESIDENTIAL</vt:lpstr>
      <vt:lpstr>SEC &lt; 10kW</vt:lpstr>
      <vt:lpstr>SEC &gt; 10kW</vt:lpstr>
      <vt:lpstr>PRIMARY &lt; 10kW</vt:lpstr>
      <vt:lpstr>PRIMARY &gt; 10kW DLS</vt:lpstr>
      <vt:lpstr>GS PRI LRGE_SUB</vt:lpstr>
      <vt:lpstr>TRANSMISSION</vt:lpstr>
      <vt:lpstr>WHOLESALE-SUBSTATION </vt:lpstr>
      <vt:lpstr>WHOLESALE-DISTRIBUTION</vt:lpstr>
      <vt:lpstr>'WHOLESALE-DISTRIBUTION'!Print_Area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Tenorio, Stephanie</cp:lastModifiedBy>
  <cp:lastPrinted>1900-01-01T06:00:00Z</cp:lastPrinted>
  <dcterms:created xsi:type="dcterms:W3CDTF">1900-01-01T06:00:00Z</dcterms:created>
  <dcterms:modified xsi:type="dcterms:W3CDTF">2025-06-25T18:44:30Z</dcterms:modified>
</cp:coreProperties>
</file>