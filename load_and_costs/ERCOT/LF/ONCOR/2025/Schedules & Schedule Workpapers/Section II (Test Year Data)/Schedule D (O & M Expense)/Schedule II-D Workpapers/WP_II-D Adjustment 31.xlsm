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7" rupBuild="24332"/>
  <x:workbookPr defaultThemeVersion="166925"/>
  <mc:AlternateContent xmlns:mc="http://schemas.openxmlformats.org/markup-compatibility/2006">
    <mc:Choice Requires="x15">
      <x15ac:absPath xmlns:x15ac="http://schemas.microsoft.com/office/spreadsheetml/2010/11/ac" url="N:\2025 Rate Case\Section II (Test Year Data)\Schedule D (O &amp; M Expense)\Schedule II-D Workpapers\"/>
    </mc:Choice>
  </mc:AlternateContent>
  <xr:revisionPtr revIDLastSave="0" documentId="13_ncr:1_{06E6233B-ED37-423C-AAA8-FED30E27C3D7}" xr6:coauthVersionLast="47" xr6:coauthVersionMax="47" xr10:uidLastSave="{00000000-0000-0000-0000-000000000000}"/>
  <x:bookViews>
    <x:workbookView xWindow="-120" yWindow="-120" windowWidth="29040" windowHeight="15720" xr2:uid="{EA5A19CC-CD93-4F5E-8142-66B24C23785B}"/>
  </x:bookViews>
  <x:sheets>
    <x:sheet name="K&amp;M Adjustment" sheetId="1" r:id="rId1"/>
  </x:sheets>
  <x:calcPr calcId="191029" iterate="1"/>
  <x:extLst>
    <x:ext xmlns:x15="http://schemas.microsoft.com/office/spreadsheetml/2010/11/main" uri="{140A7094-0E35-4892-8432-C4D2E57EDEB5}">
      <x15:workbookPr chartTrackingRefBase="1"/>
    </x:ext>
    <x: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x:ext>
  </x:extLst>
</x:workbook>
</file>

<file path=xl/calcChain.xml><?xml version="1.0" encoding="utf-8"?>
<x:calcChain xmlns:x="http://schemas.openxmlformats.org/spreadsheetml/2006/main">
  <x:c r="E62" i="1" l="1"/>
  <x:c r="E59" i="1"/>
  <x:c r="F59" i="1" s="1"/>
  <x:c r="C59" i="1"/>
  <x:c r="B59" i="1"/>
  <x:c r="E58" i="1"/>
  <x:c r="F58" i="1" s="1"/>
  <x:c r="C58" i="1"/>
  <x:c r="E57" i="1"/>
  <x:c r="F57" i="1" s="1"/>
  <x:c r="B57" i="1"/>
  <x:c r="B58" i="1" s="1"/>
  <x:c r="E56" i="1"/>
  <x:c r="F56" i="1" s="1"/>
  <x:c r="D56" i="1"/>
  <x:c r="D57" i="1" s="1"/>
  <x:c r="D58" i="1" s="1"/>
  <x:c r="D59" i="1" s="1"/>
  <x:c r="E55" i="1"/>
  <x:c r="F55" i="1" s="1"/>
  <x:c r="F60" i="1" s="1"/>
  <x:c r="B55" i="1"/>
  <x:c r="B56" i="1" s="1"/>
  <x:c r="F41" i="1"/>
  <x:c r="F40" i="1"/>
  <x:c r="F43" i="1" s="1"/>
  <x:c r="A38" i="1"/>
  <x:c r="E60" i="1" l="1"/>
</x:calcChain>
</file>

<file path=xl/sharedStrings.xml><?xml version="1.0" encoding="utf-8"?>
<sst xmlns="http://schemas.openxmlformats.org/spreadsheetml/2006/main" count="66" uniqueCount="44">
  <si>
    <t>Oncor Electric Delivery Company LLC</t>
  </si>
  <si>
    <t>Final allocation of 01-01-2010 through 06-30-2013 sales tax audit settlement</t>
  </si>
  <si>
    <t>Based on the final settlement statement issued on February 8, 2024</t>
  </si>
  <si>
    <t>K&amp;M O&amp;M Adjustment  - non-recurring in 2024 test year</t>
  </si>
  <si>
    <t>Allocation on Final Statement</t>
  </si>
  <si>
    <t>Applied to Sales Tax Amended Audit Results - Credit/Refund due (basis):</t>
  </si>
  <si>
    <t>ESD</t>
  </si>
  <si>
    <t>TRN</t>
  </si>
  <si>
    <t>TRNDS</t>
  </si>
  <si>
    <t>TOTAL</t>
  </si>
  <si>
    <t>Capital</t>
  </si>
  <si>
    <t>O&amp;M</t>
  </si>
  <si>
    <t>SG&amp;A</t>
  </si>
  <si>
    <t>Sales Tax Amended Audit Results - Credit/Refund due:</t>
  </si>
  <si>
    <t>Allocate Refund</t>
  </si>
  <si>
    <t>Penalty</t>
  </si>
  <si>
    <t>Interest</t>
  </si>
  <si>
    <t>P&amp;I</t>
  </si>
  <si>
    <t>Allocate KPMG Fee</t>
  </si>
  <si>
    <t>O&amp;M, SG&amp;A</t>
  </si>
  <si>
    <t>Net Refund</t>
  </si>
  <si>
    <t>Accounting:</t>
  </si>
  <si>
    <t>Dept ID</t>
  </si>
  <si>
    <t>1070000-130-INCONOHE</t>
  </si>
  <si>
    <t>1070000-130-INDCONOH</t>
  </si>
  <si>
    <t>n/a</t>
  </si>
  <si>
    <t>5880000-900-00004500-4500</t>
  </si>
  <si>
    <t>5660000-900-0000SUPT-9010</t>
  </si>
  <si>
    <t>9302000-900-00004400-4400</t>
  </si>
  <si>
    <t>9302000-900-0000SUPT-9010</t>
  </si>
  <si>
    <t>9302000-900</t>
  </si>
  <si>
    <t>Business Unit</t>
  </si>
  <si>
    <t>Deptid</t>
  </si>
  <si>
    <t>Account</t>
  </si>
  <si>
    <t>EC</t>
  </si>
  <si>
    <t>2024 Test Year Amount</t>
  </si>
  <si>
    <t>K&amp;M Adjustment</t>
  </si>
  <si>
    <t>ESD O&amp;M</t>
  </si>
  <si>
    <t>ESD SG&amp;A</t>
  </si>
  <si>
    <t>TRN O&amp;M</t>
  </si>
  <si>
    <t>TRN SG&amp;A</t>
  </si>
  <si>
    <t>TRNDS SG&amp;A</t>
  </si>
  <si>
    <t>Check</t>
  </si>
  <si>
    <t>Data source:  Feb 2024 JE 998164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</si>
</sst>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43" formatCode="_(* #,##0.00_);_(* \(#,##0.00\);_(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i/>
      <sz val="10"/>
      <name val="Calibri"/>
      <family val="2"/>
      <scheme val="minor"/>
    </font>
    <font>
      <u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1" fillId="0" borderId="0"/>
    <xf numFmtId="0" fontId="3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9">
    <xf numFmtId="0" fontId="0" fillId="0" borderId="0" xfId="0"/>
    <xf numFmtId="0" fontId="2" fillId="0" borderId="0" xfId="2" applyFont="1"/>
    <xf numFmtId="0" fontId="2" fillId="0" borderId="0" xfId="0" applyFont="1"/>
    <xf numFmtId="0" fontId="4" fillId="0" borderId="0" xfId="3" applyFont="1"/>
    <xf numFmtId="0" fontId="5" fillId="0" borderId="0" xfId="3" applyFont="1"/>
    <xf numFmtId="0" fontId="6" fillId="0" borderId="0" xfId="2" applyFont="1"/>
    <xf numFmtId="43" fontId="2" fillId="0" borderId="0" xfId="2" applyNumberFormat="1" applyFont="1"/>
    <xf numFmtId="0" fontId="2" fillId="0" borderId="0" xfId="2" applyFont="1" applyAlignment="1">
      <alignment horizontal="center"/>
    </xf>
    <xf numFmtId="0" fontId="6" fillId="0" borderId="0" xfId="2" applyFont="1" applyAlignment="1">
      <alignment horizontal="center"/>
    </xf>
    <xf numFmtId="43" fontId="2" fillId="0" borderId="1" xfId="2" applyNumberFormat="1" applyFont="1" applyBorder="1"/>
    <xf numFmtId="10" fontId="2" fillId="0" borderId="0" xfId="4" applyNumberFormat="1" applyFont="1" applyAlignment="1">
      <alignment horizontal="center"/>
    </xf>
    <xf numFmtId="0" fontId="2" fillId="0" borderId="0" xfId="2" applyFont="1" applyFill="1"/>
    <xf numFmtId="0" fontId="2" fillId="0" borderId="0" xfId="0" applyFont="1" applyFill="1"/>
    <xf numFmtId="10" fontId="2" fillId="0" borderId="0" xfId="4" applyNumberFormat="1" applyFont="1" applyFill="1"/>
    <xf numFmtId="0" fontId="6" fillId="0" borderId="0" xfId="2" applyFont="1" applyFill="1"/>
    <xf numFmtId="44" fontId="2" fillId="0" borderId="0" xfId="5" applyFont="1" applyFill="1"/>
    <xf numFmtId="43" fontId="2" fillId="0" borderId="0" xfId="1" applyFont="1" applyFill="1"/>
    <xf numFmtId="43" fontId="2" fillId="0" borderId="2" xfId="1" applyFont="1" applyFill="1" applyBorder="1"/>
    <xf numFmtId="44" fontId="2" fillId="0" borderId="0" xfId="2" applyNumberFormat="1" applyFont="1" applyFill="1"/>
    <xf numFmtId="0" fontId="6" fillId="0" borderId="0" xfId="0" applyFont="1" applyFill="1" applyAlignment="1">
      <alignment horizontal="center"/>
    </xf>
    <xf numFmtId="43" fontId="2" fillId="0" borderId="0" xfId="0" applyNumberFormat="1" applyFont="1" applyFill="1"/>
    <xf numFmtId="0" fontId="2" fillId="0" borderId="1" xfId="0" applyFont="1" applyFill="1" applyBorder="1"/>
    <xf numFmtId="0" fontId="2" fillId="0" borderId="1" xfId="2" applyFont="1" applyFill="1" applyBorder="1" applyAlignment="1">
      <alignment horizontal="center"/>
    </xf>
    <xf numFmtId="0" fontId="2" fillId="0" borderId="0" xfId="2" applyFont="1" applyFill="1" applyAlignment="1">
      <alignment horizontal="center"/>
    </xf>
    <xf numFmtId="0" fontId="2" fillId="0" borderId="0" xfId="2" applyFont="1" applyFill="1" applyAlignment="1">
      <alignment horizontal="center" wrapText="1"/>
    </xf>
    <xf numFmtId="0" fontId="6" fillId="0" borderId="0" xfId="2" applyFont="1" applyFill="1" applyAlignment="1">
      <alignment horizontal="center"/>
    </xf>
    <xf numFmtId="43" fontId="2" fillId="0" borderId="1" xfId="1" applyFont="1" applyFill="1" applyBorder="1"/>
    <xf numFmtId="0" fontId="2" fillId="0" borderId="0" xfId="2" applyFont="1" applyFill="1" applyAlignment="1">
      <alignment horizontal="right"/>
    </xf>
    <xf numFmtId="43" fontId="2" fillId="0" borderId="0" xfId="2" applyNumberFormat="1" applyFont="1" applyFill="1"/>
  </cellXfs>
  <cellStyles count="6">
    <cellStyle name="Comma" xfId="1" builtinId="3"/>
    <cellStyle name="Currency 2" xfId="5" xr:uid="{8A09990E-0B2D-436B-8BF4-B4E0C55E96B0}"/>
    <cellStyle name="Normal" xfId="0" builtinId="0"/>
    <cellStyle name="Normal 2" xfId="3" xr:uid="{DE980309-3F41-4700-9589-AF043A2F1082}"/>
    <cellStyle name="Normal 3" xfId="2" xr:uid="{1C4C3340-5B0B-4503-BDC6-489959C95B48}"/>
    <cellStyle name="Percent 2" xfId="4" xr:uid="{9A8C8A7C-1296-46EC-88A6-E25607CCCD0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E7F5034C-46BB-4DC8-88FB-061030EC1E24}" mc:Ignorable="x14ac xr xr2 xr3">
  <x:sheetPr>
    <x:pageSetUpPr fitToPage="1"/>
  </x:sheetPr>
  <x:dimension ref="A1:H63"/>
  <x:sheetViews>
    <x:sheetView tabSelected="1" zoomScaleNormal="100" workbookViewId="0"/>
  </x:sheetViews>
  <x:sheetFormatPr defaultColWidth="8.7109375" defaultRowHeight="12.75" x14ac:dyDescent="0.2"/>
  <x:cols>
    <x:col min="1" max="1" width="18" style="1" bestFit="1" customWidth="1"/>
    <x:col min="2" max="2" width="21.85546875" style="1" bestFit="1" customWidth="1"/>
    <x:col min="3" max="3" width="27.28515625" style="1" bestFit="1" customWidth="1"/>
    <x:col min="4" max="4" width="17" style="1" bestFit="1" customWidth="1"/>
    <x:col min="5" max="5" width="22.7109375" style="1" bestFit="1" customWidth="1"/>
    <x:col min="6" max="6" width="15.5703125" style="2" bestFit="1" customWidth="1"/>
    <x:col min="7" max="16384" width="8.7109375" style="2"/>
  </x:cols>
  <x:sheetData>
    <x:row r="1" spans="1:8" x14ac:dyDescent="0.2">
      <x:c r="A1" s="1" t="s">
        <x:v>0</x:v>
      </x:c>
    </x:row>
    <x:row r="2" spans="1:8" x14ac:dyDescent="0.2">
      <x:c r="A2" s="3" t="s">
        <x:v>1</x:v>
      </x:c>
    </x:row>
    <x:row r="3" spans="1:8" x14ac:dyDescent="0.2">
      <x:c r="A3" s="3" t="s">
        <x:v>2</x:v>
      </x:c>
    </x:row>
    <x:row r="4" spans="1:8" x14ac:dyDescent="0.2">
      <x:c r="A4" s="4" t="s">
        <x:v>3</x:v>
      </x:c>
    </x:row>
    <x:row r="6" spans="1:8" x14ac:dyDescent="0.2">
      <x:c r="C6" s="5" t="s">
        <x:v>4</x:v>
      </x:c>
    </x:row>
    <x:row r="7" spans="1:8" x14ac:dyDescent="0.2">
      <x:c r="A7" s="5" t="s">
        <x:v>5</x:v>
      </x:c>
      <x:c r="B7" s="6"/>
      <x:c r="C7" s="6"/>
      <x:c r="D7" s="6"/>
      <x:c r="E7" s="6"/>
    </x:row>
    <x:row r="8" spans="1:8" x14ac:dyDescent="0.2">
      <x:c r="B8" s="7" t="s">
        <x:v>6</x:v>
      </x:c>
      <x:c r="C8" s="7" t="s">
        <x:v>7</x:v>
      </x:c>
      <x:c r="D8" s="7" t="s">
        <x:v>8</x:v>
      </x:c>
      <x:c r="E8" s="8" t="s">
        <x:v>9</x:v>
      </x:c>
    </x:row>
    <x:row r="9" spans="1:8" x14ac:dyDescent="0.2">
      <x:c r="B9" s="8">
        <x:v>521900</x:v>
      </x:c>
      <x:c r="C9" s="8">
        <x:v>571900</x:v>
      </x:c>
      <x:c r="D9" s="8">
        <x:v>556100</x:v>
      </x:c>
      <x:c r="E9" s="7"/>
    </x:row>
    <x:row r="10" spans="1:8" x14ac:dyDescent="0.2">
      <x:c r="A10" s="1" t="s">
        <x:v>10</x:v>
      </x:c>
      <x:c r="B10" s="6">
        <x:v>285069304292.86108</x:v>
      </x:c>
      <x:c r="C10" s="6">
        <x:v>566279146046.19385</x:v>
      </x:c>
      <x:c r="D10" s="6">
        <x:v>0</x:v>
      </x:c>
      <x:c r="E10" s="6">
        <x:v>851348450339.05493</x:v>
      </x:c>
    </x:row>
    <x:row r="11" spans="1:8" x14ac:dyDescent="0.2">
      <x:c r="A11" s="1" t="s">
        <x:v>11</x:v>
      </x:c>
      <x:c r="B11" s="6">
        <x:v>92251506756.7099</x:v>
      </x:c>
      <x:c r="C11" s="6">
        <x:v>17832986823.98</x:v>
      </x:c>
      <x:c r="D11" s="6">
        <x:v>0</x:v>
      </x:c>
      <x:c r="E11" s="6">
        <x:v>110084493580.68991</x:v>
      </x:c>
    </x:row>
    <x:row r="12" spans="1:8" x14ac:dyDescent="0.2">
      <x:c r="A12" s="1" t="s">
        <x:v>12</x:v>
      </x:c>
      <x:c r="B12" s="9">
        <x:v>49150184797.280045</x:v>
      </x:c>
      <x:c r="C12" s="9">
        <x:v>4309800571.3800001</x:v>
      </x:c>
      <x:c r="D12" s="9">
        <x:v>272033612.19999999</x:v>
      </x:c>
      <x:c r="E12" s="9">
        <x:v>53732018980.860046</x:v>
      </x:c>
    </x:row>
    <x:row r="13" spans="1:8" x14ac:dyDescent="0.2">
      <x:c r="B13" s="6">
        <x:v>426470995846.85101</x:v>
      </x:c>
      <x:c r="C13" s="6">
        <x:v>588421933441.55383</x:v>
      </x:c>
      <x:c r="D13" s="6">
        <x:v>272033612.19999999</x:v>
      </x:c>
      <x:c r="E13" s="6">
        <x:v>1015164962900.605</x:v>
      </x:c>
    </x:row>
    <x:row r="14" spans="1:8" x14ac:dyDescent="0.2">
      <x:c r="B14" s="10">
        <x:v>0.42010019202032572</x:v>
      </x:c>
      <x:c r="C14" s="10">
        <x:v>0.57963183812044772</x:v>
      </x:c>
      <x:c r="D14" s="10">
        <x:v>2.6796985922635202E-4</x:v>
      </x:c>
      <x:c r="E14" s="10">
        <x:v>1</x:v>
      </x:c>
    </x:row>
    <x:row r="15" spans="1:8" x14ac:dyDescent="0.2">
      <x:c r="A15" s="11"/>
      <x:c r="B15" s="11"/>
      <x:c r="C15" s="11"/>
      <x:c r="D15" s="11"/>
      <x:c r="E15" s="11"/>
      <x:c r="F15" s="12"/>
      <x:c r="G15" s="12"/>
      <x:c r="H15" s="12"/>
    </x:row>
    <x:row r="16" spans="1:8" x14ac:dyDescent="0.2">
      <x:c r="A16" s="11" t="s">
        <x:v>10</x:v>
      </x:c>
      <x:c r="B16" s="13">
        <x:v>0.66843772980808203</x:v>
      </x:c>
      <x:c r="C16" s="13">
        <x:v>0.96236920118553104</x:v>
      </x:c>
      <x:c r="D16" s="13">
        <x:v>0</x:v>
      </x:c>
      <x:c r="E16" s="13">
        <x:v>0.83863064767968221</x:v>
      </x:c>
      <x:c r="F16" s="12"/>
      <x:c r="G16" s="12"/>
      <x:c r="H16" s="12"/>
    </x:row>
    <x:row r="17" spans="1:8" x14ac:dyDescent="0.2">
      <x:c r="A17" s="11" t="s">
        <x:v>11</x:v>
      </x:c>
      <x:c r="B17" s="13">
        <x:v>0.21631367116425926</x:v>
      </x:c>
      <x:c r="C17" s="13">
        <x:v>3.0306461758960412E-2</x:v>
      </x:c>
      <x:c r="D17" s="13">
        <x:v>0</x:v>
      </x:c>
      <x:c r="E17" s="13">
        <x:v>0.1084400049290002</x:v>
      </x:c>
      <x:c r="F17" s="12"/>
      <x:c r="G17" s="12"/>
      <x:c r="H17" s="12"/>
    </x:row>
    <x:row r="18" spans="1:8" x14ac:dyDescent="0.2">
      <x:c r="A18" s="11" t="s">
        <x:v>12</x:v>
      </x:c>
      <x:c r="B18" s="13">
        <x:v>0.11524859902765873</x:v>
      </x:c>
      <x:c r="C18" s="13">
        <x:v>7.3243370555086205E-3</x:v>
      </x:c>
      <x:c r="D18" s="13">
        <x:v>1</x:v>
      </x:c>
      <x:c r="E18" s="13">
        <x:v>5.2929347391317487E-2</x:v>
      </x:c>
      <x:c r="F18" s="12"/>
      <x:c r="G18" s="12"/>
      <x:c r="H18" s="12"/>
    </x:row>
    <x:row r="19" spans="1:8" x14ac:dyDescent="0.2">
      <x:c r="A19" s="11"/>
      <x:c r="B19" s="11"/>
      <x:c r="C19" s="11"/>
      <x:c r="D19" s="11"/>
      <x:c r="E19" s="11"/>
      <x:c r="F19" s="12"/>
      <x:c r="G19" s="12"/>
      <x:c r="H19" s="12"/>
    </x:row>
    <x:row r="20" spans="1:8" x14ac:dyDescent="0.2">
      <x:c r="A20" s="14" t="s">
        <x:v>13</x:v>
      </x:c>
      <x:c r="B20" s="11"/>
      <x:c r="C20" s="11"/>
      <x:c r="D20" s="11"/>
      <x:c r="E20" s="11"/>
      <x:c r="F20" s="12"/>
      <x:c r="G20" s="12"/>
      <x:c r="H20" s="12"/>
    </x:row>
    <x:row r="21" spans="1:8" x14ac:dyDescent="0.2">
      <x:c r="A21" s="15">
        <x:v>-67070463.759999998</x:v>
      </x:c>
      <x:c r="B21" s="11"/>
      <x:c r="C21" s="11"/>
      <x:c r="D21" s="11"/>
      <x:c r="E21" s="11"/>
      <x:c r="F21" s="12"/>
      <x:c r="G21" s="12"/>
      <x:c r="H21" s="12"/>
    </x:row>
    <x:row r="22" spans="1:8" x14ac:dyDescent="0.2">
      <x:c r="A22" s="11" t="s">
        <x:v>10</x:v>
      </x:c>
      <x:c r="B22" s="16">
        <x:v>-18834111.835412867</x:v>
      </x:c>
      <x:c r="C22" s="16">
        <x:v>-37413234.627812579</x:v>
      </x:c>
      <x:c r="D22" s="16">
        <x:v>0</x:v>
      </x:c>
      <x:c r="E22" s="16">
        <x:v>-56247346.463225454</x:v>
      </x:c>
      <x:c r="F22" s="12"/>
      <x:c r="G22" s="12"/>
      <x:c r="H22" s="12"/>
    </x:row>
    <x:row r="23" spans="1:8" x14ac:dyDescent="0.2">
      <x:c r="A23" s="11" t="s">
        <x:v>11</x:v>
      </x:c>
      <x:c r="B23" s="16">
        <x:v>-6094922.0736030377</x:v>
      </x:c>
      <x:c r="C23" s="16">
        <x:v>-1178199.3471216904</x:v>
      </x:c>
      <x:c r="D23" s="16">
        <x:v>0</x:v>
      </x:c>
      <x:c r="E23" s="16">
        <x:v>-7273121.4207247291</x:v>
      </x:c>
      <x:c r="F23" s="12"/>
      <x:c r="G23" s="12"/>
      <x:c r="H23" s="12"/>
    </x:row>
    <x:row r="24" spans="1:8" x14ac:dyDescent="0.2">
      <x:c r="A24" s="11" t="s">
        <x:v>12</x:v>
      </x:c>
      <x:c r="B24" s="16">
        <x:v>-3247280.7954523913</x:v>
      </x:c>
      <x:c r="C24" s="16">
        <x:v>-284742.21786540467</x:v>
      </x:c>
      <x:c r="D24" s="16">
        <x:v>-17972.862732013346</x:v>
      </x:c>
      <x:c r="E24" s="16">
        <x:v>-3549995.8760498101</x:v>
      </x:c>
      <x:c r="F24" s="12"/>
      <x:c r="G24" s="12"/>
      <x:c r="H24" s="12"/>
    </x:row>
    <x:row r="25" spans="1:8" ht="13.5" thickBot="1" x14ac:dyDescent="0.25">
      <x:c r="A25" s="11" t="s">
        <x:v>14</x:v>
      </x:c>
      <x:c r="B25" s="17">
        <x:v>-28176314.704468295</x:v>
      </x:c>
      <x:c r="C25" s="17">
        <x:v>-38876176.19279968</x:v>
      </x:c>
      <x:c r="D25" s="17">
        <x:v>-17972.862732013346</x:v>
      </x:c>
      <x:c r="E25" s="17">
        <x:v>-67070463.75999999</x:v>
      </x:c>
      <x:c r="F25" s="12"/>
      <x:c r="G25" s="12"/>
      <x:c r="H25" s="12"/>
    </x:row>
    <x:row r="26" spans="1:8" x14ac:dyDescent="0.2">
      <x:c r="A26" s="11"/>
      <x:c r="B26" s="16"/>
      <x:c r="C26" s="16"/>
      <x:c r="D26" s="16"/>
      <x:c r="E26" s="16"/>
      <x:c r="F26" s="12"/>
      <x:c r="G26" s="12"/>
      <x:c r="H26" s="12"/>
    </x:row>
    <x:row r="27" spans="1:8" x14ac:dyDescent="0.2">
      <x:c r="A27" s="18">
        <x:v>-598392.30000000447</x:v>
      </x:c>
      <x:c r="B27" s="16"/>
      <x:c r="C27" s="16"/>
      <x:c r="D27" s="16"/>
      <x:c r="E27" s="16"/>
      <x:c r="F27" s="12"/>
      <x:c r="G27" s="12"/>
      <x:c r="H27" s="12"/>
    </x:row>
    <x:row r="28" spans="1:8" x14ac:dyDescent="0.2">
      <x:c r="A28" s="11" t="s">
        <x:v>15</x:v>
      </x:c>
      <x:c r="B28" s="16"/>
      <x:c r="C28" s="16"/>
      <x:c r="D28" s="16">
        <x:v>0</x:v>
      </x:c>
      <x:c r="E28" s="16">
        <x:v>0</x:v>
      </x:c>
      <x:c r="F28" s="12"/>
      <x:c r="G28" s="12"/>
      <x:c r="H28" s="12"/>
    </x:row>
    <x:row r="29" spans="1:8" x14ac:dyDescent="0.2">
      <x:c r="A29" s="11" t="s">
        <x:v>16</x:v>
      </x:c>
      <x:c r="B29" s="16"/>
      <x:c r="C29" s="16"/>
      <x:c r="D29" s="16">
        <x:v>-598392.30000000447</x:v>
      </x:c>
      <x:c r="E29" s="16">
        <x:v>-598392.30000000447</x:v>
      </x:c>
      <x:c r="F29" s="12"/>
      <x:c r="G29" s="12"/>
      <x:c r="H29" s="12"/>
    </x:row>
    <x:row r="30" spans="1:8" ht="13.5" thickBot="1" x14ac:dyDescent="0.25">
      <x:c r="A30" s="11" t="s">
        <x:v>17</x:v>
      </x:c>
      <x:c r="B30" s="17">
        <x:v>0</x:v>
      </x:c>
      <x:c r="C30" s="17">
        <x:v>0</x:v>
      </x:c>
      <x:c r="D30" s="17">
        <x:v>-598392.30000000447</x:v>
      </x:c>
      <x:c r="E30" s="17">
        <x:v>-598392.30000000447</x:v>
      </x:c>
      <x:c r="F30" s="12"/>
      <x:c r="G30" s="12"/>
      <x:c r="H30" s="12"/>
    </x:row>
    <x:row r="31" spans="1:8" x14ac:dyDescent="0.2">
      <x:c r="A31" s="11"/>
      <x:c r="B31" s="16"/>
      <x:c r="C31" s="16"/>
      <x:c r="D31" s="16"/>
      <x:c r="E31" s="16"/>
      <x:c r="F31" s="12"/>
      <x:c r="G31" s="12"/>
      <x:c r="H31" s="12"/>
    </x:row>
    <x:row r="32" spans="1:8" x14ac:dyDescent="0.2">
      <x:c r="A32" s="15">
        <x:v>4362941.83</x:v>
      </x:c>
      <x:c r="B32" s="16"/>
      <x:c r="C32" s="16"/>
      <x:c r="D32" s="16"/>
      <x:c r="E32" s="16"/>
      <x:c r="F32" s="12"/>
      <x:c r="G32" s="12"/>
      <x:c r="H32" s="12"/>
    </x:row>
    <x:row r="33" spans="1:8" x14ac:dyDescent="0.2">
      <x:c r="A33" s="11" t="s">
        <x:v>10</x:v>
      </x:c>
      <x:c r="B33" s="16">
        <x:v>1225161.2669872029</x:v>
      </x:c>
      <x:c r="C33" s="16">
        <x:v>2433735.465694475</x:v>
      </x:c>
      <x:c r="D33" s="16">
        <x:v>0</x:v>
      </x:c>
      <x:c r="E33" s="16">
        <x:v>3658896.7326816781</x:v>
      </x:c>
      <x:c r="F33" s="12"/>
      <x:c r="G33" s="12"/>
      <x:c r="H33" s="12"/>
    </x:row>
    <x:row r="34" spans="1:8" x14ac:dyDescent="0.2">
      <x:c r="A34" s="11" t="s">
        <x:v>11</x:v>
      </x:c>
      <x:c r="B34" s="16">
        <x:v>396475.42263412901</x:v>
      </x:c>
      <x:c r="C34" s="16">
        <x:v>76642.010916012106</x:v>
      </x:c>
      <x:c r="D34" s="16">
        <x:v>0</x:v>
      </x:c>
      <x:c r="E34" s="16">
        <x:v>473117.43355014117</x:v>
      </x:c>
      <x:c r="F34" s="12"/>
      <x:c r="G34" s="12"/>
      <x:c r="H34" s="12"/>
    </x:row>
    <x:row r="35" spans="1:8" x14ac:dyDescent="0.2">
      <x:c r="A35" s="11" t="s">
        <x:v>12</x:v>
      </x:c>
      <x:c r="B35" s="16">
        <x:v>211236.01093517937</x:v>
      </x:c>
      <x:c r="C35" s="16">
        <x:v>18522.515925003165</x:v>
      </x:c>
      <x:c r="D35" s="16">
        <x:v>1169.1369079978626</x:v>
      </x:c>
      <x:c r="E35" s="16">
        <x:v>230927.66376818044</x:v>
      </x:c>
      <x:c r="F35" s="12"/>
      <x:c r="G35" s="12"/>
      <x:c r="H35" s="12"/>
    </x:row>
    <x:row r="36" spans="1:8" ht="13.5" thickBot="1" x14ac:dyDescent="0.25">
      <x:c r="A36" s="11" t="s">
        <x:v>18</x:v>
      </x:c>
      <x:c r="B36" s="17">
        <x:v>1832872.7005565113</x:v>
      </x:c>
      <x:c r="C36" s="17">
        <x:v>2528899.9925354905</x:v>
      </x:c>
      <x:c r="D36" s="17">
        <x:v>1169.1369079978626</x:v>
      </x:c>
      <x:c r="E36" s="17">
        <x:v>4362941.83</x:v>
      </x:c>
      <x:c r="F36" s="12"/>
      <x:c r="G36" s="12"/>
      <x:c r="H36" s="12"/>
    </x:row>
    <x:row r="37" spans="1:8" x14ac:dyDescent="0.2">
      <x:c r="A37" s="11"/>
      <x:c r="B37" s="16"/>
      <x:c r="C37" s="16"/>
      <x:c r="D37" s="16"/>
      <x:c r="E37" s="16"/>
      <x:c r="F37" s="12"/>
      <x:c r="G37" s="12"/>
      <x:c r="H37" s="12"/>
    </x:row>
    <x:row r="38" spans="1:8" x14ac:dyDescent="0.2">
      <x:c r="A38" s="18">
        <x:f>A32+A27+A21</x:f>
        <x:v>-63305914.230000004</x:v>
      </x:c>
      <x:c r="B38" s="16"/>
      <x:c r="C38" s="16"/>
      <x:c r="D38" s="16"/>
      <x:c r="E38" s="16"/>
      <x:c r="F38" s="19" t="s">
        <x:v>19</x:v>
      </x:c>
      <x:c r="G38" s="12"/>
      <x:c r="H38" s="12"/>
    </x:row>
    <x:row r="39" spans="1:8" x14ac:dyDescent="0.2">
      <x:c r="A39" s="11" t="s">
        <x:v>10</x:v>
      </x:c>
      <x:c r="B39" s="16">
        <x:v>-17608950.568425663</x:v>
      </x:c>
      <x:c r="C39" s="16">
        <x:v>-34979499.162118107</x:v>
      </x:c>
      <x:c r="D39" s="16">
        <x:v>0</x:v>
      </x:c>
      <x:c r="E39" s="16">
        <x:v>-52588449.730543777</x:v>
      </x:c>
      <x:c r="F39" s="12"/>
      <x:c r="G39" s="12"/>
      <x:c r="H39" s="12"/>
    </x:row>
    <x:row r="40" spans="1:8" x14ac:dyDescent="0.2">
      <x:c r="A40" s="11" t="s">
        <x:v>11</x:v>
      </x:c>
      <x:c r="B40" s="16">
        <x:v>-5698446.6509689083</x:v>
      </x:c>
      <x:c r="C40" s="16">
        <x:v>-1101557.3362056783</x:v>
      </x:c>
      <x:c r="D40" s="16">
        <x:v>0</x:v>
      </x:c>
      <x:c r="E40" s="16">
        <x:v>-6800003.9871745883</x:v>
      </x:c>
      <x:c r="F40" s="20">
        <x:f>E40</x:f>
        <x:v>-6800003.9871745883</x:v>
      </x:c>
      <x:c r="G40" s="12"/>
      <x:c r="H40" s="12"/>
    </x:row>
    <x:row r="41" spans="1:8" x14ac:dyDescent="0.2">
      <x:c r="A41" s="11" t="s">
        <x:v>12</x:v>
      </x:c>
      <x:c r="B41" s="16">
        <x:v>-3036044.7845172118</x:v>
      </x:c>
      <x:c r="C41" s="16">
        <x:v>-266219.70194040152</x:v>
      </x:c>
      <x:c r="D41" s="16">
        <x:v>-16803.725824015484</x:v>
      </x:c>
      <x:c r="E41" s="16">
        <x:v>-3319068.2122816294</x:v>
      </x:c>
      <x:c r="F41" s="20">
        <x:f>E41</x:f>
        <x:v>-3319068.2122816294</x:v>
      </x:c>
      <x:c r="G41" s="12"/>
      <x:c r="H41" s="12"/>
    </x:row>
    <x:row r="42" spans="1:8" x14ac:dyDescent="0.2">
      <x:c r="A42" s="11" t="s">
        <x:v>17</x:v>
      </x:c>
      <x:c r="B42" s="16">
        <x:v>0</x:v>
      </x:c>
      <x:c r="C42" s="16">
        <x:v>0</x:v>
      </x:c>
      <x:c r="D42" s="16">
        <x:v>-598392.30000000447</x:v>
      </x:c>
      <x:c r="E42" s="16">
        <x:v>-598392.30000000447</x:v>
      </x:c>
      <x:c r="F42" s="21"/>
      <x:c r="G42" s="12"/>
      <x:c r="H42" s="12"/>
    </x:row>
    <x:row r="43" spans="1:8" ht="13.5" thickBot="1" x14ac:dyDescent="0.25">
      <x:c r="A43" s="11" t="s">
        <x:v>20</x:v>
      </x:c>
      <x:c r="B43" s="17">
        <x:v>-26343442.003911786</x:v>
      </x:c>
      <x:c r="C43" s="17">
        <x:v>-36347276.200264186</x:v>
      </x:c>
      <x:c r="D43" s="17">
        <x:v>-615196.02582401992</x:v>
      </x:c>
      <x:c r="E43" s="17">
        <x:v>-63305914.229999997</x:v>
      </x:c>
      <x:c r="F43" s="20">
        <x:f>SUM(F40:F41)</x:f>
        <x:v>-10119072.199456219</x:v>
      </x:c>
      <x:c r="G43" s="12"/>
      <x:c r="H43" s="12"/>
    </x:row>
    <x:row r="44" spans="1:8" x14ac:dyDescent="0.2">
      <x:c r="A44" s="11"/>
      <x:c r="B44" s="11"/>
      <x:c r="C44" s="11"/>
      <x:c r="D44" s="11"/>
      <x:c r="E44" s="11"/>
      <x:c r="F44" s="12"/>
      <x:c r="G44" s="12"/>
      <x:c r="H44" s="12"/>
    </x:row>
    <x:row r="45" spans="1:8" x14ac:dyDescent="0.2">
      <x:c r="A45" s="11"/>
      <x:c r="B45" s="11"/>
      <x:c r="C45" s="11"/>
      <x:c r="D45" s="11"/>
      <x:c r="E45" s="11"/>
      <x:c r="F45" s="12"/>
      <x:c r="G45" s="12"/>
      <x:c r="H45" s="12"/>
    </x:row>
    <x:row r="46" spans="1:8" x14ac:dyDescent="0.2">
      <x:c r="A46" s="11" t="s">
        <x:v>21</x:v>
      </x:c>
      <x:c r="B46" s="22" t="s">
        <x:v>6</x:v>
      </x:c>
      <x:c r="C46" s="22" t="s">
        <x:v>7</x:v>
      </x:c>
      <x:c r="D46" s="22" t="s">
        <x:v>8</x:v>
      </x:c>
      <x:c r="E46" s="22"/>
      <x:c r="F46" s="12"/>
      <x:c r="G46" s="12"/>
      <x:c r="H46" s="12"/>
    </x:row>
    <x:row r="47" spans="1:8" x14ac:dyDescent="0.2">
      <x:c r="A47" s="11" t="s">
        <x:v>22</x:v>
      </x:c>
      <x:c r="B47" s="23">
        <x:v>521900</x:v>
      </x:c>
      <x:c r="C47" s="23">
        <x:v>571900</x:v>
      </x:c>
      <x:c r="D47" s="23">
        <x:v>556100</x:v>
      </x:c>
      <x:c r="E47" s="23"/>
      <x:c r="F47" s="12"/>
      <x:c r="G47" s="12"/>
      <x:c r="H47" s="12"/>
    </x:row>
    <x:row r="48" spans="1:8" x14ac:dyDescent="0.2">
      <x:c r="A48" s="11" t="s">
        <x:v>10</x:v>
      </x:c>
      <x:c r="B48" s="24" t="s">
        <x:v>23</x:v>
      </x:c>
      <x:c r="C48" s="24" t="s">
        <x:v>24</x:v>
      </x:c>
      <x:c r="D48" s="24" t="s">
        <x:v>25</x:v>
      </x:c>
      <x:c r="E48" s="24"/>
      <x:c r="F48" s="12"/>
      <x:c r="G48" s="12"/>
      <x:c r="H48" s="12"/>
    </x:row>
    <x:row r="49" spans="1:8" ht="25.5" x14ac:dyDescent="0.2">
      <x:c r="A49" s="11" t="s">
        <x:v>11</x:v>
      </x:c>
      <x:c r="B49" s="24" t="s">
        <x:v>26</x:v>
      </x:c>
      <x:c r="C49" s="24" t="s">
        <x:v>27</x:v>
      </x:c>
      <x:c r="D49" s="24" t="s">
        <x:v>25</x:v>
      </x:c>
      <x:c r="E49" s="24"/>
      <x:c r="F49" s="12"/>
      <x:c r="G49" s="12"/>
      <x:c r="H49" s="12"/>
    </x:row>
    <x:row r="50" spans="1:8" ht="25.5" x14ac:dyDescent="0.2">
      <x:c r="A50" s="11" t="s">
        <x:v>12</x:v>
      </x:c>
      <x:c r="B50" s="24" t="s">
        <x:v>28</x:v>
      </x:c>
      <x:c r="C50" s="24" t="s">
        <x:v>29</x:v>
      </x:c>
      <x:c r="D50" s="24" t="s">
        <x:v>30</x:v>
      </x:c>
      <x:c r="E50" s="24"/>
      <x:c r="F50" s="12"/>
      <x:c r="G50" s="12"/>
      <x:c r="H50" s="12"/>
    </x:row>
    <x:row r="51" spans="1:8" x14ac:dyDescent="0.2">
      <x:c r="A51" s="11" t="s">
        <x:v>15</x:v>
      </x:c>
      <x:c r="B51" s="11"/>
      <x:c r="C51" s="11"/>
      <x:c r="D51" s="11">
        <x:v>4263000</x:v>
      </x:c>
      <x:c r="E51" s="11"/>
      <x:c r="F51" s="12"/>
      <x:c r="G51" s="12"/>
      <x:c r="H51" s="12"/>
    </x:row>
    <x:row r="52" spans="1:8" x14ac:dyDescent="0.2">
      <x:c r="A52" s="11" t="s">
        <x:v>16</x:v>
      </x:c>
      <x:c r="B52" s="11"/>
      <x:c r="C52" s="11"/>
      <x:c r="D52" s="11">
        <x:v>4190100</x:v>
      </x:c>
      <x:c r="E52" s="11"/>
      <x:c r="F52" s="12"/>
      <x:c r="G52" s="12"/>
      <x:c r="H52" s="12"/>
    </x:row>
    <x:row r="53" spans="1:8" x14ac:dyDescent="0.2">
      <x:c r="A53" s="11"/>
      <x:c r="B53" s="11"/>
      <x:c r="C53" s="11"/>
      <x:c r="D53" s="11"/>
      <x:c r="E53" s="11"/>
      <x:c r="F53" s="12"/>
      <x:c r="G53" s="12"/>
      <x:c r="H53" s="12"/>
    </x:row>
    <x:row r="54" spans="1:8" x14ac:dyDescent="0.2">
      <x:c r="A54" s="25" t="s">
        <x:v>31</x:v>
      </x:c>
      <x:c r="B54" s="25" t="s">
        <x:v>32</x:v>
      </x:c>
      <x:c r="C54" s="25" t="s">
        <x:v>33</x:v>
      </x:c>
      <x:c r="D54" s="25" t="s">
        <x:v>34</x:v>
      </x:c>
      <x:c r="E54" s="25" t="s">
        <x:v>35</x:v>
      </x:c>
      <x:c r="F54" s="25" t="s">
        <x:v>36</x:v>
      </x:c>
      <x:c r="G54" s="12"/>
      <x:c r="H54" s="12"/>
    </x:row>
    <x:row r="55" spans="1:8" x14ac:dyDescent="0.2">
      <x:c r="A55" s="23" t="s">
        <x:v>37</x:v>
      </x:c>
      <x:c r="B55" s="23">
        <x:f>B9</x:f>
        <x:v>521900</x:v>
      </x:c>
      <x:c r="C55" s="23">
        <x:v>5880000</x:v>
      </x:c>
      <x:c r="D55" s="23">
        <x:v>900</x:v>
      </x:c>
      <x:c r="E55" s="16">
        <x:f>B40</x:f>
        <x:v>-5698446.6509689083</x:v>
      </x:c>
      <x:c r="F55" s="16">
        <x:f>-E55</x:f>
        <x:v>5698446.6509689083</x:v>
      </x:c>
      <x:c r="G55" s="12"/>
      <x:c r="H55" s="12"/>
    </x:row>
    <x:row r="56" spans="1:8" x14ac:dyDescent="0.2">
      <x:c r="A56" s="23" t="s">
        <x:v>38</x:v>
      </x:c>
      <x:c r="B56" s="23">
        <x:f>B55</x:f>
        <x:v>521900</x:v>
      </x:c>
      <x:c r="C56" s="23">
        <x:v>9302000</x:v>
      </x:c>
      <x:c r="D56" s="23">
        <x:f>D55</x:f>
        <x:v>900</x:v>
      </x:c>
      <x:c r="E56" s="16">
        <x:f>B41</x:f>
        <x:v>-3036044.7845172118</x:v>
      </x:c>
      <x:c r="F56" s="16">
        <x:f t="shared" ref="F56:F59" si="0">-E56</x:f>
        <x:v>3036044.7845172118</x:v>
      </x:c>
      <x:c r="G56" s="12"/>
      <x:c r="H56" s="12"/>
    </x:row>
    <x:row r="57" spans="1:8" x14ac:dyDescent="0.2">
      <x:c r="A57" s="23" t="s">
        <x:v>39</x:v>
      </x:c>
      <x:c r="B57" s="23">
        <x:f>C9</x:f>
        <x:v>571900</x:v>
      </x:c>
      <x:c r="C57" s="23">
        <x:v>5660000</x:v>
      </x:c>
      <x:c r="D57" s="23">
        <x:f t="shared" ref="D57:D59" si="1">D56</x:f>
        <x:v>900</x:v>
      </x:c>
      <x:c r="E57" s="16">
        <x:f>C40</x:f>
        <x:v>-1101557.3362056783</x:v>
      </x:c>
      <x:c r="F57" s="16">
        <x:f t="shared" si="0"/>
        <x:v>1101557.3362056783</x:v>
      </x:c>
      <x:c r="G57" s="12"/>
      <x:c r="H57" s="12"/>
    </x:row>
    <x:row r="58" spans="1:8" x14ac:dyDescent="0.2">
      <x:c r="A58" s="23" t="s">
        <x:v>40</x:v>
      </x:c>
      <x:c r="B58" s="23">
        <x:f>B57</x:f>
        <x:v>571900</x:v>
      </x:c>
      <x:c r="C58" s="23">
        <x:f>C56</x:f>
        <x:v>9302000</x:v>
      </x:c>
      <x:c r="D58" s="23">
        <x:f t="shared" si="1"/>
        <x:v>900</x:v>
      </x:c>
      <x:c r="E58" s="16">
        <x:f>C41</x:f>
        <x:v>-266219.70194040152</x:v>
      </x:c>
      <x:c r="F58" s="16">
        <x:f t="shared" si="0"/>
        <x:v>266219.70194040152</x:v>
      </x:c>
      <x:c r="G58" s="12"/>
      <x:c r="H58" s="12"/>
    </x:row>
    <x:row r="59" spans="1:8" x14ac:dyDescent="0.2">
      <x:c r="A59" s="23" t="s">
        <x:v>41</x:v>
      </x:c>
      <x:c r="B59" s="23">
        <x:f>D9</x:f>
        <x:v>556100</x:v>
      </x:c>
      <x:c r="C59" s="23">
        <x:f>C57</x:f>
        <x:v>5660000</x:v>
      </x:c>
      <x:c r="D59" s="23">
        <x:f t="shared" si="1"/>
        <x:v>900</x:v>
      </x:c>
      <x:c r="E59" s="26">
        <x:f>D41</x:f>
        <x:v>-16803.725824015484</x:v>
      </x:c>
      <x:c r="F59" s="26">
        <x:f t="shared" si="0"/>
        <x:v>16803.725824015484</x:v>
      </x:c>
      <x:c r="G59" s="12"/>
      <x:c r="H59" s="12"/>
    </x:row>
    <x:row r="60" spans="1:8" x14ac:dyDescent="0.2">
      <x:c r="A60" s="11"/>
      <x:c r="B60" s="11"/>
      <x:c r="C60" s="11"/>
      <x:c r="D60" s="11"/>
      <x:c r="E60" s="16">
        <x:f>SUM(E55:E59)</x:f>
        <x:v>-10119072.199456215</x:v>
      </x:c>
      <x:c r="F60" s="16">
        <x:f>SUM(F55:F59)</x:f>
        <x:v>10119072.199456215</x:v>
      </x:c>
      <x:c r="G60" s="12"/>
      <x:c r="H60" s="12"/>
    </x:row>
    <x:row r="61" spans="1:8" x14ac:dyDescent="0.2">
      <x:c r="A61" s="11"/>
      <x:c r="B61" s="11"/>
      <x:c r="C61" s="11"/>
      <x:c r="D61" s="11"/>
      <x:c r="E61" s="11"/>
      <x:c r="F61" s="12"/>
      <x:c r="G61" s="12"/>
      <x:c r="H61" s="12"/>
    </x:row>
    <x:row r="62" spans="1:8" x14ac:dyDescent="0.2">
      <x:c r="A62" s="11"/>
      <x:c r="B62" s="11"/>
      <x:c r="C62" s="11"/>
      <x:c r="D62" s="27" t="s">
        <x:v>42</x:v>
      </x:c>
      <x:c r="E62" s="28">
        <x:f>SUM(E40:E41)</x:f>
        <x:v>-10119072.199456219</x:v>
      </x:c>
      <x:c r="F62" s="12"/>
      <x:c r="G62" s="12"/>
      <x:c r="H62" s="12"/>
    </x:row>
    <x:row r="63" spans="1:8" x14ac:dyDescent="0.2">
      <x:c r="A63" s="11" t="s">
        <x:v>43</x:v>
      </x:c>
      <x:c r="B63" s="11"/>
      <x:c r="C63" s="11"/>
      <x:c r="D63" s="11"/>
      <x:c r="E63" s="11"/>
      <x:c r="F63" s="12"/>
      <x:c r="G63" s="12"/>
      <x:c r="H63" s="12"/>
    </x:row>
  </x:sheetData>
  <x:pageMargins left="1" right="0.25" top="2" bottom="0.25" header="1" footer="0.3"/>
  <x:pageSetup scale="75" orientation="portrait" r:id="rId1"/>
  <x:headerFooter>
    <x:oddHeader>&amp;C&amp;"-,Bold"
ONCOR ELECTRIC DELIVERY COMPANY LLC
SALES TAX SETTLEMENT
FOR THE TEST YEAR ENDING DECEMBER 31, 2024
SPONSOR: R. PRACHYL &amp;&amp; B. CLUTTER&amp;R&amp;"-,Bold"WP/II-D ADJUSTMENT/31
Page 2 of 2</x:oddHeader>
  </x:headerFooter>
</x:worksheet>
</file>

<file path=docProps/app.xml><?xml version="1.0" encoding="utf-8"?>
<ap:Properties xmlns:vt="http://schemas.openxmlformats.org/officeDocument/2006/docPropsVTypes" xmlns:ap="http://schemas.openxmlformats.org/officeDocument/2006/extended-properties"/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lastPrinted>1900-01-01T06:00:00.0000000Z</lastPrinted>
  <dcterms:created xsi:type="dcterms:W3CDTF">1900-01-01T06:00:00.0000000Z</dcterms:created>
  <dcterms:modified xsi:type="dcterms:W3CDTF">2025-04-29T16:01:57.0000000Z</dcterms:modified>
</coreProperties>
</file>