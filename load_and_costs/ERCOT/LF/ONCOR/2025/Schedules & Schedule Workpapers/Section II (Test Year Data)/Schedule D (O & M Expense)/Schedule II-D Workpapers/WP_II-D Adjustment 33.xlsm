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4332"/>
  <x:workbookPr defaultThemeVersion="166925"/>
  <mc:AlternateContent xmlns:mc="http://schemas.openxmlformats.org/markup-compatibility/2006">
    <mc:Choice Requires="x15">
      <x15ac:absPath xmlns:x15ac="http://schemas.microsoft.com/office/spreadsheetml/2010/11/ac" url="N:\2025 Rate Case\Section II (Test Year Data)\Schedule D (O &amp; M Expense)\Schedule II-D Workpapers\"/>
    </mc:Choice>
  </mc:AlternateContent>
  <xr:revisionPtr revIDLastSave="0" documentId="13_ncr:1_{2B47933A-617C-414A-BAA9-72C1B4AA957E}" xr6:coauthVersionLast="47" xr6:coauthVersionMax="47" xr10:uidLastSave="{00000000-0000-0000-0000-000000000000}"/>
  <x:bookViews>
    <x:workbookView xWindow="-120" yWindow="-120" windowWidth="29040" windowHeight="15720" xr2:uid="{26157269-4D20-4068-9CFF-2879715CFDF4}"/>
  </x:bookViews>
  <x:sheets>
    <x:sheet name="Summary GC Services_EC OCC" sheetId="1" r:id="rId1"/>
  </x:sheets>
  <x:externalReferences>
    <x:externalReference r:id="rId2"/>
  </x:externalReferences>
  <x:definedNames>
    <x:definedName name="NvsASD">"V2020-12-31"</x:definedName>
    <x:definedName name="NvsAutoDrillOk">"VN"</x:definedName>
    <x:definedName name="NvsElapsedTime">0.00038194443914108</x:definedName>
    <x:definedName name="NvsEndTime">44224.5137731481</x:definedName>
    <x:definedName name="NvsInstLang">"VENG"</x:definedName>
    <x:definedName name="NvsInstSpec">"%,LMR_S_P_FN,SALLYEAR,FCURRENCY_CD,VUSD,FACCOUNT,TF_ACNT_D_PRIME1,N903.3,NCOST_OF_SALES,NDIRECT_COSTS,NMAINT_SGA,NOP_ADM_GEN,NOP_CUST_ACCTS,NOP_CUST_SERV,NOP_SALES,NPLAN_OMXFUEL,NSGA_PLAN,N408.19,N408.1,NPAYROLL_TAXES_408.1,NOTHER _TAXES_408.1,NPLAN_"</x:definedName>
    <x:definedName name="NvsInstSpec1">"TAXOTHR,NPAYROLL_TAXES_408.2,NPLAN_PAYROLL_TAXES,NOTHER_TAXES_408.2,N426.57,N426.45,FDEPTID,TF_DEPT_D_ESD,N521970R"</x:definedName>
    <x:definedName name="NvsInstSpec2">","</x:definedName>
    <x:definedName name="NvsInstSpec3">","</x:definedName>
    <x:definedName name="NvsInstSpec4">","</x:definedName>
    <x:definedName name="NvsInstSpec5">","</x:definedName>
    <x:definedName name="NvsInstSpec6">","</x:definedName>
    <x:definedName name="NvsInstSpec7">","</x:definedName>
    <x:definedName name="NvsInstSpec8">","</x:definedName>
    <x:definedName name="NvsInstSpec9">","</x:definedName>
    <x:definedName name="NvsLayoutType">"M3"</x:definedName>
    <x:definedName name="NvsNplSpec">"%,X,RZF..,CZF.."</x:definedName>
    <x:definedName name="NvsPanelBusUnit">"V"</x:definedName>
    <x:definedName name="NvsPanelEffdt">"V1997-01-01"</x:definedName>
    <x:definedName name="NvsPanelSetid">"VSHARE"</x:definedName>
    <x:definedName name="NvsParentRef">"'[521970R OM Exp by EC Group 2020-12-31.xls]Sheet1'!$AW$106"</x:definedName>
    <x:definedName name="NvsReqBU">"VESD"</x:definedName>
    <x:definedName name="NvsReqBUOnly">"VY"</x:definedName>
    <x:definedName name="NvsTranslateLedger">#REF!</x:definedName>
    <x:definedName name="NvsTransLed">"VY"</x:definedName>
    <x:definedName name="NvsTreeASD">"V2020-12-31"</x:definedName>
    <x:definedName name="NvsValTbl.ACCOUNT">"GL_ACCOUNT_TBL"</x:definedName>
    <x:definedName name="NvsValTbl.AFFILIATE">"BUS_UNIT_TBL_FS"</x:definedName>
    <x:definedName name="NvsValTbl.BUSINESS_UNIT">"BUS_UNIT_TBL_AP"</x:definedName>
    <x:definedName name="NvsValTbl.CURRENCY_CD">"CURRENCY_CD_TBL"</x:definedName>
    <x:definedName name="NvsValTbl.DEPTID">"DEPARTMENT_TBL"</x:definedName>
    <x:definedName name="NvsValTbl.PROJECT_ID">"PROJECT"</x:definedName>
    <x:definedName name="NvsValTbl.TU_ACTIVITY">"TU_ACTIVITY_TBL"</x:definedName>
    <x:definedName name="NvsValTbl.TU_EC">"TU_EC_TBL"</x:definedName>
    <x:definedName name="NvsValTbl.TU_LOCATION">"TU_LOC_TBL"</x:definedName>
    <x:definedName name="_xlnm.Print_Area" localSheetId="0">'Summary GC Services_EC OCC'!$A$1:$N$15</x:definedName>
    <x:definedName name="Task">[1]Sheet1!#REF!</x:definedName>
    <x:definedName name="Task2">[1]Sheet1!#REF!</x:definedName>
    <x:definedName name="TaskDescr">[1]Sheet1!#REF!</x:definedName>
    <x:definedName name="xx">[1]Sheet1!#REF!</x:definedName>
  </x:definedNames>
  <x:calcPr calcId="191029" iterate="1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x:ext>
  </x:extLst>
</x:workbook>
</file>

<file path=xl/calcChain.xml><?xml version="1.0" encoding="utf-8"?>
<x:calcChain xmlns:x="http://schemas.openxmlformats.org/spreadsheetml/2006/main">
  <x:c r="N13" i="1" l="1"/>
  <x:c r="C8" i="1"/>
  <x:c r="C9" i="1" s="1"/>
  <x:c r="B8" i="1"/>
  <x:c r="B9" i="1" s="1"/>
  <x:c r="D8" i="1" l="1"/>
  <x:c r="D9" i="1" s="1"/>
</x:calcChain>
</file>

<file path=xl/sharedStrings.xml><?xml version="1.0" encoding="utf-8"?>
<sst xmlns="http://schemas.openxmlformats.org/spreadsheetml/2006/main" count="36" uniqueCount="28">
  <si>
    <t>Item Description</t>
  </si>
  <si>
    <t>2024 Test Year Amount</t>
  </si>
  <si>
    <t>Known &amp; Measurable Amount</t>
  </si>
  <si>
    <t>Adjusted
2024 Test Year Amount</t>
  </si>
  <si>
    <t>Contact Center - GC Services</t>
  </si>
  <si>
    <t>Deptid</t>
  </si>
  <si>
    <t>Account</t>
  </si>
  <si>
    <t>EC</t>
  </si>
  <si>
    <t>Actv</t>
  </si>
  <si>
    <t>Amendment 6 new rates</t>
  </si>
  <si>
    <t>OCC</t>
  </si>
  <si>
    <t>Total Contact Center</t>
  </si>
  <si>
    <t>Annualize Recurring Amendment 6 Rates (effective 4/1/24), EC OCC</t>
  </si>
  <si>
    <t>Actual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</si>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</sst>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8" x14ac:knownFonts="1">
    <font>
      <sz val="10"/>
      <name val="Arial Unicode MS"/>
      <family val="2"/>
    </font>
    <font>
      <sz val="11"/>
      <color theme="1"/>
      <name val="Calibri"/>
      <family val="2"/>
      <scheme val="minor"/>
    </font>
    <font>
      <sz val="10"/>
      <name val="Arial Unicode MS"/>
      <family val="2"/>
    </font>
    <font>
      <b/>
      <sz val="10"/>
      <name val="Arial Unicode MS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/>
    <xf numFmtId="0" fontId="6" fillId="0" borderId="0"/>
  </cellStyleXfs>
  <cellXfs count="23">
    <xf numFmtId="0" fontId="0" fillId="0" borderId="0" xfId="0"/>
    <xf numFmtId="0" fontId="3" fillId="0" borderId="0" xfId="0" applyFont="1"/>
    <xf numFmtId="0" fontId="4" fillId="0" borderId="0" xfId="0" applyFont="1"/>
    <xf numFmtId="44" fontId="0" fillId="0" borderId="0" xfId="1" applyFont="1"/>
    <xf numFmtId="0" fontId="5" fillId="0" borderId="0" xfId="0" applyFont="1"/>
    <xf numFmtId="8" fontId="0" fillId="0" borderId="0" xfId="1" applyNumberFormat="1" applyFont="1" applyBorder="1"/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0" fillId="0" borderId="1" xfId="0" applyBorder="1"/>
    <xf numFmtId="0" fontId="3" fillId="0" borderId="1" xfId="0" applyFont="1" applyBorder="1"/>
    <xf numFmtId="44" fontId="0" fillId="0" borderId="1" xfId="0" applyNumberFormat="1" applyBorder="1"/>
    <xf numFmtId="44" fontId="3" fillId="0" borderId="1" xfId="0" applyNumberFormat="1" applyFont="1" applyBorder="1"/>
    <xf numFmtId="0" fontId="3" fillId="0" borderId="0" xfId="2" applyFont="1"/>
    <xf numFmtId="0" fontId="0" fillId="0" borderId="0" xfId="2" applyFont="1"/>
    <xf numFmtId="0" fontId="0" fillId="0" borderId="1" xfId="2" applyFont="1" applyBorder="1" applyAlignment="1">
      <alignment horizontal="center" wrapText="1"/>
    </xf>
    <xf numFmtId="38" fontId="7" fillId="0" borderId="1" xfId="3" applyNumberFormat="1" applyFont="1" applyBorder="1" applyAlignment="1">
      <alignment horizontal="center" wrapText="1"/>
    </xf>
    <xf numFmtId="38" fontId="7" fillId="0" borderId="1" xfId="3" applyNumberFormat="1" applyFont="1" applyBorder="1"/>
    <xf numFmtId="38" fontId="7" fillId="0" borderId="1" xfId="3" applyNumberFormat="1" applyFont="1" applyBorder="1" applyAlignment="1">
      <alignment horizontal="center"/>
    </xf>
    <xf numFmtId="44" fontId="0" fillId="0" borderId="0" xfId="0" applyNumberFormat="1"/>
    <xf numFmtId="0" fontId="3" fillId="0" borderId="1" xfId="0" applyFont="1" applyFill="1" applyBorder="1" applyAlignment="1">
      <alignment horizontal="center" wrapText="1"/>
    </xf>
    <xf numFmtId="0" fontId="0" fillId="0" borderId="1" xfId="0" applyFill="1" applyBorder="1"/>
    <xf numFmtId="44" fontId="0" fillId="0" borderId="1" xfId="0" applyNumberFormat="1" applyFill="1" applyBorder="1"/>
  </cellXfs>
  <cellStyles count="4">
    <cellStyle name="Currency" xfId="1" builtinId="4"/>
    <cellStyle name="Normal" xfId="0" builtinId="0"/>
    <cellStyle name="Normal 2" xfId="2" xr:uid="{1AF61879-BEF5-438E-974C-FEE5E7359A29}"/>
    <cellStyle name="Normal 7" xfId="3" xr:uid="{8ECE1E88-0B88-4C14-8DDA-725C28845DB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twn\Downloads\CF_Project%20by%20Task%20Drill.xn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Updates"/>
    </sheet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3B7540BD-8CDD-441B-AF02-B010FCC6B429}" mc:Ignorable="x14ac xr xr2 xr3">
  <x:sheetPr>
    <x:pageSetUpPr fitToPage="1"/>
  </x:sheetPr>
  <x:dimension ref="A1:N18"/>
  <x:sheetViews>
    <x:sheetView tabSelected="1" workbookViewId="0">
      <x:selection activeCell="D21" sqref="D21"/>
    </x:sheetView>
  </x:sheetViews>
  <x:sheetFormatPr defaultColWidth="8.7109375" defaultRowHeight="15" x14ac:dyDescent="0.3"/>
  <x:cols>
    <x:col min="1" max="1" width="31.140625" customWidth="1"/>
    <x:col min="2" max="4" width="18.5703125" customWidth="1"/>
    <x:col min="5" max="5" width="8.7109375" customWidth="1"/>
  </x:cols>
  <x:sheetData>
    <x:row r="1" spans="1:14" ht="15.75" x14ac:dyDescent="0.3">
      <x:c r="A1" s="1"/>
      <x:c r="B1" s="2"/>
      <x:c r="E1" s="3"/>
    </x:row>
    <x:row r="2" spans="1:14" x14ac:dyDescent="0.3">
      <x:c r="A2" s="1"/>
      <x:c r="E2" s="3"/>
    </x:row>
    <x:row r="3" spans="1:14" ht="15.75" x14ac:dyDescent="0.3">
      <x:c r="B3" s="4"/>
      <x:c r="E3" s="5"/>
    </x:row>
    <x:row r="4" spans="1:14" ht="15.75" x14ac:dyDescent="0.3">
      <x:c r="A4" s="2"/>
      <x:c r="B4" s="6"/>
      <x:c r="E4" s="3"/>
    </x:row>
    <x:row r="5" spans="1:14" ht="64.5" customHeight="1" x14ac:dyDescent="0.3">
      <x:c r="A5" s="7" t="s">
        <x:v>0</x:v>
      </x:c>
      <x:c r="B5" s="8" t="s">
        <x:v>1</x:v>
      </x:c>
      <x:c r="C5" s="20" t="s">
        <x:v>2</x:v>
      </x:c>
      <x:c r="D5" s="8" t="s">
        <x:v>3</x:v>
      </x:c>
    </x:row>
    <x:row r="6" spans="1:14" x14ac:dyDescent="0.3">
      <x:c r="A6" s="9"/>
      <x:c r="B6" s="9"/>
      <x:c r="C6" s="21"/>
      <x:c r="D6" s="9"/>
    </x:row>
    <x:row r="7" spans="1:14" x14ac:dyDescent="0.3">
      <x:c r="A7" s="10" t="s">
        <x:v>4</x:v>
      </x:c>
      <x:c r="B7" s="9"/>
      <x:c r="C7" s="21"/>
      <x:c r="D7" s="9"/>
      <x:c r="F7" s="6" t="s">
        <x:v>5</x:v>
      </x:c>
      <x:c r="G7" s="6" t="s">
        <x:v>6</x:v>
      </x:c>
      <x:c r="H7" s="6" t="s">
        <x:v>7</x:v>
      </x:c>
      <x:c r="I7" s="6" t="s">
        <x:v>8</x:v>
      </x:c>
    </x:row>
    <x:row r="8" spans="1:14" x14ac:dyDescent="0.3">
      <x:c r="A8" s="9" t="s">
        <x:v>9</x:v>
      </x:c>
      <x:c r="B8" s="11">
        <x:f>9464475.07</x:f>
        <x:v>9464475.0700000003</x:v>
      </x:c>
      <x:c r="C8" s="22">
        <x:f>N13</x:f>
        <x:v>186632.3</x:v>
      </x:c>
      <x:c r="D8" s="11">
        <x:f t="shared" ref="D8" si="0">SUM(B8:C8)</x:f>
        <x:v>9651107.370000001</x:v>
      </x:c>
      <x:c r="F8" s="6">
        <x:v>521930</x:v>
      </x:c>
      <x:c r="G8" s="6">
        <x:v>9030000</x:v>
      </x:c>
      <x:c r="H8" s="6" t="s">
        <x:v>10</x:v>
      </x:c>
      <x:c r="I8" s="6">
        <x:v>5100</x:v>
      </x:c>
    </x:row>
    <x:row r="9" spans="1:14" x14ac:dyDescent="0.3">
      <x:c r="A9" s="10" t="s">
        <x:v>11</x:v>
      </x:c>
      <x:c r="B9" s="12">
        <x:f>SUM(B8:B8)</x:f>
        <x:v>9464475.0700000003</x:v>
      </x:c>
      <x:c r="C9" s="12">
        <x:f>SUM(C8:C8)</x:f>
        <x:v>186632.3</x:v>
      </x:c>
      <x:c r="D9" s="12">
        <x:f>SUM(D8:D8)</x:f>
        <x:v>9651107.370000001</x:v>
      </x:c>
    </x:row>
    <x:row r="11" spans="1:14" x14ac:dyDescent="0.3">
      <x:c r="A11" s="13" t="s">
        <x:v>12</x:v>
      </x:c>
      <x:c r="B11" s="14"/>
      <x:c r="C11" s="14"/>
      <x:c r="D11" s="14"/>
      <x:c r="E11" s="14"/>
      <x:c r="F11" s="14"/>
      <x:c r="G11" s="14"/>
      <x:c r="H11" s="14"/>
      <x:c r="I11" s="14"/>
      <x:c r="J11" s="14"/>
      <x:c r="K11" s="14"/>
      <x:c r="L11" s="14"/>
      <x:c r="M11" s="14"/>
      <x:c r="N11" s="14"/>
    </x:row>
    <x:row r="12" spans="1:14" x14ac:dyDescent="0.3">
      <x:c r="A12" s="15" t="s">
        <x:v>13</x:v>
      </x:c>
      <x:c r="B12" s="15" t="s">
        <x:v>14</x:v>
      </x:c>
      <x:c r="C12" s="15" t="s">
        <x:v>15</x:v>
      </x:c>
      <x:c r="D12" s="15" t="s">
        <x:v>16</x:v>
      </x:c>
      <x:c r="E12" s="15" t="s">
        <x:v>17</x:v>
      </x:c>
      <x:c r="F12" s="15" t="s">
        <x:v>18</x:v>
      </x:c>
      <x:c r="G12" s="15" t="s">
        <x:v>19</x:v>
      </x:c>
      <x:c r="H12" s="15" t="s">
        <x:v>20</x:v>
      </x:c>
      <x:c r="I12" s="15" t="s">
        <x:v>21</x:v>
      </x:c>
      <x:c r="J12" s="15" t="s">
        <x:v>22</x:v>
      </x:c>
      <x:c r="K12" s="15" t="s">
        <x:v>23</x:v>
      </x:c>
      <x:c r="L12" s="15" t="s">
        <x:v>24</x:v>
      </x:c>
      <x:c r="M12" s="15" t="s">
        <x:v>25</x:v>
      </x:c>
      <x:c r="N12" s="15" t="s">
        <x:v>26</x:v>
      </x:c>
    </x:row>
    <x:row r="13" spans="1:14" x14ac:dyDescent="0.3">
      <x:c r="A13" s="16">
        <x:v>9464475.0700000003</x:v>
      </x:c>
      <x:c r="B13" s="17">
        <x:v>62926.28</x:v>
      </x:c>
      <x:c r="C13" s="17">
        <x:v>64048.78</x:v>
      </x:c>
      <x:c r="D13" s="17">
        <x:v>59657.24</x:v>
      </x:c>
      <x:c r="E13" s="18" t="s">
        <x:v>27</x:v>
      </x:c>
      <x:c r="F13" s="18" t="s">
        <x:v>27</x:v>
      </x:c>
      <x:c r="G13" s="18" t="s">
        <x:v>27</x:v>
      </x:c>
      <x:c r="H13" s="18" t="s">
        <x:v>27</x:v>
      </x:c>
      <x:c r="I13" s="18" t="s">
        <x:v>27</x:v>
      </x:c>
      <x:c r="J13" s="18" t="s">
        <x:v>27</x:v>
      </x:c>
      <x:c r="K13" s="18" t="s">
        <x:v>27</x:v>
      </x:c>
      <x:c r="L13" s="18" t="s">
        <x:v>27</x:v>
      </x:c>
      <x:c r="M13" s="18" t="s">
        <x:v>27</x:v>
      </x:c>
      <x:c r="N13" s="17">
        <x:f>SUM(B13:M13)</x:f>
        <x:v>186632.3</x:v>
      </x:c>
    </x:row>
    <x:row r="14" spans="1:14" x14ac:dyDescent="0.3">
      <x:c r="D14" s="19"/>
      <x:c r="E14" s="19"/>
    </x:row>
    <x:row r="15" spans="1:14" x14ac:dyDescent="0.3">
      <x:c r="B15" s="19"/>
      <x:c r="D15" s="19"/>
    </x:row>
    <x:row r="17" spans="4:4" x14ac:dyDescent="0.3">
      <x:c r="D17" s="19"/>
    </x:row>
    <x:row r="18" spans="4:4" x14ac:dyDescent="0.3">
      <x:c r="D18" s="19"/>
    </x:row>
  </x:sheetData>
  <x:pageMargins left="0.25" right="0.25" top="2" bottom="0.25" header="1" footer="0.3"/>
  <x:pageSetup scale="78" orientation="landscape" r:id="rId1"/>
  <x:headerFooter>
    <x:oddHeader>&amp;C&amp;"Arial Unicode MS,Bold"
ONCOR ELECTRIC DELIVERY COMPANY LLC
GC SERVICES ADJUSTMENT
FOR THE TEST YEAR ENDING DECEMBER 31, 2024
SPONSOR: R. PRACHYL &amp;&amp; M. HODGES&amp;R&amp;"Arial Unicode MS,Bold"WP/II-D ADJUSTMENT/33
Page 2 of 2</x:oddHeader>
  </x:headerFooter>
</x:worksheet>
</file>

<file path=docProps/app.xml><?xml version="1.0" encoding="utf-8"?>
<ap:Properties xmlns:vt="http://schemas.openxmlformats.org/officeDocument/2006/docPropsVTypes" xmlns:ap="http://schemas.openxmlformats.org/officeDocument/2006/extended-properties"/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lastPrinted>1900-01-01T06:00:00.0000000Z</lastPrinted>
  <dcterms:created xsi:type="dcterms:W3CDTF">1900-01-01T06:00:00.0000000Z</dcterms:created>
  <dcterms:modified xsi:type="dcterms:W3CDTF">2025-04-29T16:02:44.0000000Z</dcterms:modified>
</coreProperties>
</file>