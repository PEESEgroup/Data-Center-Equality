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7FB3FF7D-6FE9-48BE-8EC9-D07F7603624C}" xr6:coauthVersionLast="47" xr6:coauthVersionMax="47" xr10:uidLastSave="{00000000-0000-0000-0000-000000000000}"/>
  <x:bookViews>
    <x:workbookView xWindow="-120" yWindow="-120" windowWidth="29040" windowHeight="15720" xr2:uid="{69C15D09-6EC5-4779-AB43-0ADFEA743B4D}"/>
  </x:bookViews>
  <x:sheets>
    <x:sheet name="Workpaper" sheetId="1" r:id="rId1"/>
  </x:sheets>
  <x:definedNames>
    <x:definedName name="_xlnm.Print_Area" localSheetId="0">Workpaper!$A$1:$H$20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B17" i="1" l="1"/>
  <x:c r="C12" i="1"/>
  <x:c r="C15" i="1" l="1"/>
  <x:c r="C16" i="1"/>
  <x:c r="C14" i="1"/>
  <x:c r="C13" i="1"/>
  <x:c r="C17" i="1"/>
  <x:c r="G6" i="1" s="1"/>
  <x:c r="H6" i="1" s="1"/>
</x:calcChain>
</file>

<file path=xl/sharedStrings.xml><?xml version="1.0" encoding="utf-8"?>
<sst xmlns="http://schemas.openxmlformats.org/spreadsheetml/2006/main" count="16" uniqueCount="15">
  <si>
    <t xml:space="preserve">CapGemini </t>
  </si>
  <si>
    <t>2024 Annual Spend</t>
  </si>
  <si>
    <t>Finance &amp; Accounting ("F&amp;A")</t>
  </si>
  <si>
    <t>Supply Chain</t>
  </si>
  <si>
    <t>Staff SOW</t>
  </si>
  <si>
    <t>F&amp;A ARC-RRC</t>
  </si>
  <si>
    <t>F&amp;A Audit fee</t>
  </si>
  <si>
    <t>Known &amp; Measurable Adjustments</t>
  </si>
  <si>
    <t>Total</t>
  </si>
  <si>
    <t>O&amp;M Allocation</t>
  </si>
  <si>
    <t>1.  Oct-Dec 24 ARC-RRC</t>
  </si>
  <si>
    <t>2.  Jul-Sep 24 ARC-RRC</t>
  </si>
  <si>
    <t>3.  ISAE/Audit Fee</t>
  </si>
  <si>
    <t>4.  Contract growth rate @2%</t>
  </si>
  <si>
    <t>5.  2025 COLA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</si>
</sst>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</numFmts>
  <fonts count="11" x14ac:knownFonts="1">
    <font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name val="Arial Unicode MS"/>
      <family val="2"/>
    </font>
    <font>
      <b/>
      <sz val="10"/>
      <name val="Arial Unicode MS"/>
      <family val="2"/>
    </font>
    <font>
      <sz val="10"/>
      <name val="Times New Roman"/>
      <family val="1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10"/>
      <name val="Arial Unicode MS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 wrapText="1"/>
    </xf>
    <xf numFmtId="8" fontId="0" fillId="0" borderId="0" xfId="1" applyNumberFormat="1" applyFont="1" applyFill="1"/>
    <xf numFmtId="44" fontId="0" fillId="0" borderId="0" xfId="1" applyFont="1" applyFill="1"/>
    <xf numFmtId="40" fontId="0" fillId="0" borderId="0" xfId="0" applyNumberFormat="1"/>
    <xf numFmtId="0" fontId="5" fillId="0" borderId="0" xfId="4" applyFont="1" applyAlignment="1">
      <alignment horizontal="center"/>
    </xf>
    <xf numFmtId="0" fontId="7" fillId="0" borderId="0" xfId="4" applyFont="1" applyAlignment="1">
      <alignment horizontal="center"/>
    </xf>
    <xf numFmtId="9" fontId="5" fillId="0" borderId="0" xfId="5" applyFont="1" applyFill="1" applyBorder="1"/>
    <xf numFmtId="10" fontId="5" fillId="0" borderId="0" xfId="5" applyNumberFormat="1" applyFont="1" applyFill="1" applyBorder="1"/>
    <xf numFmtId="10" fontId="8" fillId="0" borderId="0" xfId="5" applyNumberFormat="1" applyFont="1" applyBorder="1"/>
    <xf numFmtId="0" fontId="0" fillId="0" borderId="0" xfId="0" applyAlignment="1">
      <alignment horizontal="left"/>
    </xf>
    <xf numFmtId="8" fontId="0" fillId="0" borderId="0" xfId="0" applyNumberFormat="1"/>
    <xf numFmtId="44" fontId="0" fillId="0" borderId="0" xfId="1" applyFont="1"/>
    <xf numFmtId="0" fontId="9" fillId="0" borderId="0" xfId="0" applyFont="1" applyAlignment="1">
      <alignment horizontal="left"/>
    </xf>
    <xf numFmtId="8" fontId="0" fillId="0" borderId="1" xfId="0" applyNumberFormat="1" applyBorder="1"/>
    <xf numFmtId="0" fontId="10" fillId="0" borderId="0" xfId="4" applyFont="1"/>
    <xf numFmtId="0" fontId="5" fillId="0" borderId="0" xfId="4" applyFont="1" applyAlignment="1">
      <alignment wrapText="1"/>
    </xf>
    <xf numFmtId="0" fontId="5" fillId="0" borderId="0" xfId="3" applyFont="1"/>
    <xf numFmtId="0" fontId="5" fillId="0" borderId="0" xfId="4" applyFont="1" applyAlignment="1">
      <alignment horizontal="left"/>
    </xf>
    <xf numFmtId="0" fontId="10" fillId="0" borderId="0" xfId="4" applyFont="1" applyAlignment="1">
      <alignment horizontal="left"/>
    </xf>
    <xf numFmtId="0" fontId="10" fillId="0" borderId="0" xfId="4" applyFont="1" applyAlignment="1">
      <alignment horizontal="center"/>
    </xf>
    <xf numFmtId="0" fontId="10" fillId="0" borderId="0" xfId="4" applyFont="1" applyAlignment="1">
      <alignment horizontal="center" wrapText="1"/>
    </xf>
    <xf numFmtId="0" fontId="7" fillId="0" borderId="0" xfId="3" applyFont="1"/>
    <xf numFmtId="3" fontId="7" fillId="0" borderId="0" xfId="3" applyNumberFormat="1" applyFont="1"/>
    <xf numFmtId="0" fontId="5" fillId="0" borderId="0" xfId="4" applyFont="1" applyAlignment="1">
      <alignment horizontal="center" vertical="top"/>
    </xf>
    <xf numFmtId="0" fontId="5" fillId="0" borderId="0" xfId="3" applyFont="1" applyAlignment="1">
      <alignment horizontal="left"/>
    </xf>
    <xf numFmtId="164" fontId="5" fillId="0" borderId="0" xfId="6" applyNumberFormat="1" applyFont="1" applyFill="1" applyBorder="1" applyAlignment="1" applyProtection="1">
      <alignment horizontal="left"/>
    </xf>
    <xf numFmtId="0" fontId="5" fillId="0" borderId="0" xfId="4" applyFont="1" applyAlignment="1">
      <alignment horizontal="left" wrapText="1"/>
    </xf>
    <xf numFmtId="0" fontId="5" fillId="0" borderId="0" xfId="3" applyFont="1" applyAlignment="1">
      <alignment horizontal="left" wrapText="1"/>
    </xf>
    <xf numFmtId="10" fontId="8" fillId="0" borderId="0" xfId="5" applyNumberFormat="1" applyFont="1" applyFill="1" applyBorder="1"/>
    <xf numFmtId="9" fontId="0" fillId="0" borderId="0" xfId="2" applyFont="1" applyFill="1" applyBorder="1"/>
    <xf numFmtId="0" fontId="5" fillId="0" borderId="0" xfId="3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4" applyFont="1" applyAlignment="1">
      <alignment horizontal="center"/>
    </xf>
  </cellXfs>
  <cellStyles count="7">
    <cellStyle name="Comma_DRAFT Standard Pricing Forms - 10-10-06" xfId="6" xr:uid="{62524096-E4A8-4949-B03B-187487BBC7C4}"/>
    <cellStyle name="Currency" xfId="1" builtinId="4"/>
    <cellStyle name="Normal" xfId="0" builtinId="0"/>
    <cellStyle name="Normal 13" xfId="4" xr:uid="{ED706923-9EEB-410F-BC90-163EB1FBF929}"/>
    <cellStyle name="Normal_DRAFT Standard Pricing Forms - 10-10-06" xfId="3" xr:uid="{AAFFC9DB-66ED-4E6E-B77F-C8178DAFD545}"/>
    <cellStyle name="Percent" xfId="2" builtinId="5"/>
    <cellStyle name="Percent 2" xfId="5" xr:uid="{538115DE-B7C1-4418-AFE5-16A63009D0C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B6DE2BBE-0393-46CF-8C07-F66E2A8927BE}" mc:Ignorable="x14ac xr xr2 xr3">
  <x:sheetPr>
    <x:pageSetUpPr fitToPage="1"/>
  </x:sheetPr>
  <x:dimension ref="A1:X29"/>
  <x:sheetViews>
    <x:sheetView tabSelected="1" zoomScaleNormal="100" workbookViewId="0">
      <x:selection activeCell="F15" sqref="F15"/>
    </x:sheetView>
  </x:sheetViews>
  <x:sheetFormatPr defaultRowHeight="15" x14ac:dyDescent="0.25"/>
  <x:cols>
    <x:col min="1" max="1" width="31.140625" bestFit="1" customWidth="1"/>
    <x:col min="2" max="2" width="14.85546875" customWidth="1"/>
    <x:col min="3" max="3" width="12.7109375" customWidth="1"/>
    <x:col min="4" max="4" width="11.85546875" customWidth="1"/>
    <x:col min="5" max="5" width="18.28515625" customWidth="1"/>
    <x:col min="6" max="6" width="10.5703125" customWidth="1"/>
    <x:col min="7" max="7" width="16" customWidth="1"/>
    <x:col min="8" max="8" width="13.5703125" customWidth="1"/>
    <x:col min="15" max="15" width="21.85546875" customWidth="1"/>
  </x:cols>
  <x:sheetData>
    <x:row r="1" spans="1:15" ht="17.25" x14ac:dyDescent="0.3">
      <x:c r="A1" s="1" t="s">
        <x:v>0</x:v>
      </x:c>
    </x:row>
    <x:row r="2" spans="1:15" ht="17.25" x14ac:dyDescent="0.3">
      <x:c r="A2" s="1"/>
    </x:row>
    <x:row r="3" spans="1:15" ht="17.25" x14ac:dyDescent="0.3">
      <x:c r="A3" s="1"/>
    </x:row>
    <x:row r="4" spans="1:15" ht="15.75" x14ac:dyDescent="0.3">
      <x:c r="A4" s="2" t="s">
        <x:v>1</x:v>
      </x:c>
    </x:row>
    <x:row r="5" spans="1:15" ht="45" x14ac:dyDescent="0.3">
      <x:c r="B5" s="3" t="s">
        <x:v>2</x:v>
      </x:c>
      <x:c r="C5" s="3" t="s">
        <x:v>3</x:v>
      </x:c>
      <x:c r="D5" s="3" t="s">
        <x:v>4</x:v>
      </x:c>
      <x:c r="E5" s="3" t="s">
        <x:v>5</x:v>
      </x:c>
      <x:c r="F5" s="3" t="s">
        <x:v>6</x:v>
      </x:c>
      <x:c r="G5" s="3" t="s">
        <x:v>7</x:v>
      </x:c>
      <x:c r="H5" s="3" t="s">
        <x:v>8</x:v>
      </x:c>
    </x:row>
    <x:row r="6" spans="1:15" x14ac:dyDescent="0.25">
      <x:c r="B6" s="4">
        <x:v>1488888.7300000002</x:v>
      </x:c>
      <x:c r="C6" s="4">
        <x:v>130434.84000000003</x:v>
      </x:c>
      <x:c r="D6" s="4"/>
      <x:c r="E6" s="4">
        <x:v>113877.60000000002</x:v>
      </x:c>
      <x:c r="F6" s="4">
        <x:v>16425.759999999998</x:v>
      </x:c>
      <x:c r="G6" s="4">
        <x:f>+C17</x:f>
        <x:v>115856.10424706958</x:v>
      </x:c>
      <x:c r="H6" s="4">
        <x:f>SUM(B6:G6)</x:f>
        <x:v>1865483.0342470701</x:v>
      </x:c>
    </x:row>
    <x:row r="7" spans="1:15" x14ac:dyDescent="0.25">
      <x:c r="B7" s="5"/>
      <x:c r="C7" s="5"/>
      <x:c r="D7" s="5"/>
      <x:c r="E7" s="5"/>
      <x:c r="F7" s="5"/>
      <x:c r="G7" s="5"/>
      <x:c r="H7" s="5"/>
    </x:row>
    <x:row r="8" spans="1:15" x14ac:dyDescent="0.25">
      <x:c r="O8" s="6"/>
    </x:row>
    <x:row r="9" spans="1:15" x14ac:dyDescent="0.25">
      <x:c r="C9" s="33"/>
      <x:c r="D9" s="34"/>
      <x:c r="E9" s="7"/>
      <x:c r="F9" s="7"/>
      <x:c r="G9" s="33"/>
      <x:c r="H9" s="35"/>
      <x:c r="I9" s="35"/>
      <x:c r="J9" s="35"/>
      <x:c r="O9" s="6"/>
    </x:row>
    <x:row r="10" spans="1:15" x14ac:dyDescent="0.25">
      <x:c r="C10" s="8" t="s">
        <x:v>9</x:v>
      </x:c>
      <x:c r="D10" s="8"/>
      <x:c r="F10" s="8"/>
      <x:c r="G10" s="8"/>
      <x:c r="H10" s="8"/>
      <x:c r="I10" s="8"/>
      <x:c r="J10" s="8"/>
    </x:row>
    <x:row r="11" spans="1:15" x14ac:dyDescent="0.25">
      <x:c r="A11" t="s">
        <x:v>7</x:v>
      </x:c>
      <x:c r="C11" s="9">
        <x:v>0.53486456542556116</x:v>
      </x:c>
      <x:c r="D11" s="9"/>
      <x:c r="F11" s="10"/>
      <x:c r="G11" s="10"/>
      <x:c r="H11" s="10"/>
      <x:c r="I11" s="10"/>
      <x:c r="J11" s="11"/>
    </x:row>
    <x:row r="12" spans="1:15" x14ac:dyDescent="0.25">
      <x:c r="A12" s="12" t="s">
        <x:v>10</x:v>
      </x:c>
      <x:c r="B12" s="13">
        <x:v>40461.83</x:v>
      </x:c>
      <x:c r="C12" s="13">
        <x:f>B12*C11</x:f>
        <x:v>21641.599119272934</x:v>
      </x:c>
      <x:c r="D12" s="13"/>
      <x:c r="H12" s="14"/>
    </x:row>
    <x:row r="13" spans="1:15" x14ac:dyDescent="0.25">
      <x:c r="A13" s="12" t="s">
        <x:v>11</x:v>
      </x:c>
      <x:c r="B13" s="13">
        <x:v>50152.05</x:v>
      </x:c>
      <x:c r="C13" s="13">
        <x:f>B13*C11</x:f>
        <x:v>26824.554428451014</x:v>
      </x:c>
      <x:c r="D13" s="13"/>
      <x:c r="H13" s="14"/>
    </x:row>
    <x:row r="14" spans="1:15" x14ac:dyDescent="0.25">
      <x:c r="A14" s="12" t="s">
        <x:v>12</x:v>
      </x:c>
      <x:c r="B14" s="13">
        <x:v>54000</x:v>
      </x:c>
      <x:c r="C14" s="13">
        <x:f>B14*C11</x:f>
        <x:v>28882.686532980304</x:v>
      </x:c>
      <x:c r="D14" s="13"/>
      <x:c r="H14" s="14"/>
    </x:row>
    <x:row r="15" spans="1:15" x14ac:dyDescent="0.25">
      <x:c r="A15" s="12" t="s">
        <x:v>13</x:v>
      </x:c>
      <x:c r="B15" s="13">
        <x:v>56349.86</x:v>
      </x:c>
      <x:c r="C15" s="13">
        <x:f>B15*C11</x:f>
        <x:v>30139.543380691211</x:v>
      </x:c>
      <x:c r="D15" s="13"/>
    </x:row>
    <x:row r="16" spans="1:15" ht="15.75" x14ac:dyDescent="0.3">
      <x:c r="A16" s="15" t="s">
        <x:v>14</x:v>
      </x:c>
      <x:c r="B16" s="13">
        <x:v>15643.56</x:v>
      </x:c>
      <x:c r="C16" s="13">
        <x:f>B16*C11</x:f>
        <x:v>8367.1859211086903</x:v>
      </x:c>
      <x:c r="D16" s="13"/>
    </x:row>
    <x:row r="17" spans="1:24" ht="18" thickBot="1" x14ac:dyDescent="0.35">
      <x:c r="A17" s="1"/>
      <x:c r="B17" s="16">
        <x:f>SUM(B12:B16)</x:f>
        <x:v>216607.3</x:v>
      </x:c>
      <x:c r="C17" s="16">
        <x:f>SUM(C11:C16)</x:f>
        <x:v>115856.10424706958</x:v>
      </x:c>
      <x:c r="D17" s="13"/>
      <x:c r="E17" s="13"/>
      <x:c r="M17" s="17"/>
      <x:c r="N17" s="7"/>
      <x:c r="O17" s="18"/>
      <x:c r="P17" s="19"/>
      <x:c r="Q17" s="19"/>
      <x:c r="R17" s="19"/>
      <x:c r="S17" s="19"/>
      <x:c r="T17" s="19"/>
      <x:c r="U17" s="19"/>
      <x:c r="V17" s="19"/>
      <x:c r="W17" s="19"/>
      <x:c r="X17" s="19"/>
    </x:row>
    <x:row r="18" spans="1:24" ht="15.75" thickTop="1" x14ac:dyDescent="0.25">
      <x:c r="M18" s="20"/>
      <x:c r="N18" s="7"/>
      <x:c r="O18" s="18"/>
      <x:c r="P18" s="19"/>
      <x:c r="Q18" s="19"/>
      <x:c r="R18" s="19"/>
      <x:c r="S18" s="19"/>
      <x:c r="T18" s="19"/>
      <x:c r="U18" s="19"/>
      <x:c r="V18" s="19"/>
      <x:c r="W18" s="19"/>
      <x:c r="X18" s="19"/>
    </x:row>
    <x:row r="19" spans="1:24" x14ac:dyDescent="0.25">
      <x:c r="M19" s="21"/>
      <x:c r="N19" s="22"/>
      <x:c r="O19" s="23"/>
      <x:c r="P19" s="24"/>
      <x:c r="Q19" s="19"/>
      <x:c r="R19" s="19"/>
      <x:c r="S19" s="19"/>
      <x:c r="T19" s="19"/>
      <x:c r="U19" s="19"/>
      <x:c r="V19" s="19"/>
      <x:c r="W19" s="19"/>
      <x:c r="X19" s="19"/>
    </x:row>
    <x:row r="20" spans="1:24" x14ac:dyDescent="0.25">
      <x:c r="M20" s="25"/>
      <x:c r="N20" s="26"/>
      <x:c r="O20" s="18"/>
      <x:c r="P20" s="19"/>
      <x:c r="Q20" s="33"/>
      <x:c r="R20" s="35"/>
      <x:c r="S20" s="35"/>
      <x:c r="T20" s="35"/>
      <x:c r="U20" s="33"/>
      <x:c r="V20" s="35"/>
      <x:c r="W20" s="35"/>
      <x:c r="X20" s="35"/>
    </x:row>
    <x:row r="21" spans="1:24" x14ac:dyDescent="0.25">
      <x:c r="M21" s="27"/>
      <x:c r="N21" s="28"/>
      <x:c r="O21" s="29"/>
      <x:c r="P21" s="30"/>
      <x:c r="Q21" s="8"/>
      <x:c r="R21" s="8"/>
      <x:c r="S21" s="8"/>
      <x:c r="T21" s="8"/>
      <x:c r="U21" s="8"/>
      <x:c r="V21" s="8"/>
      <x:c r="W21" s="8"/>
      <x:c r="X21" s="8"/>
    </x:row>
    <x:row r="22" spans="1:24" x14ac:dyDescent="0.25">
      <x:c r="M22" s="27"/>
      <x:c r="N22" s="28"/>
      <x:c r="O22" s="29"/>
      <x:c r="P22" s="27"/>
      <x:c r="Q22" s="10"/>
      <x:c r="R22" s="10"/>
      <x:c r="S22" s="10"/>
      <x:c r="T22" s="10"/>
      <x:c r="U22" s="10"/>
      <x:c r="V22" s="10"/>
      <x:c r="W22" s="10"/>
      <x:c r="X22" s="31"/>
    </x:row>
    <x:row r="27" spans="1:24" x14ac:dyDescent="0.25">
      <x:c r="N27" s="32"/>
    </x:row>
    <x:row r="28" spans="1:24" x14ac:dyDescent="0.25">
      <x:c r="N28" s="32"/>
    </x:row>
    <x:row r="29" spans="1:24" x14ac:dyDescent="0.25">
      <x:c r="N29" s="32"/>
    </x:row>
  </x:sheetData>
  <x:mergeCells count="4">
    <x:mergeCell ref="C9:D9"/>
    <x:mergeCell ref="G9:J9"/>
    <x:mergeCell ref="Q20:T20"/>
    <x:mergeCell ref="U20:X20"/>
  </x:mergeCells>
  <x:printOptions horizontalCentered="1"/>
  <x:pageMargins left="0.25" right="0.25" top="2" bottom="0.25" header="1" footer="0.3"/>
  <x:pageSetup orientation="landscape" r:id="rId1"/>
  <x:headerFooter>
    <x:oddHeader>&amp;C&amp;"-,Bold"
ONCOR ELECTRIC DELIVERY COMPANY LLC
CAPGEMINI F&amp;&amp;A AND SUPPLY CHAIN ADJUSTMENT
FOR THE TEST YEAR ENDING DECEMBER 31, 2024
SPONSOR: R. PRACHYL&amp;R&amp;"-,Bold"WP/II-D ADJUSTMENT/43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2025-04-09T12:39:12.0000000Z</dcterms:modified>
</coreProperties>
</file>