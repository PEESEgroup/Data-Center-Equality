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A5425AA8-862F-4174-B3C9-68E569E0FDD5}" xr6:coauthVersionLast="47" xr6:coauthVersionMax="47" xr10:uidLastSave="{00000000-0000-0000-0000-000000000000}"/>
  <x:bookViews>
    <x:workbookView xWindow="-120" yWindow="-120" windowWidth="29040" windowHeight="15720" xr2:uid="{5546C99F-A9C3-4800-BBF6-F6F09DB67F98}"/>
  </x:bookViews>
  <x:sheets>
    <x:sheet name="SRP O&amp;M Adj for TRAN" sheetId="1" r:id="rId1"/>
  </x:sheet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Q6" i="1" l="1"/>
  <x:c r="Q7" i="1"/>
  <x:c r="Q8" i="1"/>
  <x:c r="Q9" i="1"/>
  <x:c r="Q10" i="1"/>
  <x:c r="Q11" i="1"/>
  <x:c r="Q12" i="1"/>
  <x:c r="Q13" i="1"/>
  <x:c r="Q14" i="1"/>
  <x:c r="Q15" i="1"/>
  <x:c r="Q16" i="1"/>
  <x:c r="Q17" i="1"/>
  <x:c r="Q18" i="1"/>
  <x:c r="Q5" i="1"/>
  <x:c r="O6" i="1"/>
  <x:c r="O7" i="1"/>
  <x:c r="O8" i="1"/>
  <x:c r="O9" i="1"/>
  <x:c r="O10" i="1"/>
  <x:c r="O11" i="1"/>
  <x:c r="O12" i="1"/>
  <x:c r="O13" i="1"/>
  <x:c r="O14" i="1"/>
  <x:c r="O15" i="1"/>
  <x:c r="O16" i="1"/>
  <x:c r="O17" i="1"/>
  <x:c r="O18" i="1"/>
  <x:c r="O5" i="1"/>
  <x:c r="G5" i="1" l="1"/>
  <x:c r="G6" i="1"/>
  <x:c r="G7" i="1"/>
  <x:c r="G8" i="1"/>
  <x:c r="G9" i="1"/>
  <x:c r="G10" i="1"/>
  <x:c r="G11" i="1"/>
  <x:c r="G12" i="1"/>
  <x:c r="G13" i="1"/>
  <x:c r="G14" i="1"/>
  <x:c r="G15" i="1"/>
  <x:c r="G16" i="1"/>
  <x:c r="G17" i="1"/>
  <x:c r="G18" i="1"/>
  <x:c r="G19" i="1"/>
  <x:c r="I20" i="1" s="1"/>
  <x:c r="L8" i="1" l="1"/>
  <x:c r="L7" i="1"/>
  <x:c r="P18" i="1" l="1"/>
  <x:c r="P14" i="1"/>
  <x:c r="P17" i="1"/>
  <x:c r="P5" i="1"/>
  <x:c r="P6" i="1"/>
  <x:c r="P12" i="1"/>
  <x:c r="P15" i="1"/>
  <x:c r="P16" i="1"/>
  <x:c r="Q25" i="1" l="1"/>
  <x:c r="P13" i="1"/>
  <x:c r="P7" i="1"/>
  <x:c r="Q24" i="1" s="1"/>
  <x:c r="P11" i="1"/>
  <x:c r="P9" i="1"/>
  <x:c r="P10" i="1"/>
  <x:c r="P8" i="1"/>
  <x:c r="Q26" i="1" l="1"/>
  <x:c r="Q23" i="1"/>
  <x:c r="Q19" i="1"/>
  <x:c r="O19" i="1"/>
  <x:c r="Q27" i="1" l="1"/>
  <x:c r="O20" i="1"/>
</x:calcChain>
</file>

<file path=xl/sharedStrings.xml><?xml version="1.0" encoding="utf-8"?>
<sst xmlns="http://schemas.openxmlformats.org/spreadsheetml/2006/main" count="136" uniqueCount="83">
  <si>
    <t>Business Unit</t>
  </si>
  <si>
    <t>Measure</t>
  </si>
  <si>
    <t>Program</t>
  </si>
  <si>
    <t>Activity</t>
  </si>
  <si>
    <t>Standard/Activity Scope</t>
  </si>
  <si>
    <t>Item</t>
  </si>
  <si>
    <t>Estimated Yearly O&amp;M Spend</t>
  </si>
  <si>
    <t>O&amp;M %</t>
  </si>
  <si>
    <t>O&amp;M 2025-2027</t>
  </si>
  <si>
    <t>T O&amp;M</t>
  </si>
  <si>
    <t>D O&amp;M</t>
  </si>
  <si>
    <t>WF 3YR Population</t>
  </si>
  <si>
    <t>New Project</t>
  </si>
  <si>
    <t>WFM Impact</t>
  </si>
  <si>
    <t>T O&amp;M %</t>
  </si>
  <si>
    <t>Distribution</t>
  </si>
  <si>
    <t>Yes</t>
  </si>
  <si>
    <t>No</t>
  </si>
  <si>
    <t>Wildfire Mitigation</t>
  </si>
  <si>
    <t>Wildfire Risk Model Enhancement Program</t>
  </si>
  <si>
    <t>Wildfire Risk Modeling</t>
  </si>
  <si>
    <t>Leverage Public and Commercial Datasets to Enhance Risk Modeling &amp; Conduct Fire Spread Modeling from Oncor Assets</t>
  </si>
  <si>
    <t>Planning Package Software</t>
  </si>
  <si>
    <t>Situational Awareness Program</t>
  </si>
  <si>
    <t>Near Real-Time Risk Modeling and Monitoring</t>
  </si>
  <si>
    <t>Awareness of Near Real Time Weather and Ground Fuel</t>
  </si>
  <si>
    <t>Forecasting Software</t>
  </si>
  <si>
    <t>Asset Protection Program</t>
  </si>
  <si>
    <t>Defensible Space</t>
  </si>
  <si>
    <t>Substations in High Risk Areas</t>
  </si>
  <si>
    <t>High Risk Area Substations</t>
  </si>
  <si>
    <t>Telecommunication Towers in High Risk Areas</t>
  </si>
  <si>
    <t>High Risk Area Telecommunication Towers</t>
  </si>
  <si>
    <t>Transmission</t>
  </si>
  <si>
    <t>Oncor Secure</t>
  </si>
  <si>
    <t>Oncor Aware System Implementation Program</t>
  </si>
  <si>
    <t>System Implementation</t>
  </si>
  <si>
    <t>Implement Video Management System (VMS) and Access Control System</t>
  </si>
  <si>
    <t>Implement Event Correlation System</t>
  </si>
  <si>
    <t>Critical Asset Protection Program</t>
  </si>
  <si>
    <t>Theft Mitigation</t>
  </si>
  <si>
    <t>Installation of Video Cameras, Sensors, and Electrical Fencing at Station Perimeter</t>
  </si>
  <si>
    <t>Access Control Upgrades</t>
  </si>
  <si>
    <t>Installation of Access Control Readers, Video Cameras and Door Reinforcements at Station Control Center</t>
  </si>
  <si>
    <t>Access Controls Upgrade</t>
  </si>
  <si>
    <t>Technology</t>
  </si>
  <si>
    <t>Enhanced Digital Grid</t>
  </si>
  <si>
    <t>Digital Grid Cyber Resiliency Strategy and Governance Program</t>
  </si>
  <si>
    <t>Strategy &amp; Governance Framework</t>
  </si>
  <si>
    <t>Establish Communications Cyber Resiliency Strategy &amp; Governance</t>
  </si>
  <si>
    <t>Strategy &amp; Governance</t>
  </si>
  <si>
    <t>Digital Grid Management – Communications Operations Enhancements Program</t>
  </si>
  <si>
    <t>Enhance NOC Capabilities</t>
  </si>
  <si>
    <t>Digital Grid Management (DGM) Communication</t>
  </si>
  <si>
    <t>Private Broadband Communications Deployment Program</t>
  </si>
  <si>
    <t>Private Broadband</t>
  </si>
  <si>
    <t>Deploy Broadband Network</t>
  </si>
  <si>
    <t>Private Broadband Deployment</t>
  </si>
  <si>
    <t>Data Center Enhancements Program</t>
  </si>
  <si>
    <t>Data Center Enhancements</t>
  </si>
  <si>
    <t>Enhance and Establish New Data Centers</t>
  </si>
  <si>
    <t>Data Center</t>
  </si>
  <si>
    <t>Communications Backhaul Enhancements Program</t>
  </si>
  <si>
    <t>Communications Backhaul Enhancements</t>
  </si>
  <si>
    <t>Enhance and Establish New Communication Backhaul Sites</t>
  </si>
  <si>
    <t>Communications Backhaul</t>
  </si>
  <si>
    <t>Station Local Area Network (“LAN”) Communications Enhancements Program</t>
  </si>
  <si>
    <t>Station LAN Enhancements</t>
  </si>
  <si>
    <t>Enhance and Establish New Station LAN</t>
  </si>
  <si>
    <t>Station LAN</t>
  </si>
  <si>
    <t>Digital Grid Management – SOC Enhancements Program</t>
  </si>
  <si>
    <t>Enhance DGM SOC</t>
  </si>
  <si>
    <t>Enhance SOC Capabilities</t>
  </si>
  <si>
    <t>DGM SOC</t>
  </si>
  <si>
    <t>Transmission O&amp;M 2025-2027</t>
  </si>
  <si>
    <t>Total</t>
  </si>
  <si>
    <t>Annual O&amp;M</t>
  </si>
  <si>
    <t>FERC Account</t>
  </si>
  <si>
    <t>$56,465,705</t>
  </si>
  <si>
    <t>K&amp;M O&amp;M adjustment</t>
  </si>
  <si>
    <t>Amount by FERC Account for TRAN</t>
  </si>
  <si>
    <t>Source:  Docket No. 56545 SRP Application Bates page 815, SRP Estimated Costs by Measure with T O&amp;M of $25 million (2025-2027)</t>
  </si>
  <si>
    <t>TRAN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</si>
</sst>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&quot;$&quot;#,##0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9" fontId="0" fillId="0" borderId="0" xfId="2" applyFont="1"/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0" xfId="0" applyNumberFormat="1" applyFill="1" applyAlignment="1">
      <alignment vertical="center"/>
    </xf>
    <xf numFmtId="9" fontId="0" fillId="0" borderId="0" xfId="2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3" xfId="0" applyNumberForma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 wrapText="1"/>
    </xf>
    <xf numFmtId="164" fontId="2" fillId="0" borderId="2" xfId="0" applyNumberFormat="1" applyFont="1" applyFill="1" applyBorder="1" applyAlignment="1">
      <alignment horizontal="center" vertical="center"/>
    </xf>
    <xf numFmtId="9" fontId="2" fillId="0" borderId="2" xfId="0" applyNumberFormat="1" applyFont="1" applyFill="1" applyBorder="1" applyAlignment="1">
      <alignment horizontal="center" vertical="center"/>
    </xf>
    <xf numFmtId="1" fontId="2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Fill="1"/>
    <xf numFmtId="43" fontId="0" fillId="0" borderId="0" xfId="1" applyFont="1" applyFill="1"/>
    <xf numFmtId="9" fontId="0" fillId="0" borderId="0" xfId="2" applyFont="1" applyFill="1"/>
    <xf numFmtId="165" fontId="0" fillId="0" borderId="0" xfId="1" applyNumberFormat="1" applyFont="1" applyFill="1"/>
    <xf numFmtId="0" fontId="2" fillId="0" borderId="0" xfId="0" applyFont="1" applyFill="1" applyAlignment="1">
      <alignment horizontal="right"/>
    </xf>
    <xf numFmtId="164" fontId="2" fillId="0" borderId="3" xfId="0" applyNumberFormat="1" applyFont="1" applyFill="1" applyBorder="1"/>
    <xf numFmtId="9" fontId="2" fillId="0" borderId="0" xfId="2" applyFont="1" applyFill="1" applyAlignment="1">
      <alignment horizontal="right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 vertical="top" wrapText="1"/>
    </xf>
    <xf numFmtId="9" fontId="4" fillId="0" borderId="0" xfId="2" applyFont="1" applyFill="1" applyBorder="1" applyAlignment="1">
      <alignment horizontal="center" vertical="top"/>
    </xf>
    <xf numFmtId="0" fontId="4" fillId="0" borderId="0" xfId="0" applyFont="1" applyFill="1" applyAlignment="1">
      <alignment horizontal="center" vertical="top"/>
    </xf>
    <xf numFmtId="0" fontId="2" fillId="0" borderId="3" xfId="0" applyFont="1" applyFill="1" applyBorder="1" applyAlignment="1">
      <alignment horizontal="center" wrapText="1"/>
    </xf>
  </cellXfs>
  <cellStyles count="3">
    <cellStyle name="Comma" xfId="1" builtinId="3"/>
    <cellStyle name="Normal" xfId="0" builtinId="0"/>
    <cellStyle name="Percent" xfId="2" builtinId="5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numFmt numFmtId="164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numFmt numFmtId="164" formatCode="&quot;$&quot;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family val="2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vertical="center" textRotation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x:table xmlns:mc="http://schemas.openxmlformats.org/markup-compatibility/2006" xmlns:xr="http://schemas.microsoft.com/office/spreadsheetml/2014/revision" xmlns:xr3="http://schemas.microsoft.com/office/spreadsheetml/2016/revision3" xmlns:x="http://schemas.openxmlformats.org/spreadsheetml/2006/main" id="1" name="ITEMS" displayName="ITEMS" ref="A4:N19" totalsRowCount="1" headerRowDxfId="31" dataDxfId="30" totalsRowDxfId="29" totalsRowBorderDxfId="28" xr:uid="{002A4ADB-3AA2-4BCF-9521-0D20F5D69B45}" mc:Ignorable="xr xr3">
  <x:tableColumns count="14">
    <x:tableColumn id="1" name="Business Unit" dataDxfId="27" totalsRowDxfId="26" xr3:uid="{F5D83230-DE25-4186-854E-32EC721C81CB}"/>
    <x:tableColumn id="2" name="Measure" dataDxfId="25" totalsRowDxfId="24" xr3:uid="{CA7EE0CE-D909-438C-B8DF-1F7EB4983C56}"/>
    <x:tableColumn id="3" name="Program" dataDxfId="23" totalsRowDxfId="22" xr3:uid="{E3527488-7699-41BD-AEAB-089F50C1C625}"/>
    <x:tableColumn id="4" name="Activity" dataDxfId="21" totalsRowDxfId="20" xr3:uid="{6BF2F65B-7DAB-4288-AC0D-964832A338FA}"/>
    <x:tableColumn id="5" name="Standard/Activity Scope" dataDxfId="19" totalsRowDxfId="18" xr3:uid="{EFA7EE5E-E8CD-4634-A2C3-0478255E62D8}"/>
    <x:tableColumn id="9" name="Item" totalsRowLabel="Total" dataDxfId="17" totalsRowDxfId="16" xr3:uid="{0B42586E-641F-4797-BE1F-CEDC35343F57}"/>
    <x:tableColumn id="15" name="Estimated Yearly O&amp;M Spend" totalsRowFunction="sum" dataDxfId="15" totalsRowDxfId="14" xr3:uid="{4E82BD4E-A005-46BC-8C5F-D602B34B50CF}">
      <x:calculatedColumnFormula>ITEMS[[#This Row],[O&amp;M 2025-2027]]/3</x:calculatedColumnFormula>
    </x:tableColumn>
    <x:tableColumn id="17" name="O&amp;M %" dataDxfId="13" totalsRowDxfId="12" dataCellStyle="Percent" xr3:uid="{CE27B62A-2A4D-4F0B-A3C8-AABC5B8143F0}"/>
    <x:tableColumn id="24" name="O&amp;M 2025-2027" totalsRowLabel="$56,465,705" dataDxfId="11" totalsRowDxfId="10" xr3:uid="{669A023D-5C70-4E8B-A645-C51FD7255F77}"/>
    <x:tableColumn id="26" name="T O&amp;M" dataDxfId="9" totalsRowDxfId="8" dataCellStyle="Percent" xr3:uid="{5F372A54-3DEA-4E4E-862F-E32061E9509E}"/>
    <x:tableColumn id="28" name="D O&amp;M" dataDxfId="7" totalsRowDxfId="6" dataCellStyle="Percent" xr3:uid="{85E12982-DA3B-40E4-A33A-9BDB23B3345A}"/>
    <x:tableColumn id="30" name="WF 3YR Population" dataDxfId="5" totalsRowDxfId="4" xr3:uid="{7B32077B-4814-4E35-9931-25DF6D0E2425}"/>
    <x:tableColumn id="34" name="New Project" dataDxfId="3" totalsRowDxfId="2" xr3:uid="{A6088E2B-1040-4E5A-92CA-C348014872B8}"/>
    <x:tableColumn id="37" name="WFM Impact" dataDxfId="1" totalsRowDxfId="0" xr3:uid="{D44623C0-36D2-48DE-B833-6FE5787EF1D9}"/>
  </x:tableColumns>
  <x:tableStyleInfo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table" Target="../tables/table1.xml" Id="rId2" 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83C84BB-E65E-4C85-9C4A-9DF6BC55920E}" mc:Ignorable="x14ac xr xr2 xr3">
  <x:sheetPr>
    <x:pageSetUpPr fitToPage="1"/>
  </x:sheetPr>
  <x:dimension ref="A4:R28"/>
  <x:sheetViews>
    <x:sheetView tabSelected="1" zoomScale="90" zoomScaleNormal="90" workbookViewId="0">
      <x:pane xSplit="6" ySplit="4" topLeftCell="G5" activePane="bottomRight" state="frozen"/>
      <x:selection pane="topRight" activeCell="J1" sqref="J1"/>
      <x:selection pane="bottomLeft" activeCell="A2" sqref="A2"/>
      <x:selection pane="bottomRight" activeCell="C7" sqref="C7"/>
    </x:sheetView>
  </x:sheetViews>
  <x:sheetFormatPr defaultRowHeight="15" outlineLevelCol="1" x14ac:dyDescent="0.25"/>
  <x:cols>
    <x:col min="1" max="1" width="13.85546875" customWidth="1"/>
    <x:col min="2" max="2" width="20.5703125" customWidth="1"/>
    <x:col min="3" max="3" width="21.42578125" customWidth="1"/>
    <x:col min="4" max="4" width="21.42578125" customWidth="1" outlineLevel="1"/>
    <x:col min="5" max="5" width="43.42578125" customWidth="1" outlineLevel="1"/>
    <x:col min="6" max="6" width="21.85546875" customWidth="1"/>
    <x:col min="7" max="7" width="15.140625" customWidth="1" outlineLevel="1"/>
    <x:col min="8" max="8" width="15.85546875" customWidth="1"/>
    <x:col min="9" max="9" width="13.85546875" customWidth="1"/>
    <x:col min="10" max="10" width="12.85546875" customWidth="1" outlineLevel="1"/>
    <x:col min="11" max="11" width="11.85546875" customWidth="1" outlineLevel="1"/>
    <x:col min="12" max="12" width="12.140625" customWidth="1"/>
    <x:col min="13" max="13" width="8.85546875" customWidth="1"/>
    <x:col min="14" max="14" width="9.5703125" customWidth="1"/>
    <x:col min="15" max="15" width="17.5703125" customWidth="1"/>
    <x:col min="16" max="16" width="8.85546875" style="1" bestFit="1" customWidth="1"/>
    <x:col min="17" max="17" width="21.85546875" bestFit="1" customWidth="1"/>
    <x:col min="18" max="18" width="9.5703125" style="2" bestFit="1" customWidth="1"/>
  </x:cols>
  <x:sheetData>
    <x:row r="4" spans="1:18" s="32" customFormat="1" ht="29.1" customHeight="1" x14ac:dyDescent="0.25">
      <x:c r="A4" s="29" t="s">
        <x:v>0</x:v>
      </x:c>
      <x:c r="B4" s="29" t="s">
        <x:v>1</x:v>
      </x:c>
      <x:c r="C4" s="29" t="s">
        <x:v>2</x:v>
      </x:c>
      <x:c r="D4" s="29" t="s">
        <x:v>3</x:v>
      </x:c>
      <x:c r="E4" s="29" t="s">
        <x:v>4</x:v>
      </x:c>
      <x:c r="F4" s="29" t="s">
        <x:v>5</x:v>
      </x:c>
      <x:c r="G4" s="29" t="s">
        <x:v>6</x:v>
      </x:c>
      <x:c r="H4" s="29" t="s">
        <x:v>7</x:v>
      </x:c>
      <x:c r="I4" s="29" t="s">
        <x:v>8</x:v>
      </x:c>
      <x:c r="J4" s="29" t="s">
        <x:v>9</x:v>
      </x:c>
      <x:c r="K4" s="29" t="s">
        <x:v>10</x:v>
      </x:c>
      <x:c r="L4" s="29" t="s">
        <x:v>11</x:v>
      </x:c>
      <x:c r="M4" s="29" t="s">
        <x:v>12</x:v>
      </x:c>
      <x:c r="N4" s="29" t="s">
        <x:v>13</x:v>
      </x:c>
      <x:c r="O4" s="30" t="s">
        <x:v>74</x:v>
      </x:c>
      <x:c r="P4" s="31" t="s">
        <x:v>14</x:v>
      </x:c>
      <x:c r="Q4" s="32" t="s">
        <x:v>76</x:v>
      </x:c>
      <x:c r="R4" s="30" t="s">
        <x:v>77</x:v>
      </x:c>
    </x:row>
    <x:row r="5" spans="1:18" s="11" customFormat="1" ht="43.5" customHeight="1" x14ac:dyDescent="0.25">
      <x:c r="A5" s="3" t="s">
        <x:v>15</x:v>
      </x:c>
      <x:c r="B5" s="3" t="s">
        <x:v>18</x:v>
      </x:c>
      <x:c r="C5" s="3" t="s">
        <x:v>19</x:v>
      </x:c>
      <x:c r="D5" s="3" t="s">
        <x:v>20</x:v>
      </x:c>
      <x:c r="E5" s="3" t="s">
        <x:v>21</x:v>
      </x:c>
      <x:c r="F5" s="3" t="s">
        <x:v>22</x:v>
      </x:c>
      <x:c r="G5" s="4">
        <x:f>ITEMS[[#This Row],[O&amp;M 2025-2027]]/3</x:f>
        <x:v>365346.25</x:v>
      </x:c>
      <x:c r="H5" s="5">
        <x:v>0.15</x:v>
      </x:c>
      <x:c r="I5" s="4">
        <x:v>1096038.75</x:v>
      </x:c>
      <x:c r="J5" s="5">
        <x:v>7.0499999999999993E-2</x:v>
      </x:c>
      <x:c r="K5" s="5">
        <x:v>7.9500000000000001E-2</x:v>
      </x:c>
      <x:c r="L5" s="6">
        <x:v>5</x:v>
      </x:c>
      <x:c r="M5" s="7" t="s">
        <x:v>16</x:v>
      </x:c>
      <x:c r="N5" s="7" t="s">
        <x:v>16</x:v>
      </x:c>
      <x:c r="O5" s="8">
        <x:f>ROUND((J5/(J5+K5))*I5,2)</x:f>
        <x:v>515138.21</x:v>
      </x:c>
      <x:c r="P5" s="9">
        <x:f t="shared" ref="P5:P18" si="0">(J5/(J5+K5))</x:f>
        <x:v>0.47</x:v>
      </x:c>
      <x:c r="Q5" s="8">
        <x:f>ROUND(G5*P5,2)</x:f>
        <x:v>171712.74</x:v>
      </x:c>
      <x:c r="R5" s="10">
        <x:v>935.2</x:v>
      </x:c>
    </x:row>
    <x:row r="6" spans="1:18" s="11" customFormat="1" ht="43.5" customHeight="1" x14ac:dyDescent="0.25">
      <x:c r="A6" s="3" t="s">
        <x:v>15</x:v>
      </x:c>
      <x:c r="B6" s="3" t="s">
        <x:v>18</x:v>
      </x:c>
      <x:c r="C6" s="3" t="s">
        <x:v>23</x:v>
      </x:c>
      <x:c r="D6" s="3" t="s">
        <x:v>24</x:v>
      </x:c>
      <x:c r="E6" s="3" t="s">
        <x:v>25</x:v>
      </x:c>
      <x:c r="F6" s="3" t="s">
        <x:v>26</x:v>
      </x:c>
      <x:c r="G6" s="4">
        <x:f>ITEMS[[#This Row],[O&amp;M 2025-2027]]/3</x:f>
        <x:v>468822</x:v>
      </x:c>
      <x:c r="H6" s="5">
        <x:v>0.15</x:v>
      </x:c>
      <x:c r="I6" s="4">
        <x:v>1406466</x:v>
      </x:c>
      <x:c r="J6" s="5">
        <x:v>7.0500000000000007E-2</x:v>
      </x:c>
      <x:c r="K6" s="5">
        <x:v>7.9500000000000001E-2</x:v>
      </x:c>
      <x:c r="L6" s="6">
        <x:v>5</x:v>
      </x:c>
      <x:c r="M6" s="7" t="s">
        <x:v>16</x:v>
      </x:c>
      <x:c r="N6" s="7" t="s">
        <x:v>16</x:v>
      </x:c>
      <x:c r="O6" s="8">
        <x:f t="shared" ref="O6:O18" si="1">ROUND((J6/(J6+K6))*I6,2)</x:f>
        <x:v>661039.02</x:v>
      </x:c>
      <x:c r="P6" s="9">
        <x:f t="shared" si="0"/>
        <x:v>0.47</x:v>
      </x:c>
      <x:c r="Q6" s="8">
        <x:f t="shared" ref="Q6:Q18" si="2">ROUND(G6*P6,2)</x:f>
        <x:v>220346.34</x:v>
      </x:c>
      <x:c r="R6" s="10">
        <x:v>935.2</x:v>
      </x:c>
    </x:row>
    <x:row r="7" spans="1:18" s="11" customFormat="1" ht="43.5" customHeight="1" x14ac:dyDescent="0.25">
      <x:c r="A7" s="3" t="s">
        <x:v>15</x:v>
      </x:c>
      <x:c r="B7" s="3" t="s">
        <x:v>18</x:v>
      </x:c>
      <x:c r="C7" s="3" t="s">
        <x:v>27</x:v>
      </x:c>
      <x:c r="D7" s="3" t="s">
        <x:v>28</x:v>
      </x:c>
      <x:c r="E7" s="3" t="s">
        <x:v>29</x:v>
      </x:c>
      <x:c r="F7" s="3" t="s">
        <x:v>30</x:v>
      </x:c>
      <x:c r="G7" s="4">
        <x:f>ITEMS[[#This Row],[O&amp;M 2025-2027]]/3</x:f>
        <x:v>42000</x:v>
      </x:c>
      <x:c r="H7" s="5">
        <x:v>1</x:v>
      </x:c>
      <x:c r="I7" s="4">
        <x:v>126000</x:v>
      </x:c>
      <x:c r="J7" s="5">
        <x:v>0.24</x:v>
      </x:c>
      <x:c r="K7" s="5">
        <x:v>0.76</x:v>
      </x:c>
      <x:c r="L7" s="6">
        <x:f>15*3</x:f>
        <x:v>45</x:v>
      </x:c>
      <x:c r="M7" s="7" t="s">
        <x:v>16</x:v>
      </x:c>
      <x:c r="N7" s="7" t="s">
        <x:v>16</x:v>
      </x:c>
      <x:c r="O7" s="8">
        <x:f t="shared" si="1"/>
        <x:v>30240</x:v>
      </x:c>
      <x:c r="P7" s="9">
        <x:f t="shared" si="0"/>
        <x:v>0.24</x:v>
      </x:c>
      <x:c r="Q7" s="8">
        <x:f t="shared" si="2"/>
        <x:v>10080</x:v>
      </x:c>
      <x:c r="R7" s="10">
        <x:v>592</x:v>
      </x:c>
    </x:row>
    <x:row r="8" spans="1:18" s="11" customFormat="1" ht="43.5" customHeight="1" x14ac:dyDescent="0.25">
      <x:c r="A8" s="3" t="s">
        <x:v>15</x:v>
      </x:c>
      <x:c r="B8" s="3" t="s">
        <x:v>18</x:v>
      </x:c>
      <x:c r="C8" s="3" t="s">
        <x:v>27</x:v>
      </x:c>
      <x:c r="D8" s="3" t="s">
        <x:v>28</x:v>
      </x:c>
      <x:c r="E8" s="3" t="s">
        <x:v>31</x:v>
      </x:c>
      <x:c r="F8" s="3" t="s">
        <x:v>32</x:v>
      </x:c>
      <x:c r="G8" s="4">
        <x:f>ITEMS[[#This Row],[O&amp;M 2025-2027]]/3</x:f>
        <x:v>15400</x:v>
      </x:c>
      <x:c r="H8" s="5">
        <x:v>1</x:v>
      </x:c>
      <x:c r="I8" s="4">
        <x:v>46200</x:v>
      </x:c>
      <x:c r="J8" s="5">
        <x:v>0.24</x:v>
      </x:c>
      <x:c r="K8" s="5">
        <x:v>0.76</x:v>
      </x:c>
      <x:c r="L8" s="6">
        <x:f>7*3</x:f>
        <x:v>21</x:v>
      </x:c>
      <x:c r="M8" s="7" t="s">
        <x:v>16</x:v>
      </x:c>
      <x:c r="N8" s="7" t="s">
        <x:v>16</x:v>
      </x:c>
      <x:c r="O8" s="8">
        <x:f t="shared" si="1"/>
        <x:v>11088</x:v>
      </x:c>
      <x:c r="P8" s="9">
        <x:f t="shared" si="0"/>
        <x:v>0.24</x:v>
      </x:c>
      <x:c r="Q8" s="8">
        <x:f t="shared" si="2"/>
        <x:v>3696</x:v>
      </x:c>
      <x:c r="R8" s="10">
        <x:v>935.3</x:v>
      </x:c>
    </x:row>
    <x:row r="9" spans="1:18" s="11" customFormat="1" ht="43.5" customHeight="1" x14ac:dyDescent="0.25">
      <x:c r="A9" s="3" t="s">
        <x:v>33</x:v>
      </x:c>
      <x:c r="B9" s="3" t="s">
        <x:v>34</x:v>
      </x:c>
      <x:c r="C9" s="3" t="s">
        <x:v>35</x:v>
      </x:c>
      <x:c r="D9" s="3" t="s">
        <x:v>36</x:v>
      </x:c>
      <x:c r="E9" s="3" t="s">
        <x:v>37</x:v>
      </x:c>
      <x:c r="F9" s="3" t="s">
        <x:v>38</x:v>
      </x:c>
      <x:c r="G9" s="4">
        <x:f>ITEMS[[#This Row],[O&amp;M 2025-2027]]/3</x:f>
        <x:v>2500000</x:v>
      </x:c>
      <x:c r="H9" s="5">
        <x:v>0.7142857142857143</x:v>
      </x:c>
      <x:c r="I9" s="4">
        <x:v>7500000</x:v>
      </x:c>
      <x:c r="J9" s="5">
        <x:v>0.33571428571428569</x:v>
      </x:c>
      <x:c r="K9" s="5">
        <x:v>0.37857142857142856</x:v>
      </x:c>
      <x:c r="L9" s="6">
        <x:v>0</x:v>
      </x:c>
      <x:c r="M9" s="7" t="s">
        <x:v>16</x:v>
      </x:c>
      <x:c r="N9" s="7" t="s">
        <x:v>17</x:v>
      </x:c>
      <x:c r="O9" s="8">
        <x:f t="shared" si="1"/>
        <x:v>3525000</x:v>
      </x:c>
      <x:c r="P9" s="9">
        <x:f t="shared" si="0"/>
        <x:v>0.47000000000000003</x:v>
      </x:c>
      <x:c r="Q9" s="8">
        <x:f t="shared" si="2"/>
        <x:v>1175000</x:v>
      </x:c>
      <x:c r="R9" s="10">
        <x:v>562</x:v>
      </x:c>
    </x:row>
    <x:row r="10" spans="1:18" s="11" customFormat="1" ht="43.5" customHeight="1" x14ac:dyDescent="0.25">
      <x:c r="A10" s="3" t="s">
        <x:v>33</x:v>
      </x:c>
      <x:c r="B10" s="3" t="s">
        <x:v>34</x:v>
      </x:c>
      <x:c r="C10" s="3" t="s">
        <x:v>39</x:v>
      </x:c>
      <x:c r="D10" s="3" t="s">
        <x:v>40</x:v>
      </x:c>
      <x:c r="E10" s="3" t="s">
        <x:v>41</x:v>
      </x:c>
      <x:c r="F10" s="3" t="s">
        <x:v>40</x:v>
      </x:c>
      <x:c r="G10" s="4">
        <x:f>ITEMS[[#This Row],[O&amp;M 2025-2027]]/3</x:f>
        <x:v>416666.66666666669</x:v>
      </x:c>
      <x:c r="H10" s="5">
        <x:v>2.5917478747667425E-2</x:v>
      </x:c>
      <x:c r="I10" s="4">
        <x:v>1250000</x:v>
      </x:c>
      <x:c r="J10" s="5">
        <x:v>6.4793696869168563E-3</x:v>
      </x:c>
      <x:c r="K10" s="5">
        <x:v>1.943810906075057E-2</x:v>
      </x:c>
      <x:c r="L10" s="6">
        <x:v>0</x:v>
      </x:c>
      <x:c r="M10" s="7" t="s">
        <x:v>16</x:v>
      </x:c>
      <x:c r="N10" s="7" t="s">
        <x:v>17</x:v>
      </x:c>
      <x:c r="O10" s="8">
        <x:f t="shared" si="1"/>
        <x:v>312500</x:v>
      </x:c>
      <x:c r="P10" s="9">
        <x:f t="shared" si="0"/>
        <x:v>0.25</x:v>
      </x:c>
      <x:c r="Q10" s="8">
        <x:f t="shared" si="2"/>
        <x:v>104166.67</x:v>
      </x:c>
      <x:c r="R10" s="10">
        <x:v>562</x:v>
      </x:c>
    </x:row>
    <x:row r="11" spans="1:18" s="11" customFormat="1" ht="43.5" customHeight="1" x14ac:dyDescent="0.25">
      <x:c r="A11" s="3" t="s">
        <x:v>33</x:v>
      </x:c>
      <x:c r="B11" s="3" t="s">
        <x:v>34</x:v>
      </x:c>
      <x:c r="C11" s="3" t="s">
        <x:v>39</x:v>
      </x:c>
      <x:c r="D11" s="3" t="s">
        <x:v>42</x:v>
      </x:c>
      <x:c r="E11" s="3" t="s">
        <x:v>43</x:v>
      </x:c>
      <x:c r="F11" s="3" t="s">
        <x:v>44</x:v>
      </x:c>
      <x:c r="G11" s="4">
        <x:f>ITEMS[[#This Row],[O&amp;M 2025-2027]]/3</x:f>
        <x:v>13666.666666666666</x:v>
      </x:c>
      <x:c r="H11" s="5">
        <x:v>2.893436838390967E-3</x:v>
      </x:c>
      <x:c r="I11" s="4">
        <x:v>41000</x:v>
      </x:c>
      <x:c r="J11" s="5">
        <x:v>7.2335920959774175E-4</x:v>
      </x:c>
      <x:c r="K11" s="5">
        <x:v>2.1700776287932252E-3</x:v>
      </x:c>
      <x:c r="L11" s="6">
        <x:v>0</x:v>
      </x:c>
      <x:c r="M11" s="7" t="s">
        <x:v>16</x:v>
      </x:c>
      <x:c r="N11" s="7" t="s">
        <x:v>17</x:v>
      </x:c>
      <x:c r="O11" s="8">
        <x:f t="shared" si="1"/>
        <x:v>10250</x:v>
      </x:c>
      <x:c r="P11" s="9">
        <x:f t="shared" si="0"/>
        <x:v>0.25</x:v>
      </x:c>
      <x:c r="Q11" s="8">
        <x:f t="shared" si="2"/>
        <x:v>3416.67</x:v>
      </x:c>
      <x:c r="R11" s="10">
        <x:v>562</x:v>
      </x:c>
    </x:row>
    <x:row r="12" spans="1:18" s="11" customFormat="1" ht="43.5" customHeight="1" x14ac:dyDescent="0.25">
      <x:c r="A12" s="3" t="s">
        <x:v>45</x:v>
      </x:c>
      <x:c r="B12" s="3" t="s">
        <x:v>46</x:v>
      </x:c>
      <x:c r="C12" s="3" t="s">
        <x:v>47</x:v>
      </x:c>
      <x:c r="D12" s="3" t="s">
        <x:v>48</x:v>
      </x:c>
      <x:c r="E12" s="3" t="s">
        <x:v>49</x:v>
      </x:c>
      <x:c r="F12" s="3" t="s">
        <x:v>50</x:v>
      </x:c>
      <x:c r="G12" s="4">
        <x:f>ITEMS[[#This Row],[O&amp;M 2025-2027]]/3</x:f>
        <x:v>1833333.3333333333</x:v>
      </x:c>
      <x:c r="H12" s="5">
        <x:v>0.6470588235294118</x:v>
      </x:c>
      <x:c r="I12" s="4">
        <x:v>5500000</x:v>
      </x:c>
      <x:c r="J12" s="5">
        <x:v>0.30411764705882355</x:v>
      </x:c>
      <x:c r="K12" s="5">
        <x:v>0.34294117647058825</x:v>
      </x:c>
      <x:c r="L12" s="6">
        <x:v>0</x:v>
      </x:c>
      <x:c r="M12" s="7" t="s">
        <x:v>16</x:v>
      </x:c>
      <x:c r="N12" s="7" t="s">
        <x:v>17</x:v>
      </x:c>
      <x:c r="O12" s="8">
        <x:f t="shared" si="1"/>
        <x:v>2585000</x:v>
      </x:c>
      <x:c r="P12" s="9">
        <x:f t="shared" si="0"/>
        <x:v>0.47000000000000003</x:v>
      </x:c>
      <x:c r="Q12" s="8">
        <x:f t="shared" si="2"/>
        <x:v>861666.67</x:v>
      </x:c>
      <x:c r="R12" s="10">
        <x:v>923</x:v>
      </x:c>
    </x:row>
    <x:row r="13" spans="1:18" s="11" customFormat="1" ht="43.5" customHeight="1" x14ac:dyDescent="0.25">
      <x:c r="A13" s="3" t="s">
        <x:v>45</x:v>
      </x:c>
      <x:c r="B13" s="3" t="s">
        <x:v>46</x:v>
      </x:c>
      <x:c r="C13" s="3" t="s">
        <x:v>51</x:v>
      </x:c>
      <x:c r="D13" s="3" t="s">
        <x:v>52</x:v>
      </x:c>
      <x:c r="E13" s="3" t="s">
        <x:v>52</x:v>
      </x:c>
      <x:c r="F13" s="3" t="s">
        <x:v>53</x:v>
      </x:c>
      <x:c r="G13" s="4">
        <x:f>ITEMS[[#This Row],[O&amp;M 2025-2027]]/3</x:f>
        <x:v>2000000</x:v>
      </x:c>
      <x:c r="H13" s="5">
        <x:v>0.375</x:v>
      </x:c>
      <x:c r="I13" s="4">
        <x:v>6000000</x:v>
      </x:c>
      <x:c r="J13" s="5">
        <x:v>0.17624999999999999</x:v>
      </x:c>
      <x:c r="K13" s="5">
        <x:v>0.19875000000000001</x:v>
      </x:c>
      <x:c r="L13" s="6">
        <x:v>0</x:v>
      </x:c>
      <x:c r="M13" s="7" t="s">
        <x:v>17</x:v>
      </x:c>
      <x:c r="N13" s="7" t="s">
        <x:v>17</x:v>
      </x:c>
      <x:c r="O13" s="8">
        <x:f t="shared" si="1"/>
        <x:v>2820000</x:v>
      </x:c>
      <x:c r="P13" s="9">
        <x:f t="shared" si="0"/>
        <x:v>0.47</x:v>
      </x:c>
      <x:c r="Q13" s="8">
        <x:f t="shared" si="2"/>
        <x:v>940000</x:v>
      </x:c>
      <x:c r="R13" s="10">
        <x:v>935.3</x:v>
      </x:c>
    </x:row>
    <x:row r="14" spans="1:18" s="11" customFormat="1" ht="43.5" customHeight="1" x14ac:dyDescent="0.25">
      <x:c r="A14" s="3" t="s">
        <x:v>45</x:v>
      </x:c>
      <x:c r="B14" s="3" t="s">
        <x:v>46</x:v>
      </x:c>
      <x:c r="C14" s="3" t="s">
        <x:v>54</x:v>
      </x:c>
      <x:c r="D14" s="3" t="s">
        <x:v>55</x:v>
      </x:c>
      <x:c r="E14" s="3" t="s">
        <x:v>56</x:v>
      </x:c>
      <x:c r="F14" s="3" t="s">
        <x:v>57</x:v>
      </x:c>
      <x:c r="G14" s="4">
        <x:f>ITEMS[[#This Row],[O&amp;M 2025-2027]]/3</x:f>
        <x:v>2000000</x:v>
      </x:c>
      <x:c r="H14" s="5">
        <x:v>0.16901408450704225</x:v>
      </x:c>
      <x:c r="I14" s="4">
        <x:v>6000000</x:v>
      </x:c>
      <x:c r="J14" s="5">
        <x:v>7.9436619718309856E-2</x:v>
      </x:c>
      <x:c r="K14" s="5">
        <x:v>8.9577464788732394E-2</x:v>
      </x:c>
      <x:c r="L14" s="6">
        <x:v>0</x:v>
      </x:c>
      <x:c r="M14" s="7" t="s">
        <x:v>16</x:v>
      </x:c>
      <x:c r="N14" s="7" t="s">
        <x:v>17</x:v>
      </x:c>
      <x:c r="O14" s="8">
        <x:f t="shared" si="1"/>
        <x:v>2820000</x:v>
      </x:c>
      <x:c r="P14" s="9">
        <x:f t="shared" si="0"/>
        <x:v>0.47</x:v>
      </x:c>
      <x:c r="Q14" s="8">
        <x:f t="shared" si="2"/>
        <x:v>940000</x:v>
      </x:c>
      <x:c r="R14" s="10">
        <x:v>935.3</x:v>
      </x:c>
    </x:row>
    <x:row r="15" spans="1:18" s="11" customFormat="1" ht="43.5" customHeight="1" x14ac:dyDescent="0.25">
      <x:c r="A15" s="3" t="s">
        <x:v>45</x:v>
      </x:c>
      <x:c r="B15" s="3" t="s">
        <x:v>46</x:v>
      </x:c>
      <x:c r="C15" s="3" t="s">
        <x:v>58</x:v>
      </x:c>
      <x:c r="D15" s="3" t="s">
        <x:v>59</x:v>
      </x:c>
      <x:c r="E15" s="3" t="s">
        <x:v>60</x:v>
      </x:c>
      <x:c r="F15" s="3" t="s">
        <x:v>61</x:v>
      </x:c>
      <x:c r="G15" s="4">
        <x:f>ITEMS[[#This Row],[O&amp;M 2025-2027]]/3</x:f>
        <x:v>1666666.6666666667</x:v>
      </x:c>
      <x:c r="H15" s="5">
        <x:v>0.15151515151515152</x:v>
      </x:c>
      <x:c r="I15" s="4">
        <x:v>5000000</x:v>
      </x:c>
      <x:c r="J15" s="5">
        <x:v>7.1212121212121213E-2</x:v>
      </x:c>
      <x:c r="K15" s="5">
        <x:v>8.0303030303030307E-2</x:v>
      </x:c>
      <x:c r="L15" s="6">
        <x:v>0</x:v>
      </x:c>
      <x:c r="M15" s="7" t="s">
        <x:v>17</x:v>
      </x:c>
      <x:c r="N15" s="7" t="s">
        <x:v>17</x:v>
      </x:c>
      <x:c r="O15" s="8">
        <x:f t="shared" si="1"/>
        <x:v>2350000</x:v>
      </x:c>
      <x:c r="P15" s="9">
        <x:f t="shared" si="0"/>
        <x:v>0.47</x:v>
      </x:c>
      <x:c r="Q15" s="8">
        <x:f t="shared" si="2"/>
        <x:v>783333.33</x:v>
      </x:c>
      <x:c r="R15" s="10">
        <x:v>923</x:v>
      </x:c>
    </x:row>
    <x:row r="16" spans="1:18" s="11" customFormat="1" ht="43.5" customHeight="1" x14ac:dyDescent="0.25">
      <x:c r="A16" s="3" t="s">
        <x:v>45</x:v>
      </x:c>
      <x:c r="B16" s="3" t="s">
        <x:v>46</x:v>
      </x:c>
      <x:c r="C16" s="3" t="s">
        <x:v>62</x:v>
      </x:c>
      <x:c r="D16" s="3" t="s">
        <x:v>63</x:v>
      </x:c>
      <x:c r="E16" s="3" t="s">
        <x:v>64</x:v>
      </x:c>
      <x:c r="F16" s="3" t="s">
        <x:v>65</x:v>
      </x:c>
      <x:c r="G16" s="4">
        <x:f>ITEMS[[#This Row],[O&amp;M 2025-2027]]/3</x:f>
        <x:v>1666666.6666666667</x:v>
      </x:c>
      <x:c r="H16" s="5">
        <x:v>9.0909090909090912E-2</x:v>
      </x:c>
      <x:c r="I16" s="4">
        <x:v>5000000</x:v>
      </x:c>
      <x:c r="J16" s="5">
        <x:v>4.2727272727272725E-2</x:v>
      </x:c>
      <x:c r="K16" s="5">
        <x:v>4.818181818181818E-2</x:v>
      </x:c>
      <x:c r="L16" s="6">
        <x:v>0</x:v>
      </x:c>
      <x:c r="M16" s="7" t="s">
        <x:v>17</x:v>
      </x:c>
      <x:c r="N16" s="7" t="s">
        <x:v>17</x:v>
      </x:c>
      <x:c r="O16" s="8">
        <x:f t="shared" si="1"/>
        <x:v>2350000</x:v>
      </x:c>
      <x:c r="P16" s="9">
        <x:f t="shared" si="0"/>
        <x:v>0.47</x:v>
      </x:c>
      <x:c r="Q16" s="8">
        <x:f t="shared" si="2"/>
        <x:v>783333.33</x:v>
      </x:c>
      <x:c r="R16" s="10">
        <x:v>935.3</x:v>
      </x:c>
    </x:row>
    <x:row r="17" spans="1:18" s="11" customFormat="1" ht="43.5" customHeight="1" x14ac:dyDescent="0.25">
      <x:c r="A17" s="3" t="s">
        <x:v>45</x:v>
      </x:c>
      <x:c r="B17" s="3" t="s">
        <x:v>46</x:v>
      </x:c>
      <x:c r="C17" s="3" t="s">
        <x:v>66</x:v>
      </x:c>
      <x:c r="D17" s="3" t="s">
        <x:v>67</x:v>
      </x:c>
      <x:c r="E17" s="3" t="s">
        <x:v>68</x:v>
      </x:c>
      <x:c r="F17" s="3" t="s">
        <x:v>69</x:v>
      </x:c>
      <x:c r="G17" s="4">
        <x:f>ITEMS[[#This Row],[O&amp;M 2025-2027]]/3</x:f>
        <x:v>1000000</x:v>
      </x:c>
      <x:c r="H17" s="5">
        <x:v>0.17647058823529413</x:v>
      </x:c>
      <x:c r="I17" s="4">
        <x:v>3000000</x:v>
      </x:c>
      <x:c r="J17" s="5">
        <x:v>4.4117647058823532E-2</x:v>
      </x:c>
      <x:c r="K17" s="5">
        <x:v>0.13235294117647059</x:v>
      </x:c>
      <x:c r="L17" s="6">
        <x:v>0</x:v>
      </x:c>
      <x:c r="M17" s="7" t="s">
        <x:v>17</x:v>
      </x:c>
      <x:c r="N17" s="7" t="s">
        <x:v>17</x:v>
      </x:c>
      <x:c r="O17" s="8">
        <x:f t="shared" si="1"/>
        <x:v>750000</x:v>
      </x:c>
      <x:c r="P17" s="9">
        <x:f t="shared" si="0"/>
        <x:v>0.25</x:v>
      </x:c>
      <x:c r="Q17" s="8">
        <x:f t="shared" si="2"/>
        <x:v>250000</x:v>
      </x:c>
      <x:c r="R17" s="10">
        <x:v>935.3</x:v>
      </x:c>
    </x:row>
    <x:row r="18" spans="1:18" s="11" customFormat="1" ht="43.5" customHeight="1" x14ac:dyDescent="0.25">
      <x:c r="A18" s="3" t="s">
        <x:v>45</x:v>
      </x:c>
      <x:c r="B18" s="3" t="s">
        <x:v>46</x:v>
      </x:c>
      <x:c r="C18" s="3" t="s">
        <x:v>70</x:v>
      </x:c>
      <x:c r="D18" s="3" t="s">
        <x:v>71</x:v>
      </x:c>
      <x:c r="E18" s="3" t="s">
        <x:v>72</x:v>
      </x:c>
      <x:c r="F18" s="3" t="s">
        <x:v>73</x:v>
      </x:c>
      <x:c r="G18" s="4">
        <x:f>ITEMS[[#This Row],[O&amp;M 2025-2027]]/3</x:f>
        <x:v>4833333.3333333405</x:v>
      </x:c>
      <x:c r="H18" s="5">
        <x:v>0.24369747899159699</x:v>
      </x:c>
      <x:c r="I18" s="4">
        <x:v>14500000.00000002</x:v>
      </x:c>
      <x:c r="J18" s="5">
        <x:v>0.11453781512605057</x:v>
      </x:c>
      <x:c r="K18" s="5">
        <x:v>0.12915966386554639</x:v>
      </x:c>
      <x:c r="L18" s="6">
        <x:v>0</x:v>
      </x:c>
      <x:c r="M18" s="7" t="s">
        <x:v>17</x:v>
      </x:c>
      <x:c r="N18" s="7" t="s">
        <x:v>17</x:v>
      </x:c>
      <x:c r="O18" s="12">
        <x:f t="shared" si="1"/>
        <x:v>6815000</x:v>
      </x:c>
      <x:c r="P18" s="9">
        <x:f t="shared" si="0"/>
        <x:v>0.47</x:v>
      </x:c>
      <x:c r="Q18" s="13">
        <x:f t="shared" si="2"/>
        <x:v>2271666.67</x:v>
      </x:c>
      <x:c r="R18" s="10">
        <x:v>923</x:v>
      </x:c>
    </x:row>
    <x:row r="19" spans="1:18" s="21" customFormat="1" ht="15.75" thickBot="1" x14ac:dyDescent="0.3">
      <x:c r="A19" s="14"/>
      <x:c r="B19" s="14"/>
      <x:c r="C19" s="14"/>
      <x:c r="D19" s="14"/>
      <x:c r="E19" s="14"/>
      <x:c r="F19" s="14" t="s">
        <x:v>75</x:v>
      </x:c>
      <x:c r="G19" s="15">
        <x:f>SUBTOTAL(109,ITEMS[Estimated Yearly O&amp;M Spend])</x:f>
        <x:v>18821901.58333334</x:v>
      </x:c>
      <x:c r="H19" s="16"/>
      <x:c r="I19" s="15" t="s">
        <x:v>78</x:v>
      </x:c>
      <x:c r="J19" s="16"/>
      <x:c r="K19" s="16"/>
      <x:c r="L19" s="17"/>
      <x:c r="M19" s="18"/>
      <x:c r="N19" s="18"/>
      <x:c r="O19" s="19">
        <x:f>SUM(O5:O18)</x:f>
        <x:v>25555255.23</x:v>
      </x:c>
      <x:c r="P19" s="19"/>
      <x:c r="Q19" s="19">
        <x:f>SUM(Q5:Q18)</x:f>
        <x:v>8518418.4199999999</x:v>
      </x:c>
      <x:c r="R19" s="20"/>
    </x:row>
    <x:row r="20" spans="1:18" s="22" customFormat="1" x14ac:dyDescent="0.25">
      <x:c r="I20" s="23">
        <x:f>I19/G19</x:f>
        <x:v>3.0000000132823978</x:v>
      </x:c>
      <x:c r="O20" s="23">
        <x:f>O19/Q19</x:f>
        <x:v>2.9999999964782194</x:v>
      </x:c>
      <x:c r="P20" s="24"/>
      <x:c r="Q20" s="26" t="s">
        <x:v>79</x:v>
      </x:c>
      <x:c r="R20" s="20"/>
    </x:row>
    <x:row r="21" spans="1:18" s="22" customFormat="1" x14ac:dyDescent="0.25">
      <x:c r="A21" s="22" t="s">
        <x:v>81</x:v>
      </x:c>
      <x:c r="I21" s="25"/>
      <x:c r="P21" s="24"/>
      <x:c r="Q21" s="21"/>
      <x:c r="R21" s="20"/>
    </x:row>
    <x:row r="22" spans="1:18" s="22" customFormat="1" x14ac:dyDescent="0.25">
      <x:c r="P22" s="24"/>
      <x:c r="Q22" s="33" t="s">
        <x:v>80</x:v>
      </x:c>
      <x:c r="R22" s="33"/>
    </x:row>
    <x:row r="23" spans="1:18" s="22" customFormat="1" x14ac:dyDescent="0.25">
      <x:c r="P23" s="24"/>
      <x:c r="Q23" s="19">
        <x:f>SUM(Q9:Q11)</x:f>
        <x:v>1282583.3399999999</x:v>
      </x:c>
      <x:c r="R23" s="20">
        <x:v>562</x:v>
      </x:c>
    </x:row>
    <x:row r="24" spans="1:18" s="22" customFormat="1" x14ac:dyDescent="0.25">
      <x:c r="P24" s="24"/>
      <x:c r="Q24" s="19">
        <x:f>Q7</x:f>
        <x:v>10080</x:v>
      </x:c>
      <x:c r="R24" s="20">
        <x:v>592</x:v>
      </x:c>
    </x:row>
    <x:row r="25" spans="1:18" s="22" customFormat="1" x14ac:dyDescent="0.25">
      <x:c r="P25" s="24"/>
      <x:c r="Q25" s="19">
        <x:f>Q18+Q15+Q12</x:f>
        <x:v>3916666.67</x:v>
      </x:c>
      <x:c r="R25" s="20">
        <x:v>923</x:v>
      </x:c>
    </x:row>
    <x:row r="26" spans="1:18" s="22" customFormat="1" x14ac:dyDescent="0.25">
      <x:c r="P26" s="24"/>
      <x:c r="Q26" s="27">
        <x:f>Q17+Q16+Q14+Q13+Q8+Q6+Q5</x:f>
        <x:v>3309088.41</x:v>
      </x:c>
      <x:c r="R26" s="20">
        <x:v>935</x:v>
      </x:c>
    </x:row>
    <x:row r="27" spans="1:18" s="22" customFormat="1" x14ac:dyDescent="0.25">
      <x:c r="P27" s="28" t="s">
        <x:v>82</x:v>
      </x:c>
      <x:c r="Q27" s="19">
        <x:f>SUM(Q23:Q26)</x:f>
        <x:v>8518418.4199999999</x:v>
      </x:c>
      <x:c r="R27" s="20"/>
    </x:row>
    <x:row r="28" spans="1:18" s="22" customFormat="1" x14ac:dyDescent="0.25">
      <x:c r="P28" s="24"/>
      <x:c r="Q28" s="21"/>
      <x:c r="R28" s="20"/>
    </x:row>
  </x:sheetData>
  <x:mergeCells count="1">
    <x:mergeCell ref="Q22:R22"/>
  </x:mergeCells>
  <x:pageMargins left="0.25" right="0.25" top="2" bottom="0.25" header="1" footer="0.3"/>
  <x:pageSetup scale="44" orientation="landscape" r:id="rId1"/>
  <x:headerFooter>
    <x:oddHeader>&amp;C&amp;"-,Bold"
ONCOR ELECTRIC DELIVERY COMPANY LLC
EXPENSE ADJUSTMENT FOR SRP TRANSMISSION-RELATED (DOCKET NO. 56545)
FOR THE TEST YEAR ENDING DECEMBER 31, 2024
SPONSOR: R. PRACHYL &amp;&amp; R. LULSEGED&amp;R&amp;"-,Bold"WP/II-D ADJUSTMENT/45
Page 2 of 2</x:oddHeader>
  </x:headerFooter>
  <x:tableParts count="1">
    <x:tablePart r:id="rId2"/>
  </x:tableParts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2025-04-29T16:09:52.0000000Z</dcterms:modified>
</coreProperties>
</file>