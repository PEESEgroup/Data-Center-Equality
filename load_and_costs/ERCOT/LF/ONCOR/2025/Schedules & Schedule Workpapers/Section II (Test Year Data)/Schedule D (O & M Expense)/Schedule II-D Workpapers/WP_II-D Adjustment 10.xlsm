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C8EB865D-923B-4C81-AC13-15FE5FBD65F4}" xr6:coauthVersionLast="47" xr6:coauthVersionMax="47" xr10:uidLastSave="{00000000-0000-0000-0000-000000000000}"/>
  <x:bookViews>
    <x:workbookView xWindow="-120" yWindow="-120" windowWidth="29040" windowHeight="15720" xr2:uid="{9F35A1B6-4C28-4774-B377-D88159491732}"/>
  </x:bookViews>
  <x:sheets>
    <x:sheet name="KM Adj" sheetId="1" r:id="rId1"/>
  </x:sheets>
  <x:definedNames>
    <x:definedName name="NvsASD">"V2024-12-31"</x:definedName>
    <x:definedName name="NvsAutoDrillOk">"VN"</x:definedName>
    <x:definedName name="NvsElapsedTime">0.0000925925924093463</x:definedName>
    <x:definedName name="NvsEndTime">45741.4468865741</x:definedName>
    <x:definedName name="NvsInstLang">"VENG"</x:definedName>
    <x:definedName name="NvsInstSpec">"%,LMR_S_A_FN,SYTD,FDEPTID,V533755,FACCOUNT,TF_ACNT_D_PRIME1,N903.3,NCOST_OF_SALES,NDIRECT_COSTS,NMAINT_SGA,NOP_ADM_GEN,NOP_CUST_ACCTS,NOP_CUST_SERV,NOP_SALES,NPLAN_OMXFUEL,NSGA_PLAN,N426.57,N426.45"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ParentRef">"'[533755 OM Exp by Dept 2024-12-31.xls]Sheet1'!$H$13"</x:definedName>
    <x:definedName name="NvsReqBU">"VESD"</x:definedName>
    <x:definedName name="NvsReqBUOnly">"VY"</x:definedName>
    <x:definedName name="NvsTransLed">"VY"</x:definedName>
    <x:definedName name="NvsTreeASD">"V2024-12-31"</x:definedName>
    <x:definedName name="_xlnm.Print_Area" localSheetId="0">'KM Adj'!$A$1:$P$18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L16" i="1" l="1"/>
  <x:c r="L14" i="1"/>
  <x:c r="E13" i="1"/>
  <x:c r="L13" i="1" s="1"/>
  <x:c r="K5" i="1" s="1"/>
  <x:c r="L12" i="1"/>
  <x:c r="E5" i="1" l="1"/>
  <x:c r="M5" i="1" s="1"/>
</x:calcChain>
</file>

<file path=xl/sharedStrings.xml><?xml version="1.0" encoding="utf-8"?>
<sst xmlns="http://schemas.openxmlformats.org/spreadsheetml/2006/main" count="38" uniqueCount="27">
  <si>
    <t>Deptid</t>
  </si>
  <si>
    <t>Account</t>
  </si>
  <si>
    <t>EC</t>
  </si>
  <si>
    <t>Actv</t>
  </si>
  <si>
    <t>Amount</t>
  </si>
  <si>
    <t>Total</t>
  </si>
  <si>
    <t>4500</t>
  </si>
  <si>
    <t>HR signed a contract with Visier People – a people analytics tool that we implemented in 2025.  This is an annual expense of $147,000 that will hit HR’s O&amp;M expenses that is not reflected in the 2024 test year. For 2025, this was paid in the first quarter..</t>
  </si>
  <si>
    <t>Paradox recruiting software - New beginning 2025, recurring</t>
  </si>
  <si>
    <t>80% sales tax @ 8.25%</t>
  </si>
  <si>
    <t>LinkedIn - add annual fee + recruiter (2024 zero; paid early in 2023 )</t>
  </si>
  <si>
    <t>Adjust Yello to remove implementation portion</t>
  </si>
  <si>
    <t>including purchasing loading of 8.85%</t>
  </si>
  <si>
    <t>Incl. sales tax</t>
  </si>
  <si>
    <t>voucher</t>
  </si>
  <si>
    <t>ACTUALS</t>
  </si>
  <si>
    <t>PURCHASE</t>
  </si>
  <si>
    <t>PUR1011162</t>
  </si>
  <si>
    <t>533720</t>
  </si>
  <si>
    <t>9210000</t>
  </si>
  <si>
    <t>286</t>
  </si>
  <si>
    <t>0000</t>
  </si>
  <si>
    <t>00004500</t>
  </si>
  <si>
    <t>M1708610</t>
  </si>
  <si>
    <t>VISIER INC</t>
  </si>
  <si>
    <t>Plus purchasing loading</t>
  </si>
  <si>
    <t>Verified Jan 2025 rate (on max of $110k)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</si>
</sst>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44" fontId="0" fillId="0" borderId="0" xfId="1" quotePrefix="1" applyFont="1" applyAlignment="1">
      <alignment horizontal="center"/>
    </xf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44" fontId="0" fillId="0" borderId="0" xfId="1" applyFont="1"/>
    <xf numFmtId="44" fontId="0" fillId="0" borderId="0" xfId="0" applyNumberFormat="1" applyAlignment="1">
      <alignment wrapText="1"/>
    </xf>
    <xf numFmtId="10" fontId="0" fillId="0" borderId="0" xfId="2" applyNumberFormat="1" applyFont="1"/>
    <xf numFmtId="164" fontId="0" fillId="0" borderId="0" xfId="2" applyNumberFormat="1" applyFont="1"/>
    <xf numFmtId="0" fontId="0" fillId="0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44" fontId="0" fillId="0" borderId="0" xfId="1" quotePrefix="1" applyFont="1" applyFill="1" applyAlignment="1">
      <alignment horizontal="center"/>
    </xf>
    <xf numFmtId="44" fontId="0" fillId="0" borderId="0" xfId="1" applyFont="1" applyFill="1"/>
    <xf numFmtId="44" fontId="0" fillId="0" borderId="0" xfId="0" applyNumberFormat="1" applyFill="1"/>
    <xf numFmtId="0" fontId="0" fillId="0" borderId="0" xfId="0" applyAlignment="1">
      <alignment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D52B7A3-A738-4590-BCEA-3FD384CDB371}" mc:Ignorable="x14ac xr xr2 xr3">
  <x:sheetPr>
    <x:pageSetUpPr fitToPage="1"/>
  </x:sheetPr>
  <x:dimension ref="A4:P18"/>
  <x:sheetViews>
    <x:sheetView tabSelected="1" zoomScaleNormal="100" workbookViewId="0">
      <x:selection sqref="A1:XFD2"/>
    </x:sheetView>
  </x:sheetViews>
  <x:sheetFormatPr defaultRowHeight="15" x14ac:dyDescent="0.25"/>
  <x:cols>
    <x:col min="4" max="4" width="12.140625" bestFit="1" customWidth="1"/>
    <x:col min="5" max="5" width="14.42578125" customWidth="1"/>
    <x:col min="11" max="11" width="13.5703125" bestFit="1" customWidth="1"/>
    <x:col min="12" max="12" width="13.42578125" bestFit="1" customWidth="1"/>
    <x:col min="13" max="13" width="17.42578125" bestFit="1" customWidth="1"/>
    <x:col min="14" max="15" width="10.140625" bestFit="1" customWidth="1"/>
    <x:col min="16" max="16" width="35.42578125" bestFit="1" customWidth="1"/>
  </x:cols>
  <x:sheetData>
    <x:row r="4" spans="1:14" x14ac:dyDescent="0.25">
      <x:c r="A4" s="9" t="s">
        <x:v>0</x:v>
      </x:c>
      <x:c r="B4" s="9" t="s">
        <x:v>1</x:v>
      </x:c>
      <x:c r="C4" s="9" t="s">
        <x:v>2</x:v>
      </x:c>
      <x:c r="D4" s="9" t="s">
        <x:v>3</x:v>
      </x:c>
      <x:c r="E4" s="9" t="s">
        <x:v>4</x:v>
      </x:c>
      <x:c r="F4" s="10"/>
      <x:c r="G4" s="9" t="s">
        <x:v>0</x:v>
      </x:c>
      <x:c r="H4" s="9" t="s">
        <x:v>1</x:v>
      </x:c>
      <x:c r="I4" s="9" t="s">
        <x:v>2</x:v>
      </x:c>
      <x:c r="J4" s="9" t="s">
        <x:v>3</x:v>
      </x:c>
      <x:c r="K4" s="9" t="s">
        <x:v>4</x:v>
      </x:c>
      <x:c r="L4" s="10"/>
      <x:c r="M4" s="9" t="s">
        <x:v>5</x:v>
      </x:c>
      <x:c r="N4" s="10"/>
    </x:row>
    <x:row r="5" spans="1:14" x14ac:dyDescent="0.25">
      <x:c r="A5" s="11">
        <x:v>533720</x:v>
      </x:c>
      <x:c r="B5" s="11">
        <x:v>9210000</x:v>
      </x:c>
      <x:c r="C5" s="11">
        <x:v>286</x:v>
      </x:c>
      <x:c r="D5" s="12" t="s">
        <x:v>6</x:v>
      </x:c>
      <x:c r="E5" s="13">
        <x:f>L17+L18+L14+L12</x:f>
        <x:v>168108.27</x:v>
      </x:c>
      <x:c r="F5" s="10"/>
      <x:c r="G5" s="11">
        <x:v>533720</x:v>
      </x:c>
      <x:c r="H5" s="11">
        <x:v>9210000</x:v>
      </x:c>
      <x:c r="I5" s="11">
        <x:v>499</x:v>
      </x:c>
      <x:c r="J5" s="12" t="s">
        <x:v>6</x:v>
      </x:c>
      <x:c r="K5" s="13">
        <x:f>L13</x:f>
        <x:v>57000</x:v>
      </x:c>
      <x:c r="L5" s="10"/>
      <x:c r="M5" s="14">
        <x:f>E5+K5</x:f>
        <x:v>225108.27</x:v>
      </x:c>
      <x:c r="N5" s="10"/>
    </x:row>
    <x:row r="6" spans="1:14" x14ac:dyDescent="0.25">
      <x:c r="A6" s="15" t="s">
        <x:v>7</x:v>
      </x:c>
      <x:c r="B6" s="15"/>
      <x:c r="C6" s="15"/>
      <x:c r="D6" s="15"/>
      <x:c r="E6" s="15"/>
      <x:c r="F6" s="15"/>
      <x:c r="G6" s="15"/>
      <x:c r="H6" s="15"/>
      <x:c r="I6" s="15"/>
      <x:c r="J6" s="15"/>
    </x:row>
    <x:row r="7" spans="1:14" x14ac:dyDescent="0.25">
      <x:c r="A7" s="15"/>
      <x:c r="B7" s="15"/>
      <x:c r="C7" s="15"/>
      <x:c r="D7" s="15"/>
      <x:c r="E7" s="15"/>
      <x:c r="F7" s="15"/>
      <x:c r="G7" s="15"/>
      <x:c r="H7" s="15"/>
      <x:c r="I7" s="15"/>
      <x:c r="J7" s="15"/>
    </x:row>
    <x:row r="8" spans="1:14" x14ac:dyDescent="0.25">
      <x:c r="A8" s="15"/>
      <x:c r="B8" s="15"/>
      <x:c r="C8" s="15"/>
      <x:c r="D8" s="15"/>
      <x:c r="E8" s="15"/>
      <x:c r="F8" s="15"/>
      <x:c r="G8" s="15"/>
      <x:c r="H8" s="15"/>
      <x:c r="I8" s="15"/>
      <x:c r="J8" s="15"/>
    </x:row>
    <x:row r="9" spans="1:14" x14ac:dyDescent="0.25">
      <x:c r="A9" s="15"/>
      <x:c r="B9" s="15"/>
      <x:c r="C9" s="15"/>
      <x:c r="D9" s="15"/>
      <x:c r="E9" s="15"/>
      <x:c r="F9" s="15"/>
      <x:c r="G9" s="15"/>
      <x:c r="H9" s="15"/>
      <x:c r="I9" s="15"/>
      <x:c r="J9" s="15"/>
    </x:row>
    <x:row r="10" spans="1:14" x14ac:dyDescent="0.25">
      <x:c r="A10" s="15"/>
      <x:c r="B10" s="15"/>
      <x:c r="C10" s="15"/>
      <x:c r="D10" s="15"/>
      <x:c r="E10" s="15"/>
      <x:c r="F10" s="15"/>
      <x:c r="G10" s="15"/>
      <x:c r="H10" s="15"/>
      <x:c r="I10" s="15"/>
      <x:c r="J10" s="15"/>
    </x:row>
    <x:row r="11" spans="1:14" x14ac:dyDescent="0.25">
      <x:c r="A11" s="3"/>
      <x:c r="B11" s="3"/>
      <x:c r="C11" s="3"/>
      <x:c r="D11" s="3"/>
      <x:c r="E11" s="3"/>
      <x:c r="F11" s="3"/>
      <x:c r="G11" s="3"/>
      <x:c r="H11" s="3"/>
      <x:c r="I11" s="3"/>
      <x:c r="J11" s="3"/>
    </x:row>
    <x:row r="12" spans="1:14" x14ac:dyDescent="0.25">
      <x:c r="A12" s="1">
        <x:v>533720</x:v>
      </x:c>
      <x:c r="B12" s="1">
        <x:v>9210000</x:v>
      </x:c>
      <x:c r="C12" s="1">
        <x:v>286</x:v>
      </x:c>
      <x:c r="D12" s="2" t="s">
        <x:v>6</x:v>
      </x:c>
      <x:c r="E12" s="4">
        <x:v>25000</x:v>
      </x:c>
      <x:c r="F12" t="s">
        <x:v>8</x:v>
      </x:c>
      <x:c r="G12" s="3"/>
      <x:c r="H12" s="3"/>
      <x:c r="I12" s="3"/>
      <x:c r="J12" s="3"/>
      <x:c r="L12" s="5">
        <x:f>E12+(E12*0.8*0.0825)</x:f>
        <x:v>26650</x:v>
      </x:c>
      <x:c r="M12" t="s">
        <x:v>9</x:v>
      </x:c>
    </x:row>
    <x:row r="13" spans="1:14" x14ac:dyDescent="0.25">
      <x:c r="A13" s="1">
        <x:v>533720</x:v>
      </x:c>
      <x:c r="B13" s="1">
        <x:v>9210000</x:v>
      </x:c>
      <x:c r="C13" s="1">
        <x:v>499</x:v>
      </x:c>
      <x:c r="D13" s="2" t="s">
        <x:v>6</x:v>
      </x:c>
      <x:c r="E13" s="4">
        <x:f>45000+12000</x:f>
        <x:v>57000</x:v>
      </x:c>
      <x:c r="F13" t="s">
        <x:v>10</x:v>
      </x:c>
      <x:c r="G13" s="3"/>
      <x:c r="H13" s="3"/>
      <x:c r="I13" s="3"/>
      <x:c r="J13" s="3"/>
      <x:c r="L13" s="5">
        <x:f>E13</x:f>
        <x:v>57000</x:v>
      </x:c>
    </x:row>
    <x:row r="14" spans="1:14" x14ac:dyDescent="0.25">
      <x:c r="A14" s="1">
        <x:v>533720</x:v>
      </x:c>
      <x:c r="B14" s="1">
        <x:v>9210000</x:v>
      </x:c>
      <x:c r="C14" s="1">
        <x:v>286</x:v>
      </x:c>
      <x:c r="D14" s="2" t="s">
        <x:v>6</x:v>
      </x:c>
      <x:c r="E14" s="4">
        <x:v>-27049.23</x:v>
      </x:c>
      <x:c r="F14" t="s">
        <x:v>11</x:v>
      </x:c>
      <x:c r="G14" s="3"/>
      <x:c r="H14" s="3"/>
      <x:c r="I14" s="3"/>
      <x:c r="J14" s="3"/>
      <x:c r="L14" s="5">
        <x:f>E14</x:f>
        <x:v>-27049.23</x:v>
      </x:c>
      <x:c r="M14" t="s">
        <x:v>12</x:v>
      </x:c>
    </x:row>
    <x:row r="15" spans="1:14" x14ac:dyDescent="0.25">
      <x:c r="A15" s="3"/>
      <x:c r="B15" s="3"/>
      <x:c r="C15" s="3"/>
      <x:c r="D15" s="3"/>
      <x:c r="E15" s="6"/>
      <x:c r="F15" s="3"/>
      <x:c r="G15" s="3"/>
      <x:c r="H15" s="3"/>
      <x:c r="I15" s="3"/>
      <x:c r="J15" s="3"/>
    </x:row>
    <x:row r="16" spans="1:14" x14ac:dyDescent="0.25">
      <x:c r="A16" s="3"/>
      <x:c r="B16" s="3"/>
      <x:c r="C16" s="3"/>
      <x:c r="D16" s="3"/>
      <x:c r="E16" s="3"/>
      <x:c r="F16" s="3"/>
      <x:c r="G16" s="3"/>
      <x:c r="H16" s="3"/>
      <x:c r="I16" s="3"/>
      <x:c r="J16" s="3"/>
      <x:c r="L16" s="7">
        <x:f>L17/147000</x:f>
        <x:v>1.0825</x:v>
      </x:c>
      <x:c r="M16" t="s">
        <x:v>13</x:v>
      </x:c>
      <x:c r="N16" t="s">
        <x:v>14</x:v>
      </x:c>
    </x:row>
    <x:row r="17" spans="1:16" x14ac:dyDescent="0.25">
      <x:c r="A17" t="s">
        <x:v>15</x:v>
      </x:c>
      <x:c r="B17" t="s">
        <x:v>16</x:v>
      </x:c>
      <x:c r="C17" t="s">
        <x:v>17</x:v>
      </x:c>
      <x:c r="D17">
        <x:v>2025</x:v>
      </x:c>
      <x:c r="E17">
        <x:v>1</x:v>
      </x:c>
      <x:c r="F17" t="s">
        <x:v>18</x:v>
      </x:c>
      <x:c r="G17" t="s">
        <x:v>19</x:v>
      </x:c>
      <x:c r="H17" t="s">
        <x:v>20</x:v>
      </x:c>
      <x:c r="I17" t="s">
        <x:v>21</x:v>
      </x:c>
      <x:c r="J17" t="s">
        <x:v>22</x:v>
      </x:c>
      <x:c r="K17" t="s">
        <x:v>6</x:v>
      </x:c>
      <x:c r="L17" s="5">
        <x:v>159127.5</x:v>
      </x:c>
      <x:c r="M17" s="5">
        <x:v>159127.5</x:v>
      </x:c>
      <x:c r="N17" t="s">
        <x:v>23</x:v>
      </x:c>
      <x:c r="O17" t="s">
        <x:v>23</x:v>
      </x:c>
      <x:c r="P17" t="s">
        <x:v>24</x:v>
      </x:c>
    </x:row>
    <x:row r="18" spans="1:16" x14ac:dyDescent="0.25">
      <x:c r="L18" s="5">
        <x:v>9380</x:v>
      </x:c>
      <x:c r="M18" t="s">
        <x:v>25</x:v>
      </x:c>
      <x:c r="O18" s="8">
        <x:v>9.3799999999999994E-3</x:v>
      </x:c>
      <x:c r="P18" t="s">
        <x:v>26</x:v>
      </x:c>
    </x:row>
  </x:sheetData>
  <x:mergeCells count="1">
    <x:mergeCell ref="A6:J10"/>
  </x:mergeCells>
  <x:pageMargins left="0.25" right="0.25" top="2" bottom="0.25" header="1" footer="0.3"/>
  <x:pageSetup scale="66" orientation="landscape" r:id="rId1"/>
  <x:headerFooter>
    <x:oddHeader>&amp;C&amp;"-,Bold"
ONCOR ELECTRIC DELIVERY COMPANY LLC
HR CONTRACTS / HR SERVICES ADJUSTMENT
FOR THE TEST YEAR ENDING DECEMBER 31, 2024
SPONSOR: R. PRACHYL &amp;&amp; A. GUILLORY&amp;R&amp;"-,Bold"WP/II-D ADJUSTMENT/10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2025-04-29T15:32:46.0000000Z</dcterms:modified>
</coreProperties>
</file>