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11B6AFB8-7DE9-4210-8A2B-508A4B2EBD45}" xr6:coauthVersionLast="47" xr6:coauthVersionMax="47" xr10:uidLastSave="{00000000-0000-0000-0000-000000000000}"/>
  <x:bookViews>
    <x:workbookView xWindow="-120" yWindow="-120" windowWidth="29040" windowHeight="15720" xr2:uid="{135E3803-619D-4D81-8E1C-489264043901}"/>
  </x:bookViews>
  <x:sheets>
    <x:sheet name="Summary" sheetId="1" r:id="rId1"/>
  </x:sheets>
  <x:definedNames>
    <x:definedName name="_xlnm.Print_Area" localSheetId="0">Summary!$A$1:$H$18</x:definedName>
    <x:definedName name="SP">#REF!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G16" i="1" l="1"/>
  <x:c r="F16" i="1"/>
  <x:c r="E16" i="1"/>
  <x:c r="G10" i="1"/>
  <x:c r="F10" i="1"/>
  <x:c r="F18" i="1" s="1"/>
  <x:c r="E10" i="1"/>
  <x:c r="E18" i="1" s="1"/>
  <x:c r="A8" i="1"/>
  <x:c r="A9" i="1" s="1"/>
  <x:c r="A10" i="1" s="1"/>
  <x:c r="A11" i="1" s="1"/>
  <x:c r="A12" i="1" s="1"/>
  <x:c r="A13" i="1" s="1"/>
  <x:c r="A14" i="1" s="1"/>
  <x:c r="A15" i="1" s="1"/>
  <x:c r="A16" i="1" s="1"/>
  <x:c r="A17" i="1" s="1"/>
  <x:c r="A18" i="1" s="1"/>
  <x:c r="G18" i="1" l="1"/>
</x:calcChain>
</file>

<file path=xl/sharedStrings.xml><?xml version="1.0" encoding="utf-8"?>
<sst xmlns="http://schemas.openxmlformats.org/spreadsheetml/2006/main" count="11" uniqueCount="10">
  <si>
    <t>Non-Affiliate</t>
  </si>
  <si>
    <t>Dept Id</t>
  </si>
  <si>
    <t>Account</t>
  </si>
  <si>
    <t>EC</t>
  </si>
  <si>
    <t>2024 Test Year Amount</t>
  </si>
  <si>
    <t>Adjusted 2024 Test Year Amount</t>
  </si>
  <si>
    <t>Known &amp; Measurable Amount</t>
  </si>
  <si>
    <t>Total</t>
  </si>
  <si>
    <t>Affiliate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</si>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</sst>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1" fillId="0" borderId="0"/>
  </cellStyleXfs>
  <cellXfs count="9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3" applyFont="1" applyAlignment="1">
      <alignment horizontal="right"/>
    </xf>
    <xf numFmtId="0" fontId="4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2" fillId="0" borderId="1" xfId="0" applyFont="1" applyBorder="1"/>
    <xf numFmtId="164" fontId="2" fillId="0" borderId="1" xfId="1" applyNumberFormat="1" applyFont="1" applyBorder="1"/>
  </cellXfs>
  <cellStyles count="4">
    <cellStyle name="Comma" xfId="1" builtinId="3"/>
    <cellStyle name="Normal" xfId="0" builtinId="0"/>
    <cellStyle name="Normal 2 8" xfId="3" xr:uid="{C0157FE2-D1D9-4E62-AE2E-658595B39996}"/>
    <cellStyle name="Normal 3 2" xfId="2" xr:uid="{93E8F125-22EC-4FA6-9F55-BA0B49A808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03D3ED2-7465-4C04-BF41-7426CB71CDF4}" mc:Ignorable="x14ac xr xr2 xr3">
  <x:dimension ref="A1:M18"/>
  <x:sheetViews>
    <x:sheetView tabSelected="1" zoomScaleNormal="100" workbookViewId="0">
      <x:selection activeCell="E12" sqref="E12"/>
    </x:sheetView>
  </x:sheetViews>
  <x:sheetFormatPr defaultColWidth="8.85546875" defaultRowHeight="15" x14ac:dyDescent="0.2"/>
  <x:cols>
    <x:col min="1" max="1" width="4.28515625" style="1" customWidth="1"/>
    <x:col min="2" max="2" width="19.85546875" style="1" customWidth="1"/>
    <x:col min="3" max="3" width="16.42578125" style="1" customWidth="1"/>
    <x:col min="4" max="4" width="10.7109375" style="1" customWidth="1"/>
    <x:col min="5" max="5" width="21.7109375" style="1" customWidth="1"/>
    <x:col min="6" max="6" width="16.42578125" style="1" customWidth="1"/>
    <x:col min="7" max="7" width="19.7109375" style="1" customWidth="1"/>
    <x:col min="8" max="16384" width="8.85546875" style="1"/>
  </x:cols>
  <x:sheetData>
    <x:row r="1" spans="1:13" ht="15.75" x14ac:dyDescent="0.25">
      <x:c r="B1" s="2"/>
    </x:row>
    <x:row r="2" spans="1:13" ht="15.75" x14ac:dyDescent="0.25">
      <x:c r="B2" s="2"/>
      <x:c r="C2" s="3"/>
    </x:row>
    <x:row r="3" spans="1:13" ht="15.75" x14ac:dyDescent="0.25">
      <x:c r="B3" s="2"/>
    </x:row>
    <x:row r="4" spans="1:13" ht="15.75" x14ac:dyDescent="0.25">
      <x:c r="A4" s="1">
        <x:v>1</x:v>
      </x:c>
      <x:c r="B4" s="1" t="s">
        <x:v>0</x:v>
      </x:c>
      <x:c r="C4" s="2"/>
      <x:c r="D4" s="2"/>
    </x:row>
    <x:row r="5" spans="1:13" ht="45" x14ac:dyDescent="0.2">
      <x:c r="A5" s="1">
        <x:v>2</x:v>
      </x:c>
      <x:c r="B5" s="4" t="s">
        <x:v>1</x:v>
      </x:c>
      <x:c r="C5" s="4" t="s">
        <x:v>2</x:v>
      </x:c>
      <x:c r="D5" s="4" t="s">
        <x:v>3</x:v>
      </x:c>
      <x:c r="E5" s="5" t="s">
        <x:v>4</x:v>
      </x:c>
      <x:c r="F5" s="5" t="s">
        <x:v>5</x:v>
      </x:c>
      <x:c r="G5" s="5" t="s">
        <x:v>6</x:v>
      </x:c>
      <x:c r="K5" s="6"/>
      <x:c r="M5" s="6"/>
    </x:row>
    <x:row r="6" spans="1:13" x14ac:dyDescent="0.2">
      <x:c r="A6" s="1">
        <x:v>3</x:v>
      </x:c>
      <x:c r="B6" s="7">
        <x:v>511014</x:v>
      </x:c>
      <x:c r="C6" s="7">
        <x:v>9230000</x:v>
      </x:c>
      <x:c r="D6" s="7">
        <x:v>488</x:v>
      </x:c>
      <x:c r="E6" s="8">
        <x:v>6283786.533248866</x:v>
      </x:c>
      <x:c r="F6" s="8">
        <x:v>4901725.7700000005</x:v>
      </x:c>
      <x:c r="G6" s="8">
        <x:v>-1382060.7632488681</x:v>
      </x:c>
    </x:row>
    <x:row r="7" spans="1:13" x14ac:dyDescent="0.2">
      <x:c r="A7" s="1">
        <x:v>4</x:v>
      </x:c>
      <x:c r="B7" s="7">
        <x:v>511014</x:v>
      </x:c>
      <x:c r="C7" s="7">
        <x:v>9230000</x:v>
      </x:c>
      <x:c r="D7" s="7">
        <x:v>485</x:v>
      </x:c>
      <x:c r="E7" s="8">
        <x:v>23952485.922710303</x:v>
      </x:c>
      <x:c r="F7" s="8">
        <x:v>25615897.252009574</x:v>
      </x:c>
      <x:c r="G7" s="8">
        <x:v>1663411.3292992786</x:v>
      </x:c>
    </x:row>
    <x:row r="8" spans="1:13" x14ac:dyDescent="0.2">
      <x:c r="A8" s="1">
        <x:f>A7+1</x:f>
        <x:v>5</x:v>
      </x:c>
      <x:c r="B8" s="7">
        <x:v>576014</x:v>
      </x:c>
      <x:c r="C8" s="7">
        <x:v>9230000</x:v>
      </x:c>
      <x:c r="D8" s="7">
        <x:v>488</x:v>
      </x:c>
      <x:c r="E8" s="8">
        <x:v>1024442.3537716668</x:v>
      </x:c>
      <x:c r="F8" s="8">
        <x:v>1089780.54</x:v>
      </x:c>
      <x:c r="G8" s="8">
        <x:v>65338.186228333376</x:v>
      </x:c>
    </x:row>
    <x:row r="9" spans="1:13" x14ac:dyDescent="0.2">
      <x:c r="A9" s="1">
        <x:f t="shared" ref="A9:A18" si="0">A8+1</x:f>
        <x:v>6</x:v>
      </x:c>
      <x:c r="B9" s="7">
        <x:v>576014</x:v>
      </x:c>
      <x:c r="C9" s="7">
        <x:v>9230000</x:v>
      </x:c>
      <x:c r="D9" s="7">
        <x:v>485</x:v>
      </x:c>
      <x:c r="E9" s="8">
        <x:v>1509410.2137657499</x:v>
      </x:c>
      <x:c r="F9" s="8">
        <x:v>2022794.59</x:v>
      </x:c>
      <x:c r="G9" s="8">
        <x:v>513384.37623424979</x:v>
      </x:c>
    </x:row>
    <x:row r="10" spans="1:13" x14ac:dyDescent="0.2">
      <x:c r="A10" s="1">
        <x:f t="shared" si="0"/>
        <x:v>7</x:v>
      </x:c>
      <x:c r="B10" s="7" t="s">
        <x:v>7</x:v>
      </x:c>
      <x:c r="C10" s="7"/>
      <x:c r="D10" s="7"/>
      <x:c r="E10" s="8">
        <x:f>SUM(E1:E9)</x:f>
        <x:v>32770125.023496591</x:v>
      </x:c>
      <x:c r="F10" s="8">
        <x:f>SUM(F1:F9)</x:f>
        <x:v>33630198.152009577</x:v>
      </x:c>
      <x:c r="G10" s="8">
        <x:f>SUM(G1:G9)</x:f>
        <x:v>860073.12851299369</x:v>
      </x:c>
    </x:row>
    <x:row r="11" spans="1:13" x14ac:dyDescent="0.2">
      <x:c r="A11" s="1">
        <x:f t="shared" si="0"/>
        <x:v>8</x:v>
      </x:c>
    </x:row>
    <x:row r="12" spans="1:13" x14ac:dyDescent="0.2">
      <x:c r="A12" s="1">
        <x:f t="shared" si="0"/>
        <x:v>9</x:v>
      </x:c>
    </x:row>
    <x:row r="13" spans="1:13" x14ac:dyDescent="0.2">
      <x:c r="A13" s="1">
        <x:f t="shared" si="0"/>
        <x:v>10</x:v>
      </x:c>
      <x:c r="B13" s="1" t="s">
        <x:v>8</x:v>
      </x:c>
    </x:row>
    <x:row r="14" spans="1:13" x14ac:dyDescent="0.2">
      <x:c r="A14" s="1">
        <x:f t="shared" si="0"/>
        <x:v>11</x:v>
      </x:c>
      <x:c r="B14" s="7">
        <x:v>511014</x:v>
      </x:c>
      <x:c r="C14" s="7">
        <x:v>9230000</x:v>
      </x:c>
      <x:c r="D14" s="7">
        <x:v>485</x:v>
      </x:c>
      <x:c r="E14" s="8">
        <x:v>216837.92492708331</x:v>
      </x:c>
      <x:c r="F14" s="8">
        <x:v>103489.17</x:v>
      </x:c>
      <x:c r="G14" s="8">
        <x:v>-113348.75492708333</x:v>
      </x:c>
    </x:row>
    <x:row r="15" spans="1:13" x14ac:dyDescent="0.2">
      <x:c r="A15" s="1">
        <x:f t="shared" si="0"/>
        <x:v>12</x:v>
      </x:c>
      <x:c r="B15" s="7">
        <x:v>576014</x:v>
      </x:c>
      <x:c r="C15" s="7">
        <x:v>9230000</x:v>
      </x:c>
      <x:c r="D15" s="7">
        <x:v>488</x:v>
      </x:c>
      <x:c r="E15" s="8">
        <x:v>0</x:v>
      </x:c>
      <x:c r="F15" s="8">
        <x:v>201019.59</x:v>
      </x:c>
      <x:c r="G15" s="8">
        <x:v>201019.59</x:v>
      </x:c>
    </x:row>
    <x:row r="16" spans="1:13" x14ac:dyDescent="0.2">
      <x:c r="A16" s="1">
        <x:f t="shared" si="0"/>
        <x:v>13</x:v>
      </x:c>
      <x:c r="B16" s="7" t="s">
        <x:v>7</x:v>
      </x:c>
      <x:c r="C16" s="7"/>
      <x:c r="D16" s="7"/>
      <x:c r="E16" s="8">
        <x:f>SUM(E14:E15)</x:f>
        <x:v>216837.92492708331</x:v>
      </x:c>
      <x:c r="F16" s="8">
        <x:f>SUM(F14:F15)</x:f>
        <x:v>304508.76</x:v>
      </x:c>
      <x:c r="G16" s="8">
        <x:f>SUM(G14:G15)</x:f>
        <x:v>87670.83507291667</x:v>
      </x:c>
    </x:row>
    <x:row r="17" spans="1:7" x14ac:dyDescent="0.2">
      <x:c r="A17" s="1">
        <x:f t="shared" si="0"/>
        <x:v>14</x:v>
      </x:c>
    </x:row>
    <x:row r="18" spans="1:7" x14ac:dyDescent="0.2">
      <x:c r="A18" s="1">
        <x:f t="shared" si="0"/>
        <x:v>15</x:v>
      </x:c>
      <x:c r="B18" s="7" t="s">
        <x:v>9</x:v>
      </x:c>
      <x:c r="C18" s="7"/>
      <x:c r="D18" s="7"/>
      <x:c r="E18" s="8">
        <x:f>E16+E10</x:f>
        <x:v>32986962.948423672</x:v>
      </x:c>
      <x:c r="F18" s="8">
        <x:f>F16+F10</x:f>
        <x:v>33934706.912009574</x:v>
      </x:c>
      <x:c r="G18" s="8">
        <x:f>G16+G10</x:f>
        <x:v>947743.96358591039</x:v>
      </x:c>
    </x:row>
  </x:sheetData>
  <x:printOptions horizontalCentered="1"/>
  <x:pageMargins left="0.25" right="0.25" top="2" bottom="0.25" header="1" footer="0"/>
  <x:pageSetup orientation="landscape" r:id="rId1"/>
  <x:headerFooter>
    <x:oddHeader>&amp;C&amp;"-,Bold"
ONCOR ELECTRIC DELIVERY COMPANY LLC
HARDWARE AND SOFTWARE MAINTENANCE ADJUSTMENT
FOR THE TEST YEAR ENDING DECEMBER 31, 2024
SPONSOR: R. PRACHYL &amp;&amp; C. BANKHEAD&amp;R&amp;"-,Bold"WP/II-D ADJUSTMENT/26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2025-04-29T15:43:47.0000000Z</dcterms:modified>
</coreProperties>
</file>