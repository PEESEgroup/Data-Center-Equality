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F95A0A7E-77C5-4853-959A-CEF09F54665A}" xr6:coauthVersionLast="47" xr6:coauthVersionMax="47" xr10:uidLastSave="{00000000-0000-0000-0000-000000000000}"/>
  <x:bookViews>
    <x:workbookView xWindow="-120" yWindow="-120" windowWidth="29040" windowHeight="15720" xr2:uid="{07EF9913-C5CA-4807-AD14-2BEEECE61A9A}"/>
  </x:bookViews>
  <x:sheets>
    <x:sheet name="Sheet1" sheetId="1" r:id="rId1"/>
  </x:sheets>
  <x:definedNames>
    <x:definedName name="NvsASD">"V2024-12-31"</x:definedName>
    <x:definedName name="NvsAutoDrillOk">"VY"</x:definedName>
    <x:definedName name="NvsElapsedTime">0.00039351852319669</x:definedName>
    <x:definedName name="NvsEndTime">45712.877962963</x:definedName>
    <x:definedName name="NvsInstLang">"VENG"</x:definedName>
    <x:definedName name="NvsInstSpec">"%,QUVLR_OPER_EXP_OTH_SGA,SYTD,FBUSINESS_UNIT,TF_BU_D_BASE,N3DELV,FCURRENCY_CD,VUSD,FTU_EC,V710"</x:definedName>
    <x:definedName name="NvsInstSpec1">","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ParentRef">"'[Oper Exp_SGA_Oth Deductions-YTD 2024 Dec.xls]Sheet1'!$D$210"</x:definedName>
    <x:definedName name="NvsReqBU">"VX0001"</x:definedName>
    <x:definedName name="NvsReqBUOnly">"VN"</x:definedName>
    <x:definedName name="NvsTransLed">"VY"</x:definedName>
    <x:definedName name="NvsTreeASD">"V2024-12-31"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L12" i="1" l="1"/>
  <x:c r="K12" i="1"/>
  <x:c r="I11" i="1"/>
  <x:c r="N11" i="1" l="1"/>
</x:calcChain>
</file>

<file path=xl/sharedStrings.xml><?xml version="1.0" encoding="utf-8"?>
<sst xmlns="http://schemas.openxmlformats.org/spreadsheetml/2006/main" count="34" uniqueCount="26">
  <si>
    <t>WAXAHACHIE LEASE - 2801 JOHN ARDEN DR</t>
  </si>
  <si>
    <t>Transmission</t>
  </si>
  <si>
    <t>Monthly:</t>
  </si>
  <si>
    <t>Property Tax Est:</t>
  </si>
  <si>
    <t>Adjusted</t>
  </si>
  <si>
    <t>ESD</t>
  </si>
  <si>
    <t>Net</t>
  </si>
  <si>
    <t>BU GL</t>
  </si>
  <si>
    <t>*Deptid</t>
  </si>
  <si>
    <t>*Account</t>
  </si>
  <si>
    <t>EC</t>
  </si>
  <si>
    <t>Project</t>
  </si>
  <si>
    <t>Location</t>
  </si>
  <si>
    <t>Activity</t>
  </si>
  <si>
    <t>*%</t>
  </si>
  <si>
    <t>Year OM</t>
  </si>
  <si>
    <t>TY A580</t>
  </si>
  <si>
    <t>TYA9302</t>
  </si>
  <si>
    <t>O&amp;M reduction</t>
  </si>
  <si>
    <t>TRN</t>
  </si>
  <si>
    <t>INDCONOH</t>
  </si>
  <si>
    <t>BE003903</t>
  </si>
  <si>
    <t>290T</t>
  </si>
  <si>
    <t>Est. %</t>
  </si>
  <si>
    <t>The Waxahachie lease was transferred from ESD to TRN in January. Adjustment also reflects functionalization reclass.</t>
  </si>
  <si>
    <t>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</si>
</sst>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0.0%"/>
  </numFmts>
  <fonts count="5" x14ac:knownFonts="1">
    <font>
      <sz val="10"/>
      <name val="Arial"/>
      <family val="2"/>
    </font>
    <font>
      <sz val="1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Fill="1"/>
    <xf numFmtId="164" fontId="3" fillId="0" borderId="0" xfId="0" applyNumberFormat="1" applyFont="1" applyFill="1"/>
    <xf numFmtId="0" fontId="3" fillId="0" borderId="0" xfId="0" applyFont="1" applyFill="1"/>
    <xf numFmtId="44" fontId="3" fillId="0" borderId="0" xfId="1" applyFont="1" applyFill="1"/>
    <xf numFmtId="0" fontId="2" fillId="0" borderId="0" xfId="0" applyFont="1" applyFill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2" fillId="0" borderId="1" xfId="0" applyFont="1" applyFill="1" applyBorder="1"/>
    <xf numFmtId="164" fontId="4" fillId="0" borderId="0" xfId="1" applyNumberFormat="1" applyFont="1" applyFill="1"/>
    <xf numFmtId="44" fontId="4" fillId="0" borderId="0" xfId="1" applyFont="1" applyFill="1"/>
    <xf numFmtId="44" fontId="2" fillId="0" borderId="0" xfId="1" applyFont="1" applyFill="1"/>
    <xf numFmtId="0" fontId="3" fillId="0" borderId="0" xfId="0" applyFont="1" applyFill="1" applyAlignment="1">
      <alignment horizontal="center"/>
    </xf>
    <xf numFmtId="165" fontId="3" fillId="0" borderId="0" xfId="2" applyNumberFormat="1" applyFont="1" applyFill="1" applyAlignment="1">
      <alignment horizontal="center"/>
    </xf>
    <xf numFmtId="0" fontId="2" fillId="0" borderId="0" xfId="0" applyFont="1" applyFill="1"/>
    <xf numFmtId="0" fontId="4" fillId="0" borderId="0" xfId="0" applyFont="1" applyFill="1" applyAlignment="1">
      <alignment horizontal="center"/>
    </xf>
    <xf numFmtId="0" fontId="3" fillId="0" borderId="0" xfId="0" quotePrefix="1" applyFon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6E2DED52-39D8-4D4B-8E6E-F004ACF38838}" mc:Ignorable="x14ac xr xr2 xr3">
  <x:sheetPr codeName="Sheet3">
    <x:pageSetUpPr fitToPage="1"/>
  </x:sheetPr>
  <x:dimension ref="A1:N16"/>
  <x:sheetViews>
    <x:sheetView tabSelected="1" workbookViewId="0">
      <x:selection activeCell="D22" sqref="D22"/>
    </x:sheetView>
  </x:sheetViews>
  <x:sheetFormatPr defaultColWidth="8.7109375" defaultRowHeight="12.75" x14ac:dyDescent="0.2"/>
  <x:cols>
    <x:col min="1" max="1" width="18.140625" style="2" customWidth="1"/>
    <x:col min="2" max="2" width="9.85546875" style="2" bestFit="1" customWidth="1"/>
    <x:col min="3" max="4" width="8.7109375" style="2"/>
    <x:col min="5" max="5" width="10.42578125" style="2" bestFit="1" customWidth="1"/>
    <x:col min="6" max="8" width="8.7109375" style="2"/>
    <x:col min="9" max="10" width="10.85546875" style="2" bestFit="1" customWidth="1"/>
    <x:col min="11" max="11" width="12.5703125" style="2" bestFit="1" customWidth="1"/>
    <x:col min="12" max="12" width="11.5703125" style="2" bestFit="1" customWidth="1"/>
    <x:col min="13" max="13" width="4.140625" style="2" customWidth="1"/>
    <x:col min="14" max="14" width="13" style="2" bestFit="1" customWidth="1"/>
    <x:col min="15" max="16384" width="8.7109375" style="2"/>
  </x:cols>
  <x:sheetData>
    <x:row r="1" spans="1:14" x14ac:dyDescent="0.2">
      <x:c r="A1" s="1"/>
    </x:row>
    <x:row r="2" spans="1:14" s="5" customFormat="1" x14ac:dyDescent="0.2">
      <x:c r="A2" s="16"/>
    </x:row>
    <x:row r="3" spans="1:14" s="5" customFormat="1" x14ac:dyDescent="0.2">
      <x:c r="A3" s="3" t="s">
        <x:v>0</x:v>
      </x:c>
    </x:row>
    <x:row r="4" spans="1:14" s="5" customFormat="1" x14ac:dyDescent="0.2">
      <x:c r="A4" s="3" t="s">
        <x:v>1</x:v>
      </x:c>
    </x:row>
    <x:row r="5" spans="1:14" s="5" customFormat="1" x14ac:dyDescent="0.2">
      <x:c r="A5" s="3" t="s">
        <x:v>2</x:v>
      </x:c>
      <x:c r="B5" s="4">
        <x:v>12240</x:v>
      </x:c>
      <x:c r="J5" s="6"/>
    </x:row>
    <x:row r="6" spans="1:14" s="5" customFormat="1" x14ac:dyDescent="0.2">
      <x:c r="A6" s="3" t="s">
        <x:v>3</x:v>
      </x:c>
      <x:c r="B6" s="4">
        <x:v>46190</x:v>
      </x:c>
      <x:c r="J6" s="6"/>
    </x:row>
    <x:row r="7" spans="1:14" s="5" customFormat="1" x14ac:dyDescent="0.2">
      <x:c r="A7" s="3"/>
      <x:c r="B7" s="3"/>
      <x:c r="C7" s="3"/>
      <x:c r="D7" s="3"/>
      <x:c r="E7" s="3"/>
      <x:c r="F7" s="3"/>
      <x:c r="G7" s="3"/>
      <x:c r="H7" s="3"/>
      <x:c r="I7" s="5" t="s">
        <x:v>4</x:v>
      </x:c>
      <x:c r="K7" s="7" t="s">
        <x:v>5</x:v>
      </x:c>
      <x:c r="L7" s="7" t="s">
        <x:v>5</x:v>
      </x:c>
      <x:c r="N7" s="7" t="s">
        <x:v>6</x:v>
      </x:c>
    </x:row>
    <x:row r="8" spans="1:14" s="5" customFormat="1" x14ac:dyDescent="0.2">
      <x:c r="A8" s="3" t="s">
        <x:v>7</x:v>
      </x:c>
      <x:c r="B8" s="3" t="s">
        <x:v>8</x:v>
      </x:c>
      <x:c r="C8" s="3" t="s">
        <x:v>9</x:v>
      </x:c>
      <x:c r="D8" s="3" t="s">
        <x:v>10</x:v>
      </x:c>
      <x:c r="E8" s="3" t="s">
        <x:v>11</x:v>
      </x:c>
      <x:c r="F8" s="3" t="s">
        <x:v>12</x:v>
      </x:c>
      <x:c r="G8" s="3" t="s">
        <x:v>13</x:v>
      </x:c>
      <x:c r="H8" s="3" t="s">
        <x:v>14</x:v>
      </x:c>
      <x:c r="I8" s="3" t="s">
        <x:v>15</x:v>
      </x:c>
      <x:c r="K8" s="8" t="s">
        <x:v>16</x:v>
      </x:c>
      <x:c r="L8" s="8" t="s">
        <x:v>17</x:v>
      </x:c>
      <x:c r="M8" s="9"/>
      <x:c r="N8" s="10" t="s">
        <x:v>18</x:v>
      </x:c>
    </x:row>
    <x:row r="9" spans="1:14" s="5" customFormat="1" x14ac:dyDescent="0.2">
      <x:c r="A9" s="14" t="s">
        <x:v>19</x:v>
      </x:c>
      <x:c r="B9" s="14">
        <x:v>515570</x:v>
      </x:c>
      <x:c r="C9" s="14">
        <x:v>1070000</x:v>
      </x:c>
      <x:c r="D9" s="14">
        <x:v>710</x:v>
      </x:c>
      <x:c r="E9" s="14" t="s">
        <x:v>20</x:v>
      </x:c>
      <x:c r="F9" s="18" t="s">
        <x:v>25</x:v>
      </x:c>
      <x:c r="G9" s="18" t="s">
        <x:v>25</x:v>
      </x:c>
      <x:c r="H9" s="14">
        <x:v>52</x:v>
      </x:c>
    </x:row>
    <x:row r="10" spans="1:14" s="5" customFormat="1" x14ac:dyDescent="0.2">
      <x:c r="A10" s="14" t="s">
        <x:v>19</x:v>
      </x:c>
      <x:c r="B10" s="14">
        <x:v>515570</x:v>
      </x:c>
      <x:c r="C10" s="14">
        <x:v>1631100</x:v>
      </x:c>
      <x:c r="D10" s="14">
        <x:v>710</x:v>
      </x:c>
      <x:c r="E10" s="14" t="s">
        <x:v>21</x:v>
      </x:c>
      <x:c r="F10" s="18" t="s">
        <x:v>25</x:v>
      </x:c>
      <x:c r="G10" s="14" t="s">
        <x:v>22</x:v>
      </x:c>
      <x:c r="H10" s="14">
        <x:v>5</x:v>
      </x:c>
    </x:row>
    <x:row r="11" spans="1:14" s="5" customFormat="1" x14ac:dyDescent="0.2">
      <x:c r="A11" s="17" t="s">
        <x:v>19</x:v>
      </x:c>
      <x:c r="B11" s="17">
        <x:v>515570</x:v>
      </x:c>
      <x:c r="C11" s="17">
        <x:v>5660000</x:v>
      </x:c>
      <x:c r="D11" s="17">
        <x:v>710</x:v>
      </x:c>
      <x:c r="E11" s="17" t="s">
        <x:v>21</x:v>
      </x:c>
      <x:c r="F11" s="18" t="s">
        <x:v>25</x:v>
      </x:c>
      <x:c r="G11" s="17" t="s">
        <x:v>22</x:v>
      </x:c>
      <x:c r="H11" s="17">
        <x:v>43</x:v>
      </x:c>
      <x:c r="I11" s="11">
        <x:f>ROUND(B5*12*0.43,0)+B6</x:f>
        <x:v>109348</x:v>
      </x:c>
      <x:c r="K11" s="12">
        <x:v>-100925.79</x:v>
      </x:c>
      <x:c r="L11" s="12">
        <x:v>-11735.56</x:v>
      </x:c>
      <x:c r="N11" s="13">
        <x:f>I11+K11+L11</x:f>
        <x:v>-3313.3499999999931</x:v>
      </x:c>
    </x:row>
    <x:row r="12" spans="1:14" s="5" customFormat="1" x14ac:dyDescent="0.2">
      <x:c r="J12" s="14" t="s">
        <x:v>23</x:v>
      </x:c>
      <x:c r="K12" s="15">
        <x:f>7310/17000</x:f>
        <x:v>0.43</x:v>
      </x:c>
      <x:c r="L12" s="15">
        <x:f>850/17000</x:f>
        <x:v>0.05</x:v>
      </x:c>
    </x:row>
    <x:row r="13" spans="1:14" s="5" customFormat="1" x14ac:dyDescent="0.2"/>
    <x:row r="14" spans="1:14" s="5" customFormat="1" x14ac:dyDescent="0.2">
      <x:c r="A14" s="5" t="s">
        <x:v>24</x:v>
      </x:c>
    </x:row>
    <x:row r="15" spans="1:14" s="5" customFormat="1" x14ac:dyDescent="0.2"/>
    <x:row r="16" spans="1:14" s="5" customFormat="1" x14ac:dyDescent="0.2"/>
  </x:sheetData>
  <x:pageMargins left="0.25" right="0.25" top="2" bottom="0.25" header="1" footer="0.3"/>
  <x:pageSetup scale="94" orientation="landscape" r:id="rId1"/>
  <x:headerFooter>
    <x:oddHeader>&amp;C&amp;"Arial,Bold"
ONCOR ELECTRIC DELIVERY COMPANY LLC
WAXAHACHIE LEASE TRANSFER ADJUSTMENT
FOR THE TEST YEAR ENDING DECEMBER 31, 2024
SPONSOR: R. PRACHYL&amp;R&amp;"Arial,Bold"WP/II-D ADJUSTMETN/36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2025-04-09T11:41:18.0000000Z</dcterms:modified>
</coreProperties>
</file>